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Percco\Documents\miniMES_1.0\"/>
    </mc:Choice>
  </mc:AlternateContent>
  <xr:revisionPtr revIDLastSave="0" documentId="13_ncr:1_{47BD5370-8A37-4B39-BD84-C7505CB640DE}" xr6:coauthVersionLast="47" xr6:coauthVersionMax="47" xr10:uidLastSave="{00000000-0000-0000-0000-000000000000}"/>
  <bookViews>
    <workbookView xWindow="-120" yWindow="-120" windowWidth="29040" windowHeight="15720" tabRatio="758" firstSheet="12" activeTab="20" xr2:uid="{2CD95FEE-81DC-4083-9177-26495F2ABEBD}"/>
  </bookViews>
  <sheets>
    <sheet name="Hoja1" sheetId="1" state="hidden" r:id="rId1"/>
    <sheet name="t_empresa" sheetId="14" r:id="rId2"/>
    <sheet name="t_objeto" sheetId="17" r:id="rId3"/>
    <sheet name="t_producto" sheetId="15" r:id="rId4"/>
    <sheet name="t_tipoProducto" sheetId="27" r:id="rId5"/>
    <sheet name="t_productStatus" sheetId="16" r:id="rId6"/>
    <sheet name="t_cliente" sheetId="2" r:id="rId7"/>
    <sheet name="t_tipo_cliente" sheetId="3" r:id="rId8"/>
    <sheet name="t_prioridad_cliente" sheetId="4" r:id="rId9"/>
    <sheet name="t_clave_unidad" sheetId="6" r:id="rId10"/>
    <sheet name="t_entry_status" sheetId="5" r:id="rId11"/>
    <sheet name="t_usuario" sheetId="8" r:id="rId12"/>
    <sheet name="t_area" sheetId="9" r:id="rId13"/>
    <sheet name="t_proceso" sheetId="13" r:id="rId14"/>
    <sheet name="t_machinery" sheetId="11" r:id="rId15"/>
    <sheet name="t_materialPlano" sheetId="18" r:id="rId16"/>
    <sheet name="t_presentacionMaterial" sheetId="28" r:id="rId17"/>
    <sheet name="t_calendario" sheetId="19" r:id="rId18"/>
    <sheet name="t_politicaLaboral" sheetId="20" r:id="rId19"/>
    <sheet name="t_materialKit" sheetId="21" r:id="rId20"/>
    <sheet name="t_resourcesPool" sheetId="23" r:id="rId21"/>
    <sheet name="t_workInstruction" sheetId="26" r:id="rId22"/>
    <sheet name="t_workOrder" sheetId="24" r:id="rId23"/>
  </sheets>
  <externalReferences>
    <externalReference r:id="rId24"/>
    <externalReference r:id="rId25"/>
  </externalReferences>
  <definedNames>
    <definedName name="_xlnm._FilterDatabase" localSheetId="17" hidden="1">t_calendario!$A$1:$I$2193</definedName>
    <definedName name="_xlnm._FilterDatabase" localSheetId="9" hidden="1">t_clave_unidad!$A$1:$K$1</definedName>
    <definedName name="_xlnm._FilterDatabase" localSheetId="6" hidden="1">t_cliente!$A$1:$O$1</definedName>
    <definedName name="_xlnm._FilterDatabase" localSheetId="1" hidden="1">t_empresa!$A$1:$I$1</definedName>
    <definedName name="_xlnm._FilterDatabase" localSheetId="19" hidden="1">t_materialKit!$A$1:$J$1</definedName>
    <definedName name="_xlnm._FilterDatabase" localSheetId="15" hidden="1">t_materialPlano!$A$1:$AE$685</definedName>
    <definedName name="_xlnm._FilterDatabase" localSheetId="8" hidden="1">t_prioridad_cliente!$A$1:$C$1</definedName>
    <definedName name="_xlnm._FilterDatabase" localSheetId="3" hidden="1">t_producto!$A$1:$U$94</definedName>
    <definedName name="_xlnm._FilterDatabase" localSheetId="20" hidden="1">t_resourcesPool!$A$1:$L$1</definedName>
    <definedName name="_xlnm._FilterDatabase" localSheetId="7" hidden="1">t_tipo_cliente!$A$1:$C$1</definedName>
    <definedName name="_xlnm._FilterDatabase" localSheetId="21" hidden="1">t_workInstruction!$A$1:$J$1</definedName>
    <definedName name="_xlnm._FilterDatabase" localSheetId="22" hidden="1">t_workOrder!$A$1:$K$1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26" l="1"/>
  <c r="D18" i="26"/>
  <c r="F18" i="26"/>
  <c r="B19" i="26"/>
  <c r="D19" i="26"/>
  <c r="F19" i="26"/>
  <c r="B20" i="26"/>
  <c r="D20" i="26"/>
  <c r="F20" i="26"/>
  <c r="B21" i="26"/>
  <c r="D21" i="26"/>
  <c r="F21" i="26"/>
  <c r="B22" i="26"/>
  <c r="D22" i="26"/>
  <c r="F22" i="26"/>
  <c r="B23" i="26"/>
  <c r="D23" i="26"/>
  <c r="F23" i="26"/>
  <c r="B24" i="26"/>
  <c r="D24" i="26"/>
  <c r="F24" i="26"/>
  <c r="B25" i="26"/>
  <c r="D25" i="26"/>
  <c r="F25" i="26"/>
  <c r="B26" i="26"/>
  <c r="D26" i="26"/>
  <c r="F26" i="26"/>
  <c r="B27" i="26"/>
  <c r="D27" i="26"/>
  <c r="F27" i="26"/>
  <c r="B28" i="26"/>
  <c r="D28" i="26"/>
  <c r="F28" i="26"/>
  <c r="B29" i="26"/>
  <c r="D29" i="26"/>
  <c r="F29" i="26"/>
  <c r="B30" i="26"/>
  <c r="D30" i="26"/>
  <c r="F30" i="26"/>
  <c r="B31" i="26"/>
  <c r="D31" i="26"/>
  <c r="F31" i="26"/>
  <c r="B32" i="26"/>
  <c r="D32" i="26"/>
  <c r="F32" i="26"/>
  <c r="B33" i="26"/>
  <c r="D33" i="26"/>
  <c r="F33" i="26"/>
  <c r="B34" i="26"/>
  <c r="D34" i="26"/>
  <c r="F34" i="26"/>
  <c r="B35" i="26"/>
  <c r="D35" i="26"/>
  <c r="F35" i="26"/>
  <c r="B36" i="26"/>
  <c r="D36" i="26"/>
  <c r="F36" i="26"/>
  <c r="B37" i="26"/>
  <c r="D37" i="26"/>
  <c r="F37" i="26"/>
  <c r="B38" i="26"/>
  <c r="D38" i="26"/>
  <c r="F38" i="26"/>
  <c r="B39" i="26"/>
  <c r="D39" i="26"/>
  <c r="F39" i="26"/>
  <c r="B40" i="26"/>
  <c r="D40" i="26"/>
  <c r="F40" i="26"/>
  <c r="B41" i="26"/>
  <c r="D41" i="26"/>
  <c r="F41" i="26"/>
  <c r="B42" i="26"/>
  <c r="D42" i="26"/>
  <c r="F42" i="26"/>
  <c r="B43" i="26"/>
  <c r="D43" i="26"/>
  <c r="F43" i="26"/>
  <c r="B44" i="26"/>
  <c r="D44" i="26"/>
  <c r="F44" i="26"/>
  <c r="B45" i="26"/>
  <c r="D45" i="26"/>
  <c r="F45" i="26"/>
  <c r="B46" i="26"/>
  <c r="D46" i="26"/>
  <c r="F46" i="26"/>
  <c r="B47" i="26"/>
  <c r="D47" i="26"/>
  <c r="F47" i="26"/>
  <c r="B48" i="26"/>
  <c r="D48" i="26"/>
  <c r="F48" i="26"/>
  <c r="B49" i="26"/>
  <c r="D49" i="26"/>
  <c r="F49" i="26"/>
  <c r="B50" i="26"/>
  <c r="D50" i="26"/>
  <c r="F50" i="26"/>
  <c r="B51" i="26"/>
  <c r="D51" i="26"/>
  <c r="F51" i="26"/>
  <c r="B52" i="26"/>
  <c r="D52" i="26"/>
  <c r="F52" i="26"/>
  <c r="B53" i="26"/>
  <c r="D53" i="26"/>
  <c r="F53" i="26"/>
  <c r="B54" i="26"/>
  <c r="D54" i="26"/>
  <c r="F54" i="26"/>
  <c r="B55" i="26"/>
  <c r="D55" i="26"/>
  <c r="F55" i="26"/>
  <c r="B56" i="26"/>
  <c r="D56" i="26"/>
  <c r="F56" i="26"/>
  <c r="B57" i="26"/>
  <c r="D57" i="26"/>
  <c r="F57" i="26"/>
  <c r="B58" i="26"/>
  <c r="D58" i="26"/>
  <c r="F58" i="26"/>
  <c r="B59" i="26"/>
  <c r="D59" i="26"/>
  <c r="F59" i="26"/>
  <c r="B60" i="26"/>
  <c r="D60" i="26"/>
  <c r="F60" i="26"/>
  <c r="B61" i="26"/>
  <c r="D61" i="26"/>
  <c r="F61" i="26"/>
  <c r="B62" i="26"/>
  <c r="D62" i="26"/>
  <c r="F62" i="26"/>
  <c r="B63" i="26"/>
  <c r="D63" i="26"/>
  <c r="F63" i="26"/>
  <c r="B64" i="26"/>
  <c r="D64" i="26"/>
  <c r="F64" i="26"/>
  <c r="B65" i="26"/>
  <c r="D65" i="26"/>
  <c r="F65" i="26"/>
  <c r="B66" i="26"/>
  <c r="D66" i="26"/>
  <c r="F66" i="26"/>
  <c r="B67" i="26"/>
  <c r="D67" i="26"/>
  <c r="F67" i="26"/>
  <c r="B68" i="26"/>
  <c r="D68" i="26"/>
  <c r="F68" i="26"/>
  <c r="B69" i="26"/>
  <c r="D69" i="26"/>
  <c r="F69" i="26"/>
  <c r="B70" i="26"/>
  <c r="D70" i="26"/>
  <c r="F70" i="26"/>
  <c r="B71" i="26"/>
  <c r="D71" i="26"/>
  <c r="F71" i="26"/>
  <c r="B72" i="26"/>
  <c r="D72" i="26"/>
  <c r="F72" i="26"/>
  <c r="B73" i="26"/>
  <c r="D73" i="26"/>
  <c r="F73" i="26"/>
  <c r="B74" i="26"/>
  <c r="D74" i="26"/>
  <c r="F74" i="26"/>
  <c r="B75" i="26"/>
  <c r="D75" i="26"/>
  <c r="F75" i="26"/>
  <c r="B76" i="26"/>
  <c r="D76" i="26"/>
  <c r="F76" i="26"/>
  <c r="B77" i="26"/>
  <c r="D77" i="26"/>
  <c r="F77" i="26"/>
  <c r="B78" i="26"/>
  <c r="D78" i="26"/>
  <c r="F78" i="26"/>
  <c r="B79" i="26"/>
  <c r="D79" i="26"/>
  <c r="F79" i="26"/>
  <c r="B80" i="26"/>
  <c r="D80" i="26"/>
  <c r="F80" i="26"/>
  <c r="B81" i="26"/>
  <c r="D81" i="26"/>
  <c r="F81" i="26"/>
  <c r="B82" i="26"/>
  <c r="D82" i="26"/>
  <c r="F82" i="26"/>
  <c r="B83" i="26"/>
  <c r="D83" i="26"/>
  <c r="F83" i="26"/>
  <c r="B84" i="26"/>
  <c r="D84" i="26"/>
  <c r="F84" i="26"/>
  <c r="B85" i="26"/>
  <c r="D85" i="26"/>
  <c r="F85" i="26"/>
  <c r="B86" i="26"/>
  <c r="D86" i="26"/>
  <c r="F86" i="26"/>
  <c r="B87" i="26"/>
  <c r="D87" i="26"/>
  <c r="F87" i="26"/>
  <c r="B88" i="26"/>
  <c r="D88" i="26"/>
  <c r="F88" i="26"/>
  <c r="B89" i="26"/>
  <c r="D89" i="26"/>
  <c r="F89" i="26"/>
  <c r="B90" i="26"/>
  <c r="D90" i="26"/>
  <c r="F90" i="26"/>
  <c r="B91" i="26"/>
  <c r="D91" i="26"/>
  <c r="F91" i="26"/>
  <c r="B92" i="26"/>
  <c r="D92" i="26"/>
  <c r="F92" i="26"/>
  <c r="B93" i="26"/>
  <c r="D93" i="26"/>
  <c r="F93" i="26"/>
  <c r="B94" i="26"/>
  <c r="D94" i="26"/>
  <c r="F94" i="26"/>
  <c r="B95" i="26"/>
  <c r="D95" i="26"/>
  <c r="F95" i="26"/>
  <c r="B96" i="26"/>
  <c r="D96" i="26"/>
  <c r="F96" i="26"/>
  <c r="B97" i="26"/>
  <c r="D97" i="26"/>
  <c r="F97" i="26"/>
  <c r="B98" i="26"/>
  <c r="D98" i="26"/>
  <c r="F98" i="26"/>
  <c r="B99" i="26"/>
  <c r="D99" i="26"/>
  <c r="F99" i="26"/>
  <c r="B100" i="26"/>
  <c r="D100" i="26"/>
  <c r="F100" i="26"/>
  <c r="B101" i="26"/>
  <c r="D101" i="26"/>
  <c r="F101" i="26"/>
  <c r="B102" i="26"/>
  <c r="D102" i="26"/>
  <c r="F102" i="26"/>
  <c r="B103" i="26"/>
  <c r="D103" i="26"/>
  <c r="F103" i="26"/>
  <c r="B104" i="26"/>
  <c r="D104" i="26"/>
  <c r="F104" i="26"/>
  <c r="B105" i="26"/>
  <c r="D105" i="26"/>
  <c r="F105" i="26"/>
  <c r="B106" i="26"/>
  <c r="D106" i="26"/>
  <c r="F106" i="26"/>
  <c r="B107" i="26"/>
  <c r="D107" i="26"/>
  <c r="F107" i="26"/>
  <c r="B108" i="26"/>
  <c r="D108" i="26"/>
  <c r="F108" i="26"/>
  <c r="B109" i="26"/>
  <c r="D109" i="26"/>
  <c r="F109" i="26"/>
  <c r="B110" i="26"/>
  <c r="D110" i="26"/>
  <c r="F110" i="26"/>
  <c r="B111" i="26"/>
  <c r="D111" i="26"/>
  <c r="F111" i="26"/>
  <c r="B112" i="26"/>
  <c r="D112" i="26"/>
  <c r="F112" i="26"/>
  <c r="B113" i="26"/>
  <c r="D113" i="26"/>
  <c r="F113" i="26"/>
  <c r="B114" i="26"/>
  <c r="D114" i="26"/>
  <c r="F114" i="26"/>
  <c r="B115" i="26"/>
  <c r="D115" i="26"/>
  <c r="F115" i="26"/>
  <c r="B116" i="26"/>
  <c r="D116" i="26"/>
  <c r="F116" i="26"/>
  <c r="B117" i="26"/>
  <c r="D117" i="26"/>
  <c r="F117" i="26"/>
  <c r="B118" i="26"/>
  <c r="D118" i="26"/>
  <c r="F118" i="26"/>
  <c r="B119" i="26"/>
  <c r="D119" i="26"/>
  <c r="F119" i="26"/>
  <c r="B120" i="26"/>
  <c r="D120" i="26"/>
  <c r="F120" i="26"/>
  <c r="B121" i="26"/>
  <c r="D121" i="26"/>
  <c r="F121" i="26"/>
  <c r="B122" i="26"/>
  <c r="D122" i="26"/>
  <c r="F122" i="26"/>
  <c r="B123" i="26"/>
  <c r="D123" i="26"/>
  <c r="F123" i="26"/>
  <c r="B124" i="26"/>
  <c r="D124" i="26"/>
  <c r="F124" i="26"/>
  <c r="B125" i="26"/>
  <c r="D125" i="26"/>
  <c r="F125" i="26"/>
  <c r="B126" i="26"/>
  <c r="D126" i="26"/>
  <c r="F126" i="26"/>
  <c r="B127" i="26"/>
  <c r="D127" i="26"/>
  <c r="F127" i="26"/>
  <c r="B128" i="26"/>
  <c r="D128" i="26"/>
  <c r="F128" i="26"/>
  <c r="B129" i="26"/>
  <c r="D129" i="26"/>
  <c r="F129" i="26"/>
  <c r="B130" i="26"/>
  <c r="D130" i="26"/>
  <c r="F130" i="26"/>
  <c r="B131" i="26"/>
  <c r="D131" i="26"/>
  <c r="F131" i="26"/>
  <c r="B132" i="26"/>
  <c r="D132" i="26"/>
  <c r="F132" i="26"/>
  <c r="B133" i="26"/>
  <c r="D133" i="26"/>
  <c r="F133" i="26"/>
  <c r="B134" i="26"/>
  <c r="D134" i="26"/>
  <c r="F134" i="26"/>
  <c r="B135" i="26"/>
  <c r="D135" i="26"/>
  <c r="F135" i="26"/>
  <c r="B136" i="26"/>
  <c r="D136" i="26"/>
  <c r="F136" i="26"/>
  <c r="B137" i="26"/>
  <c r="D137" i="26"/>
  <c r="F137" i="26"/>
  <c r="B138" i="26"/>
  <c r="D138" i="26"/>
  <c r="F138" i="26"/>
  <c r="B139" i="26"/>
  <c r="D139" i="26"/>
  <c r="F139" i="26"/>
  <c r="B140" i="26"/>
  <c r="D140" i="26"/>
  <c r="F140" i="26"/>
  <c r="B141" i="26"/>
  <c r="D141" i="26"/>
  <c r="F141" i="26"/>
  <c r="B142" i="26"/>
  <c r="D142" i="26"/>
  <c r="F142" i="26"/>
  <c r="B143" i="26"/>
  <c r="D143" i="26"/>
  <c r="F143" i="26"/>
  <c r="B144" i="26"/>
  <c r="D144" i="26"/>
  <c r="F144" i="26"/>
  <c r="B145" i="26"/>
  <c r="D145" i="26"/>
  <c r="F145" i="26"/>
  <c r="B146" i="26"/>
  <c r="D146" i="26"/>
  <c r="F146" i="26"/>
  <c r="B147" i="26"/>
  <c r="D147" i="26"/>
  <c r="F147" i="26"/>
  <c r="B148" i="26"/>
  <c r="D148" i="26"/>
  <c r="F148" i="26"/>
  <c r="B149" i="26"/>
  <c r="D149" i="26"/>
  <c r="F149" i="26"/>
  <c r="B150" i="26"/>
  <c r="D150" i="26"/>
  <c r="F150" i="26"/>
  <c r="B151" i="26"/>
  <c r="D151" i="26"/>
  <c r="F151" i="26"/>
  <c r="B152" i="26"/>
  <c r="D152" i="26"/>
  <c r="F152" i="26"/>
  <c r="B153" i="26"/>
  <c r="D153" i="26"/>
  <c r="F153" i="26"/>
  <c r="B154" i="26"/>
  <c r="D154" i="26"/>
  <c r="F154" i="26"/>
  <c r="B155" i="26"/>
  <c r="D155" i="26"/>
  <c r="F155" i="26"/>
  <c r="B156" i="26"/>
  <c r="D156" i="26"/>
  <c r="F156" i="26"/>
  <c r="B157" i="26"/>
  <c r="D157" i="26"/>
  <c r="F157" i="26"/>
  <c r="B158" i="26"/>
  <c r="D158" i="26"/>
  <c r="F158" i="26"/>
  <c r="B159" i="26"/>
  <c r="D159" i="26"/>
  <c r="F159" i="26"/>
  <c r="B160" i="26"/>
  <c r="D160" i="26"/>
  <c r="F160" i="26"/>
  <c r="B161" i="26"/>
  <c r="D161" i="26"/>
  <c r="F161" i="26"/>
  <c r="B162" i="26"/>
  <c r="D162" i="26"/>
  <c r="F162" i="26"/>
  <c r="B163" i="26"/>
  <c r="D163" i="26"/>
  <c r="F163" i="26"/>
  <c r="B164" i="26"/>
  <c r="D164" i="26"/>
  <c r="F164" i="26"/>
  <c r="B165" i="26"/>
  <c r="D165" i="26"/>
  <c r="F165" i="26"/>
  <c r="B166" i="26"/>
  <c r="D166" i="26"/>
  <c r="F166" i="26"/>
  <c r="B167" i="26"/>
  <c r="D167" i="26"/>
  <c r="F167" i="26"/>
  <c r="B168" i="26"/>
  <c r="D168" i="26"/>
  <c r="F168" i="26"/>
  <c r="B169" i="26"/>
  <c r="D169" i="26"/>
  <c r="F169" i="26"/>
  <c r="B170" i="26"/>
  <c r="D170" i="26"/>
  <c r="F170" i="26"/>
  <c r="B171" i="26"/>
  <c r="D171" i="26"/>
  <c r="F171" i="26"/>
  <c r="B172" i="26"/>
  <c r="D172" i="26"/>
  <c r="F172" i="26"/>
  <c r="B173" i="26"/>
  <c r="D173" i="26"/>
  <c r="F173" i="26"/>
  <c r="B174" i="26"/>
  <c r="D174" i="26"/>
  <c r="F174" i="26"/>
  <c r="B175" i="26"/>
  <c r="D175" i="26"/>
  <c r="F175" i="26"/>
  <c r="B176" i="26"/>
  <c r="D176" i="26"/>
  <c r="F176" i="26"/>
  <c r="B177" i="26"/>
  <c r="D177" i="26"/>
  <c r="F177" i="26"/>
  <c r="B178" i="26"/>
  <c r="D178" i="26"/>
  <c r="F178" i="26"/>
  <c r="B179" i="26"/>
  <c r="D179" i="26"/>
  <c r="F179" i="26"/>
  <c r="B180" i="26"/>
  <c r="D180" i="26"/>
  <c r="F180" i="26"/>
  <c r="B181" i="26"/>
  <c r="D181" i="26"/>
  <c r="F181" i="26"/>
  <c r="B182" i="26"/>
  <c r="D182" i="26"/>
  <c r="F182" i="26"/>
  <c r="B183" i="26"/>
  <c r="D183" i="26"/>
  <c r="F183" i="26"/>
  <c r="B184" i="26"/>
  <c r="D184" i="26"/>
  <c r="F184" i="26"/>
  <c r="B185" i="26"/>
  <c r="D185" i="26"/>
  <c r="F185" i="26"/>
  <c r="B186" i="26"/>
  <c r="D186" i="26"/>
  <c r="F186" i="26"/>
  <c r="B187" i="26"/>
  <c r="D187" i="26"/>
  <c r="F187" i="26"/>
  <c r="B188" i="26"/>
  <c r="D188" i="26"/>
  <c r="F188" i="26"/>
  <c r="B189" i="26"/>
  <c r="D189" i="26"/>
  <c r="F189" i="26"/>
  <c r="B190" i="26"/>
  <c r="D190" i="26"/>
  <c r="F190" i="26"/>
  <c r="B191" i="26"/>
  <c r="D191" i="26"/>
  <c r="F191" i="26"/>
  <c r="B192" i="26"/>
  <c r="D192" i="26"/>
  <c r="F192" i="26"/>
  <c r="B193" i="26"/>
  <c r="D193" i="26"/>
  <c r="F193" i="26"/>
  <c r="B194" i="26"/>
  <c r="D194" i="26"/>
  <c r="F194" i="26"/>
  <c r="B195" i="26"/>
  <c r="D195" i="26"/>
  <c r="F195" i="26"/>
  <c r="B196" i="26"/>
  <c r="D196" i="26"/>
  <c r="F196" i="26"/>
  <c r="B197" i="26"/>
  <c r="D197" i="26"/>
  <c r="F197" i="26"/>
  <c r="B198" i="26"/>
  <c r="D198" i="26"/>
  <c r="F198" i="26"/>
  <c r="B199" i="26"/>
  <c r="D199" i="26"/>
  <c r="F199" i="26"/>
  <c r="B200" i="26"/>
  <c r="D200" i="26"/>
  <c r="F200" i="26"/>
  <c r="B201" i="26"/>
  <c r="D201" i="26"/>
  <c r="F201" i="26"/>
  <c r="B202" i="26"/>
  <c r="D202" i="26"/>
  <c r="F202" i="26"/>
  <c r="B203" i="26"/>
  <c r="D203" i="26"/>
  <c r="F203" i="26"/>
  <c r="B204" i="26"/>
  <c r="D204" i="26"/>
  <c r="F204" i="26"/>
  <c r="B205" i="26"/>
  <c r="D205" i="26"/>
  <c r="F205" i="26"/>
  <c r="B206" i="26"/>
  <c r="D206" i="26"/>
  <c r="F206" i="26"/>
  <c r="B207" i="26"/>
  <c r="D207" i="26"/>
  <c r="F207" i="26"/>
  <c r="B208" i="26"/>
  <c r="D208" i="26"/>
  <c r="F208" i="26"/>
  <c r="B209" i="26"/>
  <c r="D209" i="26"/>
  <c r="F209" i="26"/>
  <c r="B210" i="26"/>
  <c r="D210" i="26"/>
  <c r="F210" i="26"/>
  <c r="B211" i="26"/>
  <c r="D211" i="26"/>
  <c r="F211" i="26"/>
  <c r="B212" i="26"/>
  <c r="D212" i="26"/>
  <c r="F212" i="26"/>
  <c r="B213" i="26"/>
  <c r="D213" i="26"/>
  <c r="F213" i="26"/>
  <c r="B214" i="26"/>
  <c r="D214" i="26"/>
  <c r="F214" i="26"/>
  <c r="B215" i="26"/>
  <c r="D215" i="26"/>
  <c r="F215" i="26"/>
  <c r="B216" i="26"/>
  <c r="D216" i="26"/>
  <c r="F216" i="26"/>
  <c r="B217" i="26"/>
  <c r="D217" i="26"/>
  <c r="F217" i="26"/>
  <c r="B218" i="26"/>
  <c r="D218" i="26"/>
  <c r="F218" i="26"/>
  <c r="B219" i="26"/>
  <c r="D219" i="26"/>
  <c r="F219" i="26"/>
  <c r="B220" i="26"/>
  <c r="D220" i="26"/>
  <c r="F220" i="26"/>
  <c r="B221" i="26"/>
  <c r="D221" i="26"/>
  <c r="F221" i="26"/>
  <c r="B222" i="26"/>
  <c r="D222" i="26"/>
  <c r="F222" i="26"/>
  <c r="B223" i="26"/>
  <c r="D223" i="26"/>
  <c r="F223" i="26"/>
  <c r="B224" i="26"/>
  <c r="D224" i="26"/>
  <c r="F224" i="26"/>
  <c r="B225" i="26"/>
  <c r="D225" i="26"/>
  <c r="F225" i="26"/>
  <c r="B226" i="26"/>
  <c r="D226" i="26"/>
  <c r="F226" i="26"/>
  <c r="B227" i="26"/>
  <c r="D227" i="26"/>
  <c r="F227" i="26"/>
  <c r="B228" i="26"/>
  <c r="D228" i="26"/>
  <c r="F228" i="26"/>
  <c r="B229" i="26"/>
  <c r="D229" i="26"/>
  <c r="F229" i="26"/>
  <c r="B230" i="26"/>
  <c r="D230" i="26"/>
  <c r="F230" i="26"/>
  <c r="B231" i="26"/>
  <c r="D231" i="26"/>
  <c r="F231" i="26"/>
  <c r="B232" i="26"/>
  <c r="D232" i="26"/>
  <c r="F232" i="26"/>
  <c r="B233" i="26"/>
  <c r="D233" i="26"/>
  <c r="F233" i="26"/>
  <c r="B234" i="26"/>
  <c r="D234" i="26"/>
  <c r="F234" i="26"/>
  <c r="B235" i="26"/>
  <c r="D235" i="26"/>
  <c r="F235" i="26"/>
  <c r="B236" i="26"/>
  <c r="D236" i="26"/>
  <c r="F236" i="26"/>
  <c r="B237" i="26"/>
  <c r="D237" i="26"/>
  <c r="F237" i="26"/>
  <c r="B238" i="26"/>
  <c r="D238" i="26"/>
  <c r="F238" i="26"/>
  <c r="B239" i="26"/>
  <c r="D239" i="26"/>
  <c r="F239" i="26"/>
  <c r="B240" i="26"/>
  <c r="D240" i="26"/>
  <c r="F240" i="26"/>
  <c r="B241" i="26"/>
  <c r="D241" i="26"/>
  <c r="F241" i="26"/>
  <c r="B242" i="26"/>
  <c r="D242" i="26"/>
  <c r="F242" i="26"/>
  <c r="B243" i="26"/>
  <c r="D243" i="26"/>
  <c r="F243" i="26"/>
  <c r="B244" i="26"/>
  <c r="D244" i="26"/>
  <c r="F244" i="26"/>
  <c r="B245" i="26"/>
  <c r="D245" i="26"/>
  <c r="F245" i="26"/>
  <c r="B246" i="26"/>
  <c r="D246" i="26"/>
  <c r="F246" i="26"/>
  <c r="B247" i="26"/>
  <c r="D247" i="26"/>
  <c r="F247" i="26"/>
  <c r="B248" i="26"/>
  <c r="D248" i="26"/>
  <c r="F248" i="26"/>
  <c r="B249" i="26"/>
  <c r="D249" i="26"/>
  <c r="F249" i="26"/>
  <c r="B250" i="26"/>
  <c r="D250" i="26"/>
  <c r="F250" i="26"/>
  <c r="B251" i="26"/>
  <c r="D251" i="26"/>
  <c r="F251" i="26"/>
  <c r="B252" i="26"/>
  <c r="D252" i="26"/>
  <c r="F252" i="26"/>
  <c r="B253" i="26"/>
  <c r="D253" i="26"/>
  <c r="F253" i="26"/>
  <c r="B254" i="26"/>
  <c r="D254" i="26"/>
  <c r="F254" i="26"/>
  <c r="B255" i="26"/>
  <c r="D255" i="26"/>
  <c r="F255" i="26"/>
  <c r="B256" i="26"/>
  <c r="D256" i="26"/>
  <c r="F256" i="26"/>
  <c r="B257" i="26"/>
  <c r="D257" i="26"/>
  <c r="F257" i="26"/>
  <c r="B258" i="26"/>
  <c r="D258" i="26"/>
  <c r="F258" i="26"/>
  <c r="B259" i="26"/>
  <c r="D259" i="26"/>
  <c r="F259" i="26"/>
  <c r="B260" i="26"/>
  <c r="D260" i="26"/>
  <c r="F260" i="26"/>
  <c r="B261" i="26"/>
  <c r="D261" i="26"/>
  <c r="F261" i="26"/>
  <c r="B262" i="26"/>
  <c r="D262" i="26"/>
  <c r="F262" i="26"/>
  <c r="B263" i="26"/>
  <c r="D263" i="26"/>
  <c r="F263" i="26"/>
  <c r="B264" i="26"/>
  <c r="D264" i="26"/>
  <c r="F264" i="26"/>
  <c r="B265" i="26"/>
  <c r="D265" i="26"/>
  <c r="F265" i="26"/>
  <c r="B266" i="26"/>
  <c r="D266" i="26"/>
  <c r="F266" i="26"/>
  <c r="B267" i="26"/>
  <c r="D267" i="26"/>
  <c r="F267" i="26"/>
  <c r="B268" i="26"/>
  <c r="D268" i="26"/>
  <c r="F268" i="26"/>
  <c r="B269" i="26"/>
  <c r="D269" i="26"/>
  <c r="F269" i="26"/>
  <c r="B270" i="26"/>
  <c r="D270" i="26"/>
  <c r="F270" i="26"/>
  <c r="B271" i="26"/>
  <c r="D271" i="26"/>
  <c r="F271" i="26"/>
  <c r="B272" i="26"/>
  <c r="D272" i="26"/>
  <c r="F272" i="26"/>
  <c r="B273" i="26"/>
  <c r="D273" i="26"/>
  <c r="F273" i="26"/>
  <c r="B274" i="26"/>
  <c r="D274" i="26"/>
  <c r="F274" i="26"/>
  <c r="B275" i="26"/>
  <c r="D275" i="26"/>
  <c r="F275" i="26"/>
  <c r="B276" i="26"/>
  <c r="D276" i="26"/>
  <c r="F276" i="26"/>
  <c r="B277" i="26"/>
  <c r="D277" i="26"/>
  <c r="F277" i="26"/>
  <c r="B278" i="26"/>
  <c r="D278" i="26"/>
  <c r="F278" i="26"/>
  <c r="B279" i="26"/>
  <c r="D279" i="26"/>
  <c r="F279" i="26"/>
  <c r="B280" i="26"/>
  <c r="D280" i="26"/>
  <c r="F280" i="26"/>
  <c r="B281" i="26"/>
  <c r="D281" i="26"/>
  <c r="F281" i="26"/>
  <c r="B282" i="26"/>
  <c r="D282" i="26"/>
  <c r="F282" i="26"/>
  <c r="B283" i="26"/>
  <c r="D283" i="26"/>
  <c r="F283" i="26"/>
  <c r="B284" i="26"/>
  <c r="D284" i="26"/>
  <c r="F284" i="26"/>
  <c r="B285" i="26"/>
  <c r="D285" i="26"/>
  <c r="F285" i="26"/>
  <c r="B286" i="26"/>
  <c r="D286" i="26"/>
  <c r="F286" i="26"/>
  <c r="B287" i="26"/>
  <c r="D287" i="26"/>
  <c r="F287" i="26"/>
  <c r="B288" i="26"/>
  <c r="D288" i="26"/>
  <c r="F288" i="26"/>
  <c r="B289" i="26"/>
  <c r="D289" i="26"/>
  <c r="F289" i="26"/>
  <c r="B290" i="26"/>
  <c r="D290" i="26"/>
  <c r="F290" i="26"/>
  <c r="B291" i="26"/>
  <c r="D291" i="26"/>
  <c r="F291" i="26"/>
  <c r="B292" i="26"/>
  <c r="D292" i="26"/>
  <c r="F292" i="26"/>
  <c r="B293" i="26"/>
  <c r="D293" i="26"/>
  <c r="F293" i="26"/>
  <c r="B294" i="26"/>
  <c r="D294" i="26"/>
  <c r="F294" i="26"/>
  <c r="B295" i="26"/>
  <c r="D295" i="26"/>
  <c r="F295" i="26"/>
  <c r="B296" i="26"/>
  <c r="D296" i="26"/>
  <c r="F296" i="26"/>
  <c r="B297" i="26"/>
  <c r="D297" i="26"/>
  <c r="F297" i="26"/>
  <c r="B298" i="26"/>
  <c r="D298" i="26"/>
  <c r="F298" i="26"/>
  <c r="B299" i="26"/>
  <c r="D299" i="26"/>
  <c r="F299" i="26"/>
  <c r="B300" i="26"/>
  <c r="D300" i="26"/>
  <c r="F300" i="26"/>
  <c r="B301" i="26"/>
  <c r="D301" i="26"/>
  <c r="F301" i="26"/>
  <c r="B302" i="26"/>
  <c r="D302" i="26"/>
  <c r="F302" i="26"/>
  <c r="B303" i="26"/>
  <c r="D303" i="26"/>
  <c r="F303" i="26"/>
  <c r="B304" i="26"/>
  <c r="D304" i="26"/>
  <c r="F304" i="26"/>
  <c r="B305" i="26"/>
  <c r="D305" i="26"/>
  <c r="F305" i="26"/>
  <c r="B306" i="26"/>
  <c r="D306" i="26"/>
  <c r="F306" i="26"/>
  <c r="B307" i="26"/>
  <c r="D307" i="26"/>
  <c r="F307" i="26"/>
  <c r="B308" i="26"/>
  <c r="D308" i="26"/>
  <c r="F308" i="26"/>
  <c r="B309" i="26"/>
  <c r="D309" i="26"/>
  <c r="F309" i="26"/>
  <c r="B310" i="26"/>
  <c r="D310" i="26"/>
  <c r="F310" i="26"/>
  <c r="B311" i="26"/>
  <c r="D311" i="26"/>
  <c r="F311" i="26"/>
  <c r="B312" i="26"/>
  <c r="D312" i="26"/>
  <c r="F312" i="26"/>
  <c r="B313" i="26"/>
  <c r="D313" i="26"/>
  <c r="F313" i="26"/>
  <c r="B314" i="26"/>
  <c r="D314" i="26"/>
  <c r="F314" i="26"/>
  <c r="B315" i="26"/>
  <c r="D315" i="26"/>
  <c r="F315" i="26"/>
  <c r="B316" i="26"/>
  <c r="D316" i="26"/>
  <c r="F316" i="26"/>
  <c r="B317" i="26"/>
  <c r="D317" i="26"/>
  <c r="F317" i="26"/>
  <c r="B318" i="26"/>
  <c r="D318" i="26"/>
  <c r="F318" i="26"/>
  <c r="B319" i="26"/>
  <c r="D319" i="26"/>
  <c r="F319" i="26"/>
  <c r="B320" i="26"/>
  <c r="D320" i="26"/>
  <c r="F320" i="26"/>
  <c r="B321" i="26"/>
  <c r="D321" i="26"/>
  <c r="F321" i="26"/>
  <c r="B322" i="26"/>
  <c r="D322" i="26"/>
  <c r="F322" i="26"/>
  <c r="B323" i="26"/>
  <c r="D323" i="26"/>
  <c r="F323" i="26"/>
  <c r="B324" i="26"/>
  <c r="D324" i="26"/>
  <c r="F324" i="26"/>
  <c r="B325" i="26"/>
  <c r="D325" i="26"/>
  <c r="F325" i="26"/>
  <c r="B326" i="26"/>
  <c r="D326" i="26"/>
  <c r="F326" i="26"/>
  <c r="B327" i="26"/>
  <c r="D327" i="26"/>
  <c r="F327" i="26"/>
  <c r="B328" i="26"/>
  <c r="D328" i="26"/>
  <c r="F328" i="26"/>
  <c r="B329" i="26"/>
  <c r="D329" i="26"/>
  <c r="F329" i="26"/>
  <c r="B330" i="26"/>
  <c r="D330" i="26"/>
  <c r="F330" i="26"/>
  <c r="B331" i="26"/>
  <c r="D331" i="26"/>
  <c r="F331" i="26"/>
  <c r="B332" i="26"/>
  <c r="D332" i="26"/>
  <c r="F332" i="26"/>
  <c r="B333" i="26"/>
  <c r="D333" i="26"/>
  <c r="F333" i="26"/>
  <c r="B334" i="26"/>
  <c r="D334" i="26"/>
  <c r="F334" i="26"/>
  <c r="B335" i="26"/>
  <c r="D335" i="26"/>
  <c r="F335" i="26"/>
  <c r="B336" i="26"/>
  <c r="D336" i="26"/>
  <c r="F336" i="26"/>
  <c r="B337" i="26"/>
  <c r="D337" i="26"/>
  <c r="F337" i="26"/>
  <c r="B338" i="26"/>
  <c r="D338" i="26"/>
  <c r="F338" i="26"/>
  <c r="B339" i="26"/>
  <c r="D339" i="26"/>
  <c r="F339" i="26"/>
  <c r="B340" i="26"/>
  <c r="D340" i="26"/>
  <c r="F340" i="26"/>
  <c r="B341" i="26"/>
  <c r="D341" i="26"/>
  <c r="F341" i="26"/>
  <c r="B342" i="26"/>
  <c r="D342" i="26"/>
  <c r="F342" i="26"/>
  <c r="B343" i="26"/>
  <c r="D343" i="26"/>
  <c r="F343" i="26"/>
  <c r="B344" i="26"/>
  <c r="D344" i="26"/>
  <c r="F344" i="26"/>
  <c r="B345" i="26"/>
  <c r="D345" i="26"/>
  <c r="F345" i="26"/>
  <c r="B346" i="26"/>
  <c r="D346" i="26"/>
  <c r="F346" i="26"/>
  <c r="B347" i="26"/>
  <c r="D347" i="26"/>
  <c r="F347" i="26"/>
  <c r="B348" i="26"/>
  <c r="D348" i="26"/>
  <c r="F348" i="26"/>
  <c r="B349" i="26"/>
  <c r="D349" i="26"/>
  <c r="F349" i="26"/>
  <c r="B350" i="26"/>
  <c r="D350" i="26"/>
  <c r="F350" i="26"/>
  <c r="B351" i="26"/>
  <c r="D351" i="26"/>
  <c r="F351" i="26"/>
  <c r="B352" i="26"/>
  <c r="D352" i="26"/>
  <c r="F352" i="26"/>
  <c r="B353" i="26"/>
  <c r="D353" i="26"/>
  <c r="F353" i="26"/>
  <c r="B354" i="26"/>
  <c r="D354" i="26"/>
  <c r="F354" i="26"/>
  <c r="B355" i="26"/>
  <c r="D355" i="26"/>
  <c r="F355" i="26"/>
  <c r="B356" i="26"/>
  <c r="D356" i="26"/>
  <c r="F356" i="26"/>
  <c r="B357" i="26"/>
  <c r="D357" i="26"/>
  <c r="F357" i="26"/>
  <c r="B358" i="26"/>
  <c r="D358" i="26"/>
  <c r="F358" i="26"/>
  <c r="B359" i="26"/>
  <c r="D359" i="26"/>
  <c r="F359" i="26"/>
  <c r="B360" i="26"/>
  <c r="D360" i="26"/>
  <c r="F360" i="26"/>
  <c r="B361" i="26"/>
  <c r="D361" i="26"/>
  <c r="F361" i="26"/>
  <c r="B362" i="26"/>
  <c r="D362" i="26"/>
  <c r="F362" i="26"/>
  <c r="B363" i="26"/>
  <c r="D363" i="26"/>
  <c r="F363" i="26"/>
  <c r="B364" i="26"/>
  <c r="D364" i="26"/>
  <c r="F364" i="26"/>
  <c r="B365" i="26"/>
  <c r="D365" i="26"/>
  <c r="F365" i="26"/>
  <c r="B366" i="26"/>
  <c r="D366" i="26"/>
  <c r="F366" i="26"/>
  <c r="B367" i="26"/>
  <c r="D367" i="26"/>
  <c r="F367" i="26"/>
  <c r="B368" i="26"/>
  <c r="D368" i="26"/>
  <c r="F368" i="26"/>
  <c r="B369" i="26"/>
  <c r="D369" i="26"/>
  <c r="F369" i="26"/>
  <c r="B370" i="26"/>
  <c r="D370" i="26"/>
  <c r="F370" i="26"/>
  <c r="B371" i="26"/>
  <c r="D371" i="26"/>
  <c r="F371" i="26"/>
  <c r="B372" i="26"/>
  <c r="D372" i="26"/>
  <c r="F372" i="26"/>
  <c r="B373" i="26"/>
  <c r="D373" i="26"/>
  <c r="F373" i="26"/>
  <c r="B374" i="26"/>
  <c r="D374" i="26"/>
  <c r="F374" i="26"/>
  <c r="B375" i="26"/>
  <c r="D375" i="26"/>
  <c r="F375" i="26"/>
  <c r="B376" i="26"/>
  <c r="D376" i="26"/>
  <c r="F376" i="26"/>
  <c r="B377" i="26"/>
  <c r="D377" i="26"/>
  <c r="F377" i="26"/>
  <c r="B378" i="26"/>
  <c r="D378" i="26"/>
  <c r="F378" i="26"/>
  <c r="B379" i="26"/>
  <c r="D379" i="26"/>
  <c r="F379" i="26"/>
  <c r="B380" i="26"/>
  <c r="D380" i="26"/>
  <c r="F380" i="26"/>
  <c r="B381" i="26"/>
  <c r="D381" i="26"/>
  <c r="F381" i="26"/>
  <c r="B382" i="26"/>
  <c r="D382" i="26"/>
  <c r="F382" i="26"/>
  <c r="B383" i="26"/>
  <c r="D383" i="26"/>
  <c r="F383" i="26"/>
  <c r="B384" i="26"/>
  <c r="D384" i="26"/>
  <c r="F384" i="26"/>
  <c r="B385" i="26"/>
  <c r="D385" i="26"/>
  <c r="F385" i="26"/>
  <c r="B386" i="26"/>
  <c r="D386" i="26"/>
  <c r="F386" i="26"/>
  <c r="B387" i="26"/>
  <c r="D387" i="26"/>
  <c r="F387" i="26"/>
  <c r="B388" i="26"/>
  <c r="D388" i="26"/>
  <c r="F388" i="26"/>
  <c r="B389" i="26"/>
  <c r="D389" i="26"/>
  <c r="F389" i="26"/>
  <c r="B390" i="26"/>
  <c r="D390" i="26"/>
  <c r="F390" i="26"/>
  <c r="B391" i="26"/>
  <c r="D391" i="26"/>
  <c r="F391" i="26"/>
  <c r="B392" i="26"/>
  <c r="D392" i="26"/>
  <c r="F392" i="26"/>
  <c r="B393" i="26"/>
  <c r="D393" i="26"/>
  <c r="F393" i="26"/>
  <c r="B394" i="26"/>
  <c r="D394" i="26"/>
  <c r="F394" i="26"/>
  <c r="B395" i="26"/>
  <c r="D395" i="26"/>
  <c r="F395" i="26"/>
  <c r="B396" i="26"/>
  <c r="D396" i="26"/>
  <c r="F396" i="26"/>
  <c r="B397" i="26"/>
  <c r="D397" i="26"/>
  <c r="F397" i="26"/>
  <c r="B398" i="26"/>
  <c r="D398" i="26"/>
  <c r="F398" i="26"/>
  <c r="B399" i="26"/>
  <c r="D399" i="26"/>
  <c r="F399" i="26"/>
  <c r="B400" i="26"/>
  <c r="D400" i="26"/>
  <c r="F400" i="26"/>
  <c r="B401" i="26"/>
  <c r="D401" i="26"/>
  <c r="F401" i="26"/>
  <c r="B402" i="26"/>
  <c r="D402" i="26"/>
  <c r="F402" i="26"/>
  <c r="B403" i="26"/>
  <c r="D403" i="26"/>
  <c r="F403" i="26"/>
  <c r="B404" i="26"/>
  <c r="D404" i="26"/>
  <c r="F404" i="26"/>
  <c r="B405" i="26"/>
  <c r="D405" i="26"/>
  <c r="F405" i="26"/>
  <c r="B406" i="26"/>
  <c r="D406" i="26"/>
  <c r="F406" i="26"/>
  <c r="B407" i="26"/>
  <c r="D407" i="26"/>
  <c r="F407" i="26"/>
  <c r="B408" i="26"/>
  <c r="D408" i="26"/>
  <c r="F408" i="26"/>
  <c r="B409" i="26"/>
  <c r="D409" i="26"/>
  <c r="F409" i="26"/>
  <c r="B410" i="26"/>
  <c r="D410" i="26"/>
  <c r="F410" i="26"/>
  <c r="B411" i="26"/>
  <c r="D411" i="26"/>
  <c r="F411" i="26"/>
  <c r="B412" i="26"/>
  <c r="D412" i="26"/>
  <c r="F412" i="26"/>
  <c r="B413" i="26"/>
  <c r="D413" i="26"/>
  <c r="F413" i="26"/>
  <c r="B414" i="26"/>
  <c r="D414" i="26"/>
  <c r="F414" i="26"/>
  <c r="B415" i="26"/>
  <c r="D415" i="26"/>
  <c r="F415" i="26"/>
  <c r="B416" i="26"/>
  <c r="D416" i="26"/>
  <c r="F416" i="26"/>
  <c r="B417" i="26"/>
  <c r="D417" i="26"/>
  <c r="F417" i="26"/>
  <c r="B418" i="26"/>
  <c r="D418" i="26"/>
  <c r="F418" i="26"/>
  <c r="B419" i="26"/>
  <c r="D419" i="26"/>
  <c r="F419" i="26"/>
  <c r="B420" i="26"/>
  <c r="D420" i="26"/>
  <c r="F420" i="26"/>
  <c r="B421" i="26"/>
  <c r="D421" i="26"/>
  <c r="F421" i="26"/>
  <c r="B422" i="26"/>
  <c r="D422" i="26"/>
  <c r="F422" i="26"/>
  <c r="B423" i="26"/>
  <c r="D423" i="26"/>
  <c r="F423" i="26"/>
  <c r="B424" i="26"/>
  <c r="D424" i="26"/>
  <c r="F424" i="26"/>
  <c r="B425" i="26"/>
  <c r="D425" i="26"/>
  <c r="F425" i="26"/>
  <c r="B426" i="26"/>
  <c r="D426" i="26"/>
  <c r="F426" i="26"/>
  <c r="B427" i="26"/>
  <c r="D427" i="26"/>
  <c r="F427" i="26"/>
  <c r="B428" i="26"/>
  <c r="D428" i="26"/>
  <c r="F428" i="26"/>
  <c r="B429" i="26"/>
  <c r="D429" i="26"/>
  <c r="F429" i="26"/>
  <c r="B430" i="26"/>
  <c r="D430" i="26"/>
  <c r="F430" i="26"/>
  <c r="B431" i="26"/>
  <c r="D431" i="26"/>
  <c r="F431" i="26"/>
  <c r="B432" i="26"/>
  <c r="D432" i="26"/>
  <c r="F432" i="26"/>
  <c r="B433" i="26"/>
  <c r="D433" i="26"/>
  <c r="F433" i="26"/>
  <c r="B434" i="26"/>
  <c r="D434" i="26"/>
  <c r="F434" i="26"/>
  <c r="B435" i="26"/>
  <c r="D435" i="26"/>
  <c r="F435" i="26"/>
  <c r="B436" i="26"/>
  <c r="D436" i="26"/>
  <c r="F436" i="26"/>
  <c r="B437" i="26"/>
  <c r="D437" i="26"/>
  <c r="F437" i="26"/>
  <c r="B438" i="26"/>
  <c r="D438" i="26"/>
  <c r="F438" i="26"/>
  <c r="B439" i="26"/>
  <c r="D439" i="26"/>
  <c r="F439" i="26"/>
  <c r="B440" i="26"/>
  <c r="D440" i="26"/>
  <c r="F440" i="26"/>
  <c r="B441" i="26"/>
  <c r="D441" i="26"/>
  <c r="F441" i="26"/>
  <c r="B442" i="26"/>
  <c r="D442" i="26"/>
  <c r="F442" i="26"/>
  <c r="B443" i="26"/>
  <c r="D443" i="26"/>
  <c r="F443" i="26"/>
  <c r="B444" i="26"/>
  <c r="D444" i="26"/>
  <c r="F444" i="26"/>
  <c r="B445" i="26"/>
  <c r="D445" i="26"/>
  <c r="F445" i="26"/>
  <c r="B446" i="26"/>
  <c r="D446" i="26"/>
  <c r="F446" i="26"/>
  <c r="B447" i="26"/>
  <c r="D447" i="26"/>
  <c r="F447" i="26"/>
  <c r="B448" i="26"/>
  <c r="D448" i="26"/>
  <c r="F448" i="26"/>
  <c r="B449" i="26"/>
  <c r="D449" i="26"/>
  <c r="F449" i="26"/>
  <c r="B450" i="26"/>
  <c r="D450" i="26"/>
  <c r="F450" i="26"/>
  <c r="B451" i="26"/>
  <c r="D451" i="26"/>
  <c r="F451" i="26"/>
  <c r="B452" i="26"/>
  <c r="D452" i="26"/>
  <c r="F452" i="26"/>
  <c r="B453" i="26"/>
  <c r="D453" i="26"/>
  <c r="F453" i="26"/>
  <c r="B454" i="26"/>
  <c r="D454" i="26"/>
  <c r="F454" i="26"/>
  <c r="B455" i="26"/>
  <c r="D455" i="26"/>
  <c r="F455" i="26"/>
  <c r="B456" i="26"/>
  <c r="D456" i="26"/>
  <c r="F456" i="26"/>
  <c r="B457" i="26"/>
  <c r="D457" i="26"/>
  <c r="F457" i="26"/>
  <c r="B458" i="26"/>
  <c r="D458" i="26"/>
  <c r="F458" i="26"/>
  <c r="B459" i="26"/>
  <c r="D459" i="26"/>
  <c r="F459" i="26"/>
  <c r="B460" i="26"/>
  <c r="D460" i="26"/>
  <c r="F460" i="26"/>
  <c r="B461" i="26"/>
  <c r="D461" i="26"/>
  <c r="F461" i="26"/>
  <c r="B462" i="26"/>
  <c r="D462" i="26"/>
  <c r="F462" i="26"/>
  <c r="B463" i="26"/>
  <c r="D463" i="26"/>
  <c r="F463" i="26"/>
  <c r="B464" i="26"/>
  <c r="D464" i="26"/>
  <c r="F464" i="26"/>
  <c r="B465" i="26"/>
  <c r="D465" i="26"/>
  <c r="F465" i="26"/>
  <c r="B466" i="26"/>
  <c r="D466" i="26"/>
  <c r="F466" i="26"/>
  <c r="B467" i="26"/>
  <c r="D467" i="26"/>
  <c r="F467" i="26"/>
  <c r="B468" i="26"/>
  <c r="D468" i="26"/>
  <c r="F468" i="26"/>
  <c r="B469" i="26"/>
  <c r="D469" i="26"/>
  <c r="F469" i="26"/>
  <c r="B470" i="26"/>
  <c r="D470" i="26"/>
  <c r="F470" i="26"/>
  <c r="B471" i="26"/>
  <c r="D471" i="26"/>
  <c r="F471" i="26"/>
  <c r="B472" i="26"/>
  <c r="D472" i="26"/>
  <c r="F472" i="26"/>
  <c r="B473" i="26"/>
  <c r="D473" i="26"/>
  <c r="F473" i="26"/>
  <c r="B474" i="26"/>
  <c r="D474" i="26"/>
  <c r="F474" i="26"/>
  <c r="B475" i="26"/>
  <c r="D475" i="26"/>
  <c r="F475" i="26"/>
  <c r="B476" i="26"/>
  <c r="D476" i="26"/>
  <c r="F476" i="26"/>
  <c r="B477" i="26"/>
  <c r="D477" i="26"/>
  <c r="F477" i="26"/>
  <c r="B478" i="26"/>
  <c r="D478" i="26"/>
  <c r="F478" i="26"/>
  <c r="B479" i="26"/>
  <c r="D479" i="26"/>
  <c r="F479" i="26"/>
  <c r="B480" i="26"/>
  <c r="D480" i="26"/>
  <c r="F480" i="26"/>
  <c r="B481" i="26"/>
  <c r="D481" i="26"/>
  <c r="F481" i="26"/>
  <c r="B482" i="26"/>
  <c r="D482" i="26"/>
  <c r="F482" i="26"/>
  <c r="B483" i="26"/>
  <c r="D483" i="26"/>
  <c r="F483" i="26"/>
  <c r="B484" i="26"/>
  <c r="D484" i="26"/>
  <c r="F484" i="26"/>
  <c r="B485" i="26"/>
  <c r="D485" i="26"/>
  <c r="F485" i="26"/>
  <c r="B486" i="26"/>
  <c r="D486" i="26"/>
  <c r="F486" i="26"/>
  <c r="B487" i="26"/>
  <c r="D487" i="26"/>
  <c r="F487" i="26"/>
  <c r="B488" i="26"/>
  <c r="D488" i="26"/>
  <c r="F488" i="26"/>
  <c r="B489" i="26"/>
  <c r="D489" i="26"/>
  <c r="F489" i="26"/>
  <c r="B490" i="26"/>
  <c r="D490" i="26"/>
  <c r="F490" i="26"/>
  <c r="B491" i="26"/>
  <c r="D491" i="26"/>
  <c r="F491" i="26"/>
  <c r="B492" i="26"/>
  <c r="D492" i="26"/>
  <c r="F492" i="26"/>
  <c r="B493" i="26"/>
  <c r="D493" i="26"/>
  <c r="F493" i="26"/>
  <c r="B494" i="26"/>
  <c r="D494" i="26"/>
  <c r="F494" i="26"/>
  <c r="B495" i="26"/>
  <c r="D495" i="26"/>
  <c r="F495" i="26"/>
  <c r="B496" i="26"/>
  <c r="D496" i="26"/>
  <c r="F496" i="26"/>
  <c r="B497" i="26"/>
  <c r="D497" i="26"/>
  <c r="F497" i="26"/>
  <c r="B498" i="26"/>
  <c r="D498" i="26"/>
  <c r="F498" i="26"/>
  <c r="B499" i="26"/>
  <c r="D499" i="26"/>
  <c r="F499" i="26"/>
  <c r="B500" i="26"/>
  <c r="D500" i="26"/>
  <c r="F500" i="26"/>
  <c r="B501" i="26"/>
  <c r="D501" i="26"/>
  <c r="F501" i="26"/>
  <c r="B502" i="26"/>
  <c r="D502" i="26"/>
  <c r="F502" i="26"/>
  <c r="B503" i="26"/>
  <c r="D503" i="26"/>
  <c r="F503" i="26"/>
  <c r="B504" i="26"/>
  <c r="D504" i="26"/>
  <c r="F504" i="26"/>
  <c r="B505" i="26"/>
  <c r="D505" i="26"/>
  <c r="F505" i="26"/>
  <c r="B506" i="26"/>
  <c r="D506" i="26"/>
  <c r="F506" i="26"/>
  <c r="B507" i="26"/>
  <c r="D507" i="26"/>
  <c r="F507" i="26"/>
  <c r="B508" i="26"/>
  <c r="D508" i="26"/>
  <c r="F508" i="26"/>
  <c r="B509" i="26"/>
  <c r="D509" i="26"/>
  <c r="F509" i="26"/>
  <c r="B510" i="26"/>
  <c r="D510" i="26"/>
  <c r="F510" i="26"/>
  <c r="B511" i="26"/>
  <c r="D511" i="26"/>
  <c r="F511" i="26"/>
  <c r="B512" i="26"/>
  <c r="D512" i="26"/>
  <c r="F512" i="26"/>
  <c r="B513" i="26"/>
  <c r="D513" i="26"/>
  <c r="F513" i="26"/>
  <c r="B514" i="26"/>
  <c r="D514" i="26"/>
  <c r="F514" i="26"/>
  <c r="B515" i="26"/>
  <c r="D515" i="26"/>
  <c r="F515" i="26"/>
  <c r="B516" i="26"/>
  <c r="D516" i="26"/>
  <c r="F516" i="26"/>
  <c r="B517" i="26"/>
  <c r="D517" i="26"/>
  <c r="F517" i="26"/>
  <c r="B518" i="26"/>
  <c r="D518" i="26"/>
  <c r="F518" i="26"/>
  <c r="B519" i="26"/>
  <c r="D519" i="26"/>
  <c r="F519" i="26"/>
  <c r="B520" i="26"/>
  <c r="D520" i="26"/>
  <c r="F520" i="26"/>
  <c r="B521" i="26"/>
  <c r="D521" i="26"/>
  <c r="F521" i="26"/>
  <c r="B522" i="26"/>
  <c r="D522" i="26"/>
  <c r="F522" i="26"/>
  <c r="B523" i="26"/>
  <c r="D523" i="26"/>
  <c r="F523" i="26"/>
  <c r="B524" i="26"/>
  <c r="D524" i="26"/>
  <c r="F524" i="26"/>
  <c r="B525" i="26"/>
  <c r="D525" i="26"/>
  <c r="F525" i="26"/>
  <c r="B526" i="26"/>
  <c r="D526" i="26"/>
  <c r="F526" i="26"/>
  <c r="B527" i="26"/>
  <c r="D527" i="26"/>
  <c r="F527" i="26"/>
  <c r="B528" i="26"/>
  <c r="D528" i="26"/>
  <c r="F528" i="26"/>
  <c r="B529" i="26"/>
  <c r="D529" i="26"/>
  <c r="F529" i="26"/>
  <c r="B530" i="26"/>
  <c r="D530" i="26"/>
  <c r="F530" i="26"/>
  <c r="B531" i="26"/>
  <c r="D531" i="26"/>
  <c r="F531" i="26"/>
  <c r="B532" i="26"/>
  <c r="D532" i="26"/>
  <c r="F532" i="26"/>
  <c r="B533" i="26"/>
  <c r="D533" i="26"/>
  <c r="F533" i="26"/>
  <c r="B534" i="26"/>
  <c r="D534" i="26"/>
  <c r="F534" i="26"/>
  <c r="B535" i="26"/>
  <c r="D535" i="26"/>
  <c r="F535" i="26"/>
  <c r="B536" i="26"/>
  <c r="D536" i="26"/>
  <c r="F536" i="26"/>
  <c r="B537" i="26"/>
  <c r="D537" i="26"/>
  <c r="F537" i="26"/>
  <c r="B538" i="26"/>
  <c r="D538" i="26"/>
  <c r="F538" i="26"/>
  <c r="B539" i="26"/>
  <c r="D539" i="26"/>
  <c r="F539" i="26"/>
  <c r="B540" i="26"/>
  <c r="D540" i="26"/>
  <c r="F540" i="26"/>
  <c r="B541" i="26"/>
  <c r="D541" i="26"/>
  <c r="F541" i="26"/>
  <c r="B542" i="26"/>
  <c r="D542" i="26"/>
  <c r="F542" i="26"/>
  <c r="B543" i="26"/>
  <c r="D543" i="26"/>
  <c r="F543" i="26"/>
  <c r="B544" i="26"/>
  <c r="D544" i="26"/>
  <c r="F544" i="26"/>
  <c r="B545" i="26"/>
  <c r="D545" i="26"/>
  <c r="F545" i="26"/>
  <c r="B546" i="26"/>
  <c r="D546" i="26"/>
  <c r="F546" i="26"/>
  <c r="B18" i="23"/>
  <c r="D18" i="23"/>
  <c r="H18" i="23"/>
  <c r="B19" i="23"/>
  <c r="D19" i="23"/>
  <c r="H19" i="23"/>
  <c r="B20" i="23"/>
  <c r="D20" i="23"/>
  <c r="H20" i="23"/>
  <c r="B21" i="23"/>
  <c r="D21" i="23"/>
  <c r="H21" i="23"/>
  <c r="B22" i="23"/>
  <c r="D22" i="23"/>
  <c r="H22" i="23"/>
  <c r="B23" i="23"/>
  <c r="D23" i="23"/>
  <c r="H23" i="23"/>
  <c r="B24" i="23"/>
  <c r="D24" i="23"/>
  <c r="H24" i="23"/>
  <c r="B25" i="23"/>
  <c r="D25" i="23"/>
  <c r="H25" i="23"/>
  <c r="B26" i="23"/>
  <c r="D26" i="23"/>
  <c r="H26" i="23"/>
  <c r="B27" i="23"/>
  <c r="D27" i="23"/>
  <c r="H27" i="23"/>
  <c r="B28" i="23"/>
  <c r="D28" i="23"/>
  <c r="H28" i="23"/>
  <c r="B29" i="23"/>
  <c r="D29" i="23"/>
  <c r="H29" i="23"/>
  <c r="B30" i="23"/>
  <c r="D30" i="23"/>
  <c r="H30" i="23"/>
  <c r="B31" i="23"/>
  <c r="D31" i="23"/>
  <c r="H31" i="23"/>
  <c r="B32" i="23"/>
  <c r="D32" i="23"/>
  <c r="H32" i="23"/>
  <c r="B33" i="23"/>
  <c r="D33" i="23"/>
  <c r="H33" i="23"/>
  <c r="B34" i="23"/>
  <c r="D34" i="23"/>
  <c r="H34" i="23"/>
  <c r="B35" i="23"/>
  <c r="D35" i="23"/>
  <c r="H35" i="23"/>
  <c r="B36" i="23"/>
  <c r="D36" i="23"/>
  <c r="H36" i="23"/>
  <c r="B37" i="23"/>
  <c r="D37" i="23"/>
  <c r="H37" i="23"/>
  <c r="B38" i="23"/>
  <c r="D38" i="23"/>
  <c r="H38" i="23"/>
  <c r="B39" i="23"/>
  <c r="D39" i="23"/>
  <c r="H39" i="23"/>
  <c r="B40" i="23"/>
  <c r="D40" i="23"/>
  <c r="H40" i="23"/>
  <c r="B41" i="23"/>
  <c r="D41" i="23"/>
  <c r="H41" i="23"/>
  <c r="B42" i="23"/>
  <c r="D42" i="23"/>
  <c r="H42" i="23"/>
  <c r="B43" i="23"/>
  <c r="D43" i="23"/>
  <c r="H43" i="23"/>
  <c r="B44" i="23"/>
  <c r="D44" i="23"/>
  <c r="H44" i="23"/>
  <c r="B45" i="23"/>
  <c r="D45" i="23"/>
  <c r="H45" i="23"/>
  <c r="B46" i="23"/>
  <c r="D46" i="23"/>
  <c r="H46" i="23"/>
  <c r="B47" i="23"/>
  <c r="D47" i="23"/>
  <c r="H47" i="23"/>
  <c r="B48" i="23"/>
  <c r="D48" i="23"/>
  <c r="H48" i="23"/>
  <c r="B49" i="23"/>
  <c r="D49" i="23"/>
  <c r="H49" i="23"/>
  <c r="B50" i="23"/>
  <c r="D50" i="23"/>
  <c r="H50" i="23"/>
  <c r="B51" i="23"/>
  <c r="D51" i="23"/>
  <c r="H51" i="23"/>
  <c r="B52" i="23"/>
  <c r="D52" i="23"/>
  <c r="H52" i="23"/>
  <c r="B53" i="23"/>
  <c r="D53" i="23"/>
  <c r="H53" i="23"/>
  <c r="B54" i="23"/>
  <c r="D54" i="23"/>
  <c r="H54" i="23"/>
  <c r="B55" i="23"/>
  <c r="D55" i="23"/>
  <c r="H55" i="23"/>
  <c r="B56" i="23"/>
  <c r="D56" i="23"/>
  <c r="H56" i="23"/>
  <c r="B57" i="23"/>
  <c r="D57" i="23"/>
  <c r="H57" i="23"/>
  <c r="B58" i="23"/>
  <c r="D58" i="23"/>
  <c r="H58" i="23"/>
  <c r="B59" i="23"/>
  <c r="D59" i="23"/>
  <c r="H59" i="23"/>
  <c r="B60" i="23"/>
  <c r="D60" i="23"/>
  <c r="H60" i="23"/>
  <c r="B61" i="23"/>
  <c r="D61" i="23"/>
  <c r="H61" i="23"/>
  <c r="B62" i="23"/>
  <c r="D62" i="23"/>
  <c r="H62" i="23"/>
  <c r="B63" i="23"/>
  <c r="D63" i="23"/>
  <c r="H63" i="23"/>
  <c r="B64" i="23"/>
  <c r="D64" i="23"/>
  <c r="H64" i="23"/>
  <c r="B65" i="23"/>
  <c r="D65" i="23"/>
  <c r="H65" i="23"/>
  <c r="B66" i="23"/>
  <c r="D66" i="23"/>
  <c r="H66" i="23"/>
  <c r="B67" i="23"/>
  <c r="D67" i="23"/>
  <c r="H67" i="23"/>
  <c r="B68" i="23"/>
  <c r="D68" i="23"/>
  <c r="H68" i="23"/>
  <c r="B69" i="23"/>
  <c r="D69" i="23"/>
  <c r="H69" i="23"/>
  <c r="B70" i="23"/>
  <c r="D70" i="23"/>
  <c r="H70" i="23"/>
  <c r="B71" i="23"/>
  <c r="D71" i="23"/>
  <c r="H71" i="23"/>
  <c r="B72" i="23"/>
  <c r="D72" i="23"/>
  <c r="H72" i="23"/>
  <c r="B73" i="23"/>
  <c r="D73" i="23"/>
  <c r="H73" i="23"/>
  <c r="B74" i="23"/>
  <c r="D74" i="23"/>
  <c r="H74" i="23"/>
  <c r="B75" i="23"/>
  <c r="D75" i="23"/>
  <c r="H75" i="23"/>
  <c r="B76" i="23"/>
  <c r="D76" i="23"/>
  <c r="H76" i="23"/>
  <c r="B77" i="23"/>
  <c r="D77" i="23"/>
  <c r="H77" i="23"/>
  <c r="B78" i="23"/>
  <c r="D78" i="23"/>
  <c r="H78" i="23"/>
  <c r="B79" i="23"/>
  <c r="D79" i="23"/>
  <c r="H79" i="23"/>
  <c r="B80" i="23"/>
  <c r="D80" i="23"/>
  <c r="H80" i="23"/>
  <c r="B81" i="23"/>
  <c r="D81" i="23"/>
  <c r="H81" i="23"/>
  <c r="B82" i="23"/>
  <c r="D82" i="23"/>
  <c r="H82" i="23"/>
  <c r="B83" i="23"/>
  <c r="D83" i="23"/>
  <c r="H83" i="23"/>
  <c r="B84" i="23"/>
  <c r="D84" i="23"/>
  <c r="H84" i="23"/>
  <c r="B85" i="23"/>
  <c r="D85" i="23"/>
  <c r="H85" i="23"/>
  <c r="B86" i="23"/>
  <c r="D86" i="23"/>
  <c r="H86" i="23"/>
  <c r="B87" i="23"/>
  <c r="D87" i="23"/>
  <c r="H87" i="23"/>
  <c r="B88" i="23"/>
  <c r="D88" i="23"/>
  <c r="H88" i="23"/>
  <c r="B89" i="23"/>
  <c r="D89" i="23"/>
  <c r="H89" i="23"/>
  <c r="B90" i="23"/>
  <c r="D90" i="23"/>
  <c r="H90" i="23"/>
  <c r="B91" i="23"/>
  <c r="D91" i="23"/>
  <c r="H91" i="23"/>
  <c r="B92" i="23"/>
  <c r="D92" i="23"/>
  <c r="H92" i="23"/>
  <c r="B93" i="23"/>
  <c r="D93" i="23"/>
  <c r="H93" i="23"/>
  <c r="B94" i="23"/>
  <c r="D94" i="23"/>
  <c r="H94" i="23"/>
  <c r="B95" i="23"/>
  <c r="D95" i="23"/>
  <c r="H95" i="23"/>
  <c r="B96" i="23"/>
  <c r="D96" i="23"/>
  <c r="H96" i="23"/>
  <c r="B97" i="23"/>
  <c r="D97" i="23"/>
  <c r="H97" i="23"/>
  <c r="B98" i="23"/>
  <c r="D98" i="23"/>
  <c r="H98" i="23"/>
  <c r="B99" i="23"/>
  <c r="D99" i="23"/>
  <c r="H99" i="23"/>
  <c r="B100" i="23"/>
  <c r="D100" i="23"/>
  <c r="H100" i="23"/>
  <c r="B101" i="23"/>
  <c r="D101" i="23"/>
  <c r="H101" i="23"/>
  <c r="B102" i="23"/>
  <c r="D102" i="23"/>
  <c r="H102" i="23"/>
  <c r="B103" i="23"/>
  <c r="D103" i="23"/>
  <c r="H103" i="23"/>
  <c r="B104" i="23"/>
  <c r="D104" i="23"/>
  <c r="H104" i="23"/>
  <c r="B105" i="23"/>
  <c r="D105" i="23"/>
  <c r="H105" i="23"/>
  <c r="B106" i="23"/>
  <c r="D106" i="23"/>
  <c r="H106" i="23"/>
  <c r="B107" i="23"/>
  <c r="D107" i="23"/>
  <c r="H107" i="23"/>
  <c r="B108" i="23"/>
  <c r="D108" i="23"/>
  <c r="H108" i="23"/>
  <c r="B109" i="23"/>
  <c r="D109" i="23"/>
  <c r="H109" i="23"/>
  <c r="B110" i="23"/>
  <c r="D110" i="23"/>
  <c r="H110" i="23"/>
  <c r="B111" i="23"/>
  <c r="D111" i="23"/>
  <c r="H111" i="23"/>
  <c r="B112" i="23"/>
  <c r="D112" i="23"/>
  <c r="H112" i="23"/>
  <c r="B113" i="23"/>
  <c r="D113" i="23"/>
  <c r="H113" i="23"/>
  <c r="B114" i="23"/>
  <c r="D114" i="23"/>
  <c r="H114" i="23"/>
  <c r="B115" i="23"/>
  <c r="D115" i="23"/>
  <c r="H115" i="23"/>
  <c r="B116" i="23"/>
  <c r="D116" i="23"/>
  <c r="H116" i="23"/>
  <c r="B117" i="23"/>
  <c r="D117" i="23"/>
  <c r="H117" i="23"/>
  <c r="B118" i="23"/>
  <c r="D118" i="23"/>
  <c r="H118" i="23"/>
  <c r="B119" i="23"/>
  <c r="D119" i="23"/>
  <c r="H119" i="23"/>
  <c r="B120" i="23"/>
  <c r="D120" i="23"/>
  <c r="H120" i="23"/>
  <c r="B121" i="23"/>
  <c r="D121" i="23"/>
  <c r="H121" i="23"/>
  <c r="B122" i="23"/>
  <c r="D122" i="23"/>
  <c r="H122" i="23"/>
  <c r="B123" i="23"/>
  <c r="D123" i="23"/>
  <c r="H123" i="23"/>
  <c r="B124" i="23"/>
  <c r="D124" i="23"/>
  <c r="H124" i="23"/>
  <c r="B125" i="23"/>
  <c r="D125" i="23"/>
  <c r="H125" i="23"/>
  <c r="B126" i="23"/>
  <c r="D126" i="23"/>
  <c r="H126" i="23"/>
  <c r="B127" i="23"/>
  <c r="D127" i="23"/>
  <c r="H127" i="23"/>
  <c r="B128" i="23"/>
  <c r="D128" i="23"/>
  <c r="H128" i="23"/>
  <c r="B129" i="23"/>
  <c r="D129" i="23"/>
  <c r="H129" i="23"/>
  <c r="B130" i="23"/>
  <c r="D130" i="23"/>
  <c r="H130" i="23"/>
  <c r="B131" i="23"/>
  <c r="D131" i="23"/>
  <c r="H131" i="23"/>
  <c r="B132" i="23"/>
  <c r="D132" i="23"/>
  <c r="H132" i="23"/>
  <c r="B133" i="23"/>
  <c r="D133" i="23"/>
  <c r="H133" i="23"/>
  <c r="B134" i="23"/>
  <c r="D134" i="23"/>
  <c r="H134" i="23"/>
  <c r="B135" i="23"/>
  <c r="D135" i="23"/>
  <c r="H135" i="23"/>
  <c r="B136" i="23"/>
  <c r="D136" i="23"/>
  <c r="H136" i="23"/>
  <c r="B137" i="23"/>
  <c r="D137" i="23"/>
  <c r="H137" i="23"/>
  <c r="B138" i="23"/>
  <c r="D138" i="23"/>
  <c r="H138" i="23"/>
  <c r="B139" i="23"/>
  <c r="D139" i="23"/>
  <c r="H139" i="23"/>
  <c r="B140" i="23"/>
  <c r="D140" i="23"/>
  <c r="H140" i="23"/>
  <c r="B141" i="23"/>
  <c r="D141" i="23"/>
  <c r="H141" i="23"/>
  <c r="B142" i="23"/>
  <c r="D142" i="23"/>
  <c r="H142" i="23"/>
  <c r="B143" i="23"/>
  <c r="D143" i="23"/>
  <c r="H143" i="23"/>
  <c r="B144" i="23"/>
  <c r="D144" i="23"/>
  <c r="H144" i="23"/>
  <c r="B145" i="23"/>
  <c r="D145" i="23"/>
  <c r="H145" i="23"/>
  <c r="B146" i="23"/>
  <c r="D146" i="23"/>
  <c r="H146" i="23"/>
  <c r="B147" i="23"/>
  <c r="D147" i="23"/>
  <c r="H147" i="23"/>
  <c r="B148" i="23"/>
  <c r="D148" i="23"/>
  <c r="H148" i="23"/>
  <c r="B149" i="23"/>
  <c r="D149" i="23"/>
  <c r="H149" i="23"/>
  <c r="B150" i="23"/>
  <c r="D150" i="23"/>
  <c r="H150" i="23"/>
  <c r="B151" i="23"/>
  <c r="D151" i="23"/>
  <c r="H151" i="23"/>
  <c r="B152" i="23"/>
  <c r="D152" i="23"/>
  <c r="H152" i="23"/>
  <c r="B153" i="23"/>
  <c r="D153" i="23"/>
  <c r="H153" i="23"/>
  <c r="B154" i="23"/>
  <c r="D154" i="23"/>
  <c r="H154" i="23"/>
  <c r="B155" i="23"/>
  <c r="D155" i="23"/>
  <c r="H155" i="23"/>
  <c r="B156" i="23"/>
  <c r="D156" i="23"/>
  <c r="H156" i="23"/>
  <c r="B157" i="23"/>
  <c r="D157" i="23"/>
  <c r="H157" i="23"/>
  <c r="B158" i="23"/>
  <c r="D158" i="23"/>
  <c r="H158" i="23"/>
  <c r="B159" i="23"/>
  <c r="D159" i="23"/>
  <c r="H159" i="23"/>
  <c r="B160" i="23"/>
  <c r="D160" i="23"/>
  <c r="H160" i="23"/>
  <c r="B161" i="23"/>
  <c r="D161" i="23"/>
  <c r="H161" i="23"/>
  <c r="B162" i="23"/>
  <c r="D162" i="23"/>
  <c r="H162" i="23"/>
  <c r="B163" i="23"/>
  <c r="D163" i="23"/>
  <c r="H163" i="23"/>
  <c r="B164" i="23"/>
  <c r="D164" i="23"/>
  <c r="H164" i="23"/>
  <c r="B165" i="23"/>
  <c r="D165" i="23"/>
  <c r="H165" i="23"/>
  <c r="B166" i="23"/>
  <c r="D166" i="23"/>
  <c r="H166" i="23"/>
  <c r="B167" i="23"/>
  <c r="D167" i="23"/>
  <c r="H167" i="23"/>
  <c r="B168" i="23"/>
  <c r="D168" i="23"/>
  <c r="H168" i="23"/>
  <c r="B169" i="23"/>
  <c r="D169" i="23"/>
  <c r="H169" i="23"/>
  <c r="B170" i="23"/>
  <c r="D170" i="23"/>
  <c r="H170" i="23"/>
  <c r="B171" i="23"/>
  <c r="D171" i="23"/>
  <c r="H171" i="23"/>
  <c r="B172" i="23"/>
  <c r="D172" i="23"/>
  <c r="H172" i="23"/>
  <c r="B173" i="23"/>
  <c r="D173" i="23"/>
  <c r="H173" i="23"/>
  <c r="B174" i="23"/>
  <c r="D174" i="23"/>
  <c r="H174" i="23"/>
  <c r="B175" i="23"/>
  <c r="D175" i="23"/>
  <c r="H175" i="23"/>
  <c r="B176" i="23"/>
  <c r="D176" i="23"/>
  <c r="H176" i="23"/>
  <c r="B177" i="23"/>
  <c r="D177" i="23"/>
  <c r="H177" i="23"/>
  <c r="B178" i="23"/>
  <c r="D178" i="23"/>
  <c r="H178" i="23"/>
  <c r="B179" i="23"/>
  <c r="D179" i="23"/>
  <c r="H179" i="23"/>
  <c r="B180" i="23"/>
  <c r="D180" i="23"/>
  <c r="H180" i="23"/>
  <c r="B181" i="23"/>
  <c r="D181" i="23"/>
  <c r="H181" i="23"/>
  <c r="B182" i="23"/>
  <c r="D182" i="23"/>
  <c r="H182" i="23"/>
  <c r="B183" i="23"/>
  <c r="D183" i="23"/>
  <c r="H183" i="23"/>
  <c r="B184" i="23"/>
  <c r="D184" i="23"/>
  <c r="H184" i="23"/>
  <c r="B185" i="23"/>
  <c r="D185" i="23"/>
  <c r="H185" i="23"/>
  <c r="B186" i="23"/>
  <c r="D186" i="23"/>
  <c r="H186" i="23"/>
  <c r="B187" i="23"/>
  <c r="D187" i="23"/>
  <c r="H187" i="23"/>
  <c r="B188" i="23"/>
  <c r="D188" i="23"/>
  <c r="H188" i="23"/>
  <c r="B189" i="23"/>
  <c r="D189" i="23"/>
  <c r="H189" i="23"/>
  <c r="B190" i="23"/>
  <c r="D190" i="23"/>
  <c r="H190" i="23"/>
  <c r="B191" i="23"/>
  <c r="D191" i="23"/>
  <c r="H191" i="23"/>
  <c r="B192" i="23"/>
  <c r="D192" i="23"/>
  <c r="H192" i="23"/>
  <c r="B193" i="23"/>
  <c r="D193" i="23"/>
  <c r="H193" i="23"/>
  <c r="B194" i="23"/>
  <c r="D194" i="23"/>
  <c r="H194" i="23"/>
  <c r="B195" i="23"/>
  <c r="D195" i="23"/>
  <c r="H195" i="23"/>
  <c r="B196" i="23"/>
  <c r="D196" i="23"/>
  <c r="H196" i="23"/>
  <c r="B197" i="23"/>
  <c r="D197" i="23"/>
  <c r="H197" i="23"/>
  <c r="B198" i="23"/>
  <c r="D198" i="23"/>
  <c r="H198" i="23"/>
  <c r="B199" i="23"/>
  <c r="D199" i="23"/>
  <c r="H199" i="23"/>
  <c r="B200" i="23"/>
  <c r="D200" i="23"/>
  <c r="H200" i="23"/>
  <c r="B201" i="23"/>
  <c r="D201" i="23"/>
  <c r="H201" i="23"/>
  <c r="B202" i="23"/>
  <c r="D202" i="23"/>
  <c r="H202" i="23"/>
  <c r="B203" i="23"/>
  <c r="D203" i="23"/>
  <c r="H203" i="23"/>
  <c r="B204" i="23"/>
  <c r="D204" i="23"/>
  <c r="H204" i="23"/>
  <c r="B205" i="23"/>
  <c r="D205" i="23"/>
  <c r="H205" i="23"/>
  <c r="B206" i="23"/>
  <c r="D206" i="23"/>
  <c r="H206" i="23"/>
  <c r="B207" i="23"/>
  <c r="D207" i="23"/>
  <c r="H207" i="23"/>
  <c r="B208" i="23"/>
  <c r="D208" i="23"/>
  <c r="H208" i="23"/>
  <c r="B209" i="23"/>
  <c r="D209" i="23"/>
  <c r="H209" i="23"/>
  <c r="B210" i="23"/>
  <c r="D210" i="23"/>
  <c r="H210" i="23"/>
  <c r="B211" i="23"/>
  <c r="D211" i="23"/>
  <c r="H211" i="23"/>
  <c r="B212" i="23"/>
  <c r="D212" i="23"/>
  <c r="H212" i="23"/>
  <c r="B213" i="23"/>
  <c r="D213" i="23"/>
  <c r="H213" i="23"/>
  <c r="B214" i="23"/>
  <c r="D214" i="23"/>
  <c r="H214" i="23"/>
  <c r="B215" i="23"/>
  <c r="D215" i="23"/>
  <c r="H215" i="23"/>
  <c r="B216" i="23"/>
  <c r="D216" i="23"/>
  <c r="H216" i="23"/>
  <c r="B217" i="23"/>
  <c r="D217" i="23"/>
  <c r="H217" i="23"/>
  <c r="B218" i="23"/>
  <c r="D218" i="23"/>
  <c r="H218" i="23"/>
  <c r="B219" i="23"/>
  <c r="D219" i="23"/>
  <c r="H219" i="23"/>
  <c r="B220" i="23"/>
  <c r="D220" i="23"/>
  <c r="H220" i="23"/>
  <c r="B221" i="23"/>
  <c r="D221" i="23"/>
  <c r="H221" i="23"/>
  <c r="B222" i="23"/>
  <c r="D222" i="23"/>
  <c r="H222" i="23"/>
  <c r="B223" i="23"/>
  <c r="D223" i="23"/>
  <c r="H223" i="23"/>
  <c r="B224" i="23"/>
  <c r="D224" i="23"/>
  <c r="H224" i="23"/>
  <c r="B225" i="23"/>
  <c r="D225" i="23"/>
  <c r="H225" i="23"/>
  <c r="B226" i="23"/>
  <c r="D226" i="23"/>
  <c r="H226" i="23"/>
  <c r="B227" i="23"/>
  <c r="D227" i="23"/>
  <c r="H227" i="23"/>
  <c r="B228" i="23"/>
  <c r="D228" i="23"/>
  <c r="H228" i="23"/>
  <c r="B229" i="23"/>
  <c r="D229" i="23"/>
  <c r="H229" i="23"/>
  <c r="B230" i="23"/>
  <c r="D230" i="23"/>
  <c r="H230" i="23"/>
  <c r="B231" i="23"/>
  <c r="D231" i="23"/>
  <c r="H231" i="23"/>
  <c r="B232" i="23"/>
  <c r="D232" i="23"/>
  <c r="H232" i="23"/>
  <c r="B233" i="23"/>
  <c r="D233" i="23"/>
  <c r="H233" i="23"/>
  <c r="B234" i="23"/>
  <c r="D234" i="23"/>
  <c r="H234" i="23"/>
  <c r="B235" i="23"/>
  <c r="D235" i="23"/>
  <c r="H235" i="23"/>
  <c r="B236" i="23"/>
  <c r="D236" i="23"/>
  <c r="H236" i="23"/>
  <c r="B237" i="23"/>
  <c r="D237" i="23"/>
  <c r="H237" i="23"/>
  <c r="B238" i="23"/>
  <c r="D238" i="23"/>
  <c r="H238" i="23"/>
  <c r="B239" i="23"/>
  <c r="D239" i="23"/>
  <c r="H239" i="23"/>
  <c r="B240" i="23"/>
  <c r="D240" i="23"/>
  <c r="H240" i="23"/>
  <c r="B241" i="23"/>
  <c r="D241" i="23"/>
  <c r="H241" i="23"/>
  <c r="B242" i="23"/>
  <c r="D242" i="23"/>
  <c r="H242" i="23"/>
  <c r="B243" i="23"/>
  <c r="D243" i="23"/>
  <c r="H243" i="23"/>
  <c r="B244" i="23"/>
  <c r="D244" i="23"/>
  <c r="H244" i="23"/>
  <c r="B245" i="23"/>
  <c r="D245" i="23"/>
  <c r="H245" i="23"/>
  <c r="B246" i="23"/>
  <c r="D246" i="23"/>
  <c r="H246" i="23"/>
  <c r="B247" i="23"/>
  <c r="D247" i="23"/>
  <c r="H247" i="23"/>
  <c r="B248" i="23"/>
  <c r="D248" i="23"/>
  <c r="H248" i="23"/>
  <c r="B249" i="23"/>
  <c r="D249" i="23"/>
  <c r="H249" i="23"/>
  <c r="B250" i="23"/>
  <c r="D250" i="23"/>
  <c r="H250" i="23"/>
  <c r="B251" i="23"/>
  <c r="D251" i="23"/>
  <c r="H251" i="23"/>
  <c r="B252" i="23"/>
  <c r="D252" i="23"/>
  <c r="H252" i="23"/>
  <c r="B253" i="23"/>
  <c r="D253" i="23"/>
  <c r="H253" i="23"/>
  <c r="B254" i="23"/>
  <c r="D254" i="23"/>
  <c r="H254" i="23"/>
  <c r="B255" i="23"/>
  <c r="D255" i="23"/>
  <c r="H255" i="23"/>
  <c r="B256" i="23"/>
  <c r="D256" i="23"/>
  <c r="H256" i="23"/>
  <c r="B257" i="23"/>
  <c r="D257" i="23"/>
  <c r="H257" i="23"/>
  <c r="B258" i="23"/>
  <c r="D258" i="23"/>
  <c r="H258" i="23"/>
  <c r="B259" i="23"/>
  <c r="D259" i="23"/>
  <c r="H259" i="23"/>
  <c r="B260" i="23"/>
  <c r="D260" i="23"/>
  <c r="H260" i="23"/>
  <c r="B261" i="23"/>
  <c r="D261" i="23"/>
  <c r="H261" i="23"/>
  <c r="B262" i="23"/>
  <c r="D262" i="23"/>
  <c r="H262" i="23"/>
  <c r="B263" i="23"/>
  <c r="D263" i="23"/>
  <c r="H263" i="23"/>
  <c r="B264" i="23"/>
  <c r="D264" i="23"/>
  <c r="H264" i="23"/>
  <c r="B265" i="23"/>
  <c r="D265" i="23"/>
  <c r="H265" i="23"/>
  <c r="B266" i="23"/>
  <c r="D266" i="23"/>
  <c r="H266" i="23"/>
  <c r="B267" i="23"/>
  <c r="D267" i="23"/>
  <c r="H267" i="23"/>
  <c r="B268" i="23"/>
  <c r="D268" i="23"/>
  <c r="H268" i="23"/>
  <c r="B269" i="23"/>
  <c r="D269" i="23"/>
  <c r="H269" i="23"/>
  <c r="B270" i="23"/>
  <c r="D270" i="23"/>
  <c r="H270" i="23"/>
  <c r="B271" i="23"/>
  <c r="D271" i="23"/>
  <c r="H271" i="23"/>
  <c r="B272" i="23"/>
  <c r="D272" i="23"/>
  <c r="H272" i="23"/>
  <c r="B273" i="23"/>
  <c r="D273" i="23"/>
  <c r="H273" i="23"/>
  <c r="B274" i="23"/>
  <c r="D274" i="23"/>
  <c r="H274" i="23"/>
  <c r="B275" i="23"/>
  <c r="D275" i="23"/>
  <c r="H275" i="23"/>
  <c r="B276" i="23"/>
  <c r="D276" i="23"/>
  <c r="H276" i="23"/>
  <c r="B277" i="23"/>
  <c r="D277" i="23"/>
  <c r="H277" i="23"/>
  <c r="B278" i="23"/>
  <c r="D278" i="23"/>
  <c r="H278" i="23"/>
  <c r="B279" i="23"/>
  <c r="D279" i="23"/>
  <c r="H279" i="23"/>
  <c r="B280" i="23"/>
  <c r="D280" i="23"/>
  <c r="H280" i="23"/>
  <c r="B281" i="23"/>
  <c r="D281" i="23"/>
  <c r="H281" i="23"/>
  <c r="B282" i="23"/>
  <c r="D282" i="23"/>
  <c r="H282" i="23"/>
  <c r="B283" i="23"/>
  <c r="D283" i="23"/>
  <c r="H283" i="23"/>
  <c r="B284" i="23"/>
  <c r="D284" i="23"/>
  <c r="H284" i="23"/>
  <c r="B285" i="23"/>
  <c r="D285" i="23"/>
  <c r="H285" i="23"/>
  <c r="B286" i="23"/>
  <c r="D286" i="23"/>
  <c r="H286" i="23"/>
  <c r="B287" i="23"/>
  <c r="D287" i="23"/>
  <c r="H287" i="23"/>
  <c r="B288" i="23"/>
  <c r="D288" i="23"/>
  <c r="H288" i="23"/>
  <c r="B289" i="23"/>
  <c r="D289" i="23"/>
  <c r="H289" i="23"/>
  <c r="B290" i="23"/>
  <c r="D290" i="23"/>
  <c r="H290" i="23"/>
  <c r="B291" i="23"/>
  <c r="D291" i="23"/>
  <c r="H291" i="23"/>
  <c r="B292" i="23"/>
  <c r="D292" i="23"/>
  <c r="H292" i="23"/>
  <c r="B293" i="23"/>
  <c r="D293" i="23"/>
  <c r="H293" i="23"/>
  <c r="B294" i="23"/>
  <c r="D294" i="23"/>
  <c r="H294" i="23"/>
  <c r="B295" i="23"/>
  <c r="D295" i="23"/>
  <c r="H295" i="23"/>
  <c r="B296" i="23"/>
  <c r="D296" i="23"/>
  <c r="H296" i="23"/>
  <c r="B297" i="23"/>
  <c r="D297" i="23"/>
  <c r="H297" i="23"/>
  <c r="B298" i="23"/>
  <c r="D298" i="23"/>
  <c r="H298" i="23"/>
  <c r="B299" i="23"/>
  <c r="D299" i="23"/>
  <c r="H299" i="23"/>
  <c r="B300" i="23"/>
  <c r="D300" i="23"/>
  <c r="H300" i="23"/>
  <c r="B301" i="23"/>
  <c r="D301" i="23"/>
  <c r="H301" i="23"/>
  <c r="B302" i="23"/>
  <c r="D302" i="23"/>
  <c r="H302" i="23"/>
  <c r="B303" i="23"/>
  <c r="D303" i="23"/>
  <c r="H303" i="23"/>
  <c r="B304" i="23"/>
  <c r="D304" i="23"/>
  <c r="H304" i="23"/>
  <c r="B305" i="23"/>
  <c r="D305" i="23"/>
  <c r="H305" i="23"/>
  <c r="B306" i="23"/>
  <c r="D306" i="23"/>
  <c r="H306" i="23"/>
  <c r="B307" i="23"/>
  <c r="D307" i="23"/>
  <c r="H307" i="23"/>
  <c r="B308" i="23"/>
  <c r="D308" i="23"/>
  <c r="H308" i="23"/>
  <c r="B309" i="23"/>
  <c r="D309" i="23"/>
  <c r="H309" i="23"/>
  <c r="B310" i="23"/>
  <c r="D310" i="23"/>
  <c r="H310" i="23"/>
  <c r="B311" i="23"/>
  <c r="D311" i="23"/>
  <c r="H311" i="23"/>
  <c r="B312" i="23"/>
  <c r="D312" i="23"/>
  <c r="H312" i="23"/>
  <c r="B313" i="23"/>
  <c r="D313" i="23"/>
  <c r="H313" i="23"/>
  <c r="B314" i="23"/>
  <c r="D314" i="23"/>
  <c r="H314" i="23"/>
  <c r="B315" i="23"/>
  <c r="D315" i="23"/>
  <c r="H315" i="23"/>
  <c r="B316" i="23"/>
  <c r="D316" i="23"/>
  <c r="H316" i="23"/>
  <c r="B317" i="23"/>
  <c r="D317" i="23"/>
  <c r="H317" i="23"/>
  <c r="B318" i="23"/>
  <c r="D318" i="23"/>
  <c r="H318" i="23"/>
  <c r="B319" i="23"/>
  <c r="D319" i="23"/>
  <c r="H319" i="23"/>
  <c r="B320" i="23"/>
  <c r="D320" i="23"/>
  <c r="H320" i="23"/>
  <c r="B321" i="23"/>
  <c r="D321" i="23"/>
  <c r="H321" i="23"/>
  <c r="B322" i="23"/>
  <c r="D322" i="23"/>
  <c r="H322" i="23"/>
  <c r="B323" i="23"/>
  <c r="D323" i="23"/>
  <c r="H323" i="23"/>
  <c r="B324" i="23"/>
  <c r="D324" i="23"/>
  <c r="H324" i="23"/>
  <c r="B325" i="23"/>
  <c r="D325" i="23"/>
  <c r="H325" i="23"/>
  <c r="B326" i="23"/>
  <c r="D326" i="23"/>
  <c r="H326" i="23"/>
  <c r="B327" i="23"/>
  <c r="D327" i="23"/>
  <c r="H327" i="23"/>
  <c r="B328" i="23"/>
  <c r="D328" i="23"/>
  <c r="H328" i="23"/>
  <c r="B329" i="23"/>
  <c r="D329" i="23"/>
  <c r="H329" i="23"/>
  <c r="B330" i="23"/>
  <c r="D330" i="23"/>
  <c r="H330" i="23"/>
  <c r="B331" i="23"/>
  <c r="D331" i="23"/>
  <c r="H331" i="23"/>
  <c r="B332" i="23"/>
  <c r="D332" i="23"/>
  <c r="H332" i="23"/>
  <c r="B333" i="23"/>
  <c r="D333" i="23"/>
  <c r="H333" i="23"/>
  <c r="B334" i="23"/>
  <c r="D334" i="23"/>
  <c r="H334" i="23"/>
  <c r="B335" i="23"/>
  <c r="D335" i="23"/>
  <c r="H335" i="23"/>
  <c r="B336" i="23"/>
  <c r="D336" i="23"/>
  <c r="H336" i="23"/>
  <c r="B337" i="23"/>
  <c r="D337" i="23"/>
  <c r="H337" i="23"/>
  <c r="B338" i="23"/>
  <c r="D338" i="23"/>
  <c r="H338" i="23"/>
  <c r="B339" i="23"/>
  <c r="D339" i="23"/>
  <c r="H339" i="23"/>
  <c r="B340" i="23"/>
  <c r="D340" i="23"/>
  <c r="H340" i="23"/>
  <c r="B341" i="23"/>
  <c r="D341" i="23"/>
  <c r="H341" i="23"/>
  <c r="B342" i="23"/>
  <c r="D342" i="23"/>
  <c r="H342" i="23"/>
  <c r="B343" i="23"/>
  <c r="D343" i="23"/>
  <c r="H343" i="23"/>
  <c r="B344" i="23"/>
  <c r="D344" i="23"/>
  <c r="H344" i="23"/>
  <c r="B345" i="23"/>
  <c r="D345" i="23"/>
  <c r="H345" i="23"/>
  <c r="B346" i="23"/>
  <c r="D346" i="23"/>
  <c r="H346" i="23"/>
  <c r="B347" i="23"/>
  <c r="D347" i="23"/>
  <c r="H347" i="23"/>
  <c r="B348" i="23"/>
  <c r="D348" i="23"/>
  <c r="H348" i="23"/>
  <c r="B349" i="23"/>
  <c r="D349" i="23"/>
  <c r="H349" i="23"/>
  <c r="B350" i="23"/>
  <c r="D350" i="23"/>
  <c r="H350" i="23"/>
  <c r="B351" i="23"/>
  <c r="D351" i="23"/>
  <c r="H351" i="23"/>
  <c r="B352" i="23"/>
  <c r="D352" i="23"/>
  <c r="H352" i="23"/>
  <c r="B353" i="23"/>
  <c r="D353" i="23"/>
  <c r="H353" i="23"/>
  <c r="B354" i="23"/>
  <c r="D354" i="23"/>
  <c r="H354" i="23"/>
  <c r="B355" i="23"/>
  <c r="D355" i="23"/>
  <c r="H355" i="23"/>
  <c r="B356" i="23"/>
  <c r="D356" i="23"/>
  <c r="H356" i="23"/>
  <c r="B357" i="23"/>
  <c r="D357" i="23"/>
  <c r="H357" i="23"/>
  <c r="B358" i="23"/>
  <c r="D358" i="23"/>
  <c r="H358" i="23"/>
  <c r="B359" i="23"/>
  <c r="D359" i="23"/>
  <c r="H359" i="23"/>
  <c r="B360" i="23"/>
  <c r="D360" i="23"/>
  <c r="H360" i="23"/>
  <c r="B361" i="23"/>
  <c r="D361" i="23"/>
  <c r="H361" i="23"/>
  <c r="B362" i="23"/>
  <c r="D362" i="23"/>
  <c r="H362" i="23"/>
  <c r="B363" i="23"/>
  <c r="D363" i="23"/>
  <c r="H363" i="23"/>
  <c r="B364" i="23"/>
  <c r="D364" i="23"/>
  <c r="H364" i="23"/>
  <c r="B365" i="23"/>
  <c r="D365" i="23"/>
  <c r="H365" i="23"/>
  <c r="B366" i="23"/>
  <c r="D366" i="23"/>
  <c r="H366" i="23"/>
  <c r="B367" i="23"/>
  <c r="D367" i="23"/>
  <c r="H367" i="23"/>
  <c r="B368" i="23"/>
  <c r="D368" i="23"/>
  <c r="H368" i="23"/>
  <c r="B369" i="23"/>
  <c r="D369" i="23"/>
  <c r="H369" i="23"/>
  <c r="B370" i="23"/>
  <c r="D370" i="23"/>
  <c r="H370" i="23"/>
  <c r="B371" i="23"/>
  <c r="D371" i="23"/>
  <c r="H371" i="23"/>
  <c r="B372" i="23"/>
  <c r="D372" i="23"/>
  <c r="H372" i="23"/>
  <c r="B373" i="23"/>
  <c r="D373" i="23"/>
  <c r="H373" i="23"/>
  <c r="B374" i="23"/>
  <c r="D374" i="23"/>
  <c r="H374" i="23"/>
  <c r="B375" i="23"/>
  <c r="D375" i="23"/>
  <c r="H375" i="23"/>
  <c r="B376" i="23"/>
  <c r="D376" i="23"/>
  <c r="H376" i="23"/>
  <c r="B377" i="23"/>
  <c r="D377" i="23"/>
  <c r="H377" i="23"/>
  <c r="B378" i="23"/>
  <c r="D378" i="23"/>
  <c r="H378" i="23"/>
  <c r="B379" i="23"/>
  <c r="D379" i="23"/>
  <c r="H379" i="23"/>
  <c r="B380" i="23"/>
  <c r="D380" i="23"/>
  <c r="H380" i="23"/>
  <c r="B381" i="23"/>
  <c r="D381" i="23"/>
  <c r="H381" i="23"/>
  <c r="B382" i="23"/>
  <c r="D382" i="23"/>
  <c r="H382" i="23"/>
  <c r="B383" i="23"/>
  <c r="D383" i="23"/>
  <c r="H383" i="23"/>
  <c r="B384" i="23"/>
  <c r="D384" i="23"/>
  <c r="H384" i="23"/>
  <c r="B385" i="23"/>
  <c r="D385" i="23"/>
  <c r="H385" i="23"/>
  <c r="B386" i="23"/>
  <c r="D386" i="23"/>
  <c r="H386" i="23"/>
  <c r="B387" i="23"/>
  <c r="D387" i="23"/>
  <c r="H387" i="23"/>
  <c r="B388" i="23"/>
  <c r="D388" i="23"/>
  <c r="H388" i="23"/>
  <c r="B389" i="23"/>
  <c r="D389" i="23"/>
  <c r="H389" i="23"/>
  <c r="B390" i="23"/>
  <c r="D390" i="23"/>
  <c r="H390" i="23"/>
  <c r="B391" i="23"/>
  <c r="D391" i="23"/>
  <c r="H391" i="23"/>
  <c r="B392" i="23"/>
  <c r="D392" i="23"/>
  <c r="H392" i="23"/>
  <c r="B393" i="23"/>
  <c r="D393" i="23"/>
  <c r="H393" i="23"/>
  <c r="B394" i="23"/>
  <c r="D394" i="23"/>
  <c r="H394" i="23"/>
  <c r="B395" i="23"/>
  <c r="D395" i="23"/>
  <c r="H395" i="23"/>
  <c r="B396" i="23"/>
  <c r="D396" i="23"/>
  <c r="H396" i="23"/>
  <c r="B397" i="23"/>
  <c r="D397" i="23"/>
  <c r="H397" i="23"/>
  <c r="B398" i="23"/>
  <c r="D398" i="23"/>
  <c r="H398" i="23"/>
  <c r="B399" i="23"/>
  <c r="D399" i="23"/>
  <c r="H399" i="23"/>
  <c r="B400" i="23"/>
  <c r="D400" i="23"/>
  <c r="H400" i="23"/>
  <c r="B401" i="23"/>
  <c r="D401" i="23"/>
  <c r="H401" i="23"/>
  <c r="B402" i="23"/>
  <c r="D402" i="23"/>
  <c r="H402" i="23"/>
  <c r="B403" i="23"/>
  <c r="D403" i="23"/>
  <c r="H403" i="23"/>
  <c r="B404" i="23"/>
  <c r="D404" i="23"/>
  <c r="H404" i="23"/>
  <c r="B405" i="23"/>
  <c r="D405" i="23"/>
  <c r="H405" i="23"/>
  <c r="B406" i="23"/>
  <c r="D406" i="23"/>
  <c r="H406" i="23"/>
  <c r="B407" i="23"/>
  <c r="D407" i="23"/>
  <c r="H407" i="23"/>
  <c r="B408" i="23"/>
  <c r="D408" i="23"/>
  <c r="H408" i="23"/>
  <c r="B409" i="23"/>
  <c r="D409" i="23"/>
  <c r="H409" i="23"/>
  <c r="B410" i="23"/>
  <c r="D410" i="23"/>
  <c r="H410" i="23"/>
  <c r="B411" i="23"/>
  <c r="D411" i="23"/>
  <c r="H411" i="23"/>
  <c r="B412" i="23"/>
  <c r="D412" i="23"/>
  <c r="H412" i="23"/>
  <c r="B413" i="23"/>
  <c r="D413" i="23"/>
  <c r="H413" i="23"/>
  <c r="B414" i="23"/>
  <c r="D414" i="23"/>
  <c r="H414" i="23"/>
  <c r="B415" i="23"/>
  <c r="D415" i="23"/>
  <c r="H415" i="23"/>
  <c r="B416" i="23"/>
  <c r="D416" i="23"/>
  <c r="H416" i="23"/>
  <c r="B417" i="23"/>
  <c r="D417" i="23"/>
  <c r="H417" i="23"/>
  <c r="B418" i="23"/>
  <c r="D418" i="23"/>
  <c r="H418" i="23"/>
  <c r="B419" i="23"/>
  <c r="D419" i="23"/>
  <c r="H419" i="23"/>
  <c r="B420" i="23"/>
  <c r="D420" i="23"/>
  <c r="H420" i="23"/>
  <c r="B421" i="23"/>
  <c r="D421" i="23"/>
  <c r="H421" i="23"/>
  <c r="B422" i="23"/>
  <c r="D422" i="23"/>
  <c r="H422" i="23"/>
  <c r="B423" i="23"/>
  <c r="D423" i="23"/>
  <c r="H423" i="23"/>
  <c r="B424" i="23"/>
  <c r="D424" i="23"/>
  <c r="H424" i="23"/>
  <c r="B425" i="23"/>
  <c r="D425" i="23"/>
  <c r="H425" i="23"/>
  <c r="B426" i="23"/>
  <c r="D426" i="23"/>
  <c r="H426" i="23"/>
  <c r="B427" i="23"/>
  <c r="D427" i="23"/>
  <c r="H427" i="23"/>
  <c r="B428" i="23"/>
  <c r="D428" i="23"/>
  <c r="H428" i="23"/>
  <c r="B429" i="23"/>
  <c r="D429" i="23"/>
  <c r="H429" i="23"/>
  <c r="B430" i="23"/>
  <c r="D430" i="23"/>
  <c r="H430" i="23"/>
  <c r="B431" i="23"/>
  <c r="D431" i="23"/>
  <c r="H431" i="23"/>
  <c r="B432" i="23"/>
  <c r="D432" i="23"/>
  <c r="H432" i="23"/>
  <c r="B433" i="23"/>
  <c r="D433" i="23"/>
  <c r="H433" i="23"/>
  <c r="B434" i="23"/>
  <c r="D434" i="23"/>
  <c r="H434" i="23"/>
  <c r="B435" i="23"/>
  <c r="D435" i="23"/>
  <c r="H435" i="23"/>
  <c r="B436" i="23"/>
  <c r="D436" i="23"/>
  <c r="H436" i="23"/>
  <c r="B437" i="23"/>
  <c r="D437" i="23"/>
  <c r="H437" i="23"/>
  <c r="B438" i="23"/>
  <c r="D438" i="23"/>
  <c r="H438" i="23"/>
  <c r="B439" i="23"/>
  <c r="D439" i="23"/>
  <c r="H439" i="23"/>
  <c r="B440" i="23"/>
  <c r="D440" i="23"/>
  <c r="H440" i="23"/>
  <c r="B441" i="23"/>
  <c r="D441" i="23"/>
  <c r="H441" i="23"/>
  <c r="B442" i="23"/>
  <c r="D442" i="23"/>
  <c r="H442" i="23"/>
  <c r="B443" i="23"/>
  <c r="D443" i="23"/>
  <c r="H443" i="23"/>
  <c r="B444" i="23"/>
  <c r="D444" i="23"/>
  <c r="H444" i="23"/>
  <c r="B445" i="23"/>
  <c r="D445" i="23"/>
  <c r="H445" i="23"/>
  <c r="B446" i="23"/>
  <c r="D446" i="23"/>
  <c r="H446" i="23"/>
  <c r="B447" i="23"/>
  <c r="D447" i="23"/>
  <c r="H447" i="23"/>
  <c r="B448" i="23"/>
  <c r="D448" i="23"/>
  <c r="H448" i="23"/>
  <c r="B449" i="23"/>
  <c r="D449" i="23"/>
  <c r="H449" i="23"/>
  <c r="B450" i="23"/>
  <c r="D450" i="23"/>
  <c r="H450" i="23"/>
  <c r="B451" i="23"/>
  <c r="D451" i="23"/>
  <c r="H451" i="23"/>
  <c r="B452" i="23"/>
  <c r="D452" i="23"/>
  <c r="H452" i="23"/>
  <c r="B453" i="23"/>
  <c r="D453" i="23"/>
  <c r="H453" i="23"/>
  <c r="B454" i="23"/>
  <c r="D454" i="23"/>
  <c r="H454" i="23"/>
  <c r="B455" i="23"/>
  <c r="D455" i="23"/>
  <c r="H455" i="23"/>
  <c r="B456" i="23"/>
  <c r="D456" i="23"/>
  <c r="H456" i="23"/>
  <c r="B457" i="23"/>
  <c r="D457" i="23"/>
  <c r="H457" i="23"/>
  <c r="B458" i="23"/>
  <c r="D458" i="23"/>
  <c r="H458" i="23"/>
  <c r="B459" i="23"/>
  <c r="D459" i="23"/>
  <c r="H459" i="23"/>
  <c r="B460" i="23"/>
  <c r="D460" i="23"/>
  <c r="H460" i="23"/>
  <c r="B461" i="23"/>
  <c r="D461" i="23"/>
  <c r="H461" i="23"/>
  <c r="B462" i="23"/>
  <c r="D462" i="23"/>
  <c r="H462" i="23"/>
  <c r="B463" i="23"/>
  <c r="D463" i="23"/>
  <c r="H463" i="23"/>
  <c r="B464" i="23"/>
  <c r="D464" i="23"/>
  <c r="H464" i="23"/>
  <c r="B465" i="23"/>
  <c r="D465" i="23"/>
  <c r="H465" i="23"/>
  <c r="B466" i="23"/>
  <c r="D466" i="23"/>
  <c r="H466" i="23"/>
  <c r="B467" i="23"/>
  <c r="D467" i="23"/>
  <c r="H467" i="23"/>
  <c r="B468" i="23"/>
  <c r="D468" i="23"/>
  <c r="H468" i="23"/>
  <c r="B469" i="23"/>
  <c r="D469" i="23"/>
  <c r="H469" i="23"/>
  <c r="B470" i="23"/>
  <c r="D470" i="23"/>
  <c r="H470" i="23"/>
  <c r="B471" i="23"/>
  <c r="D471" i="23"/>
  <c r="H471" i="23"/>
  <c r="B472" i="23"/>
  <c r="D472" i="23"/>
  <c r="H472" i="23"/>
  <c r="B473" i="23"/>
  <c r="D473" i="23"/>
  <c r="H473" i="23"/>
  <c r="B474" i="23"/>
  <c r="D474" i="23"/>
  <c r="H474" i="23"/>
  <c r="B475" i="23"/>
  <c r="D475" i="23"/>
  <c r="H475" i="23"/>
  <c r="B476" i="23"/>
  <c r="D476" i="23"/>
  <c r="H476" i="23"/>
  <c r="B477" i="23"/>
  <c r="D477" i="23"/>
  <c r="H477" i="23"/>
  <c r="B478" i="23"/>
  <c r="D478" i="23"/>
  <c r="H478" i="23"/>
  <c r="B479" i="23"/>
  <c r="D479" i="23"/>
  <c r="H479" i="23"/>
  <c r="B480" i="23"/>
  <c r="D480" i="23"/>
  <c r="H480" i="23"/>
  <c r="B481" i="23"/>
  <c r="D481" i="23"/>
  <c r="H481" i="23"/>
  <c r="B482" i="23"/>
  <c r="D482" i="23"/>
  <c r="H482" i="23"/>
  <c r="B483" i="23"/>
  <c r="D483" i="23"/>
  <c r="H483" i="23"/>
  <c r="B484" i="23"/>
  <c r="D484" i="23"/>
  <c r="H484" i="23"/>
  <c r="B485" i="23"/>
  <c r="D485" i="23"/>
  <c r="H485" i="23"/>
  <c r="B486" i="23"/>
  <c r="D486" i="23"/>
  <c r="H486" i="23"/>
  <c r="B487" i="23"/>
  <c r="D487" i="23"/>
  <c r="H487" i="23"/>
  <c r="B488" i="23"/>
  <c r="D488" i="23"/>
  <c r="H488" i="23"/>
  <c r="B489" i="23"/>
  <c r="D489" i="23"/>
  <c r="H489" i="23"/>
  <c r="B490" i="23"/>
  <c r="D490" i="23"/>
  <c r="H490" i="23"/>
  <c r="B491" i="23"/>
  <c r="D491" i="23"/>
  <c r="H491" i="23"/>
  <c r="B492" i="23"/>
  <c r="D492" i="23"/>
  <c r="H492" i="23"/>
  <c r="B493" i="23"/>
  <c r="D493" i="23"/>
  <c r="H493" i="23"/>
  <c r="B494" i="23"/>
  <c r="D494" i="23"/>
  <c r="H494" i="23"/>
  <c r="B495" i="23"/>
  <c r="D495" i="23"/>
  <c r="H495" i="23"/>
  <c r="B496" i="23"/>
  <c r="D496" i="23"/>
  <c r="H496" i="23"/>
  <c r="B497" i="23"/>
  <c r="D497" i="23"/>
  <c r="H497" i="23"/>
  <c r="B498" i="23"/>
  <c r="D498" i="23"/>
  <c r="H498" i="23"/>
  <c r="B499" i="23"/>
  <c r="D499" i="23"/>
  <c r="H499" i="23"/>
  <c r="B500" i="23"/>
  <c r="D500" i="23"/>
  <c r="H500" i="23"/>
  <c r="B501" i="23"/>
  <c r="D501" i="23"/>
  <c r="H501" i="23"/>
  <c r="B502" i="23"/>
  <c r="D502" i="23"/>
  <c r="H502" i="23"/>
  <c r="B503" i="23"/>
  <c r="D503" i="23"/>
  <c r="H503" i="23"/>
  <c r="B504" i="23"/>
  <c r="D504" i="23"/>
  <c r="H504" i="23"/>
  <c r="B505" i="23"/>
  <c r="D505" i="23"/>
  <c r="H505" i="23"/>
  <c r="B506" i="23"/>
  <c r="D506" i="23"/>
  <c r="H506" i="23"/>
  <c r="B507" i="23"/>
  <c r="D507" i="23"/>
  <c r="H507" i="23"/>
  <c r="B508" i="23"/>
  <c r="D508" i="23"/>
  <c r="H508" i="23"/>
  <c r="B509" i="23"/>
  <c r="D509" i="23"/>
  <c r="H509" i="23"/>
  <c r="B510" i="23"/>
  <c r="D510" i="23"/>
  <c r="H510" i="23"/>
  <c r="B511" i="23"/>
  <c r="D511" i="23"/>
  <c r="H511" i="23"/>
  <c r="B512" i="23"/>
  <c r="D512" i="23"/>
  <c r="H512" i="23"/>
  <c r="B513" i="23"/>
  <c r="D513" i="23"/>
  <c r="H513" i="23"/>
  <c r="B514" i="23"/>
  <c r="D514" i="23"/>
  <c r="H514" i="23"/>
  <c r="B515" i="23"/>
  <c r="D515" i="23"/>
  <c r="H515" i="23"/>
  <c r="B516" i="23"/>
  <c r="D516" i="23"/>
  <c r="H516" i="23"/>
  <c r="B517" i="23"/>
  <c r="D517" i="23"/>
  <c r="H517" i="23"/>
  <c r="B518" i="23"/>
  <c r="D518" i="23"/>
  <c r="H518" i="23"/>
  <c r="B519" i="23"/>
  <c r="D519" i="23"/>
  <c r="H519" i="23"/>
  <c r="B520" i="23"/>
  <c r="D520" i="23"/>
  <c r="H520" i="23"/>
  <c r="B521" i="23"/>
  <c r="D521" i="23"/>
  <c r="H521" i="23"/>
  <c r="B522" i="23"/>
  <c r="D522" i="23"/>
  <c r="H522" i="23"/>
  <c r="B523" i="23"/>
  <c r="D523" i="23"/>
  <c r="H523" i="23"/>
  <c r="B524" i="23"/>
  <c r="D524" i="23"/>
  <c r="H524" i="23"/>
  <c r="B525" i="23"/>
  <c r="D525" i="23"/>
  <c r="H525" i="23"/>
  <c r="B526" i="23"/>
  <c r="D526" i="23"/>
  <c r="H526" i="23"/>
  <c r="B527" i="23"/>
  <c r="D527" i="23"/>
  <c r="H527" i="23"/>
  <c r="B528" i="23"/>
  <c r="D528" i="23"/>
  <c r="H528" i="23"/>
  <c r="B529" i="23"/>
  <c r="D529" i="23"/>
  <c r="H529" i="23"/>
  <c r="B530" i="23"/>
  <c r="D530" i="23"/>
  <c r="H530" i="23"/>
  <c r="B531" i="23"/>
  <c r="D531" i="23"/>
  <c r="H531" i="23"/>
  <c r="B532" i="23"/>
  <c r="D532" i="23"/>
  <c r="H532" i="23"/>
  <c r="B533" i="23"/>
  <c r="D533" i="23"/>
  <c r="H533" i="23"/>
  <c r="B534" i="23"/>
  <c r="D534" i="23"/>
  <c r="H534" i="23"/>
  <c r="B535" i="23"/>
  <c r="D535" i="23"/>
  <c r="H535" i="23"/>
  <c r="B536" i="23"/>
  <c r="D536" i="23"/>
  <c r="H536" i="23"/>
  <c r="B537" i="23"/>
  <c r="D537" i="23"/>
  <c r="H537" i="23"/>
  <c r="B538" i="23"/>
  <c r="D538" i="23"/>
  <c r="H538" i="23"/>
  <c r="B539" i="23"/>
  <c r="D539" i="23"/>
  <c r="H539" i="23"/>
  <c r="B540" i="23"/>
  <c r="D540" i="23"/>
  <c r="H540" i="23"/>
  <c r="B541" i="23"/>
  <c r="D541" i="23"/>
  <c r="H541" i="23"/>
  <c r="B542" i="23"/>
  <c r="D542" i="23"/>
  <c r="H542" i="23"/>
  <c r="B543" i="23"/>
  <c r="D543" i="23"/>
  <c r="H543" i="23"/>
  <c r="B544" i="23"/>
  <c r="D544" i="23"/>
  <c r="H544" i="23"/>
  <c r="B545" i="23"/>
  <c r="D545" i="23"/>
  <c r="H545" i="23"/>
  <c r="B546" i="23"/>
  <c r="D546" i="23"/>
  <c r="H546" i="23"/>
  <c r="D4" i="28"/>
  <c r="F4" i="28"/>
  <c r="D5" i="28"/>
  <c r="F5" i="28"/>
  <c r="D6" i="28"/>
  <c r="F6" i="28"/>
  <c r="D7" i="28"/>
  <c r="F7" i="28"/>
  <c r="D8" i="28"/>
  <c r="F8" i="28"/>
  <c r="D9" i="28"/>
  <c r="F9" i="28"/>
  <c r="D10" i="28"/>
  <c r="F10" i="28"/>
  <c r="D11" i="28"/>
  <c r="F11" i="28"/>
  <c r="D12" i="28"/>
  <c r="F12" i="28"/>
  <c r="D13" i="28"/>
  <c r="F13" i="28"/>
  <c r="D14" i="28"/>
  <c r="F14" i="28"/>
  <c r="D15" i="28"/>
  <c r="F15" i="28"/>
  <c r="D16" i="28"/>
  <c r="F16" i="28"/>
  <c r="D17" i="28"/>
  <c r="F17" i="28"/>
  <c r="D18" i="28"/>
  <c r="F18" i="28"/>
  <c r="D19" i="28"/>
  <c r="F19" i="28"/>
  <c r="D20" i="28"/>
  <c r="F20" i="28"/>
  <c r="F3" i="28"/>
  <c r="D3" i="28"/>
  <c r="F2" i="28"/>
  <c r="D2" i="28"/>
  <c r="B18" i="21"/>
  <c r="D18" i="21"/>
  <c r="F18" i="21"/>
  <c r="B19" i="21"/>
  <c r="D19" i="21"/>
  <c r="F19" i="21"/>
  <c r="B20" i="21"/>
  <c r="D20" i="21"/>
  <c r="F20" i="21"/>
  <c r="B21" i="21"/>
  <c r="D21" i="21"/>
  <c r="F21" i="21"/>
  <c r="B22" i="21"/>
  <c r="D22" i="21"/>
  <c r="F22" i="21"/>
  <c r="B23" i="21"/>
  <c r="D23" i="21"/>
  <c r="F23" i="21"/>
  <c r="B24" i="21"/>
  <c r="D24" i="21"/>
  <c r="F24" i="21"/>
  <c r="B25" i="21"/>
  <c r="D25" i="21"/>
  <c r="F25" i="21"/>
  <c r="B26" i="21"/>
  <c r="D26" i="21"/>
  <c r="F26" i="21"/>
  <c r="B27" i="21"/>
  <c r="D27" i="21"/>
  <c r="F27" i="21"/>
  <c r="B28" i="21"/>
  <c r="D28" i="21"/>
  <c r="F28" i="21"/>
  <c r="B29" i="21"/>
  <c r="D29" i="21"/>
  <c r="F29" i="21"/>
  <c r="B30" i="21"/>
  <c r="D30" i="21"/>
  <c r="F30" i="21"/>
  <c r="B31" i="21"/>
  <c r="D31" i="21"/>
  <c r="F31" i="21"/>
  <c r="B32" i="21"/>
  <c r="D32" i="21"/>
  <c r="F32" i="21"/>
  <c r="B33" i="21"/>
  <c r="D33" i="21"/>
  <c r="F33" i="21"/>
  <c r="B34" i="21"/>
  <c r="D34" i="21"/>
  <c r="F34" i="21"/>
  <c r="B35" i="21"/>
  <c r="D35" i="21"/>
  <c r="F35" i="21"/>
  <c r="B36" i="21"/>
  <c r="D36" i="21"/>
  <c r="F36" i="21"/>
  <c r="B37" i="21"/>
  <c r="D37" i="21"/>
  <c r="F37" i="21"/>
  <c r="B38" i="21"/>
  <c r="D38" i="21"/>
  <c r="F38" i="21"/>
  <c r="B39" i="21"/>
  <c r="D39" i="21"/>
  <c r="F39" i="21"/>
  <c r="B40" i="21"/>
  <c r="D40" i="21"/>
  <c r="F40" i="21"/>
  <c r="B41" i="21"/>
  <c r="D41" i="21"/>
  <c r="F41" i="21"/>
  <c r="B42" i="21"/>
  <c r="D42" i="21"/>
  <c r="F42" i="21"/>
  <c r="B43" i="21"/>
  <c r="D43" i="21"/>
  <c r="F43" i="21"/>
  <c r="B44" i="21"/>
  <c r="D44" i="21"/>
  <c r="F44" i="21"/>
  <c r="B45" i="21"/>
  <c r="D45" i="21"/>
  <c r="F45" i="21"/>
  <c r="B46" i="21"/>
  <c r="D46" i="21"/>
  <c r="F46" i="21"/>
  <c r="B47" i="21"/>
  <c r="D47" i="21"/>
  <c r="F47" i="21"/>
  <c r="B48" i="21"/>
  <c r="D48" i="21"/>
  <c r="F48" i="21"/>
  <c r="B49" i="21"/>
  <c r="D49" i="21"/>
  <c r="F49" i="21"/>
  <c r="B50" i="21"/>
  <c r="D50" i="21"/>
  <c r="F50" i="21"/>
  <c r="B51" i="21"/>
  <c r="D51" i="21"/>
  <c r="F51" i="21"/>
  <c r="B52" i="21"/>
  <c r="D52" i="21"/>
  <c r="F52" i="21"/>
  <c r="B53" i="21"/>
  <c r="D53" i="21"/>
  <c r="F53" i="21"/>
  <c r="B54" i="21"/>
  <c r="D54" i="21"/>
  <c r="F54" i="21"/>
  <c r="B55" i="21"/>
  <c r="D55" i="21"/>
  <c r="F55" i="21"/>
  <c r="B56" i="21"/>
  <c r="D56" i="21"/>
  <c r="F56" i="21"/>
  <c r="B57" i="21"/>
  <c r="D57" i="21"/>
  <c r="F57" i="21"/>
  <c r="B58" i="21"/>
  <c r="D58" i="21"/>
  <c r="F58" i="21"/>
  <c r="B59" i="21"/>
  <c r="D59" i="21"/>
  <c r="F59" i="21"/>
  <c r="B60" i="21"/>
  <c r="D60" i="21"/>
  <c r="F60" i="21"/>
  <c r="B61" i="21"/>
  <c r="D61" i="21"/>
  <c r="F61" i="21"/>
  <c r="B62" i="21"/>
  <c r="D62" i="21"/>
  <c r="F62" i="21"/>
  <c r="B63" i="21"/>
  <c r="D63" i="21"/>
  <c r="F63" i="21"/>
  <c r="B64" i="21"/>
  <c r="D64" i="21"/>
  <c r="F64" i="21"/>
  <c r="B65" i="21"/>
  <c r="D65" i="21"/>
  <c r="F65" i="21"/>
  <c r="B66" i="21"/>
  <c r="D66" i="21"/>
  <c r="F66" i="21"/>
  <c r="B67" i="21"/>
  <c r="D67" i="21"/>
  <c r="F67" i="21"/>
  <c r="B68" i="21"/>
  <c r="D68" i="21"/>
  <c r="F68" i="21"/>
  <c r="B69" i="21"/>
  <c r="D69" i="21"/>
  <c r="F69" i="21"/>
  <c r="B70" i="21"/>
  <c r="D70" i="21"/>
  <c r="F70" i="21"/>
  <c r="B71" i="21"/>
  <c r="D71" i="21"/>
  <c r="F71" i="21"/>
  <c r="B72" i="21"/>
  <c r="D72" i="21"/>
  <c r="F72" i="21"/>
  <c r="B73" i="21"/>
  <c r="D73" i="21"/>
  <c r="F73" i="21"/>
  <c r="B74" i="21"/>
  <c r="D74" i="21"/>
  <c r="F74" i="21"/>
  <c r="B75" i="21"/>
  <c r="D75" i="21"/>
  <c r="F75" i="21"/>
  <c r="B76" i="21"/>
  <c r="D76" i="21"/>
  <c r="F76" i="21"/>
  <c r="B77" i="21"/>
  <c r="D77" i="21"/>
  <c r="F77" i="21"/>
  <c r="B78" i="21"/>
  <c r="D78" i="21"/>
  <c r="F78" i="21"/>
  <c r="B79" i="21"/>
  <c r="D79" i="21"/>
  <c r="F79" i="21"/>
  <c r="B80" i="21"/>
  <c r="D80" i="21"/>
  <c r="F80" i="21"/>
  <c r="B81" i="21"/>
  <c r="D81" i="21"/>
  <c r="F81" i="21"/>
  <c r="B82" i="21"/>
  <c r="D82" i="21"/>
  <c r="F82" i="21"/>
  <c r="B83" i="21"/>
  <c r="D83" i="21"/>
  <c r="F83" i="21"/>
  <c r="B84" i="21"/>
  <c r="D84" i="21"/>
  <c r="F84" i="21"/>
  <c r="B85" i="21"/>
  <c r="D85" i="21"/>
  <c r="F85" i="21"/>
  <c r="B86" i="21"/>
  <c r="D86" i="21"/>
  <c r="F86" i="21"/>
  <c r="B87" i="21"/>
  <c r="D87" i="21"/>
  <c r="F87" i="21"/>
  <c r="B88" i="21"/>
  <c r="D88" i="21"/>
  <c r="F88" i="21"/>
  <c r="B89" i="21"/>
  <c r="D89" i="21"/>
  <c r="F89" i="21"/>
  <c r="B90" i="21"/>
  <c r="D90" i="21"/>
  <c r="F90" i="21"/>
  <c r="B91" i="21"/>
  <c r="D91" i="21"/>
  <c r="F91" i="21"/>
  <c r="B92" i="21"/>
  <c r="D92" i="21"/>
  <c r="F92" i="21"/>
  <c r="B93" i="21"/>
  <c r="D93" i="21"/>
  <c r="F93" i="21"/>
  <c r="B94" i="21"/>
  <c r="D94" i="21"/>
  <c r="F94" i="21"/>
  <c r="B95" i="21"/>
  <c r="D95" i="21"/>
  <c r="F95" i="21"/>
  <c r="B96" i="21"/>
  <c r="D96" i="21"/>
  <c r="F96" i="21"/>
  <c r="B97" i="21"/>
  <c r="D97" i="21"/>
  <c r="F97" i="21"/>
  <c r="B98" i="21"/>
  <c r="D98" i="21"/>
  <c r="F98" i="21"/>
  <c r="B99" i="21"/>
  <c r="D99" i="21"/>
  <c r="F99" i="21"/>
  <c r="B100" i="21"/>
  <c r="D100" i="21"/>
  <c r="F100" i="21"/>
  <c r="B101" i="21"/>
  <c r="D101" i="21"/>
  <c r="F101" i="21"/>
  <c r="B102" i="21"/>
  <c r="D102" i="21"/>
  <c r="F102" i="21"/>
  <c r="B103" i="21"/>
  <c r="D103" i="21"/>
  <c r="F103" i="21"/>
  <c r="B104" i="21"/>
  <c r="D104" i="21"/>
  <c r="F104" i="21"/>
  <c r="B105" i="21"/>
  <c r="D105" i="21"/>
  <c r="F105" i="21"/>
  <c r="B106" i="21"/>
  <c r="D106" i="21"/>
  <c r="F106" i="21"/>
  <c r="B107" i="21"/>
  <c r="D107" i="21"/>
  <c r="F107" i="21"/>
  <c r="B108" i="21"/>
  <c r="D108" i="21"/>
  <c r="F108" i="21"/>
  <c r="B109" i="21"/>
  <c r="D109" i="21"/>
  <c r="F109" i="21"/>
  <c r="B110" i="21"/>
  <c r="D110" i="21"/>
  <c r="F110" i="21"/>
  <c r="B111" i="21"/>
  <c r="D111" i="21"/>
  <c r="F111" i="21"/>
  <c r="B112" i="21"/>
  <c r="D112" i="21"/>
  <c r="F112" i="21"/>
  <c r="B113" i="21"/>
  <c r="D113" i="21"/>
  <c r="F113" i="21"/>
  <c r="B114" i="21"/>
  <c r="D114" i="21"/>
  <c r="F114" i="21"/>
  <c r="B115" i="21"/>
  <c r="D115" i="21"/>
  <c r="F115" i="21"/>
  <c r="B116" i="21"/>
  <c r="D116" i="21"/>
  <c r="F116" i="21"/>
  <c r="B117" i="21"/>
  <c r="D117" i="21"/>
  <c r="F117" i="21"/>
  <c r="B118" i="21"/>
  <c r="D118" i="21"/>
  <c r="F118" i="21"/>
  <c r="B119" i="21"/>
  <c r="D119" i="21"/>
  <c r="F119" i="21"/>
  <c r="B120" i="21"/>
  <c r="D120" i="21"/>
  <c r="F120" i="21"/>
  <c r="B121" i="21"/>
  <c r="D121" i="21"/>
  <c r="F121" i="21"/>
  <c r="B122" i="21"/>
  <c r="D122" i="21"/>
  <c r="F122" i="21"/>
  <c r="B123" i="21"/>
  <c r="D123" i="21"/>
  <c r="F123" i="21"/>
  <c r="B124" i="21"/>
  <c r="D124" i="21"/>
  <c r="F124" i="21"/>
  <c r="B125" i="21"/>
  <c r="D125" i="21"/>
  <c r="F125" i="21"/>
  <c r="B126" i="21"/>
  <c r="D126" i="21"/>
  <c r="F126" i="21"/>
  <c r="B127" i="21"/>
  <c r="D127" i="21"/>
  <c r="F127" i="21"/>
  <c r="B128" i="21"/>
  <c r="D128" i="21"/>
  <c r="F128" i="21"/>
  <c r="B129" i="21"/>
  <c r="D129" i="21"/>
  <c r="F129" i="21"/>
  <c r="B130" i="21"/>
  <c r="D130" i="21"/>
  <c r="F130" i="21"/>
  <c r="B131" i="21"/>
  <c r="D131" i="21"/>
  <c r="F131" i="21"/>
  <c r="B132" i="21"/>
  <c r="D132" i="21"/>
  <c r="F132" i="21"/>
  <c r="B133" i="21"/>
  <c r="D133" i="21"/>
  <c r="F133" i="21"/>
  <c r="B134" i="21"/>
  <c r="D134" i="21"/>
  <c r="F134" i="21"/>
  <c r="B135" i="21"/>
  <c r="D135" i="21"/>
  <c r="F135" i="21"/>
  <c r="B136" i="21"/>
  <c r="D136" i="21"/>
  <c r="F136" i="21"/>
  <c r="B137" i="21"/>
  <c r="D137" i="21"/>
  <c r="F137" i="21"/>
  <c r="B138" i="21"/>
  <c r="D138" i="21"/>
  <c r="F138" i="21"/>
  <c r="B139" i="21"/>
  <c r="D139" i="21"/>
  <c r="F139" i="21"/>
  <c r="B140" i="21"/>
  <c r="D140" i="21"/>
  <c r="F140" i="21"/>
  <c r="B141" i="21"/>
  <c r="D141" i="21"/>
  <c r="F141" i="21"/>
  <c r="B142" i="21"/>
  <c r="D142" i="21"/>
  <c r="F142" i="21"/>
  <c r="B143" i="21"/>
  <c r="D143" i="21"/>
  <c r="F143" i="21"/>
  <c r="B144" i="21"/>
  <c r="D144" i="21"/>
  <c r="F144" i="21"/>
  <c r="B145" i="21"/>
  <c r="D145" i="21"/>
  <c r="F145" i="21"/>
  <c r="B146" i="21"/>
  <c r="D146" i="21"/>
  <c r="F146" i="21"/>
  <c r="B147" i="21"/>
  <c r="D147" i="21"/>
  <c r="F147" i="21"/>
  <c r="B148" i="21"/>
  <c r="D148" i="21"/>
  <c r="F148" i="21"/>
  <c r="B149" i="21"/>
  <c r="D149" i="21"/>
  <c r="F149" i="21"/>
  <c r="B150" i="21"/>
  <c r="D150" i="21"/>
  <c r="F150" i="21"/>
  <c r="B151" i="21"/>
  <c r="D151" i="21"/>
  <c r="F151" i="21"/>
  <c r="B152" i="21"/>
  <c r="D152" i="21"/>
  <c r="F152" i="21"/>
  <c r="B153" i="21"/>
  <c r="D153" i="21"/>
  <c r="F153" i="21"/>
  <c r="B154" i="21"/>
  <c r="D154" i="21"/>
  <c r="F154" i="21"/>
  <c r="B155" i="21"/>
  <c r="D155" i="21"/>
  <c r="F155" i="21"/>
  <c r="B156" i="21"/>
  <c r="D156" i="21"/>
  <c r="F156" i="21"/>
  <c r="B157" i="21"/>
  <c r="D157" i="21"/>
  <c r="F157" i="21"/>
  <c r="B158" i="21"/>
  <c r="D158" i="21"/>
  <c r="F158" i="21"/>
  <c r="B159" i="21"/>
  <c r="D159" i="21"/>
  <c r="F159" i="21"/>
  <c r="B160" i="21"/>
  <c r="D160" i="21"/>
  <c r="F160" i="21"/>
  <c r="B161" i="21"/>
  <c r="D161" i="21"/>
  <c r="F161" i="21"/>
  <c r="B162" i="21"/>
  <c r="D162" i="21"/>
  <c r="F162" i="21"/>
  <c r="B163" i="21"/>
  <c r="D163" i="21"/>
  <c r="F163" i="21"/>
  <c r="B164" i="21"/>
  <c r="D164" i="21"/>
  <c r="F164" i="21"/>
  <c r="B165" i="21"/>
  <c r="D165" i="21"/>
  <c r="F165" i="21"/>
  <c r="B166" i="21"/>
  <c r="D166" i="21"/>
  <c r="F166" i="21"/>
  <c r="B167" i="21"/>
  <c r="D167" i="21"/>
  <c r="F167" i="21"/>
  <c r="B168" i="21"/>
  <c r="D168" i="21"/>
  <c r="F168" i="21"/>
  <c r="B169" i="21"/>
  <c r="D169" i="21"/>
  <c r="F169" i="21"/>
  <c r="B170" i="21"/>
  <c r="D170" i="21"/>
  <c r="F170" i="21"/>
  <c r="B171" i="21"/>
  <c r="D171" i="21"/>
  <c r="F171" i="21"/>
  <c r="B172" i="21"/>
  <c r="D172" i="21"/>
  <c r="F172" i="21"/>
  <c r="B173" i="21"/>
  <c r="D173" i="21"/>
  <c r="F173" i="21"/>
  <c r="B174" i="21"/>
  <c r="D174" i="21"/>
  <c r="F174" i="21"/>
  <c r="B175" i="21"/>
  <c r="D175" i="21"/>
  <c r="F175" i="21"/>
  <c r="B176" i="21"/>
  <c r="D176" i="21"/>
  <c r="F176" i="21"/>
  <c r="B177" i="21"/>
  <c r="D177" i="21"/>
  <c r="F177" i="21"/>
  <c r="B178" i="21"/>
  <c r="D178" i="21"/>
  <c r="F178" i="21"/>
  <c r="B179" i="21"/>
  <c r="D179" i="21"/>
  <c r="F179" i="21"/>
  <c r="B180" i="21"/>
  <c r="D180" i="21"/>
  <c r="F180" i="21"/>
  <c r="B181" i="21"/>
  <c r="D181" i="21"/>
  <c r="F181" i="21"/>
  <c r="B182" i="21"/>
  <c r="D182" i="21"/>
  <c r="F182" i="21"/>
  <c r="B183" i="21"/>
  <c r="D183" i="21"/>
  <c r="F183" i="21"/>
  <c r="B184" i="21"/>
  <c r="D184" i="21"/>
  <c r="F184" i="21"/>
  <c r="B185" i="21"/>
  <c r="D185" i="21"/>
  <c r="F185" i="21"/>
  <c r="B186" i="21"/>
  <c r="D186" i="21"/>
  <c r="F186" i="21"/>
  <c r="B187" i="21"/>
  <c r="D187" i="21"/>
  <c r="F187" i="21"/>
  <c r="B188" i="21"/>
  <c r="D188" i="21"/>
  <c r="F188" i="21"/>
  <c r="B189" i="21"/>
  <c r="D189" i="21"/>
  <c r="F189" i="21"/>
  <c r="B190" i="21"/>
  <c r="D190" i="21"/>
  <c r="F190" i="21"/>
  <c r="B191" i="21"/>
  <c r="D191" i="21"/>
  <c r="F191" i="21"/>
  <c r="B192" i="21"/>
  <c r="D192" i="21"/>
  <c r="F192" i="21"/>
  <c r="B193" i="21"/>
  <c r="D193" i="21"/>
  <c r="F193" i="21"/>
  <c r="B194" i="21"/>
  <c r="D194" i="21"/>
  <c r="F194" i="21"/>
  <c r="B195" i="21"/>
  <c r="D195" i="21"/>
  <c r="F195" i="21"/>
  <c r="B196" i="21"/>
  <c r="D196" i="21"/>
  <c r="F196" i="21"/>
  <c r="B197" i="21"/>
  <c r="D197" i="21"/>
  <c r="F197" i="21"/>
  <c r="B198" i="21"/>
  <c r="D198" i="21"/>
  <c r="F198" i="21"/>
  <c r="B199" i="21"/>
  <c r="D199" i="21"/>
  <c r="F199" i="21"/>
  <c r="B200" i="21"/>
  <c r="D200" i="21"/>
  <c r="F200" i="21"/>
  <c r="B201" i="21"/>
  <c r="D201" i="21"/>
  <c r="F201" i="21"/>
  <c r="B202" i="21"/>
  <c r="D202" i="21"/>
  <c r="F202" i="21"/>
  <c r="B203" i="21"/>
  <c r="D203" i="21"/>
  <c r="F203" i="21"/>
  <c r="B204" i="21"/>
  <c r="D204" i="21"/>
  <c r="F204" i="21"/>
  <c r="B205" i="21"/>
  <c r="D205" i="21"/>
  <c r="F205" i="21"/>
  <c r="B206" i="21"/>
  <c r="D206" i="21"/>
  <c r="F206" i="21"/>
  <c r="B207" i="21"/>
  <c r="D207" i="21"/>
  <c r="F207" i="21"/>
  <c r="B208" i="21"/>
  <c r="D208" i="21"/>
  <c r="F208" i="21"/>
  <c r="B209" i="21"/>
  <c r="D209" i="21"/>
  <c r="F209" i="21"/>
  <c r="B210" i="21"/>
  <c r="D210" i="21"/>
  <c r="F210" i="21"/>
  <c r="B211" i="21"/>
  <c r="D211" i="21"/>
  <c r="F211" i="21"/>
  <c r="B212" i="21"/>
  <c r="D212" i="21"/>
  <c r="F212" i="21"/>
  <c r="B213" i="21"/>
  <c r="D213" i="21"/>
  <c r="F213" i="21"/>
  <c r="B214" i="21"/>
  <c r="D214" i="21"/>
  <c r="F214" i="21"/>
  <c r="B215" i="21"/>
  <c r="D215" i="21"/>
  <c r="F215" i="21"/>
  <c r="B216" i="21"/>
  <c r="D216" i="21"/>
  <c r="F216" i="21"/>
  <c r="B217" i="21"/>
  <c r="D217" i="21"/>
  <c r="F217" i="21"/>
  <c r="B218" i="21"/>
  <c r="D218" i="21"/>
  <c r="F218" i="21"/>
  <c r="B219" i="21"/>
  <c r="D219" i="21"/>
  <c r="F219" i="21"/>
  <c r="B220" i="21"/>
  <c r="D220" i="21"/>
  <c r="F220" i="21"/>
  <c r="B221" i="21"/>
  <c r="D221" i="21"/>
  <c r="F221" i="21"/>
  <c r="B222" i="21"/>
  <c r="D222" i="21"/>
  <c r="F222" i="21"/>
  <c r="B223" i="21"/>
  <c r="D223" i="21"/>
  <c r="F223" i="21"/>
  <c r="B224" i="21"/>
  <c r="D224" i="21"/>
  <c r="F224" i="21"/>
  <c r="B225" i="21"/>
  <c r="D225" i="21"/>
  <c r="F225" i="21"/>
  <c r="B226" i="21"/>
  <c r="D226" i="21"/>
  <c r="F226" i="21"/>
  <c r="B227" i="21"/>
  <c r="D227" i="21"/>
  <c r="F227" i="21"/>
  <c r="B228" i="21"/>
  <c r="D228" i="21"/>
  <c r="F228" i="21"/>
  <c r="B229" i="21"/>
  <c r="D229" i="21"/>
  <c r="F229" i="21"/>
  <c r="B230" i="21"/>
  <c r="D230" i="21"/>
  <c r="F230" i="21"/>
  <c r="B231" i="21"/>
  <c r="D231" i="21"/>
  <c r="F231" i="21"/>
  <c r="B232" i="21"/>
  <c r="D232" i="21"/>
  <c r="F232" i="21"/>
  <c r="B233" i="21"/>
  <c r="D233" i="21"/>
  <c r="F233" i="21"/>
  <c r="B234" i="21"/>
  <c r="D234" i="21"/>
  <c r="F234" i="21"/>
  <c r="B235" i="21"/>
  <c r="D235" i="21"/>
  <c r="F235" i="21"/>
  <c r="B236" i="21"/>
  <c r="D236" i="21"/>
  <c r="F236" i="21"/>
  <c r="B237" i="21"/>
  <c r="D237" i="21"/>
  <c r="F237" i="21"/>
  <c r="B238" i="21"/>
  <c r="D238" i="21"/>
  <c r="F238" i="21"/>
  <c r="B239" i="21"/>
  <c r="D239" i="21"/>
  <c r="F239" i="21"/>
  <c r="B240" i="21"/>
  <c r="D240" i="21"/>
  <c r="F240" i="21"/>
  <c r="B241" i="21"/>
  <c r="D241" i="21"/>
  <c r="F241" i="21"/>
  <c r="B242" i="21"/>
  <c r="D242" i="21"/>
  <c r="F242" i="21"/>
  <c r="B243" i="21"/>
  <c r="D243" i="21"/>
  <c r="F243" i="21"/>
  <c r="B244" i="21"/>
  <c r="D244" i="21"/>
  <c r="F244" i="21"/>
  <c r="B245" i="21"/>
  <c r="D245" i="21"/>
  <c r="F245" i="21"/>
  <c r="B246" i="21"/>
  <c r="D246" i="21"/>
  <c r="F246" i="21"/>
  <c r="B247" i="21"/>
  <c r="D247" i="21"/>
  <c r="F247" i="21"/>
  <c r="B248" i="21"/>
  <c r="D248" i="21"/>
  <c r="F248" i="21"/>
  <c r="B249" i="21"/>
  <c r="D249" i="21"/>
  <c r="F249" i="21"/>
  <c r="B250" i="21"/>
  <c r="D250" i="21"/>
  <c r="F250" i="21"/>
  <c r="B251" i="21"/>
  <c r="D251" i="21"/>
  <c r="F251" i="21"/>
  <c r="B252" i="21"/>
  <c r="D252" i="21"/>
  <c r="F252" i="21"/>
  <c r="B253" i="21"/>
  <c r="D253" i="21"/>
  <c r="F253" i="21"/>
  <c r="B254" i="21"/>
  <c r="D254" i="21"/>
  <c r="F254" i="21"/>
  <c r="B255" i="21"/>
  <c r="D255" i="21"/>
  <c r="F255" i="21"/>
  <c r="B256" i="21"/>
  <c r="D256" i="21"/>
  <c r="F256" i="21"/>
  <c r="B257" i="21"/>
  <c r="D257" i="21"/>
  <c r="F257" i="21"/>
  <c r="B258" i="21"/>
  <c r="D258" i="21"/>
  <c r="F258" i="21"/>
  <c r="B259" i="21"/>
  <c r="D259" i="21"/>
  <c r="F259" i="21"/>
  <c r="B260" i="21"/>
  <c r="D260" i="21"/>
  <c r="F260" i="21"/>
  <c r="B261" i="21"/>
  <c r="D261" i="21"/>
  <c r="F261" i="21"/>
  <c r="B262" i="21"/>
  <c r="D262" i="21"/>
  <c r="F262" i="21"/>
  <c r="B263" i="21"/>
  <c r="D263" i="21"/>
  <c r="F263" i="21"/>
  <c r="B264" i="21"/>
  <c r="D264" i="21"/>
  <c r="F264" i="21"/>
  <c r="B265" i="21"/>
  <c r="D265" i="21"/>
  <c r="F265" i="21"/>
  <c r="B266" i="21"/>
  <c r="D266" i="21"/>
  <c r="F266" i="21"/>
  <c r="B267" i="21"/>
  <c r="D267" i="21"/>
  <c r="F267" i="21"/>
  <c r="B268" i="21"/>
  <c r="D268" i="21"/>
  <c r="F268" i="21"/>
  <c r="B269" i="21"/>
  <c r="D269" i="21"/>
  <c r="F269" i="21"/>
  <c r="B270" i="21"/>
  <c r="D270" i="21"/>
  <c r="F270" i="21"/>
  <c r="B271" i="21"/>
  <c r="D271" i="21"/>
  <c r="F271" i="21"/>
  <c r="B272" i="21"/>
  <c r="D272" i="21"/>
  <c r="F272" i="21"/>
  <c r="B273" i="21"/>
  <c r="D273" i="21"/>
  <c r="F273" i="21"/>
  <c r="B274" i="21"/>
  <c r="D274" i="21"/>
  <c r="F274" i="21"/>
  <c r="B275" i="21"/>
  <c r="D275" i="21"/>
  <c r="F275" i="21"/>
  <c r="B276" i="21"/>
  <c r="D276" i="21"/>
  <c r="F276" i="21"/>
  <c r="B277" i="21"/>
  <c r="D277" i="21"/>
  <c r="F277" i="21"/>
  <c r="B278" i="21"/>
  <c r="D278" i="21"/>
  <c r="F278" i="21"/>
  <c r="B279" i="21"/>
  <c r="D279" i="21"/>
  <c r="F279" i="21"/>
  <c r="B280" i="21"/>
  <c r="D280" i="21"/>
  <c r="F280" i="21"/>
  <c r="B281" i="21"/>
  <c r="D281" i="21"/>
  <c r="F281" i="21"/>
  <c r="B282" i="21"/>
  <c r="D282" i="21"/>
  <c r="F282" i="21"/>
  <c r="B283" i="21"/>
  <c r="D283" i="21"/>
  <c r="F283" i="21"/>
  <c r="B284" i="21"/>
  <c r="D284" i="21"/>
  <c r="F284" i="21"/>
  <c r="B285" i="21"/>
  <c r="D285" i="21"/>
  <c r="F285" i="21"/>
  <c r="B286" i="21"/>
  <c r="D286" i="21"/>
  <c r="F286" i="21"/>
  <c r="B287" i="21"/>
  <c r="D287" i="21"/>
  <c r="F287" i="21"/>
  <c r="B288" i="21"/>
  <c r="D288" i="21"/>
  <c r="F288" i="21"/>
  <c r="B289" i="21"/>
  <c r="D289" i="21"/>
  <c r="F289" i="21"/>
  <c r="B290" i="21"/>
  <c r="D290" i="21"/>
  <c r="F290" i="21"/>
  <c r="B291" i="21"/>
  <c r="D291" i="21"/>
  <c r="F291" i="21"/>
  <c r="B292" i="21"/>
  <c r="D292" i="21"/>
  <c r="F292" i="21"/>
  <c r="B293" i="21"/>
  <c r="D293" i="21"/>
  <c r="F293" i="21"/>
  <c r="B294" i="21"/>
  <c r="D294" i="21"/>
  <c r="F294" i="21"/>
  <c r="B295" i="21"/>
  <c r="D295" i="21"/>
  <c r="F295" i="21"/>
  <c r="B296" i="21"/>
  <c r="D296" i="21"/>
  <c r="F296" i="21"/>
  <c r="B297" i="21"/>
  <c r="D297" i="21"/>
  <c r="F297" i="21"/>
  <c r="B298" i="21"/>
  <c r="D298" i="21"/>
  <c r="F298" i="21"/>
  <c r="B299" i="21"/>
  <c r="D299" i="21"/>
  <c r="F299" i="21"/>
  <c r="B300" i="21"/>
  <c r="D300" i="21"/>
  <c r="F300" i="21"/>
  <c r="B301" i="21"/>
  <c r="D301" i="21"/>
  <c r="F301" i="21"/>
  <c r="B302" i="21"/>
  <c r="D302" i="21"/>
  <c r="F302" i="21"/>
  <c r="B303" i="21"/>
  <c r="D303" i="21"/>
  <c r="F303" i="21"/>
  <c r="B304" i="21"/>
  <c r="D304" i="21"/>
  <c r="F304" i="21"/>
  <c r="B305" i="21"/>
  <c r="D305" i="21"/>
  <c r="F305" i="21"/>
  <c r="B306" i="21"/>
  <c r="D306" i="21"/>
  <c r="F306" i="21"/>
  <c r="B307" i="21"/>
  <c r="D307" i="21"/>
  <c r="F307" i="21"/>
  <c r="B308" i="21"/>
  <c r="D308" i="21"/>
  <c r="F308" i="21"/>
  <c r="B309" i="21"/>
  <c r="D309" i="21"/>
  <c r="F309" i="21"/>
  <c r="B310" i="21"/>
  <c r="D310" i="21"/>
  <c r="F310" i="21"/>
  <c r="B311" i="21"/>
  <c r="D311" i="21"/>
  <c r="F311" i="21"/>
  <c r="B312" i="21"/>
  <c r="D312" i="21"/>
  <c r="F312" i="21"/>
  <c r="B313" i="21"/>
  <c r="D313" i="21"/>
  <c r="F313" i="21"/>
  <c r="B314" i="21"/>
  <c r="D314" i="21"/>
  <c r="F314" i="21"/>
  <c r="B315" i="21"/>
  <c r="D315" i="21"/>
  <c r="F315" i="21"/>
  <c r="B316" i="21"/>
  <c r="D316" i="21"/>
  <c r="F316" i="21"/>
  <c r="B317" i="21"/>
  <c r="D317" i="21"/>
  <c r="F317" i="21"/>
  <c r="B318" i="21"/>
  <c r="D318" i="21"/>
  <c r="F318" i="21"/>
  <c r="B319" i="21"/>
  <c r="D319" i="21"/>
  <c r="F319" i="21"/>
  <c r="B320" i="21"/>
  <c r="D320" i="21"/>
  <c r="F320" i="21"/>
  <c r="B321" i="21"/>
  <c r="D321" i="21"/>
  <c r="F321" i="21"/>
  <c r="B322" i="21"/>
  <c r="D322" i="21"/>
  <c r="F322" i="21"/>
  <c r="B323" i="21"/>
  <c r="D323" i="21"/>
  <c r="F323" i="21"/>
  <c r="B324" i="21"/>
  <c r="D324" i="21"/>
  <c r="F324" i="21"/>
  <c r="B325" i="21"/>
  <c r="D325" i="21"/>
  <c r="F325" i="21"/>
  <c r="B326" i="21"/>
  <c r="D326" i="21"/>
  <c r="F326" i="21"/>
  <c r="B327" i="21"/>
  <c r="D327" i="21"/>
  <c r="F327" i="21"/>
  <c r="B328" i="21"/>
  <c r="D328" i="21"/>
  <c r="F328" i="21"/>
  <c r="B329" i="21"/>
  <c r="D329" i="21"/>
  <c r="F329" i="21"/>
  <c r="B330" i="21"/>
  <c r="D330" i="21"/>
  <c r="F330" i="21"/>
  <c r="B331" i="21"/>
  <c r="D331" i="21"/>
  <c r="F331" i="21"/>
  <c r="B332" i="21"/>
  <c r="D332" i="21"/>
  <c r="F332" i="21"/>
  <c r="B333" i="21"/>
  <c r="D333" i="21"/>
  <c r="F333" i="21"/>
  <c r="B334" i="21"/>
  <c r="D334" i="21"/>
  <c r="F334" i="21"/>
  <c r="B335" i="21"/>
  <c r="D335" i="21"/>
  <c r="F335" i="21"/>
  <c r="B336" i="21"/>
  <c r="D336" i="21"/>
  <c r="F336" i="21"/>
  <c r="B337" i="21"/>
  <c r="D337" i="21"/>
  <c r="F337" i="21"/>
  <c r="B338" i="21"/>
  <c r="D338" i="21"/>
  <c r="F338" i="21"/>
  <c r="B339" i="21"/>
  <c r="D339" i="21"/>
  <c r="F339" i="21"/>
  <c r="B340" i="21"/>
  <c r="D340" i="21"/>
  <c r="F340" i="21"/>
  <c r="B341" i="21"/>
  <c r="D341" i="21"/>
  <c r="F341" i="21"/>
  <c r="B342" i="21"/>
  <c r="D342" i="21"/>
  <c r="F342" i="21"/>
  <c r="B343" i="21"/>
  <c r="D343" i="21"/>
  <c r="F343" i="21"/>
  <c r="B344" i="21"/>
  <c r="D344" i="21"/>
  <c r="F344" i="21"/>
  <c r="B345" i="21"/>
  <c r="D345" i="21"/>
  <c r="F345" i="21"/>
  <c r="B346" i="21"/>
  <c r="D346" i="21"/>
  <c r="F346" i="21"/>
  <c r="B347" i="21"/>
  <c r="D347" i="21"/>
  <c r="F347" i="21"/>
  <c r="B348" i="21"/>
  <c r="D348" i="21"/>
  <c r="F348" i="21"/>
  <c r="B349" i="21"/>
  <c r="D349" i="21"/>
  <c r="F349" i="21"/>
  <c r="B350" i="21"/>
  <c r="D350" i="21"/>
  <c r="F350" i="21"/>
  <c r="B351" i="21"/>
  <c r="D351" i="21"/>
  <c r="F351" i="21"/>
  <c r="B352" i="21"/>
  <c r="D352" i="21"/>
  <c r="F352" i="21"/>
  <c r="B353" i="21"/>
  <c r="D353" i="21"/>
  <c r="F353" i="21"/>
  <c r="B354" i="21"/>
  <c r="D354" i="21"/>
  <c r="F354" i="21"/>
  <c r="B355" i="21"/>
  <c r="D355" i="21"/>
  <c r="F355" i="21"/>
  <c r="B356" i="21"/>
  <c r="D356" i="21"/>
  <c r="F356" i="21"/>
  <c r="B357" i="21"/>
  <c r="D357" i="21"/>
  <c r="F357" i="21"/>
  <c r="B358" i="21"/>
  <c r="D358" i="21"/>
  <c r="F358" i="21"/>
  <c r="B359" i="21"/>
  <c r="D359" i="21"/>
  <c r="F359" i="21"/>
  <c r="B360" i="21"/>
  <c r="D360" i="21"/>
  <c r="F360" i="21"/>
  <c r="B361" i="21"/>
  <c r="D361" i="21"/>
  <c r="F361" i="21"/>
  <c r="B362" i="21"/>
  <c r="D362" i="21"/>
  <c r="F362" i="21"/>
  <c r="B363" i="21"/>
  <c r="D363" i="21"/>
  <c r="F363" i="21"/>
  <c r="B364" i="21"/>
  <c r="D364" i="21"/>
  <c r="F364" i="21"/>
  <c r="B365" i="21"/>
  <c r="D365" i="21"/>
  <c r="F365" i="21"/>
  <c r="B366" i="21"/>
  <c r="D366" i="21"/>
  <c r="F366" i="21"/>
  <c r="B367" i="21"/>
  <c r="D367" i="21"/>
  <c r="F367" i="21"/>
  <c r="B368" i="21"/>
  <c r="D368" i="21"/>
  <c r="F368" i="21"/>
  <c r="B369" i="21"/>
  <c r="D369" i="21"/>
  <c r="F369" i="21"/>
  <c r="B370" i="21"/>
  <c r="D370" i="21"/>
  <c r="F370" i="21"/>
  <c r="B371" i="21"/>
  <c r="D371" i="21"/>
  <c r="F371" i="21"/>
  <c r="B372" i="21"/>
  <c r="D372" i="21"/>
  <c r="F372" i="21"/>
  <c r="B373" i="21"/>
  <c r="D373" i="21"/>
  <c r="F373" i="21"/>
  <c r="B374" i="21"/>
  <c r="D374" i="21"/>
  <c r="F374" i="21"/>
  <c r="B375" i="21"/>
  <c r="D375" i="21"/>
  <c r="F375" i="21"/>
  <c r="B376" i="21"/>
  <c r="D376" i="21"/>
  <c r="F376" i="21"/>
  <c r="B377" i="21"/>
  <c r="D377" i="21"/>
  <c r="F377" i="21"/>
  <c r="B378" i="21"/>
  <c r="D378" i="21"/>
  <c r="F378" i="21"/>
  <c r="B379" i="21"/>
  <c r="D379" i="21"/>
  <c r="F379" i="21"/>
  <c r="B380" i="21"/>
  <c r="D380" i="21"/>
  <c r="F380" i="21"/>
  <c r="B381" i="21"/>
  <c r="D381" i="21"/>
  <c r="F381" i="21"/>
  <c r="B382" i="21"/>
  <c r="D382" i="21"/>
  <c r="F382" i="21"/>
  <c r="B383" i="21"/>
  <c r="D383" i="21"/>
  <c r="F383" i="21"/>
  <c r="B384" i="21"/>
  <c r="D384" i="21"/>
  <c r="F384" i="21"/>
  <c r="B385" i="21"/>
  <c r="D385" i="21"/>
  <c r="F385" i="21"/>
  <c r="B386" i="21"/>
  <c r="D386" i="21"/>
  <c r="F386" i="21"/>
  <c r="B387" i="21"/>
  <c r="D387" i="21"/>
  <c r="F387" i="21"/>
  <c r="B388" i="21"/>
  <c r="D388" i="21"/>
  <c r="F388" i="21"/>
  <c r="B389" i="21"/>
  <c r="D389" i="21"/>
  <c r="F389" i="21"/>
  <c r="B390" i="21"/>
  <c r="D390" i="21"/>
  <c r="F390" i="21"/>
  <c r="B391" i="21"/>
  <c r="D391" i="21"/>
  <c r="F391" i="21"/>
  <c r="B392" i="21"/>
  <c r="D392" i="21"/>
  <c r="F392" i="21"/>
  <c r="B393" i="21"/>
  <c r="D393" i="21"/>
  <c r="F393" i="21"/>
  <c r="B394" i="21"/>
  <c r="D394" i="21"/>
  <c r="F394" i="21"/>
  <c r="B395" i="21"/>
  <c r="D395" i="21"/>
  <c r="F395" i="21"/>
  <c r="B396" i="21"/>
  <c r="D396" i="21"/>
  <c r="F396" i="21"/>
  <c r="B397" i="21"/>
  <c r="D397" i="21"/>
  <c r="F397" i="21"/>
  <c r="B398" i="21"/>
  <c r="D398" i="21"/>
  <c r="F398" i="21"/>
  <c r="B399" i="21"/>
  <c r="D399" i="21"/>
  <c r="F399" i="21"/>
  <c r="B400" i="21"/>
  <c r="D400" i="21"/>
  <c r="F400" i="21"/>
  <c r="B401" i="21"/>
  <c r="D401" i="21"/>
  <c r="F401" i="21"/>
  <c r="B402" i="21"/>
  <c r="D402" i="21"/>
  <c r="F402" i="21"/>
  <c r="B403" i="21"/>
  <c r="D403" i="21"/>
  <c r="F403" i="21"/>
  <c r="B404" i="21"/>
  <c r="D404" i="21"/>
  <c r="F404" i="21"/>
  <c r="B405" i="21"/>
  <c r="D405" i="21"/>
  <c r="F405" i="21"/>
  <c r="B406" i="21"/>
  <c r="D406" i="21"/>
  <c r="F406" i="21"/>
  <c r="B407" i="21"/>
  <c r="D407" i="21"/>
  <c r="F407" i="21"/>
  <c r="B408" i="21"/>
  <c r="D408" i="21"/>
  <c r="F408" i="21"/>
  <c r="B409" i="21"/>
  <c r="D409" i="21"/>
  <c r="F409" i="21"/>
  <c r="B410" i="21"/>
  <c r="D410" i="21"/>
  <c r="F410" i="21"/>
  <c r="B411" i="21"/>
  <c r="D411" i="21"/>
  <c r="F411" i="21"/>
  <c r="B412" i="21"/>
  <c r="D412" i="21"/>
  <c r="F412" i="21"/>
  <c r="B413" i="21"/>
  <c r="D413" i="21"/>
  <c r="F413" i="21"/>
  <c r="B414" i="21"/>
  <c r="D414" i="21"/>
  <c r="F414" i="21"/>
  <c r="B415" i="21"/>
  <c r="D415" i="21"/>
  <c r="F415" i="21"/>
  <c r="B416" i="21"/>
  <c r="D416" i="21"/>
  <c r="F416" i="21"/>
  <c r="B417" i="21"/>
  <c r="D417" i="21"/>
  <c r="F417" i="21"/>
  <c r="B418" i="21"/>
  <c r="D418" i="21"/>
  <c r="F418" i="21"/>
  <c r="B419" i="21"/>
  <c r="D419" i="21"/>
  <c r="F419" i="21"/>
  <c r="B420" i="21"/>
  <c r="D420" i="21"/>
  <c r="F420" i="21"/>
  <c r="B421" i="21"/>
  <c r="D421" i="21"/>
  <c r="F421" i="21"/>
  <c r="B422" i="21"/>
  <c r="D422" i="21"/>
  <c r="F422" i="21"/>
  <c r="B423" i="21"/>
  <c r="D423" i="21"/>
  <c r="F423" i="21"/>
  <c r="B424" i="21"/>
  <c r="D424" i="21"/>
  <c r="F424" i="21"/>
  <c r="B425" i="21"/>
  <c r="D425" i="21"/>
  <c r="F425" i="21"/>
  <c r="B426" i="21"/>
  <c r="D426" i="21"/>
  <c r="F426" i="21"/>
  <c r="B427" i="21"/>
  <c r="D427" i="21"/>
  <c r="F427" i="21"/>
  <c r="B428" i="21"/>
  <c r="D428" i="21"/>
  <c r="F428" i="21"/>
  <c r="B429" i="21"/>
  <c r="D429" i="21"/>
  <c r="F429" i="21"/>
  <c r="B430" i="21"/>
  <c r="D430" i="21"/>
  <c r="F430" i="21"/>
  <c r="B431" i="21"/>
  <c r="D431" i="21"/>
  <c r="F431" i="21"/>
  <c r="B432" i="21"/>
  <c r="D432" i="21"/>
  <c r="F432" i="21"/>
  <c r="B433" i="21"/>
  <c r="D433" i="21"/>
  <c r="F433" i="21"/>
  <c r="B434" i="21"/>
  <c r="D434" i="21"/>
  <c r="F434" i="21"/>
  <c r="B435" i="21"/>
  <c r="D435" i="21"/>
  <c r="F435" i="21"/>
  <c r="B436" i="21"/>
  <c r="D436" i="21"/>
  <c r="F436" i="21"/>
  <c r="B437" i="21"/>
  <c r="D437" i="21"/>
  <c r="F437" i="21"/>
  <c r="B438" i="21"/>
  <c r="D438" i="21"/>
  <c r="F438" i="21"/>
  <c r="B439" i="21"/>
  <c r="D439" i="21"/>
  <c r="F439" i="21"/>
  <c r="B440" i="21"/>
  <c r="D440" i="21"/>
  <c r="F440" i="21"/>
  <c r="B441" i="21"/>
  <c r="D441" i="21"/>
  <c r="F441" i="21"/>
  <c r="B442" i="21"/>
  <c r="D442" i="21"/>
  <c r="F442" i="21"/>
  <c r="B443" i="21"/>
  <c r="D443" i="21"/>
  <c r="F443" i="21"/>
  <c r="B444" i="21"/>
  <c r="D444" i="21"/>
  <c r="F444" i="21"/>
  <c r="B445" i="21"/>
  <c r="D445" i="21"/>
  <c r="F445" i="21"/>
  <c r="B446" i="21"/>
  <c r="D446" i="21"/>
  <c r="F446" i="21"/>
  <c r="B447" i="21"/>
  <c r="D447" i="21"/>
  <c r="F447" i="21"/>
  <c r="B448" i="21"/>
  <c r="D448" i="21"/>
  <c r="F448" i="21"/>
  <c r="B449" i="21"/>
  <c r="D449" i="21"/>
  <c r="F449" i="21"/>
  <c r="B450" i="21"/>
  <c r="D450" i="21"/>
  <c r="F450" i="21"/>
  <c r="B451" i="21"/>
  <c r="D451" i="21"/>
  <c r="F451" i="21"/>
  <c r="B452" i="21"/>
  <c r="D452" i="21"/>
  <c r="F452" i="21"/>
  <c r="B453" i="21"/>
  <c r="D453" i="21"/>
  <c r="F453" i="21"/>
  <c r="B454" i="21"/>
  <c r="D454" i="21"/>
  <c r="F454" i="21"/>
  <c r="B455" i="21"/>
  <c r="D455" i="21"/>
  <c r="F455" i="21"/>
  <c r="B456" i="21"/>
  <c r="D456" i="21"/>
  <c r="F456" i="21"/>
  <c r="B457" i="21"/>
  <c r="D457" i="21"/>
  <c r="F457" i="21"/>
  <c r="B458" i="21"/>
  <c r="D458" i="21"/>
  <c r="F458" i="21"/>
  <c r="B459" i="21"/>
  <c r="D459" i="21"/>
  <c r="F459" i="21"/>
  <c r="B460" i="21"/>
  <c r="D460" i="21"/>
  <c r="F460" i="21"/>
  <c r="B461" i="21"/>
  <c r="D461" i="21"/>
  <c r="F461" i="21"/>
  <c r="B462" i="21"/>
  <c r="D462" i="21"/>
  <c r="F462" i="21"/>
  <c r="B463" i="21"/>
  <c r="D463" i="21"/>
  <c r="F463" i="21"/>
  <c r="B464" i="21"/>
  <c r="D464" i="21"/>
  <c r="F464" i="21"/>
  <c r="B465" i="21"/>
  <c r="D465" i="21"/>
  <c r="F465" i="21"/>
  <c r="B466" i="21"/>
  <c r="D466" i="21"/>
  <c r="F466" i="21"/>
  <c r="B467" i="21"/>
  <c r="D467" i="21"/>
  <c r="F467" i="21"/>
  <c r="B468" i="21"/>
  <c r="D468" i="21"/>
  <c r="F468" i="21"/>
  <c r="B469" i="21"/>
  <c r="D469" i="21"/>
  <c r="F469" i="21"/>
  <c r="B470" i="21"/>
  <c r="D470" i="21"/>
  <c r="F470" i="21"/>
  <c r="B471" i="21"/>
  <c r="D471" i="21"/>
  <c r="F471" i="21"/>
  <c r="B472" i="21"/>
  <c r="D472" i="21"/>
  <c r="F472" i="21"/>
  <c r="B473" i="21"/>
  <c r="D473" i="21"/>
  <c r="F473" i="21"/>
  <c r="B474" i="21"/>
  <c r="D474" i="21"/>
  <c r="F474" i="21"/>
  <c r="B475" i="21"/>
  <c r="D475" i="21"/>
  <c r="F475" i="21"/>
  <c r="B476" i="21"/>
  <c r="D476" i="21"/>
  <c r="F476" i="21"/>
  <c r="B477" i="21"/>
  <c r="D477" i="21"/>
  <c r="F477" i="21"/>
  <c r="B478" i="21"/>
  <c r="D478" i="21"/>
  <c r="F478" i="21"/>
  <c r="B479" i="21"/>
  <c r="D479" i="21"/>
  <c r="F479" i="21"/>
  <c r="B480" i="21"/>
  <c r="D480" i="21"/>
  <c r="F480" i="21"/>
  <c r="B481" i="21"/>
  <c r="D481" i="21"/>
  <c r="F481" i="21"/>
  <c r="B482" i="21"/>
  <c r="D482" i="21"/>
  <c r="F482" i="21"/>
  <c r="B483" i="21"/>
  <c r="D483" i="21"/>
  <c r="F483" i="21"/>
  <c r="B484" i="21"/>
  <c r="D484" i="21"/>
  <c r="F484" i="21"/>
  <c r="B485" i="21"/>
  <c r="D485" i="21"/>
  <c r="F485" i="21"/>
  <c r="B486" i="21"/>
  <c r="D486" i="21"/>
  <c r="F486" i="21"/>
  <c r="B487" i="21"/>
  <c r="D487" i="21"/>
  <c r="F487" i="21"/>
  <c r="B488" i="21"/>
  <c r="D488" i="21"/>
  <c r="F488" i="21"/>
  <c r="B489" i="21"/>
  <c r="D489" i="21"/>
  <c r="F489" i="21"/>
  <c r="B490" i="21"/>
  <c r="D490" i="21"/>
  <c r="F490" i="21"/>
  <c r="B491" i="21"/>
  <c r="D491" i="21"/>
  <c r="F491" i="21"/>
  <c r="B492" i="21"/>
  <c r="D492" i="21"/>
  <c r="F492" i="21"/>
  <c r="B493" i="21"/>
  <c r="D493" i="21"/>
  <c r="F493" i="21"/>
  <c r="B494" i="21"/>
  <c r="D494" i="21"/>
  <c r="F494" i="21"/>
  <c r="B495" i="21"/>
  <c r="D495" i="21"/>
  <c r="F495" i="21"/>
  <c r="B496" i="21"/>
  <c r="D496" i="21"/>
  <c r="F496" i="21"/>
  <c r="B497" i="21"/>
  <c r="D497" i="21"/>
  <c r="F497" i="21"/>
  <c r="B498" i="21"/>
  <c r="D498" i="21"/>
  <c r="F498" i="21"/>
  <c r="B499" i="21"/>
  <c r="D499" i="21"/>
  <c r="F499" i="21"/>
  <c r="B500" i="21"/>
  <c r="D500" i="21"/>
  <c r="F500" i="21"/>
  <c r="B501" i="21"/>
  <c r="D501" i="21"/>
  <c r="F501" i="21"/>
  <c r="B502" i="21"/>
  <c r="D502" i="21"/>
  <c r="F502" i="21"/>
  <c r="B503" i="21"/>
  <c r="D503" i="21"/>
  <c r="F503" i="21"/>
  <c r="B504" i="21"/>
  <c r="D504" i="21"/>
  <c r="F504" i="21"/>
  <c r="B505" i="21"/>
  <c r="D505" i="21"/>
  <c r="F505" i="21"/>
  <c r="B506" i="21"/>
  <c r="D506" i="21"/>
  <c r="F506" i="21"/>
  <c r="B507" i="21"/>
  <c r="D507" i="21"/>
  <c r="F507" i="21"/>
  <c r="B508" i="21"/>
  <c r="D508" i="21"/>
  <c r="F508" i="21"/>
  <c r="B509" i="21"/>
  <c r="D509" i="21"/>
  <c r="F509" i="21"/>
  <c r="B510" i="21"/>
  <c r="D510" i="21"/>
  <c r="F510" i="21"/>
  <c r="B511" i="21"/>
  <c r="D511" i="21"/>
  <c r="F511" i="21"/>
  <c r="B512" i="21"/>
  <c r="D512" i="21"/>
  <c r="F512" i="21"/>
  <c r="B513" i="21"/>
  <c r="D513" i="21"/>
  <c r="F513" i="21"/>
  <c r="B514" i="21"/>
  <c r="D514" i="21"/>
  <c r="F514" i="21"/>
  <c r="B515" i="21"/>
  <c r="D515" i="21"/>
  <c r="F515" i="21"/>
  <c r="B516" i="21"/>
  <c r="D516" i="21"/>
  <c r="F516" i="21"/>
  <c r="B517" i="21"/>
  <c r="D517" i="21"/>
  <c r="F517" i="21"/>
  <c r="B518" i="21"/>
  <c r="D518" i="21"/>
  <c r="F518" i="21"/>
  <c r="B519" i="21"/>
  <c r="D519" i="21"/>
  <c r="F519" i="21"/>
  <c r="B520" i="21"/>
  <c r="D520" i="21"/>
  <c r="F520" i="21"/>
  <c r="B521" i="21"/>
  <c r="D521" i="21"/>
  <c r="F521" i="21"/>
  <c r="B522" i="21"/>
  <c r="D522" i="21"/>
  <c r="F522" i="21"/>
  <c r="B523" i="21"/>
  <c r="D523" i="21"/>
  <c r="F523" i="21"/>
  <c r="B524" i="21"/>
  <c r="D524" i="21"/>
  <c r="F524" i="21"/>
  <c r="B525" i="21"/>
  <c r="D525" i="21"/>
  <c r="F525" i="21"/>
  <c r="B526" i="21"/>
  <c r="D526" i="21"/>
  <c r="F526" i="21"/>
  <c r="B527" i="21"/>
  <c r="D527" i="21"/>
  <c r="F527" i="21"/>
  <c r="B528" i="21"/>
  <c r="D528" i="21"/>
  <c r="F528" i="21"/>
  <c r="B529" i="21"/>
  <c r="D529" i="21"/>
  <c r="F529" i="21"/>
  <c r="B530" i="21"/>
  <c r="D530" i="21"/>
  <c r="F530" i="21"/>
  <c r="B531" i="21"/>
  <c r="D531" i="21"/>
  <c r="F531" i="21"/>
  <c r="B532" i="21"/>
  <c r="D532" i="21"/>
  <c r="F532" i="21"/>
  <c r="B533" i="21"/>
  <c r="D533" i="21"/>
  <c r="F533" i="21"/>
  <c r="B534" i="21"/>
  <c r="D534" i="21"/>
  <c r="F534" i="21"/>
  <c r="B535" i="21"/>
  <c r="D535" i="21"/>
  <c r="F535" i="21"/>
  <c r="B536" i="21"/>
  <c r="D536" i="21"/>
  <c r="F536" i="21"/>
  <c r="B537" i="21"/>
  <c r="D537" i="21"/>
  <c r="F537" i="21"/>
  <c r="B538" i="21"/>
  <c r="D538" i="21"/>
  <c r="F538" i="21"/>
  <c r="B539" i="21"/>
  <c r="D539" i="21"/>
  <c r="F539" i="21"/>
  <c r="B540" i="21"/>
  <c r="D540" i="21"/>
  <c r="F540" i="21"/>
  <c r="B541" i="21"/>
  <c r="D541" i="21"/>
  <c r="F541" i="21"/>
  <c r="B542" i="21"/>
  <c r="D542" i="21"/>
  <c r="F542" i="21"/>
  <c r="B543" i="21"/>
  <c r="D543" i="21"/>
  <c r="F543" i="21"/>
  <c r="B544" i="21"/>
  <c r="D544" i="21"/>
  <c r="F544" i="21"/>
  <c r="B545" i="21"/>
  <c r="D545" i="21"/>
  <c r="F545" i="21"/>
  <c r="B546" i="21"/>
  <c r="D546" i="21"/>
  <c r="F546" i="21"/>
  <c r="K9" i="2"/>
  <c r="I9" i="2"/>
  <c r="G9" i="2"/>
  <c r="E9" i="2"/>
  <c r="B9" i="2"/>
  <c r="F100" i="15"/>
  <c r="F101" i="15"/>
  <c r="F102" i="15"/>
  <c r="M100" i="15"/>
  <c r="O100" i="15"/>
  <c r="Q100" i="15"/>
  <c r="M101" i="15"/>
  <c r="O101" i="15"/>
  <c r="Q101" i="15"/>
  <c r="M102" i="15"/>
  <c r="O102" i="15"/>
  <c r="Q102" i="15"/>
  <c r="B100" i="15"/>
  <c r="B101" i="15"/>
  <c r="B102" i="15"/>
  <c r="F21" i="15" l="1"/>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M21" i="15"/>
  <c r="O21" i="15"/>
  <c r="Q21" i="15"/>
  <c r="M22" i="15"/>
  <c r="O22" i="15"/>
  <c r="Q22" i="15"/>
  <c r="M23" i="15"/>
  <c r="O23" i="15"/>
  <c r="Q23" i="15"/>
  <c r="M24" i="15"/>
  <c r="O24" i="15"/>
  <c r="Q24" i="15"/>
  <c r="M25" i="15"/>
  <c r="O25" i="15"/>
  <c r="Q25" i="15"/>
  <c r="M26" i="15"/>
  <c r="O26" i="15"/>
  <c r="Q26" i="15"/>
  <c r="M27" i="15"/>
  <c r="O27" i="15"/>
  <c r="Q27" i="15"/>
  <c r="M28" i="15"/>
  <c r="O28" i="15"/>
  <c r="Q28" i="15"/>
  <c r="M29" i="15"/>
  <c r="O29" i="15"/>
  <c r="Q29" i="15"/>
  <c r="M30" i="15"/>
  <c r="O30" i="15"/>
  <c r="Q30" i="15"/>
  <c r="M31" i="15"/>
  <c r="O31" i="15"/>
  <c r="Q31" i="15"/>
  <c r="M32" i="15"/>
  <c r="O32" i="15"/>
  <c r="Q32" i="15"/>
  <c r="M33" i="15"/>
  <c r="O33" i="15"/>
  <c r="Q33" i="15"/>
  <c r="M34" i="15"/>
  <c r="O34" i="15"/>
  <c r="Q34" i="15"/>
  <c r="M35" i="15"/>
  <c r="O35" i="15"/>
  <c r="Q35" i="15"/>
  <c r="M36" i="15"/>
  <c r="O36" i="15"/>
  <c r="Q36" i="15"/>
  <c r="M37" i="15"/>
  <c r="O37" i="15"/>
  <c r="Q37" i="15"/>
  <c r="M38" i="15"/>
  <c r="O38" i="15"/>
  <c r="Q38" i="15"/>
  <c r="M39" i="15"/>
  <c r="O39" i="15"/>
  <c r="Q39" i="15"/>
  <c r="M40" i="15"/>
  <c r="O40" i="15"/>
  <c r="Q40" i="15"/>
  <c r="M41" i="15"/>
  <c r="O41" i="15"/>
  <c r="Q41" i="15"/>
  <c r="M42" i="15"/>
  <c r="O42" i="15"/>
  <c r="Q42" i="15"/>
  <c r="M43" i="15"/>
  <c r="O43" i="15"/>
  <c r="Q43" i="15"/>
  <c r="M44" i="15"/>
  <c r="O44" i="15"/>
  <c r="Q44" i="15"/>
  <c r="M45" i="15"/>
  <c r="O45" i="15"/>
  <c r="Q45" i="15"/>
  <c r="M46" i="15"/>
  <c r="O46" i="15"/>
  <c r="Q46" i="15"/>
  <c r="M47" i="15"/>
  <c r="O47" i="15"/>
  <c r="Q47" i="15"/>
  <c r="M48" i="15"/>
  <c r="O48" i="15"/>
  <c r="Q48" i="15"/>
  <c r="M49" i="15"/>
  <c r="O49" i="15"/>
  <c r="Q49" i="15"/>
  <c r="M50" i="15"/>
  <c r="O50" i="15"/>
  <c r="Q50" i="15"/>
  <c r="M51" i="15"/>
  <c r="O51" i="15"/>
  <c r="Q51" i="15"/>
  <c r="M52" i="15"/>
  <c r="O52" i="15"/>
  <c r="Q52" i="15"/>
  <c r="M53" i="15"/>
  <c r="O53" i="15"/>
  <c r="Q53" i="15"/>
  <c r="M54" i="15"/>
  <c r="O54" i="15"/>
  <c r="Q54" i="15"/>
  <c r="M55" i="15"/>
  <c r="O55" i="15"/>
  <c r="Q55" i="15"/>
  <c r="M56" i="15"/>
  <c r="O56" i="15"/>
  <c r="Q56" i="15"/>
  <c r="M57" i="15"/>
  <c r="O57" i="15"/>
  <c r="Q57" i="15"/>
  <c r="M58" i="15"/>
  <c r="O58" i="15"/>
  <c r="Q58" i="15"/>
  <c r="M59" i="15"/>
  <c r="O59" i="15"/>
  <c r="Q59" i="15"/>
  <c r="M60" i="15"/>
  <c r="O60" i="15"/>
  <c r="Q60" i="15"/>
  <c r="M61" i="15"/>
  <c r="O61" i="15"/>
  <c r="Q61" i="15"/>
  <c r="M62" i="15"/>
  <c r="O62" i="15"/>
  <c r="Q62" i="15"/>
  <c r="M63" i="15"/>
  <c r="O63" i="15"/>
  <c r="Q63" i="15"/>
  <c r="M64" i="15"/>
  <c r="O64" i="15"/>
  <c r="Q64" i="15"/>
  <c r="M65" i="15"/>
  <c r="O65" i="15"/>
  <c r="Q65" i="15"/>
  <c r="M66" i="15"/>
  <c r="O66" i="15"/>
  <c r="Q66" i="15"/>
  <c r="M67" i="15"/>
  <c r="O67" i="15"/>
  <c r="Q67" i="15"/>
  <c r="M68" i="15"/>
  <c r="O68" i="15"/>
  <c r="Q68" i="15"/>
  <c r="M69" i="15"/>
  <c r="O69" i="15"/>
  <c r="Q69" i="15"/>
  <c r="M70" i="15"/>
  <c r="O70" i="15"/>
  <c r="Q70" i="15"/>
  <c r="M71" i="15"/>
  <c r="O71" i="15"/>
  <c r="Q71" i="15"/>
  <c r="M72" i="15"/>
  <c r="O72" i="15"/>
  <c r="Q72" i="15"/>
  <c r="M73" i="15"/>
  <c r="O73" i="15"/>
  <c r="Q73" i="15"/>
  <c r="M74" i="15"/>
  <c r="O74" i="15"/>
  <c r="Q74" i="15"/>
  <c r="M75" i="15"/>
  <c r="O75" i="15"/>
  <c r="Q75" i="15"/>
  <c r="M76" i="15"/>
  <c r="O76" i="15"/>
  <c r="Q76" i="15"/>
  <c r="M77" i="15"/>
  <c r="O77" i="15"/>
  <c r="Q77" i="15"/>
  <c r="M78" i="15"/>
  <c r="O78" i="15"/>
  <c r="Q78" i="15"/>
  <c r="M79" i="15"/>
  <c r="O79" i="15"/>
  <c r="Q79" i="15"/>
  <c r="M80" i="15"/>
  <c r="O80" i="15"/>
  <c r="Q80" i="15"/>
  <c r="M81" i="15"/>
  <c r="O81" i="15"/>
  <c r="Q81" i="15"/>
  <c r="M82" i="15"/>
  <c r="O82" i="15"/>
  <c r="Q82" i="15"/>
  <c r="M83" i="15"/>
  <c r="O83" i="15"/>
  <c r="Q83" i="15"/>
  <c r="M84" i="15"/>
  <c r="O84" i="15"/>
  <c r="Q84" i="15"/>
  <c r="M85" i="15"/>
  <c r="O85" i="15"/>
  <c r="Q85" i="15"/>
  <c r="M86" i="15"/>
  <c r="O86" i="15"/>
  <c r="Q86" i="15"/>
  <c r="M87" i="15"/>
  <c r="O87" i="15"/>
  <c r="Q87" i="15"/>
  <c r="M88" i="15"/>
  <c r="O88" i="15"/>
  <c r="Q88" i="15"/>
  <c r="M89" i="15"/>
  <c r="O89" i="15"/>
  <c r="Q89" i="15"/>
  <c r="M90" i="15"/>
  <c r="O90" i="15"/>
  <c r="Q90" i="15"/>
  <c r="M91" i="15"/>
  <c r="O91" i="15"/>
  <c r="Q91" i="15"/>
  <c r="M92" i="15"/>
  <c r="O92" i="15"/>
  <c r="Q92" i="15"/>
  <c r="M93" i="15"/>
  <c r="O93" i="15"/>
  <c r="Q93" i="15"/>
  <c r="M94" i="15"/>
  <c r="O94" i="15"/>
  <c r="Q94"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Q20" i="15"/>
  <c r="O20" i="15"/>
  <c r="M20" i="15"/>
  <c r="Q19" i="15"/>
  <c r="O19" i="15"/>
  <c r="M19" i="15"/>
  <c r="B20" i="15"/>
  <c r="F20" i="15"/>
  <c r="B19" i="15"/>
  <c r="F19" i="15"/>
  <c r="F3" i="15"/>
  <c r="F4" i="15"/>
  <c r="F5" i="15"/>
  <c r="F97" i="15"/>
  <c r="F98" i="15"/>
  <c r="F6" i="15"/>
  <c r="F7" i="15"/>
  <c r="F8" i="15"/>
  <c r="F96" i="15"/>
  <c r="F9" i="15"/>
  <c r="F99" i="15"/>
  <c r="F10" i="15"/>
  <c r="F11" i="15"/>
  <c r="F12" i="15"/>
  <c r="F95" i="15"/>
  <c r="F13" i="15"/>
  <c r="F14" i="15"/>
  <c r="F15" i="15"/>
  <c r="F16" i="15"/>
  <c r="F17" i="15"/>
  <c r="F18" i="15"/>
  <c r="F2" i="15"/>
  <c r="E5" i="27"/>
  <c r="E4" i="27"/>
  <c r="E3" i="27"/>
  <c r="E2" i="27"/>
  <c r="M9" i="15"/>
  <c r="O9" i="15"/>
  <c r="Q9" i="15"/>
  <c r="M99" i="15"/>
  <c r="O99" i="15"/>
  <c r="Q99" i="15"/>
  <c r="M10" i="15"/>
  <c r="O10" i="15"/>
  <c r="Q10" i="15"/>
  <c r="M11" i="15"/>
  <c r="O11" i="15"/>
  <c r="Q11" i="15"/>
  <c r="M12" i="15"/>
  <c r="O12" i="15"/>
  <c r="Q12" i="15"/>
  <c r="M95" i="15"/>
  <c r="O95" i="15"/>
  <c r="Q95" i="15"/>
  <c r="M13" i="15"/>
  <c r="O13" i="15"/>
  <c r="Q13" i="15"/>
  <c r="M14" i="15"/>
  <c r="O14" i="15"/>
  <c r="Q14" i="15"/>
  <c r="M15" i="15"/>
  <c r="O15" i="15"/>
  <c r="Q15" i="15"/>
  <c r="M16" i="15"/>
  <c r="O16" i="15"/>
  <c r="Q16" i="15"/>
  <c r="M17" i="15"/>
  <c r="O17" i="15"/>
  <c r="Q17" i="15"/>
  <c r="M18" i="15"/>
  <c r="O18" i="15"/>
  <c r="Q18" i="15"/>
  <c r="B9" i="15"/>
  <c r="B99" i="15"/>
  <c r="B10" i="15"/>
  <c r="B11" i="15"/>
  <c r="B12" i="15"/>
  <c r="B95" i="15"/>
  <c r="B13" i="15"/>
  <c r="B14" i="15"/>
  <c r="B15" i="15"/>
  <c r="B16" i="15"/>
  <c r="B17" i="15"/>
  <c r="B18" i="15"/>
  <c r="H5" i="15"/>
  <c r="H98" i="15"/>
  <c r="H6" i="15"/>
  <c r="H96" i="15"/>
  <c r="F20" i="17"/>
  <c r="F17" i="17"/>
  <c r="F18" i="17"/>
  <c r="F19" i="17"/>
  <c r="F17" i="26"/>
  <c r="D17" i="26"/>
  <c r="B17" i="26"/>
  <c r="F16" i="26"/>
  <c r="D16" i="26"/>
  <c r="B16" i="26"/>
  <c r="F15" i="26"/>
  <c r="D15" i="26"/>
  <c r="B15" i="26"/>
  <c r="F14" i="26"/>
  <c r="D14" i="26"/>
  <c r="B14" i="26"/>
  <c r="F13" i="26"/>
  <c r="D13" i="26"/>
  <c r="B13" i="26"/>
  <c r="F12" i="26"/>
  <c r="D12" i="26"/>
  <c r="B12" i="26"/>
  <c r="F11" i="26"/>
  <c r="D11" i="26"/>
  <c r="B11" i="26"/>
  <c r="F10" i="26"/>
  <c r="D10" i="26"/>
  <c r="B10" i="26"/>
  <c r="F9" i="26"/>
  <c r="D9" i="26"/>
  <c r="B9" i="26"/>
  <c r="F8" i="26"/>
  <c r="D8" i="26"/>
  <c r="B8" i="26"/>
  <c r="F7" i="26"/>
  <c r="D7" i="26"/>
  <c r="B7" i="26"/>
  <c r="F6" i="26"/>
  <c r="D6" i="26"/>
  <c r="B6" i="26"/>
  <c r="F5" i="26"/>
  <c r="D5" i="26"/>
  <c r="B5" i="26"/>
  <c r="F4" i="26"/>
  <c r="D4" i="26"/>
  <c r="B4" i="26"/>
  <c r="F3" i="26"/>
  <c r="D3" i="26"/>
  <c r="B3" i="26"/>
  <c r="F2" i="26"/>
  <c r="D2" i="26"/>
  <c r="B2" i="26"/>
  <c r="G17" i="24"/>
  <c r="D17" i="24"/>
  <c r="B17" i="24"/>
  <c r="G16" i="24"/>
  <c r="D16" i="24"/>
  <c r="B16" i="24"/>
  <c r="G15" i="24"/>
  <c r="D15" i="24"/>
  <c r="B15" i="24"/>
  <c r="G14" i="24"/>
  <c r="D14" i="24"/>
  <c r="B14" i="24"/>
  <c r="G13" i="24"/>
  <c r="D13" i="24"/>
  <c r="B13" i="24"/>
  <c r="G12" i="24"/>
  <c r="D12" i="24"/>
  <c r="B12" i="24"/>
  <c r="G11" i="24"/>
  <c r="D11" i="24"/>
  <c r="B11" i="24"/>
  <c r="G10" i="24"/>
  <c r="D10" i="24"/>
  <c r="B10" i="24"/>
  <c r="G9" i="24"/>
  <c r="D9" i="24"/>
  <c r="B9" i="24"/>
  <c r="G8" i="24"/>
  <c r="D8" i="24"/>
  <c r="B8" i="24"/>
  <c r="G7" i="24"/>
  <c r="D7" i="24"/>
  <c r="B7" i="24"/>
  <c r="G6" i="24"/>
  <c r="D6" i="24"/>
  <c r="B6" i="24"/>
  <c r="G5" i="24"/>
  <c r="D5" i="24"/>
  <c r="B5" i="24"/>
  <c r="G4" i="24"/>
  <c r="D4" i="24"/>
  <c r="B4" i="24"/>
  <c r="G3" i="24"/>
  <c r="D3" i="24"/>
  <c r="B3" i="24"/>
  <c r="G2" i="24"/>
  <c r="D2" i="24"/>
  <c r="B2" i="24"/>
  <c r="F15" i="17"/>
  <c r="F16" i="17"/>
  <c r="H17" i="23"/>
  <c r="D17" i="23"/>
  <c r="B17" i="23"/>
  <c r="H16" i="23"/>
  <c r="D16" i="23"/>
  <c r="B16" i="23"/>
  <c r="H15" i="23"/>
  <c r="D15" i="23"/>
  <c r="B15" i="23"/>
  <c r="H14" i="23"/>
  <c r="D14" i="23"/>
  <c r="B14" i="23"/>
  <c r="H13" i="23"/>
  <c r="D13" i="23"/>
  <c r="B13" i="23"/>
  <c r="H12" i="23"/>
  <c r="D12" i="23"/>
  <c r="B12" i="23"/>
  <c r="H11" i="23"/>
  <c r="D11" i="23"/>
  <c r="B11" i="23"/>
  <c r="H10" i="23"/>
  <c r="D10" i="23"/>
  <c r="B10" i="23"/>
  <c r="H9" i="23"/>
  <c r="D9" i="23"/>
  <c r="B9" i="23"/>
  <c r="H8" i="23"/>
  <c r="D8" i="23"/>
  <c r="B8" i="23"/>
  <c r="H7" i="23"/>
  <c r="D7" i="23"/>
  <c r="B7" i="23"/>
  <c r="H6" i="23"/>
  <c r="D6" i="23"/>
  <c r="B6" i="23"/>
  <c r="H5" i="23"/>
  <c r="D5" i="23"/>
  <c r="B5" i="23"/>
  <c r="H4" i="23"/>
  <c r="D4" i="23"/>
  <c r="B4" i="23"/>
  <c r="H3" i="23"/>
  <c r="D3" i="23"/>
  <c r="B3" i="23"/>
  <c r="H2" i="23"/>
  <c r="D2" i="23"/>
  <c r="B2" i="23"/>
  <c r="B3" i="21"/>
  <c r="B4" i="21"/>
  <c r="B5" i="21"/>
  <c r="B6" i="21"/>
  <c r="B7" i="21"/>
  <c r="B8" i="21"/>
  <c r="B9" i="21"/>
  <c r="B10" i="21"/>
  <c r="B11" i="21"/>
  <c r="B12" i="21"/>
  <c r="B13" i="21"/>
  <c r="B14" i="21"/>
  <c r="B15" i="21"/>
  <c r="B16" i="21"/>
  <c r="B17" i="21"/>
  <c r="B2" i="21"/>
  <c r="F17" i="21"/>
  <c r="D17" i="21"/>
  <c r="F16" i="21"/>
  <c r="D16" i="21"/>
  <c r="F15" i="21"/>
  <c r="D15" i="21"/>
  <c r="F14" i="21"/>
  <c r="D14" i="21"/>
  <c r="F13" i="21"/>
  <c r="D13" i="21"/>
  <c r="F12" i="21"/>
  <c r="D12" i="21"/>
  <c r="F11" i="21"/>
  <c r="D11" i="21"/>
  <c r="F10" i="21"/>
  <c r="D10" i="21"/>
  <c r="F9" i="21"/>
  <c r="D9" i="21"/>
  <c r="F8" i="21"/>
  <c r="D8" i="21"/>
  <c r="F7" i="21"/>
  <c r="D7" i="21"/>
  <c r="F6" i="21"/>
  <c r="D6" i="21"/>
  <c r="F5" i="21"/>
  <c r="D5" i="21"/>
  <c r="F4" i="21"/>
  <c r="D4" i="21"/>
  <c r="F3" i="21"/>
  <c r="D3" i="21"/>
  <c r="F2" i="21"/>
  <c r="D2" i="21"/>
  <c r="I3" i="20"/>
  <c r="I4" i="20"/>
  <c r="I5" i="20"/>
  <c r="I6" i="20"/>
  <c r="I7" i="20"/>
  <c r="I8" i="20"/>
  <c r="F12" i="17"/>
  <c r="B3" i="15"/>
  <c r="B4" i="15"/>
  <c r="B5" i="15"/>
  <c r="B97" i="15"/>
  <c r="B98" i="15"/>
  <c r="B6" i="15"/>
  <c r="B7" i="15"/>
  <c r="B8" i="15"/>
  <c r="B96" i="15"/>
  <c r="B2" i="15"/>
  <c r="B7" i="2"/>
  <c r="B8" i="2"/>
  <c r="B2" i="2"/>
  <c r="B3" i="2"/>
  <c r="B4" i="2"/>
  <c r="B5" i="2"/>
  <c r="B6" i="2"/>
  <c r="B3" i="8"/>
  <c r="B4" i="8"/>
  <c r="B5" i="8"/>
  <c r="B6" i="8"/>
  <c r="B7" i="8"/>
  <c r="B8" i="8"/>
  <c r="B9" i="8"/>
  <c r="B10" i="8"/>
  <c r="B11" i="8"/>
  <c r="B12" i="8"/>
  <c r="B13" i="8"/>
  <c r="B2" i="8"/>
  <c r="B7" i="11"/>
  <c r="B8" i="11"/>
  <c r="B9" i="11"/>
  <c r="B10" i="11"/>
  <c r="B11" i="11"/>
  <c r="B12" i="11"/>
  <c r="B13" i="11"/>
  <c r="B14" i="11"/>
  <c r="B15" i="11"/>
  <c r="B16" i="11"/>
  <c r="B17" i="11"/>
  <c r="B18" i="11"/>
  <c r="B19" i="11"/>
  <c r="B20" i="11"/>
  <c r="B21" i="11"/>
  <c r="B22" i="11"/>
  <c r="B23" i="11"/>
  <c r="B24" i="11"/>
  <c r="B25" i="11"/>
  <c r="B26" i="11"/>
  <c r="B27" i="11"/>
  <c r="B3" i="13"/>
  <c r="B4" i="13"/>
  <c r="B5" i="13"/>
  <c r="B6" i="13"/>
  <c r="B7" i="13"/>
  <c r="B8" i="13"/>
  <c r="B9" i="13"/>
  <c r="B10" i="13"/>
  <c r="B11" i="13"/>
  <c r="B12" i="13"/>
  <c r="B13" i="13"/>
  <c r="B14" i="13"/>
  <c r="B15" i="13"/>
  <c r="B16" i="13"/>
  <c r="B17" i="13"/>
  <c r="B18" i="13"/>
  <c r="B19" i="13"/>
  <c r="B20" i="13"/>
  <c r="B21" i="13"/>
  <c r="I3" i="13"/>
  <c r="G3" i="13"/>
  <c r="E3" i="13"/>
  <c r="B2" i="13"/>
  <c r="B3" i="11"/>
  <c r="B4" i="11"/>
  <c r="B5" i="11"/>
  <c r="B6" i="11"/>
  <c r="B2" i="11"/>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2" i="18"/>
  <c r="K3" i="20"/>
  <c r="K4" i="20"/>
  <c r="K5" i="20"/>
  <c r="K6" i="20"/>
  <c r="K7" i="20"/>
  <c r="K8" i="20"/>
  <c r="K2" i="20"/>
  <c r="F14" i="17"/>
  <c r="I2" i="20"/>
  <c r="F2" i="20"/>
  <c r="F4" i="20"/>
  <c r="F5" i="20"/>
  <c r="F6" i="20"/>
  <c r="F7" i="20"/>
  <c r="F8" i="20"/>
  <c r="F3" i="20"/>
  <c r="F2193" i="19"/>
  <c r="I2193" i="19" s="1"/>
  <c r="E2193" i="19"/>
  <c r="D2193" i="19"/>
  <c r="C2193" i="19"/>
  <c r="B2193" i="19"/>
  <c r="E2192" i="19"/>
  <c r="F2192" i="19" s="1"/>
  <c r="I2192" i="19" s="1"/>
  <c r="D2192" i="19"/>
  <c r="C2192" i="19"/>
  <c r="B2192" i="19"/>
  <c r="F2191" i="19"/>
  <c r="I2191" i="19" s="1"/>
  <c r="E2191" i="19"/>
  <c r="D2191" i="19"/>
  <c r="C2191" i="19"/>
  <c r="B2191" i="19"/>
  <c r="E2190" i="19"/>
  <c r="F2190" i="19" s="1"/>
  <c r="I2190" i="19" s="1"/>
  <c r="D2190" i="19"/>
  <c r="C2190" i="19"/>
  <c r="B2190" i="19"/>
  <c r="F2189" i="19"/>
  <c r="I2189" i="19" s="1"/>
  <c r="E2189" i="19"/>
  <c r="D2189" i="19"/>
  <c r="C2189" i="19"/>
  <c r="B2189" i="19"/>
  <c r="E2188" i="19"/>
  <c r="F2188" i="19" s="1"/>
  <c r="I2188" i="19" s="1"/>
  <c r="D2188" i="19"/>
  <c r="C2188" i="19"/>
  <c r="B2188" i="19"/>
  <c r="F2187" i="19"/>
  <c r="I2187" i="19" s="1"/>
  <c r="E2187" i="19"/>
  <c r="D2187" i="19"/>
  <c r="C2187" i="19"/>
  <c r="B2187" i="19"/>
  <c r="E2186" i="19"/>
  <c r="F2186" i="19" s="1"/>
  <c r="I2186" i="19" s="1"/>
  <c r="D2186" i="19"/>
  <c r="C2186" i="19"/>
  <c r="B2186" i="19"/>
  <c r="F2185" i="19"/>
  <c r="I2185" i="19" s="1"/>
  <c r="E2185" i="19"/>
  <c r="D2185" i="19"/>
  <c r="C2185" i="19"/>
  <c r="B2185" i="19"/>
  <c r="E2184" i="19"/>
  <c r="F2184" i="19" s="1"/>
  <c r="I2184" i="19" s="1"/>
  <c r="D2184" i="19"/>
  <c r="C2184" i="19"/>
  <c r="B2184" i="19"/>
  <c r="F2183" i="19"/>
  <c r="I2183" i="19" s="1"/>
  <c r="E2183" i="19"/>
  <c r="D2183" i="19"/>
  <c r="C2183" i="19"/>
  <c r="B2183" i="19"/>
  <c r="E2182" i="19"/>
  <c r="F2182" i="19" s="1"/>
  <c r="I2182" i="19" s="1"/>
  <c r="D2182" i="19"/>
  <c r="C2182" i="19"/>
  <c r="B2182" i="19"/>
  <c r="F2181" i="19"/>
  <c r="I2181" i="19" s="1"/>
  <c r="E2181" i="19"/>
  <c r="D2181" i="19"/>
  <c r="C2181" i="19"/>
  <c r="B2181" i="19"/>
  <c r="E2180" i="19"/>
  <c r="F2180" i="19" s="1"/>
  <c r="I2180" i="19" s="1"/>
  <c r="D2180" i="19"/>
  <c r="C2180" i="19"/>
  <c r="B2180" i="19"/>
  <c r="F2179" i="19"/>
  <c r="I2179" i="19" s="1"/>
  <c r="E2179" i="19"/>
  <c r="D2179" i="19"/>
  <c r="C2179" i="19"/>
  <c r="B2179" i="19"/>
  <c r="E2178" i="19"/>
  <c r="F2178" i="19" s="1"/>
  <c r="I2178" i="19" s="1"/>
  <c r="D2178" i="19"/>
  <c r="C2178" i="19"/>
  <c r="B2178" i="19"/>
  <c r="F2177" i="19"/>
  <c r="I2177" i="19" s="1"/>
  <c r="E2177" i="19"/>
  <c r="D2177" i="19"/>
  <c r="C2177" i="19"/>
  <c r="B2177" i="19"/>
  <c r="E2176" i="19"/>
  <c r="F2176" i="19" s="1"/>
  <c r="I2176" i="19" s="1"/>
  <c r="D2176" i="19"/>
  <c r="C2176" i="19"/>
  <c r="B2176" i="19"/>
  <c r="F2175" i="19"/>
  <c r="I2175" i="19" s="1"/>
  <c r="E2175" i="19"/>
  <c r="D2175" i="19"/>
  <c r="C2175" i="19"/>
  <c r="B2175" i="19"/>
  <c r="E2174" i="19"/>
  <c r="F2174" i="19" s="1"/>
  <c r="I2174" i="19" s="1"/>
  <c r="D2174" i="19"/>
  <c r="C2174" i="19"/>
  <c r="B2174" i="19"/>
  <c r="F2173" i="19"/>
  <c r="I2173" i="19" s="1"/>
  <c r="E2173" i="19"/>
  <c r="D2173" i="19"/>
  <c r="C2173" i="19"/>
  <c r="B2173" i="19"/>
  <c r="E2172" i="19"/>
  <c r="F2172" i="19" s="1"/>
  <c r="I2172" i="19" s="1"/>
  <c r="D2172" i="19"/>
  <c r="C2172" i="19"/>
  <c r="B2172" i="19"/>
  <c r="F2171" i="19"/>
  <c r="I2171" i="19" s="1"/>
  <c r="E2171" i="19"/>
  <c r="D2171" i="19"/>
  <c r="C2171" i="19"/>
  <c r="B2171" i="19"/>
  <c r="E2170" i="19"/>
  <c r="F2170" i="19" s="1"/>
  <c r="I2170" i="19" s="1"/>
  <c r="D2170" i="19"/>
  <c r="C2170" i="19"/>
  <c r="B2170" i="19"/>
  <c r="F2169" i="19"/>
  <c r="I2169" i="19" s="1"/>
  <c r="E2169" i="19"/>
  <c r="D2169" i="19"/>
  <c r="C2169" i="19"/>
  <c r="B2169" i="19"/>
  <c r="E2168" i="19"/>
  <c r="F2168" i="19" s="1"/>
  <c r="I2168" i="19" s="1"/>
  <c r="D2168" i="19"/>
  <c r="C2168" i="19"/>
  <c r="B2168" i="19"/>
  <c r="F2167" i="19"/>
  <c r="I2167" i="19" s="1"/>
  <c r="E2167" i="19"/>
  <c r="D2167" i="19"/>
  <c r="C2167" i="19"/>
  <c r="B2167" i="19"/>
  <c r="E2166" i="19"/>
  <c r="F2166" i="19" s="1"/>
  <c r="I2166" i="19" s="1"/>
  <c r="D2166" i="19"/>
  <c r="C2166" i="19"/>
  <c r="B2166" i="19"/>
  <c r="F2165" i="19"/>
  <c r="I2165" i="19" s="1"/>
  <c r="E2165" i="19"/>
  <c r="D2165" i="19"/>
  <c r="C2165" i="19"/>
  <c r="B2165" i="19"/>
  <c r="E2164" i="19"/>
  <c r="F2164" i="19" s="1"/>
  <c r="I2164" i="19" s="1"/>
  <c r="D2164" i="19"/>
  <c r="C2164" i="19"/>
  <c r="B2164" i="19"/>
  <c r="F2163" i="19"/>
  <c r="I2163" i="19" s="1"/>
  <c r="E2163" i="19"/>
  <c r="D2163" i="19"/>
  <c r="C2163" i="19"/>
  <c r="B2163" i="19"/>
  <c r="E2162" i="19"/>
  <c r="F2162" i="19" s="1"/>
  <c r="I2162" i="19" s="1"/>
  <c r="D2162" i="19"/>
  <c r="C2162" i="19"/>
  <c r="B2162" i="19"/>
  <c r="F2161" i="19"/>
  <c r="I2161" i="19" s="1"/>
  <c r="E2161" i="19"/>
  <c r="D2161" i="19"/>
  <c r="C2161" i="19"/>
  <c r="B2161" i="19"/>
  <c r="E2160" i="19"/>
  <c r="F2160" i="19" s="1"/>
  <c r="I2160" i="19" s="1"/>
  <c r="D2160" i="19"/>
  <c r="C2160" i="19"/>
  <c r="B2160" i="19"/>
  <c r="F2159" i="19"/>
  <c r="I2159" i="19" s="1"/>
  <c r="E2159" i="19"/>
  <c r="D2159" i="19"/>
  <c r="C2159" i="19"/>
  <c r="B2159" i="19"/>
  <c r="E2158" i="19"/>
  <c r="F2158" i="19" s="1"/>
  <c r="I2158" i="19" s="1"/>
  <c r="D2158" i="19"/>
  <c r="C2158" i="19"/>
  <c r="B2158" i="19"/>
  <c r="F2157" i="19"/>
  <c r="I2157" i="19" s="1"/>
  <c r="E2157" i="19"/>
  <c r="D2157" i="19"/>
  <c r="C2157" i="19"/>
  <c r="B2157" i="19"/>
  <c r="E2156" i="19"/>
  <c r="F2156" i="19" s="1"/>
  <c r="I2156" i="19" s="1"/>
  <c r="D2156" i="19"/>
  <c r="C2156" i="19"/>
  <c r="B2156" i="19"/>
  <c r="F2155" i="19"/>
  <c r="I2155" i="19" s="1"/>
  <c r="E2155" i="19"/>
  <c r="D2155" i="19"/>
  <c r="C2155" i="19"/>
  <c r="B2155" i="19"/>
  <c r="E2154" i="19"/>
  <c r="F2154" i="19" s="1"/>
  <c r="I2154" i="19" s="1"/>
  <c r="D2154" i="19"/>
  <c r="C2154" i="19"/>
  <c r="B2154" i="19"/>
  <c r="F2153" i="19"/>
  <c r="I2153" i="19" s="1"/>
  <c r="E2153" i="19"/>
  <c r="D2153" i="19"/>
  <c r="C2153" i="19"/>
  <c r="B2153" i="19"/>
  <c r="E2152" i="19"/>
  <c r="F2152" i="19" s="1"/>
  <c r="I2152" i="19" s="1"/>
  <c r="D2152" i="19"/>
  <c r="C2152" i="19"/>
  <c r="B2152" i="19"/>
  <c r="F2151" i="19"/>
  <c r="I2151" i="19" s="1"/>
  <c r="E2151" i="19"/>
  <c r="D2151" i="19"/>
  <c r="C2151" i="19"/>
  <c r="B2151" i="19"/>
  <c r="E2150" i="19"/>
  <c r="F2150" i="19" s="1"/>
  <c r="I2150" i="19" s="1"/>
  <c r="D2150" i="19"/>
  <c r="C2150" i="19"/>
  <c r="B2150" i="19"/>
  <c r="F2149" i="19"/>
  <c r="I2149" i="19" s="1"/>
  <c r="E2149" i="19"/>
  <c r="D2149" i="19"/>
  <c r="C2149" i="19"/>
  <c r="B2149" i="19"/>
  <c r="E2148" i="19"/>
  <c r="F2148" i="19" s="1"/>
  <c r="I2148" i="19" s="1"/>
  <c r="D2148" i="19"/>
  <c r="C2148" i="19"/>
  <c r="B2148" i="19"/>
  <c r="F2147" i="19"/>
  <c r="I2147" i="19" s="1"/>
  <c r="E2147" i="19"/>
  <c r="D2147" i="19"/>
  <c r="C2147" i="19"/>
  <c r="B2147" i="19"/>
  <c r="E2146" i="19"/>
  <c r="F2146" i="19" s="1"/>
  <c r="I2146" i="19" s="1"/>
  <c r="D2146" i="19"/>
  <c r="C2146" i="19"/>
  <c r="B2146" i="19"/>
  <c r="F2145" i="19"/>
  <c r="I2145" i="19" s="1"/>
  <c r="E2145" i="19"/>
  <c r="D2145" i="19"/>
  <c r="C2145" i="19"/>
  <c r="B2145" i="19"/>
  <c r="E2144" i="19"/>
  <c r="F2144" i="19" s="1"/>
  <c r="I2144" i="19" s="1"/>
  <c r="D2144" i="19"/>
  <c r="C2144" i="19"/>
  <c r="B2144" i="19"/>
  <c r="F2143" i="19"/>
  <c r="I2143" i="19" s="1"/>
  <c r="E2143" i="19"/>
  <c r="D2143" i="19"/>
  <c r="C2143" i="19"/>
  <c r="B2143" i="19"/>
  <c r="E2142" i="19"/>
  <c r="F2142" i="19" s="1"/>
  <c r="I2142" i="19" s="1"/>
  <c r="D2142" i="19"/>
  <c r="C2142" i="19"/>
  <c r="B2142" i="19"/>
  <c r="F2141" i="19"/>
  <c r="I2141" i="19" s="1"/>
  <c r="E2141" i="19"/>
  <c r="D2141" i="19"/>
  <c r="C2141" i="19"/>
  <c r="B2141" i="19"/>
  <c r="E2140" i="19"/>
  <c r="F2140" i="19" s="1"/>
  <c r="I2140" i="19" s="1"/>
  <c r="D2140" i="19"/>
  <c r="C2140" i="19"/>
  <c r="B2140" i="19"/>
  <c r="F2139" i="19"/>
  <c r="I2139" i="19" s="1"/>
  <c r="E2139" i="19"/>
  <c r="D2139" i="19"/>
  <c r="C2139" i="19"/>
  <c r="B2139" i="19"/>
  <c r="E2138" i="19"/>
  <c r="F2138" i="19" s="1"/>
  <c r="I2138" i="19" s="1"/>
  <c r="D2138" i="19"/>
  <c r="C2138" i="19"/>
  <c r="B2138" i="19"/>
  <c r="F2137" i="19"/>
  <c r="I2137" i="19" s="1"/>
  <c r="E2137" i="19"/>
  <c r="D2137" i="19"/>
  <c r="C2137" i="19"/>
  <c r="B2137" i="19"/>
  <c r="E2136" i="19"/>
  <c r="F2136" i="19" s="1"/>
  <c r="I2136" i="19" s="1"/>
  <c r="D2136" i="19"/>
  <c r="C2136" i="19"/>
  <c r="B2136" i="19"/>
  <c r="F2135" i="19"/>
  <c r="I2135" i="19" s="1"/>
  <c r="E2135" i="19"/>
  <c r="D2135" i="19"/>
  <c r="C2135" i="19"/>
  <c r="B2135" i="19"/>
  <c r="E2134" i="19"/>
  <c r="F2134" i="19" s="1"/>
  <c r="I2134" i="19" s="1"/>
  <c r="D2134" i="19"/>
  <c r="C2134" i="19"/>
  <c r="B2134" i="19"/>
  <c r="F2133" i="19"/>
  <c r="I2133" i="19" s="1"/>
  <c r="E2133" i="19"/>
  <c r="D2133" i="19"/>
  <c r="C2133" i="19"/>
  <c r="B2133" i="19"/>
  <c r="E2132" i="19"/>
  <c r="F2132" i="19" s="1"/>
  <c r="I2132" i="19" s="1"/>
  <c r="D2132" i="19"/>
  <c r="C2132" i="19"/>
  <c r="B2132" i="19"/>
  <c r="F2131" i="19"/>
  <c r="I2131" i="19" s="1"/>
  <c r="E2131" i="19"/>
  <c r="D2131" i="19"/>
  <c r="C2131" i="19"/>
  <c r="B2131" i="19"/>
  <c r="E2130" i="19"/>
  <c r="F2130" i="19" s="1"/>
  <c r="I2130" i="19" s="1"/>
  <c r="D2130" i="19"/>
  <c r="C2130" i="19"/>
  <c r="B2130" i="19"/>
  <c r="F2129" i="19"/>
  <c r="I2129" i="19" s="1"/>
  <c r="E2129" i="19"/>
  <c r="D2129" i="19"/>
  <c r="C2129" i="19"/>
  <c r="B2129" i="19"/>
  <c r="E2128" i="19"/>
  <c r="F2128" i="19" s="1"/>
  <c r="I2128" i="19" s="1"/>
  <c r="D2128" i="19"/>
  <c r="C2128" i="19"/>
  <c r="B2128" i="19"/>
  <c r="F2127" i="19"/>
  <c r="I2127" i="19" s="1"/>
  <c r="E2127" i="19"/>
  <c r="D2127" i="19"/>
  <c r="C2127" i="19"/>
  <c r="B2127" i="19"/>
  <c r="E2126" i="19"/>
  <c r="F2126" i="19" s="1"/>
  <c r="I2126" i="19" s="1"/>
  <c r="D2126" i="19"/>
  <c r="C2126" i="19"/>
  <c r="B2126" i="19"/>
  <c r="F2125" i="19"/>
  <c r="I2125" i="19" s="1"/>
  <c r="E2125" i="19"/>
  <c r="D2125" i="19"/>
  <c r="C2125" i="19"/>
  <c r="B2125" i="19"/>
  <c r="E2124" i="19"/>
  <c r="F2124" i="19" s="1"/>
  <c r="I2124" i="19" s="1"/>
  <c r="D2124" i="19"/>
  <c r="C2124" i="19"/>
  <c r="B2124" i="19"/>
  <c r="F2123" i="19"/>
  <c r="I2123" i="19" s="1"/>
  <c r="E2123" i="19"/>
  <c r="D2123" i="19"/>
  <c r="C2123" i="19"/>
  <c r="B2123" i="19"/>
  <c r="E2122" i="19"/>
  <c r="F2122" i="19" s="1"/>
  <c r="I2122" i="19" s="1"/>
  <c r="D2122" i="19"/>
  <c r="C2122" i="19"/>
  <c r="B2122" i="19"/>
  <c r="F2121" i="19"/>
  <c r="I2121" i="19" s="1"/>
  <c r="E2121" i="19"/>
  <c r="D2121" i="19"/>
  <c r="C2121" i="19"/>
  <c r="B2121" i="19"/>
  <c r="E2120" i="19"/>
  <c r="F2120" i="19" s="1"/>
  <c r="I2120" i="19" s="1"/>
  <c r="D2120" i="19"/>
  <c r="C2120" i="19"/>
  <c r="B2120" i="19"/>
  <c r="F2119" i="19"/>
  <c r="I2119" i="19" s="1"/>
  <c r="E2119" i="19"/>
  <c r="D2119" i="19"/>
  <c r="C2119" i="19"/>
  <c r="B2119" i="19"/>
  <c r="E2118" i="19"/>
  <c r="F2118" i="19" s="1"/>
  <c r="I2118" i="19" s="1"/>
  <c r="D2118" i="19"/>
  <c r="C2118" i="19"/>
  <c r="B2118" i="19"/>
  <c r="F2117" i="19"/>
  <c r="I2117" i="19" s="1"/>
  <c r="E2117" i="19"/>
  <c r="D2117" i="19"/>
  <c r="C2117" i="19"/>
  <c r="B2117" i="19"/>
  <c r="E2116" i="19"/>
  <c r="F2116" i="19" s="1"/>
  <c r="I2116" i="19" s="1"/>
  <c r="D2116" i="19"/>
  <c r="C2116" i="19"/>
  <c r="B2116" i="19"/>
  <c r="F2115" i="19"/>
  <c r="I2115" i="19" s="1"/>
  <c r="E2115" i="19"/>
  <c r="D2115" i="19"/>
  <c r="C2115" i="19"/>
  <c r="B2115" i="19"/>
  <c r="E2114" i="19"/>
  <c r="F2114" i="19" s="1"/>
  <c r="I2114" i="19" s="1"/>
  <c r="D2114" i="19"/>
  <c r="C2114" i="19"/>
  <c r="B2114" i="19"/>
  <c r="F2113" i="19"/>
  <c r="I2113" i="19" s="1"/>
  <c r="E2113" i="19"/>
  <c r="D2113" i="19"/>
  <c r="C2113" i="19"/>
  <c r="B2113" i="19"/>
  <c r="E2112" i="19"/>
  <c r="F2112" i="19" s="1"/>
  <c r="I2112" i="19" s="1"/>
  <c r="D2112" i="19"/>
  <c r="C2112" i="19"/>
  <c r="B2112" i="19"/>
  <c r="F2111" i="19"/>
  <c r="I2111" i="19" s="1"/>
  <c r="E2111" i="19"/>
  <c r="D2111" i="19"/>
  <c r="C2111" i="19"/>
  <c r="B2111" i="19"/>
  <c r="E2110" i="19"/>
  <c r="F2110" i="19" s="1"/>
  <c r="I2110" i="19" s="1"/>
  <c r="D2110" i="19"/>
  <c r="C2110" i="19"/>
  <c r="B2110" i="19"/>
  <c r="F2109" i="19"/>
  <c r="I2109" i="19" s="1"/>
  <c r="E2109" i="19"/>
  <c r="D2109" i="19"/>
  <c r="C2109" i="19"/>
  <c r="B2109" i="19"/>
  <c r="E2108" i="19"/>
  <c r="F2108" i="19" s="1"/>
  <c r="I2108" i="19" s="1"/>
  <c r="D2108" i="19"/>
  <c r="C2108" i="19"/>
  <c r="B2108" i="19"/>
  <c r="F2107" i="19"/>
  <c r="I2107" i="19" s="1"/>
  <c r="E2107" i="19"/>
  <c r="D2107" i="19"/>
  <c r="C2107" i="19"/>
  <c r="B2107" i="19"/>
  <c r="E2106" i="19"/>
  <c r="F2106" i="19" s="1"/>
  <c r="I2106" i="19" s="1"/>
  <c r="D2106" i="19"/>
  <c r="C2106" i="19"/>
  <c r="B2106" i="19"/>
  <c r="F2105" i="19"/>
  <c r="I2105" i="19" s="1"/>
  <c r="E2105" i="19"/>
  <c r="D2105" i="19"/>
  <c r="C2105" i="19"/>
  <c r="B2105" i="19"/>
  <c r="E2104" i="19"/>
  <c r="F2104" i="19" s="1"/>
  <c r="I2104" i="19" s="1"/>
  <c r="D2104" i="19"/>
  <c r="C2104" i="19"/>
  <c r="B2104" i="19"/>
  <c r="F2103" i="19"/>
  <c r="I2103" i="19" s="1"/>
  <c r="E2103" i="19"/>
  <c r="D2103" i="19"/>
  <c r="C2103" i="19"/>
  <c r="B2103" i="19"/>
  <c r="E2102" i="19"/>
  <c r="F2102" i="19" s="1"/>
  <c r="I2102" i="19" s="1"/>
  <c r="D2102" i="19"/>
  <c r="C2102" i="19"/>
  <c r="B2102" i="19"/>
  <c r="F2101" i="19"/>
  <c r="I2101" i="19" s="1"/>
  <c r="E2101" i="19"/>
  <c r="D2101" i="19"/>
  <c r="C2101" i="19"/>
  <c r="B2101" i="19"/>
  <c r="E2100" i="19"/>
  <c r="F2100" i="19" s="1"/>
  <c r="I2100" i="19" s="1"/>
  <c r="D2100" i="19"/>
  <c r="C2100" i="19"/>
  <c r="B2100" i="19"/>
  <c r="F2099" i="19"/>
  <c r="I2099" i="19" s="1"/>
  <c r="E2099" i="19"/>
  <c r="D2099" i="19"/>
  <c r="C2099" i="19"/>
  <c r="B2099" i="19"/>
  <c r="E2098" i="19"/>
  <c r="F2098" i="19" s="1"/>
  <c r="I2098" i="19" s="1"/>
  <c r="D2098" i="19"/>
  <c r="C2098" i="19"/>
  <c r="B2098" i="19"/>
  <c r="F2097" i="19"/>
  <c r="I2097" i="19" s="1"/>
  <c r="E2097" i="19"/>
  <c r="D2097" i="19"/>
  <c r="C2097" i="19"/>
  <c r="B2097" i="19"/>
  <c r="E2096" i="19"/>
  <c r="F2096" i="19" s="1"/>
  <c r="I2096" i="19" s="1"/>
  <c r="D2096" i="19"/>
  <c r="C2096" i="19"/>
  <c r="B2096" i="19"/>
  <c r="F2095" i="19"/>
  <c r="I2095" i="19" s="1"/>
  <c r="E2095" i="19"/>
  <c r="D2095" i="19"/>
  <c r="C2095" i="19"/>
  <c r="B2095" i="19"/>
  <c r="E2094" i="19"/>
  <c r="F2094" i="19" s="1"/>
  <c r="I2094" i="19" s="1"/>
  <c r="D2094" i="19"/>
  <c r="C2094" i="19"/>
  <c r="B2094" i="19"/>
  <c r="F2093" i="19"/>
  <c r="I2093" i="19" s="1"/>
  <c r="E2093" i="19"/>
  <c r="D2093" i="19"/>
  <c r="C2093" i="19"/>
  <c r="B2093" i="19"/>
  <c r="E2092" i="19"/>
  <c r="F2092" i="19" s="1"/>
  <c r="I2092" i="19" s="1"/>
  <c r="D2092" i="19"/>
  <c r="C2092" i="19"/>
  <c r="B2092" i="19"/>
  <c r="F2091" i="19"/>
  <c r="I2091" i="19" s="1"/>
  <c r="E2091" i="19"/>
  <c r="D2091" i="19"/>
  <c r="C2091" i="19"/>
  <c r="B2091" i="19"/>
  <c r="E2090" i="19"/>
  <c r="F2090" i="19" s="1"/>
  <c r="I2090" i="19" s="1"/>
  <c r="D2090" i="19"/>
  <c r="C2090" i="19"/>
  <c r="B2090" i="19"/>
  <c r="F2089" i="19"/>
  <c r="I2089" i="19" s="1"/>
  <c r="E2089" i="19"/>
  <c r="D2089" i="19"/>
  <c r="C2089" i="19"/>
  <c r="B2089" i="19"/>
  <c r="E2088" i="19"/>
  <c r="F2088" i="19" s="1"/>
  <c r="I2088" i="19" s="1"/>
  <c r="D2088" i="19"/>
  <c r="C2088" i="19"/>
  <c r="B2088" i="19"/>
  <c r="F2087" i="19"/>
  <c r="I2087" i="19" s="1"/>
  <c r="E2087" i="19"/>
  <c r="D2087" i="19"/>
  <c r="C2087" i="19"/>
  <c r="B2087" i="19"/>
  <c r="E2086" i="19"/>
  <c r="F2086" i="19" s="1"/>
  <c r="I2086" i="19" s="1"/>
  <c r="D2086" i="19"/>
  <c r="C2086" i="19"/>
  <c r="B2086" i="19"/>
  <c r="F2085" i="19"/>
  <c r="I2085" i="19" s="1"/>
  <c r="E2085" i="19"/>
  <c r="D2085" i="19"/>
  <c r="C2085" i="19"/>
  <c r="B2085" i="19"/>
  <c r="E2084" i="19"/>
  <c r="F2084" i="19" s="1"/>
  <c r="I2084" i="19" s="1"/>
  <c r="D2084" i="19"/>
  <c r="C2084" i="19"/>
  <c r="B2084" i="19"/>
  <c r="F2083" i="19"/>
  <c r="I2083" i="19" s="1"/>
  <c r="E2083" i="19"/>
  <c r="D2083" i="19"/>
  <c r="C2083" i="19"/>
  <c r="B2083" i="19"/>
  <c r="E2082" i="19"/>
  <c r="F2082" i="19" s="1"/>
  <c r="I2082" i="19" s="1"/>
  <c r="D2082" i="19"/>
  <c r="C2082" i="19"/>
  <c r="B2082" i="19"/>
  <c r="F2081" i="19"/>
  <c r="I2081" i="19" s="1"/>
  <c r="E2081" i="19"/>
  <c r="D2081" i="19"/>
  <c r="C2081" i="19"/>
  <c r="B2081" i="19"/>
  <c r="E2080" i="19"/>
  <c r="F2080" i="19" s="1"/>
  <c r="I2080" i="19" s="1"/>
  <c r="D2080" i="19"/>
  <c r="C2080" i="19"/>
  <c r="B2080" i="19"/>
  <c r="F2079" i="19"/>
  <c r="I2079" i="19" s="1"/>
  <c r="E2079" i="19"/>
  <c r="D2079" i="19"/>
  <c r="C2079" i="19"/>
  <c r="B2079" i="19"/>
  <c r="E2078" i="19"/>
  <c r="F2078" i="19" s="1"/>
  <c r="I2078" i="19" s="1"/>
  <c r="D2078" i="19"/>
  <c r="C2078" i="19"/>
  <c r="B2078" i="19"/>
  <c r="F2077" i="19"/>
  <c r="I2077" i="19" s="1"/>
  <c r="E2077" i="19"/>
  <c r="D2077" i="19"/>
  <c r="C2077" i="19"/>
  <c r="B2077" i="19"/>
  <c r="E2076" i="19"/>
  <c r="F2076" i="19" s="1"/>
  <c r="I2076" i="19" s="1"/>
  <c r="D2076" i="19"/>
  <c r="C2076" i="19"/>
  <c r="B2076" i="19"/>
  <c r="F2075" i="19"/>
  <c r="I2075" i="19" s="1"/>
  <c r="E2075" i="19"/>
  <c r="D2075" i="19"/>
  <c r="C2075" i="19"/>
  <c r="B2075" i="19"/>
  <c r="E2074" i="19"/>
  <c r="F2074" i="19" s="1"/>
  <c r="I2074" i="19" s="1"/>
  <c r="D2074" i="19"/>
  <c r="C2074" i="19"/>
  <c r="B2074" i="19"/>
  <c r="F2073" i="19"/>
  <c r="I2073" i="19" s="1"/>
  <c r="E2073" i="19"/>
  <c r="D2073" i="19"/>
  <c r="C2073" i="19"/>
  <c r="B2073" i="19"/>
  <c r="E2072" i="19"/>
  <c r="F2072" i="19" s="1"/>
  <c r="I2072" i="19" s="1"/>
  <c r="D2072" i="19"/>
  <c r="C2072" i="19"/>
  <c r="B2072" i="19"/>
  <c r="F2071" i="19"/>
  <c r="I2071" i="19" s="1"/>
  <c r="E2071" i="19"/>
  <c r="D2071" i="19"/>
  <c r="C2071" i="19"/>
  <c r="B2071" i="19"/>
  <c r="E2070" i="19"/>
  <c r="F2070" i="19" s="1"/>
  <c r="I2070" i="19" s="1"/>
  <c r="D2070" i="19"/>
  <c r="C2070" i="19"/>
  <c r="B2070" i="19"/>
  <c r="F2069" i="19"/>
  <c r="I2069" i="19" s="1"/>
  <c r="E2069" i="19"/>
  <c r="D2069" i="19"/>
  <c r="C2069" i="19"/>
  <c r="B2069" i="19"/>
  <c r="E2068" i="19"/>
  <c r="F2068" i="19" s="1"/>
  <c r="I2068" i="19" s="1"/>
  <c r="D2068" i="19"/>
  <c r="C2068" i="19"/>
  <c r="B2068" i="19"/>
  <c r="F2067" i="19"/>
  <c r="I2067" i="19" s="1"/>
  <c r="E2067" i="19"/>
  <c r="D2067" i="19"/>
  <c r="C2067" i="19"/>
  <c r="B2067" i="19"/>
  <c r="E2066" i="19"/>
  <c r="F2066" i="19" s="1"/>
  <c r="I2066" i="19" s="1"/>
  <c r="D2066" i="19"/>
  <c r="C2066" i="19"/>
  <c r="B2066" i="19"/>
  <c r="F2065" i="19"/>
  <c r="I2065" i="19" s="1"/>
  <c r="E2065" i="19"/>
  <c r="D2065" i="19"/>
  <c r="C2065" i="19"/>
  <c r="B2065" i="19"/>
  <c r="E2064" i="19"/>
  <c r="F2064" i="19" s="1"/>
  <c r="I2064" i="19" s="1"/>
  <c r="D2064" i="19"/>
  <c r="C2064" i="19"/>
  <c r="B2064" i="19"/>
  <c r="F2063" i="19"/>
  <c r="I2063" i="19" s="1"/>
  <c r="E2063" i="19"/>
  <c r="D2063" i="19"/>
  <c r="C2063" i="19"/>
  <c r="B2063" i="19"/>
  <c r="E2062" i="19"/>
  <c r="F2062" i="19" s="1"/>
  <c r="I2062" i="19" s="1"/>
  <c r="D2062" i="19"/>
  <c r="C2062" i="19"/>
  <c r="B2062" i="19"/>
  <c r="F2061" i="19"/>
  <c r="I2061" i="19" s="1"/>
  <c r="E2061" i="19"/>
  <c r="D2061" i="19"/>
  <c r="C2061" i="19"/>
  <c r="B2061" i="19"/>
  <c r="E2060" i="19"/>
  <c r="F2060" i="19" s="1"/>
  <c r="I2060" i="19" s="1"/>
  <c r="D2060" i="19"/>
  <c r="C2060" i="19"/>
  <c r="B2060" i="19"/>
  <c r="E2059" i="19"/>
  <c r="F2059" i="19" s="1"/>
  <c r="I2059" i="19" s="1"/>
  <c r="D2059" i="19"/>
  <c r="C2059" i="19"/>
  <c r="B2059" i="19"/>
  <c r="E2058" i="19"/>
  <c r="F2058" i="19" s="1"/>
  <c r="I2058" i="19" s="1"/>
  <c r="D2058" i="19"/>
  <c r="C2058" i="19"/>
  <c r="B2058" i="19"/>
  <c r="E2057" i="19"/>
  <c r="F2057" i="19" s="1"/>
  <c r="I2057" i="19" s="1"/>
  <c r="D2057" i="19"/>
  <c r="C2057" i="19"/>
  <c r="B2057" i="19"/>
  <c r="E2056" i="19"/>
  <c r="F2056" i="19" s="1"/>
  <c r="I2056" i="19" s="1"/>
  <c r="D2056" i="19"/>
  <c r="C2056" i="19"/>
  <c r="B2056" i="19"/>
  <c r="E2055" i="19"/>
  <c r="F2055" i="19" s="1"/>
  <c r="I2055" i="19" s="1"/>
  <c r="D2055" i="19"/>
  <c r="C2055" i="19"/>
  <c r="B2055" i="19"/>
  <c r="E2054" i="19"/>
  <c r="F2054" i="19" s="1"/>
  <c r="I2054" i="19" s="1"/>
  <c r="D2054" i="19"/>
  <c r="C2054" i="19"/>
  <c r="B2054" i="19"/>
  <c r="F2053" i="19"/>
  <c r="I2053" i="19" s="1"/>
  <c r="E2053" i="19"/>
  <c r="D2053" i="19"/>
  <c r="C2053" i="19"/>
  <c r="B2053" i="19"/>
  <c r="E2052" i="19"/>
  <c r="F2052" i="19" s="1"/>
  <c r="I2052" i="19" s="1"/>
  <c r="D2052" i="19"/>
  <c r="C2052" i="19"/>
  <c r="B2052" i="19"/>
  <c r="E2051" i="19"/>
  <c r="F2051" i="19" s="1"/>
  <c r="I2051" i="19" s="1"/>
  <c r="D2051" i="19"/>
  <c r="C2051" i="19"/>
  <c r="B2051" i="19"/>
  <c r="E2050" i="19"/>
  <c r="F2050" i="19" s="1"/>
  <c r="I2050" i="19" s="1"/>
  <c r="D2050" i="19"/>
  <c r="C2050" i="19"/>
  <c r="B2050" i="19"/>
  <c r="E2049" i="19"/>
  <c r="F2049" i="19" s="1"/>
  <c r="I2049" i="19" s="1"/>
  <c r="D2049" i="19"/>
  <c r="C2049" i="19"/>
  <c r="B2049" i="19"/>
  <c r="E2048" i="19"/>
  <c r="F2048" i="19" s="1"/>
  <c r="I2048" i="19" s="1"/>
  <c r="D2048" i="19"/>
  <c r="C2048" i="19"/>
  <c r="B2048" i="19"/>
  <c r="F2047" i="19"/>
  <c r="I2047" i="19" s="1"/>
  <c r="E2047" i="19"/>
  <c r="D2047" i="19"/>
  <c r="C2047" i="19"/>
  <c r="B2047" i="19"/>
  <c r="E2046" i="19"/>
  <c r="F2046" i="19" s="1"/>
  <c r="I2046" i="19" s="1"/>
  <c r="D2046" i="19"/>
  <c r="C2046" i="19"/>
  <c r="B2046" i="19"/>
  <c r="F2045" i="19"/>
  <c r="I2045" i="19" s="1"/>
  <c r="E2045" i="19"/>
  <c r="D2045" i="19"/>
  <c r="C2045" i="19"/>
  <c r="B2045" i="19"/>
  <c r="E2044" i="19"/>
  <c r="F2044" i="19" s="1"/>
  <c r="I2044" i="19" s="1"/>
  <c r="D2044" i="19"/>
  <c r="C2044" i="19"/>
  <c r="B2044" i="19"/>
  <c r="E2043" i="19"/>
  <c r="F2043" i="19" s="1"/>
  <c r="I2043" i="19" s="1"/>
  <c r="D2043" i="19"/>
  <c r="C2043" i="19"/>
  <c r="B2043" i="19"/>
  <c r="E2042" i="19"/>
  <c r="F2042" i="19" s="1"/>
  <c r="I2042" i="19" s="1"/>
  <c r="D2042" i="19"/>
  <c r="C2042" i="19"/>
  <c r="B2042" i="19"/>
  <c r="E2041" i="19"/>
  <c r="F2041" i="19" s="1"/>
  <c r="I2041" i="19" s="1"/>
  <c r="D2041" i="19"/>
  <c r="C2041" i="19"/>
  <c r="B2041" i="19"/>
  <c r="E2040" i="19"/>
  <c r="F2040" i="19" s="1"/>
  <c r="I2040" i="19" s="1"/>
  <c r="D2040" i="19"/>
  <c r="C2040" i="19"/>
  <c r="B2040" i="19"/>
  <c r="E2039" i="19"/>
  <c r="F2039" i="19" s="1"/>
  <c r="I2039" i="19" s="1"/>
  <c r="D2039" i="19"/>
  <c r="C2039" i="19"/>
  <c r="B2039" i="19"/>
  <c r="E2038" i="19"/>
  <c r="F2038" i="19" s="1"/>
  <c r="I2038" i="19" s="1"/>
  <c r="D2038" i="19"/>
  <c r="C2038" i="19"/>
  <c r="B2038" i="19"/>
  <c r="F2037" i="19"/>
  <c r="I2037" i="19" s="1"/>
  <c r="E2037" i="19"/>
  <c r="D2037" i="19"/>
  <c r="C2037" i="19"/>
  <c r="B2037" i="19"/>
  <c r="E2036" i="19"/>
  <c r="F2036" i="19" s="1"/>
  <c r="I2036" i="19" s="1"/>
  <c r="D2036" i="19"/>
  <c r="C2036" i="19"/>
  <c r="B2036" i="19"/>
  <c r="E2035" i="19"/>
  <c r="F2035" i="19" s="1"/>
  <c r="I2035" i="19" s="1"/>
  <c r="D2035" i="19"/>
  <c r="C2035" i="19"/>
  <c r="B2035" i="19"/>
  <c r="E2034" i="19"/>
  <c r="F2034" i="19" s="1"/>
  <c r="I2034" i="19" s="1"/>
  <c r="D2034" i="19"/>
  <c r="C2034" i="19"/>
  <c r="B2034" i="19"/>
  <c r="E2033" i="19"/>
  <c r="F2033" i="19" s="1"/>
  <c r="I2033" i="19" s="1"/>
  <c r="D2033" i="19"/>
  <c r="C2033" i="19"/>
  <c r="B2033" i="19"/>
  <c r="E2032" i="19"/>
  <c r="F2032" i="19" s="1"/>
  <c r="I2032" i="19" s="1"/>
  <c r="D2032" i="19"/>
  <c r="C2032" i="19"/>
  <c r="B2032" i="19"/>
  <c r="E2031" i="19"/>
  <c r="F2031" i="19" s="1"/>
  <c r="I2031" i="19" s="1"/>
  <c r="D2031" i="19"/>
  <c r="C2031" i="19"/>
  <c r="B2031" i="19"/>
  <c r="E2030" i="19"/>
  <c r="F2030" i="19" s="1"/>
  <c r="I2030" i="19" s="1"/>
  <c r="D2030" i="19"/>
  <c r="C2030" i="19"/>
  <c r="B2030" i="19"/>
  <c r="F2029" i="19"/>
  <c r="I2029" i="19" s="1"/>
  <c r="E2029" i="19"/>
  <c r="D2029" i="19"/>
  <c r="C2029" i="19"/>
  <c r="B2029" i="19"/>
  <c r="E2028" i="19"/>
  <c r="F2028" i="19" s="1"/>
  <c r="I2028" i="19" s="1"/>
  <c r="D2028" i="19"/>
  <c r="C2028" i="19"/>
  <c r="B2028" i="19"/>
  <c r="E2027" i="19"/>
  <c r="F2027" i="19" s="1"/>
  <c r="I2027" i="19" s="1"/>
  <c r="D2027" i="19"/>
  <c r="C2027" i="19"/>
  <c r="B2027" i="19"/>
  <c r="E2026" i="19"/>
  <c r="F2026" i="19" s="1"/>
  <c r="I2026" i="19" s="1"/>
  <c r="D2026" i="19"/>
  <c r="C2026" i="19"/>
  <c r="B2026" i="19"/>
  <c r="E2025" i="19"/>
  <c r="F2025" i="19" s="1"/>
  <c r="I2025" i="19" s="1"/>
  <c r="D2025" i="19"/>
  <c r="C2025" i="19"/>
  <c r="B2025" i="19"/>
  <c r="E2024" i="19"/>
  <c r="F2024" i="19" s="1"/>
  <c r="I2024" i="19" s="1"/>
  <c r="D2024" i="19"/>
  <c r="C2024" i="19"/>
  <c r="B2024" i="19"/>
  <c r="F2023" i="19"/>
  <c r="I2023" i="19" s="1"/>
  <c r="E2023" i="19"/>
  <c r="D2023" i="19"/>
  <c r="C2023" i="19"/>
  <c r="B2023" i="19"/>
  <c r="E2022" i="19"/>
  <c r="F2022" i="19" s="1"/>
  <c r="I2022" i="19" s="1"/>
  <c r="D2022" i="19"/>
  <c r="C2022" i="19"/>
  <c r="B2022" i="19"/>
  <c r="E2021" i="19"/>
  <c r="F2021" i="19" s="1"/>
  <c r="I2021" i="19" s="1"/>
  <c r="D2021" i="19"/>
  <c r="C2021" i="19"/>
  <c r="B2021" i="19"/>
  <c r="E2020" i="19"/>
  <c r="F2020" i="19" s="1"/>
  <c r="I2020" i="19" s="1"/>
  <c r="D2020" i="19"/>
  <c r="C2020" i="19"/>
  <c r="B2020" i="19"/>
  <c r="F2019" i="19"/>
  <c r="I2019" i="19" s="1"/>
  <c r="E2019" i="19"/>
  <c r="D2019" i="19"/>
  <c r="C2019" i="19"/>
  <c r="B2019" i="19"/>
  <c r="E2018" i="19"/>
  <c r="F2018" i="19" s="1"/>
  <c r="I2018" i="19" s="1"/>
  <c r="D2018" i="19"/>
  <c r="C2018" i="19"/>
  <c r="B2018" i="19"/>
  <c r="E2017" i="19"/>
  <c r="F2017" i="19" s="1"/>
  <c r="I2017" i="19" s="1"/>
  <c r="D2017" i="19"/>
  <c r="C2017" i="19"/>
  <c r="B2017" i="19"/>
  <c r="E2016" i="19"/>
  <c r="F2016" i="19" s="1"/>
  <c r="I2016" i="19" s="1"/>
  <c r="D2016" i="19"/>
  <c r="C2016" i="19"/>
  <c r="B2016" i="19"/>
  <c r="E2015" i="19"/>
  <c r="F2015" i="19" s="1"/>
  <c r="I2015" i="19" s="1"/>
  <c r="D2015" i="19"/>
  <c r="C2015" i="19"/>
  <c r="B2015" i="19"/>
  <c r="E2014" i="19"/>
  <c r="F2014" i="19" s="1"/>
  <c r="I2014" i="19" s="1"/>
  <c r="D2014" i="19"/>
  <c r="C2014" i="19"/>
  <c r="B2014" i="19"/>
  <c r="F2013" i="19"/>
  <c r="I2013" i="19" s="1"/>
  <c r="E2013" i="19"/>
  <c r="D2013" i="19"/>
  <c r="C2013" i="19"/>
  <c r="B2013" i="19"/>
  <c r="E2012" i="19"/>
  <c r="F2012" i="19" s="1"/>
  <c r="I2012" i="19" s="1"/>
  <c r="D2012" i="19"/>
  <c r="C2012" i="19"/>
  <c r="B2012" i="19"/>
  <c r="F2011" i="19"/>
  <c r="I2011" i="19" s="1"/>
  <c r="E2011" i="19"/>
  <c r="D2011" i="19"/>
  <c r="C2011" i="19"/>
  <c r="B2011" i="19"/>
  <c r="E2010" i="19"/>
  <c r="F2010" i="19" s="1"/>
  <c r="I2010" i="19" s="1"/>
  <c r="D2010" i="19"/>
  <c r="C2010" i="19"/>
  <c r="B2010" i="19"/>
  <c r="E2009" i="19"/>
  <c r="F2009" i="19" s="1"/>
  <c r="I2009" i="19" s="1"/>
  <c r="D2009" i="19"/>
  <c r="C2009" i="19"/>
  <c r="B2009" i="19"/>
  <c r="E2008" i="19"/>
  <c r="F2008" i="19" s="1"/>
  <c r="I2008" i="19" s="1"/>
  <c r="D2008" i="19"/>
  <c r="C2008" i="19"/>
  <c r="B2008" i="19"/>
  <c r="I2007" i="19"/>
  <c r="F2007" i="19"/>
  <c r="E2007" i="19"/>
  <c r="D2007" i="19"/>
  <c r="C2007" i="19"/>
  <c r="B2007" i="19"/>
  <c r="E2006" i="19"/>
  <c r="F2006" i="19" s="1"/>
  <c r="I2006" i="19" s="1"/>
  <c r="D2006" i="19"/>
  <c r="C2006" i="19"/>
  <c r="B2006" i="19"/>
  <c r="I2005" i="19"/>
  <c r="E2005" i="19"/>
  <c r="F2005" i="19" s="1"/>
  <c r="D2005" i="19"/>
  <c r="C2005" i="19"/>
  <c r="B2005" i="19"/>
  <c r="E2004" i="19"/>
  <c r="F2004" i="19" s="1"/>
  <c r="I2004" i="19" s="1"/>
  <c r="D2004" i="19"/>
  <c r="C2004" i="19"/>
  <c r="B2004" i="19"/>
  <c r="E2003" i="19"/>
  <c r="F2003" i="19" s="1"/>
  <c r="I2003" i="19" s="1"/>
  <c r="D2003" i="19"/>
  <c r="C2003" i="19"/>
  <c r="B2003" i="19"/>
  <c r="E2002" i="19"/>
  <c r="F2002" i="19" s="1"/>
  <c r="I2002" i="19" s="1"/>
  <c r="D2002" i="19"/>
  <c r="C2002" i="19"/>
  <c r="B2002" i="19"/>
  <c r="F2001" i="19"/>
  <c r="I2001" i="19" s="1"/>
  <c r="E2001" i="19"/>
  <c r="D2001" i="19"/>
  <c r="C2001" i="19"/>
  <c r="B2001" i="19"/>
  <c r="E2000" i="19"/>
  <c r="F2000" i="19" s="1"/>
  <c r="I2000" i="19" s="1"/>
  <c r="D2000" i="19"/>
  <c r="C2000" i="19"/>
  <c r="B2000" i="19"/>
  <c r="F1999" i="19"/>
  <c r="I1999" i="19" s="1"/>
  <c r="E1999" i="19"/>
  <c r="D1999" i="19"/>
  <c r="C1999" i="19"/>
  <c r="B1999" i="19"/>
  <c r="E1998" i="19"/>
  <c r="F1998" i="19" s="1"/>
  <c r="I1998" i="19" s="1"/>
  <c r="D1998" i="19"/>
  <c r="C1998" i="19"/>
  <c r="B1998" i="19"/>
  <c r="E1997" i="19"/>
  <c r="F1997" i="19" s="1"/>
  <c r="I1997" i="19" s="1"/>
  <c r="D1997" i="19"/>
  <c r="C1997" i="19"/>
  <c r="B1997" i="19"/>
  <c r="E1996" i="19"/>
  <c r="F1996" i="19" s="1"/>
  <c r="I1996" i="19" s="1"/>
  <c r="D1996" i="19"/>
  <c r="C1996" i="19"/>
  <c r="B1996" i="19"/>
  <c r="E1995" i="19"/>
  <c r="F1995" i="19" s="1"/>
  <c r="I1995" i="19" s="1"/>
  <c r="D1995" i="19"/>
  <c r="C1995" i="19"/>
  <c r="B1995" i="19"/>
  <c r="E1994" i="19"/>
  <c r="F1994" i="19" s="1"/>
  <c r="I1994" i="19" s="1"/>
  <c r="D1994" i="19"/>
  <c r="C1994" i="19"/>
  <c r="B1994" i="19"/>
  <c r="E1993" i="19"/>
  <c r="F1993" i="19" s="1"/>
  <c r="I1993" i="19" s="1"/>
  <c r="D1993" i="19"/>
  <c r="C1993" i="19"/>
  <c r="B1993" i="19"/>
  <c r="E1992" i="19"/>
  <c r="F1992" i="19" s="1"/>
  <c r="I1992" i="19" s="1"/>
  <c r="D1992" i="19"/>
  <c r="C1992" i="19"/>
  <c r="B1992" i="19"/>
  <c r="E1991" i="19"/>
  <c r="F1991" i="19" s="1"/>
  <c r="I1991" i="19" s="1"/>
  <c r="D1991" i="19"/>
  <c r="C1991" i="19"/>
  <c r="B1991" i="19"/>
  <c r="E1990" i="19"/>
  <c r="F1990" i="19" s="1"/>
  <c r="I1990" i="19" s="1"/>
  <c r="D1990" i="19"/>
  <c r="C1990" i="19"/>
  <c r="B1990" i="19"/>
  <c r="F1989" i="19"/>
  <c r="I1989" i="19" s="1"/>
  <c r="E1989" i="19"/>
  <c r="D1989" i="19"/>
  <c r="C1989" i="19"/>
  <c r="B1989" i="19"/>
  <c r="E1988" i="19"/>
  <c r="F1988" i="19" s="1"/>
  <c r="I1988" i="19" s="1"/>
  <c r="D1988" i="19"/>
  <c r="C1988" i="19"/>
  <c r="B1988" i="19"/>
  <c r="F1987" i="19"/>
  <c r="I1987" i="19" s="1"/>
  <c r="E1987" i="19"/>
  <c r="D1987" i="19"/>
  <c r="C1987" i="19"/>
  <c r="B1987" i="19"/>
  <c r="E1986" i="19"/>
  <c r="F1986" i="19" s="1"/>
  <c r="I1986" i="19" s="1"/>
  <c r="D1986" i="19"/>
  <c r="C1986" i="19"/>
  <c r="B1986" i="19"/>
  <c r="E1985" i="19"/>
  <c r="F1985" i="19" s="1"/>
  <c r="I1985" i="19" s="1"/>
  <c r="D1985" i="19"/>
  <c r="C1985" i="19"/>
  <c r="B1985" i="19"/>
  <c r="E1984" i="19"/>
  <c r="F1984" i="19" s="1"/>
  <c r="I1984" i="19" s="1"/>
  <c r="D1984" i="19"/>
  <c r="C1984" i="19"/>
  <c r="B1984" i="19"/>
  <c r="E1983" i="19"/>
  <c r="F1983" i="19" s="1"/>
  <c r="I1983" i="19" s="1"/>
  <c r="D1983" i="19"/>
  <c r="C1983" i="19"/>
  <c r="B1983" i="19"/>
  <c r="E1982" i="19"/>
  <c r="F1982" i="19" s="1"/>
  <c r="I1982" i="19" s="1"/>
  <c r="D1982" i="19"/>
  <c r="C1982" i="19"/>
  <c r="B1982" i="19"/>
  <c r="E1981" i="19"/>
  <c r="F1981" i="19" s="1"/>
  <c r="I1981" i="19" s="1"/>
  <c r="D1981" i="19"/>
  <c r="C1981" i="19"/>
  <c r="B1981" i="19"/>
  <c r="E1980" i="19"/>
  <c r="F1980" i="19" s="1"/>
  <c r="I1980" i="19" s="1"/>
  <c r="D1980" i="19"/>
  <c r="C1980" i="19"/>
  <c r="B1980" i="19"/>
  <c r="E1979" i="19"/>
  <c r="F1979" i="19" s="1"/>
  <c r="I1979" i="19" s="1"/>
  <c r="D1979" i="19"/>
  <c r="C1979" i="19"/>
  <c r="B1979" i="19"/>
  <c r="E1978" i="19"/>
  <c r="F1978" i="19" s="1"/>
  <c r="I1978" i="19" s="1"/>
  <c r="D1978" i="19"/>
  <c r="C1978" i="19"/>
  <c r="B1978" i="19"/>
  <c r="F1977" i="19"/>
  <c r="I1977" i="19" s="1"/>
  <c r="E1977" i="19"/>
  <c r="D1977" i="19"/>
  <c r="C1977" i="19"/>
  <c r="B1977" i="19"/>
  <c r="E1976" i="19"/>
  <c r="F1976" i="19" s="1"/>
  <c r="I1976" i="19" s="1"/>
  <c r="D1976" i="19"/>
  <c r="C1976" i="19"/>
  <c r="B1976" i="19"/>
  <c r="F1975" i="19"/>
  <c r="I1975" i="19" s="1"/>
  <c r="E1975" i="19"/>
  <c r="D1975" i="19"/>
  <c r="C1975" i="19"/>
  <c r="B1975" i="19"/>
  <c r="E1974" i="19"/>
  <c r="F1974" i="19" s="1"/>
  <c r="I1974" i="19" s="1"/>
  <c r="D1974" i="19"/>
  <c r="C1974" i="19"/>
  <c r="B1974" i="19"/>
  <c r="E1973" i="19"/>
  <c r="F1973" i="19" s="1"/>
  <c r="I1973" i="19" s="1"/>
  <c r="D1973" i="19"/>
  <c r="C1973" i="19"/>
  <c r="B1973" i="19"/>
  <c r="E1972" i="19"/>
  <c r="F1972" i="19" s="1"/>
  <c r="I1972" i="19" s="1"/>
  <c r="D1972" i="19"/>
  <c r="C1972" i="19"/>
  <c r="B1972" i="19"/>
  <c r="E1971" i="19"/>
  <c r="F1971" i="19" s="1"/>
  <c r="I1971" i="19" s="1"/>
  <c r="D1971" i="19"/>
  <c r="C1971" i="19"/>
  <c r="B1971" i="19"/>
  <c r="E1970" i="19"/>
  <c r="F1970" i="19" s="1"/>
  <c r="I1970" i="19" s="1"/>
  <c r="D1970" i="19"/>
  <c r="C1970" i="19"/>
  <c r="B1970" i="19"/>
  <c r="I1969" i="19"/>
  <c r="E1969" i="19"/>
  <c r="F1969" i="19" s="1"/>
  <c r="D1969" i="19"/>
  <c r="C1969" i="19"/>
  <c r="B1969" i="19"/>
  <c r="E1968" i="19"/>
  <c r="F1968" i="19" s="1"/>
  <c r="I1968" i="19" s="1"/>
  <c r="D1968" i="19"/>
  <c r="C1968" i="19"/>
  <c r="B1968" i="19"/>
  <c r="E1967" i="19"/>
  <c r="F1967" i="19" s="1"/>
  <c r="I1967" i="19" s="1"/>
  <c r="D1967" i="19"/>
  <c r="C1967" i="19"/>
  <c r="B1967" i="19"/>
  <c r="E1966" i="19"/>
  <c r="F1966" i="19" s="1"/>
  <c r="I1966" i="19" s="1"/>
  <c r="D1966" i="19"/>
  <c r="C1966" i="19"/>
  <c r="B1966" i="19"/>
  <c r="F1965" i="19"/>
  <c r="I1965" i="19" s="1"/>
  <c r="E1965" i="19"/>
  <c r="D1965" i="19"/>
  <c r="C1965" i="19"/>
  <c r="B1965" i="19"/>
  <c r="E1964" i="19"/>
  <c r="F1964" i="19" s="1"/>
  <c r="I1964" i="19" s="1"/>
  <c r="D1964" i="19"/>
  <c r="C1964" i="19"/>
  <c r="B1964" i="19"/>
  <c r="F1963" i="19"/>
  <c r="I1963" i="19" s="1"/>
  <c r="E1963" i="19"/>
  <c r="D1963" i="19"/>
  <c r="C1963" i="19"/>
  <c r="B1963" i="19"/>
  <c r="E1962" i="19"/>
  <c r="F1962" i="19" s="1"/>
  <c r="I1962" i="19" s="1"/>
  <c r="D1962" i="19"/>
  <c r="C1962" i="19"/>
  <c r="B1962" i="19"/>
  <c r="E1961" i="19"/>
  <c r="F1961" i="19" s="1"/>
  <c r="I1961" i="19" s="1"/>
  <c r="D1961" i="19"/>
  <c r="C1961" i="19"/>
  <c r="B1961" i="19"/>
  <c r="E1960" i="19"/>
  <c r="F1960" i="19" s="1"/>
  <c r="I1960" i="19" s="1"/>
  <c r="D1960" i="19"/>
  <c r="C1960" i="19"/>
  <c r="B1960" i="19"/>
  <c r="E1959" i="19"/>
  <c r="F1959" i="19" s="1"/>
  <c r="I1959" i="19" s="1"/>
  <c r="D1959" i="19"/>
  <c r="C1959" i="19"/>
  <c r="B1959" i="19"/>
  <c r="E1958" i="19"/>
  <c r="F1958" i="19" s="1"/>
  <c r="I1958" i="19" s="1"/>
  <c r="D1958" i="19"/>
  <c r="C1958" i="19"/>
  <c r="B1958" i="19"/>
  <c r="E1957" i="19"/>
  <c r="F1957" i="19" s="1"/>
  <c r="I1957" i="19" s="1"/>
  <c r="D1957" i="19"/>
  <c r="C1957" i="19"/>
  <c r="B1957" i="19"/>
  <c r="E1956" i="19"/>
  <c r="F1956" i="19" s="1"/>
  <c r="I1956" i="19" s="1"/>
  <c r="D1956" i="19"/>
  <c r="C1956" i="19"/>
  <c r="B1956" i="19"/>
  <c r="E1955" i="19"/>
  <c r="F1955" i="19" s="1"/>
  <c r="I1955" i="19" s="1"/>
  <c r="D1955" i="19"/>
  <c r="C1955" i="19"/>
  <c r="B1955" i="19"/>
  <c r="E1954" i="19"/>
  <c r="F1954" i="19" s="1"/>
  <c r="I1954" i="19" s="1"/>
  <c r="D1954" i="19"/>
  <c r="C1954" i="19"/>
  <c r="B1954" i="19"/>
  <c r="F1953" i="19"/>
  <c r="I1953" i="19" s="1"/>
  <c r="E1953" i="19"/>
  <c r="D1953" i="19"/>
  <c r="C1953" i="19"/>
  <c r="B1953" i="19"/>
  <c r="E1952" i="19"/>
  <c r="F1952" i="19" s="1"/>
  <c r="I1952" i="19" s="1"/>
  <c r="D1952" i="19"/>
  <c r="C1952" i="19"/>
  <c r="B1952" i="19"/>
  <c r="F1951" i="19"/>
  <c r="I1951" i="19" s="1"/>
  <c r="E1951" i="19"/>
  <c r="D1951" i="19"/>
  <c r="C1951" i="19"/>
  <c r="B1951" i="19"/>
  <c r="E1950" i="19"/>
  <c r="F1950" i="19" s="1"/>
  <c r="I1950" i="19" s="1"/>
  <c r="D1950" i="19"/>
  <c r="C1950" i="19"/>
  <c r="B1950" i="19"/>
  <c r="E1949" i="19"/>
  <c r="F1949" i="19" s="1"/>
  <c r="I1949" i="19" s="1"/>
  <c r="D1949" i="19"/>
  <c r="C1949" i="19"/>
  <c r="B1949" i="19"/>
  <c r="E1948" i="19"/>
  <c r="F1948" i="19" s="1"/>
  <c r="I1948" i="19" s="1"/>
  <c r="D1948" i="19"/>
  <c r="C1948" i="19"/>
  <c r="B1948" i="19"/>
  <c r="E1947" i="19"/>
  <c r="F1947" i="19" s="1"/>
  <c r="I1947" i="19" s="1"/>
  <c r="D1947" i="19"/>
  <c r="C1947" i="19"/>
  <c r="B1947" i="19"/>
  <c r="E1946" i="19"/>
  <c r="F1946" i="19" s="1"/>
  <c r="I1946" i="19" s="1"/>
  <c r="D1946" i="19"/>
  <c r="C1946" i="19"/>
  <c r="B1946" i="19"/>
  <c r="I1945" i="19"/>
  <c r="E1945" i="19"/>
  <c r="F1945" i="19" s="1"/>
  <c r="D1945" i="19"/>
  <c r="C1945" i="19"/>
  <c r="B1945" i="19"/>
  <c r="E1944" i="19"/>
  <c r="F1944" i="19" s="1"/>
  <c r="I1944" i="19" s="1"/>
  <c r="D1944" i="19"/>
  <c r="C1944" i="19"/>
  <c r="B1944" i="19"/>
  <c r="E1943" i="19"/>
  <c r="F1943" i="19" s="1"/>
  <c r="I1943" i="19" s="1"/>
  <c r="D1943" i="19"/>
  <c r="C1943" i="19"/>
  <c r="B1943" i="19"/>
  <c r="E1942" i="19"/>
  <c r="F1942" i="19" s="1"/>
  <c r="I1942" i="19" s="1"/>
  <c r="D1942" i="19"/>
  <c r="C1942" i="19"/>
  <c r="B1942" i="19"/>
  <c r="F1941" i="19"/>
  <c r="I1941" i="19" s="1"/>
  <c r="E1941" i="19"/>
  <c r="D1941" i="19"/>
  <c r="C1941" i="19"/>
  <c r="B1941" i="19"/>
  <c r="E1940" i="19"/>
  <c r="F1940" i="19" s="1"/>
  <c r="I1940" i="19" s="1"/>
  <c r="D1940" i="19"/>
  <c r="C1940" i="19"/>
  <c r="B1940" i="19"/>
  <c r="F1939" i="19"/>
  <c r="I1939" i="19" s="1"/>
  <c r="E1939" i="19"/>
  <c r="D1939" i="19"/>
  <c r="C1939" i="19"/>
  <c r="B1939" i="19"/>
  <c r="E1938" i="19"/>
  <c r="F1938" i="19" s="1"/>
  <c r="I1938" i="19" s="1"/>
  <c r="D1938" i="19"/>
  <c r="C1938" i="19"/>
  <c r="B1938" i="19"/>
  <c r="E1937" i="19"/>
  <c r="F1937" i="19" s="1"/>
  <c r="I1937" i="19" s="1"/>
  <c r="D1937" i="19"/>
  <c r="C1937" i="19"/>
  <c r="B1937" i="19"/>
  <c r="E1936" i="19"/>
  <c r="F1936" i="19" s="1"/>
  <c r="I1936" i="19" s="1"/>
  <c r="D1936" i="19"/>
  <c r="C1936" i="19"/>
  <c r="B1936" i="19"/>
  <c r="E1935" i="19"/>
  <c r="F1935" i="19" s="1"/>
  <c r="I1935" i="19" s="1"/>
  <c r="D1935" i="19"/>
  <c r="C1935" i="19"/>
  <c r="B1935" i="19"/>
  <c r="E1934" i="19"/>
  <c r="F1934" i="19" s="1"/>
  <c r="I1934" i="19" s="1"/>
  <c r="D1934" i="19"/>
  <c r="C1934" i="19"/>
  <c r="B1934" i="19"/>
  <c r="E1933" i="19"/>
  <c r="F1933" i="19" s="1"/>
  <c r="I1933" i="19" s="1"/>
  <c r="D1933" i="19"/>
  <c r="C1933" i="19"/>
  <c r="B1933" i="19"/>
  <c r="E1932" i="19"/>
  <c r="F1932" i="19" s="1"/>
  <c r="I1932" i="19" s="1"/>
  <c r="D1932" i="19"/>
  <c r="C1932" i="19"/>
  <c r="B1932" i="19"/>
  <c r="E1931" i="19"/>
  <c r="F1931" i="19" s="1"/>
  <c r="I1931" i="19" s="1"/>
  <c r="D1931" i="19"/>
  <c r="C1931" i="19"/>
  <c r="B1931" i="19"/>
  <c r="E1930" i="19"/>
  <c r="F1930" i="19" s="1"/>
  <c r="I1930" i="19" s="1"/>
  <c r="D1930" i="19"/>
  <c r="C1930" i="19"/>
  <c r="B1930" i="19"/>
  <c r="F1929" i="19"/>
  <c r="I1929" i="19" s="1"/>
  <c r="E1929" i="19"/>
  <c r="D1929" i="19"/>
  <c r="C1929" i="19"/>
  <c r="B1929" i="19"/>
  <c r="E1928" i="19"/>
  <c r="F1928" i="19" s="1"/>
  <c r="I1928" i="19" s="1"/>
  <c r="D1928" i="19"/>
  <c r="C1928" i="19"/>
  <c r="B1928" i="19"/>
  <c r="F1927" i="19"/>
  <c r="I1927" i="19" s="1"/>
  <c r="E1927" i="19"/>
  <c r="D1927" i="19"/>
  <c r="C1927" i="19"/>
  <c r="B1927" i="19"/>
  <c r="E1926" i="19"/>
  <c r="F1926" i="19" s="1"/>
  <c r="I1926" i="19" s="1"/>
  <c r="D1926" i="19"/>
  <c r="C1926" i="19"/>
  <c r="B1926" i="19"/>
  <c r="E1925" i="19"/>
  <c r="F1925" i="19" s="1"/>
  <c r="I1925" i="19" s="1"/>
  <c r="D1925" i="19"/>
  <c r="C1925" i="19"/>
  <c r="B1925" i="19"/>
  <c r="E1924" i="19"/>
  <c r="F1924" i="19" s="1"/>
  <c r="I1924" i="19" s="1"/>
  <c r="D1924" i="19"/>
  <c r="C1924" i="19"/>
  <c r="B1924" i="19"/>
  <c r="E1923" i="19"/>
  <c r="F1923" i="19" s="1"/>
  <c r="I1923" i="19" s="1"/>
  <c r="D1923" i="19"/>
  <c r="C1923" i="19"/>
  <c r="B1923" i="19"/>
  <c r="E1922" i="19"/>
  <c r="F1922" i="19" s="1"/>
  <c r="I1922" i="19" s="1"/>
  <c r="D1922" i="19"/>
  <c r="C1922" i="19"/>
  <c r="B1922" i="19"/>
  <c r="E1921" i="19"/>
  <c r="F1921" i="19" s="1"/>
  <c r="I1921" i="19" s="1"/>
  <c r="D1921" i="19"/>
  <c r="C1921" i="19"/>
  <c r="B1921" i="19"/>
  <c r="E1920" i="19"/>
  <c r="F1920" i="19" s="1"/>
  <c r="I1920" i="19" s="1"/>
  <c r="D1920" i="19"/>
  <c r="C1920" i="19"/>
  <c r="B1920" i="19"/>
  <c r="E1919" i="19"/>
  <c r="F1919" i="19" s="1"/>
  <c r="I1919" i="19" s="1"/>
  <c r="D1919" i="19"/>
  <c r="C1919" i="19"/>
  <c r="B1919" i="19"/>
  <c r="F1918" i="19"/>
  <c r="I1918" i="19" s="1"/>
  <c r="E1918" i="19"/>
  <c r="D1918" i="19"/>
  <c r="C1918" i="19"/>
  <c r="B1918" i="19"/>
  <c r="I1917" i="19"/>
  <c r="F1917" i="19"/>
  <c r="E1917" i="19"/>
  <c r="D1917" i="19"/>
  <c r="C1917" i="19"/>
  <c r="B1917" i="19"/>
  <c r="E1916" i="19"/>
  <c r="F1916" i="19" s="1"/>
  <c r="I1916" i="19" s="1"/>
  <c r="D1916" i="19"/>
  <c r="C1916" i="19"/>
  <c r="B1916" i="19"/>
  <c r="F1915" i="19"/>
  <c r="I1915" i="19" s="1"/>
  <c r="E1915" i="19"/>
  <c r="D1915" i="19"/>
  <c r="C1915" i="19"/>
  <c r="B1915" i="19"/>
  <c r="F1914" i="19"/>
  <c r="I1914" i="19" s="1"/>
  <c r="E1914" i="19"/>
  <c r="D1914" i="19"/>
  <c r="C1914" i="19"/>
  <c r="B1914" i="19"/>
  <c r="I1913" i="19"/>
  <c r="E1913" i="19"/>
  <c r="F1913" i="19" s="1"/>
  <c r="D1913" i="19"/>
  <c r="C1913" i="19"/>
  <c r="B1913" i="19"/>
  <c r="E1912" i="19"/>
  <c r="F1912" i="19" s="1"/>
  <c r="I1912" i="19" s="1"/>
  <c r="D1912" i="19"/>
  <c r="C1912" i="19"/>
  <c r="B1912" i="19"/>
  <c r="I1911" i="19"/>
  <c r="F1911" i="19"/>
  <c r="E1911" i="19"/>
  <c r="D1911" i="19"/>
  <c r="C1911" i="19"/>
  <c r="B1911" i="19"/>
  <c r="F1910" i="19"/>
  <c r="I1910" i="19" s="1"/>
  <c r="E1910" i="19"/>
  <c r="D1910" i="19"/>
  <c r="C1910" i="19"/>
  <c r="B1910" i="19"/>
  <c r="E1909" i="19"/>
  <c r="F1909" i="19" s="1"/>
  <c r="I1909" i="19" s="1"/>
  <c r="D1909" i="19"/>
  <c r="C1909" i="19"/>
  <c r="B1909" i="19"/>
  <c r="E1908" i="19"/>
  <c r="F1908" i="19" s="1"/>
  <c r="I1908" i="19" s="1"/>
  <c r="D1908" i="19"/>
  <c r="C1908" i="19"/>
  <c r="B1908" i="19"/>
  <c r="E1907" i="19"/>
  <c r="F1907" i="19" s="1"/>
  <c r="I1907" i="19" s="1"/>
  <c r="D1907" i="19"/>
  <c r="C1907" i="19"/>
  <c r="B1907" i="19"/>
  <c r="F1906" i="19"/>
  <c r="I1906" i="19" s="1"/>
  <c r="E1906" i="19"/>
  <c r="D1906" i="19"/>
  <c r="C1906" i="19"/>
  <c r="B1906" i="19"/>
  <c r="F1905" i="19"/>
  <c r="I1905" i="19" s="1"/>
  <c r="E1905" i="19"/>
  <c r="D1905" i="19"/>
  <c r="C1905" i="19"/>
  <c r="B1905" i="19"/>
  <c r="F1904" i="19"/>
  <c r="I1904" i="19" s="1"/>
  <c r="E1904" i="19"/>
  <c r="D1904" i="19"/>
  <c r="C1904" i="19"/>
  <c r="B1904" i="19"/>
  <c r="E1903" i="19"/>
  <c r="F1903" i="19" s="1"/>
  <c r="I1903" i="19" s="1"/>
  <c r="D1903" i="19"/>
  <c r="C1903" i="19"/>
  <c r="B1903" i="19"/>
  <c r="E1902" i="19"/>
  <c r="F1902" i="19" s="1"/>
  <c r="I1902" i="19" s="1"/>
  <c r="D1902" i="19"/>
  <c r="C1902" i="19"/>
  <c r="B1902" i="19"/>
  <c r="F1901" i="19"/>
  <c r="I1901" i="19" s="1"/>
  <c r="E1901" i="19"/>
  <c r="D1901" i="19"/>
  <c r="C1901" i="19"/>
  <c r="B1901" i="19"/>
  <c r="F1900" i="19"/>
  <c r="I1900" i="19" s="1"/>
  <c r="E1900" i="19"/>
  <c r="D1900" i="19"/>
  <c r="C1900" i="19"/>
  <c r="B1900" i="19"/>
  <c r="I1899" i="19"/>
  <c r="E1899" i="19"/>
  <c r="F1899" i="19" s="1"/>
  <c r="D1899" i="19"/>
  <c r="C1899" i="19"/>
  <c r="B1899" i="19"/>
  <c r="E1898" i="19"/>
  <c r="F1898" i="19" s="1"/>
  <c r="I1898" i="19" s="1"/>
  <c r="D1898" i="19"/>
  <c r="C1898" i="19"/>
  <c r="B1898" i="19"/>
  <c r="F1897" i="19"/>
  <c r="I1897" i="19" s="1"/>
  <c r="E1897" i="19"/>
  <c r="D1897" i="19"/>
  <c r="C1897" i="19"/>
  <c r="B1897" i="19"/>
  <c r="E1896" i="19"/>
  <c r="F1896" i="19" s="1"/>
  <c r="I1896" i="19" s="1"/>
  <c r="D1896" i="19"/>
  <c r="C1896" i="19"/>
  <c r="B1896" i="19"/>
  <c r="E1895" i="19"/>
  <c r="F1895" i="19" s="1"/>
  <c r="I1895" i="19" s="1"/>
  <c r="D1895" i="19"/>
  <c r="C1895" i="19"/>
  <c r="B1895" i="19"/>
  <c r="F1894" i="19"/>
  <c r="I1894" i="19" s="1"/>
  <c r="E1894" i="19"/>
  <c r="D1894" i="19"/>
  <c r="C1894" i="19"/>
  <c r="B1894" i="19"/>
  <c r="F1893" i="19"/>
  <c r="I1893" i="19" s="1"/>
  <c r="E1893" i="19"/>
  <c r="D1893" i="19"/>
  <c r="C1893" i="19"/>
  <c r="B1893" i="19"/>
  <c r="E1892" i="19"/>
  <c r="F1892" i="19" s="1"/>
  <c r="I1892" i="19" s="1"/>
  <c r="D1892" i="19"/>
  <c r="C1892" i="19"/>
  <c r="B1892" i="19"/>
  <c r="F1891" i="19"/>
  <c r="I1891" i="19" s="1"/>
  <c r="E1891" i="19"/>
  <c r="D1891" i="19"/>
  <c r="C1891" i="19"/>
  <c r="B1891" i="19"/>
  <c r="F1890" i="19"/>
  <c r="I1890" i="19" s="1"/>
  <c r="E1890" i="19"/>
  <c r="D1890" i="19"/>
  <c r="C1890" i="19"/>
  <c r="B1890" i="19"/>
  <c r="I1889" i="19"/>
  <c r="E1889" i="19"/>
  <c r="F1889" i="19" s="1"/>
  <c r="D1889" i="19"/>
  <c r="C1889" i="19"/>
  <c r="B1889" i="19"/>
  <c r="E1888" i="19"/>
  <c r="F1888" i="19" s="1"/>
  <c r="I1888" i="19" s="1"/>
  <c r="D1888" i="19"/>
  <c r="C1888" i="19"/>
  <c r="B1888" i="19"/>
  <c r="F1887" i="19"/>
  <c r="I1887" i="19" s="1"/>
  <c r="E1887" i="19"/>
  <c r="D1887" i="19"/>
  <c r="C1887" i="19"/>
  <c r="B1887" i="19"/>
  <c r="F1886" i="19"/>
  <c r="I1886" i="19" s="1"/>
  <c r="E1886" i="19"/>
  <c r="D1886" i="19"/>
  <c r="C1886" i="19"/>
  <c r="B1886" i="19"/>
  <c r="F1885" i="19"/>
  <c r="I1885" i="19" s="1"/>
  <c r="E1885" i="19"/>
  <c r="D1885" i="19"/>
  <c r="C1885" i="19"/>
  <c r="B1885" i="19"/>
  <c r="E1884" i="19"/>
  <c r="F1884" i="19" s="1"/>
  <c r="I1884" i="19" s="1"/>
  <c r="D1884" i="19"/>
  <c r="C1884" i="19"/>
  <c r="B1884" i="19"/>
  <c r="E1883" i="19"/>
  <c r="F1883" i="19" s="1"/>
  <c r="I1883" i="19" s="1"/>
  <c r="D1883" i="19"/>
  <c r="C1883" i="19"/>
  <c r="B1883" i="19"/>
  <c r="F1882" i="19"/>
  <c r="I1882" i="19" s="1"/>
  <c r="E1882" i="19"/>
  <c r="D1882" i="19"/>
  <c r="C1882" i="19"/>
  <c r="B1882" i="19"/>
  <c r="F1881" i="19"/>
  <c r="I1881" i="19" s="1"/>
  <c r="E1881" i="19"/>
  <c r="D1881" i="19"/>
  <c r="C1881" i="19"/>
  <c r="B1881" i="19"/>
  <c r="F1880" i="19"/>
  <c r="I1880" i="19" s="1"/>
  <c r="E1880" i="19"/>
  <c r="D1880" i="19"/>
  <c r="C1880" i="19"/>
  <c r="B1880" i="19"/>
  <c r="E1879" i="19"/>
  <c r="F1879" i="19" s="1"/>
  <c r="I1879" i="19" s="1"/>
  <c r="D1879" i="19"/>
  <c r="C1879" i="19"/>
  <c r="B1879" i="19"/>
  <c r="E1878" i="19"/>
  <c r="F1878" i="19" s="1"/>
  <c r="I1878" i="19" s="1"/>
  <c r="D1878" i="19"/>
  <c r="C1878" i="19"/>
  <c r="B1878" i="19"/>
  <c r="F1877" i="19"/>
  <c r="I1877" i="19" s="1"/>
  <c r="E1877" i="19"/>
  <c r="D1877" i="19"/>
  <c r="C1877" i="19"/>
  <c r="B1877" i="19"/>
  <c r="F1876" i="19"/>
  <c r="I1876" i="19" s="1"/>
  <c r="E1876" i="19"/>
  <c r="D1876" i="19"/>
  <c r="C1876" i="19"/>
  <c r="B1876" i="19"/>
  <c r="E1875" i="19"/>
  <c r="F1875" i="19" s="1"/>
  <c r="I1875" i="19" s="1"/>
  <c r="D1875" i="19"/>
  <c r="C1875" i="19"/>
  <c r="B1875" i="19"/>
  <c r="E1874" i="19"/>
  <c r="F1874" i="19" s="1"/>
  <c r="I1874" i="19" s="1"/>
  <c r="D1874" i="19"/>
  <c r="C1874" i="19"/>
  <c r="B1874" i="19"/>
  <c r="F1873" i="19"/>
  <c r="I1873" i="19" s="1"/>
  <c r="E1873" i="19"/>
  <c r="D1873" i="19"/>
  <c r="C1873" i="19"/>
  <c r="B1873" i="19"/>
  <c r="E1872" i="19"/>
  <c r="F1872" i="19" s="1"/>
  <c r="I1872" i="19" s="1"/>
  <c r="D1872" i="19"/>
  <c r="C1872" i="19"/>
  <c r="B1872" i="19"/>
  <c r="E1871" i="19"/>
  <c r="F1871" i="19" s="1"/>
  <c r="I1871" i="19" s="1"/>
  <c r="D1871" i="19"/>
  <c r="C1871" i="19"/>
  <c r="B1871" i="19"/>
  <c r="F1870" i="19"/>
  <c r="I1870" i="19" s="1"/>
  <c r="E1870" i="19"/>
  <c r="D1870" i="19"/>
  <c r="C1870" i="19"/>
  <c r="B1870" i="19"/>
  <c r="F1869" i="19"/>
  <c r="I1869" i="19" s="1"/>
  <c r="E1869" i="19"/>
  <c r="D1869" i="19"/>
  <c r="C1869" i="19"/>
  <c r="B1869" i="19"/>
  <c r="E1868" i="19"/>
  <c r="F1868" i="19" s="1"/>
  <c r="I1868" i="19" s="1"/>
  <c r="D1868" i="19"/>
  <c r="C1868" i="19"/>
  <c r="B1868" i="19"/>
  <c r="F1867" i="19"/>
  <c r="I1867" i="19" s="1"/>
  <c r="E1867" i="19"/>
  <c r="D1867" i="19"/>
  <c r="C1867" i="19"/>
  <c r="B1867" i="19"/>
  <c r="F1866" i="19"/>
  <c r="I1866" i="19" s="1"/>
  <c r="E1866" i="19"/>
  <c r="D1866" i="19"/>
  <c r="C1866" i="19"/>
  <c r="B1866" i="19"/>
  <c r="E1865" i="19"/>
  <c r="F1865" i="19" s="1"/>
  <c r="I1865" i="19" s="1"/>
  <c r="D1865" i="19"/>
  <c r="C1865" i="19"/>
  <c r="B1865" i="19"/>
  <c r="E1864" i="19"/>
  <c r="F1864" i="19" s="1"/>
  <c r="I1864" i="19" s="1"/>
  <c r="D1864" i="19"/>
  <c r="C1864" i="19"/>
  <c r="B1864" i="19"/>
  <c r="I1863" i="19"/>
  <c r="F1863" i="19"/>
  <c r="E1863" i="19"/>
  <c r="D1863" i="19"/>
  <c r="C1863" i="19"/>
  <c r="B1863" i="19"/>
  <c r="I1862" i="19"/>
  <c r="E1862" i="19"/>
  <c r="F1862" i="19" s="1"/>
  <c r="D1862" i="19"/>
  <c r="C1862" i="19"/>
  <c r="B1862" i="19"/>
  <c r="F1861" i="19"/>
  <c r="I1861" i="19" s="1"/>
  <c r="E1861" i="19"/>
  <c r="D1861" i="19"/>
  <c r="C1861" i="19"/>
  <c r="B1861" i="19"/>
  <c r="I1860" i="19"/>
  <c r="E1860" i="19"/>
  <c r="F1860" i="19" s="1"/>
  <c r="D1860" i="19"/>
  <c r="C1860" i="19"/>
  <c r="B1860" i="19"/>
  <c r="I1859" i="19"/>
  <c r="F1859" i="19"/>
  <c r="E1859" i="19"/>
  <c r="D1859" i="19"/>
  <c r="C1859" i="19"/>
  <c r="B1859" i="19"/>
  <c r="E1858" i="19"/>
  <c r="F1858" i="19" s="1"/>
  <c r="I1858" i="19" s="1"/>
  <c r="D1858" i="19"/>
  <c r="C1858" i="19"/>
  <c r="B1858" i="19"/>
  <c r="F1857" i="19"/>
  <c r="I1857" i="19" s="1"/>
  <c r="E1857" i="19"/>
  <c r="D1857" i="19"/>
  <c r="C1857" i="19"/>
  <c r="B1857" i="19"/>
  <c r="E1856" i="19"/>
  <c r="F1856" i="19" s="1"/>
  <c r="I1856" i="19" s="1"/>
  <c r="D1856" i="19"/>
  <c r="C1856" i="19"/>
  <c r="B1856" i="19"/>
  <c r="F1855" i="19"/>
  <c r="I1855" i="19" s="1"/>
  <c r="E1855" i="19"/>
  <c r="D1855" i="19"/>
  <c r="C1855" i="19"/>
  <c r="B1855" i="19"/>
  <c r="E1854" i="19"/>
  <c r="F1854" i="19" s="1"/>
  <c r="I1854" i="19" s="1"/>
  <c r="D1854" i="19"/>
  <c r="C1854" i="19"/>
  <c r="B1854" i="19"/>
  <c r="F1853" i="19"/>
  <c r="I1853" i="19" s="1"/>
  <c r="E1853" i="19"/>
  <c r="D1853" i="19"/>
  <c r="C1853" i="19"/>
  <c r="B1853" i="19"/>
  <c r="E1852" i="19"/>
  <c r="F1852" i="19" s="1"/>
  <c r="I1852" i="19" s="1"/>
  <c r="D1852" i="19"/>
  <c r="C1852" i="19"/>
  <c r="B1852" i="19"/>
  <c r="I1851" i="19"/>
  <c r="F1851" i="19"/>
  <c r="E1851" i="19"/>
  <c r="D1851" i="19"/>
  <c r="C1851" i="19"/>
  <c r="B1851" i="19"/>
  <c r="I1850" i="19"/>
  <c r="E1850" i="19"/>
  <c r="F1850" i="19" s="1"/>
  <c r="D1850" i="19"/>
  <c r="C1850" i="19"/>
  <c r="B1850" i="19"/>
  <c r="I1849" i="19"/>
  <c r="F1849" i="19"/>
  <c r="E1849" i="19"/>
  <c r="D1849" i="19"/>
  <c r="C1849" i="19"/>
  <c r="B1849" i="19"/>
  <c r="E1848" i="19"/>
  <c r="F1848" i="19" s="1"/>
  <c r="I1848" i="19" s="1"/>
  <c r="D1848" i="19"/>
  <c r="C1848" i="19"/>
  <c r="B1848" i="19"/>
  <c r="I1847" i="19"/>
  <c r="F1847" i="19"/>
  <c r="E1847" i="19"/>
  <c r="D1847" i="19"/>
  <c r="C1847" i="19"/>
  <c r="B1847" i="19"/>
  <c r="E1846" i="19"/>
  <c r="F1846" i="19" s="1"/>
  <c r="I1846" i="19" s="1"/>
  <c r="D1846" i="19"/>
  <c r="C1846" i="19"/>
  <c r="B1846" i="19"/>
  <c r="F1845" i="19"/>
  <c r="I1845" i="19" s="1"/>
  <c r="E1845" i="19"/>
  <c r="D1845" i="19"/>
  <c r="C1845" i="19"/>
  <c r="B1845" i="19"/>
  <c r="I1844" i="19"/>
  <c r="E1844" i="19"/>
  <c r="F1844" i="19" s="1"/>
  <c r="D1844" i="19"/>
  <c r="C1844" i="19"/>
  <c r="B1844" i="19"/>
  <c r="F1843" i="19"/>
  <c r="I1843" i="19" s="1"/>
  <c r="E1843" i="19"/>
  <c r="D1843" i="19"/>
  <c r="C1843" i="19"/>
  <c r="B1843" i="19"/>
  <c r="E1842" i="19"/>
  <c r="F1842" i="19" s="1"/>
  <c r="I1842" i="19" s="1"/>
  <c r="D1842" i="19"/>
  <c r="C1842" i="19"/>
  <c r="B1842" i="19"/>
  <c r="F1841" i="19"/>
  <c r="I1841" i="19" s="1"/>
  <c r="E1841" i="19"/>
  <c r="D1841" i="19"/>
  <c r="C1841" i="19"/>
  <c r="B1841" i="19"/>
  <c r="E1840" i="19"/>
  <c r="F1840" i="19" s="1"/>
  <c r="I1840" i="19" s="1"/>
  <c r="D1840" i="19"/>
  <c r="C1840" i="19"/>
  <c r="B1840" i="19"/>
  <c r="F1839" i="19"/>
  <c r="I1839" i="19" s="1"/>
  <c r="E1839" i="19"/>
  <c r="D1839" i="19"/>
  <c r="C1839" i="19"/>
  <c r="B1839" i="19"/>
  <c r="I1838" i="19"/>
  <c r="E1838" i="19"/>
  <c r="F1838" i="19" s="1"/>
  <c r="D1838" i="19"/>
  <c r="C1838" i="19"/>
  <c r="B1838" i="19"/>
  <c r="F1837" i="19"/>
  <c r="I1837" i="19" s="1"/>
  <c r="E1837" i="19"/>
  <c r="D1837" i="19"/>
  <c r="C1837" i="19"/>
  <c r="B1837" i="19"/>
  <c r="E1836" i="19"/>
  <c r="F1836" i="19" s="1"/>
  <c r="I1836" i="19" s="1"/>
  <c r="D1836" i="19"/>
  <c r="C1836" i="19"/>
  <c r="B1836" i="19"/>
  <c r="F1835" i="19"/>
  <c r="I1835" i="19" s="1"/>
  <c r="E1835" i="19"/>
  <c r="D1835" i="19"/>
  <c r="C1835" i="19"/>
  <c r="B1835" i="19"/>
  <c r="I1834" i="19"/>
  <c r="E1834" i="19"/>
  <c r="F1834" i="19" s="1"/>
  <c r="D1834" i="19"/>
  <c r="C1834" i="19"/>
  <c r="B1834" i="19"/>
  <c r="I1833" i="19"/>
  <c r="F1833" i="19"/>
  <c r="E1833" i="19"/>
  <c r="D1833" i="19"/>
  <c r="C1833" i="19"/>
  <c r="B1833" i="19"/>
  <c r="E1832" i="19"/>
  <c r="F1832" i="19" s="1"/>
  <c r="I1832" i="19" s="1"/>
  <c r="D1832" i="19"/>
  <c r="C1832" i="19"/>
  <c r="B1832" i="19"/>
  <c r="F1831" i="19"/>
  <c r="I1831" i="19" s="1"/>
  <c r="E1831" i="19"/>
  <c r="D1831" i="19"/>
  <c r="C1831" i="19"/>
  <c r="B1831" i="19"/>
  <c r="E1830" i="19"/>
  <c r="F1830" i="19" s="1"/>
  <c r="I1830" i="19" s="1"/>
  <c r="D1830" i="19"/>
  <c r="C1830" i="19"/>
  <c r="B1830" i="19"/>
  <c r="F1829" i="19"/>
  <c r="I1829" i="19" s="1"/>
  <c r="E1829" i="19"/>
  <c r="D1829" i="19"/>
  <c r="C1829" i="19"/>
  <c r="B1829" i="19"/>
  <c r="E1828" i="19"/>
  <c r="F1828" i="19" s="1"/>
  <c r="I1828" i="19" s="1"/>
  <c r="D1828" i="19"/>
  <c r="C1828" i="19"/>
  <c r="B1828" i="19"/>
  <c r="I1827" i="19"/>
  <c r="F1827" i="19"/>
  <c r="E1827" i="19"/>
  <c r="D1827" i="19"/>
  <c r="C1827" i="19"/>
  <c r="B1827" i="19"/>
  <c r="E1826" i="19"/>
  <c r="F1826" i="19" s="1"/>
  <c r="I1826" i="19" s="1"/>
  <c r="D1826" i="19"/>
  <c r="C1826" i="19"/>
  <c r="B1826" i="19"/>
  <c r="F1825" i="19"/>
  <c r="I1825" i="19" s="1"/>
  <c r="E1825" i="19"/>
  <c r="D1825" i="19"/>
  <c r="C1825" i="19"/>
  <c r="B1825" i="19"/>
  <c r="E1824" i="19"/>
  <c r="F1824" i="19" s="1"/>
  <c r="I1824" i="19" s="1"/>
  <c r="D1824" i="19"/>
  <c r="C1824" i="19"/>
  <c r="B1824" i="19"/>
  <c r="I1823" i="19"/>
  <c r="F1823" i="19"/>
  <c r="E1823" i="19"/>
  <c r="D1823" i="19"/>
  <c r="C1823" i="19"/>
  <c r="B1823" i="19"/>
  <c r="E1822" i="19"/>
  <c r="F1822" i="19" s="1"/>
  <c r="I1822" i="19" s="1"/>
  <c r="D1822" i="19"/>
  <c r="C1822" i="19"/>
  <c r="B1822" i="19"/>
  <c r="F1821" i="19"/>
  <c r="I1821" i="19" s="1"/>
  <c r="E1821" i="19"/>
  <c r="D1821" i="19"/>
  <c r="C1821" i="19"/>
  <c r="B1821" i="19"/>
  <c r="E1820" i="19"/>
  <c r="F1820" i="19" s="1"/>
  <c r="I1820" i="19" s="1"/>
  <c r="D1820" i="19"/>
  <c r="C1820" i="19"/>
  <c r="B1820" i="19"/>
  <c r="F1819" i="19"/>
  <c r="I1819" i="19" s="1"/>
  <c r="E1819" i="19"/>
  <c r="D1819" i="19"/>
  <c r="C1819" i="19"/>
  <c r="B1819" i="19"/>
  <c r="E1818" i="19"/>
  <c r="F1818" i="19" s="1"/>
  <c r="I1818" i="19" s="1"/>
  <c r="D1818" i="19"/>
  <c r="C1818" i="19"/>
  <c r="B1818" i="19"/>
  <c r="F1817" i="19"/>
  <c r="I1817" i="19" s="1"/>
  <c r="E1817" i="19"/>
  <c r="D1817" i="19"/>
  <c r="C1817" i="19"/>
  <c r="B1817" i="19"/>
  <c r="E1816" i="19"/>
  <c r="F1816" i="19" s="1"/>
  <c r="I1816" i="19" s="1"/>
  <c r="D1816" i="19"/>
  <c r="C1816" i="19"/>
  <c r="B1816" i="19"/>
  <c r="I1815" i="19"/>
  <c r="F1815" i="19"/>
  <c r="E1815" i="19"/>
  <c r="D1815" i="19"/>
  <c r="C1815" i="19"/>
  <c r="B1815" i="19"/>
  <c r="E1814" i="19"/>
  <c r="F1814" i="19" s="1"/>
  <c r="I1814" i="19" s="1"/>
  <c r="D1814" i="19"/>
  <c r="C1814" i="19"/>
  <c r="B1814" i="19"/>
  <c r="F1813" i="19"/>
  <c r="I1813" i="19" s="1"/>
  <c r="E1813" i="19"/>
  <c r="D1813" i="19"/>
  <c r="C1813" i="19"/>
  <c r="B1813" i="19"/>
  <c r="I1812" i="19"/>
  <c r="E1812" i="19"/>
  <c r="F1812" i="19" s="1"/>
  <c r="D1812" i="19"/>
  <c r="C1812" i="19"/>
  <c r="B1812" i="19"/>
  <c r="I1811" i="19"/>
  <c r="F1811" i="19"/>
  <c r="E1811" i="19"/>
  <c r="D1811" i="19"/>
  <c r="C1811" i="19"/>
  <c r="B1811" i="19"/>
  <c r="E1810" i="19"/>
  <c r="F1810" i="19" s="1"/>
  <c r="I1810" i="19" s="1"/>
  <c r="D1810" i="19"/>
  <c r="C1810" i="19"/>
  <c r="B1810" i="19"/>
  <c r="F1809" i="19"/>
  <c r="I1809" i="19" s="1"/>
  <c r="E1809" i="19"/>
  <c r="D1809" i="19"/>
  <c r="C1809" i="19"/>
  <c r="B1809" i="19"/>
  <c r="I1808" i="19"/>
  <c r="E1808" i="19"/>
  <c r="F1808" i="19" s="1"/>
  <c r="D1808" i="19"/>
  <c r="C1808" i="19"/>
  <c r="B1808" i="19"/>
  <c r="F1807" i="19"/>
  <c r="I1807" i="19" s="1"/>
  <c r="E1807" i="19"/>
  <c r="D1807" i="19"/>
  <c r="C1807" i="19"/>
  <c r="B1807" i="19"/>
  <c r="E1806" i="19"/>
  <c r="F1806" i="19" s="1"/>
  <c r="I1806" i="19" s="1"/>
  <c r="D1806" i="19"/>
  <c r="C1806" i="19"/>
  <c r="B1806" i="19"/>
  <c r="F1805" i="19"/>
  <c r="I1805" i="19" s="1"/>
  <c r="E1805" i="19"/>
  <c r="D1805" i="19"/>
  <c r="C1805" i="19"/>
  <c r="B1805" i="19"/>
  <c r="E1804" i="19"/>
  <c r="F1804" i="19" s="1"/>
  <c r="I1804" i="19" s="1"/>
  <c r="D1804" i="19"/>
  <c r="C1804" i="19"/>
  <c r="B1804" i="19"/>
  <c r="F1803" i="19"/>
  <c r="I1803" i="19" s="1"/>
  <c r="E1803" i="19"/>
  <c r="D1803" i="19"/>
  <c r="C1803" i="19"/>
  <c r="B1803" i="19"/>
  <c r="I1802" i="19"/>
  <c r="E1802" i="19"/>
  <c r="F1802" i="19" s="1"/>
  <c r="D1802" i="19"/>
  <c r="C1802" i="19"/>
  <c r="B1802" i="19"/>
  <c r="I1801" i="19"/>
  <c r="F1801" i="19"/>
  <c r="E1801" i="19"/>
  <c r="D1801" i="19"/>
  <c r="C1801" i="19"/>
  <c r="B1801" i="19"/>
  <c r="E1800" i="19"/>
  <c r="F1800" i="19" s="1"/>
  <c r="I1800" i="19" s="1"/>
  <c r="D1800" i="19"/>
  <c r="C1800" i="19"/>
  <c r="B1800" i="19"/>
  <c r="I1799" i="19"/>
  <c r="F1799" i="19"/>
  <c r="E1799" i="19"/>
  <c r="D1799" i="19"/>
  <c r="C1799" i="19"/>
  <c r="B1799" i="19"/>
  <c r="I1798" i="19"/>
  <c r="E1798" i="19"/>
  <c r="F1798" i="19" s="1"/>
  <c r="D1798" i="19"/>
  <c r="C1798" i="19"/>
  <c r="B1798" i="19"/>
  <c r="F1797" i="19"/>
  <c r="I1797" i="19" s="1"/>
  <c r="E1797" i="19"/>
  <c r="D1797" i="19"/>
  <c r="C1797" i="19"/>
  <c r="B1797" i="19"/>
  <c r="I1796" i="19"/>
  <c r="E1796" i="19"/>
  <c r="F1796" i="19" s="1"/>
  <c r="D1796" i="19"/>
  <c r="C1796" i="19"/>
  <c r="B1796" i="19"/>
  <c r="F1795" i="19"/>
  <c r="I1795" i="19" s="1"/>
  <c r="E1795" i="19"/>
  <c r="D1795" i="19"/>
  <c r="C1795" i="19"/>
  <c r="B1795" i="19"/>
  <c r="E1794" i="19"/>
  <c r="F1794" i="19" s="1"/>
  <c r="I1794" i="19" s="1"/>
  <c r="D1794" i="19"/>
  <c r="C1794" i="19"/>
  <c r="B1794" i="19"/>
  <c r="F1793" i="19"/>
  <c r="I1793" i="19" s="1"/>
  <c r="E1793" i="19"/>
  <c r="D1793" i="19"/>
  <c r="C1793" i="19"/>
  <c r="B1793" i="19"/>
  <c r="E1792" i="19"/>
  <c r="F1792" i="19" s="1"/>
  <c r="I1792" i="19" s="1"/>
  <c r="D1792" i="19"/>
  <c r="C1792" i="19"/>
  <c r="B1792" i="19"/>
  <c r="F1791" i="19"/>
  <c r="I1791" i="19" s="1"/>
  <c r="E1791" i="19"/>
  <c r="D1791" i="19"/>
  <c r="C1791" i="19"/>
  <c r="B1791" i="19"/>
  <c r="I1790" i="19"/>
  <c r="E1790" i="19"/>
  <c r="F1790" i="19" s="1"/>
  <c r="D1790" i="19"/>
  <c r="C1790" i="19"/>
  <c r="B1790" i="19"/>
  <c r="F1789" i="19"/>
  <c r="I1789" i="19" s="1"/>
  <c r="E1789" i="19"/>
  <c r="D1789" i="19"/>
  <c r="C1789" i="19"/>
  <c r="B1789" i="19"/>
  <c r="I1788" i="19"/>
  <c r="E1788" i="19"/>
  <c r="F1788" i="19" s="1"/>
  <c r="D1788" i="19"/>
  <c r="C1788" i="19"/>
  <c r="B1788" i="19"/>
  <c r="I1787" i="19"/>
  <c r="F1787" i="19"/>
  <c r="E1787" i="19"/>
  <c r="D1787" i="19"/>
  <c r="C1787" i="19"/>
  <c r="B1787" i="19"/>
  <c r="I1786" i="19"/>
  <c r="E1786" i="19"/>
  <c r="F1786" i="19" s="1"/>
  <c r="D1786" i="19"/>
  <c r="C1786" i="19"/>
  <c r="B1786" i="19"/>
  <c r="I1785" i="19"/>
  <c r="F1785" i="19"/>
  <c r="E1785" i="19"/>
  <c r="D1785" i="19"/>
  <c r="C1785" i="19"/>
  <c r="B1785" i="19"/>
  <c r="E1784" i="19"/>
  <c r="F1784" i="19" s="1"/>
  <c r="I1784" i="19" s="1"/>
  <c r="D1784" i="19"/>
  <c r="C1784" i="19"/>
  <c r="B1784" i="19"/>
  <c r="F1783" i="19"/>
  <c r="I1783" i="19" s="1"/>
  <c r="E1783" i="19"/>
  <c r="D1783" i="19"/>
  <c r="C1783" i="19"/>
  <c r="B1783" i="19"/>
  <c r="E1782" i="19"/>
  <c r="F1782" i="19" s="1"/>
  <c r="I1782" i="19" s="1"/>
  <c r="D1782" i="19"/>
  <c r="C1782" i="19"/>
  <c r="B1782" i="19"/>
  <c r="F1781" i="19"/>
  <c r="I1781" i="19" s="1"/>
  <c r="E1781" i="19"/>
  <c r="D1781" i="19"/>
  <c r="C1781" i="19"/>
  <c r="B1781" i="19"/>
  <c r="E1780" i="19"/>
  <c r="F1780" i="19" s="1"/>
  <c r="I1780" i="19" s="1"/>
  <c r="D1780" i="19"/>
  <c r="C1780" i="19"/>
  <c r="B1780" i="19"/>
  <c r="E1779" i="19"/>
  <c r="F1779" i="19" s="1"/>
  <c r="I1779" i="19" s="1"/>
  <c r="D1779" i="19"/>
  <c r="C1779" i="19"/>
  <c r="B1779" i="19"/>
  <c r="I1778" i="19"/>
  <c r="E1778" i="19"/>
  <c r="F1778" i="19" s="1"/>
  <c r="D1778" i="19"/>
  <c r="C1778" i="19"/>
  <c r="B1778" i="19"/>
  <c r="I1777" i="19"/>
  <c r="F1777" i="19"/>
  <c r="E1777" i="19"/>
  <c r="D1777" i="19"/>
  <c r="C1777" i="19"/>
  <c r="B1777" i="19"/>
  <c r="E1776" i="19"/>
  <c r="F1776" i="19" s="1"/>
  <c r="I1776" i="19" s="1"/>
  <c r="D1776" i="19"/>
  <c r="C1776" i="19"/>
  <c r="B1776" i="19"/>
  <c r="F1775" i="19"/>
  <c r="I1775" i="19" s="1"/>
  <c r="E1775" i="19"/>
  <c r="D1775" i="19"/>
  <c r="C1775" i="19"/>
  <c r="B1775" i="19"/>
  <c r="I1774" i="19"/>
  <c r="E1774" i="19"/>
  <c r="F1774" i="19" s="1"/>
  <c r="D1774" i="19"/>
  <c r="C1774" i="19"/>
  <c r="B1774" i="19"/>
  <c r="F1773" i="19"/>
  <c r="I1773" i="19" s="1"/>
  <c r="E1773" i="19"/>
  <c r="D1773" i="19"/>
  <c r="C1773" i="19"/>
  <c r="B1773" i="19"/>
  <c r="I1772" i="19"/>
  <c r="E1772" i="19"/>
  <c r="F1772" i="19" s="1"/>
  <c r="D1772" i="19"/>
  <c r="C1772" i="19"/>
  <c r="B1772" i="19"/>
  <c r="F1771" i="19"/>
  <c r="I1771" i="19" s="1"/>
  <c r="E1771" i="19"/>
  <c r="D1771" i="19"/>
  <c r="C1771" i="19"/>
  <c r="B1771" i="19"/>
  <c r="E1770" i="19"/>
  <c r="F1770" i="19" s="1"/>
  <c r="I1770" i="19" s="1"/>
  <c r="D1770" i="19"/>
  <c r="C1770" i="19"/>
  <c r="B1770" i="19"/>
  <c r="E1769" i="19"/>
  <c r="F1769" i="19" s="1"/>
  <c r="I1769" i="19" s="1"/>
  <c r="D1769" i="19"/>
  <c r="C1769" i="19"/>
  <c r="B1769" i="19"/>
  <c r="E1768" i="19"/>
  <c r="F1768" i="19" s="1"/>
  <c r="I1768" i="19" s="1"/>
  <c r="D1768" i="19"/>
  <c r="C1768" i="19"/>
  <c r="B1768" i="19"/>
  <c r="E1767" i="19"/>
  <c r="F1767" i="19" s="1"/>
  <c r="I1767" i="19" s="1"/>
  <c r="D1767" i="19"/>
  <c r="C1767" i="19"/>
  <c r="B1767" i="19"/>
  <c r="I1766" i="19"/>
  <c r="E1766" i="19"/>
  <c r="F1766" i="19" s="1"/>
  <c r="D1766" i="19"/>
  <c r="C1766" i="19"/>
  <c r="B1766" i="19"/>
  <c r="F1765" i="19"/>
  <c r="I1765" i="19" s="1"/>
  <c r="E1765" i="19"/>
  <c r="D1765" i="19"/>
  <c r="C1765" i="19"/>
  <c r="B1765" i="19"/>
  <c r="I1764" i="19"/>
  <c r="E1764" i="19"/>
  <c r="F1764" i="19" s="1"/>
  <c r="D1764" i="19"/>
  <c r="C1764" i="19"/>
  <c r="B1764" i="19"/>
  <c r="E1763" i="19"/>
  <c r="F1763" i="19" s="1"/>
  <c r="I1763" i="19" s="1"/>
  <c r="D1763" i="19"/>
  <c r="C1763" i="19"/>
  <c r="B1763" i="19"/>
  <c r="I1762" i="19"/>
  <c r="E1762" i="19"/>
  <c r="F1762" i="19" s="1"/>
  <c r="D1762" i="19"/>
  <c r="C1762" i="19"/>
  <c r="B1762" i="19"/>
  <c r="I1761" i="19"/>
  <c r="F1761" i="19"/>
  <c r="E1761" i="19"/>
  <c r="D1761" i="19"/>
  <c r="C1761" i="19"/>
  <c r="B1761" i="19"/>
  <c r="E1760" i="19"/>
  <c r="F1760" i="19" s="1"/>
  <c r="I1760" i="19" s="1"/>
  <c r="D1760" i="19"/>
  <c r="C1760" i="19"/>
  <c r="B1760" i="19"/>
  <c r="F1759" i="19"/>
  <c r="I1759" i="19" s="1"/>
  <c r="E1759" i="19"/>
  <c r="D1759" i="19"/>
  <c r="C1759" i="19"/>
  <c r="B1759" i="19"/>
  <c r="E1758" i="19"/>
  <c r="F1758" i="19" s="1"/>
  <c r="I1758" i="19" s="1"/>
  <c r="D1758" i="19"/>
  <c r="C1758" i="19"/>
  <c r="B1758" i="19"/>
  <c r="E1757" i="19"/>
  <c r="F1757" i="19" s="1"/>
  <c r="I1757" i="19" s="1"/>
  <c r="D1757" i="19"/>
  <c r="C1757" i="19"/>
  <c r="B1757" i="19"/>
  <c r="E1756" i="19"/>
  <c r="F1756" i="19" s="1"/>
  <c r="I1756" i="19" s="1"/>
  <c r="D1756" i="19"/>
  <c r="C1756" i="19"/>
  <c r="B1756" i="19"/>
  <c r="E1755" i="19"/>
  <c r="F1755" i="19" s="1"/>
  <c r="I1755" i="19" s="1"/>
  <c r="D1755" i="19"/>
  <c r="C1755" i="19"/>
  <c r="B1755" i="19"/>
  <c r="I1754" i="19"/>
  <c r="E1754" i="19"/>
  <c r="F1754" i="19" s="1"/>
  <c r="D1754" i="19"/>
  <c r="C1754" i="19"/>
  <c r="B1754" i="19"/>
  <c r="I1753" i="19"/>
  <c r="F1753" i="19"/>
  <c r="E1753" i="19"/>
  <c r="D1753" i="19"/>
  <c r="C1753" i="19"/>
  <c r="B1753" i="19"/>
  <c r="E1752" i="19"/>
  <c r="F1752" i="19" s="1"/>
  <c r="I1752" i="19" s="1"/>
  <c r="D1752" i="19"/>
  <c r="C1752" i="19"/>
  <c r="B1752" i="19"/>
  <c r="I1751" i="19"/>
  <c r="F1751" i="19"/>
  <c r="E1751" i="19"/>
  <c r="D1751" i="19"/>
  <c r="C1751" i="19"/>
  <c r="B1751" i="19"/>
  <c r="E1750" i="19"/>
  <c r="F1750" i="19" s="1"/>
  <c r="I1750" i="19" s="1"/>
  <c r="D1750" i="19"/>
  <c r="C1750" i="19"/>
  <c r="B1750" i="19"/>
  <c r="F1749" i="19"/>
  <c r="I1749" i="19" s="1"/>
  <c r="E1749" i="19"/>
  <c r="D1749" i="19"/>
  <c r="C1749" i="19"/>
  <c r="B1749" i="19"/>
  <c r="I1748" i="19"/>
  <c r="E1748" i="19"/>
  <c r="F1748" i="19" s="1"/>
  <c r="D1748" i="19"/>
  <c r="C1748" i="19"/>
  <c r="B1748" i="19"/>
  <c r="F1747" i="19"/>
  <c r="I1747" i="19" s="1"/>
  <c r="E1747" i="19"/>
  <c r="D1747" i="19"/>
  <c r="C1747" i="19"/>
  <c r="B1747" i="19"/>
  <c r="E1746" i="19"/>
  <c r="F1746" i="19" s="1"/>
  <c r="I1746" i="19" s="1"/>
  <c r="D1746" i="19"/>
  <c r="C1746" i="19"/>
  <c r="B1746" i="19"/>
  <c r="E1745" i="19"/>
  <c r="F1745" i="19" s="1"/>
  <c r="I1745" i="19" s="1"/>
  <c r="D1745" i="19"/>
  <c r="C1745" i="19"/>
  <c r="B1745" i="19"/>
  <c r="E1744" i="19"/>
  <c r="F1744" i="19" s="1"/>
  <c r="I1744" i="19" s="1"/>
  <c r="D1744" i="19"/>
  <c r="C1744" i="19"/>
  <c r="B1744" i="19"/>
  <c r="E1743" i="19"/>
  <c r="F1743" i="19" s="1"/>
  <c r="I1743" i="19" s="1"/>
  <c r="D1743" i="19"/>
  <c r="C1743" i="19"/>
  <c r="B1743" i="19"/>
  <c r="I1742" i="19"/>
  <c r="E1742" i="19"/>
  <c r="F1742" i="19" s="1"/>
  <c r="D1742" i="19"/>
  <c r="C1742" i="19"/>
  <c r="B1742" i="19"/>
  <c r="F1741" i="19"/>
  <c r="I1741" i="19" s="1"/>
  <c r="E1741" i="19"/>
  <c r="D1741" i="19"/>
  <c r="C1741" i="19"/>
  <c r="B1741" i="19"/>
  <c r="I1740" i="19"/>
  <c r="E1740" i="19"/>
  <c r="F1740" i="19" s="1"/>
  <c r="D1740" i="19"/>
  <c r="C1740" i="19"/>
  <c r="B1740" i="19"/>
  <c r="E1739" i="19"/>
  <c r="F1739" i="19" s="1"/>
  <c r="I1739" i="19" s="1"/>
  <c r="D1739" i="19"/>
  <c r="C1739" i="19"/>
  <c r="B1739" i="19"/>
  <c r="I1738" i="19"/>
  <c r="E1738" i="19"/>
  <c r="F1738" i="19" s="1"/>
  <c r="D1738" i="19"/>
  <c r="C1738" i="19"/>
  <c r="B1738" i="19"/>
  <c r="I1737" i="19"/>
  <c r="F1737" i="19"/>
  <c r="E1737" i="19"/>
  <c r="D1737" i="19"/>
  <c r="C1737" i="19"/>
  <c r="B1737" i="19"/>
  <c r="E1736" i="19"/>
  <c r="F1736" i="19" s="1"/>
  <c r="I1736" i="19" s="1"/>
  <c r="D1736" i="19"/>
  <c r="C1736" i="19"/>
  <c r="B1736" i="19"/>
  <c r="F1735" i="19"/>
  <c r="I1735" i="19" s="1"/>
  <c r="E1735" i="19"/>
  <c r="D1735" i="19"/>
  <c r="C1735" i="19"/>
  <c r="B1735" i="19"/>
  <c r="E1734" i="19"/>
  <c r="F1734" i="19" s="1"/>
  <c r="I1734" i="19" s="1"/>
  <c r="D1734" i="19"/>
  <c r="C1734" i="19"/>
  <c r="B1734" i="19"/>
  <c r="E1733" i="19"/>
  <c r="F1733" i="19" s="1"/>
  <c r="I1733" i="19" s="1"/>
  <c r="D1733" i="19"/>
  <c r="C1733" i="19"/>
  <c r="B1733" i="19"/>
  <c r="E1732" i="19"/>
  <c r="F1732" i="19" s="1"/>
  <c r="I1732" i="19" s="1"/>
  <c r="D1732" i="19"/>
  <c r="C1732" i="19"/>
  <c r="B1732" i="19"/>
  <c r="E1731" i="19"/>
  <c r="F1731" i="19" s="1"/>
  <c r="I1731" i="19" s="1"/>
  <c r="D1731" i="19"/>
  <c r="C1731" i="19"/>
  <c r="B1731" i="19"/>
  <c r="E1730" i="19"/>
  <c r="F1730" i="19" s="1"/>
  <c r="I1730" i="19" s="1"/>
  <c r="D1730" i="19"/>
  <c r="C1730" i="19"/>
  <c r="B1730" i="19"/>
  <c r="F1729" i="19"/>
  <c r="I1729" i="19" s="1"/>
  <c r="E1729" i="19"/>
  <c r="D1729" i="19"/>
  <c r="C1729" i="19"/>
  <c r="B1729" i="19"/>
  <c r="E1728" i="19"/>
  <c r="F1728" i="19" s="1"/>
  <c r="I1728" i="19" s="1"/>
  <c r="D1728" i="19"/>
  <c r="C1728" i="19"/>
  <c r="B1728" i="19"/>
  <c r="F1727" i="19"/>
  <c r="I1727" i="19" s="1"/>
  <c r="E1727" i="19"/>
  <c r="D1727" i="19"/>
  <c r="C1727" i="19"/>
  <c r="B1727" i="19"/>
  <c r="I1726" i="19"/>
  <c r="E1726" i="19"/>
  <c r="F1726" i="19" s="1"/>
  <c r="D1726" i="19"/>
  <c r="C1726" i="19"/>
  <c r="B1726" i="19"/>
  <c r="F1725" i="19"/>
  <c r="I1725" i="19" s="1"/>
  <c r="E1725" i="19"/>
  <c r="D1725" i="19"/>
  <c r="C1725" i="19"/>
  <c r="B1725" i="19"/>
  <c r="I1724" i="19"/>
  <c r="F1724" i="19"/>
  <c r="E1724" i="19"/>
  <c r="D1724" i="19"/>
  <c r="C1724" i="19"/>
  <c r="B1724" i="19"/>
  <c r="F1723" i="19"/>
  <c r="I1723" i="19" s="1"/>
  <c r="E1723" i="19"/>
  <c r="D1723" i="19"/>
  <c r="C1723" i="19"/>
  <c r="B1723" i="19"/>
  <c r="I1722" i="19"/>
  <c r="F1722" i="19"/>
  <c r="E1722" i="19"/>
  <c r="D1722" i="19"/>
  <c r="C1722" i="19"/>
  <c r="B1722" i="19"/>
  <c r="F1721" i="19"/>
  <c r="I1721" i="19" s="1"/>
  <c r="E1721" i="19"/>
  <c r="D1721" i="19"/>
  <c r="C1721" i="19"/>
  <c r="B1721" i="19"/>
  <c r="F1720" i="19"/>
  <c r="I1720" i="19" s="1"/>
  <c r="E1720" i="19"/>
  <c r="D1720" i="19"/>
  <c r="C1720" i="19"/>
  <c r="B1720" i="19"/>
  <c r="F1719" i="19"/>
  <c r="I1719" i="19" s="1"/>
  <c r="E1719" i="19"/>
  <c r="D1719" i="19"/>
  <c r="C1719" i="19"/>
  <c r="B1719" i="19"/>
  <c r="I1718" i="19"/>
  <c r="F1718" i="19"/>
  <c r="E1718" i="19"/>
  <c r="D1718" i="19"/>
  <c r="C1718" i="19"/>
  <c r="B1718" i="19"/>
  <c r="F1717" i="19"/>
  <c r="I1717" i="19" s="1"/>
  <c r="E1717" i="19"/>
  <c r="D1717" i="19"/>
  <c r="C1717" i="19"/>
  <c r="B1717" i="19"/>
  <c r="F1716" i="19"/>
  <c r="I1716" i="19" s="1"/>
  <c r="E1716" i="19"/>
  <c r="D1716" i="19"/>
  <c r="C1716" i="19"/>
  <c r="B1716" i="19"/>
  <c r="F1715" i="19"/>
  <c r="I1715" i="19" s="1"/>
  <c r="E1715" i="19"/>
  <c r="D1715" i="19"/>
  <c r="C1715" i="19"/>
  <c r="B1715" i="19"/>
  <c r="I1714" i="19"/>
  <c r="F1714" i="19"/>
  <c r="E1714" i="19"/>
  <c r="D1714" i="19"/>
  <c r="C1714" i="19"/>
  <c r="B1714" i="19"/>
  <c r="F1713" i="19"/>
  <c r="I1713" i="19" s="1"/>
  <c r="E1713" i="19"/>
  <c r="D1713" i="19"/>
  <c r="C1713" i="19"/>
  <c r="B1713" i="19"/>
  <c r="I1712" i="19"/>
  <c r="F1712" i="19"/>
  <c r="E1712" i="19"/>
  <c r="D1712" i="19"/>
  <c r="C1712" i="19"/>
  <c r="B1712" i="19"/>
  <c r="F1711" i="19"/>
  <c r="I1711" i="19" s="1"/>
  <c r="E1711" i="19"/>
  <c r="D1711" i="19"/>
  <c r="C1711" i="19"/>
  <c r="B1711" i="19"/>
  <c r="F1710" i="19"/>
  <c r="I1710" i="19" s="1"/>
  <c r="E1710" i="19"/>
  <c r="D1710" i="19"/>
  <c r="C1710" i="19"/>
  <c r="B1710" i="19"/>
  <c r="F1709" i="19"/>
  <c r="I1709" i="19" s="1"/>
  <c r="E1709" i="19"/>
  <c r="D1709" i="19"/>
  <c r="C1709" i="19"/>
  <c r="B1709" i="19"/>
  <c r="F1708" i="19"/>
  <c r="I1708" i="19" s="1"/>
  <c r="E1708" i="19"/>
  <c r="D1708" i="19"/>
  <c r="C1708" i="19"/>
  <c r="B1708" i="19"/>
  <c r="F1707" i="19"/>
  <c r="I1707" i="19" s="1"/>
  <c r="E1707" i="19"/>
  <c r="D1707" i="19"/>
  <c r="C1707" i="19"/>
  <c r="B1707" i="19"/>
  <c r="F1706" i="19"/>
  <c r="I1706" i="19" s="1"/>
  <c r="E1706" i="19"/>
  <c r="D1706" i="19"/>
  <c r="C1706" i="19"/>
  <c r="B1706" i="19"/>
  <c r="F1705" i="19"/>
  <c r="I1705" i="19" s="1"/>
  <c r="E1705" i="19"/>
  <c r="D1705" i="19"/>
  <c r="C1705" i="19"/>
  <c r="B1705" i="19"/>
  <c r="I1704" i="19"/>
  <c r="F1704" i="19"/>
  <c r="E1704" i="19"/>
  <c r="D1704" i="19"/>
  <c r="C1704" i="19"/>
  <c r="B1704" i="19"/>
  <c r="F1703" i="19"/>
  <c r="I1703" i="19" s="1"/>
  <c r="E1703" i="19"/>
  <c r="D1703" i="19"/>
  <c r="C1703" i="19"/>
  <c r="B1703" i="19"/>
  <c r="F1702" i="19"/>
  <c r="I1702" i="19" s="1"/>
  <c r="E1702" i="19"/>
  <c r="D1702" i="19"/>
  <c r="C1702" i="19"/>
  <c r="B1702" i="19"/>
  <c r="F1701" i="19"/>
  <c r="I1701" i="19" s="1"/>
  <c r="E1701" i="19"/>
  <c r="D1701" i="19"/>
  <c r="C1701" i="19"/>
  <c r="B1701" i="19"/>
  <c r="I1700" i="19"/>
  <c r="F1700" i="19"/>
  <c r="E1700" i="19"/>
  <c r="D1700" i="19"/>
  <c r="C1700" i="19"/>
  <c r="B1700" i="19"/>
  <c r="F1699" i="19"/>
  <c r="I1699" i="19" s="1"/>
  <c r="E1699" i="19"/>
  <c r="D1699" i="19"/>
  <c r="C1699" i="19"/>
  <c r="B1699" i="19"/>
  <c r="I1698" i="19"/>
  <c r="F1698" i="19"/>
  <c r="E1698" i="19"/>
  <c r="D1698" i="19"/>
  <c r="C1698" i="19"/>
  <c r="B1698" i="19"/>
  <c r="F1697" i="19"/>
  <c r="I1697" i="19" s="1"/>
  <c r="E1697" i="19"/>
  <c r="D1697" i="19"/>
  <c r="C1697" i="19"/>
  <c r="B1697" i="19"/>
  <c r="F1696" i="19"/>
  <c r="I1696" i="19" s="1"/>
  <c r="E1696" i="19"/>
  <c r="D1696" i="19"/>
  <c r="C1696" i="19"/>
  <c r="B1696" i="19"/>
  <c r="F1695" i="19"/>
  <c r="I1695" i="19" s="1"/>
  <c r="E1695" i="19"/>
  <c r="D1695" i="19"/>
  <c r="C1695" i="19"/>
  <c r="B1695" i="19"/>
  <c r="I1694" i="19"/>
  <c r="F1694" i="19"/>
  <c r="E1694" i="19"/>
  <c r="D1694" i="19"/>
  <c r="C1694" i="19"/>
  <c r="B1694" i="19"/>
  <c r="F1693" i="19"/>
  <c r="I1693" i="19" s="1"/>
  <c r="E1693" i="19"/>
  <c r="D1693" i="19"/>
  <c r="C1693" i="19"/>
  <c r="B1693" i="19"/>
  <c r="F1692" i="19"/>
  <c r="I1692" i="19" s="1"/>
  <c r="E1692" i="19"/>
  <c r="D1692" i="19"/>
  <c r="C1692" i="19"/>
  <c r="B1692" i="19"/>
  <c r="F1691" i="19"/>
  <c r="I1691" i="19" s="1"/>
  <c r="E1691" i="19"/>
  <c r="D1691" i="19"/>
  <c r="C1691" i="19"/>
  <c r="B1691" i="19"/>
  <c r="I1690" i="19"/>
  <c r="F1690" i="19"/>
  <c r="E1690" i="19"/>
  <c r="D1690" i="19"/>
  <c r="C1690" i="19"/>
  <c r="B1690" i="19"/>
  <c r="F1689" i="19"/>
  <c r="I1689" i="19" s="1"/>
  <c r="E1689" i="19"/>
  <c r="D1689" i="19"/>
  <c r="C1689" i="19"/>
  <c r="B1689" i="19"/>
  <c r="I1688" i="19"/>
  <c r="F1688" i="19"/>
  <c r="E1688" i="19"/>
  <c r="D1688" i="19"/>
  <c r="C1688" i="19"/>
  <c r="B1688" i="19"/>
  <c r="F1687" i="19"/>
  <c r="I1687" i="19" s="1"/>
  <c r="E1687" i="19"/>
  <c r="D1687" i="19"/>
  <c r="C1687" i="19"/>
  <c r="B1687" i="19"/>
  <c r="F1686" i="19"/>
  <c r="I1686" i="19" s="1"/>
  <c r="E1686" i="19"/>
  <c r="D1686" i="19"/>
  <c r="C1686" i="19"/>
  <c r="B1686" i="19"/>
  <c r="F1685" i="19"/>
  <c r="I1685" i="19" s="1"/>
  <c r="E1685" i="19"/>
  <c r="D1685" i="19"/>
  <c r="C1685" i="19"/>
  <c r="B1685" i="19"/>
  <c r="I1684" i="19"/>
  <c r="F1684" i="19"/>
  <c r="E1684" i="19"/>
  <c r="D1684" i="19"/>
  <c r="C1684" i="19"/>
  <c r="B1684" i="19"/>
  <c r="F1683" i="19"/>
  <c r="I1683" i="19" s="1"/>
  <c r="E1683" i="19"/>
  <c r="D1683" i="19"/>
  <c r="C1683" i="19"/>
  <c r="B1683" i="19"/>
  <c r="F1682" i="19"/>
  <c r="I1682" i="19" s="1"/>
  <c r="E1682" i="19"/>
  <c r="D1682" i="19"/>
  <c r="C1682" i="19"/>
  <c r="B1682" i="19"/>
  <c r="F1681" i="19"/>
  <c r="I1681" i="19" s="1"/>
  <c r="E1681" i="19"/>
  <c r="D1681" i="19"/>
  <c r="C1681" i="19"/>
  <c r="B1681" i="19"/>
  <c r="I1680" i="19"/>
  <c r="F1680" i="19"/>
  <c r="E1680" i="19"/>
  <c r="D1680" i="19"/>
  <c r="C1680" i="19"/>
  <c r="B1680" i="19"/>
  <c r="F1679" i="19"/>
  <c r="I1679" i="19" s="1"/>
  <c r="E1679" i="19"/>
  <c r="D1679" i="19"/>
  <c r="C1679" i="19"/>
  <c r="B1679" i="19"/>
  <c r="F1678" i="19"/>
  <c r="I1678" i="19" s="1"/>
  <c r="E1678" i="19"/>
  <c r="D1678" i="19"/>
  <c r="C1678" i="19"/>
  <c r="B1678" i="19"/>
  <c r="F1677" i="19"/>
  <c r="I1677" i="19" s="1"/>
  <c r="E1677" i="19"/>
  <c r="D1677" i="19"/>
  <c r="C1677" i="19"/>
  <c r="B1677" i="19"/>
  <c r="I1676" i="19"/>
  <c r="F1676" i="19"/>
  <c r="E1676" i="19"/>
  <c r="D1676" i="19"/>
  <c r="C1676" i="19"/>
  <c r="B1676" i="19"/>
  <c r="F1675" i="19"/>
  <c r="I1675" i="19" s="1"/>
  <c r="E1675" i="19"/>
  <c r="D1675" i="19"/>
  <c r="C1675" i="19"/>
  <c r="B1675" i="19"/>
  <c r="I1674" i="19"/>
  <c r="F1674" i="19"/>
  <c r="E1674" i="19"/>
  <c r="D1674" i="19"/>
  <c r="C1674" i="19"/>
  <c r="B1674" i="19"/>
  <c r="F1673" i="19"/>
  <c r="I1673" i="19" s="1"/>
  <c r="E1673" i="19"/>
  <c r="D1673" i="19"/>
  <c r="C1673" i="19"/>
  <c r="B1673" i="19"/>
  <c r="F1672" i="19"/>
  <c r="I1672" i="19" s="1"/>
  <c r="E1672" i="19"/>
  <c r="D1672" i="19"/>
  <c r="C1672" i="19"/>
  <c r="B1672" i="19"/>
  <c r="F1671" i="19"/>
  <c r="I1671" i="19" s="1"/>
  <c r="E1671" i="19"/>
  <c r="D1671" i="19"/>
  <c r="C1671" i="19"/>
  <c r="B1671" i="19"/>
  <c r="I1670" i="19"/>
  <c r="F1670" i="19"/>
  <c r="E1670" i="19"/>
  <c r="D1670" i="19"/>
  <c r="C1670" i="19"/>
  <c r="B1670" i="19"/>
  <c r="F1669" i="19"/>
  <c r="I1669" i="19" s="1"/>
  <c r="E1669" i="19"/>
  <c r="D1669" i="19"/>
  <c r="C1669" i="19"/>
  <c r="B1669" i="19"/>
  <c r="F1668" i="19"/>
  <c r="I1668" i="19" s="1"/>
  <c r="E1668" i="19"/>
  <c r="D1668" i="19"/>
  <c r="C1668" i="19"/>
  <c r="B1668" i="19"/>
  <c r="F1667" i="19"/>
  <c r="I1667" i="19" s="1"/>
  <c r="E1667" i="19"/>
  <c r="D1667" i="19"/>
  <c r="C1667" i="19"/>
  <c r="B1667" i="19"/>
  <c r="I1666" i="19"/>
  <c r="F1666" i="19"/>
  <c r="E1666" i="19"/>
  <c r="D1666" i="19"/>
  <c r="C1666" i="19"/>
  <c r="B1666" i="19"/>
  <c r="F1665" i="19"/>
  <c r="I1665" i="19" s="1"/>
  <c r="E1665" i="19"/>
  <c r="D1665" i="19"/>
  <c r="C1665" i="19"/>
  <c r="B1665" i="19"/>
  <c r="I1664" i="19"/>
  <c r="F1664" i="19"/>
  <c r="E1664" i="19"/>
  <c r="D1664" i="19"/>
  <c r="C1664" i="19"/>
  <c r="B1664" i="19"/>
  <c r="F1663" i="19"/>
  <c r="I1663" i="19" s="1"/>
  <c r="E1663" i="19"/>
  <c r="D1663" i="19"/>
  <c r="C1663" i="19"/>
  <c r="B1663" i="19"/>
  <c r="F1662" i="19"/>
  <c r="I1662" i="19" s="1"/>
  <c r="E1662" i="19"/>
  <c r="D1662" i="19"/>
  <c r="C1662" i="19"/>
  <c r="B1662" i="19"/>
  <c r="F1661" i="19"/>
  <c r="I1661" i="19" s="1"/>
  <c r="E1661" i="19"/>
  <c r="D1661" i="19"/>
  <c r="C1661" i="19"/>
  <c r="B1661" i="19"/>
  <c r="I1660" i="19"/>
  <c r="F1660" i="19"/>
  <c r="E1660" i="19"/>
  <c r="D1660" i="19"/>
  <c r="C1660" i="19"/>
  <c r="B1660" i="19"/>
  <c r="F1659" i="19"/>
  <c r="I1659" i="19" s="1"/>
  <c r="E1659" i="19"/>
  <c r="D1659" i="19"/>
  <c r="C1659" i="19"/>
  <c r="B1659" i="19"/>
  <c r="F1658" i="19"/>
  <c r="I1658" i="19" s="1"/>
  <c r="E1658" i="19"/>
  <c r="D1658" i="19"/>
  <c r="C1658" i="19"/>
  <c r="B1658" i="19"/>
  <c r="F1657" i="19"/>
  <c r="I1657" i="19" s="1"/>
  <c r="E1657" i="19"/>
  <c r="D1657" i="19"/>
  <c r="C1657" i="19"/>
  <c r="B1657" i="19"/>
  <c r="I1656" i="19"/>
  <c r="F1656" i="19"/>
  <c r="E1656" i="19"/>
  <c r="D1656" i="19"/>
  <c r="C1656" i="19"/>
  <c r="B1656" i="19"/>
  <c r="F1655" i="19"/>
  <c r="I1655" i="19" s="1"/>
  <c r="E1655" i="19"/>
  <c r="D1655" i="19"/>
  <c r="C1655" i="19"/>
  <c r="B1655" i="19"/>
  <c r="F1654" i="19"/>
  <c r="I1654" i="19" s="1"/>
  <c r="E1654" i="19"/>
  <c r="D1654" i="19"/>
  <c r="C1654" i="19"/>
  <c r="B1654" i="19"/>
  <c r="F1653" i="19"/>
  <c r="I1653" i="19" s="1"/>
  <c r="E1653" i="19"/>
  <c r="D1653" i="19"/>
  <c r="C1653" i="19"/>
  <c r="B1653" i="19"/>
  <c r="I1652" i="19"/>
  <c r="F1652" i="19"/>
  <c r="E1652" i="19"/>
  <c r="D1652" i="19"/>
  <c r="C1652" i="19"/>
  <c r="B1652" i="19"/>
  <c r="F1651" i="19"/>
  <c r="I1651" i="19" s="1"/>
  <c r="E1651" i="19"/>
  <c r="D1651" i="19"/>
  <c r="C1651" i="19"/>
  <c r="B1651" i="19"/>
  <c r="I1650" i="19"/>
  <c r="F1650" i="19"/>
  <c r="E1650" i="19"/>
  <c r="D1650" i="19"/>
  <c r="C1650" i="19"/>
  <c r="B1650" i="19"/>
  <c r="F1649" i="19"/>
  <c r="I1649" i="19" s="1"/>
  <c r="E1649" i="19"/>
  <c r="D1649" i="19"/>
  <c r="C1649" i="19"/>
  <c r="B1649" i="19"/>
  <c r="F1648" i="19"/>
  <c r="I1648" i="19" s="1"/>
  <c r="E1648" i="19"/>
  <c r="D1648" i="19"/>
  <c r="C1648" i="19"/>
  <c r="B1648" i="19"/>
  <c r="F1647" i="19"/>
  <c r="I1647" i="19" s="1"/>
  <c r="E1647" i="19"/>
  <c r="D1647" i="19"/>
  <c r="C1647" i="19"/>
  <c r="B1647" i="19"/>
  <c r="I1646" i="19"/>
  <c r="F1646" i="19"/>
  <c r="E1646" i="19"/>
  <c r="D1646" i="19"/>
  <c r="C1646" i="19"/>
  <c r="B1646" i="19"/>
  <c r="F1645" i="19"/>
  <c r="I1645" i="19" s="1"/>
  <c r="E1645" i="19"/>
  <c r="D1645" i="19"/>
  <c r="C1645" i="19"/>
  <c r="B1645" i="19"/>
  <c r="F1644" i="19"/>
  <c r="I1644" i="19" s="1"/>
  <c r="E1644" i="19"/>
  <c r="D1644" i="19"/>
  <c r="C1644" i="19"/>
  <c r="B1644" i="19"/>
  <c r="F1643" i="19"/>
  <c r="I1643" i="19" s="1"/>
  <c r="E1643" i="19"/>
  <c r="D1643" i="19"/>
  <c r="C1643" i="19"/>
  <c r="B1643" i="19"/>
  <c r="I1642" i="19"/>
  <c r="F1642" i="19"/>
  <c r="E1642" i="19"/>
  <c r="D1642" i="19"/>
  <c r="C1642" i="19"/>
  <c r="B1642" i="19"/>
  <c r="F1641" i="19"/>
  <c r="I1641" i="19" s="1"/>
  <c r="E1641" i="19"/>
  <c r="D1641" i="19"/>
  <c r="C1641" i="19"/>
  <c r="B1641" i="19"/>
  <c r="F1640" i="19"/>
  <c r="I1640" i="19" s="1"/>
  <c r="E1640" i="19"/>
  <c r="D1640" i="19"/>
  <c r="C1640" i="19"/>
  <c r="B1640" i="19"/>
  <c r="F1639" i="19"/>
  <c r="I1639" i="19" s="1"/>
  <c r="E1639" i="19"/>
  <c r="D1639" i="19"/>
  <c r="C1639" i="19"/>
  <c r="B1639" i="19"/>
  <c r="F1638" i="19"/>
  <c r="I1638" i="19" s="1"/>
  <c r="E1638" i="19"/>
  <c r="D1638" i="19"/>
  <c r="C1638" i="19"/>
  <c r="B1638" i="19"/>
  <c r="F1637" i="19"/>
  <c r="I1637" i="19" s="1"/>
  <c r="E1637" i="19"/>
  <c r="D1637" i="19"/>
  <c r="C1637" i="19"/>
  <c r="B1637" i="19"/>
  <c r="F1636" i="19"/>
  <c r="I1636" i="19" s="1"/>
  <c r="E1636" i="19"/>
  <c r="D1636" i="19"/>
  <c r="C1636" i="19"/>
  <c r="B1636" i="19"/>
  <c r="F1635" i="19"/>
  <c r="I1635" i="19" s="1"/>
  <c r="E1635" i="19"/>
  <c r="D1635" i="19"/>
  <c r="C1635" i="19"/>
  <c r="B1635" i="19"/>
  <c r="F1634" i="19"/>
  <c r="I1634" i="19" s="1"/>
  <c r="E1634" i="19"/>
  <c r="D1634" i="19"/>
  <c r="C1634" i="19"/>
  <c r="B1634" i="19"/>
  <c r="F1633" i="19"/>
  <c r="I1633" i="19" s="1"/>
  <c r="E1633" i="19"/>
  <c r="D1633" i="19"/>
  <c r="C1633" i="19"/>
  <c r="B1633" i="19"/>
  <c r="I1632" i="19"/>
  <c r="F1632" i="19"/>
  <c r="E1632" i="19"/>
  <c r="D1632" i="19"/>
  <c r="C1632" i="19"/>
  <c r="B1632" i="19"/>
  <c r="F1631" i="19"/>
  <c r="I1631" i="19" s="1"/>
  <c r="E1631" i="19"/>
  <c r="D1631" i="19"/>
  <c r="C1631" i="19"/>
  <c r="B1631" i="19"/>
  <c r="F1630" i="19"/>
  <c r="I1630" i="19" s="1"/>
  <c r="E1630" i="19"/>
  <c r="D1630" i="19"/>
  <c r="C1630" i="19"/>
  <c r="B1630" i="19"/>
  <c r="F1629" i="19"/>
  <c r="I1629" i="19" s="1"/>
  <c r="E1629" i="19"/>
  <c r="D1629" i="19"/>
  <c r="C1629" i="19"/>
  <c r="B1629" i="19"/>
  <c r="I1628" i="19"/>
  <c r="F1628" i="19"/>
  <c r="E1628" i="19"/>
  <c r="D1628" i="19"/>
  <c r="C1628" i="19"/>
  <c r="B1628" i="19"/>
  <c r="F1627" i="19"/>
  <c r="I1627" i="19" s="1"/>
  <c r="E1627" i="19"/>
  <c r="D1627" i="19"/>
  <c r="C1627" i="19"/>
  <c r="B1627" i="19"/>
  <c r="I1626" i="19"/>
  <c r="F1626" i="19"/>
  <c r="E1626" i="19"/>
  <c r="D1626" i="19"/>
  <c r="C1626" i="19"/>
  <c r="B1626" i="19"/>
  <c r="F1625" i="19"/>
  <c r="I1625" i="19" s="1"/>
  <c r="E1625" i="19"/>
  <c r="D1625" i="19"/>
  <c r="C1625" i="19"/>
  <c r="B1625" i="19"/>
  <c r="F1624" i="19"/>
  <c r="I1624" i="19" s="1"/>
  <c r="E1624" i="19"/>
  <c r="D1624" i="19"/>
  <c r="C1624" i="19"/>
  <c r="B1624" i="19"/>
  <c r="F1623" i="19"/>
  <c r="I1623" i="19" s="1"/>
  <c r="E1623" i="19"/>
  <c r="D1623" i="19"/>
  <c r="C1623" i="19"/>
  <c r="B1623" i="19"/>
  <c r="I1622" i="19"/>
  <c r="F1622" i="19"/>
  <c r="E1622" i="19"/>
  <c r="D1622" i="19"/>
  <c r="C1622" i="19"/>
  <c r="B1622" i="19"/>
  <c r="F1621" i="19"/>
  <c r="I1621" i="19" s="1"/>
  <c r="E1621" i="19"/>
  <c r="D1621" i="19"/>
  <c r="C1621" i="19"/>
  <c r="B1621" i="19"/>
  <c r="F1620" i="19"/>
  <c r="I1620" i="19" s="1"/>
  <c r="E1620" i="19"/>
  <c r="D1620" i="19"/>
  <c r="C1620" i="19"/>
  <c r="B1620" i="19"/>
  <c r="F1619" i="19"/>
  <c r="I1619" i="19" s="1"/>
  <c r="E1619" i="19"/>
  <c r="D1619" i="19"/>
  <c r="C1619" i="19"/>
  <c r="B1619" i="19"/>
  <c r="I1618" i="19"/>
  <c r="F1618" i="19"/>
  <c r="E1618" i="19"/>
  <c r="D1618" i="19"/>
  <c r="C1618" i="19"/>
  <c r="B1618" i="19"/>
  <c r="F1617" i="19"/>
  <c r="I1617" i="19" s="1"/>
  <c r="E1617" i="19"/>
  <c r="D1617" i="19"/>
  <c r="C1617" i="19"/>
  <c r="B1617" i="19"/>
  <c r="F1616" i="19"/>
  <c r="I1616" i="19" s="1"/>
  <c r="E1616" i="19"/>
  <c r="D1616" i="19"/>
  <c r="C1616" i="19"/>
  <c r="B1616" i="19"/>
  <c r="I1615" i="19"/>
  <c r="F1615" i="19"/>
  <c r="E1615" i="19"/>
  <c r="D1615" i="19"/>
  <c r="C1615" i="19"/>
  <c r="B1615" i="19"/>
  <c r="F1614" i="19"/>
  <c r="I1614" i="19" s="1"/>
  <c r="E1614" i="19"/>
  <c r="D1614" i="19"/>
  <c r="C1614" i="19"/>
  <c r="B1614" i="19"/>
  <c r="F1613" i="19"/>
  <c r="I1613" i="19" s="1"/>
  <c r="E1613" i="19"/>
  <c r="D1613" i="19"/>
  <c r="C1613" i="19"/>
  <c r="B1613" i="19"/>
  <c r="F1612" i="19"/>
  <c r="I1612" i="19" s="1"/>
  <c r="E1612" i="19"/>
  <c r="D1612" i="19"/>
  <c r="C1612" i="19"/>
  <c r="B1612" i="19"/>
  <c r="F1611" i="19"/>
  <c r="I1611" i="19" s="1"/>
  <c r="E1611" i="19"/>
  <c r="D1611" i="19"/>
  <c r="C1611" i="19"/>
  <c r="B1611" i="19"/>
  <c r="F1610" i="19"/>
  <c r="I1610" i="19" s="1"/>
  <c r="E1610" i="19"/>
  <c r="D1610" i="19"/>
  <c r="C1610" i="19"/>
  <c r="B1610" i="19"/>
  <c r="I1609" i="19"/>
  <c r="F1609" i="19"/>
  <c r="E1609" i="19"/>
  <c r="D1609" i="19"/>
  <c r="C1609" i="19"/>
  <c r="B1609" i="19"/>
  <c r="F1608" i="19"/>
  <c r="I1608" i="19" s="1"/>
  <c r="E1608" i="19"/>
  <c r="D1608" i="19"/>
  <c r="C1608" i="19"/>
  <c r="B1608" i="19"/>
  <c r="F1607" i="19"/>
  <c r="I1607" i="19" s="1"/>
  <c r="E1607" i="19"/>
  <c r="D1607" i="19"/>
  <c r="C1607" i="19"/>
  <c r="B1607" i="19"/>
  <c r="F1606" i="19"/>
  <c r="I1606" i="19" s="1"/>
  <c r="E1606" i="19"/>
  <c r="D1606" i="19"/>
  <c r="C1606" i="19"/>
  <c r="B1606" i="19"/>
  <c r="F1605" i="19"/>
  <c r="I1605" i="19" s="1"/>
  <c r="E1605" i="19"/>
  <c r="D1605" i="19"/>
  <c r="C1605" i="19"/>
  <c r="B1605" i="19"/>
  <c r="F1604" i="19"/>
  <c r="I1604" i="19" s="1"/>
  <c r="E1604" i="19"/>
  <c r="D1604" i="19"/>
  <c r="C1604" i="19"/>
  <c r="B1604" i="19"/>
  <c r="F1603" i="19"/>
  <c r="I1603" i="19" s="1"/>
  <c r="E1603" i="19"/>
  <c r="D1603" i="19"/>
  <c r="C1603" i="19"/>
  <c r="B1603" i="19"/>
  <c r="F1602" i="19"/>
  <c r="I1602" i="19" s="1"/>
  <c r="E1602" i="19"/>
  <c r="D1602" i="19"/>
  <c r="C1602" i="19"/>
  <c r="B1602" i="19"/>
  <c r="F1601" i="19"/>
  <c r="I1601" i="19" s="1"/>
  <c r="E1601" i="19"/>
  <c r="D1601" i="19"/>
  <c r="C1601" i="19"/>
  <c r="B1601" i="19"/>
  <c r="F1600" i="19"/>
  <c r="I1600" i="19" s="1"/>
  <c r="E1600" i="19"/>
  <c r="D1600" i="19"/>
  <c r="C1600" i="19"/>
  <c r="B1600" i="19"/>
  <c r="F1599" i="19"/>
  <c r="I1599" i="19" s="1"/>
  <c r="E1599" i="19"/>
  <c r="D1599" i="19"/>
  <c r="C1599" i="19"/>
  <c r="B1599" i="19"/>
  <c r="F1598" i="19"/>
  <c r="I1598" i="19" s="1"/>
  <c r="E1598" i="19"/>
  <c r="D1598" i="19"/>
  <c r="C1598" i="19"/>
  <c r="B1598" i="19"/>
  <c r="F1597" i="19"/>
  <c r="I1597" i="19" s="1"/>
  <c r="E1597" i="19"/>
  <c r="D1597" i="19"/>
  <c r="C1597" i="19"/>
  <c r="B1597" i="19"/>
  <c r="F1596" i="19"/>
  <c r="I1596" i="19" s="1"/>
  <c r="E1596" i="19"/>
  <c r="D1596" i="19"/>
  <c r="C1596" i="19"/>
  <c r="B1596" i="19"/>
  <c r="F1595" i="19"/>
  <c r="I1595" i="19" s="1"/>
  <c r="E1595" i="19"/>
  <c r="D1595" i="19"/>
  <c r="C1595" i="19"/>
  <c r="B1595" i="19"/>
  <c r="F1594" i="19"/>
  <c r="I1594" i="19" s="1"/>
  <c r="E1594" i="19"/>
  <c r="D1594" i="19"/>
  <c r="C1594" i="19"/>
  <c r="B1594" i="19"/>
  <c r="F1593" i="19"/>
  <c r="I1593" i="19" s="1"/>
  <c r="E1593" i="19"/>
  <c r="D1593" i="19"/>
  <c r="C1593" i="19"/>
  <c r="B1593" i="19"/>
  <c r="F1592" i="19"/>
  <c r="I1592" i="19" s="1"/>
  <c r="E1592" i="19"/>
  <c r="D1592" i="19"/>
  <c r="C1592" i="19"/>
  <c r="B1592" i="19"/>
  <c r="F1591" i="19"/>
  <c r="I1591" i="19" s="1"/>
  <c r="E1591" i="19"/>
  <c r="D1591" i="19"/>
  <c r="C1591" i="19"/>
  <c r="B1591" i="19"/>
  <c r="F1590" i="19"/>
  <c r="I1590" i="19" s="1"/>
  <c r="E1590" i="19"/>
  <c r="D1590" i="19"/>
  <c r="C1590" i="19"/>
  <c r="B1590" i="19"/>
  <c r="F1589" i="19"/>
  <c r="I1589" i="19" s="1"/>
  <c r="E1589" i="19"/>
  <c r="D1589" i="19"/>
  <c r="C1589" i="19"/>
  <c r="B1589" i="19"/>
  <c r="F1588" i="19"/>
  <c r="I1588" i="19" s="1"/>
  <c r="E1588" i="19"/>
  <c r="D1588" i="19"/>
  <c r="C1588" i="19"/>
  <c r="B1588" i="19"/>
  <c r="I1587" i="19"/>
  <c r="F1587" i="19"/>
  <c r="E1587" i="19"/>
  <c r="D1587" i="19"/>
  <c r="C1587" i="19"/>
  <c r="B1587" i="19"/>
  <c r="F1586" i="19"/>
  <c r="I1586" i="19" s="1"/>
  <c r="E1586" i="19"/>
  <c r="D1586" i="19"/>
  <c r="C1586" i="19"/>
  <c r="B1586" i="19"/>
  <c r="F1585" i="19"/>
  <c r="I1585" i="19" s="1"/>
  <c r="E1585" i="19"/>
  <c r="D1585" i="19"/>
  <c r="C1585" i="19"/>
  <c r="B1585" i="19"/>
  <c r="F1584" i="19"/>
  <c r="I1584" i="19" s="1"/>
  <c r="E1584" i="19"/>
  <c r="D1584" i="19"/>
  <c r="C1584" i="19"/>
  <c r="B1584" i="19"/>
  <c r="F1583" i="19"/>
  <c r="I1583" i="19" s="1"/>
  <c r="E1583" i="19"/>
  <c r="D1583" i="19"/>
  <c r="C1583" i="19"/>
  <c r="B1583" i="19"/>
  <c r="F1582" i="19"/>
  <c r="I1582" i="19" s="1"/>
  <c r="E1582" i="19"/>
  <c r="D1582" i="19"/>
  <c r="C1582" i="19"/>
  <c r="B1582" i="19"/>
  <c r="F1581" i="19"/>
  <c r="I1581" i="19" s="1"/>
  <c r="E1581" i="19"/>
  <c r="D1581" i="19"/>
  <c r="C1581" i="19"/>
  <c r="B1581" i="19"/>
  <c r="F1580" i="19"/>
  <c r="I1580" i="19" s="1"/>
  <c r="E1580" i="19"/>
  <c r="D1580" i="19"/>
  <c r="C1580" i="19"/>
  <c r="B1580" i="19"/>
  <c r="I1579" i="19"/>
  <c r="F1579" i="19"/>
  <c r="E1579" i="19"/>
  <c r="D1579" i="19"/>
  <c r="C1579" i="19"/>
  <c r="B1579" i="19"/>
  <c r="F1578" i="19"/>
  <c r="I1578" i="19" s="1"/>
  <c r="E1578" i="19"/>
  <c r="D1578" i="19"/>
  <c r="C1578" i="19"/>
  <c r="B1578" i="19"/>
  <c r="F1577" i="19"/>
  <c r="I1577" i="19" s="1"/>
  <c r="E1577" i="19"/>
  <c r="D1577" i="19"/>
  <c r="C1577" i="19"/>
  <c r="B1577" i="19"/>
  <c r="F1576" i="19"/>
  <c r="I1576" i="19" s="1"/>
  <c r="E1576" i="19"/>
  <c r="D1576" i="19"/>
  <c r="C1576" i="19"/>
  <c r="B1576" i="19"/>
  <c r="F1575" i="19"/>
  <c r="I1575" i="19" s="1"/>
  <c r="E1575" i="19"/>
  <c r="D1575" i="19"/>
  <c r="C1575" i="19"/>
  <c r="B1575" i="19"/>
  <c r="F1574" i="19"/>
  <c r="I1574" i="19" s="1"/>
  <c r="E1574" i="19"/>
  <c r="D1574" i="19"/>
  <c r="C1574" i="19"/>
  <c r="B1574" i="19"/>
  <c r="F1573" i="19"/>
  <c r="I1573" i="19" s="1"/>
  <c r="E1573" i="19"/>
  <c r="D1573" i="19"/>
  <c r="C1573" i="19"/>
  <c r="B1573" i="19"/>
  <c r="F1572" i="19"/>
  <c r="I1572" i="19" s="1"/>
  <c r="E1572" i="19"/>
  <c r="D1572" i="19"/>
  <c r="C1572" i="19"/>
  <c r="B1572" i="19"/>
  <c r="E1571" i="19"/>
  <c r="F1571" i="19" s="1"/>
  <c r="I1571" i="19" s="1"/>
  <c r="D1571" i="19"/>
  <c r="C1571" i="19"/>
  <c r="B1571" i="19"/>
  <c r="F1570" i="19"/>
  <c r="I1570" i="19" s="1"/>
  <c r="E1570" i="19"/>
  <c r="D1570" i="19"/>
  <c r="C1570" i="19"/>
  <c r="B1570" i="19"/>
  <c r="E1569" i="19"/>
  <c r="F1569" i="19" s="1"/>
  <c r="I1569" i="19" s="1"/>
  <c r="D1569" i="19"/>
  <c r="C1569" i="19"/>
  <c r="B1569" i="19"/>
  <c r="F1568" i="19"/>
  <c r="I1568" i="19" s="1"/>
  <c r="E1568" i="19"/>
  <c r="D1568" i="19"/>
  <c r="C1568" i="19"/>
  <c r="B1568" i="19"/>
  <c r="I1567" i="19"/>
  <c r="E1567" i="19"/>
  <c r="F1567" i="19" s="1"/>
  <c r="D1567" i="19"/>
  <c r="C1567" i="19"/>
  <c r="B1567" i="19"/>
  <c r="F1566" i="19"/>
  <c r="I1566" i="19" s="1"/>
  <c r="E1566" i="19"/>
  <c r="D1566" i="19"/>
  <c r="C1566" i="19"/>
  <c r="B1566" i="19"/>
  <c r="F1565" i="19"/>
  <c r="I1565" i="19" s="1"/>
  <c r="E1565" i="19"/>
  <c r="D1565" i="19"/>
  <c r="C1565" i="19"/>
  <c r="B1565" i="19"/>
  <c r="F1564" i="19"/>
  <c r="I1564" i="19" s="1"/>
  <c r="E1564" i="19"/>
  <c r="D1564" i="19"/>
  <c r="C1564" i="19"/>
  <c r="B1564" i="19"/>
  <c r="E1563" i="19"/>
  <c r="F1563" i="19" s="1"/>
  <c r="I1563" i="19" s="1"/>
  <c r="D1563" i="19"/>
  <c r="C1563" i="19"/>
  <c r="B1563" i="19"/>
  <c r="F1562" i="19"/>
  <c r="I1562" i="19" s="1"/>
  <c r="E1562" i="19"/>
  <c r="D1562" i="19"/>
  <c r="C1562" i="19"/>
  <c r="B1562" i="19"/>
  <c r="I1561" i="19"/>
  <c r="F1561" i="19"/>
  <c r="E1561" i="19"/>
  <c r="D1561" i="19"/>
  <c r="C1561" i="19"/>
  <c r="B1561" i="19"/>
  <c r="F1560" i="19"/>
  <c r="I1560" i="19" s="1"/>
  <c r="E1560" i="19"/>
  <c r="D1560" i="19"/>
  <c r="C1560" i="19"/>
  <c r="B1560" i="19"/>
  <c r="F1559" i="19"/>
  <c r="I1559" i="19" s="1"/>
  <c r="E1559" i="19"/>
  <c r="D1559" i="19"/>
  <c r="C1559" i="19"/>
  <c r="B1559" i="19"/>
  <c r="F1558" i="19"/>
  <c r="I1558" i="19" s="1"/>
  <c r="E1558" i="19"/>
  <c r="D1558" i="19"/>
  <c r="C1558" i="19"/>
  <c r="B1558" i="19"/>
  <c r="E1557" i="19"/>
  <c r="F1557" i="19" s="1"/>
  <c r="I1557" i="19" s="1"/>
  <c r="D1557" i="19"/>
  <c r="C1557" i="19"/>
  <c r="B1557" i="19"/>
  <c r="F1556" i="19"/>
  <c r="I1556" i="19" s="1"/>
  <c r="E1556" i="19"/>
  <c r="D1556" i="19"/>
  <c r="C1556" i="19"/>
  <c r="B1556" i="19"/>
  <c r="F1555" i="19"/>
  <c r="I1555" i="19" s="1"/>
  <c r="E1555" i="19"/>
  <c r="D1555" i="19"/>
  <c r="C1555" i="19"/>
  <c r="B1555" i="19"/>
  <c r="F1554" i="19"/>
  <c r="I1554" i="19" s="1"/>
  <c r="E1554" i="19"/>
  <c r="D1554" i="19"/>
  <c r="C1554" i="19"/>
  <c r="B1554" i="19"/>
  <c r="I1553" i="19"/>
  <c r="F1553" i="19"/>
  <c r="E1553" i="19"/>
  <c r="D1553" i="19"/>
  <c r="C1553" i="19"/>
  <c r="B1553" i="19"/>
  <c r="F1552" i="19"/>
  <c r="I1552" i="19" s="1"/>
  <c r="E1552" i="19"/>
  <c r="D1552" i="19"/>
  <c r="C1552" i="19"/>
  <c r="B1552" i="19"/>
  <c r="F1551" i="19"/>
  <c r="I1551" i="19" s="1"/>
  <c r="E1551" i="19"/>
  <c r="D1551" i="19"/>
  <c r="C1551" i="19"/>
  <c r="B1551" i="19"/>
  <c r="F1550" i="19"/>
  <c r="I1550" i="19" s="1"/>
  <c r="E1550" i="19"/>
  <c r="D1550" i="19"/>
  <c r="C1550" i="19"/>
  <c r="B1550" i="19"/>
  <c r="F1549" i="19"/>
  <c r="I1549" i="19" s="1"/>
  <c r="E1549" i="19"/>
  <c r="D1549" i="19"/>
  <c r="C1549" i="19"/>
  <c r="B1549" i="19"/>
  <c r="F1548" i="19"/>
  <c r="I1548" i="19" s="1"/>
  <c r="E1548" i="19"/>
  <c r="D1548" i="19"/>
  <c r="C1548" i="19"/>
  <c r="B1548" i="19"/>
  <c r="E1547" i="19"/>
  <c r="F1547" i="19" s="1"/>
  <c r="I1547" i="19" s="1"/>
  <c r="D1547" i="19"/>
  <c r="C1547" i="19"/>
  <c r="B1547" i="19"/>
  <c r="F1546" i="19"/>
  <c r="I1546" i="19" s="1"/>
  <c r="E1546" i="19"/>
  <c r="D1546" i="19"/>
  <c r="C1546" i="19"/>
  <c r="B1546" i="19"/>
  <c r="F1545" i="19"/>
  <c r="I1545" i="19" s="1"/>
  <c r="E1545" i="19"/>
  <c r="D1545" i="19"/>
  <c r="C1545" i="19"/>
  <c r="B1545" i="19"/>
  <c r="F1544" i="19"/>
  <c r="I1544" i="19" s="1"/>
  <c r="E1544" i="19"/>
  <c r="D1544" i="19"/>
  <c r="C1544" i="19"/>
  <c r="B1544" i="19"/>
  <c r="E1543" i="19"/>
  <c r="F1543" i="19" s="1"/>
  <c r="I1543" i="19" s="1"/>
  <c r="D1543" i="19"/>
  <c r="C1543" i="19"/>
  <c r="B1543" i="19"/>
  <c r="F1542" i="19"/>
  <c r="I1542" i="19" s="1"/>
  <c r="E1542" i="19"/>
  <c r="D1542" i="19"/>
  <c r="C1542" i="19"/>
  <c r="B1542" i="19"/>
  <c r="F1541" i="19"/>
  <c r="I1541" i="19" s="1"/>
  <c r="E1541" i="19"/>
  <c r="D1541" i="19"/>
  <c r="C1541" i="19"/>
  <c r="B1541" i="19"/>
  <c r="F1540" i="19"/>
  <c r="I1540" i="19" s="1"/>
  <c r="E1540" i="19"/>
  <c r="D1540" i="19"/>
  <c r="C1540" i="19"/>
  <c r="B1540" i="19"/>
  <c r="E1539" i="19"/>
  <c r="F1539" i="19" s="1"/>
  <c r="I1539" i="19" s="1"/>
  <c r="D1539" i="19"/>
  <c r="C1539" i="19"/>
  <c r="B1539" i="19"/>
  <c r="F1538" i="19"/>
  <c r="I1538" i="19" s="1"/>
  <c r="E1538" i="19"/>
  <c r="D1538" i="19"/>
  <c r="C1538" i="19"/>
  <c r="B1538" i="19"/>
  <c r="F1537" i="19"/>
  <c r="I1537" i="19" s="1"/>
  <c r="E1537" i="19"/>
  <c r="D1537" i="19"/>
  <c r="C1537" i="19"/>
  <c r="B1537" i="19"/>
  <c r="F1536" i="19"/>
  <c r="I1536" i="19" s="1"/>
  <c r="E1536" i="19"/>
  <c r="D1536" i="19"/>
  <c r="C1536" i="19"/>
  <c r="B1536" i="19"/>
  <c r="F1535" i="19"/>
  <c r="I1535" i="19" s="1"/>
  <c r="E1535" i="19"/>
  <c r="D1535" i="19"/>
  <c r="C1535" i="19"/>
  <c r="B1535" i="19"/>
  <c r="F1534" i="19"/>
  <c r="I1534" i="19" s="1"/>
  <c r="E1534" i="19"/>
  <c r="D1534" i="19"/>
  <c r="C1534" i="19"/>
  <c r="B1534" i="19"/>
  <c r="E1533" i="19"/>
  <c r="F1533" i="19" s="1"/>
  <c r="I1533" i="19" s="1"/>
  <c r="D1533" i="19"/>
  <c r="C1533" i="19"/>
  <c r="B1533" i="19"/>
  <c r="F1532" i="19"/>
  <c r="I1532" i="19" s="1"/>
  <c r="E1532" i="19"/>
  <c r="D1532" i="19"/>
  <c r="C1532" i="19"/>
  <c r="B1532" i="19"/>
  <c r="I1531" i="19"/>
  <c r="F1531" i="19"/>
  <c r="E1531" i="19"/>
  <c r="D1531" i="19"/>
  <c r="C1531" i="19"/>
  <c r="B1531" i="19"/>
  <c r="F1530" i="19"/>
  <c r="I1530" i="19" s="1"/>
  <c r="E1530" i="19"/>
  <c r="D1530" i="19"/>
  <c r="C1530" i="19"/>
  <c r="B1530" i="19"/>
  <c r="F1529" i="19"/>
  <c r="I1529" i="19" s="1"/>
  <c r="E1529" i="19"/>
  <c r="D1529" i="19"/>
  <c r="C1529" i="19"/>
  <c r="B1529" i="19"/>
  <c r="F1528" i="19"/>
  <c r="I1528" i="19" s="1"/>
  <c r="E1528" i="19"/>
  <c r="D1528" i="19"/>
  <c r="C1528" i="19"/>
  <c r="B1528" i="19"/>
  <c r="E1527" i="19"/>
  <c r="F1527" i="19" s="1"/>
  <c r="I1527" i="19" s="1"/>
  <c r="D1527" i="19"/>
  <c r="C1527" i="19"/>
  <c r="B1527" i="19"/>
  <c r="F1526" i="19"/>
  <c r="I1526" i="19" s="1"/>
  <c r="E1526" i="19"/>
  <c r="D1526" i="19"/>
  <c r="C1526" i="19"/>
  <c r="B1526" i="19"/>
  <c r="F1525" i="19"/>
  <c r="I1525" i="19" s="1"/>
  <c r="E1525" i="19"/>
  <c r="D1525" i="19"/>
  <c r="C1525" i="19"/>
  <c r="B1525" i="19"/>
  <c r="F1524" i="19"/>
  <c r="I1524" i="19" s="1"/>
  <c r="E1524" i="19"/>
  <c r="D1524" i="19"/>
  <c r="C1524" i="19"/>
  <c r="B1524" i="19"/>
  <c r="I1523" i="19"/>
  <c r="F1523" i="19"/>
  <c r="E1523" i="19"/>
  <c r="D1523" i="19"/>
  <c r="C1523" i="19"/>
  <c r="B1523" i="19"/>
  <c r="F1522" i="19"/>
  <c r="I1522" i="19" s="1"/>
  <c r="E1522" i="19"/>
  <c r="D1522" i="19"/>
  <c r="C1522" i="19"/>
  <c r="B1522" i="19"/>
  <c r="F1521" i="19"/>
  <c r="I1521" i="19" s="1"/>
  <c r="E1521" i="19"/>
  <c r="D1521" i="19"/>
  <c r="C1521" i="19"/>
  <c r="B1521" i="19"/>
  <c r="F1520" i="19"/>
  <c r="I1520" i="19" s="1"/>
  <c r="E1520" i="19"/>
  <c r="D1520" i="19"/>
  <c r="C1520" i="19"/>
  <c r="B1520" i="19"/>
  <c r="E1519" i="19"/>
  <c r="F1519" i="19" s="1"/>
  <c r="I1519" i="19" s="1"/>
  <c r="D1519" i="19"/>
  <c r="C1519" i="19"/>
  <c r="B1519" i="19"/>
  <c r="F1518" i="19"/>
  <c r="I1518" i="19" s="1"/>
  <c r="E1518" i="19"/>
  <c r="D1518" i="19"/>
  <c r="C1518" i="19"/>
  <c r="B1518" i="19"/>
  <c r="F1517" i="19"/>
  <c r="I1517" i="19" s="1"/>
  <c r="E1517" i="19"/>
  <c r="D1517" i="19"/>
  <c r="C1517" i="19"/>
  <c r="B1517" i="19"/>
  <c r="F1516" i="19"/>
  <c r="I1516" i="19" s="1"/>
  <c r="E1516" i="19"/>
  <c r="D1516" i="19"/>
  <c r="C1516" i="19"/>
  <c r="B1516" i="19"/>
  <c r="E1515" i="19"/>
  <c r="F1515" i="19" s="1"/>
  <c r="I1515" i="19" s="1"/>
  <c r="D1515" i="19"/>
  <c r="C1515" i="19"/>
  <c r="B1515" i="19"/>
  <c r="F1514" i="19"/>
  <c r="I1514" i="19" s="1"/>
  <c r="E1514" i="19"/>
  <c r="D1514" i="19"/>
  <c r="C1514" i="19"/>
  <c r="B1514" i="19"/>
  <c r="F1513" i="19"/>
  <c r="I1513" i="19" s="1"/>
  <c r="E1513" i="19"/>
  <c r="D1513" i="19"/>
  <c r="C1513" i="19"/>
  <c r="B1513" i="19"/>
  <c r="F1512" i="19"/>
  <c r="I1512" i="19" s="1"/>
  <c r="E1512" i="19"/>
  <c r="D1512" i="19"/>
  <c r="C1512" i="19"/>
  <c r="B1512" i="19"/>
  <c r="F1511" i="19"/>
  <c r="I1511" i="19" s="1"/>
  <c r="E1511" i="19"/>
  <c r="D1511" i="19"/>
  <c r="C1511" i="19"/>
  <c r="B1511" i="19"/>
  <c r="F1510" i="19"/>
  <c r="I1510" i="19" s="1"/>
  <c r="E1510" i="19"/>
  <c r="D1510" i="19"/>
  <c r="C1510" i="19"/>
  <c r="B1510" i="19"/>
  <c r="E1509" i="19"/>
  <c r="F1509" i="19" s="1"/>
  <c r="I1509" i="19" s="1"/>
  <c r="D1509" i="19"/>
  <c r="C1509" i="19"/>
  <c r="B1509" i="19"/>
  <c r="F1508" i="19"/>
  <c r="I1508" i="19" s="1"/>
  <c r="E1508" i="19"/>
  <c r="D1508" i="19"/>
  <c r="C1508" i="19"/>
  <c r="B1508" i="19"/>
  <c r="I1507" i="19"/>
  <c r="F1507" i="19"/>
  <c r="E1507" i="19"/>
  <c r="D1507" i="19"/>
  <c r="C1507" i="19"/>
  <c r="B1507" i="19"/>
  <c r="F1506" i="19"/>
  <c r="I1506" i="19" s="1"/>
  <c r="E1506" i="19"/>
  <c r="D1506" i="19"/>
  <c r="C1506" i="19"/>
  <c r="B1506" i="19"/>
  <c r="F1505" i="19"/>
  <c r="I1505" i="19" s="1"/>
  <c r="E1505" i="19"/>
  <c r="D1505" i="19"/>
  <c r="C1505" i="19"/>
  <c r="B1505" i="19"/>
  <c r="F1504" i="19"/>
  <c r="I1504" i="19" s="1"/>
  <c r="E1504" i="19"/>
  <c r="D1504" i="19"/>
  <c r="C1504" i="19"/>
  <c r="B1504" i="19"/>
  <c r="F1503" i="19"/>
  <c r="I1503" i="19" s="1"/>
  <c r="E1503" i="19"/>
  <c r="D1503" i="19"/>
  <c r="C1503" i="19"/>
  <c r="B1503" i="19"/>
  <c r="F1502" i="19"/>
  <c r="I1502" i="19" s="1"/>
  <c r="E1502" i="19"/>
  <c r="D1502" i="19"/>
  <c r="C1502" i="19"/>
  <c r="B1502" i="19"/>
  <c r="E1501" i="19"/>
  <c r="F1501" i="19" s="1"/>
  <c r="I1501" i="19" s="1"/>
  <c r="D1501" i="19"/>
  <c r="C1501" i="19"/>
  <c r="B1501" i="19"/>
  <c r="F1500" i="19"/>
  <c r="I1500" i="19" s="1"/>
  <c r="E1500" i="19"/>
  <c r="D1500" i="19"/>
  <c r="C1500" i="19"/>
  <c r="B1500" i="19"/>
  <c r="E1499" i="19"/>
  <c r="F1499" i="19" s="1"/>
  <c r="I1499" i="19" s="1"/>
  <c r="D1499" i="19"/>
  <c r="C1499" i="19"/>
  <c r="B1499" i="19"/>
  <c r="F1498" i="19"/>
  <c r="I1498" i="19" s="1"/>
  <c r="E1498" i="19"/>
  <c r="D1498" i="19"/>
  <c r="C1498" i="19"/>
  <c r="B1498" i="19"/>
  <c r="E1497" i="19"/>
  <c r="F1497" i="19" s="1"/>
  <c r="I1497" i="19" s="1"/>
  <c r="D1497" i="19"/>
  <c r="C1497" i="19"/>
  <c r="B1497" i="19"/>
  <c r="F1496" i="19"/>
  <c r="I1496" i="19" s="1"/>
  <c r="E1496" i="19"/>
  <c r="D1496" i="19"/>
  <c r="C1496" i="19"/>
  <c r="B1496" i="19"/>
  <c r="E1495" i="19"/>
  <c r="F1495" i="19" s="1"/>
  <c r="I1495" i="19" s="1"/>
  <c r="D1495" i="19"/>
  <c r="C1495" i="19"/>
  <c r="B1495" i="19"/>
  <c r="F1494" i="19"/>
  <c r="I1494" i="19" s="1"/>
  <c r="E1494" i="19"/>
  <c r="D1494" i="19"/>
  <c r="C1494" i="19"/>
  <c r="B1494" i="19"/>
  <c r="F1493" i="19"/>
  <c r="I1493" i="19" s="1"/>
  <c r="E1493" i="19"/>
  <c r="D1493" i="19"/>
  <c r="C1493" i="19"/>
  <c r="B1493" i="19"/>
  <c r="F1492" i="19"/>
  <c r="I1492" i="19" s="1"/>
  <c r="E1492" i="19"/>
  <c r="D1492" i="19"/>
  <c r="C1492" i="19"/>
  <c r="B1492" i="19"/>
  <c r="E1491" i="19"/>
  <c r="F1491" i="19" s="1"/>
  <c r="I1491" i="19" s="1"/>
  <c r="D1491" i="19"/>
  <c r="C1491" i="19"/>
  <c r="B1491" i="19"/>
  <c r="F1490" i="19"/>
  <c r="I1490" i="19" s="1"/>
  <c r="E1490" i="19"/>
  <c r="D1490" i="19"/>
  <c r="C1490" i="19"/>
  <c r="B1490" i="19"/>
  <c r="I1489" i="19"/>
  <c r="F1489" i="19"/>
  <c r="E1489" i="19"/>
  <c r="D1489" i="19"/>
  <c r="C1489" i="19"/>
  <c r="B1489" i="19"/>
  <c r="F1488" i="19"/>
  <c r="I1488" i="19" s="1"/>
  <c r="E1488" i="19"/>
  <c r="D1488" i="19"/>
  <c r="C1488" i="19"/>
  <c r="B1488" i="19"/>
  <c r="F1487" i="19"/>
  <c r="I1487" i="19" s="1"/>
  <c r="E1487" i="19"/>
  <c r="D1487" i="19"/>
  <c r="C1487" i="19"/>
  <c r="B1487" i="19"/>
  <c r="F1486" i="19"/>
  <c r="I1486" i="19" s="1"/>
  <c r="E1486" i="19"/>
  <c r="D1486" i="19"/>
  <c r="C1486" i="19"/>
  <c r="B1486" i="19"/>
  <c r="E1485" i="19"/>
  <c r="F1485" i="19" s="1"/>
  <c r="I1485" i="19" s="1"/>
  <c r="D1485" i="19"/>
  <c r="C1485" i="19"/>
  <c r="B1485" i="19"/>
  <c r="F1484" i="19"/>
  <c r="I1484" i="19" s="1"/>
  <c r="E1484" i="19"/>
  <c r="D1484" i="19"/>
  <c r="C1484" i="19"/>
  <c r="B1484" i="19"/>
  <c r="F1483" i="19"/>
  <c r="I1483" i="19" s="1"/>
  <c r="E1483" i="19"/>
  <c r="D1483" i="19"/>
  <c r="C1483" i="19"/>
  <c r="B1483" i="19"/>
  <c r="F1482" i="19"/>
  <c r="I1482" i="19" s="1"/>
  <c r="E1482" i="19"/>
  <c r="D1482" i="19"/>
  <c r="C1482" i="19"/>
  <c r="B1482" i="19"/>
  <c r="F1481" i="19"/>
  <c r="I1481" i="19" s="1"/>
  <c r="E1481" i="19"/>
  <c r="D1481" i="19"/>
  <c r="C1481" i="19"/>
  <c r="B1481" i="19"/>
  <c r="F1480" i="19"/>
  <c r="I1480" i="19" s="1"/>
  <c r="E1480" i="19"/>
  <c r="D1480" i="19"/>
  <c r="C1480" i="19"/>
  <c r="B1480" i="19"/>
  <c r="F1479" i="19"/>
  <c r="I1479" i="19" s="1"/>
  <c r="E1479" i="19"/>
  <c r="D1479" i="19"/>
  <c r="C1479" i="19"/>
  <c r="B1479" i="19"/>
  <c r="F1478" i="19"/>
  <c r="I1478" i="19" s="1"/>
  <c r="E1478" i="19"/>
  <c r="D1478" i="19"/>
  <c r="C1478" i="19"/>
  <c r="B1478" i="19"/>
  <c r="F1477" i="19"/>
  <c r="I1477" i="19" s="1"/>
  <c r="E1477" i="19"/>
  <c r="D1477" i="19"/>
  <c r="C1477" i="19"/>
  <c r="B1477" i="19"/>
  <c r="F1476" i="19"/>
  <c r="I1476" i="19" s="1"/>
  <c r="E1476" i="19"/>
  <c r="D1476" i="19"/>
  <c r="C1476" i="19"/>
  <c r="B1476" i="19"/>
  <c r="E1475" i="19"/>
  <c r="F1475" i="19" s="1"/>
  <c r="I1475" i="19" s="1"/>
  <c r="D1475" i="19"/>
  <c r="C1475" i="19"/>
  <c r="B1475" i="19"/>
  <c r="F1474" i="19"/>
  <c r="I1474" i="19" s="1"/>
  <c r="E1474" i="19"/>
  <c r="D1474" i="19"/>
  <c r="C1474" i="19"/>
  <c r="B1474" i="19"/>
  <c r="F1473" i="19"/>
  <c r="I1473" i="19" s="1"/>
  <c r="E1473" i="19"/>
  <c r="D1473" i="19"/>
  <c r="C1473" i="19"/>
  <c r="B1473" i="19"/>
  <c r="F1472" i="19"/>
  <c r="I1472" i="19" s="1"/>
  <c r="E1472" i="19"/>
  <c r="D1472" i="19"/>
  <c r="C1472" i="19"/>
  <c r="B1472" i="19"/>
  <c r="E1471" i="19"/>
  <c r="F1471" i="19" s="1"/>
  <c r="I1471" i="19" s="1"/>
  <c r="D1471" i="19"/>
  <c r="C1471" i="19"/>
  <c r="B1471" i="19"/>
  <c r="F1470" i="19"/>
  <c r="I1470" i="19" s="1"/>
  <c r="E1470" i="19"/>
  <c r="D1470" i="19"/>
  <c r="C1470" i="19"/>
  <c r="B1470" i="19"/>
  <c r="F1469" i="19"/>
  <c r="I1469" i="19" s="1"/>
  <c r="E1469" i="19"/>
  <c r="D1469" i="19"/>
  <c r="C1469" i="19"/>
  <c r="B1469" i="19"/>
  <c r="F1468" i="19"/>
  <c r="I1468" i="19" s="1"/>
  <c r="E1468" i="19"/>
  <c r="D1468" i="19"/>
  <c r="C1468" i="19"/>
  <c r="B1468" i="19"/>
  <c r="E1467" i="19"/>
  <c r="F1467" i="19" s="1"/>
  <c r="I1467" i="19" s="1"/>
  <c r="D1467" i="19"/>
  <c r="C1467" i="19"/>
  <c r="B1467" i="19"/>
  <c r="F1466" i="19"/>
  <c r="I1466" i="19" s="1"/>
  <c r="E1466" i="19"/>
  <c r="D1466" i="19"/>
  <c r="C1466" i="19"/>
  <c r="B1466" i="19"/>
  <c r="F1465" i="19"/>
  <c r="I1465" i="19" s="1"/>
  <c r="E1465" i="19"/>
  <c r="D1465" i="19"/>
  <c r="C1465" i="19"/>
  <c r="B1465" i="19"/>
  <c r="F1464" i="19"/>
  <c r="I1464" i="19" s="1"/>
  <c r="E1464" i="19"/>
  <c r="D1464" i="19"/>
  <c r="C1464" i="19"/>
  <c r="B1464" i="19"/>
  <c r="F1463" i="19"/>
  <c r="I1463" i="19" s="1"/>
  <c r="E1463" i="19"/>
  <c r="D1463" i="19"/>
  <c r="C1463" i="19"/>
  <c r="B1463" i="19"/>
  <c r="F1462" i="19"/>
  <c r="I1462" i="19" s="1"/>
  <c r="E1462" i="19"/>
  <c r="D1462" i="19"/>
  <c r="C1462" i="19"/>
  <c r="B1462" i="19"/>
  <c r="E1461" i="19"/>
  <c r="F1461" i="19" s="1"/>
  <c r="I1461" i="19" s="1"/>
  <c r="D1461" i="19"/>
  <c r="C1461" i="19"/>
  <c r="B1461" i="19"/>
  <c r="F1460" i="19"/>
  <c r="I1460" i="19" s="1"/>
  <c r="E1460" i="19"/>
  <c r="D1460" i="19"/>
  <c r="C1460" i="19"/>
  <c r="B1460" i="19"/>
  <c r="F1459" i="19"/>
  <c r="I1459" i="19" s="1"/>
  <c r="E1459" i="19"/>
  <c r="D1459" i="19"/>
  <c r="C1459" i="19"/>
  <c r="B1459" i="19"/>
  <c r="F1458" i="19"/>
  <c r="I1458" i="19" s="1"/>
  <c r="E1458" i="19"/>
  <c r="D1458" i="19"/>
  <c r="C1458" i="19"/>
  <c r="B1458" i="19"/>
  <c r="F1457" i="19"/>
  <c r="I1457" i="19" s="1"/>
  <c r="E1457" i="19"/>
  <c r="D1457" i="19"/>
  <c r="C1457" i="19"/>
  <c r="B1457" i="19"/>
  <c r="F1456" i="19"/>
  <c r="I1456" i="19" s="1"/>
  <c r="E1456" i="19"/>
  <c r="D1456" i="19"/>
  <c r="C1456" i="19"/>
  <c r="B1456" i="19"/>
  <c r="E1455" i="19"/>
  <c r="F1455" i="19" s="1"/>
  <c r="I1455" i="19" s="1"/>
  <c r="D1455" i="19"/>
  <c r="C1455" i="19"/>
  <c r="B1455" i="19"/>
  <c r="F1454" i="19"/>
  <c r="I1454" i="19" s="1"/>
  <c r="E1454" i="19"/>
  <c r="D1454" i="19"/>
  <c r="C1454" i="19"/>
  <c r="B1454" i="19"/>
  <c r="F1453" i="19"/>
  <c r="I1453" i="19" s="1"/>
  <c r="E1453" i="19"/>
  <c r="D1453" i="19"/>
  <c r="C1453" i="19"/>
  <c r="B1453" i="19"/>
  <c r="F1452" i="19"/>
  <c r="I1452" i="19" s="1"/>
  <c r="E1452" i="19"/>
  <c r="D1452" i="19"/>
  <c r="C1452" i="19"/>
  <c r="B1452" i="19"/>
  <c r="I1451" i="19"/>
  <c r="F1451" i="19"/>
  <c r="E1451" i="19"/>
  <c r="D1451" i="19"/>
  <c r="C1451" i="19"/>
  <c r="B1451" i="19"/>
  <c r="F1450" i="19"/>
  <c r="I1450" i="19" s="1"/>
  <c r="E1450" i="19"/>
  <c r="D1450" i="19"/>
  <c r="C1450" i="19"/>
  <c r="B1450" i="19"/>
  <c r="F1449" i="19"/>
  <c r="I1449" i="19" s="1"/>
  <c r="E1449" i="19"/>
  <c r="D1449" i="19"/>
  <c r="C1449" i="19"/>
  <c r="B1449" i="19"/>
  <c r="F1448" i="19"/>
  <c r="I1448" i="19" s="1"/>
  <c r="E1448" i="19"/>
  <c r="D1448" i="19"/>
  <c r="C1448" i="19"/>
  <c r="B1448" i="19"/>
  <c r="E1447" i="19"/>
  <c r="F1447" i="19" s="1"/>
  <c r="I1447" i="19" s="1"/>
  <c r="D1447" i="19"/>
  <c r="C1447" i="19"/>
  <c r="B1447" i="19"/>
  <c r="F1446" i="19"/>
  <c r="I1446" i="19" s="1"/>
  <c r="E1446" i="19"/>
  <c r="D1446" i="19"/>
  <c r="C1446" i="19"/>
  <c r="B1446" i="19"/>
  <c r="E1445" i="19"/>
  <c r="F1445" i="19" s="1"/>
  <c r="I1445" i="19" s="1"/>
  <c r="D1445" i="19"/>
  <c r="C1445" i="19"/>
  <c r="B1445" i="19"/>
  <c r="F1444" i="19"/>
  <c r="I1444" i="19" s="1"/>
  <c r="E1444" i="19"/>
  <c r="D1444" i="19"/>
  <c r="C1444" i="19"/>
  <c r="B1444" i="19"/>
  <c r="I1443" i="19"/>
  <c r="E1443" i="19"/>
  <c r="F1443" i="19" s="1"/>
  <c r="D1443" i="19"/>
  <c r="C1443" i="19"/>
  <c r="B1443" i="19"/>
  <c r="I1442" i="19"/>
  <c r="F1442" i="19"/>
  <c r="E1442" i="19"/>
  <c r="D1442" i="19"/>
  <c r="C1442" i="19"/>
  <c r="B1442" i="19"/>
  <c r="E1441" i="19"/>
  <c r="F1441" i="19" s="1"/>
  <c r="I1441" i="19" s="1"/>
  <c r="D1441" i="19"/>
  <c r="C1441" i="19"/>
  <c r="B1441" i="19"/>
  <c r="F1440" i="19"/>
  <c r="I1440" i="19" s="1"/>
  <c r="E1440" i="19"/>
  <c r="D1440" i="19"/>
  <c r="C1440" i="19"/>
  <c r="B1440" i="19"/>
  <c r="E1439" i="19"/>
  <c r="F1439" i="19" s="1"/>
  <c r="I1439" i="19" s="1"/>
  <c r="D1439" i="19"/>
  <c r="C1439" i="19"/>
  <c r="B1439" i="19"/>
  <c r="F1438" i="19"/>
  <c r="I1438" i="19" s="1"/>
  <c r="E1438" i="19"/>
  <c r="D1438" i="19"/>
  <c r="C1438" i="19"/>
  <c r="B1438" i="19"/>
  <c r="I1437" i="19"/>
  <c r="E1437" i="19"/>
  <c r="F1437" i="19" s="1"/>
  <c r="D1437" i="19"/>
  <c r="C1437" i="19"/>
  <c r="B1437" i="19"/>
  <c r="F1436" i="19"/>
  <c r="I1436" i="19" s="1"/>
  <c r="E1436" i="19"/>
  <c r="D1436" i="19"/>
  <c r="C1436" i="19"/>
  <c r="B1436" i="19"/>
  <c r="E1435" i="19"/>
  <c r="F1435" i="19" s="1"/>
  <c r="I1435" i="19" s="1"/>
  <c r="D1435" i="19"/>
  <c r="C1435" i="19"/>
  <c r="B1435" i="19"/>
  <c r="F1434" i="19"/>
  <c r="I1434" i="19" s="1"/>
  <c r="E1434" i="19"/>
  <c r="D1434" i="19"/>
  <c r="C1434" i="19"/>
  <c r="B1434" i="19"/>
  <c r="E1433" i="19"/>
  <c r="F1433" i="19" s="1"/>
  <c r="I1433" i="19" s="1"/>
  <c r="D1433" i="19"/>
  <c r="C1433" i="19"/>
  <c r="B1433" i="19"/>
  <c r="I1432" i="19"/>
  <c r="F1432" i="19"/>
  <c r="E1432" i="19"/>
  <c r="D1432" i="19"/>
  <c r="C1432" i="19"/>
  <c r="B1432" i="19"/>
  <c r="E1431" i="19"/>
  <c r="F1431" i="19" s="1"/>
  <c r="I1431" i="19" s="1"/>
  <c r="D1431" i="19"/>
  <c r="C1431" i="19"/>
  <c r="B1431" i="19"/>
  <c r="F1430" i="19"/>
  <c r="I1430" i="19" s="1"/>
  <c r="E1430" i="19"/>
  <c r="D1430" i="19"/>
  <c r="C1430" i="19"/>
  <c r="B1430" i="19"/>
  <c r="E1429" i="19"/>
  <c r="F1429" i="19" s="1"/>
  <c r="I1429" i="19" s="1"/>
  <c r="D1429" i="19"/>
  <c r="C1429" i="19"/>
  <c r="B1429" i="19"/>
  <c r="F1428" i="19"/>
  <c r="I1428" i="19" s="1"/>
  <c r="E1428" i="19"/>
  <c r="D1428" i="19"/>
  <c r="C1428" i="19"/>
  <c r="B1428" i="19"/>
  <c r="I1427" i="19"/>
  <c r="E1427" i="19"/>
  <c r="F1427" i="19" s="1"/>
  <c r="D1427" i="19"/>
  <c r="C1427" i="19"/>
  <c r="B1427" i="19"/>
  <c r="F1426" i="19"/>
  <c r="I1426" i="19" s="1"/>
  <c r="E1426" i="19"/>
  <c r="D1426" i="19"/>
  <c r="C1426" i="19"/>
  <c r="B1426" i="19"/>
  <c r="E1425" i="19"/>
  <c r="F1425" i="19" s="1"/>
  <c r="I1425" i="19" s="1"/>
  <c r="D1425" i="19"/>
  <c r="C1425" i="19"/>
  <c r="B1425" i="19"/>
  <c r="F1424" i="19"/>
  <c r="I1424" i="19" s="1"/>
  <c r="E1424" i="19"/>
  <c r="D1424" i="19"/>
  <c r="C1424" i="19"/>
  <c r="B1424" i="19"/>
  <c r="E1423" i="19"/>
  <c r="F1423" i="19" s="1"/>
  <c r="I1423" i="19" s="1"/>
  <c r="D1423" i="19"/>
  <c r="C1423" i="19"/>
  <c r="B1423" i="19"/>
  <c r="I1422" i="19"/>
  <c r="F1422" i="19"/>
  <c r="E1422" i="19"/>
  <c r="D1422" i="19"/>
  <c r="C1422" i="19"/>
  <c r="B1422" i="19"/>
  <c r="E1421" i="19"/>
  <c r="F1421" i="19" s="1"/>
  <c r="I1421" i="19" s="1"/>
  <c r="D1421" i="19"/>
  <c r="C1421" i="19"/>
  <c r="B1421" i="19"/>
  <c r="I1420" i="19"/>
  <c r="F1420" i="19"/>
  <c r="E1420" i="19"/>
  <c r="D1420" i="19"/>
  <c r="C1420" i="19"/>
  <c r="B1420" i="19"/>
  <c r="E1419" i="19"/>
  <c r="F1419" i="19" s="1"/>
  <c r="I1419" i="19" s="1"/>
  <c r="D1419" i="19"/>
  <c r="C1419" i="19"/>
  <c r="B1419" i="19"/>
  <c r="F1418" i="19"/>
  <c r="I1418" i="19" s="1"/>
  <c r="E1418" i="19"/>
  <c r="D1418" i="19"/>
  <c r="C1418" i="19"/>
  <c r="B1418" i="19"/>
  <c r="E1417" i="19"/>
  <c r="F1417" i="19" s="1"/>
  <c r="I1417" i="19" s="1"/>
  <c r="D1417" i="19"/>
  <c r="C1417" i="19"/>
  <c r="B1417" i="19"/>
  <c r="I1416" i="19"/>
  <c r="F1416" i="19"/>
  <c r="E1416" i="19"/>
  <c r="D1416" i="19"/>
  <c r="C1416" i="19"/>
  <c r="B1416" i="19"/>
  <c r="E1415" i="19"/>
  <c r="F1415" i="19" s="1"/>
  <c r="I1415" i="19" s="1"/>
  <c r="D1415" i="19"/>
  <c r="C1415" i="19"/>
  <c r="B1415" i="19"/>
  <c r="F1414" i="19"/>
  <c r="I1414" i="19" s="1"/>
  <c r="E1414" i="19"/>
  <c r="D1414" i="19"/>
  <c r="C1414" i="19"/>
  <c r="B1414" i="19"/>
  <c r="E1413" i="19"/>
  <c r="F1413" i="19" s="1"/>
  <c r="I1413" i="19" s="1"/>
  <c r="D1413" i="19"/>
  <c r="C1413" i="19"/>
  <c r="B1413" i="19"/>
  <c r="I1412" i="19"/>
  <c r="F1412" i="19"/>
  <c r="E1412" i="19"/>
  <c r="D1412" i="19"/>
  <c r="C1412" i="19"/>
  <c r="B1412" i="19"/>
  <c r="E1411" i="19"/>
  <c r="F1411" i="19" s="1"/>
  <c r="I1411" i="19" s="1"/>
  <c r="D1411" i="19"/>
  <c r="C1411" i="19"/>
  <c r="B1411" i="19"/>
  <c r="I1410" i="19"/>
  <c r="F1410" i="19"/>
  <c r="E1410" i="19"/>
  <c r="D1410" i="19"/>
  <c r="C1410" i="19"/>
  <c r="B1410" i="19"/>
  <c r="E1409" i="19"/>
  <c r="F1409" i="19" s="1"/>
  <c r="I1409" i="19" s="1"/>
  <c r="D1409" i="19"/>
  <c r="C1409" i="19"/>
  <c r="B1409" i="19"/>
  <c r="F1408" i="19"/>
  <c r="I1408" i="19" s="1"/>
  <c r="E1408" i="19"/>
  <c r="D1408" i="19"/>
  <c r="C1408" i="19"/>
  <c r="B1408" i="19"/>
  <c r="E1407" i="19"/>
  <c r="F1407" i="19" s="1"/>
  <c r="I1407" i="19" s="1"/>
  <c r="D1407" i="19"/>
  <c r="C1407" i="19"/>
  <c r="B1407" i="19"/>
  <c r="I1406" i="19"/>
  <c r="F1406" i="19"/>
  <c r="E1406" i="19"/>
  <c r="D1406" i="19"/>
  <c r="C1406" i="19"/>
  <c r="B1406" i="19"/>
  <c r="E1405" i="19"/>
  <c r="F1405" i="19" s="1"/>
  <c r="I1405" i="19" s="1"/>
  <c r="D1405" i="19"/>
  <c r="C1405" i="19"/>
  <c r="B1405" i="19"/>
  <c r="F1404" i="19"/>
  <c r="I1404" i="19" s="1"/>
  <c r="E1404" i="19"/>
  <c r="D1404" i="19"/>
  <c r="C1404" i="19"/>
  <c r="B1404" i="19"/>
  <c r="E1403" i="19"/>
  <c r="F1403" i="19" s="1"/>
  <c r="I1403" i="19" s="1"/>
  <c r="D1403" i="19"/>
  <c r="C1403" i="19"/>
  <c r="B1403" i="19"/>
  <c r="I1402" i="19"/>
  <c r="F1402" i="19"/>
  <c r="E1402" i="19"/>
  <c r="D1402" i="19"/>
  <c r="C1402" i="19"/>
  <c r="B1402" i="19"/>
  <c r="E1401" i="19"/>
  <c r="F1401" i="19" s="1"/>
  <c r="I1401" i="19" s="1"/>
  <c r="D1401" i="19"/>
  <c r="C1401" i="19"/>
  <c r="B1401" i="19"/>
  <c r="I1400" i="19"/>
  <c r="F1400" i="19"/>
  <c r="E1400" i="19"/>
  <c r="D1400" i="19"/>
  <c r="C1400" i="19"/>
  <c r="B1400" i="19"/>
  <c r="E1399" i="19"/>
  <c r="F1399" i="19" s="1"/>
  <c r="I1399" i="19" s="1"/>
  <c r="D1399" i="19"/>
  <c r="C1399" i="19"/>
  <c r="B1399" i="19"/>
  <c r="F1398" i="19"/>
  <c r="I1398" i="19" s="1"/>
  <c r="E1398" i="19"/>
  <c r="D1398" i="19"/>
  <c r="C1398" i="19"/>
  <c r="B1398" i="19"/>
  <c r="E1397" i="19"/>
  <c r="F1397" i="19" s="1"/>
  <c r="I1397" i="19" s="1"/>
  <c r="D1397" i="19"/>
  <c r="C1397" i="19"/>
  <c r="B1397" i="19"/>
  <c r="F1396" i="19"/>
  <c r="I1396" i="19" s="1"/>
  <c r="E1396" i="19"/>
  <c r="D1396" i="19"/>
  <c r="C1396" i="19"/>
  <c r="B1396" i="19"/>
  <c r="E1395" i="19"/>
  <c r="F1395" i="19" s="1"/>
  <c r="I1395" i="19" s="1"/>
  <c r="D1395" i="19"/>
  <c r="C1395" i="19"/>
  <c r="B1395" i="19"/>
  <c r="F1394" i="19"/>
  <c r="I1394" i="19" s="1"/>
  <c r="E1394" i="19"/>
  <c r="D1394" i="19"/>
  <c r="C1394" i="19"/>
  <c r="B1394" i="19"/>
  <c r="E1393" i="19"/>
  <c r="F1393" i="19" s="1"/>
  <c r="I1393" i="19" s="1"/>
  <c r="D1393" i="19"/>
  <c r="C1393" i="19"/>
  <c r="B1393" i="19"/>
  <c r="F1392" i="19"/>
  <c r="I1392" i="19" s="1"/>
  <c r="E1392" i="19"/>
  <c r="D1392" i="19"/>
  <c r="C1392" i="19"/>
  <c r="B1392" i="19"/>
  <c r="E1391" i="19"/>
  <c r="F1391" i="19" s="1"/>
  <c r="I1391" i="19" s="1"/>
  <c r="D1391" i="19"/>
  <c r="C1391" i="19"/>
  <c r="B1391" i="19"/>
  <c r="I1390" i="19"/>
  <c r="F1390" i="19"/>
  <c r="E1390" i="19"/>
  <c r="D1390" i="19"/>
  <c r="C1390" i="19"/>
  <c r="B1390" i="19"/>
  <c r="E1389" i="19"/>
  <c r="F1389" i="19" s="1"/>
  <c r="I1389" i="19" s="1"/>
  <c r="D1389" i="19"/>
  <c r="C1389" i="19"/>
  <c r="B1389" i="19"/>
  <c r="F1388" i="19"/>
  <c r="I1388" i="19" s="1"/>
  <c r="E1388" i="19"/>
  <c r="D1388" i="19"/>
  <c r="C1388" i="19"/>
  <c r="B1388" i="19"/>
  <c r="E1387" i="19"/>
  <c r="F1387" i="19" s="1"/>
  <c r="I1387" i="19" s="1"/>
  <c r="D1387" i="19"/>
  <c r="C1387" i="19"/>
  <c r="B1387" i="19"/>
  <c r="F1386" i="19"/>
  <c r="I1386" i="19" s="1"/>
  <c r="E1386" i="19"/>
  <c r="D1386" i="19"/>
  <c r="C1386" i="19"/>
  <c r="B1386" i="19"/>
  <c r="E1385" i="19"/>
  <c r="F1385" i="19" s="1"/>
  <c r="I1385" i="19" s="1"/>
  <c r="D1385" i="19"/>
  <c r="C1385" i="19"/>
  <c r="B1385" i="19"/>
  <c r="F1384" i="19"/>
  <c r="I1384" i="19" s="1"/>
  <c r="E1384" i="19"/>
  <c r="D1384" i="19"/>
  <c r="C1384" i="19"/>
  <c r="B1384" i="19"/>
  <c r="E1383" i="19"/>
  <c r="F1383" i="19" s="1"/>
  <c r="I1383" i="19" s="1"/>
  <c r="D1383" i="19"/>
  <c r="C1383" i="19"/>
  <c r="B1383" i="19"/>
  <c r="F1382" i="19"/>
  <c r="I1382" i="19" s="1"/>
  <c r="E1382" i="19"/>
  <c r="D1382" i="19"/>
  <c r="C1382" i="19"/>
  <c r="B1382" i="19"/>
  <c r="E1381" i="19"/>
  <c r="F1381" i="19" s="1"/>
  <c r="I1381" i="19" s="1"/>
  <c r="D1381" i="19"/>
  <c r="C1381" i="19"/>
  <c r="B1381" i="19"/>
  <c r="F1380" i="19"/>
  <c r="I1380" i="19" s="1"/>
  <c r="E1380" i="19"/>
  <c r="D1380" i="19"/>
  <c r="C1380" i="19"/>
  <c r="B1380" i="19"/>
  <c r="E1379" i="19"/>
  <c r="F1379" i="19" s="1"/>
  <c r="I1379" i="19" s="1"/>
  <c r="D1379" i="19"/>
  <c r="C1379" i="19"/>
  <c r="B1379" i="19"/>
  <c r="F1378" i="19"/>
  <c r="I1378" i="19" s="1"/>
  <c r="E1378" i="19"/>
  <c r="D1378" i="19"/>
  <c r="C1378" i="19"/>
  <c r="B1378" i="19"/>
  <c r="E1377" i="19"/>
  <c r="F1377" i="19" s="1"/>
  <c r="I1377" i="19" s="1"/>
  <c r="D1377" i="19"/>
  <c r="C1377" i="19"/>
  <c r="B1377" i="19"/>
  <c r="F1376" i="19"/>
  <c r="I1376" i="19" s="1"/>
  <c r="E1376" i="19"/>
  <c r="D1376" i="19"/>
  <c r="C1376" i="19"/>
  <c r="B1376" i="19"/>
  <c r="E1375" i="19"/>
  <c r="F1375" i="19" s="1"/>
  <c r="I1375" i="19" s="1"/>
  <c r="D1375" i="19"/>
  <c r="C1375" i="19"/>
  <c r="B1375" i="19"/>
  <c r="I1374" i="19"/>
  <c r="F1374" i="19"/>
  <c r="E1374" i="19"/>
  <c r="D1374" i="19"/>
  <c r="C1374" i="19"/>
  <c r="B1374" i="19"/>
  <c r="E1373" i="19"/>
  <c r="F1373" i="19" s="1"/>
  <c r="I1373" i="19" s="1"/>
  <c r="D1373" i="19"/>
  <c r="C1373" i="19"/>
  <c r="B1373" i="19"/>
  <c r="F1372" i="19"/>
  <c r="I1372" i="19" s="1"/>
  <c r="E1372" i="19"/>
  <c r="D1372" i="19"/>
  <c r="C1372" i="19"/>
  <c r="B1372" i="19"/>
  <c r="E1371" i="19"/>
  <c r="F1371" i="19" s="1"/>
  <c r="I1371" i="19" s="1"/>
  <c r="D1371" i="19"/>
  <c r="C1371" i="19"/>
  <c r="B1371" i="19"/>
  <c r="F1370" i="19"/>
  <c r="I1370" i="19" s="1"/>
  <c r="E1370" i="19"/>
  <c r="D1370" i="19"/>
  <c r="C1370" i="19"/>
  <c r="B1370" i="19"/>
  <c r="E1369" i="19"/>
  <c r="F1369" i="19" s="1"/>
  <c r="I1369" i="19" s="1"/>
  <c r="D1369" i="19"/>
  <c r="C1369" i="19"/>
  <c r="B1369" i="19"/>
  <c r="F1368" i="19"/>
  <c r="I1368" i="19" s="1"/>
  <c r="E1368" i="19"/>
  <c r="D1368" i="19"/>
  <c r="C1368" i="19"/>
  <c r="B1368" i="19"/>
  <c r="E1367" i="19"/>
  <c r="F1367" i="19" s="1"/>
  <c r="I1367" i="19" s="1"/>
  <c r="D1367" i="19"/>
  <c r="C1367" i="19"/>
  <c r="B1367" i="19"/>
  <c r="F1366" i="19"/>
  <c r="I1366" i="19" s="1"/>
  <c r="E1366" i="19"/>
  <c r="D1366" i="19"/>
  <c r="C1366" i="19"/>
  <c r="B1366" i="19"/>
  <c r="E1365" i="19"/>
  <c r="F1365" i="19" s="1"/>
  <c r="I1365" i="19" s="1"/>
  <c r="D1365" i="19"/>
  <c r="C1365" i="19"/>
  <c r="B1365" i="19"/>
  <c r="I1364" i="19"/>
  <c r="F1364" i="19"/>
  <c r="E1364" i="19"/>
  <c r="D1364" i="19"/>
  <c r="C1364" i="19"/>
  <c r="B1364" i="19"/>
  <c r="E1363" i="19"/>
  <c r="F1363" i="19" s="1"/>
  <c r="I1363" i="19" s="1"/>
  <c r="D1363" i="19"/>
  <c r="C1363" i="19"/>
  <c r="B1363" i="19"/>
  <c r="I1362" i="19"/>
  <c r="F1362" i="19"/>
  <c r="E1362" i="19"/>
  <c r="D1362" i="19"/>
  <c r="C1362" i="19"/>
  <c r="B1362" i="19"/>
  <c r="E1361" i="19"/>
  <c r="F1361" i="19" s="1"/>
  <c r="I1361" i="19" s="1"/>
  <c r="D1361" i="19"/>
  <c r="C1361" i="19"/>
  <c r="B1361" i="19"/>
  <c r="F1360" i="19"/>
  <c r="I1360" i="19" s="1"/>
  <c r="E1360" i="19"/>
  <c r="D1360" i="19"/>
  <c r="C1360" i="19"/>
  <c r="B1360" i="19"/>
  <c r="E1359" i="19"/>
  <c r="F1359" i="19" s="1"/>
  <c r="I1359" i="19" s="1"/>
  <c r="D1359" i="19"/>
  <c r="C1359" i="19"/>
  <c r="B1359" i="19"/>
  <c r="I1358" i="19"/>
  <c r="F1358" i="19"/>
  <c r="E1358" i="19"/>
  <c r="D1358" i="19"/>
  <c r="C1358" i="19"/>
  <c r="B1358" i="19"/>
  <c r="E1357" i="19"/>
  <c r="F1357" i="19" s="1"/>
  <c r="I1357" i="19" s="1"/>
  <c r="D1357" i="19"/>
  <c r="C1357" i="19"/>
  <c r="B1357" i="19"/>
  <c r="F1356" i="19"/>
  <c r="I1356" i="19" s="1"/>
  <c r="E1356" i="19"/>
  <c r="D1356" i="19"/>
  <c r="C1356" i="19"/>
  <c r="B1356" i="19"/>
  <c r="E1355" i="19"/>
  <c r="F1355" i="19" s="1"/>
  <c r="I1355" i="19" s="1"/>
  <c r="D1355" i="19"/>
  <c r="C1355" i="19"/>
  <c r="B1355" i="19"/>
  <c r="I1354" i="19"/>
  <c r="F1354" i="19"/>
  <c r="E1354" i="19"/>
  <c r="D1354" i="19"/>
  <c r="C1354" i="19"/>
  <c r="B1354" i="19"/>
  <c r="E1353" i="19"/>
  <c r="F1353" i="19" s="1"/>
  <c r="I1353" i="19" s="1"/>
  <c r="D1353" i="19"/>
  <c r="C1353" i="19"/>
  <c r="B1353" i="19"/>
  <c r="F1352" i="19"/>
  <c r="I1352" i="19" s="1"/>
  <c r="E1352" i="19"/>
  <c r="D1352" i="19"/>
  <c r="C1352" i="19"/>
  <c r="B1352" i="19"/>
  <c r="E1351" i="19"/>
  <c r="F1351" i="19" s="1"/>
  <c r="I1351" i="19" s="1"/>
  <c r="D1351" i="19"/>
  <c r="C1351" i="19"/>
  <c r="B1351" i="19"/>
  <c r="I1350" i="19"/>
  <c r="F1350" i="19"/>
  <c r="E1350" i="19"/>
  <c r="D1350" i="19"/>
  <c r="C1350" i="19"/>
  <c r="B1350" i="19"/>
  <c r="E1349" i="19"/>
  <c r="F1349" i="19" s="1"/>
  <c r="I1349" i="19" s="1"/>
  <c r="D1349" i="19"/>
  <c r="C1349" i="19"/>
  <c r="B1349" i="19"/>
  <c r="F1348" i="19"/>
  <c r="I1348" i="19" s="1"/>
  <c r="E1348" i="19"/>
  <c r="D1348" i="19"/>
  <c r="C1348" i="19"/>
  <c r="B1348" i="19"/>
  <c r="E1347" i="19"/>
  <c r="F1347" i="19" s="1"/>
  <c r="I1347" i="19" s="1"/>
  <c r="D1347" i="19"/>
  <c r="C1347" i="19"/>
  <c r="B1347" i="19"/>
  <c r="I1346" i="19"/>
  <c r="F1346" i="19"/>
  <c r="E1346" i="19"/>
  <c r="D1346" i="19"/>
  <c r="C1346" i="19"/>
  <c r="B1346" i="19"/>
  <c r="E1345" i="19"/>
  <c r="F1345" i="19" s="1"/>
  <c r="I1345" i="19" s="1"/>
  <c r="D1345" i="19"/>
  <c r="C1345" i="19"/>
  <c r="B1345" i="19"/>
  <c r="F1344" i="19"/>
  <c r="I1344" i="19" s="1"/>
  <c r="E1344" i="19"/>
  <c r="D1344" i="19"/>
  <c r="C1344" i="19"/>
  <c r="B1344" i="19"/>
  <c r="E1343" i="19"/>
  <c r="F1343" i="19" s="1"/>
  <c r="I1343" i="19" s="1"/>
  <c r="D1343" i="19"/>
  <c r="C1343" i="19"/>
  <c r="B1343" i="19"/>
  <c r="F1342" i="19"/>
  <c r="I1342" i="19" s="1"/>
  <c r="E1342" i="19"/>
  <c r="D1342" i="19"/>
  <c r="C1342" i="19"/>
  <c r="B1342" i="19"/>
  <c r="E1341" i="19"/>
  <c r="F1341" i="19" s="1"/>
  <c r="I1341" i="19" s="1"/>
  <c r="D1341" i="19"/>
  <c r="C1341" i="19"/>
  <c r="B1341" i="19"/>
  <c r="I1340" i="19"/>
  <c r="F1340" i="19"/>
  <c r="E1340" i="19"/>
  <c r="D1340" i="19"/>
  <c r="C1340" i="19"/>
  <c r="B1340" i="19"/>
  <c r="E1339" i="19"/>
  <c r="F1339" i="19" s="1"/>
  <c r="I1339" i="19" s="1"/>
  <c r="D1339" i="19"/>
  <c r="C1339" i="19"/>
  <c r="B1339" i="19"/>
  <c r="I1338" i="19"/>
  <c r="F1338" i="19"/>
  <c r="E1338" i="19"/>
  <c r="D1338" i="19"/>
  <c r="C1338" i="19"/>
  <c r="B1338" i="19"/>
  <c r="E1337" i="19"/>
  <c r="F1337" i="19" s="1"/>
  <c r="I1337" i="19" s="1"/>
  <c r="D1337" i="19"/>
  <c r="C1337" i="19"/>
  <c r="B1337" i="19"/>
  <c r="F1336" i="19"/>
  <c r="I1336" i="19" s="1"/>
  <c r="E1336" i="19"/>
  <c r="D1336" i="19"/>
  <c r="C1336" i="19"/>
  <c r="B1336" i="19"/>
  <c r="E1335" i="19"/>
  <c r="F1335" i="19" s="1"/>
  <c r="I1335" i="19" s="1"/>
  <c r="D1335" i="19"/>
  <c r="C1335" i="19"/>
  <c r="B1335" i="19"/>
  <c r="I1334" i="19"/>
  <c r="F1334" i="19"/>
  <c r="E1334" i="19"/>
  <c r="D1334" i="19"/>
  <c r="C1334" i="19"/>
  <c r="B1334" i="19"/>
  <c r="E1333" i="19"/>
  <c r="F1333" i="19" s="1"/>
  <c r="I1333" i="19" s="1"/>
  <c r="D1333" i="19"/>
  <c r="C1333" i="19"/>
  <c r="B1333" i="19"/>
  <c r="F1332" i="19"/>
  <c r="I1332" i="19" s="1"/>
  <c r="E1332" i="19"/>
  <c r="D1332" i="19"/>
  <c r="C1332" i="19"/>
  <c r="B1332" i="19"/>
  <c r="E1331" i="19"/>
  <c r="F1331" i="19" s="1"/>
  <c r="I1331" i="19" s="1"/>
  <c r="D1331" i="19"/>
  <c r="C1331" i="19"/>
  <c r="B1331" i="19"/>
  <c r="I1330" i="19"/>
  <c r="F1330" i="19"/>
  <c r="E1330" i="19"/>
  <c r="D1330" i="19"/>
  <c r="C1330" i="19"/>
  <c r="B1330" i="19"/>
  <c r="E1329" i="19"/>
  <c r="F1329" i="19" s="1"/>
  <c r="I1329" i="19" s="1"/>
  <c r="D1329" i="19"/>
  <c r="C1329" i="19"/>
  <c r="B1329" i="19"/>
  <c r="I1328" i="19"/>
  <c r="F1328" i="19"/>
  <c r="E1328" i="19"/>
  <c r="D1328" i="19"/>
  <c r="C1328" i="19"/>
  <c r="B1328" i="19"/>
  <c r="E1327" i="19"/>
  <c r="F1327" i="19" s="1"/>
  <c r="I1327" i="19" s="1"/>
  <c r="D1327" i="19"/>
  <c r="C1327" i="19"/>
  <c r="B1327" i="19"/>
  <c r="F1326" i="19"/>
  <c r="I1326" i="19" s="1"/>
  <c r="E1326" i="19"/>
  <c r="D1326" i="19"/>
  <c r="C1326" i="19"/>
  <c r="B1326" i="19"/>
  <c r="E1325" i="19"/>
  <c r="F1325" i="19" s="1"/>
  <c r="I1325" i="19" s="1"/>
  <c r="D1325" i="19"/>
  <c r="C1325" i="19"/>
  <c r="B1325" i="19"/>
  <c r="F1324" i="19"/>
  <c r="I1324" i="19" s="1"/>
  <c r="E1324" i="19"/>
  <c r="D1324" i="19"/>
  <c r="C1324" i="19"/>
  <c r="B1324" i="19"/>
  <c r="E1323" i="19"/>
  <c r="F1323" i="19" s="1"/>
  <c r="I1323" i="19" s="1"/>
  <c r="D1323" i="19"/>
  <c r="C1323" i="19"/>
  <c r="B1323" i="19"/>
  <c r="F1322" i="19"/>
  <c r="I1322" i="19" s="1"/>
  <c r="E1322" i="19"/>
  <c r="D1322" i="19"/>
  <c r="C1322" i="19"/>
  <c r="B1322" i="19"/>
  <c r="E1321" i="19"/>
  <c r="F1321" i="19" s="1"/>
  <c r="I1321" i="19" s="1"/>
  <c r="D1321" i="19"/>
  <c r="C1321" i="19"/>
  <c r="B1321" i="19"/>
  <c r="F1320" i="19"/>
  <c r="I1320" i="19" s="1"/>
  <c r="E1320" i="19"/>
  <c r="D1320" i="19"/>
  <c r="C1320" i="19"/>
  <c r="B1320" i="19"/>
  <c r="E1319" i="19"/>
  <c r="F1319" i="19" s="1"/>
  <c r="I1319" i="19" s="1"/>
  <c r="D1319" i="19"/>
  <c r="C1319" i="19"/>
  <c r="B1319" i="19"/>
  <c r="I1318" i="19"/>
  <c r="F1318" i="19"/>
  <c r="E1318" i="19"/>
  <c r="D1318" i="19"/>
  <c r="C1318" i="19"/>
  <c r="B1318" i="19"/>
  <c r="E1317" i="19"/>
  <c r="F1317" i="19" s="1"/>
  <c r="I1317" i="19" s="1"/>
  <c r="D1317" i="19"/>
  <c r="C1317" i="19"/>
  <c r="B1317" i="19"/>
  <c r="F1316" i="19"/>
  <c r="I1316" i="19" s="1"/>
  <c r="E1316" i="19"/>
  <c r="D1316" i="19"/>
  <c r="C1316" i="19"/>
  <c r="B1316" i="19"/>
  <c r="E1315" i="19"/>
  <c r="F1315" i="19" s="1"/>
  <c r="I1315" i="19" s="1"/>
  <c r="D1315" i="19"/>
  <c r="C1315" i="19"/>
  <c r="B1315" i="19"/>
  <c r="F1314" i="19"/>
  <c r="I1314" i="19" s="1"/>
  <c r="E1314" i="19"/>
  <c r="D1314" i="19"/>
  <c r="C1314" i="19"/>
  <c r="B1314" i="19"/>
  <c r="E1313" i="19"/>
  <c r="F1313" i="19" s="1"/>
  <c r="I1313" i="19" s="1"/>
  <c r="D1313" i="19"/>
  <c r="C1313" i="19"/>
  <c r="B1313" i="19"/>
  <c r="F1312" i="19"/>
  <c r="I1312" i="19" s="1"/>
  <c r="E1312" i="19"/>
  <c r="D1312" i="19"/>
  <c r="C1312" i="19"/>
  <c r="B1312" i="19"/>
  <c r="E1311" i="19"/>
  <c r="F1311" i="19" s="1"/>
  <c r="I1311" i="19" s="1"/>
  <c r="D1311" i="19"/>
  <c r="C1311" i="19"/>
  <c r="B1311" i="19"/>
  <c r="F1310" i="19"/>
  <c r="I1310" i="19" s="1"/>
  <c r="E1310" i="19"/>
  <c r="D1310" i="19"/>
  <c r="C1310" i="19"/>
  <c r="B1310" i="19"/>
  <c r="E1309" i="19"/>
  <c r="F1309" i="19" s="1"/>
  <c r="I1309" i="19" s="1"/>
  <c r="D1309" i="19"/>
  <c r="C1309" i="19"/>
  <c r="B1309" i="19"/>
  <c r="F1308" i="19"/>
  <c r="I1308" i="19" s="1"/>
  <c r="E1308" i="19"/>
  <c r="D1308" i="19"/>
  <c r="C1308" i="19"/>
  <c r="B1308" i="19"/>
  <c r="E1307" i="19"/>
  <c r="F1307" i="19" s="1"/>
  <c r="I1307" i="19" s="1"/>
  <c r="D1307" i="19"/>
  <c r="C1307" i="19"/>
  <c r="B1307" i="19"/>
  <c r="F1306" i="19"/>
  <c r="I1306" i="19" s="1"/>
  <c r="E1306" i="19"/>
  <c r="D1306" i="19"/>
  <c r="C1306" i="19"/>
  <c r="B1306" i="19"/>
  <c r="E1305" i="19"/>
  <c r="F1305" i="19" s="1"/>
  <c r="I1305" i="19" s="1"/>
  <c r="D1305" i="19"/>
  <c r="C1305" i="19"/>
  <c r="B1305" i="19"/>
  <c r="F1304" i="19"/>
  <c r="I1304" i="19" s="1"/>
  <c r="E1304" i="19"/>
  <c r="D1304" i="19"/>
  <c r="C1304" i="19"/>
  <c r="B1304" i="19"/>
  <c r="E1303" i="19"/>
  <c r="F1303" i="19" s="1"/>
  <c r="I1303" i="19" s="1"/>
  <c r="D1303" i="19"/>
  <c r="C1303" i="19"/>
  <c r="B1303" i="19"/>
  <c r="I1302" i="19"/>
  <c r="F1302" i="19"/>
  <c r="E1302" i="19"/>
  <c r="D1302" i="19"/>
  <c r="C1302" i="19"/>
  <c r="B1302" i="19"/>
  <c r="E1301" i="19"/>
  <c r="F1301" i="19" s="1"/>
  <c r="I1301" i="19" s="1"/>
  <c r="D1301" i="19"/>
  <c r="C1301" i="19"/>
  <c r="B1301" i="19"/>
  <c r="F1300" i="19"/>
  <c r="I1300" i="19" s="1"/>
  <c r="E1300" i="19"/>
  <c r="D1300" i="19"/>
  <c r="C1300" i="19"/>
  <c r="B1300" i="19"/>
  <c r="E1299" i="19"/>
  <c r="F1299" i="19" s="1"/>
  <c r="I1299" i="19" s="1"/>
  <c r="D1299" i="19"/>
  <c r="C1299" i="19"/>
  <c r="B1299" i="19"/>
  <c r="F1298" i="19"/>
  <c r="I1298" i="19" s="1"/>
  <c r="E1298" i="19"/>
  <c r="D1298" i="19"/>
  <c r="C1298" i="19"/>
  <c r="B1298" i="19"/>
  <c r="E1297" i="19"/>
  <c r="F1297" i="19" s="1"/>
  <c r="I1297" i="19" s="1"/>
  <c r="D1297" i="19"/>
  <c r="C1297" i="19"/>
  <c r="B1297" i="19"/>
  <c r="F1296" i="19"/>
  <c r="I1296" i="19" s="1"/>
  <c r="E1296" i="19"/>
  <c r="D1296" i="19"/>
  <c r="C1296" i="19"/>
  <c r="B1296" i="19"/>
  <c r="E1295" i="19"/>
  <c r="F1295" i="19" s="1"/>
  <c r="I1295" i="19" s="1"/>
  <c r="D1295" i="19"/>
  <c r="C1295" i="19"/>
  <c r="B1295" i="19"/>
  <c r="F1294" i="19"/>
  <c r="I1294" i="19" s="1"/>
  <c r="E1294" i="19"/>
  <c r="D1294" i="19"/>
  <c r="C1294" i="19"/>
  <c r="B1294" i="19"/>
  <c r="E1293" i="19"/>
  <c r="F1293" i="19" s="1"/>
  <c r="I1293" i="19" s="1"/>
  <c r="D1293" i="19"/>
  <c r="C1293" i="19"/>
  <c r="B1293" i="19"/>
  <c r="I1292" i="19"/>
  <c r="F1292" i="19"/>
  <c r="E1292" i="19"/>
  <c r="D1292" i="19"/>
  <c r="C1292" i="19"/>
  <c r="B1292" i="19"/>
  <c r="E1291" i="19"/>
  <c r="F1291" i="19" s="1"/>
  <c r="I1291" i="19" s="1"/>
  <c r="D1291" i="19"/>
  <c r="C1291" i="19"/>
  <c r="B1291" i="19"/>
  <c r="I1290" i="19"/>
  <c r="F1290" i="19"/>
  <c r="E1290" i="19"/>
  <c r="D1290" i="19"/>
  <c r="C1290" i="19"/>
  <c r="B1290" i="19"/>
  <c r="E1289" i="19"/>
  <c r="F1289" i="19" s="1"/>
  <c r="I1289" i="19" s="1"/>
  <c r="D1289" i="19"/>
  <c r="C1289" i="19"/>
  <c r="B1289" i="19"/>
  <c r="F1288" i="19"/>
  <c r="I1288" i="19" s="1"/>
  <c r="E1288" i="19"/>
  <c r="D1288" i="19"/>
  <c r="C1288" i="19"/>
  <c r="B1288" i="19"/>
  <c r="E1287" i="19"/>
  <c r="F1287" i="19" s="1"/>
  <c r="I1287" i="19" s="1"/>
  <c r="D1287" i="19"/>
  <c r="C1287" i="19"/>
  <c r="B1287" i="19"/>
  <c r="I1286" i="19"/>
  <c r="F1286" i="19"/>
  <c r="E1286" i="19"/>
  <c r="D1286" i="19"/>
  <c r="C1286" i="19"/>
  <c r="B1286" i="19"/>
  <c r="E1285" i="19"/>
  <c r="F1285" i="19" s="1"/>
  <c r="I1285" i="19" s="1"/>
  <c r="D1285" i="19"/>
  <c r="C1285" i="19"/>
  <c r="B1285" i="19"/>
  <c r="F1284" i="19"/>
  <c r="I1284" i="19" s="1"/>
  <c r="E1284" i="19"/>
  <c r="D1284" i="19"/>
  <c r="C1284" i="19"/>
  <c r="B1284" i="19"/>
  <c r="E1283" i="19"/>
  <c r="F1283" i="19" s="1"/>
  <c r="I1283" i="19" s="1"/>
  <c r="D1283" i="19"/>
  <c r="C1283" i="19"/>
  <c r="B1283" i="19"/>
  <c r="I1282" i="19"/>
  <c r="F1282" i="19"/>
  <c r="E1282" i="19"/>
  <c r="D1282" i="19"/>
  <c r="C1282" i="19"/>
  <c r="B1282" i="19"/>
  <c r="E1281" i="19"/>
  <c r="F1281" i="19" s="1"/>
  <c r="I1281" i="19" s="1"/>
  <c r="D1281" i="19"/>
  <c r="C1281" i="19"/>
  <c r="B1281" i="19"/>
  <c r="E1280" i="19"/>
  <c r="F1280" i="19" s="1"/>
  <c r="I1280" i="19" s="1"/>
  <c r="D1280" i="19"/>
  <c r="C1280" i="19"/>
  <c r="B1280" i="19"/>
  <c r="E1279" i="19"/>
  <c r="F1279" i="19" s="1"/>
  <c r="I1279" i="19" s="1"/>
  <c r="D1279" i="19"/>
  <c r="C1279" i="19"/>
  <c r="B1279" i="19"/>
  <c r="E1278" i="19"/>
  <c r="F1278" i="19" s="1"/>
  <c r="I1278" i="19" s="1"/>
  <c r="D1278" i="19"/>
  <c r="C1278" i="19"/>
  <c r="B1278" i="19"/>
  <c r="E1277" i="19"/>
  <c r="F1277" i="19" s="1"/>
  <c r="I1277" i="19" s="1"/>
  <c r="D1277" i="19"/>
  <c r="C1277" i="19"/>
  <c r="B1277" i="19"/>
  <c r="F1276" i="19"/>
  <c r="I1276" i="19" s="1"/>
  <c r="E1276" i="19"/>
  <c r="D1276" i="19"/>
  <c r="C1276" i="19"/>
  <c r="B1276" i="19"/>
  <c r="E1275" i="19"/>
  <c r="F1275" i="19" s="1"/>
  <c r="I1275" i="19" s="1"/>
  <c r="D1275" i="19"/>
  <c r="C1275" i="19"/>
  <c r="B1275" i="19"/>
  <c r="E1274" i="19"/>
  <c r="F1274" i="19" s="1"/>
  <c r="I1274" i="19" s="1"/>
  <c r="D1274" i="19"/>
  <c r="C1274" i="19"/>
  <c r="B1274" i="19"/>
  <c r="E1273" i="19"/>
  <c r="F1273" i="19" s="1"/>
  <c r="I1273" i="19" s="1"/>
  <c r="D1273" i="19"/>
  <c r="C1273" i="19"/>
  <c r="B1273" i="19"/>
  <c r="E1272" i="19"/>
  <c r="F1272" i="19" s="1"/>
  <c r="I1272" i="19" s="1"/>
  <c r="D1272" i="19"/>
  <c r="C1272" i="19"/>
  <c r="B1272" i="19"/>
  <c r="E1271" i="19"/>
  <c r="F1271" i="19" s="1"/>
  <c r="I1271" i="19" s="1"/>
  <c r="D1271" i="19"/>
  <c r="C1271" i="19"/>
  <c r="B1271" i="19"/>
  <c r="E1270" i="19"/>
  <c r="F1270" i="19" s="1"/>
  <c r="I1270" i="19" s="1"/>
  <c r="D1270" i="19"/>
  <c r="C1270" i="19"/>
  <c r="B1270" i="19"/>
  <c r="E1269" i="19"/>
  <c r="F1269" i="19" s="1"/>
  <c r="I1269" i="19" s="1"/>
  <c r="D1269" i="19"/>
  <c r="C1269" i="19"/>
  <c r="B1269" i="19"/>
  <c r="E1268" i="19"/>
  <c r="F1268" i="19" s="1"/>
  <c r="I1268" i="19" s="1"/>
  <c r="D1268" i="19"/>
  <c r="C1268" i="19"/>
  <c r="B1268" i="19"/>
  <c r="E1267" i="19"/>
  <c r="F1267" i="19" s="1"/>
  <c r="I1267" i="19" s="1"/>
  <c r="D1267" i="19"/>
  <c r="C1267" i="19"/>
  <c r="B1267" i="19"/>
  <c r="E1266" i="19"/>
  <c r="F1266" i="19" s="1"/>
  <c r="I1266" i="19" s="1"/>
  <c r="D1266" i="19"/>
  <c r="C1266" i="19"/>
  <c r="B1266" i="19"/>
  <c r="E1265" i="19"/>
  <c r="F1265" i="19" s="1"/>
  <c r="I1265" i="19" s="1"/>
  <c r="D1265" i="19"/>
  <c r="C1265" i="19"/>
  <c r="B1265" i="19"/>
  <c r="E1264" i="19"/>
  <c r="F1264" i="19" s="1"/>
  <c r="I1264" i="19" s="1"/>
  <c r="D1264" i="19"/>
  <c r="C1264" i="19"/>
  <c r="B1264" i="19"/>
  <c r="E1263" i="19"/>
  <c r="F1263" i="19" s="1"/>
  <c r="I1263" i="19" s="1"/>
  <c r="D1263" i="19"/>
  <c r="C1263" i="19"/>
  <c r="B1263" i="19"/>
  <c r="E1262" i="19"/>
  <c r="F1262" i="19" s="1"/>
  <c r="I1262" i="19" s="1"/>
  <c r="D1262" i="19"/>
  <c r="C1262" i="19"/>
  <c r="B1262" i="19"/>
  <c r="E1261" i="19"/>
  <c r="F1261" i="19" s="1"/>
  <c r="I1261" i="19" s="1"/>
  <c r="D1261" i="19"/>
  <c r="C1261" i="19"/>
  <c r="B1261" i="19"/>
  <c r="E1260" i="19"/>
  <c r="F1260" i="19" s="1"/>
  <c r="I1260" i="19" s="1"/>
  <c r="D1260" i="19"/>
  <c r="C1260" i="19"/>
  <c r="B1260" i="19"/>
  <c r="E1259" i="19"/>
  <c r="F1259" i="19" s="1"/>
  <c r="I1259" i="19" s="1"/>
  <c r="D1259" i="19"/>
  <c r="C1259" i="19"/>
  <c r="B1259" i="19"/>
  <c r="E1258" i="19"/>
  <c r="F1258" i="19" s="1"/>
  <c r="I1258" i="19" s="1"/>
  <c r="D1258" i="19"/>
  <c r="C1258" i="19"/>
  <c r="B1258" i="19"/>
  <c r="E1257" i="19"/>
  <c r="F1257" i="19" s="1"/>
  <c r="I1257" i="19" s="1"/>
  <c r="D1257" i="19"/>
  <c r="C1257" i="19"/>
  <c r="B1257" i="19"/>
  <c r="I1256" i="19"/>
  <c r="E1256" i="19"/>
  <c r="F1256" i="19" s="1"/>
  <c r="D1256" i="19"/>
  <c r="C1256" i="19"/>
  <c r="B1256" i="19"/>
  <c r="E1255" i="19"/>
  <c r="F1255" i="19" s="1"/>
  <c r="I1255" i="19" s="1"/>
  <c r="D1255" i="19"/>
  <c r="C1255" i="19"/>
  <c r="B1255" i="19"/>
  <c r="E1254" i="19"/>
  <c r="F1254" i="19" s="1"/>
  <c r="I1254" i="19" s="1"/>
  <c r="D1254" i="19"/>
  <c r="C1254" i="19"/>
  <c r="B1254" i="19"/>
  <c r="E1253" i="19"/>
  <c r="F1253" i="19" s="1"/>
  <c r="I1253" i="19" s="1"/>
  <c r="D1253" i="19"/>
  <c r="C1253" i="19"/>
  <c r="B1253" i="19"/>
  <c r="E1252" i="19"/>
  <c r="F1252" i="19" s="1"/>
  <c r="I1252" i="19" s="1"/>
  <c r="D1252" i="19"/>
  <c r="C1252" i="19"/>
  <c r="B1252" i="19"/>
  <c r="E1251" i="19"/>
  <c r="F1251" i="19" s="1"/>
  <c r="I1251" i="19" s="1"/>
  <c r="D1251" i="19"/>
  <c r="C1251" i="19"/>
  <c r="B1251" i="19"/>
  <c r="E1250" i="19"/>
  <c r="F1250" i="19" s="1"/>
  <c r="I1250" i="19" s="1"/>
  <c r="D1250" i="19"/>
  <c r="C1250" i="19"/>
  <c r="B1250" i="19"/>
  <c r="E1249" i="19"/>
  <c r="F1249" i="19" s="1"/>
  <c r="I1249" i="19" s="1"/>
  <c r="D1249" i="19"/>
  <c r="C1249" i="19"/>
  <c r="B1249" i="19"/>
  <c r="E1248" i="19"/>
  <c r="F1248" i="19" s="1"/>
  <c r="I1248" i="19" s="1"/>
  <c r="D1248" i="19"/>
  <c r="C1248" i="19"/>
  <c r="B1248" i="19"/>
  <c r="E1247" i="19"/>
  <c r="F1247" i="19" s="1"/>
  <c r="I1247" i="19" s="1"/>
  <c r="D1247" i="19"/>
  <c r="C1247" i="19"/>
  <c r="B1247" i="19"/>
  <c r="I1246" i="19"/>
  <c r="E1246" i="19"/>
  <c r="F1246" i="19" s="1"/>
  <c r="D1246" i="19"/>
  <c r="C1246" i="19"/>
  <c r="B1246" i="19"/>
  <c r="E1245" i="19"/>
  <c r="F1245" i="19" s="1"/>
  <c r="I1245" i="19" s="1"/>
  <c r="D1245" i="19"/>
  <c r="C1245" i="19"/>
  <c r="B1245" i="19"/>
  <c r="E1244" i="19"/>
  <c r="F1244" i="19" s="1"/>
  <c r="I1244" i="19" s="1"/>
  <c r="D1244" i="19"/>
  <c r="C1244" i="19"/>
  <c r="B1244" i="19"/>
  <c r="E1243" i="19"/>
  <c r="F1243" i="19" s="1"/>
  <c r="I1243" i="19" s="1"/>
  <c r="D1243" i="19"/>
  <c r="C1243" i="19"/>
  <c r="B1243" i="19"/>
  <c r="I1242" i="19"/>
  <c r="E1242" i="19"/>
  <c r="F1242" i="19" s="1"/>
  <c r="D1242" i="19"/>
  <c r="C1242" i="19"/>
  <c r="B1242" i="19"/>
  <c r="E1241" i="19"/>
  <c r="F1241" i="19" s="1"/>
  <c r="I1241" i="19" s="1"/>
  <c r="D1241" i="19"/>
  <c r="C1241" i="19"/>
  <c r="B1241" i="19"/>
  <c r="E1240" i="19"/>
  <c r="F1240" i="19" s="1"/>
  <c r="I1240" i="19" s="1"/>
  <c r="D1240" i="19"/>
  <c r="C1240" i="19"/>
  <c r="B1240" i="19"/>
  <c r="E1239" i="19"/>
  <c r="F1239" i="19" s="1"/>
  <c r="I1239" i="19" s="1"/>
  <c r="D1239" i="19"/>
  <c r="C1239" i="19"/>
  <c r="B1239" i="19"/>
  <c r="I1238" i="19"/>
  <c r="E1238" i="19"/>
  <c r="F1238" i="19" s="1"/>
  <c r="D1238" i="19"/>
  <c r="C1238" i="19"/>
  <c r="B1238" i="19"/>
  <c r="E1237" i="19"/>
  <c r="F1237" i="19" s="1"/>
  <c r="I1237" i="19" s="1"/>
  <c r="D1237" i="19"/>
  <c r="C1237" i="19"/>
  <c r="B1237" i="19"/>
  <c r="E1236" i="19"/>
  <c r="F1236" i="19" s="1"/>
  <c r="I1236" i="19" s="1"/>
  <c r="D1236" i="19"/>
  <c r="C1236" i="19"/>
  <c r="B1236" i="19"/>
  <c r="E1235" i="19"/>
  <c r="F1235" i="19" s="1"/>
  <c r="I1235" i="19" s="1"/>
  <c r="D1235" i="19"/>
  <c r="C1235" i="19"/>
  <c r="B1235" i="19"/>
  <c r="E1234" i="19"/>
  <c r="F1234" i="19" s="1"/>
  <c r="I1234" i="19" s="1"/>
  <c r="D1234" i="19"/>
  <c r="C1234" i="19"/>
  <c r="B1234" i="19"/>
  <c r="E1233" i="19"/>
  <c r="F1233" i="19" s="1"/>
  <c r="I1233" i="19" s="1"/>
  <c r="D1233" i="19"/>
  <c r="C1233" i="19"/>
  <c r="B1233" i="19"/>
  <c r="E1232" i="19"/>
  <c r="F1232" i="19" s="1"/>
  <c r="I1232" i="19" s="1"/>
  <c r="D1232" i="19"/>
  <c r="C1232" i="19"/>
  <c r="B1232" i="19"/>
  <c r="E1231" i="19"/>
  <c r="F1231" i="19" s="1"/>
  <c r="I1231" i="19" s="1"/>
  <c r="D1231" i="19"/>
  <c r="C1231" i="19"/>
  <c r="B1231" i="19"/>
  <c r="E1230" i="19"/>
  <c r="F1230" i="19" s="1"/>
  <c r="I1230" i="19" s="1"/>
  <c r="D1230" i="19"/>
  <c r="C1230" i="19"/>
  <c r="B1230" i="19"/>
  <c r="E1229" i="19"/>
  <c r="F1229" i="19" s="1"/>
  <c r="I1229" i="19" s="1"/>
  <c r="D1229" i="19"/>
  <c r="C1229" i="19"/>
  <c r="B1229" i="19"/>
  <c r="F1228" i="19"/>
  <c r="I1228" i="19" s="1"/>
  <c r="E1228" i="19"/>
  <c r="D1228" i="19"/>
  <c r="C1228" i="19"/>
  <c r="B1228" i="19"/>
  <c r="E1227" i="19"/>
  <c r="F1227" i="19" s="1"/>
  <c r="I1227" i="19" s="1"/>
  <c r="D1227" i="19"/>
  <c r="C1227" i="19"/>
  <c r="B1227" i="19"/>
  <c r="E1226" i="19"/>
  <c r="F1226" i="19" s="1"/>
  <c r="I1226" i="19" s="1"/>
  <c r="D1226" i="19"/>
  <c r="C1226" i="19"/>
  <c r="B1226" i="19"/>
  <c r="E1225" i="19"/>
  <c r="F1225" i="19" s="1"/>
  <c r="I1225" i="19" s="1"/>
  <c r="D1225" i="19"/>
  <c r="C1225" i="19"/>
  <c r="B1225" i="19"/>
  <c r="E1224" i="19"/>
  <c r="F1224" i="19" s="1"/>
  <c r="I1224" i="19" s="1"/>
  <c r="D1224" i="19"/>
  <c r="C1224" i="19"/>
  <c r="B1224" i="19"/>
  <c r="E1223" i="19"/>
  <c r="F1223" i="19" s="1"/>
  <c r="I1223" i="19" s="1"/>
  <c r="D1223" i="19"/>
  <c r="C1223" i="19"/>
  <c r="B1223" i="19"/>
  <c r="E1222" i="19"/>
  <c r="F1222" i="19" s="1"/>
  <c r="I1222" i="19" s="1"/>
  <c r="D1222" i="19"/>
  <c r="C1222" i="19"/>
  <c r="B1222" i="19"/>
  <c r="E1221" i="19"/>
  <c r="F1221" i="19" s="1"/>
  <c r="I1221" i="19" s="1"/>
  <c r="D1221" i="19"/>
  <c r="C1221" i="19"/>
  <c r="B1221" i="19"/>
  <c r="I1220" i="19"/>
  <c r="E1220" i="19"/>
  <c r="F1220" i="19" s="1"/>
  <c r="D1220" i="19"/>
  <c r="C1220" i="19"/>
  <c r="B1220" i="19"/>
  <c r="E1219" i="19"/>
  <c r="F1219" i="19" s="1"/>
  <c r="I1219" i="19" s="1"/>
  <c r="D1219" i="19"/>
  <c r="C1219" i="19"/>
  <c r="B1219" i="19"/>
  <c r="E1218" i="19"/>
  <c r="F1218" i="19" s="1"/>
  <c r="I1218" i="19" s="1"/>
  <c r="D1218" i="19"/>
  <c r="C1218" i="19"/>
  <c r="B1218" i="19"/>
  <c r="E1217" i="19"/>
  <c r="F1217" i="19" s="1"/>
  <c r="I1217" i="19" s="1"/>
  <c r="D1217" i="19"/>
  <c r="C1217" i="19"/>
  <c r="B1217" i="19"/>
  <c r="E1216" i="19"/>
  <c r="F1216" i="19" s="1"/>
  <c r="I1216" i="19" s="1"/>
  <c r="D1216" i="19"/>
  <c r="C1216" i="19"/>
  <c r="B1216" i="19"/>
  <c r="E1215" i="19"/>
  <c r="F1215" i="19" s="1"/>
  <c r="I1215" i="19" s="1"/>
  <c r="D1215" i="19"/>
  <c r="C1215" i="19"/>
  <c r="B1215" i="19"/>
  <c r="E1214" i="19"/>
  <c r="F1214" i="19" s="1"/>
  <c r="I1214" i="19" s="1"/>
  <c r="D1214" i="19"/>
  <c r="C1214" i="19"/>
  <c r="B1214" i="19"/>
  <c r="E1213" i="19"/>
  <c r="F1213" i="19" s="1"/>
  <c r="I1213" i="19" s="1"/>
  <c r="D1213" i="19"/>
  <c r="C1213" i="19"/>
  <c r="B1213" i="19"/>
  <c r="F1212" i="19"/>
  <c r="I1212" i="19" s="1"/>
  <c r="E1212" i="19"/>
  <c r="D1212" i="19"/>
  <c r="C1212" i="19"/>
  <c r="B1212" i="19"/>
  <c r="E1211" i="19"/>
  <c r="F1211" i="19" s="1"/>
  <c r="I1211" i="19" s="1"/>
  <c r="D1211" i="19"/>
  <c r="C1211" i="19"/>
  <c r="B1211" i="19"/>
  <c r="E1210" i="19"/>
  <c r="F1210" i="19" s="1"/>
  <c r="I1210" i="19" s="1"/>
  <c r="D1210" i="19"/>
  <c r="C1210" i="19"/>
  <c r="B1210" i="19"/>
  <c r="E1209" i="19"/>
  <c r="F1209" i="19" s="1"/>
  <c r="I1209" i="19" s="1"/>
  <c r="D1209" i="19"/>
  <c r="C1209" i="19"/>
  <c r="B1209" i="19"/>
  <c r="E1208" i="19"/>
  <c r="F1208" i="19" s="1"/>
  <c r="I1208" i="19" s="1"/>
  <c r="D1208" i="19"/>
  <c r="C1208" i="19"/>
  <c r="B1208" i="19"/>
  <c r="E1207" i="19"/>
  <c r="F1207" i="19" s="1"/>
  <c r="I1207" i="19" s="1"/>
  <c r="D1207" i="19"/>
  <c r="C1207" i="19"/>
  <c r="B1207" i="19"/>
  <c r="E1206" i="19"/>
  <c r="F1206" i="19" s="1"/>
  <c r="I1206" i="19" s="1"/>
  <c r="D1206" i="19"/>
  <c r="C1206" i="19"/>
  <c r="B1206" i="19"/>
  <c r="E1205" i="19"/>
  <c r="F1205" i="19" s="1"/>
  <c r="I1205" i="19" s="1"/>
  <c r="D1205" i="19"/>
  <c r="C1205" i="19"/>
  <c r="B1205" i="19"/>
  <c r="F1204" i="19"/>
  <c r="I1204" i="19" s="1"/>
  <c r="E1204" i="19"/>
  <c r="D1204" i="19"/>
  <c r="C1204" i="19"/>
  <c r="B1204" i="19"/>
  <c r="E1203" i="19"/>
  <c r="F1203" i="19" s="1"/>
  <c r="I1203" i="19" s="1"/>
  <c r="D1203" i="19"/>
  <c r="C1203" i="19"/>
  <c r="B1203" i="19"/>
  <c r="E1202" i="19"/>
  <c r="F1202" i="19" s="1"/>
  <c r="I1202" i="19" s="1"/>
  <c r="D1202" i="19"/>
  <c r="C1202" i="19"/>
  <c r="B1202" i="19"/>
  <c r="E1201" i="19"/>
  <c r="F1201" i="19" s="1"/>
  <c r="I1201" i="19" s="1"/>
  <c r="D1201" i="19"/>
  <c r="C1201" i="19"/>
  <c r="B1201" i="19"/>
  <c r="E1200" i="19"/>
  <c r="F1200" i="19" s="1"/>
  <c r="I1200" i="19" s="1"/>
  <c r="D1200" i="19"/>
  <c r="C1200" i="19"/>
  <c r="B1200" i="19"/>
  <c r="E1199" i="19"/>
  <c r="F1199" i="19" s="1"/>
  <c r="I1199" i="19" s="1"/>
  <c r="D1199" i="19"/>
  <c r="C1199" i="19"/>
  <c r="B1199" i="19"/>
  <c r="E1198" i="19"/>
  <c r="F1198" i="19" s="1"/>
  <c r="I1198" i="19" s="1"/>
  <c r="D1198" i="19"/>
  <c r="C1198" i="19"/>
  <c r="B1198" i="19"/>
  <c r="E1197" i="19"/>
  <c r="F1197" i="19" s="1"/>
  <c r="I1197" i="19" s="1"/>
  <c r="D1197" i="19"/>
  <c r="C1197" i="19"/>
  <c r="B1197" i="19"/>
  <c r="E1196" i="19"/>
  <c r="F1196" i="19" s="1"/>
  <c r="I1196" i="19" s="1"/>
  <c r="D1196" i="19"/>
  <c r="C1196" i="19"/>
  <c r="B1196" i="19"/>
  <c r="E1195" i="19"/>
  <c r="F1195" i="19" s="1"/>
  <c r="I1195" i="19" s="1"/>
  <c r="D1195" i="19"/>
  <c r="C1195" i="19"/>
  <c r="B1195" i="19"/>
  <c r="F1194" i="19"/>
  <c r="I1194" i="19" s="1"/>
  <c r="E1194" i="19"/>
  <c r="D1194" i="19"/>
  <c r="C1194" i="19"/>
  <c r="B1194" i="19"/>
  <c r="E1193" i="19"/>
  <c r="F1193" i="19" s="1"/>
  <c r="I1193" i="19" s="1"/>
  <c r="D1193" i="19"/>
  <c r="C1193" i="19"/>
  <c r="B1193" i="19"/>
  <c r="E1192" i="19"/>
  <c r="F1192" i="19" s="1"/>
  <c r="I1192" i="19" s="1"/>
  <c r="D1192" i="19"/>
  <c r="C1192" i="19"/>
  <c r="B1192" i="19"/>
  <c r="E1191" i="19"/>
  <c r="F1191" i="19" s="1"/>
  <c r="I1191" i="19" s="1"/>
  <c r="D1191" i="19"/>
  <c r="C1191" i="19"/>
  <c r="B1191" i="19"/>
  <c r="I1190" i="19"/>
  <c r="E1190" i="19"/>
  <c r="F1190" i="19" s="1"/>
  <c r="D1190" i="19"/>
  <c r="C1190" i="19"/>
  <c r="B1190" i="19"/>
  <c r="E1189" i="19"/>
  <c r="F1189" i="19" s="1"/>
  <c r="I1189" i="19" s="1"/>
  <c r="D1189" i="19"/>
  <c r="C1189" i="19"/>
  <c r="B1189" i="19"/>
  <c r="E1188" i="19"/>
  <c r="F1188" i="19" s="1"/>
  <c r="I1188" i="19" s="1"/>
  <c r="D1188" i="19"/>
  <c r="C1188" i="19"/>
  <c r="B1188" i="19"/>
  <c r="E1187" i="19"/>
  <c r="F1187" i="19" s="1"/>
  <c r="I1187" i="19" s="1"/>
  <c r="D1187" i="19"/>
  <c r="C1187" i="19"/>
  <c r="B1187" i="19"/>
  <c r="I1186" i="19"/>
  <c r="E1186" i="19"/>
  <c r="F1186" i="19" s="1"/>
  <c r="D1186" i="19"/>
  <c r="C1186" i="19"/>
  <c r="B1186" i="19"/>
  <c r="E1185" i="19"/>
  <c r="F1185" i="19" s="1"/>
  <c r="I1185" i="19" s="1"/>
  <c r="D1185" i="19"/>
  <c r="C1185" i="19"/>
  <c r="B1185" i="19"/>
  <c r="E1184" i="19"/>
  <c r="F1184" i="19" s="1"/>
  <c r="I1184" i="19" s="1"/>
  <c r="D1184" i="19"/>
  <c r="C1184" i="19"/>
  <c r="B1184" i="19"/>
  <c r="E1183" i="19"/>
  <c r="F1183" i="19" s="1"/>
  <c r="I1183" i="19" s="1"/>
  <c r="D1183" i="19"/>
  <c r="C1183" i="19"/>
  <c r="B1183" i="19"/>
  <c r="E1182" i="19"/>
  <c r="F1182" i="19" s="1"/>
  <c r="I1182" i="19" s="1"/>
  <c r="D1182" i="19"/>
  <c r="C1182" i="19"/>
  <c r="B1182" i="19"/>
  <c r="E1181" i="19"/>
  <c r="F1181" i="19" s="1"/>
  <c r="I1181" i="19" s="1"/>
  <c r="D1181" i="19"/>
  <c r="C1181" i="19"/>
  <c r="B1181" i="19"/>
  <c r="F1180" i="19"/>
  <c r="I1180" i="19" s="1"/>
  <c r="E1180" i="19"/>
  <c r="D1180" i="19"/>
  <c r="C1180" i="19"/>
  <c r="B1180" i="19"/>
  <c r="F1179" i="19"/>
  <c r="I1179" i="19" s="1"/>
  <c r="E1179" i="19"/>
  <c r="D1179" i="19"/>
  <c r="C1179" i="19"/>
  <c r="B1179" i="19"/>
  <c r="E1178" i="19"/>
  <c r="F1178" i="19" s="1"/>
  <c r="I1178" i="19" s="1"/>
  <c r="D1178" i="19"/>
  <c r="C1178" i="19"/>
  <c r="B1178" i="19"/>
  <c r="E1177" i="19"/>
  <c r="F1177" i="19" s="1"/>
  <c r="I1177" i="19" s="1"/>
  <c r="D1177" i="19"/>
  <c r="C1177" i="19"/>
  <c r="B1177" i="19"/>
  <c r="I1176" i="19"/>
  <c r="E1176" i="19"/>
  <c r="F1176" i="19" s="1"/>
  <c r="D1176" i="19"/>
  <c r="C1176" i="19"/>
  <c r="B1176" i="19"/>
  <c r="F1175" i="19"/>
  <c r="I1175" i="19" s="1"/>
  <c r="E1175" i="19"/>
  <c r="D1175" i="19"/>
  <c r="C1175" i="19"/>
  <c r="B1175" i="19"/>
  <c r="F1174" i="19"/>
  <c r="I1174" i="19" s="1"/>
  <c r="E1174" i="19"/>
  <c r="D1174" i="19"/>
  <c r="C1174" i="19"/>
  <c r="B1174" i="19"/>
  <c r="F1173" i="19"/>
  <c r="I1173" i="19" s="1"/>
  <c r="E1173" i="19"/>
  <c r="D1173" i="19"/>
  <c r="C1173" i="19"/>
  <c r="B1173" i="19"/>
  <c r="E1172" i="19"/>
  <c r="F1172" i="19" s="1"/>
  <c r="I1172" i="19" s="1"/>
  <c r="D1172" i="19"/>
  <c r="C1172" i="19"/>
  <c r="B1172" i="19"/>
  <c r="F1171" i="19"/>
  <c r="I1171" i="19" s="1"/>
  <c r="E1171" i="19"/>
  <c r="D1171" i="19"/>
  <c r="C1171" i="19"/>
  <c r="B1171" i="19"/>
  <c r="E1170" i="19"/>
  <c r="F1170" i="19" s="1"/>
  <c r="I1170" i="19" s="1"/>
  <c r="D1170" i="19"/>
  <c r="C1170" i="19"/>
  <c r="B1170" i="19"/>
  <c r="E1169" i="19"/>
  <c r="F1169" i="19" s="1"/>
  <c r="I1169" i="19" s="1"/>
  <c r="D1169" i="19"/>
  <c r="C1169" i="19"/>
  <c r="B1169" i="19"/>
  <c r="E1168" i="19"/>
  <c r="F1168" i="19" s="1"/>
  <c r="I1168" i="19" s="1"/>
  <c r="D1168" i="19"/>
  <c r="C1168" i="19"/>
  <c r="B1168" i="19"/>
  <c r="E1167" i="19"/>
  <c r="F1167" i="19" s="1"/>
  <c r="I1167" i="19" s="1"/>
  <c r="D1167" i="19"/>
  <c r="C1167" i="19"/>
  <c r="B1167" i="19"/>
  <c r="F1166" i="19"/>
  <c r="I1166" i="19" s="1"/>
  <c r="E1166" i="19"/>
  <c r="D1166" i="19"/>
  <c r="C1166" i="19"/>
  <c r="B1166" i="19"/>
  <c r="E1165" i="19"/>
  <c r="F1165" i="19" s="1"/>
  <c r="I1165" i="19" s="1"/>
  <c r="D1165" i="19"/>
  <c r="C1165" i="19"/>
  <c r="B1165" i="19"/>
  <c r="E1164" i="19"/>
  <c r="F1164" i="19" s="1"/>
  <c r="I1164" i="19" s="1"/>
  <c r="D1164" i="19"/>
  <c r="C1164" i="19"/>
  <c r="B1164" i="19"/>
  <c r="F1163" i="19"/>
  <c r="I1163" i="19" s="1"/>
  <c r="E1163" i="19"/>
  <c r="D1163" i="19"/>
  <c r="C1163" i="19"/>
  <c r="B1163" i="19"/>
  <c r="I1162" i="19"/>
  <c r="F1162" i="19"/>
  <c r="E1162" i="19"/>
  <c r="D1162" i="19"/>
  <c r="C1162" i="19"/>
  <c r="B1162" i="19"/>
  <c r="F1161" i="19"/>
  <c r="I1161" i="19" s="1"/>
  <c r="E1161" i="19"/>
  <c r="D1161" i="19"/>
  <c r="C1161" i="19"/>
  <c r="B1161" i="19"/>
  <c r="F1160" i="19"/>
  <c r="I1160" i="19" s="1"/>
  <c r="E1160" i="19"/>
  <c r="D1160" i="19"/>
  <c r="C1160" i="19"/>
  <c r="B1160" i="19"/>
  <c r="E1159" i="19"/>
  <c r="F1159" i="19" s="1"/>
  <c r="I1159" i="19" s="1"/>
  <c r="D1159" i="19"/>
  <c r="C1159" i="19"/>
  <c r="B1159" i="19"/>
  <c r="E1158" i="19"/>
  <c r="F1158" i="19" s="1"/>
  <c r="I1158" i="19" s="1"/>
  <c r="D1158" i="19"/>
  <c r="C1158" i="19"/>
  <c r="B1158" i="19"/>
  <c r="E1157" i="19"/>
  <c r="F1157" i="19" s="1"/>
  <c r="I1157" i="19" s="1"/>
  <c r="D1157" i="19"/>
  <c r="C1157" i="19"/>
  <c r="B1157" i="19"/>
  <c r="F1156" i="19"/>
  <c r="I1156" i="19" s="1"/>
  <c r="E1156" i="19"/>
  <c r="D1156" i="19"/>
  <c r="C1156" i="19"/>
  <c r="B1156" i="19"/>
  <c r="F1155" i="19"/>
  <c r="I1155" i="19" s="1"/>
  <c r="E1155" i="19"/>
  <c r="D1155" i="19"/>
  <c r="C1155" i="19"/>
  <c r="B1155" i="19"/>
  <c r="F1154" i="19"/>
  <c r="I1154" i="19" s="1"/>
  <c r="E1154" i="19"/>
  <c r="D1154" i="19"/>
  <c r="C1154" i="19"/>
  <c r="B1154" i="19"/>
  <c r="E1153" i="19"/>
  <c r="F1153" i="19" s="1"/>
  <c r="I1153" i="19" s="1"/>
  <c r="D1153" i="19"/>
  <c r="C1153" i="19"/>
  <c r="B1153" i="19"/>
  <c r="E1152" i="19"/>
  <c r="F1152" i="19" s="1"/>
  <c r="I1152" i="19" s="1"/>
  <c r="D1152" i="19"/>
  <c r="C1152" i="19"/>
  <c r="B1152" i="19"/>
  <c r="F1151" i="19"/>
  <c r="I1151" i="19" s="1"/>
  <c r="E1151" i="19"/>
  <c r="D1151" i="19"/>
  <c r="C1151" i="19"/>
  <c r="B1151" i="19"/>
  <c r="I1150" i="19"/>
  <c r="F1150" i="19"/>
  <c r="E1150" i="19"/>
  <c r="D1150" i="19"/>
  <c r="C1150" i="19"/>
  <c r="B1150" i="19"/>
  <c r="E1149" i="19"/>
  <c r="F1149" i="19" s="1"/>
  <c r="I1149" i="19" s="1"/>
  <c r="D1149" i="19"/>
  <c r="C1149" i="19"/>
  <c r="B1149" i="19"/>
  <c r="F1148" i="19"/>
  <c r="I1148" i="19" s="1"/>
  <c r="E1148" i="19"/>
  <c r="D1148" i="19"/>
  <c r="C1148" i="19"/>
  <c r="B1148" i="19"/>
  <c r="E1147" i="19"/>
  <c r="F1147" i="19" s="1"/>
  <c r="I1147" i="19" s="1"/>
  <c r="D1147" i="19"/>
  <c r="C1147" i="19"/>
  <c r="B1147" i="19"/>
  <c r="E1146" i="19"/>
  <c r="F1146" i="19" s="1"/>
  <c r="I1146" i="19" s="1"/>
  <c r="D1146" i="19"/>
  <c r="C1146" i="19"/>
  <c r="B1146" i="19"/>
  <c r="E1145" i="19"/>
  <c r="F1145" i="19" s="1"/>
  <c r="I1145" i="19" s="1"/>
  <c r="D1145" i="19"/>
  <c r="C1145" i="19"/>
  <c r="B1145" i="19"/>
  <c r="E1144" i="19"/>
  <c r="F1144" i="19" s="1"/>
  <c r="I1144" i="19" s="1"/>
  <c r="D1144" i="19"/>
  <c r="C1144" i="19"/>
  <c r="B1144" i="19"/>
  <c r="F1143" i="19"/>
  <c r="I1143" i="19" s="1"/>
  <c r="E1143" i="19"/>
  <c r="D1143" i="19"/>
  <c r="C1143" i="19"/>
  <c r="B1143" i="19"/>
  <c r="F1142" i="19"/>
  <c r="I1142" i="19" s="1"/>
  <c r="E1142" i="19"/>
  <c r="D1142" i="19"/>
  <c r="C1142" i="19"/>
  <c r="B1142" i="19"/>
  <c r="E1141" i="19"/>
  <c r="F1141" i="19" s="1"/>
  <c r="I1141" i="19" s="1"/>
  <c r="D1141" i="19"/>
  <c r="C1141" i="19"/>
  <c r="B1141" i="19"/>
  <c r="E1140" i="19"/>
  <c r="F1140" i="19" s="1"/>
  <c r="I1140" i="19" s="1"/>
  <c r="D1140" i="19"/>
  <c r="C1140" i="19"/>
  <c r="B1140" i="19"/>
  <c r="F1139" i="19"/>
  <c r="I1139" i="19" s="1"/>
  <c r="E1139" i="19"/>
  <c r="D1139" i="19"/>
  <c r="C1139" i="19"/>
  <c r="B1139" i="19"/>
  <c r="F1138" i="19"/>
  <c r="I1138" i="19" s="1"/>
  <c r="E1138" i="19"/>
  <c r="D1138" i="19"/>
  <c r="C1138" i="19"/>
  <c r="B1138" i="19"/>
  <c r="F1137" i="19"/>
  <c r="I1137" i="19" s="1"/>
  <c r="E1137" i="19"/>
  <c r="D1137" i="19"/>
  <c r="C1137" i="19"/>
  <c r="B1137" i="19"/>
  <c r="F1136" i="19"/>
  <c r="I1136" i="19" s="1"/>
  <c r="E1136" i="19"/>
  <c r="D1136" i="19"/>
  <c r="C1136" i="19"/>
  <c r="B1136" i="19"/>
  <c r="E1135" i="19"/>
  <c r="F1135" i="19" s="1"/>
  <c r="I1135" i="19" s="1"/>
  <c r="D1135" i="19"/>
  <c r="C1135" i="19"/>
  <c r="B1135" i="19"/>
  <c r="E1134" i="19"/>
  <c r="F1134" i="19" s="1"/>
  <c r="I1134" i="19" s="1"/>
  <c r="D1134" i="19"/>
  <c r="C1134" i="19"/>
  <c r="B1134" i="19"/>
  <c r="E1133" i="19"/>
  <c r="F1133" i="19" s="1"/>
  <c r="I1133" i="19" s="1"/>
  <c r="D1133" i="19"/>
  <c r="C1133" i="19"/>
  <c r="B1133" i="19"/>
  <c r="E1132" i="19"/>
  <c r="F1132" i="19" s="1"/>
  <c r="I1132" i="19" s="1"/>
  <c r="D1132" i="19"/>
  <c r="C1132" i="19"/>
  <c r="B1132" i="19"/>
  <c r="F1131" i="19"/>
  <c r="I1131" i="19" s="1"/>
  <c r="E1131" i="19"/>
  <c r="D1131" i="19"/>
  <c r="C1131" i="19"/>
  <c r="B1131" i="19"/>
  <c r="E1130" i="19"/>
  <c r="F1130" i="19" s="1"/>
  <c r="I1130" i="19" s="1"/>
  <c r="D1130" i="19"/>
  <c r="C1130" i="19"/>
  <c r="B1130" i="19"/>
  <c r="E1129" i="19"/>
  <c r="F1129" i="19" s="1"/>
  <c r="I1129" i="19" s="1"/>
  <c r="D1129" i="19"/>
  <c r="C1129" i="19"/>
  <c r="B1129" i="19"/>
  <c r="E1128" i="19"/>
  <c r="F1128" i="19" s="1"/>
  <c r="I1128" i="19" s="1"/>
  <c r="D1128" i="19"/>
  <c r="C1128" i="19"/>
  <c r="B1128" i="19"/>
  <c r="F1127" i="19"/>
  <c r="I1127" i="19" s="1"/>
  <c r="E1127" i="19"/>
  <c r="D1127" i="19"/>
  <c r="C1127" i="19"/>
  <c r="B1127" i="19"/>
  <c r="F1126" i="19"/>
  <c r="I1126" i="19" s="1"/>
  <c r="E1126" i="19"/>
  <c r="D1126" i="19"/>
  <c r="C1126" i="19"/>
  <c r="B1126" i="19"/>
  <c r="F1125" i="19"/>
  <c r="I1125" i="19" s="1"/>
  <c r="E1125" i="19"/>
  <c r="D1125" i="19"/>
  <c r="C1125" i="19"/>
  <c r="B1125" i="19"/>
  <c r="E1124" i="19"/>
  <c r="F1124" i="19" s="1"/>
  <c r="I1124" i="19" s="1"/>
  <c r="D1124" i="19"/>
  <c r="C1124" i="19"/>
  <c r="B1124" i="19"/>
  <c r="E1123" i="19"/>
  <c r="F1123" i="19" s="1"/>
  <c r="I1123" i="19" s="1"/>
  <c r="D1123" i="19"/>
  <c r="C1123" i="19"/>
  <c r="B1123" i="19"/>
  <c r="F1122" i="19"/>
  <c r="I1122" i="19" s="1"/>
  <c r="E1122" i="19"/>
  <c r="D1122" i="19"/>
  <c r="C1122" i="19"/>
  <c r="B1122" i="19"/>
  <c r="E1121" i="19"/>
  <c r="F1121" i="19" s="1"/>
  <c r="I1121" i="19" s="1"/>
  <c r="D1121" i="19"/>
  <c r="C1121" i="19"/>
  <c r="B1121" i="19"/>
  <c r="E1120" i="19"/>
  <c r="F1120" i="19" s="1"/>
  <c r="I1120" i="19" s="1"/>
  <c r="D1120" i="19"/>
  <c r="C1120" i="19"/>
  <c r="B1120" i="19"/>
  <c r="E1119" i="19"/>
  <c r="F1119" i="19" s="1"/>
  <c r="I1119" i="19" s="1"/>
  <c r="D1119" i="19"/>
  <c r="C1119" i="19"/>
  <c r="B1119" i="19"/>
  <c r="F1118" i="19"/>
  <c r="I1118" i="19" s="1"/>
  <c r="E1118" i="19"/>
  <c r="D1118" i="19"/>
  <c r="C1118" i="19"/>
  <c r="B1118" i="19"/>
  <c r="E1117" i="19"/>
  <c r="F1117" i="19" s="1"/>
  <c r="I1117" i="19" s="1"/>
  <c r="D1117" i="19"/>
  <c r="C1117" i="19"/>
  <c r="B1117" i="19"/>
  <c r="E1116" i="19"/>
  <c r="F1116" i="19" s="1"/>
  <c r="I1116" i="19" s="1"/>
  <c r="D1116" i="19"/>
  <c r="C1116" i="19"/>
  <c r="B1116" i="19"/>
  <c r="F1115" i="19"/>
  <c r="I1115" i="19" s="1"/>
  <c r="E1115" i="19"/>
  <c r="D1115" i="19"/>
  <c r="C1115" i="19"/>
  <c r="B1115" i="19"/>
  <c r="F1114" i="19"/>
  <c r="I1114" i="19" s="1"/>
  <c r="E1114" i="19"/>
  <c r="D1114" i="19"/>
  <c r="C1114" i="19"/>
  <c r="B1114" i="19"/>
  <c r="E1113" i="19"/>
  <c r="F1113" i="19" s="1"/>
  <c r="I1113" i="19" s="1"/>
  <c r="D1113" i="19"/>
  <c r="C1113" i="19"/>
  <c r="B1113" i="19"/>
  <c r="E1112" i="19"/>
  <c r="F1112" i="19" s="1"/>
  <c r="I1112" i="19" s="1"/>
  <c r="D1112" i="19"/>
  <c r="C1112" i="19"/>
  <c r="B1112" i="19"/>
  <c r="F1111" i="19"/>
  <c r="I1111" i="19" s="1"/>
  <c r="E1111" i="19"/>
  <c r="D1111" i="19"/>
  <c r="C1111" i="19"/>
  <c r="B1111" i="19"/>
  <c r="E1110" i="19"/>
  <c r="F1110" i="19" s="1"/>
  <c r="I1110" i="19" s="1"/>
  <c r="D1110" i="19"/>
  <c r="C1110" i="19"/>
  <c r="B1110" i="19"/>
  <c r="E1109" i="19"/>
  <c r="F1109" i="19" s="1"/>
  <c r="I1109" i="19" s="1"/>
  <c r="D1109" i="19"/>
  <c r="C1109" i="19"/>
  <c r="B1109" i="19"/>
  <c r="F1108" i="19"/>
  <c r="I1108" i="19" s="1"/>
  <c r="E1108" i="19"/>
  <c r="D1108" i="19"/>
  <c r="C1108" i="19"/>
  <c r="B1108" i="19"/>
  <c r="F1107" i="19"/>
  <c r="I1107" i="19" s="1"/>
  <c r="E1107" i="19"/>
  <c r="D1107" i="19"/>
  <c r="C1107" i="19"/>
  <c r="B1107" i="19"/>
  <c r="F1106" i="19"/>
  <c r="I1106" i="19" s="1"/>
  <c r="E1106" i="19"/>
  <c r="D1106" i="19"/>
  <c r="C1106" i="19"/>
  <c r="B1106" i="19"/>
  <c r="E1105" i="19"/>
  <c r="F1105" i="19" s="1"/>
  <c r="I1105" i="19" s="1"/>
  <c r="D1105" i="19"/>
  <c r="C1105" i="19"/>
  <c r="B1105" i="19"/>
  <c r="E1104" i="19"/>
  <c r="F1104" i="19" s="1"/>
  <c r="I1104" i="19" s="1"/>
  <c r="D1104" i="19"/>
  <c r="C1104" i="19"/>
  <c r="B1104" i="19"/>
  <c r="F1103" i="19"/>
  <c r="I1103" i="19" s="1"/>
  <c r="E1103" i="19"/>
  <c r="D1103" i="19"/>
  <c r="C1103" i="19"/>
  <c r="B1103" i="19"/>
  <c r="F1102" i="19"/>
  <c r="I1102" i="19" s="1"/>
  <c r="E1102" i="19"/>
  <c r="D1102" i="19"/>
  <c r="C1102" i="19"/>
  <c r="B1102" i="19"/>
  <c r="E1101" i="19"/>
  <c r="F1101" i="19" s="1"/>
  <c r="I1101" i="19" s="1"/>
  <c r="D1101" i="19"/>
  <c r="C1101" i="19"/>
  <c r="B1101" i="19"/>
  <c r="E1100" i="19"/>
  <c r="F1100" i="19" s="1"/>
  <c r="I1100" i="19" s="1"/>
  <c r="D1100" i="19"/>
  <c r="C1100" i="19"/>
  <c r="B1100" i="19"/>
  <c r="F1099" i="19"/>
  <c r="I1099" i="19" s="1"/>
  <c r="E1099" i="19"/>
  <c r="D1099" i="19"/>
  <c r="C1099" i="19"/>
  <c r="B1099" i="19"/>
  <c r="E1098" i="19"/>
  <c r="F1098" i="19" s="1"/>
  <c r="I1098" i="19" s="1"/>
  <c r="D1098" i="19"/>
  <c r="C1098" i="19"/>
  <c r="B1098" i="19"/>
  <c r="F1097" i="19"/>
  <c r="I1097" i="19" s="1"/>
  <c r="E1097" i="19"/>
  <c r="D1097" i="19"/>
  <c r="C1097" i="19"/>
  <c r="B1097" i="19"/>
  <c r="E1096" i="19"/>
  <c r="F1096" i="19" s="1"/>
  <c r="I1096" i="19" s="1"/>
  <c r="D1096" i="19"/>
  <c r="C1096" i="19"/>
  <c r="B1096" i="19"/>
  <c r="F1095" i="19"/>
  <c r="I1095" i="19" s="1"/>
  <c r="E1095" i="19"/>
  <c r="D1095" i="19"/>
  <c r="C1095" i="19"/>
  <c r="B1095" i="19"/>
  <c r="F1094" i="19"/>
  <c r="I1094" i="19" s="1"/>
  <c r="E1094" i="19"/>
  <c r="D1094" i="19"/>
  <c r="C1094" i="19"/>
  <c r="B1094" i="19"/>
  <c r="F1093" i="19"/>
  <c r="I1093" i="19" s="1"/>
  <c r="E1093" i="19"/>
  <c r="D1093" i="19"/>
  <c r="C1093" i="19"/>
  <c r="B1093" i="19"/>
  <c r="F1092" i="19"/>
  <c r="I1092" i="19" s="1"/>
  <c r="E1092" i="19"/>
  <c r="D1092" i="19"/>
  <c r="C1092" i="19"/>
  <c r="B1092" i="19"/>
  <c r="E1091" i="19"/>
  <c r="F1091" i="19" s="1"/>
  <c r="I1091" i="19" s="1"/>
  <c r="D1091" i="19"/>
  <c r="C1091" i="19"/>
  <c r="B1091" i="19"/>
  <c r="F1090" i="19"/>
  <c r="I1090" i="19" s="1"/>
  <c r="E1090" i="19"/>
  <c r="D1090" i="19"/>
  <c r="C1090" i="19"/>
  <c r="B1090" i="19"/>
  <c r="F1089" i="19"/>
  <c r="I1089" i="19" s="1"/>
  <c r="E1089" i="19"/>
  <c r="D1089" i="19"/>
  <c r="C1089" i="19"/>
  <c r="B1089" i="19"/>
  <c r="F1088" i="19"/>
  <c r="I1088" i="19" s="1"/>
  <c r="E1088" i="19"/>
  <c r="D1088" i="19"/>
  <c r="C1088" i="19"/>
  <c r="B1088" i="19"/>
  <c r="F1087" i="19"/>
  <c r="I1087" i="19" s="1"/>
  <c r="E1087" i="19"/>
  <c r="D1087" i="19"/>
  <c r="C1087" i="19"/>
  <c r="B1087" i="19"/>
  <c r="F1086" i="19"/>
  <c r="I1086" i="19" s="1"/>
  <c r="E1086" i="19"/>
  <c r="D1086" i="19"/>
  <c r="C1086" i="19"/>
  <c r="B1086" i="19"/>
  <c r="E1085" i="19"/>
  <c r="F1085" i="19" s="1"/>
  <c r="I1085" i="19" s="1"/>
  <c r="D1085" i="19"/>
  <c r="C1085" i="19"/>
  <c r="B1085" i="19"/>
  <c r="F1084" i="19"/>
  <c r="I1084" i="19" s="1"/>
  <c r="E1084" i="19"/>
  <c r="D1084" i="19"/>
  <c r="C1084" i="19"/>
  <c r="B1084" i="19"/>
  <c r="F1083" i="19"/>
  <c r="I1083" i="19" s="1"/>
  <c r="E1083" i="19"/>
  <c r="D1083" i="19"/>
  <c r="C1083" i="19"/>
  <c r="B1083" i="19"/>
  <c r="F1082" i="19"/>
  <c r="I1082" i="19" s="1"/>
  <c r="E1082" i="19"/>
  <c r="D1082" i="19"/>
  <c r="C1082" i="19"/>
  <c r="B1082" i="19"/>
  <c r="E1081" i="19"/>
  <c r="F1081" i="19" s="1"/>
  <c r="I1081" i="19" s="1"/>
  <c r="D1081" i="19"/>
  <c r="C1081" i="19"/>
  <c r="B1081" i="19"/>
  <c r="F1080" i="19"/>
  <c r="I1080" i="19" s="1"/>
  <c r="E1080" i="19"/>
  <c r="D1080" i="19"/>
  <c r="C1080" i="19"/>
  <c r="B1080" i="19"/>
  <c r="F1079" i="19"/>
  <c r="I1079" i="19" s="1"/>
  <c r="E1079" i="19"/>
  <c r="D1079" i="19"/>
  <c r="C1079" i="19"/>
  <c r="B1079" i="19"/>
  <c r="F1078" i="19"/>
  <c r="I1078" i="19" s="1"/>
  <c r="E1078" i="19"/>
  <c r="D1078" i="19"/>
  <c r="C1078" i="19"/>
  <c r="B1078" i="19"/>
  <c r="E1077" i="19"/>
  <c r="F1077" i="19" s="1"/>
  <c r="I1077" i="19" s="1"/>
  <c r="D1077" i="19"/>
  <c r="C1077" i="19"/>
  <c r="B1077" i="19"/>
  <c r="F1076" i="19"/>
  <c r="I1076" i="19" s="1"/>
  <c r="E1076" i="19"/>
  <c r="D1076" i="19"/>
  <c r="C1076" i="19"/>
  <c r="B1076" i="19"/>
  <c r="F1075" i="19"/>
  <c r="I1075" i="19" s="1"/>
  <c r="E1075" i="19"/>
  <c r="D1075" i="19"/>
  <c r="C1075" i="19"/>
  <c r="B1075" i="19"/>
  <c r="E1074" i="19"/>
  <c r="F1074" i="19" s="1"/>
  <c r="I1074" i="19" s="1"/>
  <c r="D1074" i="19"/>
  <c r="C1074" i="19"/>
  <c r="B1074" i="19"/>
  <c r="E1073" i="19"/>
  <c r="F1073" i="19" s="1"/>
  <c r="I1073" i="19" s="1"/>
  <c r="D1073" i="19"/>
  <c r="C1073" i="19"/>
  <c r="B1073" i="19"/>
  <c r="F1072" i="19"/>
  <c r="I1072" i="19" s="1"/>
  <c r="E1072" i="19"/>
  <c r="D1072" i="19"/>
  <c r="C1072" i="19"/>
  <c r="B1072" i="19"/>
  <c r="E1071" i="19"/>
  <c r="F1071" i="19" s="1"/>
  <c r="I1071" i="19" s="1"/>
  <c r="D1071" i="19"/>
  <c r="C1071" i="19"/>
  <c r="B1071" i="19"/>
  <c r="E1070" i="19"/>
  <c r="F1070" i="19" s="1"/>
  <c r="I1070" i="19" s="1"/>
  <c r="D1070" i="19"/>
  <c r="C1070" i="19"/>
  <c r="B1070" i="19"/>
  <c r="F1069" i="19"/>
  <c r="I1069" i="19" s="1"/>
  <c r="E1069" i="19"/>
  <c r="D1069" i="19"/>
  <c r="C1069" i="19"/>
  <c r="B1069" i="19"/>
  <c r="F1068" i="19"/>
  <c r="I1068" i="19" s="1"/>
  <c r="E1068" i="19"/>
  <c r="D1068" i="19"/>
  <c r="C1068" i="19"/>
  <c r="B1068" i="19"/>
  <c r="F1067" i="19"/>
  <c r="I1067" i="19" s="1"/>
  <c r="E1067" i="19"/>
  <c r="D1067" i="19"/>
  <c r="C1067" i="19"/>
  <c r="B1067" i="19"/>
  <c r="E1066" i="19"/>
  <c r="F1066" i="19" s="1"/>
  <c r="I1066" i="19" s="1"/>
  <c r="D1066" i="19"/>
  <c r="C1066" i="19"/>
  <c r="B1066" i="19"/>
  <c r="E1065" i="19"/>
  <c r="F1065" i="19" s="1"/>
  <c r="I1065" i="19" s="1"/>
  <c r="D1065" i="19"/>
  <c r="C1065" i="19"/>
  <c r="B1065" i="19"/>
  <c r="F1064" i="19"/>
  <c r="I1064" i="19" s="1"/>
  <c r="E1064" i="19"/>
  <c r="D1064" i="19"/>
  <c r="C1064" i="19"/>
  <c r="B1064" i="19"/>
  <c r="F1063" i="19"/>
  <c r="I1063" i="19" s="1"/>
  <c r="E1063" i="19"/>
  <c r="D1063" i="19"/>
  <c r="C1063" i="19"/>
  <c r="B1063" i="19"/>
  <c r="E1062" i="19"/>
  <c r="F1062" i="19" s="1"/>
  <c r="I1062" i="19" s="1"/>
  <c r="D1062" i="19"/>
  <c r="C1062" i="19"/>
  <c r="B1062" i="19"/>
  <c r="E1061" i="19"/>
  <c r="F1061" i="19" s="1"/>
  <c r="I1061" i="19" s="1"/>
  <c r="D1061" i="19"/>
  <c r="C1061" i="19"/>
  <c r="B1061" i="19"/>
  <c r="E1060" i="19"/>
  <c r="F1060" i="19" s="1"/>
  <c r="I1060" i="19" s="1"/>
  <c r="D1060" i="19"/>
  <c r="C1060" i="19"/>
  <c r="B1060" i="19"/>
  <c r="F1059" i="19"/>
  <c r="I1059" i="19" s="1"/>
  <c r="E1059" i="19"/>
  <c r="D1059" i="19"/>
  <c r="C1059" i="19"/>
  <c r="B1059" i="19"/>
  <c r="F1058" i="19"/>
  <c r="I1058" i="19" s="1"/>
  <c r="E1058" i="19"/>
  <c r="D1058" i="19"/>
  <c r="C1058" i="19"/>
  <c r="B1058" i="19"/>
  <c r="E1057" i="19"/>
  <c r="F1057" i="19" s="1"/>
  <c r="I1057" i="19" s="1"/>
  <c r="D1057" i="19"/>
  <c r="C1057" i="19"/>
  <c r="B1057" i="19"/>
  <c r="F1056" i="19"/>
  <c r="I1056" i="19" s="1"/>
  <c r="E1056" i="19"/>
  <c r="D1056" i="19"/>
  <c r="C1056" i="19"/>
  <c r="B1056" i="19"/>
  <c r="F1055" i="19"/>
  <c r="I1055" i="19" s="1"/>
  <c r="E1055" i="19"/>
  <c r="D1055" i="19"/>
  <c r="C1055" i="19"/>
  <c r="B1055" i="19"/>
  <c r="E1054" i="19"/>
  <c r="F1054" i="19" s="1"/>
  <c r="I1054" i="19" s="1"/>
  <c r="D1054" i="19"/>
  <c r="C1054" i="19"/>
  <c r="B1054" i="19"/>
  <c r="I1053" i="19"/>
  <c r="E1053" i="19"/>
  <c r="F1053" i="19" s="1"/>
  <c r="D1053" i="19"/>
  <c r="C1053" i="19"/>
  <c r="B1053" i="19"/>
  <c r="F1052" i="19"/>
  <c r="I1052" i="19" s="1"/>
  <c r="E1052" i="19"/>
  <c r="D1052" i="19"/>
  <c r="C1052" i="19"/>
  <c r="B1052" i="19"/>
  <c r="F1051" i="19"/>
  <c r="I1051" i="19" s="1"/>
  <c r="E1051" i="19"/>
  <c r="D1051" i="19"/>
  <c r="C1051" i="19"/>
  <c r="B1051" i="19"/>
  <c r="E1050" i="19"/>
  <c r="F1050" i="19" s="1"/>
  <c r="I1050" i="19" s="1"/>
  <c r="D1050" i="19"/>
  <c r="C1050" i="19"/>
  <c r="B1050" i="19"/>
  <c r="E1049" i="19"/>
  <c r="F1049" i="19" s="1"/>
  <c r="I1049" i="19" s="1"/>
  <c r="D1049" i="19"/>
  <c r="C1049" i="19"/>
  <c r="B1049" i="19"/>
  <c r="F1048" i="19"/>
  <c r="I1048" i="19" s="1"/>
  <c r="E1048" i="19"/>
  <c r="D1048" i="19"/>
  <c r="C1048" i="19"/>
  <c r="B1048" i="19"/>
  <c r="E1047" i="19"/>
  <c r="F1047" i="19" s="1"/>
  <c r="I1047" i="19" s="1"/>
  <c r="D1047" i="19"/>
  <c r="C1047" i="19"/>
  <c r="B1047" i="19"/>
  <c r="E1046" i="19"/>
  <c r="F1046" i="19" s="1"/>
  <c r="I1046" i="19" s="1"/>
  <c r="D1046" i="19"/>
  <c r="C1046" i="19"/>
  <c r="B1046" i="19"/>
  <c r="I1045" i="19"/>
  <c r="F1045" i="19"/>
  <c r="E1045" i="19"/>
  <c r="D1045" i="19"/>
  <c r="C1045" i="19"/>
  <c r="B1045" i="19"/>
  <c r="F1044" i="19"/>
  <c r="I1044" i="19" s="1"/>
  <c r="E1044" i="19"/>
  <c r="D1044" i="19"/>
  <c r="C1044" i="19"/>
  <c r="B1044" i="19"/>
  <c r="F1043" i="19"/>
  <c r="I1043" i="19" s="1"/>
  <c r="E1043" i="19"/>
  <c r="D1043" i="19"/>
  <c r="C1043" i="19"/>
  <c r="B1043" i="19"/>
  <c r="E1042" i="19"/>
  <c r="F1042" i="19" s="1"/>
  <c r="I1042" i="19" s="1"/>
  <c r="D1042" i="19"/>
  <c r="C1042" i="19"/>
  <c r="B1042" i="19"/>
  <c r="E1041" i="19"/>
  <c r="F1041" i="19" s="1"/>
  <c r="I1041" i="19" s="1"/>
  <c r="D1041" i="19"/>
  <c r="C1041" i="19"/>
  <c r="B1041" i="19"/>
  <c r="F1040" i="19"/>
  <c r="I1040" i="19" s="1"/>
  <c r="E1040" i="19"/>
  <c r="D1040" i="19"/>
  <c r="C1040" i="19"/>
  <c r="B1040" i="19"/>
  <c r="F1039" i="19"/>
  <c r="I1039" i="19" s="1"/>
  <c r="E1039" i="19"/>
  <c r="D1039" i="19"/>
  <c r="C1039" i="19"/>
  <c r="B1039" i="19"/>
  <c r="E1038" i="19"/>
  <c r="F1038" i="19" s="1"/>
  <c r="I1038" i="19" s="1"/>
  <c r="D1038" i="19"/>
  <c r="C1038" i="19"/>
  <c r="B1038" i="19"/>
  <c r="E1037" i="19"/>
  <c r="F1037" i="19" s="1"/>
  <c r="I1037" i="19" s="1"/>
  <c r="D1037" i="19"/>
  <c r="C1037" i="19"/>
  <c r="B1037" i="19"/>
  <c r="E1036" i="19"/>
  <c r="F1036" i="19" s="1"/>
  <c r="I1036" i="19" s="1"/>
  <c r="D1036" i="19"/>
  <c r="C1036" i="19"/>
  <c r="B1036" i="19"/>
  <c r="F1035" i="19"/>
  <c r="I1035" i="19" s="1"/>
  <c r="E1035" i="19"/>
  <c r="D1035" i="19"/>
  <c r="C1035" i="19"/>
  <c r="B1035" i="19"/>
  <c r="F1034" i="19"/>
  <c r="I1034" i="19" s="1"/>
  <c r="E1034" i="19"/>
  <c r="D1034" i="19"/>
  <c r="C1034" i="19"/>
  <c r="B1034" i="19"/>
  <c r="I1033" i="19"/>
  <c r="E1033" i="19"/>
  <c r="F1033" i="19" s="1"/>
  <c r="D1033" i="19"/>
  <c r="C1033" i="19"/>
  <c r="B1033" i="19"/>
  <c r="F1032" i="19"/>
  <c r="I1032" i="19" s="1"/>
  <c r="E1032" i="19"/>
  <c r="D1032" i="19"/>
  <c r="C1032" i="19"/>
  <c r="B1032" i="19"/>
  <c r="F1031" i="19"/>
  <c r="I1031" i="19" s="1"/>
  <c r="E1031" i="19"/>
  <c r="D1031" i="19"/>
  <c r="C1031" i="19"/>
  <c r="B1031" i="19"/>
  <c r="E1030" i="19"/>
  <c r="F1030" i="19" s="1"/>
  <c r="I1030" i="19" s="1"/>
  <c r="D1030" i="19"/>
  <c r="C1030" i="19"/>
  <c r="B1030" i="19"/>
  <c r="E1029" i="19"/>
  <c r="F1029" i="19" s="1"/>
  <c r="I1029" i="19" s="1"/>
  <c r="D1029" i="19"/>
  <c r="C1029" i="19"/>
  <c r="B1029" i="19"/>
  <c r="F1028" i="19"/>
  <c r="I1028" i="19" s="1"/>
  <c r="E1028" i="19"/>
  <c r="D1028" i="19"/>
  <c r="C1028" i="19"/>
  <c r="B1028" i="19"/>
  <c r="F1027" i="19"/>
  <c r="I1027" i="19" s="1"/>
  <c r="E1027" i="19"/>
  <c r="D1027" i="19"/>
  <c r="C1027" i="19"/>
  <c r="B1027" i="19"/>
  <c r="E1026" i="19"/>
  <c r="F1026" i="19" s="1"/>
  <c r="I1026" i="19" s="1"/>
  <c r="D1026" i="19"/>
  <c r="C1026" i="19"/>
  <c r="B1026" i="19"/>
  <c r="E1025" i="19"/>
  <c r="F1025" i="19" s="1"/>
  <c r="I1025" i="19" s="1"/>
  <c r="D1025" i="19"/>
  <c r="C1025" i="19"/>
  <c r="B1025" i="19"/>
  <c r="F1024" i="19"/>
  <c r="I1024" i="19" s="1"/>
  <c r="E1024" i="19"/>
  <c r="D1024" i="19"/>
  <c r="C1024" i="19"/>
  <c r="B1024" i="19"/>
  <c r="E1023" i="19"/>
  <c r="F1023" i="19" s="1"/>
  <c r="I1023" i="19" s="1"/>
  <c r="D1023" i="19"/>
  <c r="C1023" i="19"/>
  <c r="B1023" i="19"/>
  <c r="E1022" i="19"/>
  <c r="F1022" i="19" s="1"/>
  <c r="I1022" i="19" s="1"/>
  <c r="D1022" i="19"/>
  <c r="C1022" i="19"/>
  <c r="B1022" i="19"/>
  <c r="F1021" i="19"/>
  <c r="I1021" i="19" s="1"/>
  <c r="E1021" i="19"/>
  <c r="D1021" i="19"/>
  <c r="C1021" i="19"/>
  <c r="B1021" i="19"/>
  <c r="F1020" i="19"/>
  <c r="I1020" i="19" s="1"/>
  <c r="E1020" i="19"/>
  <c r="D1020" i="19"/>
  <c r="C1020" i="19"/>
  <c r="B1020" i="19"/>
  <c r="F1019" i="19"/>
  <c r="I1019" i="19" s="1"/>
  <c r="E1019" i="19"/>
  <c r="D1019" i="19"/>
  <c r="C1019" i="19"/>
  <c r="B1019" i="19"/>
  <c r="E1018" i="19"/>
  <c r="F1018" i="19" s="1"/>
  <c r="I1018" i="19" s="1"/>
  <c r="D1018" i="19"/>
  <c r="C1018" i="19"/>
  <c r="B1018" i="19"/>
  <c r="E1017" i="19"/>
  <c r="F1017" i="19" s="1"/>
  <c r="I1017" i="19" s="1"/>
  <c r="D1017" i="19"/>
  <c r="C1017" i="19"/>
  <c r="B1017" i="19"/>
  <c r="F1016" i="19"/>
  <c r="I1016" i="19" s="1"/>
  <c r="E1016" i="19"/>
  <c r="D1016" i="19"/>
  <c r="C1016" i="19"/>
  <c r="B1016" i="19"/>
  <c r="F1015" i="19"/>
  <c r="I1015" i="19" s="1"/>
  <c r="E1015" i="19"/>
  <c r="D1015" i="19"/>
  <c r="C1015" i="19"/>
  <c r="B1015" i="19"/>
  <c r="E1014" i="19"/>
  <c r="F1014" i="19" s="1"/>
  <c r="I1014" i="19" s="1"/>
  <c r="D1014" i="19"/>
  <c r="C1014" i="19"/>
  <c r="B1014" i="19"/>
  <c r="E1013" i="19"/>
  <c r="F1013" i="19" s="1"/>
  <c r="I1013" i="19" s="1"/>
  <c r="D1013" i="19"/>
  <c r="C1013" i="19"/>
  <c r="B1013" i="19"/>
  <c r="E1012" i="19"/>
  <c r="F1012" i="19" s="1"/>
  <c r="I1012" i="19" s="1"/>
  <c r="D1012" i="19"/>
  <c r="C1012" i="19"/>
  <c r="B1012" i="19"/>
  <c r="F1011" i="19"/>
  <c r="I1011" i="19" s="1"/>
  <c r="E1011" i="19"/>
  <c r="D1011" i="19"/>
  <c r="C1011" i="19"/>
  <c r="B1011" i="19"/>
  <c r="F1010" i="19"/>
  <c r="I1010" i="19" s="1"/>
  <c r="E1010" i="19"/>
  <c r="D1010" i="19"/>
  <c r="C1010" i="19"/>
  <c r="B1010" i="19"/>
  <c r="I1009" i="19"/>
  <c r="E1009" i="19"/>
  <c r="F1009" i="19" s="1"/>
  <c r="D1009" i="19"/>
  <c r="C1009" i="19"/>
  <c r="B1009" i="19"/>
  <c r="F1008" i="19"/>
  <c r="I1008" i="19" s="1"/>
  <c r="E1008" i="19"/>
  <c r="D1008" i="19"/>
  <c r="C1008" i="19"/>
  <c r="B1008" i="19"/>
  <c r="F1007" i="19"/>
  <c r="I1007" i="19" s="1"/>
  <c r="E1007" i="19"/>
  <c r="D1007" i="19"/>
  <c r="C1007" i="19"/>
  <c r="B1007" i="19"/>
  <c r="E1006" i="19"/>
  <c r="F1006" i="19" s="1"/>
  <c r="I1006" i="19" s="1"/>
  <c r="D1006" i="19"/>
  <c r="C1006" i="19"/>
  <c r="B1006" i="19"/>
  <c r="I1005" i="19"/>
  <c r="E1005" i="19"/>
  <c r="F1005" i="19" s="1"/>
  <c r="D1005" i="19"/>
  <c r="C1005" i="19"/>
  <c r="B1005" i="19"/>
  <c r="F1004" i="19"/>
  <c r="I1004" i="19" s="1"/>
  <c r="E1004" i="19"/>
  <c r="D1004" i="19"/>
  <c r="C1004" i="19"/>
  <c r="B1004" i="19"/>
  <c r="F1003" i="19"/>
  <c r="I1003" i="19" s="1"/>
  <c r="E1003" i="19"/>
  <c r="D1003" i="19"/>
  <c r="C1003" i="19"/>
  <c r="B1003" i="19"/>
  <c r="E1002" i="19"/>
  <c r="F1002" i="19" s="1"/>
  <c r="I1002" i="19" s="1"/>
  <c r="D1002" i="19"/>
  <c r="C1002" i="19"/>
  <c r="B1002" i="19"/>
  <c r="E1001" i="19"/>
  <c r="F1001" i="19" s="1"/>
  <c r="I1001" i="19" s="1"/>
  <c r="D1001" i="19"/>
  <c r="C1001" i="19"/>
  <c r="B1001" i="19"/>
  <c r="F1000" i="19"/>
  <c r="I1000" i="19" s="1"/>
  <c r="E1000" i="19"/>
  <c r="D1000" i="19"/>
  <c r="C1000" i="19"/>
  <c r="B1000" i="19"/>
  <c r="E999" i="19"/>
  <c r="F999" i="19" s="1"/>
  <c r="I999" i="19" s="1"/>
  <c r="D999" i="19"/>
  <c r="C999" i="19"/>
  <c r="B999" i="19"/>
  <c r="E998" i="19"/>
  <c r="F998" i="19" s="1"/>
  <c r="I998" i="19" s="1"/>
  <c r="D998" i="19"/>
  <c r="C998" i="19"/>
  <c r="B998" i="19"/>
  <c r="I997" i="19"/>
  <c r="F997" i="19"/>
  <c r="E997" i="19"/>
  <c r="D997" i="19"/>
  <c r="C997" i="19"/>
  <c r="B997" i="19"/>
  <c r="F996" i="19"/>
  <c r="I996" i="19" s="1"/>
  <c r="E996" i="19"/>
  <c r="D996" i="19"/>
  <c r="C996" i="19"/>
  <c r="B996" i="19"/>
  <c r="F995" i="19"/>
  <c r="I995" i="19" s="1"/>
  <c r="E995" i="19"/>
  <c r="D995" i="19"/>
  <c r="C995" i="19"/>
  <c r="B995" i="19"/>
  <c r="E994" i="19"/>
  <c r="F994" i="19" s="1"/>
  <c r="I994" i="19" s="1"/>
  <c r="D994" i="19"/>
  <c r="C994" i="19"/>
  <c r="B994" i="19"/>
  <c r="E993" i="19"/>
  <c r="F993" i="19" s="1"/>
  <c r="I993" i="19" s="1"/>
  <c r="D993" i="19"/>
  <c r="C993" i="19"/>
  <c r="B993" i="19"/>
  <c r="F992" i="19"/>
  <c r="I992" i="19" s="1"/>
  <c r="E992" i="19"/>
  <c r="D992" i="19"/>
  <c r="C992" i="19"/>
  <c r="B992" i="19"/>
  <c r="F991" i="19"/>
  <c r="I991" i="19" s="1"/>
  <c r="E991" i="19"/>
  <c r="D991" i="19"/>
  <c r="C991" i="19"/>
  <c r="B991" i="19"/>
  <c r="E990" i="19"/>
  <c r="F990" i="19" s="1"/>
  <c r="I990" i="19" s="1"/>
  <c r="D990" i="19"/>
  <c r="C990" i="19"/>
  <c r="B990" i="19"/>
  <c r="E989" i="19"/>
  <c r="F989" i="19" s="1"/>
  <c r="I989" i="19" s="1"/>
  <c r="D989" i="19"/>
  <c r="C989" i="19"/>
  <c r="B989" i="19"/>
  <c r="E988" i="19"/>
  <c r="F988" i="19" s="1"/>
  <c r="I988" i="19" s="1"/>
  <c r="D988" i="19"/>
  <c r="C988" i="19"/>
  <c r="B988" i="19"/>
  <c r="F987" i="19"/>
  <c r="I987" i="19" s="1"/>
  <c r="E987" i="19"/>
  <c r="D987" i="19"/>
  <c r="C987" i="19"/>
  <c r="B987" i="19"/>
  <c r="F986" i="19"/>
  <c r="I986" i="19" s="1"/>
  <c r="E986" i="19"/>
  <c r="D986" i="19"/>
  <c r="C986" i="19"/>
  <c r="B986" i="19"/>
  <c r="E985" i="19"/>
  <c r="F985" i="19" s="1"/>
  <c r="I985" i="19" s="1"/>
  <c r="D985" i="19"/>
  <c r="C985" i="19"/>
  <c r="B985" i="19"/>
  <c r="F984" i="19"/>
  <c r="I984" i="19" s="1"/>
  <c r="E984" i="19"/>
  <c r="D984" i="19"/>
  <c r="C984" i="19"/>
  <c r="B984" i="19"/>
  <c r="F983" i="19"/>
  <c r="I983" i="19" s="1"/>
  <c r="E983" i="19"/>
  <c r="D983" i="19"/>
  <c r="C983" i="19"/>
  <c r="B983" i="19"/>
  <c r="E982" i="19"/>
  <c r="F982" i="19" s="1"/>
  <c r="I982" i="19" s="1"/>
  <c r="D982" i="19"/>
  <c r="C982" i="19"/>
  <c r="B982" i="19"/>
  <c r="E981" i="19"/>
  <c r="F981" i="19" s="1"/>
  <c r="I981" i="19" s="1"/>
  <c r="D981" i="19"/>
  <c r="C981" i="19"/>
  <c r="B981" i="19"/>
  <c r="F980" i="19"/>
  <c r="I980" i="19" s="1"/>
  <c r="E980" i="19"/>
  <c r="D980" i="19"/>
  <c r="C980" i="19"/>
  <c r="B980" i="19"/>
  <c r="F979" i="19"/>
  <c r="I979" i="19" s="1"/>
  <c r="E979" i="19"/>
  <c r="D979" i="19"/>
  <c r="C979" i="19"/>
  <c r="B979" i="19"/>
  <c r="E978" i="19"/>
  <c r="F978" i="19" s="1"/>
  <c r="I978" i="19" s="1"/>
  <c r="D978" i="19"/>
  <c r="C978" i="19"/>
  <c r="B978" i="19"/>
  <c r="E977" i="19"/>
  <c r="F977" i="19" s="1"/>
  <c r="I977" i="19" s="1"/>
  <c r="D977" i="19"/>
  <c r="C977" i="19"/>
  <c r="B977" i="19"/>
  <c r="F976" i="19"/>
  <c r="I976" i="19" s="1"/>
  <c r="E976" i="19"/>
  <c r="D976" i="19"/>
  <c r="C976" i="19"/>
  <c r="B976" i="19"/>
  <c r="E975" i="19"/>
  <c r="F975" i="19" s="1"/>
  <c r="I975" i="19" s="1"/>
  <c r="D975" i="19"/>
  <c r="C975" i="19"/>
  <c r="B975" i="19"/>
  <c r="E974" i="19"/>
  <c r="F974" i="19" s="1"/>
  <c r="I974" i="19" s="1"/>
  <c r="D974" i="19"/>
  <c r="C974" i="19"/>
  <c r="B974" i="19"/>
  <c r="I973" i="19"/>
  <c r="F973" i="19"/>
  <c r="E973" i="19"/>
  <c r="D973" i="19"/>
  <c r="C973" i="19"/>
  <c r="B973" i="19"/>
  <c r="F972" i="19"/>
  <c r="I972" i="19" s="1"/>
  <c r="E972" i="19"/>
  <c r="D972" i="19"/>
  <c r="C972" i="19"/>
  <c r="B972" i="19"/>
  <c r="F971" i="19"/>
  <c r="I971" i="19" s="1"/>
  <c r="E971" i="19"/>
  <c r="D971" i="19"/>
  <c r="C971" i="19"/>
  <c r="B971" i="19"/>
  <c r="E970" i="19"/>
  <c r="F970" i="19" s="1"/>
  <c r="I970" i="19" s="1"/>
  <c r="D970" i="19"/>
  <c r="C970" i="19"/>
  <c r="B970" i="19"/>
  <c r="E969" i="19"/>
  <c r="F969" i="19" s="1"/>
  <c r="I969" i="19" s="1"/>
  <c r="D969" i="19"/>
  <c r="C969" i="19"/>
  <c r="B969" i="19"/>
  <c r="F968" i="19"/>
  <c r="I968" i="19" s="1"/>
  <c r="E968" i="19"/>
  <c r="D968" i="19"/>
  <c r="C968" i="19"/>
  <c r="B968" i="19"/>
  <c r="F967" i="19"/>
  <c r="I967" i="19" s="1"/>
  <c r="E967" i="19"/>
  <c r="D967" i="19"/>
  <c r="C967" i="19"/>
  <c r="B967" i="19"/>
  <c r="E966" i="19"/>
  <c r="F966" i="19" s="1"/>
  <c r="I966" i="19" s="1"/>
  <c r="D966" i="19"/>
  <c r="C966" i="19"/>
  <c r="B966" i="19"/>
  <c r="E965" i="19"/>
  <c r="F965" i="19" s="1"/>
  <c r="I965" i="19" s="1"/>
  <c r="D965" i="19"/>
  <c r="C965" i="19"/>
  <c r="B965" i="19"/>
  <c r="E964" i="19"/>
  <c r="F964" i="19" s="1"/>
  <c r="I964" i="19" s="1"/>
  <c r="D964" i="19"/>
  <c r="C964" i="19"/>
  <c r="B964" i="19"/>
  <c r="E963" i="19"/>
  <c r="F963" i="19" s="1"/>
  <c r="I963" i="19" s="1"/>
  <c r="D963" i="19"/>
  <c r="C963" i="19"/>
  <c r="B963" i="19"/>
  <c r="E962" i="19"/>
  <c r="F962" i="19" s="1"/>
  <c r="I962" i="19" s="1"/>
  <c r="D962" i="19"/>
  <c r="C962" i="19"/>
  <c r="B962" i="19"/>
  <c r="E961" i="19"/>
  <c r="F961" i="19" s="1"/>
  <c r="I961" i="19" s="1"/>
  <c r="D961" i="19"/>
  <c r="C961" i="19"/>
  <c r="B961" i="19"/>
  <c r="E960" i="19"/>
  <c r="F960" i="19" s="1"/>
  <c r="I960" i="19" s="1"/>
  <c r="D960" i="19"/>
  <c r="C960" i="19"/>
  <c r="B960" i="19"/>
  <c r="E959" i="19"/>
  <c r="F959" i="19" s="1"/>
  <c r="I959" i="19" s="1"/>
  <c r="D959" i="19"/>
  <c r="C959" i="19"/>
  <c r="B959" i="19"/>
  <c r="E958" i="19"/>
  <c r="F958" i="19" s="1"/>
  <c r="I958" i="19" s="1"/>
  <c r="D958" i="19"/>
  <c r="C958" i="19"/>
  <c r="B958" i="19"/>
  <c r="E957" i="19"/>
  <c r="F957" i="19" s="1"/>
  <c r="I957" i="19" s="1"/>
  <c r="D957" i="19"/>
  <c r="C957" i="19"/>
  <c r="B957" i="19"/>
  <c r="E956" i="19"/>
  <c r="F956" i="19" s="1"/>
  <c r="I956" i="19" s="1"/>
  <c r="D956" i="19"/>
  <c r="C956" i="19"/>
  <c r="B956" i="19"/>
  <c r="E955" i="19"/>
  <c r="F955" i="19" s="1"/>
  <c r="I955" i="19" s="1"/>
  <c r="D955" i="19"/>
  <c r="C955" i="19"/>
  <c r="B955" i="19"/>
  <c r="E954" i="19"/>
  <c r="F954" i="19" s="1"/>
  <c r="I954" i="19" s="1"/>
  <c r="D954" i="19"/>
  <c r="C954" i="19"/>
  <c r="B954" i="19"/>
  <c r="E953" i="19"/>
  <c r="F953" i="19" s="1"/>
  <c r="I953" i="19" s="1"/>
  <c r="D953" i="19"/>
  <c r="C953" i="19"/>
  <c r="B953" i="19"/>
  <c r="E952" i="19"/>
  <c r="F952" i="19" s="1"/>
  <c r="I952" i="19" s="1"/>
  <c r="D952" i="19"/>
  <c r="C952" i="19"/>
  <c r="B952" i="19"/>
  <c r="E951" i="19"/>
  <c r="F951" i="19" s="1"/>
  <c r="I951" i="19" s="1"/>
  <c r="D951" i="19"/>
  <c r="C951" i="19"/>
  <c r="B951" i="19"/>
  <c r="E950" i="19"/>
  <c r="F950" i="19" s="1"/>
  <c r="I950" i="19" s="1"/>
  <c r="D950" i="19"/>
  <c r="C950" i="19"/>
  <c r="B950" i="19"/>
  <c r="E949" i="19"/>
  <c r="F949" i="19" s="1"/>
  <c r="I949" i="19" s="1"/>
  <c r="D949" i="19"/>
  <c r="C949" i="19"/>
  <c r="B949" i="19"/>
  <c r="E948" i="19"/>
  <c r="F948" i="19" s="1"/>
  <c r="I948" i="19" s="1"/>
  <c r="D948" i="19"/>
  <c r="C948" i="19"/>
  <c r="B948" i="19"/>
  <c r="E947" i="19"/>
  <c r="F947" i="19" s="1"/>
  <c r="I947" i="19" s="1"/>
  <c r="D947" i="19"/>
  <c r="C947" i="19"/>
  <c r="B947" i="19"/>
  <c r="E946" i="19"/>
  <c r="F946" i="19" s="1"/>
  <c r="I946" i="19" s="1"/>
  <c r="D946" i="19"/>
  <c r="C946" i="19"/>
  <c r="B946" i="19"/>
  <c r="E945" i="19"/>
  <c r="F945" i="19" s="1"/>
  <c r="I945" i="19" s="1"/>
  <c r="D945" i="19"/>
  <c r="C945" i="19"/>
  <c r="B945" i="19"/>
  <c r="E944" i="19"/>
  <c r="F944" i="19" s="1"/>
  <c r="I944" i="19" s="1"/>
  <c r="D944" i="19"/>
  <c r="C944" i="19"/>
  <c r="B944" i="19"/>
  <c r="E943" i="19"/>
  <c r="F943" i="19" s="1"/>
  <c r="I943" i="19" s="1"/>
  <c r="D943" i="19"/>
  <c r="C943" i="19"/>
  <c r="B943" i="19"/>
  <c r="E942" i="19"/>
  <c r="F942" i="19" s="1"/>
  <c r="I942" i="19" s="1"/>
  <c r="D942" i="19"/>
  <c r="C942" i="19"/>
  <c r="B942" i="19"/>
  <c r="E941" i="19"/>
  <c r="F941" i="19" s="1"/>
  <c r="I941" i="19" s="1"/>
  <c r="D941" i="19"/>
  <c r="C941" i="19"/>
  <c r="B941" i="19"/>
  <c r="E940" i="19"/>
  <c r="F940" i="19" s="1"/>
  <c r="I940" i="19" s="1"/>
  <c r="D940" i="19"/>
  <c r="C940" i="19"/>
  <c r="B940" i="19"/>
  <c r="E939" i="19"/>
  <c r="F939" i="19" s="1"/>
  <c r="I939" i="19" s="1"/>
  <c r="D939" i="19"/>
  <c r="C939" i="19"/>
  <c r="B939" i="19"/>
  <c r="E938" i="19"/>
  <c r="F938" i="19" s="1"/>
  <c r="I938" i="19" s="1"/>
  <c r="D938" i="19"/>
  <c r="C938" i="19"/>
  <c r="B938" i="19"/>
  <c r="E937" i="19"/>
  <c r="F937" i="19" s="1"/>
  <c r="I937" i="19" s="1"/>
  <c r="D937" i="19"/>
  <c r="C937" i="19"/>
  <c r="B937" i="19"/>
  <c r="E936" i="19"/>
  <c r="F936" i="19" s="1"/>
  <c r="I936" i="19" s="1"/>
  <c r="D936" i="19"/>
  <c r="C936" i="19"/>
  <c r="B936" i="19"/>
  <c r="E935" i="19"/>
  <c r="F935" i="19" s="1"/>
  <c r="I935" i="19" s="1"/>
  <c r="D935" i="19"/>
  <c r="C935" i="19"/>
  <c r="B935" i="19"/>
  <c r="E934" i="19"/>
  <c r="F934" i="19" s="1"/>
  <c r="I934" i="19" s="1"/>
  <c r="D934" i="19"/>
  <c r="C934" i="19"/>
  <c r="B934" i="19"/>
  <c r="E933" i="19"/>
  <c r="F933" i="19" s="1"/>
  <c r="I933" i="19" s="1"/>
  <c r="D933" i="19"/>
  <c r="C933" i="19"/>
  <c r="B933" i="19"/>
  <c r="E932" i="19"/>
  <c r="F932" i="19" s="1"/>
  <c r="I932" i="19" s="1"/>
  <c r="D932" i="19"/>
  <c r="C932" i="19"/>
  <c r="B932" i="19"/>
  <c r="E931" i="19"/>
  <c r="F931" i="19" s="1"/>
  <c r="I931" i="19" s="1"/>
  <c r="D931" i="19"/>
  <c r="C931" i="19"/>
  <c r="B931" i="19"/>
  <c r="E930" i="19"/>
  <c r="F930" i="19" s="1"/>
  <c r="I930" i="19" s="1"/>
  <c r="D930" i="19"/>
  <c r="C930" i="19"/>
  <c r="B930" i="19"/>
  <c r="E929" i="19"/>
  <c r="F929" i="19" s="1"/>
  <c r="I929" i="19" s="1"/>
  <c r="D929" i="19"/>
  <c r="C929" i="19"/>
  <c r="B929" i="19"/>
  <c r="E928" i="19"/>
  <c r="F928" i="19" s="1"/>
  <c r="I928" i="19" s="1"/>
  <c r="D928" i="19"/>
  <c r="C928" i="19"/>
  <c r="B928" i="19"/>
  <c r="E927" i="19"/>
  <c r="F927" i="19" s="1"/>
  <c r="I927" i="19" s="1"/>
  <c r="D927" i="19"/>
  <c r="C927" i="19"/>
  <c r="B927" i="19"/>
  <c r="E926" i="19"/>
  <c r="F926" i="19" s="1"/>
  <c r="I926" i="19" s="1"/>
  <c r="D926" i="19"/>
  <c r="C926" i="19"/>
  <c r="B926" i="19"/>
  <c r="E925" i="19"/>
  <c r="F925" i="19" s="1"/>
  <c r="I925" i="19" s="1"/>
  <c r="D925" i="19"/>
  <c r="C925" i="19"/>
  <c r="B925" i="19"/>
  <c r="E924" i="19"/>
  <c r="F924" i="19" s="1"/>
  <c r="I924" i="19" s="1"/>
  <c r="D924" i="19"/>
  <c r="C924" i="19"/>
  <c r="B924" i="19"/>
  <c r="E923" i="19"/>
  <c r="F923" i="19" s="1"/>
  <c r="I923" i="19" s="1"/>
  <c r="D923" i="19"/>
  <c r="C923" i="19"/>
  <c r="B923" i="19"/>
  <c r="E922" i="19"/>
  <c r="F922" i="19" s="1"/>
  <c r="I922" i="19" s="1"/>
  <c r="D922" i="19"/>
  <c r="C922" i="19"/>
  <c r="B922" i="19"/>
  <c r="E921" i="19"/>
  <c r="F921" i="19" s="1"/>
  <c r="I921" i="19" s="1"/>
  <c r="D921" i="19"/>
  <c r="C921" i="19"/>
  <c r="B921" i="19"/>
  <c r="E920" i="19"/>
  <c r="F920" i="19" s="1"/>
  <c r="I920" i="19" s="1"/>
  <c r="D920" i="19"/>
  <c r="C920" i="19"/>
  <c r="B920" i="19"/>
  <c r="E919" i="19"/>
  <c r="F919" i="19" s="1"/>
  <c r="I919" i="19" s="1"/>
  <c r="D919" i="19"/>
  <c r="C919" i="19"/>
  <c r="B919" i="19"/>
  <c r="E918" i="19"/>
  <c r="F918" i="19" s="1"/>
  <c r="I918" i="19" s="1"/>
  <c r="D918" i="19"/>
  <c r="C918" i="19"/>
  <c r="B918" i="19"/>
  <c r="E917" i="19"/>
  <c r="F917" i="19" s="1"/>
  <c r="I917" i="19" s="1"/>
  <c r="D917" i="19"/>
  <c r="C917" i="19"/>
  <c r="B917" i="19"/>
  <c r="E916" i="19"/>
  <c r="F916" i="19" s="1"/>
  <c r="I916" i="19" s="1"/>
  <c r="D916" i="19"/>
  <c r="C916" i="19"/>
  <c r="B916" i="19"/>
  <c r="E915" i="19"/>
  <c r="F915" i="19" s="1"/>
  <c r="I915" i="19" s="1"/>
  <c r="D915" i="19"/>
  <c r="C915" i="19"/>
  <c r="B915" i="19"/>
  <c r="E914" i="19"/>
  <c r="F914" i="19" s="1"/>
  <c r="I914" i="19" s="1"/>
  <c r="D914" i="19"/>
  <c r="C914" i="19"/>
  <c r="B914" i="19"/>
  <c r="E913" i="19"/>
  <c r="F913" i="19" s="1"/>
  <c r="I913" i="19" s="1"/>
  <c r="D913" i="19"/>
  <c r="C913" i="19"/>
  <c r="B913" i="19"/>
  <c r="E912" i="19"/>
  <c r="F912" i="19" s="1"/>
  <c r="I912" i="19" s="1"/>
  <c r="D912" i="19"/>
  <c r="C912" i="19"/>
  <c r="B912" i="19"/>
  <c r="E911" i="19"/>
  <c r="F911" i="19" s="1"/>
  <c r="I911" i="19" s="1"/>
  <c r="D911" i="19"/>
  <c r="C911" i="19"/>
  <c r="B911" i="19"/>
  <c r="E910" i="19"/>
  <c r="F910" i="19" s="1"/>
  <c r="I910" i="19" s="1"/>
  <c r="D910" i="19"/>
  <c r="C910" i="19"/>
  <c r="B910" i="19"/>
  <c r="E909" i="19"/>
  <c r="F909" i="19" s="1"/>
  <c r="I909" i="19" s="1"/>
  <c r="D909" i="19"/>
  <c r="C909" i="19"/>
  <c r="B909" i="19"/>
  <c r="E908" i="19"/>
  <c r="F908" i="19" s="1"/>
  <c r="I908" i="19" s="1"/>
  <c r="D908" i="19"/>
  <c r="C908" i="19"/>
  <c r="B908" i="19"/>
  <c r="E907" i="19"/>
  <c r="F907" i="19" s="1"/>
  <c r="I907" i="19" s="1"/>
  <c r="D907" i="19"/>
  <c r="C907" i="19"/>
  <c r="B907" i="19"/>
  <c r="E906" i="19"/>
  <c r="F906" i="19" s="1"/>
  <c r="I906" i="19" s="1"/>
  <c r="D906" i="19"/>
  <c r="C906" i="19"/>
  <c r="B906" i="19"/>
  <c r="E905" i="19"/>
  <c r="F905" i="19" s="1"/>
  <c r="I905" i="19" s="1"/>
  <c r="D905" i="19"/>
  <c r="C905" i="19"/>
  <c r="B905" i="19"/>
  <c r="E904" i="19"/>
  <c r="F904" i="19" s="1"/>
  <c r="I904" i="19" s="1"/>
  <c r="D904" i="19"/>
  <c r="C904" i="19"/>
  <c r="B904" i="19"/>
  <c r="E903" i="19"/>
  <c r="F903" i="19" s="1"/>
  <c r="I903" i="19" s="1"/>
  <c r="D903" i="19"/>
  <c r="C903" i="19"/>
  <c r="B903" i="19"/>
  <c r="E902" i="19"/>
  <c r="F902" i="19" s="1"/>
  <c r="I902" i="19" s="1"/>
  <c r="D902" i="19"/>
  <c r="C902" i="19"/>
  <c r="B902" i="19"/>
  <c r="E901" i="19"/>
  <c r="F901" i="19" s="1"/>
  <c r="I901" i="19" s="1"/>
  <c r="D901" i="19"/>
  <c r="C901" i="19"/>
  <c r="B901" i="19"/>
  <c r="E900" i="19"/>
  <c r="F900" i="19" s="1"/>
  <c r="I900" i="19" s="1"/>
  <c r="D900" i="19"/>
  <c r="C900" i="19"/>
  <c r="B900" i="19"/>
  <c r="E899" i="19"/>
  <c r="F899" i="19" s="1"/>
  <c r="I899" i="19" s="1"/>
  <c r="D899" i="19"/>
  <c r="C899" i="19"/>
  <c r="B899" i="19"/>
  <c r="E898" i="19"/>
  <c r="F898" i="19" s="1"/>
  <c r="I898" i="19" s="1"/>
  <c r="D898" i="19"/>
  <c r="C898" i="19"/>
  <c r="B898" i="19"/>
  <c r="E897" i="19"/>
  <c r="F897" i="19" s="1"/>
  <c r="I897" i="19" s="1"/>
  <c r="D897" i="19"/>
  <c r="C897" i="19"/>
  <c r="B897" i="19"/>
  <c r="E896" i="19"/>
  <c r="F896" i="19" s="1"/>
  <c r="I896" i="19" s="1"/>
  <c r="D896" i="19"/>
  <c r="C896" i="19"/>
  <c r="B896" i="19"/>
  <c r="E895" i="19"/>
  <c r="F895" i="19" s="1"/>
  <c r="I895" i="19" s="1"/>
  <c r="D895" i="19"/>
  <c r="C895" i="19"/>
  <c r="B895" i="19"/>
  <c r="E894" i="19"/>
  <c r="F894" i="19" s="1"/>
  <c r="I894" i="19" s="1"/>
  <c r="D894" i="19"/>
  <c r="C894" i="19"/>
  <c r="B894" i="19"/>
  <c r="E893" i="19"/>
  <c r="F893" i="19" s="1"/>
  <c r="I893" i="19" s="1"/>
  <c r="D893" i="19"/>
  <c r="C893" i="19"/>
  <c r="B893" i="19"/>
  <c r="E892" i="19"/>
  <c r="F892" i="19" s="1"/>
  <c r="I892" i="19" s="1"/>
  <c r="D892" i="19"/>
  <c r="C892" i="19"/>
  <c r="B892" i="19"/>
  <c r="E891" i="19"/>
  <c r="F891" i="19" s="1"/>
  <c r="I891" i="19" s="1"/>
  <c r="D891" i="19"/>
  <c r="C891" i="19"/>
  <c r="B891" i="19"/>
  <c r="E890" i="19"/>
  <c r="F890" i="19" s="1"/>
  <c r="I890" i="19" s="1"/>
  <c r="D890" i="19"/>
  <c r="C890" i="19"/>
  <c r="B890" i="19"/>
  <c r="E889" i="19"/>
  <c r="F889" i="19" s="1"/>
  <c r="I889" i="19" s="1"/>
  <c r="D889" i="19"/>
  <c r="C889" i="19"/>
  <c r="B889" i="19"/>
  <c r="E888" i="19"/>
  <c r="F888" i="19" s="1"/>
  <c r="I888" i="19" s="1"/>
  <c r="D888" i="19"/>
  <c r="C888" i="19"/>
  <c r="B888" i="19"/>
  <c r="E887" i="19"/>
  <c r="F887" i="19" s="1"/>
  <c r="I887" i="19" s="1"/>
  <c r="D887" i="19"/>
  <c r="C887" i="19"/>
  <c r="B887" i="19"/>
  <c r="E886" i="19"/>
  <c r="F886" i="19" s="1"/>
  <c r="I886" i="19" s="1"/>
  <c r="D886" i="19"/>
  <c r="C886" i="19"/>
  <c r="B886" i="19"/>
  <c r="E885" i="19"/>
  <c r="F885" i="19" s="1"/>
  <c r="I885" i="19" s="1"/>
  <c r="D885" i="19"/>
  <c r="C885" i="19"/>
  <c r="B885" i="19"/>
  <c r="E884" i="19"/>
  <c r="F884" i="19" s="1"/>
  <c r="I884" i="19" s="1"/>
  <c r="D884" i="19"/>
  <c r="C884" i="19"/>
  <c r="B884" i="19"/>
  <c r="E883" i="19"/>
  <c r="F883" i="19" s="1"/>
  <c r="I883" i="19" s="1"/>
  <c r="D883" i="19"/>
  <c r="C883" i="19"/>
  <c r="B883" i="19"/>
  <c r="E882" i="19"/>
  <c r="F882" i="19" s="1"/>
  <c r="I882" i="19" s="1"/>
  <c r="D882" i="19"/>
  <c r="C882" i="19"/>
  <c r="B882" i="19"/>
  <c r="E881" i="19"/>
  <c r="F881" i="19" s="1"/>
  <c r="I881" i="19" s="1"/>
  <c r="D881" i="19"/>
  <c r="C881" i="19"/>
  <c r="B881" i="19"/>
  <c r="E880" i="19"/>
  <c r="F880" i="19" s="1"/>
  <c r="I880" i="19" s="1"/>
  <c r="D880" i="19"/>
  <c r="C880" i="19"/>
  <c r="B880" i="19"/>
  <c r="E879" i="19"/>
  <c r="F879" i="19" s="1"/>
  <c r="I879" i="19" s="1"/>
  <c r="D879" i="19"/>
  <c r="C879" i="19"/>
  <c r="B879" i="19"/>
  <c r="E878" i="19"/>
  <c r="F878" i="19" s="1"/>
  <c r="I878" i="19" s="1"/>
  <c r="D878" i="19"/>
  <c r="C878" i="19"/>
  <c r="B878" i="19"/>
  <c r="E877" i="19"/>
  <c r="F877" i="19" s="1"/>
  <c r="I877" i="19" s="1"/>
  <c r="D877" i="19"/>
  <c r="C877" i="19"/>
  <c r="B877" i="19"/>
  <c r="E876" i="19"/>
  <c r="F876" i="19" s="1"/>
  <c r="I876" i="19" s="1"/>
  <c r="D876" i="19"/>
  <c r="C876" i="19"/>
  <c r="B876" i="19"/>
  <c r="E875" i="19"/>
  <c r="F875" i="19" s="1"/>
  <c r="I875" i="19" s="1"/>
  <c r="D875" i="19"/>
  <c r="C875" i="19"/>
  <c r="B875" i="19"/>
  <c r="E874" i="19"/>
  <c r="F874" i="19" s="1"/>
  <c r="I874" i="19" s="1"/>
  <c r="D874" i="19"/>
  <c r="C874" i="19"/>
  <c r="B874" i="19"/>
  <c r="E873" i="19"/>
  <c r="F873" i="19" s="1"/>
  <c r="I873" i="19" s="1"/>
  <c r="D873" i="19"/>
  <c r="C873" i="19"/>
  <c r="B873" i="19"/>
  <c r="E872" i="19"/>
  <c r="F872" i="19" s="1"/>
  <c r="I872" i="19" s="1"/>
  <c r="D872" i="19"/>
  <c r="C872" i="19"/>
  <c r="B872" i="19"/>
  <c r="E871" i="19"/>
  <c r="F871" i="19" s="1"/>
  <c r="I871" i="19" s="1"/>
  <c r="D871" i="19"/>
  <c r="C871" i="19"/>
  <c r="B871" i="19"/>
  <c r="E870" i="19"/>
  <c r="F870" i="19" s="1"/>
  <c r="I870" i="19" s="1"/>
  <c r="D870" i="19"/>
  <c r="C870" i="19"/>
  <c r="B870" i="19"/>
  <c r="E869" i="19"/>
  <c r="F869" i="19" s="1"/>
  <c r="I869" i="19" s="1"/>
  <c r="D869" i="19"/>
  <c r="C869" i="19"/>
  <c r="B869" i="19"/>
  <c r="E868" i="19"/>
  <c r="F868" i="19" s="1"/>
  <c r="I868" i="19" s="1"/>
  <c r="D868" i="19"/>
  <c r="C868" i="19"/>
  <c r="B868" i="19"/>
  <c r="I867" i="19"/>
  <c r="E867" i="19"/>
  <c r="F867" i="19" s="1"/>
  <c r="D867" i="19"/>
  <c r="C867" i="19"/>
  <c r="B867" i="19"/>
  <c r="E866" i="19"/>
  <c r="F866" i="19" s="1"/>
  <c r="I866" i="19" s="1"/>
  <c r="D866" i="19"/>
  <c r="C866" i="19"/>
  <c r="B866" i="19"/>
  <c r="E865" i="19"/>
  <c r="F865" i="19" s="1"/>
  <c r="I865" i="19" s="1"/>
  <c r="D865" i="19"/>
  <c r="C865" i="19"/>
  <c r="B865" i="19"/>
  <c r="E864" i="19"/>
  <c r="F864" i="19" s="1"/>
  <c r="I864" i="19" s="1"/>
  <c r="D864" i="19"/>
  <c r="C864" i="19"/>
  <c r="B864" i="19"/>
  <c r="E863" i="19"/>
  <c r="F863" i="19" s="1"/>
  <c r="I863" i="19" s="1"/>
  <c r="D863" i="19"/>
  <c r="C863" i="19"/>
  <c r="B863" i="19"/>
  <c r="E862" i="19"/>
  <c r="F862" i="19" s="1"/>
  <c r="I862" i="19" s="1"/>
  <c r="D862" i="19"/>
  <c r="C862" i="19"/>
  <c r="B862" i="19"/>
  <c r="E861" i="19"/>
  <c r="F861" i="19" s="1"/>
  <c r="I861" i="19" s="1"/>
  <c r="D861" i="19"/>
  <c r="C861" i="19"/>
  <c r="B861" i="19"/>
  <c r="E860" i="19"/>
  <c r="F860" i="19" s="1"/>
  <c r="I860" i="19" s="1"/>
  <c r="D860" i="19"/>
  <c r="C860" i="19"/>
  <c r="B860" i="19"/>
  <c r="E859" i="19"/>
  <c r="F859" i="19" s="1"/>
  <c r="I859" i="19" s="1"/>
  <c r="D859" i="19"/>
  <c r="C859" i="19"/>
  <c r="B859" i="19"/>
  <c r="E858" i="19"/>
  <c r="F858" i="19" s="1"/>
  <c r="I858" i="19" s="1"/>
  <c r="D858" i="19"/>
  <c r="C858" i="19"/>
  <c r="B858" i="19"/>
  <c r="E857" i="19"/>
  <c r="F857" i="19" s="1"/>
  <c r="I857" i="19" s="1"/>
  <c r="D857" i="19"/>
  <c r="C857" i="19"/>
  <c r="B857" i="19"/>
  <c r="E856" i="19"/>
  <c r="F856" i="19" s="1"/>
  <c r="I856" i="19" s="1"/>
  <c r="D856" i="19"/>
  <c r="C856" i="19"/>
  <c r="B856" i="19"/>
  <c r="E855" i="19"/>
  <c r="F855" i="19" s="1"/>
  <c r="I855" i="19" s="1"/>
  <c r="D855" i="19"/>
  <c r="C855" i="19"/>
  <c r="B855" i="19"/>
  <c r="E854" i="19"/>
  <c r="F854" i="19" s="1"/>
  <c r="I854" i="19" s="1"/>
  <c r="D854" i="19"/>
  <c r="C854" i="19"/>
  <c r="B854" i="19"/>
  <c r="E853" i="19"/>
  <c r="F853" i="19" s="1"/>
  <c r="I853" i="19" s="1"/>
  <c r="D853" i="19"/>
  <c r="C853" i="19"/>
  <c r="B853" i="19"/>
  <c r="E852" i="19"/>
  <c r="F852" i="19" s="1"/>
  <c r="I852" i="19" s="1"/>
  <c r="D852" i="19"/>
  <c r="C852" i="19"/>
  <c r="B852" i="19"/>
  <c r="E851" i="19"/>
  <c r="F851" i="19" s="1"/>
  <c r="I851" i="19" s="1"/>
  <c r="D851" i="19"/>
  <c r="C851" i="19"/>
  <c r="B851" i="19"/>
  <c r="E850" i="19"/>
  <c r="F850" i="19" s="1"/>
  <c r="I850" i="19" s="1"/>
  <c r="D850" i="19"/>
  <c r="C850" i="19"/>
  <c r="B850" i="19"/>
  <c r="E849" i="19"/>
  <c r="F849" i="19" s="1"/>
  <c r="I849" i="19" s="1"/>
  <c r="D849" i="19"/>
  <c r="C849" i="19"/>
  <c r="B849" i="19"/>
  <c r="E848" i="19"/>
  <c r="F848" i="19" s="1"/>
  <c r="I848" i="19" s="1"/>
  <c r="D848" i="19"/>
  <c r="C848" i="19"/>
  <c r="B848" i="19"/>
  <c r="I847" i="19"/>
  <c r="E847" i="19"/>
  <c r="F847" i="19" s="1"/>
  <c r="D847" i="19"/>
  <c r="C847" i="19"/>
  <c r="B847" i="19"/>
  <c r="E846" i="19"/>
  <c r="F846" i="19" s="1"/>
  <c r="I846" i="19" s="1"/>
  <c r="D846" i="19"/>
  <c r="C846" i="19"/>
  <c r="B846" i="19"/>
  <c r="E845" i="19"/>
  <c r="F845" i="19" s="1"/>
  <c r="I845" i="19" s="1"/>
  <c r="D845" i="19"/>
  <c r="C845" i="19"/>
  <c r="B845" i="19"/>
  <c r="E844" i="19"/>
  <c r="F844" i="19" s="1"/>
  <c r="I844" i="19" s="1"/>
  <c r="D844" i="19"/>
  <c r="C844" i="19"/>
  <c r="B844" i="19"/>
  <c r="I843" i="19"/>
  <c r="E843" i="19"/>
  <c r="F843" i="19" s="1"/>
  <c r="D843" i="19"/>
  <c r="C843" i="19"/>
  <c r="B843" i="19"/>
  <c r="E842" i="19"/>
  <c r="F842" i="19" s="1"/>
  <c r="I842" i="19" s="1"/>
  <c r="D842" i="19"/>
  <c r="C842" i="19"/>
  <c r="B842" i="19"/>
  <c r="E841" i="19"/>
  <c r="F841" i="19" s="1"/>
  <c r="I841" i="19" s="1"/>
  <c r="D841" i="19"/>
  <c r="C841" i="19"/>
  <c r="B841" i="19"/>
  <c r="E840" i="19"/>
  <c r="F840" i="19" s="1"/>
  <c r="I840" i="19" s="1"/>
  <c r="D840" i="19"/>
  <c r="C840" i="19"/>
  <c r="B840" i="19"/>
  <c r="I839" i="19"/>
  <c r="E839" i="19"/>
  <c r="F839" i="19" s="1"/>
  <c r="D839" i="19"/>
  <c r="C839" i="19"/>
  <c r="B839" i="19"/>
  <c r="E838" i="19"/>
  <c r="F838" i="19" s="1"/>
  <c r="I838" i="19" s="1"/>
  <c r="D838" i="19"/>
  <c r="C838" i="19"/>
  <c r="B838" i="19"/>
  <c r="E837" i="19"/>
  <c r="F837" i="19" s="1"/>
  <c r="I837" i="19" s="1"/>
  <c r="D837" i="19"/>
  <c r="C837" i="19"/>
  <c r="B837" i="19"/>
  <c r="E836" i="19"/>
  <c r="F836" i="19" s="1"/>
  <c r="I836" i="19" s="1"/>
  <c r="D836" i="19"/>
  <c r="C836" i="19"/>
  <c r="B836" i="19"/>
  <c r="I835" i="19"/>
  <c r="E835" i="19"/>
  <c r="F835" i="19" s="1"/>
  <c r="D835" i="19"/>
  <c r="C835" i="19"/>
  <c r="B835" i="19"/>
  <c r="E834" i="19"/>
  <c r="F834" i="19" s="1"/>
  <c r="I834" i="19" s="1"/>
  <c r="D834" i="19"/>
  <c r="C834" i="19"/>
  <c r="B834" i="19"/>
  <c r="E833" i="19"/>
  <c r="F833" i="19" s="1"/>
  <c r="I833" i="19" s="1"/>
  <c r="D833" i="19"/>
  <c r="C833" i="19"/>
  <c r="B833" i="19"/>
  <c r="E832" i="19"/>
  <c r="F832" i="19" s="1"/>
  <c r="I832" i="19" s="1"/>
  <c r="D832" i="19"/>
  <c r="C832" i="19"/>
  <c r="B832" i="19"/>
  <c r="I831" i="19"/>
  <c r="E831" i="19"/>
  <c r="F831" i="19" s="1"/>
  <c r="D831" i="19"/>
  <c r="C831" i="19"/>
  <c r="B831" i="19"/>
  <c r="E830" i="19"/>
  <c r="F830" i="19" s="1"/>
  <c r="I830" i="19" s="1"/>
  <c r="D830" i="19"/>
  <c r="C830" i="19"/>
  <c r="B830" i="19"/>
  <c r="E829" i="19"/>
  <c r="F829" i="19" s="1"/>
  <c r="I829" i="19" s="1"/>
  <c r="D829" i="19"/>
  <c r="C829" i="19"/>
  <c r="B829" i="19"/>
  <c r="E828" i="19"/>
  <c r="F828" i="19" s="1"/>
  <c r="I828" i="19" s="1"/>
  <c r="D828" i="19"/>
  <c r="C828" i="19"/>
  <c r="B828" i="19"/>
  <c r="I827" i="19"/>
  <c r="E827" i="19"/>
  <c r="F827" i="19" s="1"/>
  <c r="D827" i="19"/>
  <c r="C827" i="19"/>
  <c r="B827" i="19"/>
  <c r="E826" i="19"/>
  <c r="F826" i="19" s="1"/>
  <c r="I826" i="19" s="1"/>
  <c r="D826" i="19"/>
  <c r="C826" i="19"/>
  <c r="B826" i="19"/>
  <c r="E825" i="19"/>
  <c r="F825" i="19" s="1"/>
  <c r="I825" i="19" s="1"/>
  <c r="D825" i="19"/>
  <c r="C825" i="19"/>
  <c r="B825" i="19"/>
  <c r="E824" i="19"/>
  <c r="F824" i="19" s="1"/>
  <c r="I824" i="19" s="1"/>
  <c r="D824" i="19"/>
  <c r="C824" i="19"/>
  <c r="B824" i="19"/>
  <c r="E823" i="19"/>
  <c r="F823" i="19" s="1"/>
  <c r="I823" i="19" s="1"/>
  <c r="D823" i="19"/>
  <c r="C823" i="19"/>
  <c r="B823" i="19"/>
  <c r="E822" i="19"/>
  <c r="F822" i="19" s="1"/>
  <c r="I822" i="19" s="1"/>
  <c r="D822" i="19"/>
  <c r="C822" i="19"/>
  <c r="B822" i="19"/>
  <c r="E821" i="19"/>
  <c r="F821" i="19" s="1"/>
  <c r="I821" i="19" s="1"/>
  <c r="D821" i="19"/>
  <c r="C821" i="19"/>
  <c r="B821" i="19"/>
  <c r="E820" i="19"/>
  <c r="F820" i="19" s="1"/>
  <c r="I820" i="19" s="1"/>
  <c r="D820" i="19"/>
  <c r="C820" i="19"/>
  <c r="B820" i="19"/>
  <c r="I819" i="19"/>
  <c r="E819" i="19"/>
  <c r="F819" i="19" s="1"/>
  <c r="D819" i="19"/>
  <c r="C819" i="19"/>
  <c r="B819" i="19"/>
  <c r="E818" i="19"/>
  <c r="F818" i="19" s="1"/>
  <c r="I818" i="19" s="1"/>
  <c r="D818" i="19"/>
  <c r="C818" i="19"/>
  <c r="B818" i="19"/>
  <c r="E817" i="19"/>
  <c r="F817" i="19" s="1"/>
  <c r="I817" i="19" s="1"/>
  <c r="D817" i="19"/>
  <c r="C817" i="19"/>
  <c r="B817" i="19"/>
  <c r="E816" i="19"/>
  <c r="F816" i="19" s="1"/>
  <c r="I816" i="19" s="1"/>
  <c r="D816" i="19"/>
  <c r="C816" i="19"/>
  <c r="B816" i="19"/>
  <c r="E815" i="19"/>
  <c r="F815" i="19" s="1"/>
  <c r="I815" i="19" s="1"/>
  <c r="D815" i="19"/>
  <c r="C815" i="19"/>
  <c r="B815" i="19"/>
  <c r="E814" i="19"/>
  <c r="F814" i="19" s="1"/>
  <c r="I814" i="19" s="1"/>
  <c r="D814" i="19"/>
  <c r="C814" i="19"/>
  <c r="B814" i="19"/>
  <c r="E813" i="19"/>
  <c r="F813" i="19" s="1"/>
  <c r="I813" i="19" s="1"/>
  <c r="D813" i="19"/>
  <c r="C813" i="19"/>
  <c r="B813" i="19"/>
  <c r="E812" i="19"/>
  <c r="F812" i="19" s="1"/>
  <c r="I812" i="19" s="1"/>
  <c r="D812" i="19"/>
  <c r="C812" i="19"/>
  <c r="B812" i="19"/>
  <c r="E811" i="19"/>
  <c r="F811" i="19" s="1"/>
  <c r="I811" i="19" s="1"/>
  <c r="D811" i="19"/>
  <c r="C811" i="19"/>
  <c r="B811" i="19"/>
  <c r="E810" i="19"/>
  <c r="F810" i="19" s="1"/>
  <c r="I810" i="19" s="1"/>
  <c r="D810" i="19"/>
  <c r="C810" i="19"/>
  <c r="B810" i="19"/>
  <c r="E809" i="19"/>
  <c r="F809" i="19" s="1"/>
  <c r="I809" i="19" s="1"/>
  <c r="D809" i="19"/>
  <c r="C809" i="19"/>
  <c r="B809" i="19"/>
  <c r="E808" i="19"/>
  <c r="F808" i="19" s="1"/>
  <c r="I808" i="19" s="1"/>
  <c r="D808" i="19"/>
  <c r="C808" i="19"/>
  <c r="B808" i="19"/>
  <c r="E807" i="19"/>
  <c r="F807" i="19" s="1"/>
  <c r="I807" i="19" s="1"/>
  <c r="D807" i="19"/>
  <c r="C807" i="19"/>
  <c r="B807" i="19"/>
  <c r="E806" i="19"/>
  <c r="F806" i="19" s="1"/>
  <c r="I806" i="19" s="1"/>
  <c r="D806" i="19"/>
  <c r="C806" i="19"/>
  <c r="B806" i="19"/>
  <c r="E805" i="19"/>
  <c r="F805" i="19" s="1"/>
  <c r="I805" i="19" s="1"/>
  <c r="D805" i="19"/>
  <c r="C805" i="19"/>
  <c r="B805" i="19"/>
  <c r="E804" i="19"/>
  <c r="F804" i="19" s="1"/>
  <c r="I804" i="19" s="1"/>
  <c r="D804" i="19"/>
  <c r="C804" i="19"/>
  <c r="B804" i="19"/>
  <c r="E803" i="19"/>
  <c r="F803" i="19" s="1"/>
  <c r="I803" i="19" s="1"/>
  <c r="D803" i="19"/>
  <c r="C803" i="19"/>
  <c r="B803" i="19"/>
  <c r="E802" i="19"/>
  <c r="F802" i="19" s="1"/>
  <c r="I802" i="19" s="1"/>
  <c r="D802" i="19"/>
  <c r="C802" i="19"/>
  <c r="B802" i="19"/>
  <c r="E801" i="19"/>
  <c r="F801" i="19" s="1"/>
  <c r="I801" i="19" s="1"/>
  <c r="D801" i="19"/>
  <c r="C801" i="19"/>
  <c r="B801" i="19"/>
  <c r="E800" i="19"/>
  <c r="F800" i="19" s="1"/>
  <c r="I800" i="19" s="1"/>
  <c r="D800" i="19"/>
  <c r="C800" i="19"/>
  <c r="B800" i="19"/>
  <c r="E799" i="19"/>
  <c r="F799" i="19" s="1"/>
  <c r="I799" i="19" s="1"/>
  <c r="D799" i="19"/>
  <c r="C799" i="19"/>
  <c r="B799" i="19"/>
  <c r="E798" i="19"/>
  <c r="F798" i="19" s="1"/>
  <c r="I798" i="19" s="1"/>
  <c r="D798" i="19"/>
  <c r="C798" i="19"/>
  <c r="B798" i="19"/>
  <c r="E797" i="19"/>
  <c r="F797" i="19" s="1"/>
  <c r="I797" i="19" s="1"/>
  <c r="D797" i="19"/>
  <c r="C797" i="19"/>
  <c r="B797" i="19"/>
  <c r="E796" i="19"/>
  <c r="F796" i="19" s="1"/>
  <c r="I796" i="19" s="1"/>
  <c r="D796" i="19"/>
  <c r="C796" i="19"/>
  <c r="B796" i="19"/>
  <c r="I795" i="19"/>
  <c r="E795" i="19"/>
  <c r="F795" i="19" s="1"/>
  <c r="D795" i="19"/>
  <c r="C795" i="19"/>
  <c r="B795" i="19"/>
  <c r="E794" i="19"/>
  <c r="F794" i="19" s="1"/>
  <c r="I794" i="19" s="1"/>
  <c r="D794" i="19"/>
  <c r="C794" i="19"/>
  <c r="B794" i="19"/>
  <c r="E793" i="19"/>
  <c r="F793" i="19" s="1"/>
  <c r="I793" i="19" s="1"/>
  <c r="D793" i="19"/>
  <c r="C793" i="19"/>
  <c r="B793" i="19"/>
  <c r="E792" i="19"/>
  <c r="F792" i="19" s="1"/>
  <c r="I792" i="19" s="1"/>
  <c r="D792" i="19"/>
  <c r="C792" i="19"/>
  <c r="B792" i="19"/>
  <c r="E791" i="19"/>
  <c r="F791" i="19" s="1"/>
  <c r="I791" i="19" s="1"/>
  <c r="D791" i="19"/>
  <c r="C791" i="19"/>
  <c r="B791" i="19"/>
  <c r="E790" i="19"/>
  <c r="F790" i="19" s="1"/>
  <c r="I790" i="19" s="1"/>
  <c r="D790" i="19"/>
  <c r="C790" i="19"/>
  <c r="B790" i="19"/>
  <c r="E789" i="19"/>
  <c r="F789" i="19" s="1"/>
  <c r="I789" i="19" s="1"/>
  <c r="D789" i="19"/>
  <c r="C789" i="19"/>
  <c r="B789" i="19"/>
  <c r="E788" i="19"/>
  <c r="F788" i="19" s="1"/>
  <c r="I788" i="19" s="1"/>
  <c r="D788" i="19"/>
  <c r="C788" i="19"/>
  <c r="B788" i="19"/>
  <c r="I787" i="19"/>
  <c r="E787" i="19"/>
  <c r="F787" i="19" s="1"/>
  <c r="D787" i="19"/>
  <c r="C787" i="19"/>
  <c r="B787" i="19"/>
  <c r="E786" i="19"/>
  <c r="F786" i="19" s="1"/>
  <c r="I786" i="19" s="1"/>
  <c r="D786" i="19"/>
  <c r="C786" i="19"/>
  <c r="B786" i="19"/>
  <c r="E785" i="19"/>
  <c r="F785" i="19" s="1"/>
  <c r="I785" i="19" s="1"/>
  <c r="D785" i="19"/>
  <c r="C785" i="19"/>
  <c r="B785" i="19"/>
  <c r="E784" i="19"/>
  <c r="F784" i="19" s="1"/>
  <c r="I784" i="19" s="1"/>
  <c r="D784" i="19"/>
  <c r="C784" i="19"/>
  <c r="B784" i="19"/>
  <c r="E783" i="19"/>
  <c r="F783" i="19" s="1"/>
  <c r="I783" i="19" s="1"/>
  <c r="D783" i="19"/>
  <c r="C783" i="19"/>
  <c r="B783" i="19"/>
  <c r="E782" i="19"/>
  <c r="F782" i="19" s="1"/>
  <c r="I782" i="19" s="1"/>
  <c r="D782" i="19"/>
  <c r="C782" i="19"/>
  <c r="B782" i="19"/>
  <c r="E781" i="19"/>
  <c r="F781" i="19" s="1"/>
  <c r="I781" i="19" s="1"/>
  <c r="D781" i="19"/>
  <c r="C781" i="19"/>
  <c r="B781" i="19"/>
  <c r="E780" i="19"/>
  <c r="F780" i="19" s="1"/>
  <c r="I780" i="19" s="1"/>
  <c r="D780" i="19"/>
  <c r="C780" i="19"/>
  <c r="B780" i="19"/>
  <c r="E779" i="19"/>
  <c r="F779" i="19" s="1"/>
  <c r="I779" i="19" s="1"/>
  <c r="D779" i="19"/>
  <c r="C779" i="19"/>
  <c r="B779" i="19"/>
  <c r="E778" i="19"/>
  <c r="F778" i="19" s="1"/>
  <c r="I778" i="19" s="1"/>
  <c r="D778" i="19"/>
  <c r="C778" i="19"/>
  <c r="B778" i="19"/>
  <c r="E777" i="19"/>
  <c r="F777" i="19" s="1"/>
  <c r="I777" i="19" s="1"/>
  <c r="D777" i="19"/>
  <c r="C777" i="19"/>
  <c r="B777" i="19"/>
  <c r="E776" i="19"/>
  <c r="F776" i="19" s="1"/>
  <c r="I776" i="19" s="1"/>
  <c r="D776" i="19"/>
  <c r="C776" i="19"/>
  <c r="B776" i="19"/>
  <c r="E775" i="19"/>
  <c r="F775" i="19" s="1"/>
  <c r="I775" i="19" s="1"/>
  <c r="D775" i="19"/>
  <c r="C775" i="19"/>
  <c r="B775" i="19"/>
  <c r="E774" i="19"/>
  <c r="F774" i="19" s="1"/>
  <c r="I774" i="19" s="1"/>
  <c r="D774" i="19"/>
  <c r="C774" i="19"/>
  <c r="B774" i="19"/>
  <c r="E773" i="19"/>
  <c r="F773" i="19" s="1"/>
  <c r="I773" i="19" s="1"/>
  <c r="D773" i="19"/>
  <c r="C773" i="19"/>
  <c r="B773" i="19"/>
  <c r="E772" i="19"/>
  <c r="F772" i="19" s="1"/>
  <c r="I772" i="19" s="1"/>
  <c r="D772" i="19"/>
  <c r="C772" i="19"/>
  <c r="B772" i="19"/>
  <c r="E771" i="19"/>
  <c r="F771" i="19" s="1"/>
  <c r="I771" i="19" s="1"/>
  <c r="D771" i="19"/>
  <c r="C771" i="19"/>
  <c r="B771" i="19"/>
  <c r="E770" i="19"/>
  <c r="F770" i="19" s="1"/>
  <c r="I770" i="19" s="1"/>
  <c r="D770" i="19"/>
  <c r="C770" i="19"/>
  <c r="B770" i="19"/>
  <c r="E769" i="19"/>
  <c r="F769" i="19" s="1"/>
  <c r="I769" i="19" s="1"/>
  <c r="D769" i="19"/>
  <c r="C769" i="19"/>
  <c r="B769" i="19"/>
  <c r="E768" i="19"/>
  <c r="F768" i="19" s="1"/>
  <c r="I768" i="19" s="1"/>
  <c r="D768" i="19"/>
  <c r="C768" i="19"/>
  <c r="B768" i="19"/>
  <c r="E767" i="19"/>
  <c r="F767" i="19" s="1"/>
  <c r="I767" i="19" s="1"/>
  <c r="D767" i="19"/>
  <c r="C767" i="19"/>
  <c r="B767" i="19"/>
  <c r="E766" i="19"/>
  <c r="F766" i="19" s="1"/>
  <c r="I766" i="19" s="1"/>
  <c r="D766" i="19"/>
  <c r="C766" i="19"/>
  <c r="B766" i="19"/>
  <c r="E765" i="19"/>
  <c r="F765" i="19" s="1"/>
  <c r="I765" i="19" s="1"/>
  <c r="D765" i="19"/>
  <c r="C765" i="19"/>
  <c r="B765" i="19"/>
  <c r="E764" i="19"/>
  <c r="F764" i="19" s="1"/>
  <c r="I764" i="19" s="1"/>
  <c r="D764" i="19"/>
  <c r="C764" i="19"/>
  <c r="B764" i="19"/>
  <c r="I763" i="19"/>
  <c r="E763" i="19"/>
  <c r="F763" i="19" s="1"/>
  <c r="D763" i="19"/>
  <c r="C763" i="19"/>
  <c r="B763" i="19"/>
  <c r="E762" i="19"/>
  <c r="F762" i="19" s="1"/>
  <c r="I762" i="19" s="1"/>
  <c r="D762" i="19"/>
  <c r="C762" i="19"/>
  <c r="B762" i="19"/>
  <c r="E761" i="19"/>
  <c r="F761" i="19" s="1"/>
  <c r="I761" i="19" s="1"/>
  <c r="D761" i="19"/>
  <c r="C761" i="19"/>
  <c r="B761" i="19"/>
  <c r="E760" i="19"/>
  <c r="F760" i="19" s="1"/>
  <c r="I760" i="19" s="1"/>
  <c r="D760" i="19"/>
  <c r="C760" i="19"/>
  <c r="B760" i="19"/>
  <c r="E759" i="19"/>
  <c r="F759" i="19" s="1"/>
  <c r="I759" i="19" s="1"/>
  <c r="D759" i="19"/>
  <c r="C759" i="19"/>
  <c r="B759" i="19"/>
  <c r="E758" i="19"/>
  <c r="F758" i="19" s="1"/>
  <c r="I758" i="19" s="1"/>
  <c r="D758" i="19"/>
  <c r="C758" i="19"/>
  <c r="B758" i="19"/>
  <c r="E757" i="19"/>
  <c r="F757" i="19" s="1"/>
  <c r="I757" i="19" s="1"/>
  <c r="D757" i="19"/>
  <c r="C757" i="19"/>
  <c r="B757" i="19"/>
  <c r="E756" i="19"/>
  <c r="F756" i="19" s="1"/>
  <c r="I756" i="19" s="1"/>
  <c r="D756" i="19"/>
  <c r="C756" i="19"/>
  <c r="B756" i="19"/>
  <c r="I755" i="19"/>
  <c r="E755" i="19"/>
  <c r="F755" i="19" s="1"/>
  <c r="D755" i="19"/>
  <c r="C755" i="19"/>
  <c r="B755" i="19"/>
  <c r="E754" i="19"/>
  <c r="F754" i="19" s="1"/>
  <c r="I754" i="19" s="1"/>
  <c r="D754" i="19"/>
  <c r="C754" i="19"/>
  <c r="B754" i="19"/>
  <c r="E753" i="19"/>
  <c r="F753" i="19" s="1"/>
  <c r="I753" i="19" s="1"/>
  <c r="D753" i="19"/>
  <c r="C753" i="19"/>
  <c r="B753" i="19"/>
  <c r="E752" i="19"/>
  <c r="F752" i="19" s="1"/>
  <c r="I752" i="19" s="1"/>
  <c r="D752" i="19"/>
  <c r="C752" i="19"/>
  <c r="B752" i="19"/>
  <c r="E751" i="19"/>
  <c r="F751" i="19" s="1"/>
  <c r="I751" i="19" s="1"/>
  <c r="D751" i="19"/>
  <c r="C751" i="19"/>
  <c r="B751" i="19"/>
  <c r="E750" i="19"/>
  <c r="F750" i="19" s="1"/>
  <c r="I750" i="19" s="1"/>
  <c r="D750" i="19"/>
  <c r="C750" i="19"/>
  <c r="B750" i="19"/>
  <c r="E749" i="19"/>
  <c r="F749" i="19" s="1"/>
  <c r="I749" i="19" s="1"/>
  <c r="D749" i="19"/>
  <c r="C749" i="19"/>
  <c r="B749" i="19"/>
  <c r="E748" i="19"/>
  <c r="F748" i="19" s="1"/>
  <c r="I748" i="19" s="1"/>
  <c r="D748" i="19"/>
  <c r="C748" i="19"/>
  <c r="B748" i="19"/>
  <c r="E747" i="19"/>
  <c r="F747" i="19" s="1"/>
  <c r="I747" i="19" s="1"/>
  <c r="D747" i="19"/>
  <c r="C747" i="19"/>
  <c r="B747" i="19"/>
  <c r="E746" i="19"/>
  <c r="F746" i="19" s="1"/>
  <c r="I746" i="19" s="1"/>
  <c r="D746" i="19"/>
  <c r="C746" i="19"/>
  <c r="B746" i="19"/>
  <c r="E745" i="19"/>
  <c r="F745" i="19" s="1"/>
  <c r="I745" i="19" s="1"/>
  <c r="D745" i="19"/>
  <c r="C745" i="19"/>
  <c r="B745" i="19"/>
  <c r="E744" i="19"/>
  <c r="F744" i="19" s="1"/>
  <c r="I744" i="19" s="1"/>
  <c r="D744" i="19"/>
  <c r="C744" i="19"/>
  <c r="B744" i="19"/>
  <c r="E743" i="19"/>
  <c r="F743" i="19" s="1"/>
  <c r="I743" i="19" s="1"/>
  <c r="D743" i="19"/>
  <c r="C743" i="19"/>
  <c r="B743" i="19"/>
  <c r="E742" i="19"/>
  <c r="F742" i="19" s="1"/>
  <c r="I742" i="19" s="1"/>
  <c r="D742" i="19"/>
  <c r="C742" i="19"/>
  <c r="B742" i="19"/>
  <c r="E741" i="19"/>
  <c r="F741" i="19" s="1"/>
  <c r="I741" i="19" s="1"/>
  <c r="D741" i="19"/>
  <c r="C741" i="19"/>
  <c r="B741" i="19"/>
  <c r="E740" i="19"/>
  <c r="F740" i="19" s="1"/>
  <c r="I740" i="19" s="1"/>
  <c r="D740" i="19"/>
  <c r="C740" i="19"/>
  <c r="B740" i="19"/>
  <c r="E739" i="19"/>
  <c r="F739" i="19" s="1"/>
  <c r="I739" i="19" s="1"/>
  <c r="D739" i="19"/>
  <c r="C739" i="19"/>
  <c r="B739" i="19"/>
  <c r="E738" i="19"/>
  <c r="F738" i="19" s="1"/>
  <c r="I738" i="19" s="1"/>
  <c r="D738" i="19"/>
  <c r="C738" i="19"/>
  <c r="B738" i="19"/>
  <c r="E737" i="19"/>
  <c r="F737" i="19" s="1"/>
  <c r="I737" i="19" s="1"/>
  <c r="D737" i="19"/>
  <c r="C737" i="19"/>
  <c r="B737" i="19"/>
  <c r="E736" i="19"/>
  <c r="F736" i="19" s="1"/>
  <c r="I736" i="19" s="1"/>
  <c r="D736" i="19"/>
  <c r="C736" i="19"/>
  <c r="B736" i="19"/>
  <c r="E735" i="19"/>
  <c r="F735" i="19" s="1"/>
  <c r="I735" i="19" s="1"/>
  <c r="D735" i="19"/>
  <c r="C735" i="19"/>
  <c r="B735" i="19"/>
  <c r="E734" i="19"/>
  <c r="F734" i="19" s="1"/>
  <c r="I734" i="19" s="1"/>
  <c r="D734" i="19"/>
  <c r="C734" i="19"/>
  <c r="B734" i="19"/>
  <c r="E733" i="19"/>
  <c r="F733" i="19" s="1"/>
  <c r="I733" i="19" s="1"/>
  <c r="D733" i="19"/>
  <c r="C733" i="19"/>
  <c r="B733" i="19"/>
  <c r="E732" i="19"/>
  <c r="F732" i="19" s="1"/>
  <c r="I732" i="19" s="1"/>
  <c r="D732" i="19"/>
  <c r="C732" i="19"/>
  <c r="B732" i="19"/>
  <c r="I731" i="19"/>
  <c r="E731" i="19"/>
  <c r="F731" i="19" s="1"/>
  <c r="D731" i="19"/>
  <c r="C731" i="19"/>
  <c r="B731" i="19"/>
  <c r="E730" i="19"/>
  <c r="F730" i="19" s="1"/>
  <c r="I730" i="19" s="1"/>
  <c r="D730" i="19"/>
  <c r="C730" i="19"/>
  <c r="B730" i="19"/>
  <c r="E729" i="19"/>
  <c r="F729" i="19" s="1"/>
  <c r="I729" i="19" s="1"/>
  <c r="D729" i="19"/>
  <c r="C729" i="19"/>
  <c r="B729" i="19"/>
  <c r="E728" i="19"/>
  <c r="F728" i="19" s="1"/>
  <c r="I728" i="19" s="1"/>
  <c r="D728" i="19"/>
  <c r="C728" i="19"/>
  <c r="B728" i="19"/>
  <c r="E727" i="19"/>
  <c r="F727" i="19" s="1"/>
  <c r="I727" i="19" s="1"/>
  <c r="D727" i="19"/>
  <c r="C727" i="19"/>
  <c r="B727" i="19"/>
  <c r="E726" i="19"/>
  <c r="F726" i="19" s="1"/>
  <c r="I726" i="19" s="1"/>
  <c r="D726" i="19"/>
  <c r="C726" i="19"/>
  <c r="B726" i="19"/>
  <c r="E725" i="19"/>
  <c r="F725" i="19" s="1"/>
  <c r="I725" i="19" s="1"/>
  <c r="D725" i="19"/>
  <c r="C725" i="19"/>
  <c r="B725" i="19"/>
  <c r="E724" i="19"/>
  <c r="F724" i="19" s="1"/>
  <c r="I724" i="19" s="1"/>
  <c r="D724" i="19"/>
  <c r="C724" i="19"/>
  <c r="B724" i="19"/>
  <c r="I723" i="19"/>
  <c r="E723" i="19"/>
  <c r="F723" i="19" s="1"/>
  <c r="D723" i="19"/>
  <c r="C723" i="19"/>
  <c r="B723" i="19"/>
  <c r="E722" i="19"/>
  <c r="F722" i="19" s="1"/>
  <c r="I722" i="19" s="1"/>
  <c r="D722" i="19"/>
  <c r="C722" i="19"/>
  <c r="B722" i="19"/>
  <c r="E721" i="19"/>
  <c r="F721" i="19" s="1"/>
  <c r="I721" i="19" s="1"/>
  <c r="D721" i="19"/>
  <c r="C721" i="19"/>
  <c r="B721" i="19"/>
  <c r="E720" i="19"/>
  <c r="F720" i="19" s="1"/>
  <c r="I720" i="19" s="1"/>
  <c r="D720" i="19"/>
  <c r="C720" i="19"/>
  <c r="B720" i="19"/>
  <c r="E719" i="19"/>
  <c r="F719" i="19" s="1"/>
  <c r="I719" i="19" s="1"/>
  <c r="D719" i="19"/>
  <c r="C719" i="19"/>
  <c r="B719" i="19"/>
  <c r="E718" i="19"/>
  <c r="F718" i="19" s="1"/>
  <c r="I718" i="19" s="1"/>
  <c r="D718" i="19"/>
  <c r="C718" i="19"/>
  <c r="B718" i="19"/>
  <c r="E717" i="19"/>
  <c r="F717" i="19" s="1"/>
  <c r="I717" i="19" s="1"/>
  <c r="D717" i="19"/>
  <c r="C717" i="19"/>
  <c r="B717" i="19"/>
  <c r="E716" i="19"/>
  <c r="F716" i="19" s="1"/>
  <c r="I716" i="19" s="1"/>
  <c r="D716" i="19"/>
  <c r="C716" i="19"/>
  <c r="B716" i="19"/>
  <c r="E715" i="19"/>
  <c r="F715" i="19" s="1"/>
  <c r="I715" i="19" s="1"/>
  <c r="D715" i="19"/>
  <c r="C715" i="19"/>
  <c r="B715" i="19"/>
  <c r="E714" i="19"/>
  <c r="F714" i="19" s="1"/>
  <c r="I714" i="19" s="1"/>
  <c r="D714" i="19"/>
  <c r="C714" i="19"/>
  <c r="B714" i="19"/>
  <c r="E713" i="19"/>
  <c r="F713" i="19" s="1"/>
  <c r="I713" i="19" s="1"/>
  <c r="D713" i="19"/>
  <c r="C713" i="19"/>
  <c r="B713" i="19"/>
  <c r="E712" i="19"/>
  <c r="F712" i="19" s="1"/>
  <c r="I712" i="19" s="1"/>
  <c r="D712" i="19"/>
  <c r="C712" i="19"/>
  <c r="B712" i="19"/>
  <c r="E711" i="19"/>
  <c r="F711" i="19" s="1"/>
  <c r="I711" i="19" s="1"/>
  <c r="D711" i="19"/>
  <c r="C711" i="19"/>
  <c r="B711" i="19"/>
  <c r="E710" i="19"/>
  <c r="F710" i="19" s="1"/>
  <c r="I710" i="19" s="1"/>
  <c r="D710" i="19"/>
  <c r="C710" i="19"/>
  <c r="B710" i="19"/>
  <c r="E709" i="19"/>
  <c r="F709" i="19" s="1"/>
  <c r="I709" i="19" s="1"/>
  <c r="D709" i="19"/>
  <c r="C709" i="19"/>
  <c r="B709" i="19"/>
  <c r="E708" i="19"/>
  <c r="F708" i="19" s="1"/>
  <c r="I708" i="19" s="1"/>
  <c r="D708" i="19"/>
  <c r="C708" i="19"/>
  <c r="B708" i="19"/>
  <c r="E707" i="19"/>
  <c r="F707" i="19" s="1"/>
  <c r="I707" i="19" s="1"/>
  <c r="D707" i="19"/>
  <c r="C707" i="19"/>
  <c r="B707" i="19"/>
  <c r="E706" i="19"/>
  <c r="F706" i="19" s="1"/>
  <c r="I706" i="19" s="1"/>
  <c r="D706" i="19"/>
  <c r="C706" i="19"/>
  <c r="B706" i="19"/>
  <c r="E705" i="19"/>
  <c r="F705" i="19" s="1"/>
  <c r="I705" i="19" s="1"/>
  <c r="D705" i="19"/>
  <c r="C705" i="19"/>
  <c r="B705" i="19"/>
  <c r="E704" i="19"/>
  <c r="F704" i="19" s="1"/>
  <c r="I704" i="19" s="1"/>
  <c r="D704" i="19"/>
  <c r="C704" i="19"/>
  <c r="B704" i="19"/>
  <c r="E703" i="19"/>
  <c r="F703" i="19" s="1"/>
  <c r="I703" i="19" s="1"/>
  <c r="D703" i="19"/>
  <c r="C703" i="19"/>
  <c r="B703" i="19"/>
  <c r="E702" i="19"/>
  <c r="F702" i="19" s="1"/>
  <c r="I702" i="19" s="1"/>
  <c r="D702" i="19"/>
  <c r="C702" i="19"/>
  <c r="B702" i="19"/>
  <c r="E701" i="19"/>
  <c r="F701" i="19" s="1"/>
  <c r="I701" i="19" s="1"/>
  <c r="D701" i="19"/>
  <c r="C701" i="19"/>
  <c r="B701" i="19"/>
  <c r="E700" i="19"/>
  <c r="F700" i="19" s="1"/>
  <c r="I700" i="19" s="1"/>
  <c r="D700" i="19"/>
  <c r="C700" i="19"/>
  <c r="B700" i="19"/>
  <c r="E699" i="19"/>
  <c r="F699" i="19" s="1"/>
  <c r="I699" i="19" s="1"/>
  <c r="D699" i="19"/>
  <c r="C699" i="19"/>
  <c r="B699" i="19"/>
  <c r="E698" i="19"/>
  <c r="F698" i="19" s="1"/>
  <c r="I698" i="19" s="1"/>
  <c r="D698" i="19"/>
  <c r="C698" i="19"/>
  <c r="B698" i="19"/>
  <c r="E697" i="19"/>
  <c r="F697" i="19" s="1"/>
  <c r="I697" i="19" s="1"/>
  <c r="D697" i="19"/>
  <c r="C697" i="19"/>
  <c r="B697" i="19"/>
  <c r="E696" i="19"/>
  <c r="F696" i="19" s="1"/>
  <c r="I696" i="19" s="1"/>
  <c r="D696" i="19"/>
  <c r="C696" i="19"/>
  <c r="B696" i="19"/>
  <c r="E695" i="19"/>
  <c r="F695" i="19" s="1"/>
  <c r="I695" i="19" s="1"/>
  <c r="D695" i="19"/>
  <c r="C695" i="19"/>
  <c r="B695" i="19"/>
  <c r="E694" i="19"/>
  <c r="F694" i="19" s="1"/>
  <c r="I694" i="19" s="1"/>
  <c r="D694" i="19"/>
  <c r="C694" i="19"/>
  <c r="B694" i="19"/>
  <c r="E693" i="19"/>
  <c r="F693" i="19" s="1"/>
  <c r="I693" i="19" s="1"/>
  <c r="D693" i="19"/>
  <c r="C693" i="19"/>
  <c r="B693" i="19"/>
  <c r="E692" i="19"/>
  <c r="F692" i="19" s="1"/>
  <c r="I692" i="19" s="1"/>
  <c r="D692" i="19"/>
  <c r="C692" i="19"/>
  <c r="B692" i="19"/>
  <c r="E691" i="19"/>
  <c r="F691" i="19" s="1"/>
  <c r="I691" i="19" s="1"/>
  <c r="D691" i="19"/>
  <c r="C691" i="19"/>
  <c r="B691" i="19"/>
  <c r="E690" i="19"/>
  <c r="F690" i="19" s="1"/>
  <c r="I690" i="19" s="1"/>
  <c r="D690" i="19"/>
  <c r="C690" i="19"/>
  <c r="B690" i="19"/>
  <c r="E689" i="19"/>
  <c r="F689" i="19" s="1"/>
  <c r="I689" i="19" s="1"/>
  <c r="D689" i="19"/>
  <c r="C689" i="19"/>
  <c r="B689" i="19"/>
  <c r="E688" i="19"/>
  <c r="F688" i="19" s="1"/>
  <c r="I688" i="19" s="1"/>
  <c r="D688" i="19"/>
  <c r="C688" i="19"/>
  <c r="B688" i="19"/>
  <c r="E687" i="19"/>
  <c r="F687" i="19" s="1"/>
  <c r="I687" i="19" s="1"/>
  <c r="D687" i="19"/>
  <c r="C687" i="19"/>
  <c r="B687" i="19"/>
  <c r="E686" i="19"/>
  <c r="F686" i="19" s="1"/>
  <c r="I686" i="19" s="1"/>
  <c r="D686" i="19"/>
  <c r="C686" i="19"/>
  <c r="B686" i="19"/>
  <c r="E685" i="19"/>
  <c r="F685" i="19" s="1"/>
  <c r="I685" i="19" s="1"/>
  <c r="D685" i="19"/>
  <c r="C685" i="19"/>
  <c r="B685" i="19"/>
  <c r="E684" i="19"/>
  <c r="F684" i="19" s="1"/>
  <c r="I684" i="19" s="1"/>
  <c r="D684" i="19"/>
  <c r="C684" i="19"/>
  <c r="B684" i="19"/>
  <c r="E683" i="19"/>
  <c r="F683" i="19" s="1"/>
  <c r="I683" i="19" s="1"/>
  <c r="D683" i="19"/>
  <c r="C683" i="19"/>
  <c r="B683" i="19"/>
  <c r="E682" i="19"/>
  <c r="F682" i="19" s="1"/>
  <c r="I682" i="19" s="1"/>
  <c r="D682" i="19"/>
  <c r="C682" i="19"/>
  <c r="B682" i="19"/>
  <c r="E681" i="19"/>
  <c r="F681" i="19" s="1"/>
  <c r="I681" i="19" s="1"/>
  <c r="D681" i="19"/>
  <c r="C681" i="19"/>
  <c r="B681" i="19"/>
  <c r="E680" i="19"/>
  <c r="F680" i="19" s="1"/>
  <c r="I680" i="19" s="1"/>
  <c r="D680" i="19"/>
  <c r="C680" i="19"/>
  <c r="B680" i="19"/>
  <c r="F679" i="19"/>
  <c r="I679" i="19" s="1"/>
  <c r="E679" i="19"/>
  <c r="D679" i="19"/>
  <c r="C679" i="19"/>
  <c r="B679" i="19"/>
  <c r="E678" i="19"/>
  <c r="F678" i="19" s="1"/>
  <c r="I678" i="19" s="1"/>
  <c r="D678" i="19"/>
  <c r="C678" i="19"/>
  <c r="B678" i="19"/>
  <c r="F677" i="19"/>
  <c r="I677" i="19" s="1"/>
  <c r="E677" i="19"/>
  <c r="D677" i="19"/>
  <c r="C677" i="19"/>
  <c r="B677" i="19"/>
  <c r="F676" i="19"/>
  <c r="I676" i="19" s="1"/>
  <c r="E676" i="19"/>
  <c r="D676" i="19"/>
  <c r="C676" i="19"/>
  <c r="B676" i="19"/>
  <c r="F675" i="19"/>
  <c r="I675" i="19" s="1"/>
  <c r="E675" i="19"/>
  <c r="D675" i="19"/>
  <c r="C675" i="19"/>
  <c r="B675" i="19"/>
  <c r="F674" i="19"/>
  <c r="I674" i="19" s="1"/>
  <c r="E674" i="19"/>
  <c r="D674" i="19"/>
  <c r="C674" i="19"/>
  <c r="B674" i="19"/>
  <c r="F673" i="19"/>
  <c r="I673" i="19" s="1"/>
  <c r="E673" i="19"/>
  <c r="D673" i="19"/>
  <c r="C673" i="19"/>
  <c r="B673" i="19"/>
  <c r="E672" i="19"/>
  <c r="F672" i="19" s="1"/>
  <c r="I672" i="19" s="1"/>
  <c r="D672" i="19"/>
  <c r="C672" i="19"/>
  <c r="B672" i="19"/>
  <c r="E671" i="19"/>
  <c r="F671" i="19" s="1"/>
  <c r="I671" i="19" s="1"/>
  <c r="D671" i="19"/>
  <c r="C671" i="19"/>
  <c r="B671" i="19"/>
  <c r="E670" i="19"/>
  <c r="F670" i="19" s="1"/>
  <c r="I670" i="19" s="1"/>
  <c r="D670" i="19"/>
  <c r="C670" i="19"/>
  <c r="B670" i="19"/>
  <c r="E669" i="19"/>
  <c r="F669" i="19" s="1"/>
  <c r="I669" i="19" s="1"/>
  <c r="D669" i="19"/>
  <c r="C669" i="19"/>
  <c r="B669" i="19"/>
  <c r="E668" i="19"/>
  <c r="F668" i="19" s="1"/>
  <c r="I668" i="19" s="1"/>
  <c r="D668" i="19"/>
  <c r="C668" i="19"/>
  <c r="B668" i="19"/>
  <c r="F667" i="19"/>
  <c r="I667" i="19" s="1"/>
  <c r="E667" i="19"/>
  <c r="D667" i="19"/>
  <c r="C667" i="19"/>
  <c r="B667" i="19"/>
  <c r="E666" i="19"/>
  <c r="F666" i="19" s="1"/>
  <c r="I666" i="19" s="1"/>
  <c r="D666" i="19"/>
  <c r="C666" i="19"/>
  <c r="B666" i="19"/>
  <c r="F665" i="19"/>
  <c r="I665" i="19" s="1"/>
  <c r="E665" i="19"/>
  <c r="D665" i="19"/>
  <c r="C665" i="19"/>
  <c r="B665" i="19"/>
  <c r="F664" i="19"/>
  <c r="I664" i="19" s="1"/>
  <c r="E664" i="19"/>
  <c r="D664" i="19"/>
  <c r="C664" i="19"/>
  <c r="B664" i="19"/>
  <c r="F663" i="19"/>
  <c r="I663" i="19" s="1"/>
  <c r="E663" i="19"/>
  <c r="D663" i="19"/>
  <c r="C663" i="19"/>
  <c r="B663" i="19"/>
  <c r="F662" i="19"/>
  <c r="I662" i="19" s="1"/>
  <c r="E662" i="19"/>
  <c r="D662" i="19"/>
  <c r="C662" i="19"/>
  <c r="B662" i="19"/>
  <c r="F661" i="19"/>
  <c r="I661" i="19" s="1"/>
  <c r="E661" i="19"/>
  <c r="D661" i="19"/>
  <c r="C661" i="19"/>
  <c r="B661" i="19"/>
  <c r="E660" i="19"/>
  <c r="F660" i="19" s="1"/>
  <c r="I660" i="19" s="1"/>
  <c r="D660" i="19"/>
  <c r="C660" i="19"/>
  <c r="B660" i="19"/>
  <c r="E659" i="19"/>
  <c r="F659" i="19" s="1"/>
  <c r="I659" i="19" s="1"/>
  <c r="D659" i="19"/>
  <c r="C659" i="19"/>
  <c r="B659" i="19"/>
  <c r="F658" i="19"/>
  <c r="I658" i="19" s="1"/>
  <c r="E658" i="19"/>
  <c r="D658" i="19"/>
  <c r="C658" i="19"/>
  <c r="B658" i="19"/>
  <c r="E657" i="19"/>
  <c r="F657" i="19" s="1"/>
  <c r="I657" i="19" s="1"/>
  <c r="D657" i="19"/>
  <c r="C657" i="19"/>
  <c r="B657" i="19"/>
  <c r="E656" i="19"/>
  <c r="F656" i="19" s="1"/>
  <c r="I656" i="19" s="1"/>
  <c r="D656" i="19"/>
  <c r="C656" i="19"/>
  <c r="B656" i="19"/>
  <c r="F655" i="19"/>
  <c r="I655" i="19" s="1"/>
  <c r="E655" i="19"/>
  <c r="D655" i="19"/>
  <c r="C655" i="19"/>
  <c r="B655" i="19"/>
  <c r="E654" i="19"/>
  <c r="F654" i="19" s="1"/>
  <c r="I654" i="19" s="1"/>
  <c r="D654" i="19"/>
  <c r="C654" i="19"/>
  <c r="B654" i="19"/>
  <c r="F653" i="19"/>
  <c r="I653" i="19" s="1"/>
  <c r="E653" i="19"/>
  <c r="D653" i="19"/>
  <c r="C653" i="19"/>
  <c r="B653" i="19"/>
  <c r="F652" i="19"/>
  <c r="I652" i="19" s="1"/>
  <c r="E652" i="19"/>
  <c r="D652" i="19"/>
  <c r="C652" i="19"/>
  <c r="B652" i="19"/>
  <c r="E651" i="19"/>
  <c r="F651" i="19" s="1"/>
  <c r="I651" i="19" s="1"/>
  <c r="D651" i="19"/>
  <c r="C651" i="19"/>
  <c r="B651" i="19"/>
  <c r="F650" i="19"/>
  <c r="I650" i="19" s="1"/>
  <c r="E650" i="19"/>
  <c r="D650" i="19"/>
  <c r="C650" i="19"/>
  <c r="B650" i="19"/>
  <c r="F649" i="19"/>
  <c r="I649" i="19" s="1"/>
  <c r="E649" i="19"/>
  <c r="D649" i="19"/>
  <c r="C649" i="19"/>
  <c r="B649" i="19"/>
  <c r="E648" i="19"/>
  <c r="F648" i="19" s="1"/>
  <c r="I648" i="19" s="1"/>
  <c r="D648" i="19"/>
  <c r="C648" i="19"/>
  <c r="B648" i="19"/>
  <c r="E647" i="19"/>
  <c r="F647" i="19" s="1"/>
  <c r="I647" i="19" s="1"/>
  <c r="D647" i="19"/>
  <c r="C647" i="19"/>
  <c r="B647" i="19"/>
  <c r="E646" i="19"/>
  <c r="F646" i="19" s="1"/>
  <c r="I646" i="19" s="1"/>
  <c r="D646" i="19"/>
  <c r="C646" i="19"/>
  <c r="B646" i="19"/>
  <c r="E645" i="19"/>
  <c r="F645" i="19" s="1"/>
  <c r="I645" i="19" s="1"/>
  <c r="D645" i="19"/>
  <c r="C645" i="19"/>
  <c r="B645" i="19"/>
  <c r="E644" i="19"/>
  <c r="F644" i="19" s="1"/>
  <c r="I644" i="19" s="1"/>
  <c r="D644" i="19"/>
  <c r="C644" i="19"/>
  <c r="B644" i="19"/>
  <c r="F643" i="19"/>
  <c r="I643" i="19" s="1"/>
  <c r="E643" i="19"/>
  <c r="D643" i="19"/>
  <c r="C643" i="19"/>
  <c r="B643" i="19"/>
  <c r="E642" i="19"/>
  <c r="F642" i="19" s="1"/>
  <c r="I642" i="19" s="1"/>
  <c r="D642" i="19"/>
  <c r="C642" i="19"/>
  <c r="B642" i="19"/>
  <c r="F641" i="19"/>
  <c r="I641" i="19" s="1"/>
  <c r="E641" i="19"/>
  <c r="D641" i="19"/>
  <c r="C641" i="19"/>
  <c r="B641" i="19"/>
  <c r="F640" i="19"/>
  <c r="I640" i="19" s="1"/>
  <c r="E640" i="19"/>
  <c r="D640" i="19"/>
  <c r="C640" i="19"/>
  <c r="B640" i="19"/>
  <c r="E639" i="19"/>
  <c r="F639" i="19" s="1"/>
  <c r="I639" i="19" s="1"/>
  <c r="D639" i="19"/>
  <c r="C639" i="19"/>
  <c r="B639" i="19"/>
  <c r="F638" i="19"/>
  <c r="I638" i="19" s="1"/>
  <c r="E638" i="19"/>
  <c r="D638" i="19"/>
  <c r="C638" i="19"/>
  <c r="B638" i="19"/>
  <c r="F637" i="19"/>
  <c r="I637" i="19" s="1"/>
  <c r="E637" i="19"/>
  <c r="D637" i="19"/>
  <c r="C637" i="19"/>
  <c r="B637" i="19"/>
  <c r="E636" i="19"/>
  <c r="F636" i="19" s="1"/>
  <c r="I636" i="19" s="1"/>
  <c r="D636" i="19"/>
  <c r="C636" i="19"/>
  <c r="B636" i="19"/>
  <c r="E635" i="19"/>
  <c r="F635" i="19" s="1"/>
  <c r="I635" i="19" s="1"/>
  <c r="D635" i="19"/>
  <c r="C635" i="19"/>
  <c r="B635" i="19"/>
  <c r="E634" i="19"/>
  <c r="F634" i="19" s="1"/>
  <c r="I634" i="19" s="1"/>
  <c r="D634" i="19"/>
  <c r="C634" i="19"/>
  <c r="B634" i="19"/>
  <c r="E633" i="19"/>
  <c r="F633" i="19" s="1"/>
  <c r="I633" i="19" s="1"/>
  <c r="D633" i="19"/>
  <c r="C633" i="19"/>
  <c r="B633" i="19"/>
  <c r="E632" i="19"/>
  <c r="F632" i="19" s="1"/>
  <c r="I632" i="19" s="1"/>
  <c r="D632" i="19"/>
  <c r="C632" i="19"/>
  <c r="B632" i="19"/>
  <c r="F631" i="19"/>
  <c r="I631" i="19" s="1"/>
  <c r="E631" i="19"/>
  <c r="D631" i="19"/>
  <c r="C631" i="19"/>
  <c r="B631" i="19"/>
  <c r="E630" i="19"/>
  <c r="F630" i="19" s="1"/>
  <c r="I630" i="19" s="1"/>
  <c r="D630" i="19"/>
  <c r="C630" i="19"/>
  <c r="B630" i="19"/>
  <c r="F629" i="19"/>
  <c r="I629" i="19" s="1"/>
  <c r="E629" i="19"/>
  <c r="D629" i="19"/>
  <c r="C629" i="19"/>
  <c r="B629" i="19"/>
  <c r="F628" i="19"/>
  <c r="I628" i="19" s="1"/>
  <c r="E628" i="19"/>
  <c r="D628" i="19"/>
  <c r="C628" i="19"/>
  <c r="B628" i="19"/>
  <c r="E627" i="19"/>
  <c r="F627" i="19" s="1"/>
  <c r="I627" i="19" s="1"/>
  <c r="D627" i="19"/>
  <c r="C627" i="19"/>
  <c r="B627" i="19"/>
  <c r="F626" i="19"/>
  <c r="I626" i="19" s="1"/>
  <c r="E626" i="19"/>
  <c r="D626" i="19"/>
  <c r="C626" i="19"/>
  <c r="B626" i="19"/>
  <c r="F625" i="19"/>
  <c r="I625" i="19" s="1"/>
  <c r="E625" i="19"/>
  <c r="D625" i="19"/>
  <c r="C625" i="19"/>
  <c r="B625" i="19"/>
  <c r="E624" i="19"/>
  <c r="F624" i="19" s="1"/>
  <c r="I624" i="19" s="1"/>
  <c r="D624" i="19"/>
  <c r="C624" i="19"/>
  <c r="B624" i="19"/>
  <c r="E623" i="19"/>
  <c r="F623" i="19" s="1"/>
  <c r="I623" i="19" s="1"/>
  <c r="D623" i="19"/>
  <c r="C623" i="19"/>
  <c r="B623" i="19"/>
  <c r="E622" i="19"/>
  <c r="F622" i="19" s="1"/>
  <c r="I622" i="19" s="1"/>
  <c r="D622" i="19"/>
  <c r="C622" i="19"/>
  <c r="B622" i="19"/>
  <c r="E621" i="19"/>
  <c r="F621" i="19" s="1"/>
  <c r="I621" i="19" s="1"/>
  <c r="D621" i="19"/>
  <c r="C621" i="19"/>
  <c r="B621" i="19"/>
  <c r="E620" i="19"/>
  <c r="F620" i="19" s="1"/>
  <c r="I620" i="19" s="1"/>
  <c r="D620" i="19"/>
  <c r="C620" i="19"/>
  <c r="B620" i="19"/>
  <c r="F619" i="19"/>
  <c r="I619" i="19" s="1"/>
  <c r="E619" i="19"/>
  <c r="D619" i="19"/>
  <c r="C619" i="19"/>
  <c r="B619" i="19"/>
  <c r="E618" i="19"/>
  <c r="F618" i="19" s="1"/>
  <c r="I618" i="19" s="1"/>
  <c r="D618" i="19"/>
  <c r="C618" i="19"/>
  <c r="B618" i="19"/>
  <c r="F617" i="19"/>
  <c r="I617" i="19" s="1"/>
  <c r="E617" i="19"/>
  <c r="D617" i="19"/>
  <c r="C617" i="19"/>
  <c r="B617" i="19"/>
  <c r="F616" i="19"/>
  <c r="I616" i="19" s="1"/>
  <c r="E616" i="19"/>
  <c r="D616" i="19"/>
  <c r="C616" i="19"/>
  <c r="B616" i="19"/>
  <c r="E615" i="19"/>
  <c r="F615" i="19" s="1"/>
  <c r="I615" i="19" s="1"/>
  <c r="D615" i="19"/>
  <c r="C615" i="19"/>
  <c r="B615" i="19"/>
  <c r="F614" i="19"/>
  <c r="I614" i="19" s="1"/>
  <c r="E614" i="19"/>
  <c r="D614" i="19"/>
  <c r="C614" i="19"/>
  <c r="B614" i="19"/>
  <c r="F613" i="19"/>
  <c r="I613" i="19" s="1"/>
  <c r="E613" i="19"/>
  <c r="D613" i="19"/>
  <c r="C613" i="19"/>
  <c r="B613" i="19"/>
  <c r="E612" i="19"/>
  <c r="F612" i="19" s="1"/>
  <c r="I612" i="19" s="1"/>
  <c r="D612" i="19"/>
  <c r="C612" i="19"/>
  <c r="B612" i="19"/>
  <c r="E611" i="19"/>
  <c r="F611" i="19" s="1"/>
  <c r="I611" i="19" s="1"/>
  <c r="D611" i="19"/>
  <c r="C611" i="19"/>
  <c r="B611" i="19"/>
  <c r="F610" i="19"/>
  <c r="I610" i="19" s="1"/>
  <c r="E610" i="19"/>
  <c r="D610" i="19"/>
  <c r="C610" i="19"/>
  <c r="B610" i="19"/>
  <c r="E609" i="19"/>
  <c r="F609" i="19" s="1"/>
  <c r="I609" i="19" s="1"/>
  <c r="D609" i="19"/>
  <c r="C609" i="19"/>
  <c r="B609" i="19"/>
  <c r="E608" i="19"/>
  <c r="F608" i="19" s="1"/>
  <c r="I608" i="19" s="1"/>
  <c r="D608" i="19"/>
  <c r="C608" i="19"/>
  <c r="B608" i="19"/>
  <c r="F607" i="19"/>
  <c r="I607" i="19" s="1"/>
  <c r="E607" i="19"/>
  <c r="D607" i="19"/>
  <c r="C607" i="19"/>
  <c r="B607" i="19"/>
  <c r="E606" i="19"/>
  <c r="F606" i="19" s="1"/>
  <c r="I606" i="19" s="1"/>
  <c r="D606" i="19"/>
  <c r="C606" i="19"/>
  <c r="B606" i="19"/>
  <c r="F605" i="19"/>
  <c r="I605" i="19" s="1"/>
  <c r="E605" i="19"/>
  <c r="D605" i="19"/>
  <c r="C605" i="19"/>
  <c r="B605" i="19"/>
  <c r="F604" i="19"/>
  <c r="I604" i="19" s="1"/>
  <c r="E604" i="19"/>
  <c r="D604" i="19"/>
  <c r="C604" i="19"/>
  <c r="B604" i="19"/>
  <c r="F603" i="19"/>
  <c r="I603" i="19" s="1"/>
  <c r="E603" i="19"/>
  <c r="D603" i="19"/>
  <c r="C603" i="19"/>
  <c r="B603" i="19"/>
  <c r="F602" i="19"/>
  <c r="I602" i="19" s="1"/>
  <c r="E602" i="19"/>
  <c r="D602" i="19"/>
  <c r="C602" i="19"/>
  <c r="B602" i="19"/>
  <c r="F601" i="19"/>
  <c r="I601" i="19" s="1"/>
  <c r="E601" i="19"/>
  <c r="D601" i="19"/>
  <c r="C601" i="19"/>
  <c r="B601" i="19"/>
  <c r="E600" i="19"/>
  <c r="F600" i="19" s="1"/>
  <c r="I600" i="19" s="1"/>
  <c r="D600" i="19"/>
  <c r="C600" i="19"/>
  <c r="B600" i="19"/>
  <c r="E599" i="19"/>
  <c r="F599" i="19" s="1"/>
  <c r="I599" i="19" s="1"/>
  <c r="D599" i="19"/>
  <c r="C599" i="19"/>
  <c r="B599" i="19"/>
  <c r="E598" i="19"/>
  <c r="F598" i="19" s="1"/>
  <c r="I598" i="19" s="1"/>
  <c r="D598" i="19"/>
  <c r="C598" i="19"/>
  <c r="B598" i="19"/>
  <c r="E597" i="19"/>
  <c r="F597" i="19" s="1"/>
  <c r="I597" i="19" s="1"/>
  <c r="D597" i="19"/>
  <c r="C597" i="19"/>
  <c r="B597" i="19"/>
  <c r="E596" i="19"/>
  <c r="F596" i="19" s="1"/>
  <c r="I596" i="19" s="1"/>
  <c r="D596" i="19"/>
  <c r="C596" i="19"/>
  <c r="B596" i="19"/>
  <c r="F595" i="19"/>
  <c r="I595" i="19" s="1"/>
  <c r="E595" i="19"/>
  <c r="D595" i="19"/>
  <c r="C595" i="19"/>
  <c r="B595" i="19"/>
  <c r="E594" i="19"/>
  <c r="F594" i="19" s="1"/>
  <c r="I594" i="19" s="1"/>
  <c r="D594" i="19"/>
  <c r="C594" i="19"/>
  <c r="B594" i="19"/>
  <c r="F593" i="19"/>
  <c r="I593" i="19" s="1"/>
  <c r="E593" i="19"/>
  <c r="D593" i="19"/>
  <c r="C593" i="19"/>
  <c r="B593" i="19"/>
  <c r="F592" i="19"/>
  <c r="I592" i="19" s="1"/>
  <c r="E592" i="19"/>
  <c r="D592" i="19"/>
  <c r="C592" i="19"/>
  <c r="B592" i="19"/>
  <c r="E591" i="19"/>
  <c r="F591" i="19" s="1"/>
  <c r="I591" i="19" s="1"/>
  <c r="D591" i="19"/>
  <c r="C591" i="19"/>
  <c r="B591" i="19"/>
  <c r="F590" i="19"/>
  <c r="I590" i="19" s="1"/>
  <c r="E590" i="19"/>
  <c r="D590" i="19"/>
  <c r="C590" i="19"/>
  <c r="B590" i="19"/>
  <c r="F589" i="19"/>
  <c r="I589" i="19" s="1"/>
  <c r="E589" i="19"/>
  <c r="D589" i="19"/>
  <c r="C589" i="19"/>
  <c r="B589" i="19"/>
  <c r="E588" i="19"/>
  <c r="F588" i="19" s="1"/>
  <c r="I588" i="19" s="1"/>
  <c r="D588" i="19"/>
  <c r="C588" i="19"/>
  <c r="B588" i="19"/>
  <c r="E587" i="19"/>
  <c r="F587" i="19" s="1"/>
  <c r="I587" i="19" s="1"/>
  <c r="D587" i="19"/>
  <c r="C587" i="19"/>
  <c r="B587" i="19"/>
  <c r="F586" i="19"/>
  <c r="I586" i="19" s="1"/>
  <c r="E586" i="19"/>
  <c r="D586" i="19"/>
  <c r="C586" i="19"/>
  <c r="B586" i="19"/>
  <c r="E585" i="19"/>
  <c r="F585" i="19" s="1"/>
  <c r="I585" i="19" s="1"/>
  <c r="D585" i="19"/>
  <c r="C585" i="19"/>
  <c r="B585" i="19"/>
  <c r="E584" i="19"/>
  <c r="F584" i="19" s="1"/>
  <c r="I584" i="19" s="1"/>
  <c r="D584" i="19"/>
  <c r="C584" i="19"/>
  <c r="B584" i="19"/>
  <c r="F583" i="19"/>
  <c r="I583" i="19" s="1"/>
  <c r="E583" i="19"/>
  <c r="D583" i="19"/>
  <c r="C583" i="19"/>
  <c r="B583" i="19"/>
  <c r="E582" i="19"/>
  <c r="F582" i="19" s="1"/>
  <c r="I582" i="19" s="1"/>
  <c r="D582" i="19"/>
  <c r="C582" i="19"/>
  <c r="B582" i="19"/>
  <c r="F581" i="19"/>
  <c r="I581" i="19" s="1"/>
  <c r="E581" i="19"/>
  <c r="D581" i="19"/>
  <c r="C581" i="19"/>
  <c r="B581" i="19"/>
  <c r="F580" i="19"/>
  <c r="I580" i="19" s="1"/>
  <c r="E580" i="19"/>
  <c r="D580" i="19"/>
  <c r="C580" i="19"/>
  <c r="B580" i="19"/>
  <c r="E579" i="19"/>
  <c r="F579" i="19" s="1"/>
  <c r="I579" i="19" s="1"/>
  <c r="D579" i="19"/>
  <c r="C579" i="19"/>
  <c r="B579" i="19"/>
  <c r="F578" i="19"/>
  <c r="I578" i="19" s="1"/>
  <c r="E578" i="19"/>
  <c r="D578" i="19"/>
  <c r="C578" i="19"/>
  <c r="B578" i="19"/>
  <c r="F577" i="19"/>
  <c r="I577" i="19" s="1"/>
  <c r="E577" i="19"/>
  <c r="D577" i="19"/>
  <c r="C577" i="19"/>
  <c r="B577" i="19"/>
  <c r="E576" i="19"/>
  <c r="F576" i="19" s="1"/>
  <c r="I576" i="19" s="1"/>
  <c r="D576" i="19"/>
  <c r="C576" i="19"/>
  <c r="B576" i="19"/>
  <c r="E575" i="19"/>
  <c r="F575" i="19" s="1"/>
  <c r="I575" i="19" s="1"/>
  <c r="D575" i="19"/>
  <c r="C575" i="19"/>
  <c r="B575" i="19"/>
  <c r="F574" i="19"/>
  <c r="I574" i="19" s="1"/>
  <c r="E574" i="19"/>
  <c r="D574" i="19"/>
  <c r="C574" i="19"/>
  <c r="B574" i="19"/>
  <c r="E573" i="19"/>
  <c r="F573" i="19" s="1"/>
  <c r="I573" i="19" s="1"/>
  <c r="D573" i="19"/>
  <c r="C573" i="19"/>
  <c r="B573" i="19"/>
  <c r="E572" i="19"/>
  <c r="F572" i="19" s="1"/>
  <c r="I572" i="19" s="1"/>
  <c r="D572" i="19"/>
  <c r="C572" i="19"/>
  <c r="B572" i="19"/>
  <c r="F571" i="19"/>
  <c r="I571" i="19" s="1"/>
  <c r="E571" i="19"/>
  <c r="D571" i="19"/>
  <c r="C571" i="19"/>
  <c r="B571" i="19"/>
  <c r="E570" i="19"/>
  <c r="F570" i="19" s="1"/>
  <c r="I570" i="19" s="1"/>
  <c r="D570" i="19"/>
  <c r="C570" i="19"/>
  <c r="B570" i="19"/>
  <c r="F569" i="19"/>
  <c r="I569" i="19" s="1"/>
  <c r="E569" i="19"/>
  <c r="D569" i="19"/>
  <c r="C569" i="19"/>
  <c r="B569" i="19"/>
  <c r="F568" i="19"/>
  <c r="I568" i="19" s="1"/>
  <c r="E568" i="19"/>
  <c r="D568" i="19"/>
  <c r="C568" i="19"/>
  <c r="B568" i="19"/>
  <c r="E567" i="19"/>
  <c r="F567" i="19" s="1"/>
  <c r="I567" i="19" s="1"/>
  <c r="D567" i="19"/>
  <c r="C567" i="19"/>
  <c r="B567" i="19"/>
  <c r="F566" i="19"/>
  <c r="I566" i="19" s="1"/>
  <c r="E566" i="19"/>
  <c r="D566" i="19"/>
  <c r="C566" i="19"/>
  <c r="B566" i="19"/>
  <c r="F565" i="19"/>
  <c r="I565" i="19" s="1"/>
  <c r="E565" i="19"/>
  <c r="D565" i="19"/>
  <c r="C565" i="19"/>
  <c r="B565" i="19"/>
  <c r="E564" i="19"/>
  <c r="F564" i="19" s="1"/>
  <c r="I564" i="19" s="1"/>
  <c r="D564" i="19"/>
  <c r="C564" i="19"/>
  <c r="B564" i="19"/>
  <c r="E563" i="19"/>
  <c r="F563" i="19" s="1"/>
  <c r="I563" i="19" s="1"/>
  <c r="D563" i="19"/>
  <c r="C563" i="19"/>
  <c r="B563" i="19"/>
  <c r="E562" i="19"/>
  <c r="F562" i="19" s="1"/>
  <c r="I562" i="19" s="1"/>
  <c r="D562" i="19"/>
  <c r="C562" i="19"/>
  <c r="B562" i="19"/>
  <c r="E561" i="19"/>
  <c r="F561" i="19" s="1"/>
  <c r="I561" i="19" s="1"/>
  <c r="D561" i="19"/>
  <c r="C561" i="19"/>
  <c r="B561" i="19"/>
  <c r="E560" i="19"/>
  <c r="F560" i="19" s="1"/>
  <c r="I560" i="19" s="1"/>
  <c r="D560" i="19"/>
  <c r="C560" i="19"/>
  <c r="B560" i="19"/>
  <c r="F559" i="19"/>
  <c r="I559" i="19" s="1"/>
  <c r="E559" i="19"/>
  <c r="D559" i="19"/>
  <c r="C559" i="19"/>
  <c r="B559" i="19"/>
  <c r="E558" i="19"/>
  <c r="F558" i="19" s="1"/>
  <c r="I558" i="19" s="1"/>
  <c r="D558" i="19"/>
  <c r="C558" i="19"/>
  <c r="B558" i="19"/>
  <c r="I557" i="19"/>
  <c r="E557" i="19"/>
  <c r="F557" i="19" s="1"/>
  <c r="D557" i="19"/>
  <c r="C557" i="19"/>
  <c r="B557" i="19"/>
  <c r="E556" i="19"/>
  <c r="F556" i="19" s="1"/>
  <c r="I556" i="19" s="1"/>
  <c r="D556" i="19"/>
  <c r="C556" i="19"/>
  <c r="B556" i="19"/>
  <c r="F555" i="19"/>
  <c r="I555" i="19" s="1"/>
  <c r="E555" i="19"/>
  <c r="D555" i="19"/>
  <c r="C555" i="19"/>
  <c r="B555" i="19"/>
  <c r="F554" i="19"/>
  <c r="I554" i="19" s="1"/>
  <c r="E554" i="19"/>
  <c r="D554" i="19"/>
  <c r="C554" i="19"/>
  <c r="B554" i="19"/>
  <c r="E553" i="19"/>
  <c r="F553" i="19" s="1"/>
  <c r="I553" i="19" s="1"/>
  <c r="D553" i="19"/>
  <c r="C553" i="19"/>
  <c r="B553" i="19"/>
  <c r="E552" i="19"/>
  <c r="F552" i="19" s="1"/>
  <c r="I552" i="19" s="1"/>
  <c r="D552" i="19"/>
  <c r="C552" i="19"/>
  <c r="B552" i="19"/>
  <c r="F551" i="19"/>
  <c r="I551" i="19" s="1"/>
  <c r="E551" i="19"/>
  <c r="D551" i="19"/>
  <c r="C551" i="19"/>
  <c r="B551" i="19"/>
  <c r="F550" i="19"/>
  <c r="I550" i="19" s="1"/>
  <c r="E550" i="19"/>
  <c r="D550" i="19"/>
  <c r="C550" i="19"/>
  <c r="B550" i="19"/>
  <c r="E549" i="19"/>
  <c r="F549" i="19" s="1"/>
  <c r="I549" i="19" s="1"/>
  <c r="D549" i="19"/>
  <c r="C549" i="19"/>
  <c r="B549" i="19"/>
  <c r="F548" i="19"/>
  <c r="I548" i="19" s="1"/>
  <c r="E548" i="19"/>
  <c r="D548" i="19"/>
  <c r="C548" i="19"/>
  <c r="B548" i="19"/>
  <c r="F547" i="19"/>
  <c r="I547" i="19" s="1"/>
  <c r="E547" i="19"/>
  <c r="D547" i="19"/>
  <c r="C547" i="19"/>
  <c r="B547" i="19"/>
  <c r="E546" i="19"/>
  <c r="F546" i="19" s="1"/>
  <c r="I546" i="19" s="1"/>
  <c r="D546" i="19"/>
  <c r="C546" i="19"/>
  <c r="B546" i="19"/>
  <c r="E545" i="19"/>
  <c r="F545" i="19" s="1"/>
  <c r="I545" i="19" s="1"/>
  <c r="D545" i="19"/>
  <c r="C545" i="19"/>
  <c r="B545" i="19"/>
  <c r="F544" i="19"/>
  <c r="I544" i="19" s="1"/>
  <c r="E544" i="19"/>
  <c r="D544" i="19"/>
  <c r="C544" i="19"/>
  <c r="B544" i="19"/>
  <c r="E543" i="19"/>
  <c r="F543" i="19" s="1"/>
  <c r="I543" i="19" s="1"/>
  <c r="D543" i="19"/>
  <c r="C543" i="19"/>
  <c r="B543" i="19"/>
  <c r="E542" i="19"/>
  <c r="F542" i="19" s="1"/>
  <c r="I542" i="19" s="1"/>
  <c r="D542" i="19"/>
  <c r="C542" i="19"/>
  <c r="B542" i="19"/>
  <c r="F541" i="19"/>
  <c r="I541" i="19" s="1"/>
  <c r="E541" i="19"/>
  <c r="D541" i="19"/>
  <c r="C541" i="19"/>
  <c r="B541" i="19"/>
  <c r="E540" i="19"/>
  <c r="F540" i="19" s="1"/>
  <c r="I540" i="19" s="1"/>
  <c r="D540" i="19"/>
  <c r="C540" i="19"/>
  <c r="B540" i="19"/>
  <c r="E539" i="19"/>
  <c r="F539" i="19" s="1"/>
  <c r="I539" i="19" s="1"/>
  <c r="D539" i="19"/>
  <c r="C539" i="19"/>
  <c r="B539" i="19"/>
  <c r="E538" i="19"/>
  <c r="F538" i="19" s="1"/>
  <c r="I538" i="19" s="1"/>
  <c r="D538" i="19"/>
  <c r="C538" i="19"/>
  <c r="B538" i="19"/>
  <c r="I537" i="19"/>
  <c r="F537" i="19"/>
  <c r="E537" i="19"/>
  <c r="D537" i="19"/>
  <c r="C537" i="19"/>
  <c r="B537" i="19"/>
  <c r="F536" i="19"/>
  <c r="I536" i="19" s="1"/>
  <c r="E536" i="19"/>
  <c r="D536" i="19"/>
  <c r="C536" i="19"/>
  <c r="B536" i="19"/>
  <c r="F535" i="19"/>
  <c r="I535" i="19" s="1"/>
  <c r="E535" i="19"/>
  <c r="D535" i="19"/>
  <c r="C535" i="19"/>
  <c r="B535" i="19"/>
  <c r="E534" i="19"/>
  <c r="F534" i="19" s="1"/>
  <c r="I534" i="19" s="1"/>
  <c r="D534" i="19"/>
  <c r="C534" i="19"/>
  <c r="B534" i="19"/>
  <c r="E533" i="19"/>
  <c r="F533" i="19" s="1"/>
  <c r="I533" i="19" s="1"/>
  <c r="D533" i="19"/>
  <c r="C533" i="19"/>
  <c r="B533" i="19"/>
  <c r="E532" i="19"/>
  <c r="F532" i="19" s="1"/>
  <c r="I532" i="19" s="1"/>
  <c r="D532" i="19"/>
  <c r="C532" i="19"/>
  <c r="B532" i="19"/>
  <c r="F531" i="19"/>
  <c r="I531" i="19" s="1"/>
  <c r="E531" i="19"/>
  <c r="D531" i="19"/>
  <c r="C531" i="19"/>
  <c r="B531" i="19"/>
  <c r="F530" i="19"/>
  <c r="I530" i="19" s="1"/>
  <c r="E530" i="19"/>
  <c r="D530" i="19"/>
  <c r="C530" i="19"/>
  <c r="B530" i="19"/>
  <c r="E529" i="19"/>
  <c r="F529" i="19" s="1"/>
  <c r="I529" i="19" s="1"/>
  <c r="D529" i="19"/>
  <c r="C529" i="19"/>
  <c r="B529" i="19"/>
  <c r="E528" i="19"/>
  <c r="F528" i="19" s="1"/>
  <c r="I528" i="19" s="1"/>
  <c r="D528" i="19"/>
  <c r="C528" i="19"/>
  <c r="B528" i="19"/>
  <c r="F527" i="19"/>
  <c r="I527" i="19" s="1"/>
  <c r="E527" i="19"/>
  <c r="D527" i="19"/>
  <c r="C527" i="19"/>
  <c r="B527" i="19"/>
  <c r="F526" i="19"/>
  <c r="I526" i="19" s="1"/>
  <c r="E526" i="19"/>
  <c r="D526" i="19"/>
  <c r="C526" i="19"/>
  <c r="B526" i="19"/>
  <c r="E525" i="19"/>
  <c r="F525" i="19" s="1"/>
  <c r="I525" i="19" s="1"/>
  <c r="D525" i="19"/>
  <c r="C525" i="19"/>
  <c r="B525" i="19"/>
  <c r="F524" i="19"/>
  <c r="I524" i="19" s="1"/>
  <c r="E524" i="19"/>
  <c r="D524" i="19"/>
  <c r="C524" i="19"/>
  <c r="B524" i="19"/>
  <c r="F523" i="19"/>
  <c r="I523" i="19" s="1"/>
  <c r="E523" i="19"/>
  <c r="D523" i="19"/>
  <c r="C523" i="19"/>
  <c r="B523" i="19"/>
  <c r="E522" i="19"/>
  <c r="F522" i="19" s="1"/>
  <c r="I522" i="19" s="1"/>
  <c r="D522" i="19"/>
  <c r="C522" i="19"/>
  <c r="B522" i="19"/>
  <c r="E521" i="19"/>
  <c r="F521" i="19" s="1"/>
  <c r="I521" i="19" s="1"/>
  <c r="D521" i="19"/>
  <c r="C521" i="19"/>
  <c r="B521" i="19"/>
  <c r="F520" i="19"/>
  <c r="I520" i="19" s="1"/>
  <c r="E520" i="19"/>
  <c r="D520" i="19"/>
  <c r="C520" i="19"/>
  <c r="B520" i="19"/>
  <c r="E519" i="19"/>
  <c r="F519" i="19" s="1"/>
  <c r="I519" i="19" s="1"/>
  <c r="D519" i="19"/>
  <c r="C519" i="19"/>
  <c r="B519" i="19"/>
  <c r="E518" i="19"/>
  <c r="F518" i="19" s="1"/>
  <c r="I518" i="19" s="1"/>
  <c r="D518" i="19"/>
  <c r="C518" i="19"/>
  <c r="B518" i="19"/>
  <c r="F517" i="19"/>
  <c r="I517" i="19" s="1"/>
  <c r="E517" i="19"/>
  <c r="D517" i="19"/>
  <c r="C517" i="19"/>
  <c r="B517" i="19"/>
  <c r="E516" i="19"/>
  <c r="F516" i="19" s="1"/>
  <c r="I516" i="19" s="1"/>
  <c r="D516" i="19"/>
  <c r="C516" i="19"/>
  <c r="B516" i="19"/>
  <c r="E515" i="19"/>
  <c r="F515" i="19" s="1"/>
  <c r="I515" i="19" s="1"/>
  <c r="D515" i="19"/>
  <c r="C515" i="19"/>
  <c r="B515" i="19"/>
  <c r="E514" i="19"/>
  <c r="F514" i="19" s="1"/>
  <c r="I514" i="19" s="1"/>
  <c r="D514" i="19"/>
  <c r="C514" i="19"/>
  <c r="B514" i="19"/>
  <c r="F513" i="19"/>
  <c r="I513" i="19" s="1"/>
  <c r="E513" i="19"/>
  <c r="D513" i="19"/>
  <c r="C513" i="19"/>
  <c r="B513" i="19"/>
  <c r="F512" i="19"/>
  <c r="I512" i="19" s="1"/>
  <c r="E512" i="19"/>
  <c r="D512" i="19"/>
  <c r="C512" i="19"/>
  <c r="B512" i="19"/>
  <c r="F511" i="19"/>
  <c r="I511" i="19" s="1"/>
  <c r="E511" i="19"/>
  <c r="D511" i="19"/>
  <c r="C511" i="19"/>
  <c r="B511" i="19"/>
  <c r="E510" i="19"/>
  <c r="F510" i="19" s="1"/>
  <c r="I510" i="19" s="1"/>
  <c r="D510" i="19"/>
  <c r="C510" i="19"/>
  <c r="B510" i="19"/>
  <c r="I509" i="19"/>
  <c r="E509" i="19"/>
  <c r="F509" i="19" s="1"/>
  <c r="D509" i="19"/>
  <c r="C509" i="19"/>
  <c r="B509" i="19"/>
  <c r="E508" i="19"/>
  <c r="F508" i="19" s="1"/>
  <c r="I508" i="19" s="1"/>
  <c r="D508" i="19"/>
  <c r="C508" i="19"/>
  <c r="B508" i="19"/>
  <c r="F507" i="19"/>
  <c r="I507" i="19" s="1"/>
  <c r="E507" i="19"/>
  <c r="D507" i="19"/>
  <c r="C507" i="19"/>
  <c r="B507" i="19"/>
  <c r="F506" i="19"/>
  <c r="I506" i="19" s="1"/>
  <c r="E506" i="19"/>
  <c r="D506" i="19"/>
  <c r="C506" i="19"/>
  <c r="B506" i="19"/>
  <c r="E505" i="19"/>
  <c r="F505" i="19" s="1"/>
  <c r="I505" i="19" s="1"/>
  <c r="D505" i="19"/>
  <c r="C505" i="19"/>
  <c r="B505" i="19"/>
  <c r="E504" i="19"/>
  <c r="F504" i="19" s="1"/>
  <c r="I504" i="19" s="1"/>
  <c r="D504" i="19"/>
  <c r="C504" i="19"/>
  <c r="B504" i="19"/>
  <c r="F503" i="19"/>
  <c r="I503" i="19" s="1"/>
  <c r="E503" i="19"/>
  <c r="D503" i="19"/>
  <c r="C503" i="19"/>
  <c r="B503" i="19"/>
  <c r="F502" i="19"/>
  <c r="I502" i="19" s="1"/>
  <c r="E502" i="19"/>
  <c r="D502" i="19"/>
  <c r="C502" i="19"/>
  <c r="B502" i="19"/>
  <c r="E501" i="19"/>
  <c r="F501" i="19" s="1"/>
  <c r="I501" i="19" s="1"/>
  <c r="D501" i="19"/>
  <c r="C501" i="19"/>
  <c r="B501" i="19"/>
  <c r="F500" i="19"/>
  <c r="I500" i="19" s="1"/>
  <c r="E500" i="19"/>
  <c r="D500" i="19"/>
  <c r="C500" i="19"/>
  <c r="B500" i="19"/>
  <c r="F499" i="19"/>
  <c r="I499" i="19" s="1"/>
  <c r="E499" i="19"/>
  <c r="D499" i="19"/>
  <c r="C499" i="19"/>
  <c r="B499" i="19"/>
  <c r="E498" i="19"/>
  <c r="F498" i="19" s="1"/>
  <c r="I498" i="19" s="1"/>
  <c r="D498" i="19"/>
  <c r="C498" i="19"/>
  <c r="B498" i="19"/>
  <c r="E497" i="19"/>
  <c r="F497" i="19" s="1"/>
  <c r="I497" i="19" s="1"/>
  <c r="D497" i="19"/>
  <c r="C497" i="19"/>
  <c r="B497" i="19"/>
  <c r="F496" i="19"/>
  <c r="I496" i="19" s="1"/>
  <c r="E496" i="19"/>
  <c r="D496" i="19"/>
  <c r="C496" i="19"/>
  <c r="B496" i="19"/>
  <c r="E495" i="19"/>
  <c r="F495" i="19" s="1"/>
  <c r="I495" i="19" s="1"/>
  <c r="D495" i="19"/>
  <c r="C495" i="19"/>
  <c r="B495" i="19"/>
  <c r="F494" i="19"/>
  <c r="I494" i="19" s="1"/>
  <c r="E494" i="19"/>
  <c r="D494" i="19"/>
  <c r="C494" i="19"/>
  <c r="B494" i="19"/>
  <c r="E493" i="19"/>
  <c r="F493" i="19" s="1"/>
  <c r="I493" i="19" s="1"/>
  <c r="D493" i="19"/>
  <c r="C493" i="19"/>
  <c r="B493" i="19"/>
  <c r="F492" i="19"/>
  <c r="I492" i="19" s="1"/>
  <c r="E492" i="19"/>
  <c r="D492" i="19"/>
  <c r="C492" i="19"/>
  <c r="B492" i="19"/>
  <c r="E491" i="19"/>
  <c r="F491" i="19" s="1"/>
  <c r="I491" i="19" s="1"/>
  <c r="D491" i="19"/>
  <c r="C491" i="19"/>
  <c r="B491" i="19"/>
  <c r="F490" i="19"/>
  <c r="I490" i="19" s="1"/>
  <c r="E490" i="19"/>
  <c r="D490" i="19"/>
  <c r="C490" i="19"/>
  <c r="B490" i="19"/>
  <c r="E489" i="19"/>
  <c r="F489" i="19" s="1"/>
  <c r="I489" i="19" s="1"/>
  <c r="D489" i="19"/>
  <c r="C489" i="19"/>
  <c r="B489" i="19"/>
  <c r="F488" i="19"/>
  <c r="I488" i="19" s="1"/>
  <c r="E488" i="19"/>
  <c r="D488" i="19"/>
  <c r="C488" i="19"/>
  <c r="B488" i="19"/>
  <c r="E487" i="19"/>
  <c r="F487" i="19" s="1"/>
  <c r="I487" i="19" s="1"/>
  <c r="D487" i="19"/>
  <c r="C487" i="19"/>
  <c r="B487" i="19"/>
  <c r="F486" i="19"/>
  <c r="I486" i="19" s="1"/>
  <c r="E486" i="19"/>
  <c r="D486" i="19"/>
  <c r="C486" i="19"/>
  <c r="B486" i="19"/>
  <c r="E485" i="19"/>
  <c r="F485" i="19" s="1"/>
  <c r="I485" i="19" s="1"/>
  <c r="D485" i="19"/>
  <c r="C485" i="19"/>
  <c r="B485" i="19"/>
  <c r="F484" i="19"/>
  <c r="I484" i="19" s="1"/>
  <c r="E484" i="19"/>
  <c r="D484" i="19"/>
  <c r="C484" i="19"/>
  <c r="B484" i="19"/>
  <c r="E483" i="19"/>
  <c r="F483" i="19" s="1"/>
  <c r="I483" i="19" s="1"/>
  <c r="D483" i="19"/>
  <c r="C483" i="19"/>
  <c r="B483" i="19"/>
  <c r="F482" i="19"/>
  <c r="I482" i="19" s="1"/>
  <c r="E482" i="19"/>
  <c r="D482" i="19"/>
  <c r="C482" i="19"/>
  <c r="B482" i="19"/>
  <c r="E481" i="19"/>
  <c r="F481" i="19" s="1"/>
  <c r="I481" i="19" s="1"/>
  <c r="D481" i="19"/>
  <c r="C481" i="19"/>
  <c r="B481" i="19"/>
  <c r="F480" i="19"/>
  <c r="I480" i="19" s="1"/>
  <c r="E480" i="19"/>
  <c r="D480" i="19"/>
  <c r="C480" i="19"/>
  <c r="B480" i="19"/>
  <c r="E479" i="19"/>
  <c r="F479" i="19" s="1"/>
  <c r="I479" i="19" s="1"/>
  <c r="D479" i="19"/>
  <c r="C479" i="19"/>
  <c r="B479" i="19"/>
  <c r="F478" i="19"/>
  <c r="I478" i="19" s="1"/>
  <c r="E478" i="19"/>
  <c r="D478" i="19"/>
  <c r="C478" i="19"/>
  <c r="B478" i="19"/>
  <c r="E477" i="19"/>
  <c r="F477" i="19" s="1"/>
  <c r="I477" i="19" s="1"/>
  <c r="D477" i="19"/>
  <c r="C477" i="19"/>
  <c r="B477" i="19"/>
  <c r="F476" i="19"/>
  <c r="I476" i="19" s="1"/>
  <c r="E476" i="19"/>
  <c r="D476" i="19"/>
  <c r="C476" i="19"/>
  <c r="B476" i="19"/>
  <c r="E475" i="19"/>
  <c r="F475" i="19" s="1"/>
  <c r="I475" i="19" s="1"/>
  <c r="D475" i="19"/>
  <c r="C475" i="19"/>
  <c r="B475" i="19"/>
  <c r="F474" i="19"/>
  <c r="I474" i="19" s="1"/>
  <c r="E474" i="19"/>
  <c r="D474" i="19"/>
  <c r="C474" i="19"/>
  <c r="B474" i="19"/>
  <c r="E473" i="19"/>
  <c r="F473" i="19" s="1"/>
  <c r="I473" i="19" s="1"/>
  <c r="D473" i="19"/>
  <c r="C473" i="19"/>
  <c r="B473" i="19"/>
  <c r="F472" i="19"/>
  <c r="I472" i="19" s="1"/>
  <c r="E472" i="19"/>
  <c r="D472" i="19"/>
  <c r="C472" i="19"/>
  <c r="B472" i="19"/>
  <c r="E471" i="19"/>
  <c r="F471" i="19" s="1"/>
  <c r="I471" i="19" s="1"/>
  <c r="D471" i="19"/>
  <c r="C471" i="19"/>
  <c r="B471" i="19"/>
  <c r="F470" i="19"/>
  <c r="I470" i="19" s="1"/>
  <c r="E470" i="19"/>
  <c r="D470" i="19"/>
  <c r="C470" i="19"/>
  <c r="B470" i="19"/>
  <c r="E469" i="19"/>
  <c r="F469" i="19" s="1"/>
  <c r="I469" i="19" s="1"/>
  <c r="D469" i="19"/>
  <c r="C469" i="19"/>
  <c r="B469" i="19"/>
  <c r="F468" i="19"/>
  <c r="I468" i="19" s="1"/>
  <c r="E468" i="19"/>
  <c r="D468" i="19"/>
  <c r="C468" i="19"/>
  <c r="B468" i="19"/>
  <c r="E467" i="19"/>
  <c r="F467" i="19" s="1"/>
  <c r="I467" i="19" s="1"/>
  <c r="D467" i="19"/>
  <c r="C467" i="19"/>
  <c r="B467" i="19"/>
  <c r="F466" i="19"/>
  <c r="I466" i="19" s="1"/>
  <c r="E466" i="19"/>
  <c r="D466" i="19"/>
  <c r="C466" i="19"/>
  <c r="B466" i="19"/>
  <c r="E465" i="19"/>
  <c r="F465" i="19" s="1"/>
  <c r="I465" i="19" s="1"/>
  <c r="D465" i="19"/>
  <c r="C465" i="19"/>
  <c r="B465" i="19"/>
  <c r="F464" i="19"/>
  <c r="I464" i="19" s="1"/>
  <c r="E464" i="19"/>
  <c r="D464" i="19"/>
  <c r="C464" i="19"/>
  <c r="B464" i="19"/>
  <c r="E463" i="19"/>
  <c r="F463" i="19" s="1"/>
  <c r="I463" i="19" s="1"/>
  <c r="D463" i="19"/>
  <c r="C463" i="19"/>
  <c r="B463" i="19"/>
  <c r="F462" i="19"/>
  <c r="I462" i="19" s="1"/>
  <c r="E462" i="19"/>
  <c r="D462" i="19"/>
  <c r="C462" i="19"/>
  <c r="B462" i="19"/>
  <c r="E461" i="19"/>
  <c r="F461" i="19" s="1"/>
  <c r="I461" i="19" s="1"/>
  <c r="D461" i="19"/>
  <c r="C461" i="19"/>
  <c r="B461" i="19"/>
  <c r="F460" i="19"/>
  <c r="I460" i="19" s="1"/>
  <c r="E460" i="19"/>
  <c r="D460" i="19"/>
  <c r="C460" i="19"/>
  <c r="B460" i="19"/>
  <c r="E459" i="19"/>
  <c r="F459" i="19" s="1"/>
  <c r="I459" i="19" s="1"/>
  <c r="D459" i="19"/>
  <c r="C459" i="19"/>
  <c r="B459" i="19"/>
  <c r="F458" i="19"/>
  <c r="I458" i="19" s="1"/>
  <c r="E458" i="19"/>
  <c r="D458" i="19"/>
  <c r="C458" i="19"/>
  <c r="B458" i="19"/>
  <c r="E457" i="19"/>
  <c r="F457" i="19" s="1"/>
  <c r="I457" i="19" s="1"/>
  <c r="D457" i="19"/>
  <c r="C457" i="19"/>
  <c r="B457" i="19"/>
  <c r="F456" i="19"/>
  <c r="I456" i="19" s="1"/>
  <c r="E456" i="19"/>
  <c r="D456" i="19"/>
  <c r="C456" i="19"/>
  <c r="B456" i="19"/>
  <c r="E455" i="19"/>
  <c r="F455" i="19" s="1"/>
  <c r="I455" i="19" s="1"/>
  <c r="D455" i="19"/>
  <c r="C455" i="19"/>
  <c r="B455" i="19"/>
  <c r="F454" i="19"/>
  <c r="I454" i="19" s="1"/>
  <c r="E454" i="19"/>
  <c r="D454" i="19"/>
  <c r="C454" i="19"/>
  <c r="B454" i="19"/>
  <c r="E453" i="19"/>
  <c r="F453" i="19" s="1"/>
  <c r="I453" i="19" s="1"/>
  <c r="D453" i="19"/>
  <c r="C453" i="19"/>
  <c r="B453" i="19"/>
  <c r="F452" i="19"/>
  <c r="I452" i="19" s="1"/>
  <c r="E452" i="19"/>
  <c r="D452" i="19"/>
  <c r="C452" i="19"/>
  <c r="B452" i="19"/>
  <c r="E451" i="19"/>
  <c r="F451" i="19" s="1"/>
  <c r="I451" i="19" s="1"/>
  <c r="D451" i="19"/>
  <c r="C451" i="19"/>
  <c r="B451" i="19"/>
  <c r="F450" i="19"/>
  <c r="I450" i="19" s="1"/>
  <c r="E450" i="19"/>
  <c r="D450" i="19"/>
  <c r="C450" i="19"/>
  <c r="B450" i="19"/>
  <c r="E449" i="19"/>
  <c r="F449" i="19" s="1"/>
  <c r="I449" i="19" s="1"/>
  <c r="D449" i="19"/>
  <c r="C449" i="19"/>
  <c r="B449" i="19"/>
  <c r="F448" i="19"/>
  <c r="I448" i="19" s="1"/>
  <c r="E448" i="19"/>
  <c r="D448" i="19"/>
  <c r="C448" i="19"/>
  <c r="B448" i="19"/>
  <c r="E447" i="19"/>
  <c r="F447" i="19" s="1"/>
  <c r="I447" i="19" s="1"/>
  <c r="D447" i="19"/>
  <c r="C447" i="19"/>
  <c r="B447" i="19"/>
  <c r="F446" i="19"/>
  <c r="I446" i="19" s="1"/>
  <c r="E446" i="19"/>
  <c r="D446" i="19"/>
  <c r="C446" i="19"/>
  <c r="B446" i="19"/>
  <c r="E445" i="19"/>
  <c r="F445" i="19" s="1"/>
  <c r="I445" i="19" s="1"/>
  <c r="D445" i="19"/>
  <c r="C445" i="19"/>
  <c r="B445" i="19"/>
  <c r="F444" i="19"/>
  <c r="I444" i="19" s="1"/>
  <c r="E444" i="19"/>
  <c r="D444" i="19"/>
  <c r="C444" i="19"/>
  <c r="B444" i="19"/>
  <c r="E443" i="19"/>
  <c r="F443" i="19" s="1"/>
  <c r="I443" i="19" s="1"/>
  <c r="D443" i="19"/>
  <c r="C443" i="19"/>
  <c r="B443" i="19"/>
  <c r="I442" i="19"/>
  <c r="F442" i="19"/>
  <c r="E442" i="19"/>
  <c r="D442" i="19"/>
  <c r="C442" i="19"/>
  <c r="B442" i="19"/>
  <c r="E441" i="19"/>
  <c r="F441" i="19" s="1"/>
  <c r="I441" i="19" s="1"/>
  <c r="D441" i="19"/>
  <c r="C441" i="19"/>
  <c r="B441" i="19"/>
  <c r="F440" i="19"/>
  <c r="I440" i="19" s="1"/>
  <c r="E440" i="19"/>
  <c r="D440" i="19"/>
  <c r="C440" i="19"/>
  <c r="B440" i="19"/>
  <c r="E439" i="19"/>
  <c r="F439" i="19" s="1"/>
  <c r="I439" i="19" s="1"/>
  <c r="D439" i="19"/>
  <c r="C439" i="19"/>
  <c r="B439" i="19"/>
  <c r="F438" i="19"/>
  <c r="I438" i="19" s="1"/>
  <c r="E438" i="19"/>
  <c r="D438" i="19"/>
  <c r="C438" i="19"/>
  <c r="B438" i="19"/>
  <c r="E437" i="19"/>
  <c r="F437" i="19" s="1"/>
  <c r="I437" i="19" s="1"/>
  <c r="D437" i="19"/>
  <c r="C437" i="19"/>
  <c r="B437" i="19"/>
  <c r="F436" i="19"/>
  <c r="I436" i="19" s="1"/>
  <c r="E436" i="19"/>
  <c r="D436" i="19"/>
  <c r="C436" i="19"/>
  <c r="B436" i="19"/>
  <c r="E435" i="19"/>
  <c r="F435" i="19" s="1"/>
  <c r="I435" i="19" s="1"/>
  <c r="D435" i="19"/>
  <c r="C435" i="19"/>
  <c r="B435" i="19"/>
  <c r="F434" i="19"/>
  <c r="I434" i="19" s="1"/>
  <c r="E434" i="19"/>
  <c r="D434" i="19"/>
  <c r="C434" i="19"/>
  <c r="B434" i="19"/>
  <c r="E433" i="19"/>
  <c r="F433" i="19" s="1"/>
  <c r="I433" i="19" s="1"/>
  <c r="D433" i="19"/>
  <c r="C433" i="19"/>
  <c r="B433" i="19"/>
  <c r="F432" i="19"/>
  <c r="I432" i="19" s="1"/>
  <c r="E432" i="19"/>
  <c r="D432" i="19"/>
  <c r="C432" i="19"/>
  <c r="B432" i="19"/>
  <c r="E431" i="19"/>
  <c r="F431" i="19" s="1"/>
  <c r="I431" i="19" s="1"/>
  <c r="D431" i="19"/>
  <c r="C431" i="19"/>
  <c r="B431" i="19"/>
  <c r="F430" i="19"/>
  <c r="I430" i="19" s="1"/>
  <c r="E430" i="19"/>
  <c r="D430" i="19"/>
  <c r="C430" i="19"/>
  <c r="B430" i="19"/>
  <c r="E429" i="19"/>
  <c r="F429" i="19" s="1"/>
  <c r="I429" i="19" s="1"/>
  <c r="D429" i="19"/>
  <c r="C429" i="19"/>
  <c r="B429" i="19"/>
  <c r="F428" i="19"/>
  <c r="I428" i="19" s="1"/>
  <c r="E428" i="19"/>
  <c r="D428" i="19"/>
  <c r="C428" i="19"/>
  <c r="B428" i="19"/>
  <c r="E427" i="19"/>
  <c r="F427" i="19" s="1"/>
  <c r="I427" i="19" s="1"/>
  <c r="D427" i="19"/>
  <c r="C427" i="19"/>
  <c r="B427" i="19"/>
  <c r="F426" i="19"/>
  <c r="I426" i="19" s="1"/>
  <c r="E426" i="19"/>
  <c r="D426" i="19"/>
  <c r="C426" i="19"/>
  <c r="B426" i="19"/>
  <c r="E425" i="19"/>
  <c r="F425" i="19" s="1"/>
  <c r="I425" i="19" s="1"/>
  <c r="D425" i="19"/>
  <c r="C425" i="19"/>
  <c r="B425" i="19"/>
  <c r="F424" i="19"/>
  <c r="I424" i="19" s="1"/>
  <c r="E424" i="19"/>
  <c r="D424" i="19"/>
  <c r="C424" i="19"/>
  <c r="B424" i="19"/>
  <c r="E423" i="19"/>
  <c r="F423" i="19" s="1"/>
  <c r="I423" i="19" s="1"/>
  <c r="D423" i="19"/>
  <c r="C423" i="19"/>
  <c r="B423" i="19"/>
  <c r="F422" i="19"/>
  <c r="I422" i="19" s="1"/>
  <c r="E422" i="19"/>
  <c r="D422" i="19"/>
  <c r="C422" i="19"/>
  <c r="B422" i="19"/>
  <c r="E421" i="19"/>
  <c r="F421" i="19" s="1"/>
  <c r="I421" i="19" s="1"/>
  <c r="D421" i="19"/>
  <c r="C421" i="19"/>
  <c r="B421" i="19"/>
  <c r="F420" i="19"/>
  <c r="I420" i="19" s="1"/>
  <c r="E420" i="19"/>
  <c r="D420" i="19"/>
  <c r="C420" i="19"/>
  <c r="B420" i="19"/>
  <c r="E419" i="19"/>
  <c r="F419" i="19" s="1"/>
  <c r="I419" i="19" s="1"/>
  <c r="D419" i="19"/>
  <c r="C419" i="19"/>
  <c r="B419" i="19"/>
  <c r="I418" i="19"/>
  <c r="F418" i="19"/>
  <c r="E418" i="19"/>
  <c r="D418" i="19"/>
  <c r="C418" i="19"/>
  <c r="B418" i="19"/>
  <c r="E417" i="19"/>
  <c r="F417" i="19" s="1"/>
  <c r="I417" i="19" s="1"/>
  <c r="D417" i="19"/>
  <c r="C417" i="19"/>
  <c r="B417" i="19"/>
  <c r="F416" i="19"/>
  <c r="I416" i="19" s="1"/>
  <c r="E416" i="19"/>
  <c r="D416" i="19"/>
  <c r="C416" i="19"/>
  <c r="B416" i="19"/>
  <c r="E415" i="19"/>
  <c r="F415" i="19" s="1"/>
  <c r="I415" i="19" s="1"/>
  <c r="D415" i="19"/>
  <c r="C415" i="19"/>
  <c r="B415" i="19"/>
  <c r="F414" i="19"/>
  <c r="I414" i="19" s="1"/>
  <c r="E414" i="19"/>
  <c r="D414" i="19"/>
  <c r="C414" i="19"/>
  <c r="B414" i="19"/>
  <c r="E413" i="19"/>
  <c r="F413" i="19" s="1"/>
  <c r="I413" i="19" s="1"/>
  <c r="D413" i="19"/>
  <c r="C413" i="19"/>
  <c r="B413" i="19"/>
  <c r="F412" i="19"/>
  <c r="I412" i="19" s="1"/>
  <c r="E412" i="19"/>
  <c r="D412" i="19"/>
  <c r="C412" i="19"/>
  <c r="B412" i="19"/>
  <c r="E411" i="19"/>
  <c r="F411" i="19" s="1"/>
  <c r="I411" i="19" s="1"/>
  <c r="D411" i="19"/>
  <c r="C411" i="19"/>
  <c r="B411" i="19"/>
  <c r="F410" i="19"/>
  <c r="I410" i="19" s="1"/>
  <c r="E410" i="19"/>
  <c r="D410" i="19"/>
  <c r="C410" i="19"/>
  <c r="B410" i="19"/>
  <c r="E409" i="19"/>
  <c r="F409" i="19" s="1"/>
  <c r="I409" i="19" s="1"/>
  <c r="D409" i="19"/>
  <c r="C409" i="19"/>
  <c r="B409" i="19"/>
  <c r="F408" i="19"/>
  <c r="I408" i="19" s="1"/>
  <c r="E408" i="19"/>
  <c r="D408" i="19"/>
  <c r="C408" i="19"/>
  <c r="B408" i="19"/>
  <c r="E407" i="19"/>
  <c r="F407" i="19" s="1"/>
  <c r="I407" i="19" s="1"/>
  <c r="D407" i="19"/>
  <c r="C407" i="19"/>
  <c r="B407" i="19"/>
  <c r="I406" i="19"/>
  <c r="F406" i="19"/>
  <c r="E406" i="19"/>
  <c r="D406" i="19"/>
  <c r="C406" i="19"/>
  <c r="B406" i="19"/>
  <c r="E405" i="19"/>
  <c r="F405" i="19" s="1"/>
  <c r="I405" i="19" s="1"/>
  <c r="D405" i="19"/>
  <c r="C405" i="19"/>
  <c r="B405" i="19"/>
  <c r="F404" i="19"/>
  <c r="I404" i="19" s="1"/>
  <c r="E404" i="19"/>
  <c r="D404" i="19"/>
  <c r="C404" i="19"/>
  <c r="B404" i="19"/>
  <c r="E403" i="19"/>
  <c r="F403" i="19" s="1"/>
  <c r="I403" i="19" s="1"/>
  <c r="D403" i="19"/>
  <c r="C403" i="19"/>
  <c r="B403" i="19"/>
  <c r="F402" i="19"/>
  <c r="I402" i="19" s="1"/>
  <c r="E402" i="19"/>
  <c r="D402" i="19"/>
  <c r="C402" i="19"/>
  <c r="B402" i="19"/>
  <c r="E401" i="19"/>
  <c r="F401" i="19" s="1"/>
  <c r="I401" i="19" s="1"/>
  <c r="D401" i="19"/>
  <c r="C401" i="19"/>
  <c r="B401" i="19"/>
  <c r="F400" i="19"/>
  <c r="I400" i="19" s="1"/>
  <c r="E400" i="19"/>
  <c r="D400" i="19"/>
  <c r="C400" i="19"/>
  <c r="B400" i="19"/>
  <c r="E399" i="19"/>
  <c r="F399" i="19" s="1"/>
  <c r="I399" i="19" s="1"/>
  <c r="D399" i="19"/>
  <c r="C399" i="19"/>
  <c r="B399" i="19"/>
  <c r="F398" i="19"/>
  <c r="I398" i="19" s="1"/>
  <c r="E398" i="19"/>
  <c r="D398" i="19"/>
  <c r="C398" i="19"/>
  <c r="B398" i="19"/>
  <c r="E397" i="19"/>
  <c r="F397" i="19" s="1"/>
  <c r="I397" i="19" s="1"/>
  <c r="D397" i="19"/>
  <c r="C397" i="19"/>
  <c r="B397" i="19"/>
  <c r="F396" i="19"/>
  <c r="I396" i="19" s="1"/>
  <c r="E396" i="19"/>
  <c r="D396" i="19"/>
  <c r="C396" i="19"/>
  <c r="B396" i="19"/>
  <c r="E395" i="19"/>
  <c r="F395" i="19" s="1"/>
  <c r="I395" i="19" s="1"/>
  <c r="D395" i="19"/>
  <c r="C395" i="19"/>
  <c r="B395" i="19"/>
  <c r="I394" i="19"/>
  <c r="F394" i="19"/>
  <c r="E394" i="19"/>
  <c r="D394" i="19"/>
  <c r="C394" i="19"/>
  <c r="B394" i="19"/>
  <c r="E393" i="19"/>
  <c r="F393" i="19" s="1"/>
  <c r="I393" i="19" s="1"/>
  <c r="D393" i="19"/>
  <c r="C393" i="19"/>
  <c r="B393" i="19"/>
  <c r="F392" i="19"/>
  <c r="I392" i="19" s="1"/>
  <c r="E392" i="19"/>
  <c r="D392" i="19"/>
  <c r="C392" i="19"/>
  <c r="B392" i="19"/>
  <c r="E391" i="19"/>
  <c r="F391" i="19" s="1"/>
  <c r="I391" i="19" s="1"/>
  <c r="D391" i="19"/>
  <c r="C391" i="19"/>
  <c r="B391" i="19"/>
  <c r="F390" i="19"/>
  <c r="I390" i="19" s="1"/>
  <c r="E390" i="19"/>
  <c r="D390" i="19"/>
  <c r="C390" i="19"/>
  <c r="B390" i="19"/>
  <c r="E389" i="19"/>
  <c r="F389" i="19" s="1"/>
  <c r="I389" i="19" s="1"/>
  <c r="D389" i="19"/>
  <c r="C389" i="19"/>
  <c r="B389" i="19"/>
  <c r="F388" i="19"/>
  <c r="I388" i="19" s="1"/>
  <c r="E388" i="19"/>
  <c r="D388" i="19"/>
  <c r="C388" i="19"/>
  <c r="B388" i="19"/>
  <c r="E387" i="19"/>
  <c r="F387" i="19" s="1"/>
  <c r="I387" i="19" s="1"/>
  <c r="D387" i="19"/>
  <c r="C387" i="19"/>
  <c r="B387" i="19"/>
  <c r="F386" i="19"/>
  <c r="I386" i="19" s="1"/>
  <c r="E386" i="19"/>
  <c r="D386" i="19"/>
  <c r="C386" i="19"/>
  <c r="B386" i="19"/>
  <c r="E385" i="19"/>
  <c r="F385" i="19" s="1"/>
  <c r="I385" i="19" s="1"/>
  <c r="D385" i="19"/>
  <c r="C385" i="19"/>
  <c r="B385" i="19"/>
  <c r="F384" i="19"/>
  <c r="I384" i="19" s="1"/>
  <c r="E384" i="19"/>
  <c r="D384" i="19"/>
  <c r="C384" i="19"/>
  <c r="B384" i="19"/>
  <c r="E383" i="19"/>
  <c r="F383" i="19" s="1"/>
  <c r="I383" i="19" s="1"/>
  <c r="D383" i="19"/>
  <c r="C383" i="19"/>
  <c r="B383" i="19"/>
  <c r="I382" i="19"/>
  <c r="F382" i="19"/>
  <c r="E382" i="19"/>
  <c r="D382" i="19"/>
  <c r="C382" i="19"/>
  <c r="B382" i="19"/>
  <c r="E381" i="19"/>
  <c r="F381" i="19" s="1"/>
  <c r="I381" i="19" s="1"/>
  <c r="D381" i="19"/>
  <c r="C381" i="19"/>
  <c r="B381" i="19"/>
  <c r="F380" i="19"/>
  <c r="I380" i="19" s="1"/>
  <c r="E380" i="19"/>
  <c r="D380" i="19"/>
  <c r="C380" i="19"/>
  <c r="B380" i="19"/>
  <c r="E379" i="19"/>
  <c r="F379" i="19" s="1"/>
  <c r="I379" i="19" s="1"/>
  <c r="D379" i="19"/>
  <c r="C379" i="19"/>
  <c r="B379" i="19"/>
  <c r="F378" i="19"/>
  <c r="I378" i="19" s="1"/>
  <c r="E378" i="19"/>
  <c r="D378" i="19"/>
  <c r="C378" i="19"/>
  <c r="B378" i="19"/>
  <c r="E377" i="19"/>
  <c r="F377" i="19" s="1"/>
  <c r="I377" i="19" s="1"/>
  <c r="D377" i="19"/>
  <c r="C377" i="19"/>
  <c r="B377" i="19"/>
  <c r="F376" i="19"/>
  <c r="I376" i="19" s="1"/>
  <c r="E376" i="19"/>
  <c r="D376" i="19"/>
  <c r="C376" i="19"/>
  <c r="B376" i="19"/>
  <c r="E375" i="19"/>
  <c r="F375" i="19" s="1"/>
  <c r="I375" i="19" s="1"/>
  <c r="D375" i="19"/>
  <c r="C375" i="19"/>
  <c r="B375" i="19"/>
  <c r="F374" i="19"/>
  <c r="I374" i="19" s="1"/>
  <c r="E374" i="19"/>
  <c r="D374" i="19"/>
  <c r="C374" i="19"/>
  <c r="B374" i="19"/>
  <c r="E373" i="19"/>
  <c r="F373" i="19" s="1"/>
  <c r="I373" i="19" s="1"/>
  <c r="D373" i="19"/>
  <c r="C373" i="19"/>
  <c r="B373" i="19"/>
  <c r="F372" i="19"/>
  <c r="I372" i="19" s="1"/>
  <c r="E372" i="19"/>
  <c r="D372" i="19"/>
  <c r="C372" i="19"/>
  <c r="B372" i="19"/>
  <c r="E371" i="19"/>
  <c r="F371" i="19" s="1"/>
  <c r="I371" i="19" s="1"/>
  <c r="D371" i="19"/>
  <c r="C371" i="19"/>
  <c r="B371" i="19"/>
  <c r="I370" i="19"/>
  <c r="F370" i="19"/>
  <c r="E370" i="19"/>
  <c r="D370" i="19"/>
  <c r="C370" i="19"/>
  <c r="B370" i="19"/>
  <c r="E369" i="19"/>
  <c r="F369" i="19" s="1"/>
  <c r="I369" i="19" s="1"/>
  <c r="D369" i="19"/>
  <c r="C369" i="19"/>
  <c r="B369" i="19"/>
  <c r="F368" i="19"/>
  <c r="I368" i="19" s="1"/>
  <c r="E368" i="19"/>
  <c r="D368" i="19"/>
  <c r="C368" i="19"/>
  <c r="B368" i="19"/>
  <c r="E367" i="19"/>
  <c r="F367" i="19" s="1"/>
  <c r="I367" i="19" s="1"/>
  <c r="D367" i="19"/>
  <c r="C367" i="19"/>
  <c r="B367" i="19"/>
  <c r="F366" i="19"/>
  <c r="I366" i="19" s="1"/>
  <c r="E366" i="19"/>
  <c r="D366" i="19"/>
  <c r="C366" i="19"/>
  <c r="B366" i="19"/>
  <c r="E365" i="19"/>
  <c r="F365" i="19" s="1"/>
  <c r="I365" i="19" s="1"/>
  <c r="D365" i="19"/>
  <c r="C365" i="19"/>
  <c r="B365" i="19"/>
  <c r="F364" i="19"/>
  <c r="I364" i="19" s="1"/>
  <c r="E364" i="19"/>
  <c r="D364" i="19"/>
  <c r="C364" i="19"/>
  <c r="B364" i="19"/>
  <c r="E363" i="19"/>
  <c r="F363" i="19" s="1"/>
  <c r="I363" i="19" s="1"/>
  <c r="D363" i="19"/>
  <c r="C363" i="19"/>
  <c r="B363" i="19"/>
  <c r="F362" i="19"/>
  <c r="I362" i="19" s="1"/>
  <c r="E362" i="19"/>
  <c r="D362" i="19"/>
  <c r="C362" i="19"/>
  <c r="B362" i="19"/>
  <c r="E361" i="19"/>
  <c r="F361" i="19" s="1"/>
  <c r="I361" i="19" s="1"/>
  <c r="D361" i="19"/>
  <c r="C361" i="19"/>
  <c r="B361" i="19"/>
  <c r="F360" i="19"/>
  <c r="I360" i="19" s="1"/>
  <c r="E360" i="19"/>
  <c r="D360" i="19"/>
  <c r="C360" i="19"/>
  <c r="B360" i="19"/>
  <c r="E359" i="19"/>
  <c r="F359" i="19" s="1"/>
  <c r="I359" i="19" s="1"/>
  <c r="D359" i="19"/>
  <c r="C359" i="19"/>
  <c r="B359" i="19"/>
  <c r="F358" i="19"/>
  <c r="I358" i="19" s="1"/>
  <c r="E358" i="19"/>
  <c r="D358" i="19"/>
  <c r="C358" i="19"/>
  <c r="B358" i="19"/>
  <c r="E357" i="19"/>
  <c r="F357" i="19" s="1"/>
  <c r="I357" i="19" s="1"/>
  <c r="D357" i="19"/>
  <c r="C357" i="19"/>
  <c r="B357" i="19"/>
  <c r="F356" i="19"/>
  <c r="I356" i="19" s="1"/>
  <c r="E356" i="19"/>
  <c r="D356" i="19"/>
  <c r="C356" i="19"/>
  <c r="B356" i="19"/>
  <c r="E355" i="19"/>
  <c r="F355" i="19" s="1"/>
  <c r="I355" i="19" s="1"/>
  <c r="D355" i="19"/>
  <c r="C355" i="19"/>
  <c r="B355" i="19"/>
  <c r="F354" i="19"/>
  <c r="I354" i="19" s="1"/>
  <c r="E354" i="19"/>
  <c r="D354" i="19"/>
  <c r="C354" i="19"/>
  <c r="B354" i="19"/>
  <c r="E353" i="19"/>
  <c r="F353" i="19" s="1"/>
  <c r="I353" i="19" s="1"/>
  <c r="D353" i="19"/>
  <c r="C353" i="19"/>
  <c r="B353" i="19"/>
  <c r="F352" i="19"/>
  <c r="I352" i="19" s="1"/>
  <c r="E352" i="19"/>
  <c r="D352" i="19"/>
  <c r="C352" i="19"/>
  <c r="B352" i="19"/>
  <c r="E351" i="19"/>
  <c r="F351" i="19" s="1"/>
  <c r="I351" i="19" s="1"/>
  <c r="D351" i="19"/>
  <c r="C351" i="19"/>
  <c r="B351" i="19"/>
  <c r="F350" i="19"/>
  <c r="I350" i="19" s="1"/>
  <c r="E350" i="19"/>
  <c r="D350" i="19"/>
  <c r="C350" i="19"/>
  <c r="B350" i="19"/>
  <c r="E349" i="19"/>
  <c r="F349" i="19" s="1"/>
  <c r="I349" i="19" s="1"/>
  <c r="D349" i="19"/>
  <c r="C349" i="19"/>
  <c r="B349" i="19"/>
  <c r="F348" i="19"/>
  <c r="I348" i="19" s="1"/>
  <c r="E348" i="19"/>
  <c r="D348" i="19"/>
  <c r="C348" i="19"/>
  <c r="B348" i="19"/>
  <c r="E347" i="19"/>
  <c r="F347" i="19" s="1"/>
  <c r="I347" i="19" s="1"/>
  <c r="D347" i="19"/>
  <c r="C347" i="19"/>
  <c r="B347" i="19"/>
  <c r="F346" i="19"/>
  <c r="I346" i="19" s="1"/>
  <c r="E346" i="19"/>
  <c r="D346" i="19"/>
  <c r="C346" i="19"/>
  <c r="B346" i="19"/>
  <c r="E345" i="19"/>
  <c r="F345" i="19" s="1"/>
  <c r="I345" i="19" s="1"/>
  <c r="D345" i="19"/>
  <c r="C345" i="19"/>
  <c r="B345" i="19"/>
  <c r="F344" i="19"/>
  <c r="I344" i="19" s="1"/>
  <c r="E344" i="19"/>
  <c r="D344" i="19"/>
  <c r="C344" i="19"/>
  <c r="B344" i="19"/>
  <c r="E343" i="19"/>
  <c r="F343" i="19" s="1"/>
  <c r="I343" i="19" s="1"/>
  <c r="D343" i="19"/>
  <c r="C343" i="19"/>
  <c r="B343" i="19"/>
  <c r="F342" i="19"/>
  <c r="I342" i="19" s="1"/>
  <c r="E342" i="19"/>
  <c r="D342" i="19"/>
  <c r="C342" i="19"/>
  <c r="B342" i="19"/>
  <c r="E341" i="19"/>
  <c r="F341" i="19" s="1"/>
  <c r="I341" i="19" s="1"/>
  <c r="D341" i="19"/>
  <c r="C341" i="19"/>
  <c r="B341" i="19"/>
  <c r="F340" i="19"/>
  <c r="I340" i="19" s="1"/>
  <c r="E340" i="19"/>
  <c r="D340" i="19"/>
  <c r="C340" i="19"/>
  <c r="B340" i="19"/>
  <c r="E339" i="19"/>
  <c r="F339" i="19" s="1"/>
  <c r="I339" i="19" s="1"/>
  <c r="D339" i="19"/>
  <c r="C339" i="19"/>
  <c r="B339" i="19"/>
  <c r="F338" i="19"/>
  <c r="I338" i="19" s="1"/>
  <c r="E338" i="19"/>
  <c r="D338" i="19"/>
  <c r="C338" i="19"/>
  <c r="B338" i="19"/>
  <c r="E337" i="19"/>
  <c r="F337" i="19" s="1"/>
  <c r="I337" i="19" s="1"/>
  <c r="D337" i="19"/>
  <c r="C337" i="19"/>
  <c r="B337" i="19"/>
  <c r="F336" i="19"/>
  <c r="I336" i="19" s="1"/>
  <c r="E336" i="19"/>
  <c r="D336" i="19"/>
  <c r="C336" i="19"/>
  <c r="B336" i="19"/>
  <c r="E335" i="19"/>
  <c r="F335" i="19" s="1"/>
  <c r="I335" i="19" s="1"/>
  <c r="D335" i="19"/>
  <c r="C335" i="19"/>
  <c r="B335" i="19"/>
  <c r="F334" i="19"/>
  <c r="I334" i="19" s="1"/>
  <c r="E334" i="19"/>
  <c r="D334" i="19"/>
  <c r="C334" i="19"/>
  <c r="B334" i="19"/>
  <c r="E333" i="19"/>
  <c r="F333" i="19" s="1"/>
  <c r="I333" i="19" s="1"/>
  <c r="D333" i="19"/>
  <c r="C333" i="19"/>
  <c r="B333" i="19"/>
  <c r="F332" i="19"/>
  <c r="I332" i="19" s="1"/>
  <c r="E332" i="19"/>
  <c r="D332" i="19"/>
  <c r="C332" i="19"/>
  <c r="B332" i="19"/>
  <c r="E331" i="19"/>
  <c r="F331" i="19" s="1"/>
  <c r="I331" i="19" s="1"/>
  <c r="D331" i="19"/>
  <c r="C331" i="19"/>
  <c r="B331" i="19"/>
  <c r="F330" i="19"/>
  <c r="I330" i="19" s="1"/>
  <c r="E330" i="19"/>
  <c r="D330" i="19"/>
  <c r="C330" i="19"/>
  <c r="B330" i="19"/>
  <c r="E329" i="19"/>
  <c r="F329" i="19" s="1"/>
  <c r="I329" i="19" s="1"/>
  <c r="D329" i="19"/>
  <c r="C329" i="19"/>
  <c r="B329" i="19"/>
  <c r="F328" i="19"/>
  <c r="I328" i="19" s="1"/>
  <c r="E328" i="19"/>
  <c r="D328" i="19"/>
  <c r="C328" i="19"/>
  <c r="B328" i="19"/>
  <c r="E327" i="19"/>
  <c r="F327" i="19" s="1"/>
  <c r="I327" i="19" s="1"/>
  <c r="D327" i="19"/>
  <c r="C327" i="19"/>
  <c r="B327" i="19"/>
  <c r="F326" i="19"/>
  <c r="I326" i="19" s="1"/>
  <c r="E326" i="19"/>
  <c r="D326" i="19"/>
  <c r="C326" i="19"/>
  <c r="B326" i="19"/>
  <c r="E325" i="19"/>
  <c r="F325" i="19" s="1"/>
  <c r="I325" i="19" s="1"/>
  <c r="D325" i="19"/>
  <c r="C325" i="19"/>
  <c r="B325" i="19"/>
  <c r="F324" i="19"/>
  <c r="I324" i="19" s="1"/>
  <c r="E324" i="19"/>
  <c r="D324" i="19"/>
  <c r="C324" i="19"/>
  <c r="B324" i="19"/>
  <c r="E323" i="19"/>
  <c r="F323" i="19" s="1"/>
  <c r="I323" i="19" s="1"/>
  <c r="D323" i="19"/>
  <c r="C323" i="19"/>
  <c r="B323" i="19"/>
  <c r="F322" i="19"/>
  <c r="I322" i="19" s="1"/>
  <c r="E322" i="19"/>
  <c r="D322" i="19"/>
  <c r="C322" i="19"/>
  <c r="B322" i="19"/>
  <c r="E321" i="19"/>
  <c r="F321" i="19" s="1"/>
  <c r="I321" i="19" s="1"/>
  <c r="D321" i="19"/>
  <c r="C321" i="19"/>
  <c r="B321" i="19"/>
  <c r="F320" i="19"/>
  <c r="I320" i="19" s="1"/>
  <c r="E320" i="19"/>
  <c r="D320" i="19"/>
  <c r="C320" i="19"/>
  <c r="B320" i="19"/>
  <c r="E319" i="19"/>
  <c r="F319" i="19" s="1"/>
  <c r="I319" i="19" s="1"/>
  <c r="D319" i="19"/>
  <c r="C319" i="19"/>
  <c r="B319" i="19"/>
  <c r="F318" i="19"/>
  <c r="I318" i="19" s="1"/>
  <c r="E318" i="19"/>
  <c r="D318" i="19"/>
  <c r="C318" i="19"/>
  <c r="B318" i="19"/>
  <c r="E317" i="19"/>
  <c r="F317" i="19" s="1"/>
  <c r="I317" i="19" s="1"/>
  <c r="D317" i="19"/>
  <c r="C317" i="19"/>
  <c r="B317" i="19"/>
  <c r="F316" i="19"/>
  <c r="I316" i="19" s="1"/>
  <c r="E316" i="19"/>
  <c r="D316" i="19"/>
  <c r="C316" i="19"/>
  <c r="B316" i="19"/>
  <c r="E315" i="19"/>
  <c r="F315" i="19" s="1"/>
  <c r="I315" i="19" s="1"/>
  <c r="D315" i="19"/>
  <c r="C315" i="19"/>
  <c r="B315" i="19"/>
  <c r="F314" i="19"/>
  <c r="I314" i="19" s="1"/>
  <c r="E314" i="19"/>
  <c r="D314" i="19"/>
  <c r="C314" i="19"/>
  <c r="B314" i="19"/>
  <c r="E313" i="19"/>
  <c r="F313" i="19" s="1"/>
  <c r="I313" i="19" s="1"/>
  <c r="D313" i="19"/>
  <c r="C313" i="19"/>
  <c r="B313" i="19"/>
  <c r="F312" i="19"/>
  <c r="I312" i="19" s="1"/>
  <c r="E312" i="19"/>
  <c r="D312" i="19"/>
  <c r="C312" i="19"/>
  <c r="B312" i="19"/>
  <c r="E311" i="19"/>
  <c r="F311" i="19" s="1"/>
  <c r="I311" i="19" s="1"/>
  <c r="D311" i="19"/>
  <c r="C311" i="19"/>
  <c r="B311" i="19"/>
  <c r="F310" i="19"/>
  <c r="I310" i="19" s="1"/>
  <c r="E310" i="19"/>
  <c r="D310" i="19"/>
  <c r="C310" i="19"/>
  <c r="B310" i="19"/>
  <c r="E309" i="19"/>
  <c r="F309" i="19" s="1"/>
  <c r="I309" i="19" s="1"/>
  <c r="D309" i="19"/>
  <c r="C309" i="19"/>
  <c r="B309" i="19"/>
  <c r="F308" i="19"/>
  <c r="I308" i="19" s="1"/>
  <c r="E308" i="19"/>
  <c r="D308" i="19"/>
  <c r="C308" i="19"/>
  <c r="B308" i="19"/>
  <c r="E307" i="19"/>
  <c r="F307" i="19" s="1"/>
  <c r="I307" i="19" s="1"/>
  <c r="D307" i="19"/>
  <c r="C307" i="19"/>
  <c r="B307" i="19"/>
  <c r="F306" i="19"/>
  <c r="I306" i="19" s="1"/>
  <c r="E306" i="19"/>
  <c r="D306" i="19"/>
  <c r="C306" i="19"/>
  <c r="B306" i="19"/>
  <c r="E305" i="19"/>
  <c r="F305" i="19" s="1"/>
  <c r="I305" i="19" s="1"/>
  <c r="D305" i="19"/>
  <c r="C305" i="19"/>
  <c r="B305" i="19"/>
  <c r="F304" i="19"/>
  <c r="I304" i="19" s="1"/>
  <c r="E304" i="19"/>
  <c r="D304" i="19"/>
  <c r="C304" i="19"/>
  <c r="B304" i="19"/>
  <c r="E303" i="19"/>
  <c r="F303" i="19" s="1"/>
  <c r="I303" i="19" s="1"/>
  <c r="D303" i="19"/>
  <c r="C303" i="19"/>
  <c r="B303" i="19"/>
  <c r="F302" i="19"/>
  <c r="I302" i="19" s="1"/>
  <c r="E302" i="19"/>
  <c r="D302" i="19"/>
  <c r="C302" i="19"/>
  <c r="B302" i="19"/>
  <c r="E301" i="19"/>
  <c r="F301" i="19" s="1"/>
  <c r="I301" i="19" s="1"/>
  <c r="D301" i="19"/>
  <c r="C301" i="19"/>
  <c r="B301" i="19"/>
  <c r="F300" i="19"/>
  <c r="I300" i="19" s="1"/>
  <c r="E300" i="19"/>
  <c r="D300" i="19"/>
  <c r="C300" i="19"/>
  <c r="B300" i="19"/>
  <c r="E299" i="19"/>
  <c r="F299" i="19" s="1"/>
  <c r="I299" i="19" s="1"/>
  <c r="D299" i="19"/>
  <c r="C299" i="19"/>
  <c r="B299" i="19"/>
  <c r="I298" i="19"/>
  <c r="F298" i="19"/>
  <c r="E298" i="19"/>
  <c r="D298" i="19"/>
  <c r="C298" i="19"/>
  <c r="B298" i="19"/>
  <c r="E297" i="19"/>
  <c r="F297" i="19" s="1"/>
  <c r="I297" i="19" s="1"/>
  <c r="D297" i="19"/>
  <c r="C297" i="19"/>
  <c r="B297" i="19"/>
  <c r="F296" i="19"/>
  <c r="I296" i="19" s="1"/>
  <c r="E296" i="19"/>
  <c r="D296" i="19"/>
  <c r="C296" i="19"/>
  <c r="B296" i="19"/>
  <c r="E295" i="19"/>
  <c r="F295" i="19" s="1"/>
  <c r="I295" i="19" s="1"/>
  <c r="D295" i="19"/>
  <c r="C295" i="19"/>
  <c r="B295" i="19"/>
  <c r="F294" i="19"/>
  <c r="I294" i="19" s="1"/>
  <c r="E294" i="19"/>
  <c r="D294" i="19"/>
  <c r="C294" i="19"/>
  <c r="B294" i="19"/>
  <c r="E293" i="19"/>
  <c r="F293" i="19" s="1"/>
  <c r="I293" i="19" s="1"/>
  <c r="D293" i="19"/>
  <c r="C293" i="19"/>
  <c r="B293" i="19"/>
  <c r="F292" i="19"/>
  <c r="I292" i="19" s="1"/>
  <c r="E292" i="19"/>
  <c r="D292" i="19"/>
  <c r="C292" i="19"/>
  <c r="B292" i="19"/>
  <c r="E291" i="19"/>
  <c r="F291" i="19" s="1"/>
  <c r="I291" i="19" s="1"/>
  <c r="D291" i="19"/>
  <c r="C291" i="19"/>
  <c r="B291" i="19"/>
  <c r="F290" i="19"/>
  <c r="I290" i="19" s="1"/>
  <c r="E290" i="19"/>
  <c r="D290" i="19"/>
  <c r="C290" i="19"/>
  <c r="B290" i="19"/>
  <c r="E289" i="19"/>
  <c r="F289" i="19" s="1"/>
  <c r="I289" i="19" s="1"/>
  <c r="D289" i="19"/>
  <c r="C289" i="19"/>
  <c r="B289" i="19"/>
  <c r="F288" i="19"/>
  <c r="I288" i="19" s="1"/>
  <c r="E288" i="19"/>
  <c r="D288" i="19"/>
  <c r="C288" i="19"/>
  <c r="B288" i="19"/>
  <c r="E287" i="19"/>
  <c r="F287" i="19" s="1"/>
  <c r="I287" i="19" s="1"/>
  <c r="D287" i="19"/>
  <c r="C287" i="19"/>
  <c r="B287" i="19"/>
  <c r="F286" i="19"/>
  <c r="I286" i="19" s="1"/>
  <c r="E286" i="19"/>
  <c r="D286" i="19"/>
  <c r="C286" i="19"/>
  <c r="B286" i="19"/>
  <c r="E285" i="19"/>
  <c r="F285" i="19" s="1"/>
  <c r="I285" i="19" s="1"/>
  <c r="D285" i="19"/>
  <c r="C285" i="19"/>
  <c r="B285" i="19"/>
  <c r="F284" i="19"/>
  <c r="I284" i="19" s="1"/>
  <c r="E284" i="19"/>
  <c r="D284" i="19"/>
  <c r="C284" i="19"/>
  <c r="B284" i="19"/>
  <c r="E283" i="19"/>
  <c r="F283" i="19" s="1"/>
  <c r="I283" i="19" s="1"/>
  <c r="D283" i="19"/>
  <c r="C283" i="19"/>
  <c r="B283" i="19"/>
  <c r="F282" i="19"/>
  <c r="I282" i="19" s="1"/>
  <c r="E282" i="19"/>
  <c r="D282" i="19"/>
  <c r="C282" i="19"/>
  <c r="B282" i="19"/>
  <c r="E281" i="19"/>
  <c r="F281" i="19" s="1"/>
  <c r="I281" i="19" s="1"/>
  <c r="D281" i="19"/>
  <c r="C281" i="19"/>
  <c r="B281" i="19"/>
  <c r="F280" i="19"/>
  <c r="I280" i="19" s="1"/>
  <c r="E280" i="19"/>
  <c r="D280" i="19"/>
  <c r="C280" i="19"/>
  <c r="B280" i="19"/>
  <c r="E279" i="19"/>
  <c r="F279" i="19" s="1"/>
  <c r="I279" i="19" s="1"/>
  <c r="D279" i="19"/>
  <c r="C279" i="19"/>
  <c r="B279" i="19"/>
  <c r="F278" i="19"/>
  <c r="I278" i="19" s="1"/>
  <c r="E278" i="19"/>
  <c r="D278" i="19"/>
  <c r="C278" i="19"/>
  <c r="B278" i="19"/>
  <c r="E277" i="19"/>
  <c r="F277" i="19" s="1"/>
  <c r="I277" i="19" s="1"/>
  <c r="D277" i="19"/>
  <c r="C277" i="19"/>
  <c r="B277" i="19"/>
  <c r="F276" i="19"/>
  <c r="I276" i="19" s="1"/>
  <c r="E276" i="19"/>
  <c r="D276" i="19"/>
  <c r="C276" i="19"/>
  <c r="B276" i="19"/>
  <c r="E275" i="19"/>
  <c r="F275" i="19" s="1"/>
  <c r="I275" i="19" s="1"/>
  <c r="D275" i="19"/>
  <c r="C275" i="19"/>
  <c r="B275" i="19"/>
  <c r="I274" i="19"/>
  <c r="F274" i="19"/>
  <c r="E274" i="19"/>
  <c r="D274" i="19"/>
  <c r="C274" i="19"/>
  <c r="B274" i="19"/>
  <c r="E273" i="19"/>
  <c r="F273" i="19" s="1"/>
  <c r="I273" i="19" s="1"/>
  <c r="D273" i="19"/>
  <c r="C273" i="19"/>
  <c r="B273" i="19"/>
  <c r="F272" i="19"/>
  <c r="I272" i="19" s="1"/>
  <c r="E272" i="19"/>
  <c r="D272" i="19"/>
  <c r="C272" i="19"/>
  <c r="B272" i="19"/>
  <c r="E271" i="19"/>
  <c r="F271" i="19" s="1"/>
  <c r="I271" i="19" s="1"/>
  <c r="D271" i="19"/>
  <c r="C271" i="19"/>
  <c r="B271" i="19"/>
  <c r="F270" i="19"/>
  <c r="I270" i="19" s="1"/>
  <c r="E270" i="19"/>
  <c r="D270" i="19"/>
  <c r="C270" i="19"/>
  <c r="B270" i="19"/>
  <c r="E269" i="19"/>
  <c r="F269" i="19" s="1"/>
  <c r="I269" i="19" s="1"/>
  <c r="D269" i="19"/>
  <c r="C269" i="19"/>
  <c r="B269" i="19"/>
  <c r="F268" i="19"/>
  <c r="I268" i="19" s="1"/>
  <c r="E268" i="19"/>
  <c r="D268" i="19"/>
  <c r="C268" i="19"/>
  <c r="B268" i="19"/>
  <c r="E267" i="19"/>
  <c r="F267" i="19" s="1"/>
  <c r="I267" i="19" s="1"/>
  <c r="D267" i="19"/>
  <c r="C267" i="19"/>
  <c r="B267" i="19"/>
  <c r="F266" i="19"/>
  <c r="I266" i="19" s="1"/>
  <c r="E266" i="19"/>
  <c r="D266" i="19"/>
  <c r="C266" i="19"/>
  <c r="B266" i="19"/>
  <c r="E265" i="19"/>
  <c r="F265" i="19" s="1"/>
  <c r="I265" i="19" s="1"/>
  <c r="D265" i="19"/>
  <c r="C265" i="19"/>
  <c r="B265" i="19"/>
  <c r="F264" i="19"/>
  <c r="I264" i="19" s="1"/>
  <c r="E264" i="19"/>
  <c r="D264" i="19"/>
  <c r="C264" i="19"/>
  <c r="B264" i="19"/>
  <c r="E263" i="19"/>
  <c r="F263" i="19" s="1"/>
  <c r="I263" i="19" s="1"/>
  <c r="D263" i="19"/>
  <c r="C263" i="19"/>
  <c r="B263" i="19"/>
  <c r="I262" i="19"/>
  <c r="F262" i="19"/>
  <c r="E262" i="19"/>
  <c r="D262" i="19"/>
  <c r="C262" i="19"/>
  <c r="B262" i="19"/>
  <c r="E261" i="19"/>
  <c r="F261" i="19" s="1"/>
  <c r="I261" i="19" s="1"/>
  <c r="D261" i="19"/>
  <c r="C261" i="19"/>
  <c r="B261" i="19"/>
  <c r="F260" i="19"/>
  <c r="I260" i="19" s="1"/>
  <c r="E260" i="19"/>
  <c r="D260" i="19"/>
  <c r="C260" i="19"/>
  <c r="B260" i="19"/>
  <c r="E259" i="19"/>
  <c r="F259" i="19" s="1"/>
  <c r="I259" i="19" s="1"/>
  <c r="D259" i="19"/>
  <c r="C259" i="19"/>
  <c r="B259" i="19"/>
  <c r="F258" i="19"/>
  <c r="I258" i="19" s="1"/>
  <c r="E258" i="19"/>
  <c r="D258" i="19"/>
  <c r="C258" i="19"/>
  <c r="B258" i="19"/>
  <c r="E257" i="19"/>
  <c r="F257" i="19" s="1"/>
  <c r="I257" i="19" s="1"/>
  <c r="D257" i="19"/>
  <c r="C257" i="19"/>
  <c r="B257" i="19"/>
  <c r="F256" i="19"/>
  <c r="I256" i="19" s="1"/>
  <c r="E256" i="19"/>
  <c r="D256" i="19"/>
  <c r="C256" i="19"/>
  <c r="B256" i="19"/>
  <c r="E255" i="19"/>
  <c r="F255" i="19" s="1"/>
  <c r="I255" i="19" s="1"/>
  <c r="D255" i="19"/>
  <c r="C255" i="19"/>
  <c r="B255" i="19"/>
  <c r="F254" i="19"/>
  <c r="I254" i="19" s="1"/>
  <c r="E254" i="19"/>
  <c r="D254" i="19"/>
  <c r="C254" i="19"/>
  <c r="B254" i="19"/>
  <c r="E253" i="19"/>
  <c r="F253" i="19" s="1"/>
  <c r="I253" i="19" s="1"/>
  <c r="D253" i="19"/>
  <c r="C253" i="19"/>
  <c r="B253" i="19"/>
  <c r="F252" i="19"/>
  <c r="I252" i="19" s="1"/>
  <c r="E252" i="19"/>
  <c r="D252" i="19"/>
  <c r="C252" i="19"/>
  <c r="B252" i="19"/>
  <c r="E251" i="19"/>
  <c r="F251" i="19" s="1"/>
  <c r="I251" i="19" s="1"/>
  <c r="D251" i="19"/>
  <c r="C251" i="19"/>
  <c r="B251" i="19"/>
  <c r="I250" i="19"/>
  <c r="F250" i="19"/>
  <c r="E250" i="19"/>
  <c r="D250" i="19"/>
  <c r="C250" i="19"/>
  <c r="B250" i="19"/>
  <c r="E249" i="19"/>
  <c r="F249" i="19" s="1"/>
  <c r="I249" i="19" s="1"/>
  <c r="D249" i="19"/>
  <c r="C249" i="19"/>
  <c r="B249" i="19"/>
  <c r="F248" i="19"/>
  <c r="I248" i="19" s="1"/>
  <c r="E248" i="19"/>
  <c r="D248" i="19"/>
  <c r="C248" i="19"/>
  <c r="B248" i="19"/>
  <c r="E247" i="19"/>
  <c r="F247" i="19" s="1"/>
  <c r="I247" i="19" s="1"/>
  <c r="D247" i="19"/>
  <c r="C247" i="19"/>
  <c r="B247" i="19"/>
  <c r="F246" i="19"/>
  <c r="I246" i="19" s="1"/>
  <c r="E246" i="19"/>
  <c r="D246" i="19"/>
  <c r="C246" i="19"/>
  <c r="B246" i="19"/>
  <c r="E245" i="19"/>
  <c r="F245" i="19" s="1"/>
  <c r="I245" i="19" s="1"/>
  <c r="D245" i="19"/>
  <c r="C245" i="19"/>
  <c r="B245" i="19"/>
  <c r="F244" i="19"/>
  <c r="I244" i="19" s="1"/>
  <c r="E244" i="19"/>
  <c r="D244" i="19"/>
  <c r="C244" i="19"/>
  <c r="B244" i="19"/>
  <c r="E243" i="19"/>
  <c r="F243" i="19" s="1"/>
  <c r="I243" i="19" s="1"/>
  <c r="D243" i="19"/>
  <c r="C243" i="19"/>
  <c r="B243" i="19"/>
  <c r="F242" i="19"/>
  <c r="I242" i="19" s="1"/>
  <c r="E242" i="19"/>
  <c r="D242" i="19"/>
  <c r="C242" i="19"/>
  <c r="B242" i="19"/>
  <c r="E241" i="19"/>
  <c r="F241" i="19" s="1"/>
  <c r="I241" i="19" s="1"/>
  <c r="D241" i="19"/>
  <c r="C241" i="19"/>
  <c r="B241" i="19"/>
  <c r="F240" i="19"/>
  <c r="I240" i="19" s="1"/>
  <c r="E240" i="19"/>
  <c r="D240" i="19"/>
  <c r="C240" i="19"/>
  <c r="B240" i="19"/>
  <c r="E239" i="19"/>
  <c r="F239" i="19" s="1"/>
  <c r="I239" i="19" s="1"/>
  <c r="D239" i="19"/>
  <c r="C239" i="19"/>
  <c r="B239" i="19"/>
  <c r="I238" i="19"/>
  <c r="F238" i="19"/>
  <c r="E238" i="19"/>
  <c r="D238" i="19"/>
  <c r="C238" i="19"/>
  <c r="B238" i="19"/>
  <c r="E237" i="19"/>
  <c r="F237" i="19" s="1"/>
  <c r="I237" i="19" s="1"/>
  <c r="D237" i="19"/>
  <c r="C237" i="19"/>
  <c r="B237" i="19"/>
  <c r="F236" i="19"/>
  <c r="I236" i="19" s="1"/>
  <c r="E236" i="19"/>
  <c r="D236" i="19"/>
  <c r="C236" i="19"/>
  <c r="B236" i="19"/>
  <c r="E235" i="19"/>
  <c r="F235" i="19" s="1"/>
  <c r="I235" i="19" s="1"/>
  <c r="D235" i="19"/>
  <c r="C235" i="19"/>
  <c r="B235" i="19"/>
  <c r="F234" i="19"/>
  <c r="I234" i="19" s="1"/>
  <c r="E234" i="19"/>
  <c r="D234" i="19"/>
  <c r="C234" i="19"/>
  <c r="B234" i="19"/>
  <c r="E233" i="19"/>
  <c r="F233" i="19" s="1"/>
  <c r="I233" i="19" s="1"/>
  <c r="D233" i="19"/>
  <c r="C233" i="19"/>
  <c r="B233" i="19"/>
  <c r="F232" i="19"/>
  <c r="I232" i="19" s="1"/>
  <c r="E232" i="19"/>
  <c r="D232" i="19"/>
  <c r="C232" i="19"/>
  <c r="B232" i="19"/>
  <c r="E231" i="19"/>
  <c r="F231" i="19" s="1"/>
  <c r="I231" i="19" s="1"/>
  <c r="D231" i="19"/>
  <c r="C231" i="19"/>
  <c r="B231" i="19"/>
  <c r="F230" i="19"/>
  <c r="I230" i="19" s="1"/>
  <c r="E230" i="19"/>
  <c r="D230" i="19"/>
  <c r="C230" i="19"/>
  <c r="B230" i="19"/>
  <c r="E229" i="19"/>
  <c r="F229" i="19" s="1"/>
  <c r="I229" i="19" s="1"/>
  <c r="D229" i="19"/>
  <c r="C229" i="19"/>
  <c r="B229" i="19"/>
  <c r="F228" i="19"/>
  <c r="I228" i="19" s="1"/>
  <c r="E228" i="19"/>
  <c r="D228" i="19"/>
  <c r="C228" i="19"/>
  <c r="B228" i="19"/>
  <c r="E227" i="19"/>
  <c r="F227" i="19" s="1"/>
  <c r="I227" i="19" s="1"/>
  <c r="D227" i="19"/>
  <c r="C227" i="19"/>
  <c r="B227" i="19"/>
  <c r="I226" i="19"/>
  <c r="F226" i="19"/>
  <c r="E226" i="19"/>
  <c r="D226" i="19"/>
  <c r="C226" i="19"/>
  <c r="B226" i="19"/>
  <c r="E225" i="19"/>
  <c r="F225" i="19" s="1"/>
  <c r="I225" i="19" s="1"/>
  <c r="D225" i="19"/>
  <c r="C225" i="19"/>
  <c r="B225" i="19"/>
  <c r="F224" i="19"/>
  <c r="I224" i="19" s="1"/>
  <c r="E224" i="19"/>
  <c r="D224" i="19"/>
  <c r="C224" i="19"/>
  <c r="B224" i="19"/>
  <c r="E223" i="19"/>
  <c r="F223" i="19" s="1"/>
  <c r="I223" i="19" s="1"/>
  <c r="D223" i="19"/>
  <c r="C223" i="19"/>
  <c r="B223" i="19"/>
  <c r="F222" i="19"/>
  <c r="I222" i="19" s="1"/>
  <c r="E222" i="19"/>
  <c r="D222" i="19"/>
  <c r="C222" i="19"/>
  <c r="B222" i="19"/>
  <c r="E221" i="19"/>
  <c r="F221" i="19" s="1"/>
  <c r="I221" i="19" s="1"/>
  <c r="D221" i="19"/>
  <c r="C221" i="19"/>
  <c r="B221" i="19"/>
  <c r="F220" i="19"/>
  <c r="I220" i="19" s="1"/>
  <c r="E220" i="19"/>
  <c r="D220" i="19"/>
  <c r="C220" i="19"/>
  <c r="B220" i="19"/>
  <c r="E219" i="19"/>
  <c r="F219" i="19" s="1"/>
  <c r="I219" i="19" s="1"/>
  <c r="D219" i="19"/>
  <c r="C219" i="19"/>
  <c r="B219" i="19"/>
  <c r="F218" i="19"/>
  <c r="I218" i="19" s="1"/>
  <c r="E218" i="19"/>
  <c r="D218" i="19"/>
  <c r="C218" i="19"/>
  <c r="B218" i="19"/>
  <c r="E217" i="19"/>
  <c r="F217" i="19" s="1"/>
  <c r="I217" i="19" s="1"/>
  <c r="D217" i="19"/>
  <c r="C217" i="19"/>
  <c r="B217" i="19"/>
  <c r="F216" i="19"/>
  <c r="I216" i="19" s="1"/>
  <c r="E216" i="19"/>
  <c r="D216" i="19"/>
  <c r="C216" i="19"/>
  <c r="B216" i="19"/>
  <c r="E215" i="19"/>
  <c r="F215" i="19" s="1"/>
  <c r="I215" i="19" s="1"/>
  <c r="D215" i="19"/>
  <c r="C215" i="19"/>
  <c r="B215" i="19"/>
  <c r="I214" i="19"/>
  <c r="F214" i="19"/>
  <c r="E214" i="19"/>
  <c r="D214" i="19"/>
  <c r="C214" i="19"/>
  <c r="B214" i="19"/>
  <c r="E213" i="19"/>
  <c r="F213" i="19" s="1"/>
  <c r="I213" i="19" s="1"/>
  <c r="D213" i="19"/>
  <c r="C213" i="19"/>
  <c r="B213" i="19"/>
  <c r="F212" i="19"/>
  <c r="I212" i="19" s="1"/>
  <c r="E212" i="19"/>
  <c r="D212" i="19"/>
  <c r="C212" i="19"/>
  <c r="B212" i="19"/>
  <c r="E211" i="19"/>
  <c r="F211" i="19" s="1"/>
  <c r="I211" i="19" s="1"/>
  <c r="D211" i="19"/>
  <c r="C211" i="19"/>
  <c r="B211" i="19"/>
  <c r="F210" i="19"/>
  <c r="I210" i="19" s="1"/>
  <c r="E210" i="19"/>
  <c r="D210" i="19"/>
  <c r="C210" i="19"/>
  <c r="B210" i="19"/>
  <c r="E209" i="19"/>
  <c r="F209" i="19" s="1"/>
  <c r="I209" i="19" s="1"/>
  <c r="D209" i="19"/>
  <c r="C209" i="19"/>
  <c r="B209" i="19"/>
  <c r="F208" i="19"/>
  <c r="I208" i="19" s="1"/>
  <c r="E208" i="19"/>
  <c r="D208" i="19"/>
  <c r="C208" i="19"/>
  <c r="B208" i="19"/>
  <c r="E207" i="19"/>
  <c r="F207" i="19" s="1"/>
  <c r="I207" i="19" s="1"/>
  <c r="D207" i="19"/>
  <c r="C207" i="19"/>
  <c r="B207" i="19"/>
  <c r="F206" i="19"/>
  <c r="I206" i="19" s="1"/>
  <c r="E206" i="19"/>
  <c r="D206" i="19"/>
  <c r="C206" i="19"/>
  <c r="B206" i="19"/>
  <c r="E205" i="19"/>
  <c r="F205" i="19" s="1"/>
  <c r="I205" i="19" s="1"/>
  <c r="D205" i="19"/>
  <c r="C205" i="19"/>
  <c r="B205" i="19"/>
  <c r="F204" i="19"/>
  <c r="I204" i="19" s="1"/>
  <c r="E204" i="19"/>
  <c r="D204" i="19"/>
  <c r="C204" i="19"/>
  <c r="B204" i="19"/>
  <c r="E203" i="19"/>
  <c r="F203" i="19" s="1"/>
  <c r="I203" i="19" s="1"/>
  <c r="D203" i="19"/>
  <c r="C203" i="19"/>
  <c r="B203" i="19"/>
  <c r="F202" i="19"/>
  <c r="I202" i="19" s="1"/>
  <c r="E202" i="19"/>
  <c r="D202" i="19"/>
  <c r="C202" i="19"/>
  <c r="B202" i="19"/>
  <c r="E201" i="19"/>
  <c r="F201" i="19" s="1"/>
  <c r="I201" i="19" s="1"/>
  <c r="D201" i="19"/>
  <c r="C201" i="19"/>
  <c r="B201" i="19"/>
  <c r="F200" i="19"/>
  <c r="I200" i="19" s="1"/>
  <c r="E200" i="19"/>
  <c r="D200" i="19"/>
  <c r="C200" i="19"/>
  <c r="B200" i="19"/>
  <c r="E199" i="19"/>
  <c r="F199" i="19" s="1"/>
  <c r="I199" i="19" s="1"/>
  <c r="D199" i="19"/>
  <c r="C199" i="19"/>
  <c r="B199" i="19"/>
  <c r="F198" i="19"/>
  <c r="I198" i="19" s="1"/>
  <c r="E198" i="19"/>
  <c r="D198" i="19"/>
  <c r="C198" i="19"/>
  <c r="B198" i="19"/>
  <c r="E197" i="19"/>
  <c r="F197" i="19" s="1"/>
  <c r="I197" i="19" s="1"/>
  <c r="D197" i="19"/>
  <c r="C197" i="19"/>
  <c r="B197" i="19"/>
  <c r="F196" i="19"/>
  <c r="I196" i="19" s="1"/>
  <c r="E196" i="19"/>
  <c r="D196" i="19"/>
  <c r="C196" i="19"/>
  <c r="B196" i="19"/>
  <c r="E195" i="19"/>
  <c r="F195" i="19" s="1"/>
  <c r="I195" i="19" s="1"/>
  <c r="D195" i="19"/>
  <c r="C195" i="19"/>
  <c r="B195" i="19"/>
  <c r="F194" i="19"/>
  <c r="I194" i="19" s="1"/>
  <c r="E194" i="19"/>
  <c r="D194" i="19"/>
  <c r="C194" i="19"/>
  <c r="B194" i="19"/>
  <c r="E193" i="19"/>
  <c r="F193" i="19" s="1"/>
  <c r="I193" i="19" s="1"/>
  <c r="D193" i="19"/>
  <c r="C193" i="19"/>
  <c r="B193" i="19"/>
  <c r="F192" i="19"/>
  <c r="I192" i="19" s="1"/>
  <c r="E192" i="19"/>
  <c r="D192" i="19"/>
  <c r="C192" i="19"/>
  <c r="B192" i="19"/>
  <c r="E191" i="19"/>
  <c r="F191" i="19" s="1"/>
  <c r="I191" i="19" s="1"/>
  <c r="D191" i="19"/>
  <c r="C191" i="19"/>
  <c r="B191" i="19"/>
  <c r="F190" i="19"/>
  <c r="I190" i="19" s="1"/>
  <c r="E190" i="19"/>
  <c r="D190" i="19"/>
  <c r="C190" i="19"/>
  <c r="B190" i="19"/>
  <c r="E189" i="19"/>
  <c r="F189" i="19" s="1"/>
  <c r="I189" i="19" s="1"/>
  <c r="D189" i="19"/>
  <c r="C189" i="19"/>
  <c r="B189" i="19"/>
  <c r="F188" i="19"/>
  <c r="I188" i="19" s="1"/>
  <c r="E188" i="19"/>
  <c r="D188" i="19"/>
  <c r="C188" i="19"/>
  <c r="B188" i="19"/>
  <c r="E187" i="19"/>
  <c r="F187" i="19" s="1"/>
  <c r="I187" i="19" s="1"/>
  <c r="D187" i="19"/>
  <c r="C187" i="19"/>
  <c r="B187" i="19"/>
  <c r="F186" i="19"/>
  <c r="I186" i="19" s="1"/>
  <c r="E186" i="19"/>
  <c r="D186" i="19"/>
  <c r="C186" i="19"/>
  <c r="B186" i="19"/>
  <c r="E185" i="19"/>
  <c r="F185" i="19" s="1"/>
  <c r="I185" i="19" s="1"/>
  <c r="D185" i="19"/>
  <c r="C185" i="19"/>
  <c r="B185" i="19"/>
  <c r="F184" i="19"/>
  <c r="I184" i="19" s="1"/>
  <c r="E184" i="19"/>
  <c r="D184" i="19"/>
  <c r="C184" i="19"/>
  <c r="B184" i="19"/>
  <c r="E183" i="19"/>
  <c r="F183" i="19" s="1"/>
  <c r="I183" i="19" s="1"/>
  <c r="D183" i="19"/>
  <c r="C183" i="19"/>
  <c r="B183" i="19"/>
  <c r="F182" i="19"/>
  <c r="I182" i="19" s="1"/>
  <c r="E182" i="19"/>
  <c r="D182" i="19"/>
  <c r="C182" i="19"/>
  <c r="B182" i="19"/>
  <c r="E181" i="19"/>
  <c r="F181" i="19" s="1"/>
  <c r="I181" i="19" s="1"/>
  <c r="D181" i="19"/>
  <c r="C181" i="19"/>
  <c r="B181" i="19"/>
  <c r="F180" i="19"/>
  <c r="I180" i="19" s="1"/>
  <c r="E180" i="19"/>
  <c r="D180" i="19"/>
  <c r="C180" i="19"/>
  <c r="B180" i="19"/>
  <c r="E179" i="19"/>
  <c r="F179" i="19" s="1"/>
  <c r="I179" i="19" s="1"/>
  <c r="D179" i="19"/>
  <c r="C179" i="19"/>
  <c r="B179" i="19"/>
  <c r="F178" i="19"/>
  <c r="I178" i="19" s="1"/>
  <c r="E178" i="19"/>
  <c r="D178" i="19"/>
  <c r="C178" i="19"/>
  <c r="B178" i="19"/>
  <c r="E177" i="19"/>
  <c r="F177" i="19" s="1"/>
  <c r="I177" i="19" s="1"/>
  <c r="D177" i="19"/>
  <c r="C177" i="19"/>
  <c r="B177" i="19"/>
  <c r="F176" i="19"/>
  <c r="I176" i="19" s="1"/>
  <c r="E176" i="19"/>
  <c r="D176" i="19"/>
  <c r="C176" i="19"/>
  <c r="B176" i="19"/>
  <c r="E175" i="19"/>
  <c r="F175" i="19" s="1"/>
  <c r="I175" i="19" s="1"/>
  <c r="D175" i="19"/>
  <c r="C175" i="19"/>
  <c r="B175" i="19"/>
  <c r="F174" i="19"/>
  <c r="I174" i="19" s="1"/>
  <c r="E174" i="19"/>
  <c r="D174" i="19"/>
  <c r="C174" i="19"/>
  <c r="B174" i="19"/>
  <c r="E173" i="19"/>
  <c r="F173" i="19" s="1"/>
  <c r="I173" i="19" s="1"/>
  <c r="D173" i="19"/>
  <c r="C173" i="19"/>
  <c r="B173" i="19"/>
  <c r="F172" i="19"/>
  <c r="I172" i="19" s="1"/>
  <c r="E172" i="19"/>
  <c r="D172" i="19"/>
  <c r="C172" i="19"/>
  <c r="B172" i="19"/>
  <c r="E171" i="19"/>
  <c r="F171" i="19" s="1"/>
  <c r="I171" i="19" s="1"/>
  <c r="D171" i="19"/>
  <c r="C171" i="19"/>
  <c r="B171" i="19"/>
  <c r="F170" i="19"/>
  <c r="I170" i="19" s="1"/>
  <c r="E170" i="19"/>
  <c r="D170" i="19"/>
  <c r="C170" i="19"/>
  <c r="B170" i="19"/>
  <c r="E169" i="19"/>
  <c r="F169" i="19" s="1"/>
  <c r="I169" i="19" s="1"/>
  <c r="D169" i="19"/>
  <c r="C169" i="19"/>
  <c r="B169" i="19"/>
  <c r="F168" i="19"/>
  <c r="I168" i="19" s="1"/>
  <c r="E168" i="19"/>
  <c r="D168" i="19"/>
  <c r="C168" i="19"/>
  <c r="B168" i="19"/>
  <c r="E167" i="19"/>
  <c r="F167" i="19" s="1"/>
  <c r="I167" i="19" s="1"/>
  <c r="D167" i="19"/>
  <c r="C167" i="19"/>
  <c r="B167" i="19"/>
  <c r="F166" i="19"/>
  <c r="I166" i="19" s="1"/>
  <c r="E166" i="19"/>
  <c r="D166" i="19"/>
  <c r="C166" i="19"/>
  <c r="B166" i="19"/>
  <c r="E165" i="19"/>
  <c r="F165" i="19" s="1"/>
  <c r="I165" i="19" s="1"/>
  <c r="D165" i="19"/>
  <c r="C165" i="19"/>
  <c r="B165" i="19"/>
  <c r="F164" i="19"/>
  <c r="I164" i="19" s="1"/>
  <c r="E164" i="19"/>
  <c r="D164" i="19"/>
  <c r="C164" i="19"/>
  <c r="B164" i="19"/>
  <c r="E163" i="19"/>
  <c r="F163" i="19" s="1"/>
  <c r="I163" i="19" s="1"/>
  <c r="D163" i="19"/>
  <c r="C163" i="19"/>
  <c r="B163" i="19"/>
  <c r="F162" i="19"/>
  <c r="I162" i="19" s="1"/>
  <c r="E162" i="19"/>
  <c r="D162" i="19"/>
  <c r="C162" i="19"/>
  <c r="B162" i="19"/>
  <c r="E161" i="19"/>
  <c r="F161" i="19" s="1"/>
  <c r="I161" i="19" s="1"/>
  <c r="D161" i="19"/>
  <c r="C161" i="19"/>
  <c r="B161" i="19"/>
  <c r="F160" i="19"/>
  <c r="I160" i="19" s="1"/>
  <c r="E160" i="19"/>
  <c r="D160" i="19"/>
  <c r="C160" i="19"/>
  <c r="B160" i="19"/>
  <c r="I159" i="19"/>
  <c r="E159" i="19"/>
  <c r="F159" i="19" s="1"/>
  <c r="D159" i="19"/>
  <c r="C159" i="19"/>
  <c r="B159" i="19"/>
  <c r="F158" i="19"/>
  <c r="I158" i="19" s="1"/>
  <c r="E158" i="19"/>
  <c r="D158" i="19"/>
  <c r="C158" i="19"/>
  <c r="B158" i="19"/>
  <c r="I157" i="19"/>
  <c r="E157" i="19"/>
  <c r="F157" i="19" s="1"/>
  <c r="D157" i="19"/>
  <c r="C157" i="19"/>
  <c r="B157" i="19"/>
  <c r="F156" i="19"/>
  <c r="I156" i="19" s="1"/>
  <c r="E156" i="19"/>
  <c r="D156" i="19"/>
  <c r="C156" i="19"/>
  <c r="B156" i="19"/>
  <c r="E155" i="19"/>
  <c r="F155" i="19" s="1"/>
  <c r="I155" i="19" s="1"/>
  <c r="D155" i="19"/>
  <c r="C155" i="19"/>
  <c r="B155" i="19"/>
  <c r="F154" i="19"/>
  <c r="I154" i="19" s="1"/>
  <c r="E154" i="19"/>
  <c r="D154" i="19"/>
  <c r="C154" i="19"/>
  <c r="B154" i="19"/>
  <c r="E153" i="19"/>
  <c r="F153" i="19" s="1"/>
  <c r="I153" i="19" s="1"/>
  <c r="D153" i="19"/>
  <c r="C153" i="19"/>
  <c r="B153" i="19"/>
  <c r="F152" i="19"/>
  <c r="I152" i="19" s="1"/>
  <c r="E152" i="19"/>
  <c r="D152" i="19"/>
  <c r="C152" i="19"/>
  <c r="B152" i="19"/>
  <c r="E151" i="19"/>
  <c r="F151" i="19" s="1"/>
  <c r="I151" i="19" s="1"/>
  <c r="D151" i="19"/>
  <c r="C151" i="19"/>
  <c r="B151" i="19"/>
  <c r="F150" i="19"/>
  <c r="I150" i="19" s="1"/>
  <c r="E150" i="19"/>
  <c r="D150" i="19"/>
  <c r="C150" i="19"/>
  <c r="B150" i="19"/>
  <c r="E149" i="19"/>
  <c r="F149" i="19" s="1"/>
  <c r="I149" i="19" s="1"/>
  <c r="D149" i="19"/>
  <c r="C149" i="19"/>
  <c r="B149" i="19"/>
  <c r="F148" i="19"/>
  <c r="I148" i="19" s="1"/>
  <c r="E148" i="19"/>
  <c r="D148" i="19"/>
  <c r="C148" i="19"/>
  <c r="B148" i="19"/>
  <c r="E147" i="19"/>
  <c r="F147" i="19" s="1"/>
  <c r="I147" i="19" s="1"/>
  <c r="D147" i="19"/>
  <c r="C147" i="19"/>
  <c r="B147" i="19"/>
  <c r="F146" i="19"/>
  <c r="I146" i="19" s="1"/>
  <c r="E146" i="19"/>
  <c r="D146" i="19"/>
  <c r="C146" i="19"/>
  <c r="B146" i="19"/>
  <c r="I145" i="19"/>
  <c r="E145" i="19"/>
  <c r="F145" i="19" s="1"/>
  <c r="D145" i="19"/>
  <c r="C145" i="19"/>
  <c r="B145" i="19"/>
  <c r="F144" i="19"/>
  <c r="I144" i="19" s="1"/>
  <c r="E144" i="19"/>
  <c r="D144" i="19"/>
  <c r="C144" i="19"/>
  <c r="B144" i="19"/>
  <c r="E143" i="19"/>
  <c r="F143" i="19" s="1"/>
  <c r="I143" i="19" s="1"/>
  <c r="D143" i="19"/>
  <c r="C143" i="19"/>
  <c r="B143" i="19"/>
  <c r="F142" i="19"/>
  <c r="I142" i="19" s="1"/>
  <c r="E142" i="19"/>
  <c r="D142" i="19"/>
  <c r="C142" i="19"/>
  <c r="B142" i="19"/>
  <c r="I141" i="19"/>
  <c r="E141" i="19"/>
  <c r="F141" i="19" s="1"/>
  <c r="D141" i="19"/>
  <c r="C141" i="19"/>
  <c r="B141" i="19"/>
  <c r="F140" i="19"/>
  <c r="I140" i="19" s="1"/>
  <c r="E140" i="19"/>
  <c r="D140" i="19"/>
  <c r="C140" i="19"/>
  <c r="B140" i="19"/>
  <c r="E139" i="19"/>
  <c r="F139" i="19" s="1"/>
  <c r="I139" i="19" s="1"/>
  <c r="D139" i="19"/>
  <c r="C139" i="19"/>
  <c r="B139" i="19"/>
  <c r="F138" i="19"/>
  <c r="I138" i="19" s="1"/>
  <c r="E138" i="19"/>
  <c r="D138" i="19"/>
  <c r="C138" i="19"/>
  <c r="B138" i="19"/>
  <c r="E137" i="19"/>
  <c r="F137" i="19" s="1"/>
  <c r="I137" i="19" s="1"/>
  <c r="D137" i="19"/>
  <c r="C137" i="19"/>
  <c r="B137" i="19"/>
  <c r="F136" i="19"/>
  <c r="I136" i="19" s="1"/>
  <c r="E136" i="19"/>
  <c r="D136" i="19"/>
  <c r="C136" i="19"/>
  <c r="B136" i="19"/>
  <c r="E135" i="19"/>
  <c r="F135" i="19" s="1"/>
  <c r="I135" i="19" s="1"/>
  <c r="D135" i="19"/>
  <c r="C135" i="19"/>
  <c r="B135" i="19"/>
  <c r="F134" i="19"/>
  <c r="I134" i="19" s="1"/>
  <c r="E134" i="19"/>
  <c r="D134" i="19"/>
  <c r="C134" i="19"/>
  <c r="B134" i="19"/>
  <c r="I133" i="19"/>
  <c r="E133" i="19"/>
  <c r="F133" i="19" s="1"/>
  <c r="D133" i="19"/>
  <c r="C133" i="19"/>
  <c r="B133" i="19"/>
  <c r="F132" i="19"/>
  <c r="I132" i="19" s="1"/>
  <c r="E132" i="19"/>
  <c r="D132" i="19"/>
  <c r="C132" i="19"/>
  <c r="B132" i="19"/>
  <c r="E131" i="19"/>
  <c r="F131" i="19" s="1"/>
  <c r="I131" i="19" s="1"/>
  <c r="D131" i="19"/>
  <c r="C131" i="19"/>
  <c r="B131" i="19"/>
  <c r="I130" i="19"/>
  <c r="F130" i="19"/>
  <c r="E130" i="19"/>
  <c r="D130" i="19"/>
  <c r="C130" i="19"/>
  <c r="B130" i="19"/>
  <c r="E129" i="19"/>
  <c r="F129" i="19" s="1"/>
  <c r="I129" i="19" s="1"/>
  <c r="D129" i="19"/>
  <c r="C129" i="19"/>
  <c r="B129" i="19"/>
  <c r="F128" i="19"/>
  <c r="I128" i="19" s="1"/>
  <c r="E128" i="19"/>
  <c r="D128" i="19"/>
  <c r="C128" i="19"/>
  <c r="B128" i="19"/>
  <c r="E127" i="19"/>
  <c r="F127" i="19" s="1"/>
  <c r="I127" i="19" s="1"/>
  <c r="D127" i="19"/>
  <c r="C127" i="19"/>
  <c r="B127" i="19"/>
  <c r="F126" i="19"/>
  <c r="I126" i="19" s="1"/>
  <c r="E126" i="19"/>
  <c r="D126" i="19"/>
  <c r="C126" i="19"/>
  <c r="B126" i="19"/>
  <c r="E125" i="19"/>
  <c r="F125" i="19" s="1"/>
  <c r="I125" i="19" s="1"/>
  <c r="D125" i="19"/>
  <c r="C125" i="19"/>
  <c r="B125" i="19"/>
  <c r="F124" i="19"/>
  <c r="I124" i="19" s="1"/>
  <c r="E124" i="19"/>
  <c r="D124" i="19"/>
  <c r="C124" i="19"/>
  <c r="B124" i="19"/>
  <c r="E123" i="19"/>
  <c r="F123" i="19" s="1"/>
  <c r="I123" i="19" s="1"/>
  <c r="D123" i="19"/>
  <c r="C123" i="19"/>
  <c r="B123" i="19"/>
  <c r="I122" i="19"/>
  <c r="F122" i="19"/>
  <c r="E122" i="19"/>
  <c r="D122" i="19"/>
  <c r="C122" i="19"/>
  <c r="B122" i="19"/>
  <c r="E121" i="19"/>
  <c r="F121" i="19" s="1"/>
  <c r="I121" i="19" s="1"/>
  <c r="D121" i="19"/>
  <c r="C121" i="19"/>
  <c r="B121" i="19"/>
  <c r="F120" i="19"/>
  <c r="I120" i="19" s="1"/>
  <c r="E120" i="19"/>
  <c r="D120" i="19"/>
  <c r="C120" i="19"/>
  <c r="B120" i="19"/>
  <c r="E119" i="19"/>
  <c r="F119" i="19" s="1"/>
  <c r="I119" i="19" s="1"/>
  <c r="D119" i="19"/>
  <c r="C119" i="19"/>
  <c r="B119" i="19"/>
  <c r="F118" i="19"/>
  <c r="I118" i="19" s="1"/>
  <c r="E118" i="19"/>
  <c r="D118" i="19"/>
  <c r="C118" i="19"/>
  <c r="B118" i="19"/>
  <c r="I117" i="19"/>
  <c r="E117" i="19"/>
  <c r="F117" i="19" s="1"/>
  <c r="D117" i="19"/>
  <c r="C117" i="19"/>
  <c r="B117" i="19"/>
  <c r="E116" i="19"/>
  <c r="F116" i="19" s="1"/>
  <c r="I116" i="19" s="1"/>
  <c r="D116" i="19"/>
  <c r="C116" i="19"/>
  <c r="B116" i="19"/>
  <c r="E115" i="19"/>
  <c r="F115" i="19" s="1"/>
  <c r="I115" i="19" s="1"/>
  <c r="D115" i="19"/>
  <c r="C115" i="19"/>
  <c r="B115" i="19"/>
  <c r="E114" i="19"/>
  <c r="F114" i="19" s="1"/>
  <c r="I114" i="19" s="1"/>
  <c r="D114" i="19"/>
  <c r="C114" i="19"/>
  <c r="B114" i="19"/>
  <c r="E113" i="19"/>
  <c r="F113" i="19" s="1"/>
  <c r="I113" i="19" s="1"/>
  <c r="D113" i="19"/>
  <c r="C113" i="19"/>
  <c r="B113" i="19"/>
  <c r="E112" i="19"/>
  <c r="F112" i="19" s="1"/>
  <c r="I112" i="19" s="1"/>
  <c r="D112" i="19"/>
  <c r="C112" i="19"/>
  <c r="B112" i="19"/>
  <c r="E111" i="19"/>
  <c r="F111" i="19" s="1"/>
  <c r="I111" i="19" s="1"/>
  <c r="D111" i="19"/>
  <c r="C111" i="19"/>
  <c r="B111" i="19"/>
  <c r="E110" i="19"/>
  <c r="F110" i="19" s="1"/>
  <c r="I110" i="19" s="1"/>
  <c r="D110" i="19"/>
  <c r="C110" i="19"/>
  <c r="B110" i="19"/>
  <c r="I109" i="19"/>
  <c r="E109" i="19"/>
  <c r="F109" i="19" s="1"/>
  <c r="D109" i="19"/>
  <c r="C109" i="19"/>
  <c r="B109" i="19"/>
  <c r="F108" i="19"/>
  <c r="I108" i="19" s="1"/>
  <c r="E108" i="19"/>
  <c r="D108" i="19"/>
  <c r="C108" i="19"/>
  <c r="B108" i="19"/>
  <c r="E107" i="19"/>
  <c r="F107" i="19" s="1"/>
  <c r="I107" i="19" s="1"/>
  <c r="D107" i="19"/>
  <c r="C107" i="19"/>
  <c r="B107" i="19"/>
  <c r="E106" i="19"/>
  <c r="F106" i="19" s="1"/>
  <c r="I106" i="19" s="1"/>
  <c r="D106" i="19"/>
  <c r="C106" i="19"/>
  <c r="B106" i="19"/>
  <c r="E105" i="19"/>
  <c r="F105" i="19" s="1"/>
  <c r="I105" i="19" s="1"/>
  <c r="D105" i="19"/>
  <c r="C105" i="19"/>
  <c r="B105" i="19"/>
  <c r="F104" i="19"/>
  <c r="I104" i="19" s="1"/>
  <c r="E104" i="19"/>
  <c r="D104" i="19"/>
  <c r="C104" i="19"/>
  <c r="B104" i="19"/>
  <c r="E103" i="19"/>
  <c r="F103" i="19" s="1"/>
  <c r="I103" i="19" s="1"/>
  <c r="D103" i="19"/>
  <c r="C103" i="19"/>
  <c r="B103" i="19"/>
  <c r="E102" i="19"/>
  <c r="F102" i="19" s="1"/>
  <c r="I102" i="19" s="1"/>
  <c r="D102" i="19"/>
  <c r="C102" i="19"/>
  <c r="B102" i="19"/>
  <c r="E101" i="19"/>
  <c r="F101" i="19" s="1"/>
  <c r="I101" i="19" s="1"/>
  <c r="D101" i="19"/>
  <c r="C101" i="19"/>
  <c r="B101" i="19"/>
  <c r="E100" i="19"/>
  <c r="F100" i="19" s="1"/>
  <c r="I100" i="19" s="1"/>
  <c r="D100" i="19"/>
  <c r="C100" i="19"/>
  <c r="B100" i="19"/>
  <c r="E99" i="19"/>
  <c r="F99" i="19" s="1"/>
  <c r="I99" i="19" s="1"/>
  <c r="D99" i="19"/>
  <c r="C99" i="19"/>
  <c r="B99" i="19"/>
  <c r="I98" i="19"/>
  <c r="F98" i="19"/>
  <c r="E98" i="19"/>
  <c r="D98" i="19"/>
  <c r="C98" i="19"/>
  <c r="B98" i="19"/>
  <c r="E97" i="19"/>
  <c r="F97" i="19" s="1"/>
  <c r="I97" i="19" s="1"/>
  <c r="D97" i="19"/>
  <c r="C97" i="19"/>
  <c r="B97" i="19"/>
  <c r="F96" i="19"/>
  <c r="I96" i="19" s="1"/>
  <c r="E96" i="19"/>
  <c r="D96" i="19"/>
  <c r="C96" i="19"/>
  <c r="B96" i="19"/>
  <c r="E95" i="19"/>
  <c r="F95" i="19" s="1"/>
  <c r="I95" i="19" s="1"/>
  <c r="D95" i="19"/>
  <c r="C95" i="19"/>
  <c r="B95" i="19"/>
  <c r="E94" i="19"/>
  <c r="F94" i="19" s="1"/>
  <c r="I94" i="19" s="1"/>
  <c r="D94" i="19"/>
  <c r="C94" i="19"/>
  <c r="B94" i="19"/>
  <c r="I93" i="19"/>
  <c r="E93" i="19"/>
  <c r="F93" i="19" s="1"/>
  <c r="D93" i="19"/>
  <c r="C93" i="19"/>
  <c r="B93" i="19"/>
  <c r="E92" i="19"/>
  <c r="F92" i="19" s="1"/>
  <c r="I92" i="19" s="1"/>
  <c r="D92" i="19"/>
  <c r="C92" i="19"/>
  <c r="B92" i="19"/>
  <c r="E91" i="19"/>
  <c r="F91" i="19" s="1"/>
  <c r="I91" i="19" s="1"/>
  <c r="D91" i="19"/>
  <c r="C91" i="19"/>
  <c r="B91" i="19"/>
  <c r="E90" i="19"/>
  <c r="F90" i="19" s="1"/>
  <c r="I90" i="19" s="1"/>
  <c r="D90" i="19"/>
  <c r="C90" i="19"/>
  <c r="B90" i="19"/>
  <c r="E89" i="19"/>
  <c r="F89" i="19" s="1"/>
  <c r="I89" i="19" s="1"/>
  <c r="D89" i="19"/>
  <c r="C89" i="19"/>
  <c r="B89" i="19"/>
  <c r="E88" i="19"/>
  <c r="F88" i="19" s="1"/>
  <c r="I88" i="19" s="1"/>
  <c r="D88" i="19"/>
  <c r="C88" i="19"/>
  <c r="B88" i="19"/>
  <c r="I87" i="19"/>
  <c r="E87" i="19"/>
  <c r="F87" i="19" s="1"/>
  <c r="D87" i="19"/>
  <c r="C87" i="19"/>
  <c r="B87" i="19"/>
  <c r="E86" i="19"/>
  <c r="F86" i="19" s="1"/>
  <c r="I86" i="19" s="1"/>
  <c r="D86" i="19"/>
  <c r="C86" i="19"/>
  <c r="B86" i="19"/>
  <c r="I85" i="19"/>
  <c r="E85" i="19"/>
  <c r="F85" i="19" s="1"/>
  <c r="D85" i="19"/>
  <c r="C85" i="19"/>
  <c r="B85" i="19"/>
  <c r="F84" i="19"/>
  <c r="I84" i="19" s="1"/>
  <c r="E84" i="19"/>
  <c r="D84" i="19"/>
  <c r="C84" i="19"/>
  <c r="B84" i="19"/>
  <c r="E83" i="19"/>
  <c r="F83" i="19" s="1"/>
  <c r="I83" i="19" s="1"/>
  <c r="D83" i="19"/>
  <c r="C83" i="19"/>
  <c r="B83" i="19"/>
  <c r="E82" i="19"/>
  <c r="F82" i="19" s="1"/>
  <c r="I82" i="19" s="1"/>
  <c r="D82" i="19"/>
  <c r="C82" i="19"/>
  <c r="B82" i="19"/>
  <c r="E81" i="19"/>
  <c r="F81" i="19" s="1"/>
  <c r="I81" i="19" s="1"/>
  <c r="D81" i="19"/>
  <c r="C81" i="19"/>
  <c r="B81" i="19"/>
  <c r="F80" i="19"/>
  <c r="I80" i="19" s="1"/>
  <c r="E80" i="19"/>
  <c r="D80" i="19"/>
  <c r="C80" i="19"/>
  <c r="B80" i="19"/>
  <c r="E79" i="19"/>
  <c r="F79" i="19" s="1"/>
  <c r="I79" i="19" s="1"/>
  <c r="D79" i="19"/>
  <c r="C79" i="19"/>
  <c r="B79" i="19"/>
  <c r="E78" i="19"/>
  <c r="F78" i="19" s="1"/>
  <c r="I78" i="19" s="1"/>
  <c r="D78" i="19"/>
  <c r="C78" i="19"/>
  <c r="B78" i="19"/>
  <c r="E77" i="19"/>
  <c r="F77" i="19" s="1"/>
  <c r="I77" i="19" s="1"/>
  <c r="D77" i="19"/>
  <c r="C77" i="19"/>
  <c r="B77" i="19"/>
  <c r="E76" i="19"/>
  <c r="F76" i="19" s="1"/>
  <c r="I76" i="19" s="1"/>
  <c r="D76" i="19"/>
  <c r="C76" i="19"/>
  <c r="B76" i="19"/>
  <c r="E75" i="19"/>
  <c r="F75" i="19" s="1"/>
  <c r="I75" i="19" s="1"/>
  <c r="D75" i="19"/>
  <c r="C75" i="19"/>
  <c r="B75" i="19"/>
  <c r="F74" i="19"/>
  <c r="I74" i="19" s="1"/>
  <c r="E74" i="19"/>
  <c r="D74" i="19"/>
  <c r="C74" i="19"/>
  <c r="B74" i="19"/>
  <c r="I73" i="19"/>
  <c r="E73" i="19"/>
  <c r="F73" i="19" s="1"/>
  <c r="D73" i="19"/>
  <c r="C73" i="19"/>
  <c r="B73" i="19"/>
  <c r="F72" i="19"/>
  <c r="I72" i="19" s="1"/>
  <c r="E72" i="19"/>
  <c r="D72" i="19"/>
  <c r="C72" i="19"/>
  <c r="B72" i="19"/>
  <c r="E71" i="19"/>
  <c r="F71" i="19" s="1"/>
  <c r="I71" i="19" s="1"/>
  <c r="D71" i="19"/>
  <c r="C71" i="19"/>
  <c r="B71" i="19"/>
  <c r="E70" i="19"/>
  <c r="F70" i="19" s="1"/>
  <c r="I70" i="19" s="1"/>
  <c r="D70" i="19"/>
  <c r="C70" i="19"/>
  <c r="B70" i="19"/>
  <c r="E69" i="19"/>
  <c r="F69" i="19" s="1"/>
  <c r="I69" i="19" s="1"/>
  <c r="D69" i="19"/>
  <c r="C69" i="19"/>
  <c r="B69" i="19"/>
  <c r="E68" i="19"/>
  <c r="F68" i="19" s="1"/>
  <c r="I68" i="19" s="1"/>
  <c r="D68" i="19"/>
  <c r="C68" i="19"/>
  <c r="B68" i="19"/>
  <c r="E67" i="19"/>
  <c r="F67" i="19" s="1"/>
  <c r="I67" i="19" s="1"/>
  <c r="D67" i="19"/>
  <c r="C67" i="19"/>
  <c r="B67" i="19"/>
  <c r="E66" i="19"/>
  <c r="F66" i="19" s="1"/>
  <c r="I66" i="19" s="1"/>
  <c r="D66" i="19"/>
  <c r="C66" i="19"/>
  <c r="B66" i="19"/>
  <c r="E65" i="19"/>
  <c r="F65" i="19" s="1"/>
  <c r="I65" i="19" s="1"/>
  <c r="D65" i="19"/>
  <c r="C65" i="19"/>
  <c r="B65" i="19"/>
  <c r="E64" i="19"/>
  <c r="F64" i="19" s="1"/>
  <c r="I64" i="19" s="1"/>
  <c r="D64" i="19"/>
  <c r="C64" i="19"/>
  <c r="B64" i="19"/>
  <c r="I63" i="19"/>
  <c r="E63" i="19"/>
  <c r="F63" i="19" s="1"/>
  <c r="D63" i="19"/>
  <c r="C63" i="19"/>
  <c r="B63" i="19"/>
  <c r="E62" i="19"/>
  <c r="F62" i="19" s="1"/>
  <c r="I62" i="19" s="1"/>
  <c r="D62" i="19"/>
  <c r="C62" i="19"/>
  <c r="B62" i="19"/>
  <c r="I61" i="19"/>
  <c r="E61" i="19"/>
  <c r="F61" i="19" s="1"/>
  <c r="D61" i="19"/>
  <c r="C61" i="19"/>
  <c r="B61" i="19"/>
  <c r="F60" i="19"/>
  <c r="I60" i="19" s="1"/>
  <c r="E60" i="19"/>
  <c r="D60" i="19"/>
  <c r="C60" i="19"/>
  <c r="B60" i="19"/>
  <c r="E59" i="19"/>
  <c r="F59" i="19" s="1"/>
  <c r="I59" i="19" s="1"/>
  <c r="D59" i="19"/>
  <c r="C59" i="19"/>
  <c r="B59" i="19"/>
  <c r="E58" i="19"/>
  <c r="F58" i="19" s="1"/>
  <c r="I58" i="19" s="1"/>
  <c r="D58" i="19"/>
  <c r="C58" i="19"/>
  <c r="B58" i="19"/>
  <c r="E57" i="19"/>
  <c r="F57" i="19" s="1"/>
  <c r="I57" i="19" s="1"/>
  <c r="D57" i="19"/>
  <c r="C57" i="19"/>
  <c r="B57" i="19"/>
  <c r="F56" i="19"/>
  <c r="I56" i="19" s="1"/>
  <c r="E56" i="19"/>
  <c r="D56" i="19"/>
  <c r="C56" i="19"/>
  <c r="B56" i="19"/>
  <c r="E55" i="19"/>
  <c r="F55" i="19" s="1"/>
  <c r="I55" i="19" s="1"/>
  <c r="D55" i="19"/>
  <c r="C55" i="19"/>
  <c r="B55" i="19"/>
  <c r="E54" i="19"/>
  <c r="F54" i="19" s="1"/>
  <c r="I54" i="19" s="1"/>
  <c r="D54" i="19"/>
  <c r="C54" i="19"/>
  <c r="B54" i="19"/>
  <c r="E53" i="19"/>
  <c r="F53" i="19" s="1"/>
  <c r="I53" i="19" s="1"/>
  <c r="D53" i="19"/>
  <c r="C53" i="19"/>
  <c r="B53" i="19"/>
  <c r="E52" i="19"/>
  <c r="F52" i="19" s="1"/>
  <c r="I52" i="19" s="1"/>
  <c r="D52" i="19"/>
  <c r="C52" i="19"/>
  <c r="B52" i="19"/>
  <c r="E51" i="19"/>
  <c r="F51" i="19" s="1"/>
  <c r="I51" i="19" s="1"/>
  <c r="D51" i="19"/>
  <c r="C51" i="19"/>
  <c r="B51" i="19"/>
  <c r="F50" i="19"/>
  <c r="I50" i="19" s="1"/>
  <c r="E50" i="19"/>
  <c r="D50" i="19"/>
  <c r="C50" i="19"/>
  <c r="B50" i="19"/>
  <c r="I49" i="19"/>
  <c r="E49" i="19"/>
  <c r="F49" i="19" s="1"/>
  <c r="D49" i="19"/>
  <c r="C49" i="19"/>
  <c r="B49" i="19"/>
  <c r="F48" i="19"/>
  <c r="I48" i="19" s="1"/>
  <c r="E48" i="19"/>
  <c r="D48" i="19"/>
  <c r="C48" i="19"/>
  <c r="B48" i="19"/>
  <c r="E47" i="19"/>
  <c r="F47" i="19" s="1"/>
  <c r="I47" i="19" s="1"/>
  <c r="D47" i="19"/>
  <c r="C47" i="19"/>
  <c r="B47" i="19"/>
  <c r="E46" i="19"/>
  <c r="F46" i="19" s="1"/>
  <c r="I46" i="19" s="1"/>
  <c r="D46" i="19"/>
  <c r="C46" i="19"/>
  <c r="B46" i="19"/>
  <c r="E45" i="19"/>
  <c r="F45" i="19" s="1"/>
  <c r="I45" i="19" s="1"/>
  <c r="D45" i="19"/>
  <c r="C45" i="19"/>
  <c r="B45" i="19"/>
  <c r="E44" i="19"/>
  <c r="F44" i="19" s="1"/>
  <c r="I44" i="19" s="1"/>
  <c r="D44" i="19"/>
  <c r="C44" i="19"/>
  <c r="B44" i="19"/>
  <c r="E43" i="19"/>
  <c r="F43" i="19" s="1"/>
  <c r="I43" i="19" s="1"/>
  <c r="D43" i="19"/>
  <c r="C43" i="19"/>
  <c r="B43" i="19"/>
  <c r="E42" i="19"/>
  <c r="F42" i="19" s="1"/>
  <c r="I42" i="19" s="1"/>
  <c r="D42" i="19"/>
  <c r="C42" i="19"/>
  <c r="B42" i="19"/>
  <c r="E41" i="19"/>
  <c r="F41" i="19" s="1"/>
  <c r="I41" i="19" s="1"/>
  <c r="D41" i="19"/>
  <c r="C41" i="19"/>
  <c r="B41" i="19"/>
  <c r="E40" i="19"/>
  <c r="F40" i="19" s="1"/>
  <c r="I40" i="19" s="1"/>
  <c r="D40" i="19"/>
  <c r="C40" i="19"/>
  <c r="B40" i="19"/>
  <c r="I39" i="19"/>
  <c r="E39" i="19"/>
  <c r="F39" i="19" s="1"/>
  <c r="D39" i="19"/>
  <c r="C39" i="19"/>
  <c r="B39" i="19"/>
  <c r="E38" i="19"/>
  <c r="F38" i="19" s="1"/>
  <c r="I38" i="19" s="1"/>
  <c r="D38" i="19"/>
  <c r="C38" i="19"/>
  <c r="B38" i="19"/>
  <c r="E37" i="19"/>
  <c r="F37" i="19" s="1"/>
  <c r="I37" i="19" s="1"/>
  <c r="D37" i="19"/>
  <c r="C37" i="19"/>
  <c r="B37" i="19"/>
  <c r="F36" i="19"/>
  <c r="I36" i="19" s="1"/>
  <c r="E36" i="19"/>
  <c r="D36" i="19"/>
  <c r="C36" i="19"/>
  <c r="B36" i="19"/>
  <c r="E35" i="19"/>
  <c r="F35" i="19" s="1"/>
  <c r="I35" i="19" s="1"/>
  <c r="D35" i="19"/>
  <c r="C35" i="19"/>
  <c r="B35" i="19"/>
  <c r="E34" i="19"/>
  <c r="F34" i="19" s="1"/>
  <c r="I34" i="19" s="1"/>
  <c r="D34" i="19"/>
  <c r="C34" i="19"/>
  <c r="B34" i="19"/>
  <c r="E33" i="19"/>
  <c r="F33" i="19" s="1"/>
  <c r="I33" i="19" s="1"/>
  <c r="D33" i="19"/>
  <c r="C33" i="19"/>
  <c r="B33" i="19"/>
  <c r="F32" i="19"/>
  <c r="I32" i="19" s="1"/>
  <c r="E32" i="19"/>
  <c r="D32" i="19"/>
  <c r="C32" i="19"/>
  <c r="B32" i="19"/>
  <c r="E31" i="19"/>
  <c r="F31" i="19" s="1"/>
  <c r="I31" i="19" s="1"/>
  <c r="D31" i="19"/>
  <c r="C31" i="19"/>
  <c r="B31" i="19"/>
  <c r="E30" i="19"/>
  <c r="F30" i="19" s="1"/>
  <c r="I30" i="19" s="1"/>
  <c r="D30" i="19"/>
  <c r="C30" i="19"/>
  <c r="B30" i="19"/>
  <c r="E29" i="19"/>
  <c r="F29" i="19" s="1"/>
  <c r="I29" i="19" s="1"/>
  <c r="D29" i="19"/>
  <c r="C29" i="19"/>
  <c r="B29" i="19"/>
  <c r="E28" i="19"/>
  <c r="F28" i="19" s="1"/>
  <c r="I28" i="19" s="1"/>
  <c r="D28" i="19"/>
  <c r="C28" i="19"/>
  <c r="B28" i="19"/>
  <c r="E27" i="19"/>
  <c r="F27" i="19" s="1"/>
  <c r="I27" i="19" s="1"/>
  <c r="D27" i="19"/>
  <c r="C27" i="19"/>
  <c r="B27" i="19"/>
  <c r="I26" i="19"/>
  <c r="F26" i="19"/>
  <c r="E26" i="19"/>
  <c r="D26" i="19"/>
  <c r="C26" i="19"/>
  <c r="B26" i="19"/>
  <c r="E25" i="19"/>
  <c r="F25" i="19" s="1"/>
  <c r="I25" i="19" s="1"/>
  <c r="D25" i="19"/>
  <c r="C25" i="19"/>
  <c r="B25" i="19"/>
  <c r="F24" i="19"/>
  <c r="I24" i="19" s="1"/>
  <c r="E24" i="19"/>
  <c r="D24" i="19"/>
  <c r="C24" i="19"/>
  <c r="B24" i="19"/>
  <c r="E23" i="19"/>
  <c r="F23" i="19" s="1"/>
  <c r="I23" i="19" s="1"/>
  <c r="D23" i="19"/>
  <c r="C23" i="19"/>
  <c r="B23" i="19"/>
  <c r="E22" i="19"/>
  <c r="F22" i="19" s="1"/>
  <c r="I22" i="19" s="1"/>
  <c r="D22" i="19"/>
  <c r="C22" i="19"/>
  <c r="B22" i="19"/>
  <c r="I21" i="19"/>
  <c r="E21" i="19"/>
  <c r="F21" i="19" s="1"/>
  <c r="D21" i="19"/>
  <c r="C21" i="19"/>
  <c r="B21" i="19"/>
  <c r="E20" i="19"/>
  <c r="F20" i="19" s="1"/>
  <c r="I20" i="19" s="1"/>
  <c r="D20" i="19"/>
  <c r="C20" i="19"/>
  <c r="B20" i="19"/>
  <c r="E19" i="19"/>
  <c r="F19" i="19" s="1"/>
  <c r="I19" i="19" s="1"/>
  <c r="D19" i="19"/>
  <c r="C19" i="19"/>
  <c r="B19" i="19"/>
  <c r="E18" i="19"/>
  <c r="F18" i="19" s="1"/>
  <c r="I18" i="19" s="1"/>
  <c r="D18" i="19"/>
  <c r="C18" i="19"/>
  <c r="B18" i="19"/>
  <c r="E17" i="19"/>
  <c r="F17" i="19" s="1"/>
  <c r="I17" i="19" s="1"/>
  <c r="D17" i="19"/>
  <c r="C17" i="19"/>
  <c r="B17" i="19"/>
  <c r="E16" i="19"/>
  <c r="F16" i="19" s="1"/>
  <c r="I16" i="19" s="1"/>
  <c r="D16" i="19"/>
  <c r="C16" i="19"/>
  <c r="B16" i="19"/>
  <c r="E15" i="19"/>
  <c r="F15" i="19" s="1"/>
  <c r="I15" i="19" s="1"/>
  <c r="D15" i="19"/>
  <c r="C15" i="19"/>
  <c r="B15" i="19"/>
  <c r="E14" i="19"/>
  <c r="F14" i="19" s="1"/>
  <c r="I14" i="19" s="1"/>
  <c r="D14" i="19"/>
  <c r="C14" i="19"/>
  <c r="B14" i="19"/>
  <c r="I13" i="19"/>
  <c r="E13" i="19"/>
  <c r="F13" i="19" s="1"/>
  <c r="D13" i="19"/>
  <c r="C13" i="19"/>
  <c r="B13" i="19"/>
  <c r="F12" i="19"/>
  <c r="I12" i="19" s="1"/>
  <c r="E12" i="19"/>
  <c r="D12" i="19"/>
  <c r="C12" i="19"/>
  <c r="B12" i="19"/>
  <c r="E11" i="19"/>
  <c r="F11" i="19" s="1"/>
  <c r="I11" i="19" s="1"/>
  <c r="D11" i="19"/>
  <c r="C11" i="19"/>
  <c r="B11" i="19"/>
  <c r="E10" i="19"/>
  <c r="F10" i="19" s="1"/>
  <c r="I10" i="19" s="1"/>
  <c r="D10" i="19"/>
  <c r="C10" i="19"/>
  <c r="B10" i="19"/>
  <c r="E9" i="19"/>
  <c r="F9" i="19" s="1"/>
  <c r="I9" i="19" s="1"/>
  <c r="D9" i="19"/>
  <c r="C9" i="19"/>
  <c r="B9" i="19"/>
  <c r="F8" i="19"/>
  <c r="I8" i="19" s="1"/>
  <c r="E8" i="19"/>
  <c r="D8" i="19"/>
  <c r="C8" i="19"/>
  <c r="B8" i="19"/>
  <c r="E7" i="19"/>
  <c r="F7" i="19" s="1"/>
  <c r="I7" i="19" s="1"/>
  <c r="D7" i="19"/>
  <c r="C7" i="19"/>
  <c r="B7" i="19"/>
  <c r="E6" i="19"/>
  <c r="F6" i="19" s="1"/>
  <c r="I6" i="19" s="1"/>
  <c r="D6" i="19"/>
  <c r="C6" i="19"/>
  <c r="B6" i="19"/>
  <c r="E5" i="19"/>
  <c r="F5" i="19" s="1"/>
  <c r="I5" i="19" s="1"/>
  <c r="D5" i="19"/>
  <c r="C5" i="19"/>
  <c r="B5" i="19"/>
  <c r="E4" i="19"/>
  <c r="F4" i="19" s="1"/>
  <c r="I4" i="19" s="1"/>
  <c r="D4" i="19"/>
  <c r="C4" i="19"/>
  <c r="B4" i="19"/>
  <c r="E3" i="19"/>
  <c r="F3" i="19" s="1"/>
  <c r="I3" i="19" s="1"/>
  <c r="D3" i="19"/>
  <c r="C3" i="19"/>
  <c r="B3" i="19"/>
  <c r="I2" i="19"/>
  <c r="F2" i="19"/>
  <c r="E2" i="19"/>
  <c r="D2" i="19"/>
  <c r="C2" i="19"/>
  <c r="B2" i="19"/>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2" i="18"/>
  <c r="AH13" i="18"/>
  <c r="AH14" i="18"/>
  <c r="AH15" i="18"/>
  <c r="AH16" i="18"/>
  <c r="AH17" i="18"/>
  <c r="AH18" i="18"/>
  <c r="AH19" i="18"/>
  <c r="AH20" i="18"/>
  <c r="AH21" i="18"/>
  <c r="AH22" i="18"/>
  <c r="AH23" i="18"/>
  <c r="AH24" i="18"/>
  <c r="AH25" i="18"/>
  <c r="AH26" i="18"/>
  <c r="AH27" i="18"/>
  <c r="AH28" i="18"/>
  <c r="AH29" i="18"/>
  <c r="AH30" i="18"/>
  <c r="AH31" i="18"/>
  <c r="AH32" i="18"/>
  <c r="AH33" i="18"/>
  <c r="AH34" i="18"/>
  <c r="AH35" i="18"/>
  <c r="AH36" i="18"/>
  <c r="AH37" i="18"/>
  <c r="AH38" i="18"/>
  <c r="AH39" i="18"/>
  <c r="AH40" i="18"/>
  <c r="AH41" i="18"/>
  <c r="AH42" i="18"/>
  <c r="AH43" i="18"/>
  <c r="AH44" i="18"/>
  <c r="AH45" i="18"/>
  <c r="AH46" i="18"/>
  <c r="AH47" i="18"/>
  <c r="AH48" i="18"/>
  <c r="AH49" i="18"/>
  <c r="AH50" i="18"/>
  <c r="AH51" i="18"/>
  <c r="AH52" i="18"/>
  <c r="AH53" i="18"/>
  <c r="AH54" i="18"/>
  <c r="AH55" i="18"/>
  <c r="AH56" i="18"/>
  <c r="AH57" i="18"/>
  <c r="AH58" i="18"/>
  <c r="AH59" i="18"/>
  <c r="AH60" i="18"/>
  <c r="AH61" i="18"/>
  <c r="AH62" i="18"/>
  <c r="AH63" i="18"/>
  <c r="AH64" i="18"/>
  <c r="AH65" i="18"/>
  <c r="AH66" i="18"/>
  <c r="AH67" i="18"/>
  <c r="AH68" i="18"/>
  <c r="AH69" i="18"/>
  <c r="AH70" i="18"/>
  <c r="AH71" i="18"/>
  <c r="AH72" i="18"/>
  <c r="AH73" i="18"/>
  <c r="AH74" i="18"/>
  <c r="AH75" i="18"/>
  <c r="AH76" i="18"/>
  <c r="AH77" i="18"/>
  <c r="AH78" i="18"/>
  <c r="AH79" i="18"/>
  <c r="AH80" i="18"/>
  <c r="AH81" i="18"/>
  <c r="AH82" i="18"/>
  <c r="AH83" i="18"/>
  <c r="AH84" i="18"/>
  <c r="AH85" i="18"/>
  <c r="AH86" i="18"/>
  <c r="AH87" i="18"/>
  <c r="AH88" i="18"/>
  <c r="AH89" i="18"/>
  <c r="AH90" i="18"/>
  <c r="AH91" i="18"/>
  <c r="AH92" i="18"/>
  <c r="AH93" i="18"/>
  <c r="AH94" i="18"/>
  <c r="AH95" i="18"/>
  <c r="AH96" i="18"/>
  <c r="AH97" i="18"/>
  <c r="AH98" i="18"/>
  <c r="AH99" i="18"/>
  <c r="AH100" i="18"/>
  <c r="AH101" i="18"/>
  <c r="AH102" i="18"/>
  <c r="AH103" i="18"/>
  <c r="AH104" i="18"/>
  <c r="AH105" i="18"/>
  <c r="AH106" i="18"/>
  <c r="AH107" i="18"/>
  <c r="AH108" i="18"/>
  <c r="AH109" i="18"/>
  <c r="AH110" i="18"/>
  <c r="AH111" i="18"/>
  <c r="AH112" i="18"/>
  <c r="AH113" i="18"/>
  <c r="AH114" i="18"/>
  <c r="AH115" i="18"/>
  <c r="AH116" i="18"/>
  <c r="AH117" i="18"/>
  <c r="AH118" i="18"/>
  <c r="AH119" i="18"/>
  <c r="AH120" i="18"/>
  <c r="AH121" i="18"/>
  <c r="AH122" i="18"/>
  <c r="AH123" i="18"/>
  <c r="AH124" i="18"/>
  <c r="AH125" i="18"/>
  <c r="AH126" i="18"/>
  <c r="AH127" i="18"/>
  <c r="AH128" i="18"/>
  <c r="AH129" i="18"/>
  <c r="AH130" i="18"/>
  <c r="AH131" i="18"/>
  <c r="AH132" i="18"/>
  <c r="AH133" i="18"/>
  <c r="AH134" i="18"/>
  <c r="AH135" i="18"/>
  <c r="AH136" i="18"/>
  <c r="AH137" i="18"/>
  <c r="AH138" i="18"/>
  <c r="AH139" i="18"/>
  <c r="AH140" i="18"/>
  <c r="AH141" i="18"/>
  <c r="AH142" i="18"/>
  <c r="AH143" i="18"/>
  <c r="AH144" i="18"/>
  <c r="AH145" i="18"/>
  <c r="AH146" i="18"/>
  <c r="AH147" i="18"/>
  <c r="AH148" i="18"/>
  <c r="AH149" i="18"/>
  <c r="AH150" i="18"/>
  <c r="AH151" i="18"/>
  <c r="AH152" i="18"/>
  <c r="AH153" i="18"/>
  <c r="AH154" i="18"/>
  <c r="AH155" i="18"/>
  <c r="AH156" i="18"/>
  <c r="AH157" i="18"/>
  <c r="AH158" i="18"/>
  <c r="AH159" i="18"/>
  <c r="AH160" i="18"/>
  <c r="AH161" i="18"/>
  <c r="AH162" i="18"/>
  <c r="AH163" i="18"/>
  <c r="AH164" i="18"/>
  <c r="AH165" i="18"/>
  <c r="AH166" i="18"/>
  <c r="AH167" i="18"/>
  <c r="AH168" i="18"/>
  <c r="AH169" i="18"/>
  <c r="AH170" i="18"/>
  <c r="AH171" i="18"/>
  <c r="AH172" i="18"/>
  <c r="AH173" i="18"/>
  <c r="AH174" i="18"/>
  <c r="AH175" i="18"/>
  <c r="AH176" i="18"/>
  <c r="AH177" i="18"/>
  <c r="AH178" i="18"/>
  <c r="AH179" i="18"/>
  <c r="AH180" i="18"/>
  <c r="AH181" i="18"/>
  <c r="AH182" i="18"/>
  <c r="AH183" i="18"/>
  <c r="AH184" i="18"/>
  <c r="AH185" i="18"/>
  <c r="AH186" i="18"/>
  <c r="AH187" i="18"/>
  <c r="AH188" i="18"/>
  <c r="AH189" i="18"/>
  <c r="AH190" i="18"/>
  <c r="AH191" i="18"/>
  <c r="AH192" i="18"/>
  <c r="AH193" i="18"/>
  <c r="AH194" i="18"/>
  <c r="AH195" i="18"/>
  <c r="AH196" i="18"/>
  <c r="AH197" i="18"/>
  <c r="AH198" i="18"/>
  <c r="AH199" i="18"/>
  <c r="AH200" i="18"/>
  <c r="AH201" i="18"/>
  <c r="AH202" i="18"/>
  <c r="AH203" i="18"/>
  <c r="AH204" i="18"/>
  <c r="AH205" i="18"/>
  <c r="AH206" i="18"/>
  <c r="AH207" i="18"/>
  <c r="AH208" i="18"/>
  <c r="AH209" i="18"/>
  <c r="AH210" i="18"/>
  <c r="AH211" i="18"/>
  <c r="AH212" i="18"/>
  <c r="AH213" i="18"/>
  <c r="AH214" i="18"/>
  <c r="AH215" i="18"/>
  <c r="AH216" i="18"/>
  <c r="AH217" i="18"/>
  <c r="AH218" i="18"/>
  <c r="AH219" i="18"/>
  <c r="AH220" i="18"/>
  <c r="AH221" i="18"/>
  <c r="AH222" i="18"/>
  <c r="AH223" i="18"/>
  <c r="AH224" i="18"/>
  <c r="AH225" i="18"/>
  <c r="AH226" i="18"/>
  <c r="AH227" i="18"/>
  <c r="AH228" i="18"/>
  <c r="AH229" i="18"/>
  <c r="AH230" i="18"/>
  <c r="AH231" i="18"/>
  <c r="AH232" i="18"/>
  <c r="AH233" i="18"/>
  <c r="AH234" i="18"/>
  <c r="AH235" i="18"/>
  <c r="AH236" i="18"/>
  <c r="AH237" i="18"/>
  <c r="AH238" i="18"/>
  <c r="AH239" i="18"/>
  <c r="AH240" i="18"/>
  <c r="AH241" i="18"/>
  <c r="AH242" i="18"/>
  <c r="AH243" i="18"/>
  <c r="AH244" i="18"/>
  <c r="AH245" i="18"/>
  <c r="AH246" i="18"/>
  <c r="AH247" i="18"/>
  <c r="AH248" i="18"/>
  <c r="AH249" i="18"/>
  <c r="AH250" i="18"/>
  <c r="AH251" i="18"/>
  <c r="AH252" i="18"/>
  <c r="AH253" i="18"/>
  <c r="AH254" i="18"/>
  <c r="AH255" i="18"/>
  <c r="AH256" i="18"/>
  <c r="AH257" i="18"/>
  <c r="AH258" i="18"/>
  <c r="AH259" i="18"/>
  <c r="AH260" i="18"/>
  <c r="AH261" i="18"/>
  <c r="AH262" i="18"/>
  <c r="AH263" i="18"/>
  <c r="AH264" i="18"/>
  <c r="AH265" i="18"/>
  <c r="AH266" i="18"/>
  <c r="AH267" i="18"/>
  <c r="AH268" i="18"/>
  <c r="AH269" i="18"/>
  <c r="AH270" i="18"/>
  <c r="AH271" i="18"/>
  <c r="AH272" i="18"/>
  <c r="AH273" i="18"/>
  <c r="AH274" i="18"/>
  <c r="AH275" i="18"/>
  <c r="AH276" i="18"/>
  <c r="AH277" i="18"/>
  <c r="AH278" i="18"/>
  <c r="AH279" i="18"/>
  <c r="AH280" i="18"/>
  <c r="AH281" i="18"/>
  <c r="AH282" i="18"/>
  <c r="AH283" i="18"/>
  <c r="AH284" i="18"/>
  <c r="AH285" i="18"/>
  <c r="AH286" i="18"/>
  <c r="AH287" i="18"/>
  <c r="AH288" i="18"/>
  <c r="AH289" i="18"/>
  <c r="AH290" i="18"/>
  <c r="AH291" i="18"/>
  <c r="AH292" i="18"/>
  <c r="AH293" i="18"/>
  <c r="AH294" i="18"/>
  <c r="AH295" i="18"/>
  <c r="AH296" i="18"/>
  <c r="AH297" i="18"/>
  <c r="AH298" i="18"/>
  <c r="AH299" i="18"/>
  <c r="AH300" i="18"/>
  <c r="AH301" i="18"/>
  <c r="AH302" i="18"/>
  <c r="AH303" i="18"/>
  <c r="AH304" i="18"/>
  <c r="AH305" i="18"/>
  <c r="AH306" i="18"/>
  <c r="AH307" i="18"/>
  <c r="AH308" i="18"/>
  <c r="AH309" i="18"/>
  <c r="AH310" i="18"/>
  <c r="AH311" i="18"/>
  <c r="AH312" i="18"/>
  <c r="AH313" i="18"/>
  <c r="AH314" i="18"/>
  <c r="AH315" i="18"/>
  <c r="AH316" i="18"/>
  <c r="AH317" i="18"/>
  <c r="AH318" i="18"/>
  <c r="AH319" i="18"/>
  <c r="AH320" i="18"/>
  <c r="AH321" i="18"/>
  <c r="AH322" i="18"/>
  <c r="AH323" i="18"/>
  <c r="AH324" i="18"/>
  <c r="AH325" i="18"/>
  <c r="AH326" i="18"/>
  <c r="AH327" i="18"/>
  <c r="AH328" i="18"/>
  <c r="AH329" i="18"/>
  <c r="AH330" i="18"/>
  <c r="AH331" i="18"/>
  <c r="AH332" i="18"/>
  <c r="AH333" i="18"/>
  <c r="AH334" i="18"/>
  <c r="AH335" i="18"/>
  <c r="AH336" i="18"/>
  <c r="AH337" i="18"/>
  <c r="AH338" i="18"/>
  <c r="AH339" i="18"/>
  <c r="AH340" i="18"/>
  <c r="AH341" i="18"/>
  <c r="AH342" i="18"/>
  <c r="AH343" i="18"/>
  <c r="AH344" i="18"/>
  <c r="AH345" i="18"/>
  <c r="AH346" i="18"/>
  <c r="AH347" i="18"/>
  <c r="AH348" i="18"/>
  <c r="AH349" i="18"/>
  <c r="AH350" i="18"/>
  <c r="AH351" i="18"/>
  <c r="AH352" i="18"/>
  <c r="AH353" i="18"/>
  <c r="AH354" i="18"/>
  <c r="AH355" i="18"/>
  <c r="AH356" i="18"/>
  <c r="AH357" i="18"/>
  <c r="AH358" i="18"/>
  <c r="AH359" i="18"/>
  <c r="AH360" i="18"/>
  <c r="AH361" i="18"/>
  <c r="AH362" i="18"/>
  <c r="AH363" i="18"/>
  <c r="AH364" i="18"/>
  <c r="AH365" i="18"/>
  <c r="AH366" i="18"/>
  <c r="AH367" i="18"/>
  <c r="AH368" i="18"/>
  <c r="AH369" i="18"/>
  <c r="AH370" i="18"/>
  <c r="AH371" i="18"/>
  <c r="AH372" i="18"/>
  <c r="AH373" i="18"/>
  <c r="AH374" i="18"/>
  <c r="AH375" i="18"/>
  <c r="AH376" i="18"/>
  <c r="AH377" i="18"/>
  <c r="AH378" i="18"/>
  <c r="AH379" i="18"/>
  <c r="AH380" i="18"/>
  <c r="AH381" i="18"/>
  <c r="AH382" i="18"/>
  <c r="AH383" i="18"/>
  <c r="AH384" i="18"/>
  <c r="AH385" i="18"/>
  <c r="AH386" i="18"/>
  <c r="AH387" i="18"/>
  <c r="AH388" i="18"/>
  <c r="AH389" i="18"/>
  <c r="AH390" i="18"/>
  <c r="AH391" i="18"/>
  <c r="AH392" i="18"/>
  <c r="AH393" i="18"/>
  <c r="AH394" i="18"/>
  <c r="AH395" i="18"/>
  <c r="AH396" i="18"/>
  <c r="AH397" i="18"/>
  <c r="AH398" i="18"/>
  <c r="AH399" i="18"/>
  <c r="AH400" i="18"/>
  <c r="AH401" i="18"/>
  <c r="AH402" i="18"/>
  <c r="AH403" i="18"/>
  <c r="AH404" i="18"/>
  <c r="AH405" i="18"/>
  <c r="AH406" i="18"/>
  <c r="AH407" i="18"/>
  <c r="AH408" i="18"/>
  <c r="AH409" i="18"/>
  <c r="AH410" i="18"/>
  <c r="AH411" i="18"/>
  <c r="AH412" i="18"/>
  <c r="AH413" i="18"/>
  <c r="AH414" i="18"/>
  <c r="AH415" i="18"/>
  <c r="AH416" i="18"/>
  <c r="AH417" i="18"/>
  <c r="AH418" i="18"/>
  <c r="AH419" i="18"/>
  <c r="AH420" i="18"/>
  <c r="AH421" i="18"/>
  <c r="AH422" i="18"/>
  <c r="AH423" i="18"/>
  <c r="AH424" i="18"/>
  <c r="AH425" i="18"/>
  <c r="AH426" i="18"/>
  <c r="AH427" i="18"/>
  <c r="AH428" i="18"/>
  <c r="AH429" i="18"/>
  <c r="AH430" i="18"/>
  <c r="AH431" i="18"/>
  <c r="AH432" i="18"/>
  <c r="AH433" i="18"/>
  <c r="AH434" i="18"/>
  <c r="AH435" i="18"/>
  <c r="AH436" i="18"/>
  <c r="AH437" i="18"/>
  <c r="AH438" i="18"/>
  <c r="AH439" i="18"/>
  <c r="AH440" i="18"/>
  <c r="AH441" i="18"/>
  <c r="AH442" i="18"/>
  <c r="AH443" i="18"/>
  <c r="AH444" i="18"/>
  <c r="AH445" i="18"/>
  <c r="AH446" i="18"/>
  <c r="AH447" i="18"/>
  <c r="AH448" i="18"/>
  <c r="AH449" i="18"/>
  <c r="AH450" i="18"/>
  <c r="AH451" i="18"/>
  <c r="AH452" i="18"/>
  <c r="AH453" i="18"/>
  <c r="AH454" i="18"/>
  <c r="AH455" i="18"/>
  <c r="AH456" i="18"/>
  <c r="AH457" i="18"/>
  <c r="AH458" i="18"/>
  <c r="AH459" i="18"/>
  <c r="AH460" i="18"/>
  <c r="AH461" i="18"/>
  <c r="AH462" i="18"/>
  <c r="AH463" i="18"/>
  <c r="AH464" i="18"/>
  <c r="AH465" i="18"/>
  <c r="AH466" i="18"/>
  <c r="AH467" i="18"/>
  <c r="AH468" i="18"/>
  <c r="AH469" i="18"/>
  <c r="AH470" i="18"/>
  <c r="AH471" i="18"/>
  <c r="AH472" i="18"/>
  <c r="AH473" i="18"/>
  <c r="AH474" i="18"/>
  <c r="AH475" i="18"/>
  <c r="AH476" i="18"/>
  <c r="AH477" i="18"/>
  <c r="AH478" i="18"/>
  <c r="AH479" i="18"/>
  <c r="AH480" i="18"/>
  <c r="AH481" i="18"/>
  <c r="AH482" i="18"/>
  <c r="AH483" i="18"/>
  <c r="AH484" i="18"/>
  <c r="AH485" i="18"/>
  <c r="AH486" i="18"/>
  <c r="AH487" i="18"/>
  <c r="AH488" i="18"/>
  <c r="AH489" i="18"/>
  <c r="AH490" i="18"/>
  <c r="AH491" i="18"/>
  <c r="AH492" i="18"/>
  <c r="AH493" i="18"/>
  <c r="AH494" i="18"/>
  <c r="AH495" i="18"/>
  <c r="AH496" i="18"/>
  <c r="AH497" i="18"/>
  <c r="AH498" i="18"/>
  <c r="AH499" i="18"/>
  <c r="AH500" i="18"/>
  <c r="AH501" i="18"/>
  <c r="AH502" i="18"/>
  <c r="AH503" i="18"/>
  <c r="AH504" i="18"/>
  <c r="AH505" i="18"/>
  <c r="AH506" i="18"/>
  <c r="AH507" i="18"/>
  <c r="AH508" i="18"/>
  <c r="AH509" i="18"/>
  <c r="AH510" i="18"/>
  <c r="AH511" i="18"/>
  <c r="AH512" i="18"/>
  <c r="AH513" i="18"/>
  <c r="AH514" i="18"/>
  <c r="AH515" i="18"/>
  <c r="AH516" i="18"/>
  <c r="AH517" i="18"/>
  <c r="AH518" i="18"/>
  <c r="AH519" i="18"/>
  <c r="AH520" i="18"/>
  <c r="AH521" i="18"/>
  <c r="AH522" i="18"/>
  <c r="AH523" i="18"/>
  <c r="AH524" i="18"/>
  <c r="AH525" i="18"/>
  <c r="AH526" i="18"/>
  <c r="AH527" i="18"/>
  <c r="AH528" i="18"/>
  <c r="AH529" i="18"/>
  <c r="AH530" i="18"/>
  <c r="AH531" i="18"/>
  <c r="AH532" i="18"/>
  <c r="AH533" i="18"/>
  <c r="AH534" i="18"/>
  <c r="AH535" i="18"/>
  <c r="AH536" i="18"/>
  <c r="AH537" i="18"/>
  <c r="AH538" i="18"/>
  <c r="AH539" i="18"/>
  <c r="AH540" i="18"/>
  <c r="AH541" i="18"/>
  <c r="AH542" i="18"/>
  <c r="AH543" i="18"/>
  <c r="AH544" i="18"/>
  <c r="AH545" i="18"/>
  <c r="AH546" i="18"/>
  <c r="AH547" i="18"/>
  <c r="AH548" i="18"/>
  <c r="AH549" i="18"/>
  <c r="AH550" i="18"/>
  <c r="AH551" i="18"/>
  <c r="AH552" i="18"/>
  <c r="AH553" i="18"/>
  <c r="AH554" i="18"/>
  <c r="AH555" i="18"/>
  <c r="AH556" i="18"/>
  <c r="AH557" i="18"/>
  <c r="AH558" i="18"/>
  <c r="AH559" i="18"/>
  <c r="AH560" i="18"/>
  <c r="AH561" i="18"/>
  <c r="AH562" i="18"/>
  <c r="AH563" i="18"/>
  <c r="AH564" i="18"/>
  <c r="AH565" i="18"/>
  <c r="AH566" i="18"/>
  <c r="AH567" i="18"/>
  <c r="AH568" i="18"/>
  <c r="AH569" i="18"/>
  <c r="AH570" i="18"/>
  <c r="AH571" i="18"/>
  <c r="AH572" i="18"/>
  <c r="AH573" i="18"/>
  <c r="AH574" i="18"/>
  <c r="AH575" i="18"/>
  <c r="AH576" i="18"/>
  <c r="AH577" i="18"/>
  <c r="AH578" i="18"/>
  <c r="AH579" i="18"/>
  <c r="AH580" i="18"/>
  <c r="AH581" i="18"/>
  <c r="AH582" i="18"/>
  <c r="AH583" i="18"/>
  <c r="AH584" i="18"/>
  <c r="AH585" i="18"/>
  <c r="AH586" i="18"/>
  <c r="AH587" i="18"/>
  <c r="AH588" i="18"/>
  <c r="AH589" i="18"/>
  <c r="AH590" i="18"/>
  <c r="AH591" i="18"/>
  <c r="AH592" i="18"/>
  <c r="AH593" i="18"/>
  <c r="AH594" i="18"/>
  <c r="AH595" i="18"/>
  <c r="AH596" i="18"/>
  <c r="AH597" i="18"/>
  <c r="AH598" i="18"/>
  <c r="AH599" i="18"/>
  <c r="AH600" i="18"/>
  <c r="AH601" i="18"/>
  <c r="AH602" i="18"/>
  <c r="AH603" i="18"/>
  <c r="AH604" i="18"/>
  <c r="AH605" i="18"/>
  <c r="AH606" i="18"/>
  <c r="AH607" i="18"/>
  <c r="AH608" i="18"/>
  <c r="AH609" i="18"/>
  <c r="AH610" i="18"/>
  <c r="AH611" i="18"/>
  <c r="AH612" i="18"/>
  <c r="AH613" i="18"/>
  <c r="AH614" i="18"/>
  <c r="AH615" i="18"/>
  <c r="AH616" i="18"/>
  <c r="AH617" i="18"/>
  <c r="AH618" i="18"/>
  <c r="AH619" i="18"/>
  <c r="AH620" i="18"/>
  <c r="AH621" i="18"/>
  <c r="AH622" i="18"/>
  <c r="AH623" i="18"/>
  <c r="AH624" i="18"/>
  <c r="AH625" i="18"/>
  <c r="AH626" i="18"/>
  <c r="AH627" i="18"/>
  <c r="AH628" i="18"/>
  <c r="AH629" i="18"/>
  <c r="AH630" i="18"/>
  <c r="AH631" i="18"/>
  <c r="AH632" i="18"/>
  <c r="AH633" i="18"/>
  <c r="AH634" i="18"/>
  <c r="AH635" i="18"/>
  <c r="AH636" i="18"/>
  <c r="AH637" i="18"/>
  <c r="AH638" i="18"/>
  <c r="AH639" i="18"/>
  <c r="AH640" i="18"/>
  <c r="AH641" i="18"/>
  <c r="AH642" i="18"/>
  <c r="AH643" i="18"/>
  <c r="AH644" i="18"/>
  <c r="AH645" i="18"/>
  <c r="AH646" i="18"/>
  <c r="AH647" i="18"/>
  <c r="AH648" i="18"/>
  <c r="AH649" i="18"/>
  <c r="AH650" i="18"/>
  <c r="AH651" i="18"/>
  <c r="AH652" i="18"/>
  <c r="AH653" i="18"/>
  <c r="AH654" i="18"/>
  <c r="AH655" i="18"/>
  <c r="AH656" i="18"/>
  <c r="AH657" i="18"/>
  <c r="AH658" i="18"/>
  <c r="AH659" i="18"/>
  <c r="AH660" i="18"/>
  <c r="AH661" i="18"/>
  <c r="AH662" i="18"/>
  <c r="AH663" i="18"/>
  <c r="AH664" i="18"/>
  <c r="AH665" i="18"/>
  <c r="AH666" i="18"/>
  <c r="AH667" i="18"/>
  <c r="AH668" i="18"/>
  <c r="AH669" i="18"/>
  <c r="AH670" i="18"/>
  <c r="AH671" i="18"/>
  <c r="AH672" i="18"/>
  <c r="AH673" i="18"/>
  <c r="AH674" i="18"/>
  <c r="AH675" i="18"/>
  <c r="AH676" i="18"/>
  <c r="AH677" i="18"/>
  <c r="AH678" i="18"/>
  <c r="AH679" i="18"/>
  <c r="AH680" i="18"/>
  <c r="AH681" i="18"/>
  <c r="AH682" i="18"/>
  <c r="AH683" i="18"/>
  <c r="AH684" i="18"/>
  <c r="AH685" i="18"/>
  <c r="AH3" i="18"/>
  <c r="AH4" i="18"/>
  <c r="AH5" i="18"/>
  <c r="AH6" i="18"/>
  <c r="AH7" i="18"/>
  <c r="AH8" i="18"/>
  <c r="AH9" i="18"/>
  <c r="AH10" i="18"/>
  <c r="AH11" i="18"/>
  <c r="AH12" i="18"/>
  <c r="AH2" i="18"/>
  <c r="AF28" i="18"/>
  <c r="AF29" i="18"/>
  <c r="AF30" i="18"/>
  <c r="AF31" i="18"/>
  <c r="AF32" i="18"/>
  <c r="AF33" i="18"/>
  <c r="AF34" i="18"/>
  <c r="AF35" i="18"/>
  <c r="AF36" i="18"/>
  <c r="AF37" i="18"/>
  <c r="AF38" i="18"/>
  <c r="AF39" i="18"/>
  <c r="AF40" i="18"/>
  <c r="AF41" i="18"/>
  <c r="AF42" i="18"/>
  <c r="AF43" i="18"/>
  <c r="AF44" i="18"/>
  <c r="AF45" i="18"/>
  <c r="AF46" i="18"/>
  <c r="AF47" i="18"/>
  <c r="AF48" i="18"/>
  <c r="AF49" i="18"/>
  <c r="AF50" i="18"/>
  <c r="AF51" i="18"/>
  <c r="AF52" i="18"/>
  <c r="AF53" i="18"/>
  <c r="AF54" i="18"/>
  <c r="AF55" i="18"/>
  <c r="AF56" i="18"/>
  <c r="AF57" i="18"/>
  <c r="AF58" i="18"/>
  <c r="AF59" i="18"/>
  <c r="AF60" i="18"/>
  <c r="AF61" i="18"/>
  <c r="AF62" i="18"/>
  <c r="AF63" i="18"/>
  <c r="AF64" i="18"/>
  <c r="AF65" i="18"/>
  <c r="AF66" i="18"/>
  <c r="AF67" i="18"/>
  <c r="AF68" i="18"/>
  <c r="AF69" i="18"/>
  <c r="AF70" i="18"/>
  <c r="AF71" i="18"/>
  <c r="AF72" i="18"/>
  <c r="AF73" i="18"/>
  <c r="AF74" i="18"/>
  <c r="AF75" i="18"/>
  <c r="AF76" i="18"/>
  <c r="AF77" i="18"/>
  <c r="AF78" i="18"/>
  <c r="AF79" i="18"/>
  <c r="AF80" i="18"/>
  <c r="AF81" i="18"/>
  <c r="AF82" i="18"/>
  <c r="AF83" i="18"/>
  <c r="AF84" i="18"/>
  <c r="AF85" i="18"/>
  <c r="AF86" i="18"/>
  <c r="AF87" i="18"/>
  <c r="AF88" i="18"/>
  <c r="AF89" i="18"/>
  <c r="AF90" i="18"/>
  <c r="AF91" i="18"/>
  <c r="AF92" i="18"/>
  <c r="AF93" i="18"/>
  <c r="AF94" i="18"/>
  <c r="AF95" i="18"/>
  <c r="AF96" i="18"/>
  <c r="AF97" i="18"/>
  <c r="AF98" i="18"/>
  <c r="AF99" i="18"/>
  <c r="AF100" i="18"/>
  <c r="AF101" i="18"/>
  <c r="AF102" i="18"/>
  <c r="AF103" i="18"/>
  <c r="AF104" i="18"/>
  <c r="AF105" i="18"/>
  <c r="AF106" i="18"/>
  <c r="AF107" i="18"/>
  <c r="AF108" i="18"/>
  <c r="AF109" i="18"/>
  <c r="AF110" i="18"/>
  <c r="AF111" i="18"/>
  <c r="AF112" i="18"/>
  <c r="AF113" i="18"/>
  <c r="AF114" i="18"/>
  <c r="AF115" i="18"/>
  <c r="AF116" i="18"/>
  <c r="AF117" i="18"/>
  <c r="AF118" i="18"/>
  <c r="AF119" i="18"/>
  <c r="AF120" i="18"/>
  <c r="AF121" i="18"/>
  <c r="AF122" i="18"/>
  <c r="AF123" i="18"/>
  <c r="AF124" i="18"/>
  <c r="AF125" i="18"/>
  <c r="AF126" i="18"/>
  <c r="AF127" i="18"/>
  <c r="AF128" i="18"/>
  <c r="AF129" i="18"/>
  <c r="AF130" i="18"/>
  <c r="AF131" i="18"/>
  <c r="AF132" i="18"/>
  <c r="AF133" i="18"/>
  <c r="AF134" i="18"/>
  <c r="AF135" i="18"/>
  <c r="AF136" i="18"/>
  <c r="AF137" i="18"/>
  <c r="AF138" i="18"/>
  <c r="AF139" i="18"/>
  <c r="AF140" i="18"/>
  <c r="AF141" i="18"/>
  <c r="AF142" i="18"/>
  <c r="AF143" i="18"/>
  <c r="AF144" i="18"/>
  <c r="AF145" i="18"/>
  <c r="AF146" i="18"/>
  <c r="AF147" i="18"/>
  <c r="AF148" i="18"/>
  <c r="AF149" i="18"/>
  <c r="AF150" i="18"/>
  <c r="AF151" i="18"/>
  <c r="AF152" i="18"/>
  <c r="AF153" i="18"/>
  <c r="AF154" i="18"/>
  <c r="AF155" i="18"/>
  <c r="AF156" i="18"/>
  <c r="AF157" i="18"/>
  <c r="AF158" i="18"/>
  <c r="AF159" i="18"/>
  <c r="AF160" i="18"/>
  <c r="AF161" i="18"/>
  <c r="AF162" i="18"/>
  <c r="AF163" i="18"/>
  <c r="AF164" i="18"/>
  <c r="AF165" i="18"/>
  <c r="AF166" i="18"/>
  <c r="AF167" i="18"/>
  <c r="AF168" i="18"/>
  <c r="AF169" i="18"/>
  <c r="AF170" i="18"/>
  <c r="AF171" i="18"/>
  <c r="AF172" i="18"/>
  <c r="AF173" i="18"/>
  <c r="AF174" i="18"/>
  <c r="AF175" i="18"/>
  <c r="AF176" i="18"/>
  <c r="AF177" i="18"/>
  <c r="AF178" i="18"/>
  <c r="AF179" i="18"/>
  <c r="AF180" i="18"/>
  <c r="AF181" i="18"/>
  <c r="AF182" i="18"/>
  <c r="AF183" i="18"/>
  <c r="AF184" i="18"/>
  <c r="AF185" i="18"/>
  <c r="AF186" i="18"/>
  <c r="AF187" i="18"/>
  <c r="AF188" i="18"/>
  <c r="AF189" i="18"/>
  <c r="AF190" i="18"/>
  <c r="AF191" i="18"/>
  <c r="AF192" i="18"/>
  <c r="AF193" i="18"/>
  <c r="AF194" i="18"/>
  <c r="AF195" i="18"/>
  <c r="AF196" i="18"/>
  <c r="AF197" i="18"/>
  <c r="AF198" i="18"/>
  <c r="AF199" i="18"/>
  <c r="AF200" i="18"/>
  <c r="AF201" i="18"/>
  <c r="AF202" i="18"/>
  <c r="AF203" i="18"/>
  <c r="AF204" i="18"/>
  <c r="AF205" i="18"/>
  <c r="AF206" i="18"/>
  <c r="AF207" i="18"/>
  <c r="AF208" i="18"/>
  <c r="AF209" i="18"/>
  <c r="AF210" i="18"/>
  <c r="AF211" i="18"/>
  <c r="AF212" i="18"/>
  <c r="AF213" i="18"/>
  <c r="AF214" i="18"/>
  <c r="AF215" i="18"/>
  <c r="AF216" i="18"/>
  <c r="AF217" i="18"/>
  <c r="AF218" i="18"/>
  <c r="AF219" i="18"/>
  <c r="AF220" i="18"/>
  <c r="AF221" i="18"/>
  <c r="AF222" i="18"/>
  <c r="AF223" i="18"/>
  <c r="AF224" i="18"/>
  <c r="AF225" i="18"/>
  <c r="AF226" i="18"/>
  <c r="AF227" i="18"/>
  <c r="AF228" i="18"/>
  <c r="AF229" i="18"/>
  <c r="AF230" i="18"/>
  <c r="AF231" i="18"/>
  <c r="AF232" i="18"/>
  <c r="AF233" i="18"/>
  <c r="AF234" i="18"/>
  <c r="AF235" i="18"/>
  <c r="AF236" i="18"/>
  <c r="AF237" i="18"/>
  <c r="AF238" i="18"/>
  <c r="AF239" i="18"/>
  <c r="AF240" i="18"/>
  <c r="AF241" i="18"/>
  <c r="AF242" i="18"/>
  <c r="AF243" i="18"/>
  <c r="AF244" i="18"/>
  <c r="AF245" i="18"/>
  <c r="AF246" i="18"/>
  <c r="AF247" i="18"/>
  <c r="AF248" i="18"/>
  <c r="AF249" i="18"/>
  <c r="AF250" i="18"/>
  <c r="AF251" i="18"/>
  <c r="AF252" i="18"/>
  <c r="AF253" i="18"/>
  <c r="AF254" i="18"/>
  <c r="AF255" i="18"/>
  <c r="AF256" i="18"/>
  <c r="AF257" i="18"/>
  <c r="AF258" i="18"/>
  <c r="AF259" i="18"/>
  <c r="AF260" i="18"/>
  <c r="AF261" i="18"/>
  <c r="AF262" i="18"/>
  <c r="AF263" i="18"/>
  <c r="AF264" i="18"/>
  <c r="AF265" i="18"/>
  <c r="AF266" i="18"/>
  <c r="AF267" i="18"/>
  <c r="AF268" i="18"/>
  <c r="AF269" i="18"/>
  <c r="AF270" i="18"/>
  <c r="AF271" i="18"/>
  <c r="AF272" i="18"/>
  <c r="AF273" i="18"/>
  <c r="AF274" i="18"/>
  <c r="AF275" i="18"/>
  <c r="AF276" i="18"/>
  <c r="AF277" i="18"/>
  <c r="AF278" i="18"/>
  <c r="AF279" i="18"/>
  <c r="AF280" i="18"/>
  <c r="AF281" i="18"/>
  <c r="AF282" i="18"/>
  <c r="AF283" i="18"/>
  <c r="AF284" i="18"/>
  <c r="AF285" i="18"/>
  <c r="AF286" i="18"/>
  <c r="AF287" i="18"/>
  <c r="AF288" i="18"/>
  <c r="AF289" i="18"/>
  <c r="AF290" i="18"/>
  <c r="AF291" i="18"/>
  <c r="AF292" i="18"/>
  <c r="AF293" i="18"/>
  <c r="AF294" i="18"/>
  <c r="AF295" i="18"/>
  <c r="AF296" i="18"/>
  <c r="AF297" i="18"/>
  <c r="AF298" i="18"/>
  <c r="AF299" i="18"/>
  <c r="AF300" i="18"/>
  <c r="AF301" i="18"/>
  <c r="AF302" i="18"/>
  <c r="AF303" i="18"/>
  <c r="AF304" i="18"/>
  <c r="AF305" i="18"/>
  <c r="AF306" i="18"/>
  <c r="AF307" i="18"/>
  <c r="AF308" i="18"/>
  <c r="AF309" i="18"/>
  <c r="AF310" i="18"/>
  <c r="AF311" i="18"/>
  <c r="AF312" i="18"/>
  <c r="AF313" i="18"/>
  <c r="AF314" i="18"/>
  <c r="AF315" i="18"/>
  <c r="AF316" i="18"/>
  <c r="AF317" i="18"/>
  <c r="AF318" i="18"/>
  <c r="AF319" i="18"/>
  <c r="AF320" i="18"/>
  <c r="AF321" i="18"/>
  <c r="AF322" i="18"/>
  <c r="AF323" i="18"/>
  <c r="AF324" i="18"/>
  <c r="AF325" i="18"/>
  <c r="AF326" i="18"/>
  <c r="AF327" i="18"/>
  <c r="AF328" i="18"/>
  <c r="AF329" i="18"/>
  <c r="AF330" i="18"/>
  <c r="AF331" i="18"/>
  <c r="AF332" i="18"/>
  <c r="AF333" i="18"/>
  <c r="AF334" i="18"/>
  <c r="AF335" i="18"/>
  <c r="AF336" i="18"/>
  <c r="AF337" i="18"/>
  <c r="AF338" i="18"/>
  <c r="AF339" i="18"/>
  <c r="AF340" i="18"/>
  <c r="AF341" i="18"/>
  <c r="AF342" i="18"/>
  <c r="AF343" i="18"/>
  <c r="AF344" i="18"/>
  <c r="AF345" i="18"/>
  <c r="AF346" i="18"/>
  <c r="AF347" i="18"/>
  <c r="AF348" i="18"/>
  <c r="AF349" i="18"/>
  <c r="AF350" i="18"/>
  <c r="AF351" i="18"/>
  <c r="AF352" i="18"/>
  <c r="AF353" i="18"/>
  <c r="AF354" i="18"/>
  <c r="AF355" i="18"/>
  <c r="AF356" i="18"/>
  <c r="AF357" i="18"/>
  <c r="AF358" i="18"/>
  <c r="AF359" i="18"/>
  <c r="AF360" i="18"/>
  <c r="AF361" i="18"/>
  <c r="AF362" i="18"/>
  <c r="AF363" i="18"/>
  <c r="AF364" i="18"/>
  <c r="AF365" i="18"/>
  <c r="AF366" i="18"/>
  <c r="AF367" i="18"/>
  <c r="AF368" i="18"/>
  <c r="AF369" i="18"/>
  <c r="AF370" i="18"/>
  <c r="AF371" i="18"/>
  <c r="AF372" i="18"/>
  <c r="AF373" i="18"/>
  <c r="AF374" i="18"/>
  <c r="AF375" i="18"/>
  <c r="AF376" i="18"/>
  <c r="AF377" i="18"/>
  <c r="AF378" i="18"/>
  <c r="AF379" i="18"/>
  <c r="AF380" i="18"/>
  <c r="AF381" i="18"/>
  <c r="AF382" i="18"/>
  <c r="AF383" i="18"/>
  <c r="AF384" i="18"/>
  <c r="AF385" i="18"/>
  <c r="AF386" i="18"/>
  <c r="AF387" i="18"/>
  <c r="AF388" i="18"/>
  <c r="AF389" i="18"/>
  <c r="AF390" i="18"/>
  <c r="AF391" i="18"/>
  <c r="AF392" i="18"/>
  <c r="AF393" i="18"/>
  <c r="AF394" i="18"/>
  <c r="AF395" i="18"/>
  <c r="AF396" i="18"/>
  <c r="AF397" i="18"/>
  <c r="AF398" i="18"/>
  <c r="AF399" i="18"/>
  <c r="AF400" i="18"/>
  <c r="AF401" i="18"/>
  <c r="AF402" i="18"/>
  <c r="AF403" i="18"/>
  <c r="AF404" i="18"/>
  <c r="AF405" i="18"/>
  <c r="AF406" i="18"/>
  <c r="AF407" i="18"/>
  <c r="AF408" i="18"/>
  <c r="AF409" i="18"/>
  <c r="AF410" i="18"/>
  <c r="AF411" i="18"/>
  <c r="AF412" i="18"/>
  <c r="AF413" i="18"/>
  <c r="AF414" i="18"/>
  <c r="AF415" i="18"/>
  <c r="AF416" i="18"/>
  <c r="AF417" i="18"/>
  <c r="AF418" i="18"/>
  <c r="AF419" i="18"/>
  <c r="AF420" i="18"/>
  <c r="AF421" i="18"/>
  <c r="AF422" i="18"/>
  <c r="AF423" i="18"/>
  <c r="AF424" i="18"/>
  <c r="AF425" i="18"/>
  <c r="AF426" i="18"/>
  <c r="AF427" i="18"/>
  <c r="AF428" i="18"/>
  <c r="AF429" i="18"/>
  <c r="AF430" i="18"/>
  <c r="AF431" i="18"/>
  <c r="AF432" i="18"/>
  <c r="AF433" i="18"/>
  <c r="AF434" i="18"/>
  <c r="AF435" i="18"/>
  <c r="AF436" i="18"/>
  <c r="AF437" i="18"/>
  <c r="AF438" i="18"/>
  <c r="AF439" i="18"/>
  <c r="AF440" i="18"/>
  <c r="AF441" i="18"/>
  <c r="AF442" i="18"/>
  <c r="AF443" i="18"/>
  <c r="AF444" i="18"/>
  <c r="AF445" i="18"/>
  <c r="AF446" i="18"/>
  <c r="AF447" i="18"/>
  <c r="AF448" i="18"/>
  <c r="AF449" i="18"/>
  <c r="AF450" i="18"/>
  <c r="AF451" i="18"/>
  <c r="AF452" i="18"/>
  <c r="AF453" i="18"/>
  <c r="AF454" i="18"/>
  <c r="AF455" i="18"/>
  <c r="AF456" i="18"/>
  <c r="AF457" i="18"/>
  <c r="AF458" i="18"/>
  <c r="AF459" i="18"/>
  <c r="AF460" i="18"/>
  <c r="AF461" i="18"/>
  <c r="AF462" i="18"/>
  <c r="AF463" i="18"/>
  <c r="AF464" i="18"/>
  <c r="AF465" i="18"/>
  <c r="AF466" i="18"/>
  <c r="AF467" i="18"/>
  <c r="AF468" i="18"/>
  <c r="AF469" i="18"/>
  <c r="AF470" i="18"/>
  <c r="AF471" i="18"/>
  <c r="AF472" i="18"/>
  <c r="AF473" i="18"/>
  <c r="AF474" i="18"/>
  <c r="AF475" i="18"/>
  <c r="AF476" i="18"/>
  <c r="AF477" i="18"/>
  <c r="AF478" i="18"/>
  <c r="AF479" i="18"/>
  <c r="AF480" i="18"/>
  <c r="AF481" i="18"/>
  <c r="AF482" i="18"/>
  <c r="AF483" i="18"/>
  <c r="AF484" i="18"/>
  <c r="AF485" i="18"/>
  <c r="AF486" i="18"/>
  <c r="AF487" i="18"/>
  <c r="AF488" i="18"/>
  <c r="AF489" i="18"/>
  <c r="AF490" i="18"/>
  <c r="AF491" i="18"/>
  <c r="AF492" i="18"/>
  <c r="AF493" i="18"/>
  <c r="AF494" i="18"/>
  <c r="AF495" i="18"/>
  <c r="AF496" i="18"/>
  <c r="AF497" i="18"/>
  <c r="AF498" i="18"/>
  <c r="AF499" i="18"/>
  <c r="AF500" i="18"/>
  <c r="AF501" i="18"/>
  <c r="AF502" i="18"/>
  <c r="AF503" i="18"/>
  <c r="AF504" i="18"/>
  <c r="AF505" i="18"/>
  <c r="AF506" i="18"/>
  <c r="AF507" i="18"/>
  <c r="AF508" i="18"/>
  <c r="AF509" i="18"/>
  <c r="AF510" i="18"/>
  <c r="AF511" i="18"/>
  <c r="AF512" i="18"/>
  <c r="AF513" i="18"/>
  <c r="AF514" i="18"/>
  <c r="AF515" i="18"/>
  <c r="AF516" i="18"/>
  <c r="AF517" i="18"/>
  <c r="AF518" i="18"/>
  <c r="AF519" i="18"/>
  <c r="AF520" i="18"/>
  <c r="AF521" i="18"/>
  <c r="AF522" i="18"/>
  <c r="AF523" i="18"/>
  <c r="AF524" i="18"/>
  <c r="AF525" i="18"/>
  <c r="AF526" i="18"/>
  <c r="AF527" i="18"/>
  <c r="AF528" i="18"/>
  <c r="AF529" i="18"/>
  <c r="AF530" i="18"/>
  <c r="AF531" i="18"/>
  <c r="AF532" i="18"/>
  <c r="AF533" i="18"/>
  <c r="AF534" i="18"/>
  <c r="AF535" i="18"/>
  <c r="AF536" i="18"/>
  <c r="AF537" i="18"/>
  <c r="AF538" i="18"/>
  <c r="AF539" i="18"/>
  <c r="AF540" i="18"/>
  <c r="AF541" i="18"/>
  <c r="AF542" i="18"/>
  <c r="AF543" i="18"/>
  <c r="AF544" i="18"/>
  <c r="AF545" i="18"/>
  <c r="AF546" i="18"/>
  <c r="AF547" i="18"/>
  <c r="AF548" i="18"/>
  <c r="AF549" i="18"/>
  <c r="AF550" i="18"/>
  <c r="AF551" i="18"/>
  <c r="AF552" i="18"/>
  <c r="AF553" i="18"/>
  <c r="AF554" i="18"/>
  <c r="AF555" i="18"/>
  <c r="AF556" i="18"/>
  <c r="AF557" i="18"/>
  <c r="AF558" i="18"/>
  <c r="AF559" i="18"/>
  <c r="AF560" i="18"/>
  <c r="AF561" i="18"/>
  <c r="AF562" i="18"/>
  <c r="AF563" i="18"/>
  <c r="AF564" i="18"/>
  <c r="AF565" i="18"/>
  <c r="AF566" i="18"/>
  <c r="AF567" i="18"/>
  <c r="AF568" i="18"/>
  <c r="AF569" i="18"/>
  <c r="AF570" i="18"/>
  <c r="AF571" i="18"/>
  <c r="AF572" i="18"/>
  <c r="AF573" i="18"/>
  <c r="AF574" i="18"/>
  <c r="AF575" i="18"/>
  <c r="AF576" i="18"/>
  <c r="AF577" i="18"/>
  <c r="AF578" i="18"/>
  <c r="AF579" i="18"/>
  <c r="AF580" i="18"/>
  <c r="AF581" i="18"/>
  <c r="AF582" i="18"/>
  <c r="AF583" i="18"/>
  <c r="AF584" i="18"/>
  <c r="AF585" i="18"/>
  <c r="AF586" i="18"/>
  <c r="AF587" i="18"/>
  <c r="AF588" i="18"/>
  <c r="AF589" i="18"/>
  <c r="AF590" i="18"/>
  <c r="AF591" i="18"/>
  <c r="AF592" i="18"/>
  <c r="AF593" i="18"/>
  <c r="AF594" i="18"/>
  <c r="AF595" i="18"/>
  <c r="AF596" i="18"/>
  <c r="AF597" i="18"/>
  <c r="AF598" i="18"/>
  <c r="AF599" i="18"/>
  <c r="AF600" i="18"/>
  <c r="AF601" i="18"/>
  <c r="AF602" i="18"/>
  <c r="AF603" i="18"/>
  <c r="AF604" i="18"/>
  <c r="AF605" i="18"/>
  <c r="AF606" i="18"/>
  <c r="AF607" i="18"/>
  <c r="AF608" i="18"/>
  <c r="AF609" i="18"/>
  <c r="AF610" i="18"/>
  <c r="AF611" i="18"/>
  <c r="AF612" i="18"/>
  <c r="AF613" i="18"/>
  <c r="AF614" i="18"/>
  <c r="AF615" i="18"/>
  <c r="AF616" i="18"/>
  <c r="AF617" i="18"/>
  <c r="AF618" i="18"/>
  <c r="AF619" i="18"/>
  <c r="AF620" i="18"/>
  <c r="AF621" i="18"/>
  <c r="AF622" i="18"/>
  <c r="AF623" i="18"/>
  <c r="AF624" i="18"/>
  <c r="AF625" i="18"/>
  <c r="AF626" i="18"/>
  <c r="AF627" i="18"/>
  <c r="AF628" i="18"/>
  <c r="AF629" i="18"/>
  <c r="AF630" i="18"/>
  <c r="AF631" i="18"/>
  <c r="AF632" i="18"/>
  <c r="AF633" i="18"/>
  <c r="AF634" i="18"/>
  <c r="AF635" i="18"/>
  <c r="AF636" i="18"/>
  <c r="AF637" i="18"/>
  <c r="AF638" i="18"/>
  <c r="AF639" i="18"/>
  <c r="AF640" i="18"/>
  <c r="AF641" i="18"/>
  <c r="AF642" i="18"/>
  <c r="AF643" i="18"/>
  <c r="AF644" i="18"/>
  <c r="AF645" i="18"/>
  <c r="AF646" i="18"/>
  <c r="AF647" i="18"/>
  <c r="AF648" i="18"/>
  <c r="AF649" i="18"/>
  <c r="AF650" i="18"/>
  <c r="AF651" i="18"/>
  <c r="AF652" i="18"/>
  <c r="AF653" i="18"/>
  <c r="AF654" i="18"/>
  <c r="AF655" i="18"/>
  <c r="AF656" i="18"/>
  <c r="AF657" i="18"/>
  <c r="AF658" i="18"/>
  <c r="AF659" i="18"/>
  <c r="AF660" i="18"/>
  <c r="AF661" i="18"/>
  <c r="AF662" i="18"/>
  <c r="AF663" i="18"/>
  <c r="AF664" i="18"/>
  <c r="AF665" i="18"/>
  <c r="AF666" i="18"/>
  <c r="AF667" i="18"/>
  <c r="AF668" i="18"/>
  <c r="AF669" i="18"/>
  <c r="AF670" i="18"/>
  <c r="AF671" i="18"/>
  <c r="AF672" i="18"/>
  <c r="AF673" i="18"/>
  <c r="AF674" i="18"/>
  <c r="AF675" i="18"/>
  <c r="AF676" i="18"/>
  <c r="AF677" i="18"/>
  <c r="AF678" i="18"/>
  <c r="AF679" i="18"/>
  <c r="AF680" i="18"/>
  <c r="AF681" i="18"/>
  <c r="AF682" i="18"/>
  <c r="AF683" i="18"/>
  <c r="AF684" i="18"/>
  <c r="AF685" i="18"/>
  <c r="AF3" i="18"/>
  <c r="AF4" i="18"/>
  <c r="AF5" i="18"/>
  <c r="AF6" i="18"/>
  <c r="AF7" i="18"/>
  <c r="AF8" i="18"/>
  <c r="AF9" i="18"/>
  <c r="AF10" i="18"/>
  <c r="AF11" i="18"/>
  <c r="AF12" i="18"/>
  <c r="AF13" i="18"/>
  <c r="AF14" i="18"/>
  <c r="AF15" i="18"/>
  <c r="AF16" i="18"/>
  <c r="AF17" i="18"/>
  <c r="AF18" i="18"/>
  <c r="AF19" i="18"/>
  <c r="AF20" i="18"/>
  <c r="AF21" i="18"/>
  <c r="AF22" i="18"/>
  <c r="AF23" i="18"/>
  <c r="AF24" i="18"/>
  <c r="AF25" i="18"/>
  <c r="AF26" i="18"/>
  <c r="AF27" i="18"/>
  <c r="AF2" i="18"/>
  <c r="U685" i="18"/>
  <c r="AC685" i="18" s="1"/>
  <c r="T685" i="18"/>
  <c r="AB685" i="18" s="1"/>
  <c r="J685" i="18"/>
  <c r="U684" i="18"/>
  <c r="AC684" i="18" s="1"/>
  <c r="T684" i="18"/>
  <c r="AB684" i="18" s="1"/>
  <c r="J684" i="18"/>
  <c r="U683" i="18"/>
  <c r="AC683" i="18" s="1"/>
  <c r="T683" i="18"/>
  <c r="J683" i="18"/>
  <c r="U682" i="18"/>
  <c r="AC682" i="18" s="1"/>
  <c r="T682" i="18"/>
  <c r="AB682" i="18" s="1"/>
  <c r="J682" i="18"/>
  <c r="U681" i="18"/>
  <c r="AC681" i="18" s="1"/>
  <c r="T681" i="18"/>
  <c r="AB681" i="18" s="1"/>
  <c r="J681" i="18"/>
  <c r="U680" i="18"/>
  <c r="AC680" i="18" s="1"/>
  <c r="T680" i="18"/>
  <c r="J680" i="18"/>
  <c r="U679" i="18"/>
  <c r="T679" i="18"/>
  <c r="AB679" i="18" s="1"/>
  <c r="J679" i="18"/>
  <c r="U678" i="18"/>
  <c r="AC678" i="18" s="1"/>
  <c r="T678" i="18"/>
  <c r="J678" i="18"/>
  <c r="U677" i="18"/>
  <c r="AC677" i="18" s="1"/>
  <c r="T677" i="18"/>
  <c r="AB677" i="18" s="1"/>
  <c r="J677" i="18"/>
  <c r="U676" i="18"/>
  <c r="AC676" i="18" s="1"/>
  <c r="T676" i="18"/>
  <c r="AB676" i="18" s="1"/>
  <c r="J676" i="18"/>
  <c r="U675" i="18"/>
  <c r="AC675" i="18" s="1"/>
  <c r="T675" i="18"/>
  <c r="AB675" i="18" s="1"/>
  <c r="J675" i="18"/>
  <c r="U674" i="18"/>
  <c r="AC674" i="18" s="1"/>
  <c r="T674" i="18"/>
  <c r="V674" i="18" s="1"/>
  <c r="W674" i="18" s="1"/>
  <c r="X674" i="18" s="1"/>
  <c r="Z674" i="18" s="1"/>
  <c r="J674" i="18"/>
  <c r="U673" i="18"/>
  <c r="AC673" i="18" s="1"/>
  <c r="T673" i="18"/>
  <c r="AB673" i="18" s="1"/>
  <c r="J673" i="18"/>
  <c r="U672" i="18"/>
  <c r="AC672" i="18" s="1"/>
  <c r="T672" i="18"/>
  <c r="AB672" i="18" s="1"/>
  <c r="J672" i="18"/>
  <c r="U671" i="18"/>
  <c r="AC671" i="18" s="1"/>
  <c r="T671" i="18"/>
  <c r="J671" i="18"/>
  <c r="U670" i="18"/>
  <c r="T670" i="18"/>
  <c r="AB670" i="18" s="1"/>
  <c r="J670" i="18"/>
  <c r="U669" i="18"/>
  <c r="AC669" i="18" s="1"/>
  <c r="T669" i="18"/>
  <c r="J669" i="18"/>
  <c r="U668" i="18"/>
  <c r="AC668" i="18" s="1"/>
  <c r="T668" i="18"/>
  <c r="J668" i="18"/>
  <c r="U667" i="18"/>
  <c r="AC667" i="18" s="1"/>
  <c r="T667" i="18"/>
  <c r="J667" i="18"/>
  <c r="U666" i="18"/>
  <c r="AC666" i="18" s="1"/>
  <c r="T666" i="18"/>
  <c r="J666" i="18"/>
  <c r="AB665" i="18"/>
  <c r="U665" i="18"/>
  <c r="AC665" i="18" s="1"/>
  <c r="T665" i="18"/>
  <c r="J665" i="18"/>
  <c r="U664" i="18"/>
  <c r="AC664" i="18" s="1"/>
  <c r="T664" i="18"/>
  <c r="AB664" i="18" s="1"/>
  <c r="J664" i="18"/>
  <c r="U663" i="18"/>
  <c r="AC663" i="18" s="1"/>
  <c r="T663" i="18"/>
  <c r="AB663" i="18" s="1"/>
  <c r="J663" i="18"/>
  <c r="U662" i="18"/>
  <c r="AC662" i="18" s="1"/>
  <c r="T662" i="18"/>
  <c r="AB662" i="18" s="1"/>
  <c r="J662" i="18"/>
  <c r="U661" i="18"/>
  <c r="AC661" i="18" s="1"/>
  <c r="T661" i="18"/>
  <c r="AB661" i="18" s="1"/>
  <c r="J661" i="18"/>
  <c r="U660" i="18"/>
  <c r="AC660" i="18" s="1"/>
  <c r="T660" i="18"/>
  <c r="AB660" i="18" s="1"/>
  <c r="J660" i="18"/>
  <c r="U659" i="18"/>
  <c r="AC659" i="18" s="1"/>
  <c r="T659" i="18"/>
  <c r="J659" i="18"/>
  <c r="U658" i="18"/>
  <c r="AC658" i="18" s="1"/>
  <c r="T658" i="18"/>
  <c r="AB658" i="18" s="1"/>
  <c r="J658" i="18"/>
  <c r="U657" i="18"/>
  <c r="AC657" i="18" s="1"/>
  <c r="T657" i="18"/>
  <c r="AB657" i="18" s="1"/>
  <c r="J657" i="18"/>
  <c r="U656" i="18"/>
  <c r="AC656" i="18" s="1"/>
  <c r="T656" i="18"/>
  <c r="J656" i="18"/>
  <c r="U655" i="18"/>
  <c r="AC655" i="18" s="1"/>
  <c r="T655" i="18"/>
  <c r="AB655" i="18" s="1"/>
  <c r="J655" i="18"/>
  <c r="U654" i="18"/>
  <c r="AC654" i="18" s="1"/>
  <c r="T654" i="18"/>
  <c r="J654" i="18"/>
  <c r="U653" i="18"/>
  <c r="AC653" i="18" s="1"/>
  <c r="T653" i="18"/>
  <c r="J653" i="18"/>
  <c r="AC652" i="18"/>
  <c r="U652" i="18"/>
  <c r="T652" i="18"/>
  <c r="AB652" i="18" s="1"/>
  <c r="J652" i="18"/>
  <c r="U651" i="18"/>
  <c r="AC651" i="18" s="1"/>
  <c r="T651" i="18"/>
  <c r="J651" i="18"/>
  <c r="U650" i="18"/>
  <c r="AC650" i="18" s="1"/>
  <c r="T650" i="18"/>
  <c r="AB650" i="18" s="1"/>
  <c r="J650" i="18"/>
  <c r="U649" i="18"/>
  <c r="AC649" i="18" s="1"/>
  <c r="T649" i="18"/>
  <c r="AB649" i="18" s="1"/>
  <c r="J649" i="18"/>
  <c r="U648" i="18"/>
  <c r="AC648" i="18" s="1"/>
  <c r="T648" i="18"/>
  <c r="AB648" i="18" s="1"/>
  <c r="U647" i="18"/>
  <c r="AC647" i="18" s="1"/>
  <c r="T647" i="18"/>
  <c r="J647" i="18"/>
  <c r="AB646" i="18"/>
  <c r="U646" i="18"/>
  <c r="AC646" i="18" s="1"/>
  <c r="T646" i="18"/>
  <c r="J646" i="18"/>
  <c r="U645" i="18"/>
  <c r="AC645" i="18" s="1"/>
  <c r="T645" i="18"/>
  <c r="J645" i="18"/>
  <c r="U644" i="18"/>
  <c r="T644" i="18"/>
  <c r="AB644" i="18" s="1"/>
  <c r="J644" i="18"/>
  <c r="U643" i="18"/>
  <c r="AC643" i="18" s="1"/>
  <c r="T643" i="18"/>
  <c r="AB643" i="18" s="1"/>
  <c r="J643" i="18"/>
  <c r="U642" i="18"/>
  <c r="AC642" i="18" s="1"/>
  <c r="T642" i="18"/>
  <c r="AB642" i="18" s="1"/>
  <c r="J642" i="18"/>
  <c r="U641" i="18"/>
  <c r="AC641" i="18" s="1"/>
  <c r="T641" i="18"/>
  <c r="AB641" i="18" s="1"/>
  <c r="J641" i="18"/>
  <c r="U640" i="18"/>
  <c r="AC640" i="18" s="1"/>
  <c r="T640" i="18"/>
  <c r="J640" i="18"/>
  <c r="U639" i="18"/>
  <c r="T639" i="18"/>
  <c r="AB639" i="18" s="1"/>
  <c r="J639" i="18"/>
  <c r="U638" i="18"/>
  <c r="AC638" i="18" s="1"/>
  <c r="T638" i="18"/>
  <c r="AB638" i="18" s="1"/>
  <c r="J638" i="18"/>
  <c r="U637" i="18"/>
  <c r="AC637" i="18" s="1"/>
  <c r="T637" i="18"/>
  <c r="AB637" i="18" s="1"/>
  <c r="J637" i="18"/>
  <c r="U636" i="18"/>
  <c r="AC636" i="18" s="1"/>
  <c r="T636" i="18"/>
  <c r="J636" i="18"/>
  <c r="U635" i="18"/>
  <c r="AC635" i="18" s="1"/>
  <c r="T635" i="18"/>
  <c r="AB635" i="18" s="1"/>
  <c r="J635" i="18"/>
  <c r="U634" i="18"/>
  <c r="T634" i="18"/>
  <c r="AB634" i="18" s="1"/>
  <c r="J634" i="18"/>
  <c r="U633" i="18"/>
  <c r="AC633" i="18" s="1"/>
  <c r="T633" i="18"/>
  <c r="J633" i="18"/>
  <c r="U632" i="18"/>
  <c r="AC632" i="18" s="1"/>
  <c r="T632" i="18"/>
  <c r="AB632" i="18" s="1"/>
  <c r="J632" i="18"/>
  <c r="U631" i="18"/>
  <c r="AC631" i="18" s="1"/>
  <c r="T631" i="18"/>
  <c r="J631" i="18"/>
  <c r="U630" i="18"/>
  <c r="AC630" i="18" s="1"/>
  <c r="T630" i="18"/>
  <c r="J630" i="18"/>
  <c r="U629" i="18"/>
  <c r="AC629" i="18" s="1"/>
  <c r="T629" i="18"/>
  <c r="AB629" i="18" s="1"/>
  <c r="J629" i="18"/>
  <c r="U628" i="18"/>
  <c r="AC628" i="18" s="1"/>
  <c r="T628" i="18"/>
  <c r="AB628" i="18" s="1"/>
  <c r="J628" i="18"/>
  <c r="U627" i="18"/>
  <c r="AC627" i="18" s="1"/>
  <c r="T627" i="18"/>
  <c r="AB627" i="18" s="1"/>
  <c r="J627" i="18"/>
  <c r="U626" i="18"/>
  <c r="AC626" i="18" s="1"/>
  <c r="T626" i="18"/>
  <c r="AB626" i="18" s="1"/>
  <c r="J626" i="18"/>
  <c r="U625" i="18"/>
  <c r="AC625" i="18" s="1"/>
  <c r="T625" i="18"/>
  <c r="AB625" i="18" s="1"/>
  <c r="J625" i="18"/>
  <c r="U624" i="18"/>
  <c r="AC624" i="18" s="1"/>
  <c r="T624" i="18"/>
  <c r="J624" i="18"/>
  <c r="U623" i="18"/>
  <c r="AC623" i="18" s="1"/>
  <c r="T623" i="18"/>
  <c r="AB623" i="18" s="1"/>
  <c r="J623" i="18"/>
  <c r="U622" i="18"/>
  <c r="AC622" i="18" s="1"/>
  <c r="T622" i="18"/>
  <c r="AB622" i="18" s="1"/>
  <c r="J622" i="18"/>
  <c r="U621" i="18"/>
  <c r="AC621" i="18" s="1"/>
  <c r="T621" i="18"/>
  <c r="J621" i="18"/>
  <c r="U620" i="18"/>
  <c r="T620" i="18"/>
  <c r="AB620" i="18" s="1"/>
  <c r="J620" i="18"/>
  <c r="U619" i="18"/>
  <c r="AC619" i="18" s="1"/>
  <c r="T619" i="18"/>
  <c r="J619" i="18"/>
  <c r="U618" i="18"/>
  <c r="AC618" i="18" s="1"/>
  <c r="T618" i="18"/>
  <c r="AB618" i="18" s="1"/>
  <c r="J618" i="18"/>
  <c r="U617" i="18"/>
  <c r="AC617" i="18" s="1"/>
  <c r="T617" i="18"/>
  <c r="J617" i="18"/>
  <c r="U616" i="18"/>
  <c r="AC616" i="18" s="1"/>
  <c r="T616" i="18"/>
  <c r="AB616" i="18" s="1"/>
  <c r="J616" i="18"/>
  <c r="U615" i="18"/>
  <c r="AC615" i="18" s="1"/>
  <c r="T615" i="18"/>
  <c r="J615" i="18"/>
  <c r="U614" i="18"/>
  <c r="AC614" i="18" s="1"/>
  <c r="T614" i="18"/>
  <c r="J614" i="18"/>
  <c r="U613" i="18"/>
  <c r="AC613" i="18" s="1"/>
  <c r="T613" i="18"/>
  <c r="AB613" i="18" s="1"/>
  <c r="J613" i="18"/>
  <c r="U612" i="18"/>
  <c r="AC612" i="18" s="1"/>
  <c r="T612" i="18"/>
  <c r="J612" i="18"/>
  <c r="U611" i="18"/>
  <c r="AC611" i="18" s="1"/>
  <c r="T611" i="18"/>
  <c r="AB611" i="18" s="1"/>
  <c r="J611" i="18"/>
  <c r="U610" i="18"/>
  <c r="T610" i="18"/>
  <c r="AB610" i="18" s="1"/>
  <c r="J610" i="18"/>
  <c r="U609" i="18"/>
  <c r="AC609" i="18" s="1"/>
  <c r="T609" i="18"/>
  <c r="J609" i="18"/>
  <c r="U608" i="18"/>
  <c r="AC608" i="18" s="1"/>
  <c r="T608" i="18"/>
  <c r="AB608" i="18" s="1"/>
  <c r="U607" i="18"/>
  <c r="AC607" i="18" s="1"/>
  <c r="T607" i="18"/>
  <c r="J607" i="18"/>
  <c r="U606" i="18"/>
  <c r="AC606" i="18" s="1"/>
  <c r="T606" i="18"/>
  <c r="J606" i="18"/>
  <c r="U605" i="18"/>
  <c r="T605" i="18"/>
  <c r="AB605" i="18" s="1"/>
  <c r="J605" i="18"/>
  <c r="U604" i="18"/>
  <c r="AC604" i="18" s="1"/>
  <c r="T604" i="18"/>
  <c r="AB604" i="18" s="1"/>
  <c r="J604" i="18"/>
  <c r="U603" i="18"/>
  <c r="AC603" i="18" s="1"/>
  <c r="T603" i="18"/>
  <c r="AB603" i="18" s="1"/>
  <c r="J603" i="18"/>
  <c r="U602" i="18"/>
  <c r="AC602" i="18" s="1"/>
  <c r="T602" i="18"/>
  <c r="AB602" i="18" s="1"/>
  <c r="J602" i="18"/>
  <c r="U601" i="18"/>
  <c r="AC601" i="18" s="1"/>
  <c r="T601" i="18"/>
  <c r="J601" i="18"/>
  <c r="U600" i="18"/>
  <c r="AC600" i="18" s="1"/>
  <c r="T600" i="18"/>
  <c r="AB600" i="18" s="1"/>
  <c r="J600" i="18"/>
  <c r="U599" i="18"/>
  <c r="T599" i="18"/>
  <c r="AB599" i="18" s="1"/>
  <c r="J599" i="18"/>
  <c r="U598" i="18"/>
  <c r="AC598" i="18" s="1"/>
  <c r="T598" i="18"/>
  <c r="J598" i="18"/>
  <c r="U597" i="18"/>
  <c r="T597" i="18"/>
  <c r="AB597" i="18" s="1"/>
  <c r="J597" i="18"/>
  <c r="U596" i="18"/>
  <c r="AC596" i="18" s="1"/>
  <c r="T596" i="18"/>
  <c r="AB596" i="18" s="1"/>
  <c r="J596" i="18"/>
  <c r="U595" i="18"/>
  <c r="AC595" i="18" s="1"/>
  <c r="T595" i="18"/>
  <c r="V595" i="18" s="1"/>
  <c r="W595" i="18" s="1"/>
  <c r="X595" i="18" s="1"/>
  <c r="Z595" i="18" s="1"/>
  <c r="J595" i="18"/>
  <c r="U594" i="18"/>
  <c r="AC594" i="18" s="1"/>
  <c r="T594" i="18"/>
  <c r="AB594" i="18" s="1"/>
  <c r="J594" i="18"/>
  <c r="U593" i="18"/>
  <c r="AC593" i="18" s="1"/>
  <c r="T593" i="18"/>
  <c r="AB593" i="18" s="1"/>
  <c r="J593" i="18"/>
  <c r="U592" i="18"/>
  <c r="AC592" i="18" s="1"/>
  <c r="T592" i="18"/>
  <c r="AB592" i="18" s="1"/>
  <c r="J592" i="18"/>
  <c r="U591" i="18"/>
  <c r="AC591" i="18" s="1"/>
  <c r="T591" i="18"/>
  <c r="J591" i="18"/>
  <c r="U590" i="18"/>
  <c r="AC590" i="18" s="1"/>
  <c r="T590" i="18"/>
  <c r="AB590" i="18" s="1"/>
  <c r="J590" i="18"/>
  <c r="U589" i="18"/>
  <c r="AC589" i="18" s="1"/>
  <c r="T589" i="18"/>
  <c r="J589" i="18"/>
  <c r="U588" i="18"/>
  <c r="AC588" i="18" s="1"/>
  <c r="T588" i="18"/>
  <c r="AB588" i="18" s="1"/>
  <c r="J588" i="18"/>
  <c r="U587" i="18"/>
  <c r="AC587" i="18" s="1"/>
  <c r="T587" i="18"/>
  <c r="J587" i="18"/>
  <c r="U586" i="18"/>
  <c r="AC586" i="18" s="1"/>
  <c r="T586" i="18"/>
  <c r="J586" i="18"/>
  <c r="U585" i="18"/>
  <c r="T585" i="18"/>
  <c r="AB585" i="18" s="1"/>
  <c r="J585" i="18"/>
  <c r="AB584" i="18"/>
  <c r="U584" i="18"/>
  <c r="AC584" i="18" s="1"/>
  <c r="T584" i="18"/>
  <c r="J584" i="18"/>
  <c r="U583" i="18"/>
  <c r="AC583" i="18" s="1"/>
  <c r="T583" i="18"/>
  <c r="J583" i="18"/>
  <c r="U582" i="18"/>
  <c r="AC582" i="18" s="1"/>
  <c r="T582" i="18"/>
  <c r="AB582" i="18" s="1"/>
  <c r="AD582" i="18" s="1"/>
  <c r="J582" i="18"/>
  <c r="U581" i="18"/>
  <c r="T581" i="18"/>
  <c r="AB581" i="18" s="1"/>
  <c r="J581" i="18"/>
  <c r="U580" i="18"/>
  <c r="AC580" i="18" s="1"/>
  <c r="T580" i="18"/>
  <c r="AB580" i="18" s="1"/>
  <c r="J580" i="18"/>
  <c r="U579" i="18"/>
  <c r="AC579" i="18" s="1"/>
  <c r="T579" i="18"/>
  <c r="AB579" i="18" s="1"/>
  <c r="J579" i="18"/>
  <c r="U578" i="18"/>
  <c r="AC578" i="18" s="1"/>
  <c r="T578" i="18"/>
  <c r="AB578" i="18" s="1"/>
  <c r="AD578" i="18" s="1"/>
  <c r="J578" i="18"/>
  <c r="U577" i="18"/>
  <c r="AC577" i="18" s="1"/>
  <c r="T577" i="18"/>
  <c r="J577" i="18"/>
  <c r="U576" i="18"/>
  <c r="AC576" i="18" s="1"/>
  <c r="T576" i="18"/>
  <c r="AB576" i="18" s="1"/>
  <c r="J576" i="18"/>
  <c r="U575" i="18"/>
  <c r="AC575" i="18" s="1"/>
  <c r="T575" i="18"/>
  <c r="J575" i="18"/>
  <c r="U574" i="18"/>
  <c r="AC574" i="18" s="1"/>
  <c r="T574" i="18"/>
  <c r="J574" i="18"/>
  <c r="U573" i="18"/>
  <c r="AC573" i="18" s="1"/>
  <c r="T573" i="18"/>
  <c r="AB573" i="18" s="1"/>
  <c r="J573" i="18"/>
  <c r="U572" i="18"/>
  <c r="AC572" i="18" s="1"/>
  <c r="T572" i="18"/>
  <c r="J572" i="18"/>
  <c r="U571" i="18"/>
  <c r="AC571" i="18" s="1"/>
  <c r="T571" i="18"/>
  <c r="AB571" i="18" s="1"/>
  <c r="J571" i="18"/>
  <c r="U570" i="18"/>
  <c r="AC570" i="18" s="1"/>
  <c r="T570" i="18"/>
  <c r="AB570" i="18" s="1"/>
  <c r="J570" i="18"/>
  <c r="U569" i="18"/>
  <c r="AC569" i="18" s="1"/>
  <c r="T569" i="18"/>
  <c r="AB569" i="18" s="1"/>
  <c r="J569" i="18"/>
  <c r="U568" i="18"/>
  <c r="AC568" i="18" s="1"/>
  <c r="T568" i="18"/>
  <c r="AB568" i="18" s="1"/>
  <c r="J568" i="18"/>
  <c r="U567" i="18"/>
  <c r="AC567" i="18" s="1"/>
  <c r="T567" i="18"/>
  <c r="J567" i="18"/>
  <c r="U566" i="18"/>
  <c r="AC566" i="18" s="1"/>
  <c r="T566" i="18"/>
  <c r="AB566" i="18" s="1"/>
  <c r="J566" i="18"/>
  <c r="U565" i="18"/>
  <c r="AC565" i="18" s="1"/>
  <c r="T565" i="18"/>
  <c r="J565" i="18"/>
  <c r="U564" i="18"/>
  <c r="AC564" i="18" s="1"/>
  <c r="T564" i="18"/>
  <c r="AB564" i="18" s="1"/>
  <c r="J564" i="18"/>
  <c r="U563" i="18"/>
  <c r="AC563" i="18" s="1"/>
  <c r="T563" i="18"/>
  <c r="AB563" i="18" s="1"/>
  <c r="J563" i="18"/>
  <c r="U562" i="18"/>
  <c r="AC562" i="18" s="1"/>
  <c r="T562" i="18"/>
  <c r="J562" i="18"/>
  <c r="U561" i="18"/>
  <c r="AC561" i="18" s="1"/>
  <c r="T561" i="18"/>
  <c r="AB561" i="18" s="1"/>
  <c r="J561" i="18"/>
  <c r="U560" i="18"/>
  <c r="AC560" i="18" s="1"/>
  <c r="T560" i="18"/>
  <c r="J560" i="18"/>
  <c r="U559" i="18"/>
  <c r="AC559" i="18" s="1"/>
  <c r="T559" i="18"/>
  <c r="J559" i="18"/>
  <c r="U558" i="18"/>
  <c r="V558" i="18" s="1"/>
  <c r="W558" i="18" s="1"/>
  <c r="X558" i="18" s="1"/>
  <c r="Z558" i="18" s="1"/>
  <c r="T558" i="18"/>
  <c r="AB558" i="18" s="1"/>
  <c r="J558" i="18"/>
  <c r="U557" i="18"/>
  <c r="AC557" i="18" s="1"/>
  <c r="T557" i="18"/>
  <c r="V557" i="18" s="1"/>
  <c r="W557" i="18" s="1"/>
  <c r="X557" i="18" s="1"/>
  <c r="Z557" i="18" s="1"/>
  <c r="J557" i="18"/>
  <c r="U556" i="18"/>
  <c r="AC556" i="18" s="1"/>
  <c r="T556" i="18"/>
  <c r="J556" i="18"/>
  <c r="U555" i="18"/>
  <c r="AC555" i="18" s="1"/>
  <c r="T555" i="18"/>
  <c r="AB555" i="18" s="1"/>
  <c r="J555" i="18"/>
  <c r="U554" i="18"/>
  <c r="AC554" i="18" s="1"/>
  <c r="T554" i="18"/>
  <c r="AB554" i="18" s="1"/>
  <c r="J554" i="18"/>
  <c r="U553" i="18"/>
  <c r="AC553" i="18" s="1"/>
  <c r="T553" i="18"/>
  <c r="J553" i="18"/>
  <c r="U552" i="18"/>
  <c r="AC552" i="18" s="1"/>
  <c r="T552" i="18"/>
  <c r="AB552" i="18" s="1"/>
  <c r="J552" i="18"/>
  <c r="U551" i="18"/>
  <c r="AC551" i="18" s="1"/>
  <c r="T551" i="18"/>
  <c r="AB551" i="18" s="1"/>
  <c r="U550" i="18"/>
  <c r="AC550" i="18" s="1"/>
  <c r="T550" i="18"/>
  <c r="J550" i="18"/>
  <c r="U549" i="18"/>
  <c r="AC549" i="18" s="1"/>
  <c r="T549" i="18"/>
  <c r="J549" i="18"/>
  <c r="U548" i="18"/>
  <c r="AC548" i="18" s="1"/>
  <c r="T548" i="18"/>
  <c r="AB548" i="18" s="1"/>
  <c r="J548" i="18"/>
  <c r="U547" i="18"/>
  <c r="AC547" i="18" s="1"/>
  <c r="T547" i="18"/>
  <c r="AB547" i="18" s="1"/>
  <c r="J547" i="18"/>
  <c r="U546" i="18"/>
  <c r="AC546" i="18" s="1"/>
  <c r="T546" i="18"/>
  <c r="AB546" i="18" s="1"/>
  <c r="J546" i="18"/>
  <c r="U545" i="18"/>
  <c r="AC545" i="18" s="1"/>
  <c r="T545" i="18"/>
  <c r="J545" i="18"/>
  <c r="U544" i="18"/>
  <c r="AC544" i="18" s="1"/>
  <c r="T544" i="18"/>
  <c r="AB544" i="18" s="1"/>
  <c r="J544" i="18"/>
  <c r="U543" i="18"/>
  <c r="AC543" i="18" s="1"/>
  <c r="T543" i="18"/>
  <c r="J543" i="18"/>
  <c r="U542" i="18"/>
  <c r="AC542" i="18" s="1"/>
  <c r="T542" i="18"/>
  <c r="J542" i="18"/>
  <c r="U541" i="18"/>
  <c r="AC541" i="18" s="1"/>
  <c r="T541" i="18"/>
  <c r="AB541" i="18" s="1"/>
  <c r="J541" i="18"/>
  <c r="U540" i="18"/>
  <c r="AC540" i="18" s="1"/>
  <c r="T540" i="18"/>
  <c r="AB540" i="18" s="1"/>
  <c r="J540" i="18"/>
  <c r="U539" i="18"/>
  <c r="AC539" i="18" s="1"/>
  <c r="T539" i="18"/>
  <c r="J539" i="18"/>
  <c r="U538" i="18"/>
  <c r="AC538" i="18" s="1"/>
  <c r="T538" i="18"/>
  <c r="AB538" i="18" s="1"/>
  <c r="J538" i="18"/>
  <c r="U537" i="18"/>
  <c r="AC537" i="18" s="1"/>
  <c r="T537" i="18"/>
  <c r="AB537" i="18" s="1"/>
  <c r="J537" i="18"/>
  <c r="U536" i="18"/>
  <c r="AC536" i="18" s="1"/>
  <c r="T536" i="18"/>
  <c r="AB536" i="18" s="1"/>
  <c r="J536" i="18"/>
  <c r="U535" i="18"/>
  <c r="AC535" i="18" s="1"/>
  <c r="T535" i="18"/>
  <c r="AB535" i="18" s="1"/>
  <c r="J535" i="18"/>
  <c r="U534" i="18"/>
  <c r="AC534" i="18" s="1"/>
  <c r="T534" i="18"/>
  <c r="J534" i="18"/>
  <c r="U533" i="18"/>
  <c r="AC533" i="18" s="1"/>
  <c r="T533" i="18"/>
  <c r="AB533" i="18" s="1"/>
  <c r="J533" i="18"/>
  <c r="U532" i="18"/>
  <c r="AC532" i="18" s="1"/>
  <c r="T532" i="18"/>
  <c r="J532" i="18"/>
  <c r="U531" i="18"/>
  <c r="T531" i="18"/>
  <c r="AB531" i="18" s="1"/>
  <c r="J531" i="18"/>
  <c r="U530" i="18"/>
  <c r="AC530" i="18" s="1"/>
  <c r="T530" i="18"/>
  <c r="AB530" i="18" s="1"/>
  <c r="J530" i="18"/>
  <c r="U529" i="18"/>
  <c r="AC529" i="18" s="1"/>
  <c r="T529" i="18"/>
  <c r="AB529" i="18" s="1"/>
  <c r="J529" i="18"/>
  <c r="U528" i="18"/>
  <c r="AC528" i="18" s="1"/>
  <c r="T528" i="18"/>
  <c r="AB528" i="18" s="1"/>
  <c r="J528" i="18"/>
  <c r="U527" i="18"/>
  <c r="AC527" i="18" s="1"/>
  <c r="T527" i="18"/>
  <c r="J527" i="18"/>
  <c r="U526" i="18"/>
  <c r="AC526" i="18" s="1"/>
  <c r="T526" i="18"/>
  <c r="AB526" i="18" s="1"/>
  <c r="J526" i="18"/>
  <c r="U525" i="18"/>
  <c r="AC525" i="18" s="1"/>
  <c r="T525" i="18"/>
  <c r="AB525" i="18" s="1"/>
  <c r="J525" i="18"/>
  <c r="U524" i="18"/>
  <c r="AC524" i="18" s="1"/>
  <c r="T524" i="18"/>
  <c r="AB524" i="18" s="1"/>
  <c r="J524" i="18"/>
  <c r="U523" i="18"/>
  <c r="AC523" i="18" s="1"/>
  <c r="T523" i="18"/>
  <c r="AB523" i="18" s="1"/>
  <c r="J523" i="18"/>
  <c r="U522" i="18"/>
  <c r="AC522" i="18" s="1"/>
  <c r="T522" i="18"/>
  <c r="J522" i="18"/>
  <c r="U521" i="18"/>
  <c r="AC521" i="18" s="1"/>
  <c r="T521" i="18"/>
  <c r="AB521" i="18" s="1"/>
  <c r="J521" i="18"/>
  <c r="U520" i="18"/>
  <c r="AC520" i="18" s="1"/>
  <c r="T520" i="18"/>
  <c r="AB520" i="18" s="1"/>
  <c r="J520" i="18"/>
  <c r="U519" i="18"/>
  <c r="AC519" i="18" s="1"/>
  <c r="T519" i="18"/>
  <c r="J519" i="18"/>
  <c r="U518" i="18"/>
  <c r="AC518" i="18" s="1"/>
  <c r="T518" i="18"/>
  <c r="AB518" i="18" s="1"/>
  <c r="J518" i="18"/>
  <c r="U517" i="18"/>
  <c r="AC517" i="18" s="1"/>
  <c r="T517" i="18"/>
  <c r="AB517" i="18" s="1"/>
  <c r="J517" i="18"/>
  <c r="U516" i="18"/>
  <c r="AC516" i="18" s="1"/>
  <c r="T516" i="18"/>
  <c r="AB516" i="18" s="1"/>
  <c r="J516" i="18"/>
  <c r="U515" i="18"/>
  <c r="AC515" i="18" s="1"/>
  <c r="T515" i="18"/>
  <c r="J515" i="18"/>
  <c r="U514" i="18"/>
  <c r="AC514" i="18" s="1"/>
  <c r="T514" i="18"/>
  <c r="AB514" i="18" s="1"/>
  <c r="J514" i="18"/>
  <c r="U513" i="18"/>
  <c r="AC513" i="18" s="1"/>
  <c r="T513" i="18"/>
  <c r="AB513" i="18" s="1"/>
  <c r="J513" i="18"/>
  <c r="U512" i="18"/>
  <c r="AC512" i="18" s="1"/>
  <c r="T512" i="18"/>
  <c r="AB512" i="18" s="1"/>
  <c r="J512" i="18"/>
  <c r="U511" i="18"/>
  <c r="AC511" i="18" s="1"/>
  <c r="T511" i="18"/>
  <c r="AB511" i="18" s="1"/>
  <c r="U510" i="18"/>
  <c r="AC510" i="18" s="1"/>
  <c r="T510" i="18"/>
  <c r="V510" i="18" s="1"/>
  <c r="W510" i="18" s="1"/>
  <c r="X510" i="18" s="1"/>
  <c r="Z510" i="18" s="1"/>
  <c r="J510" i="18"/>
  <c r="U509" i="18"/>
  <c r="AC509" i="18" s="1"/>
  <c r="T509" i="18"/>
  <c r="J509" i="18"/>
  <c r="U508" i="18"/>
  <c r="AC508" i="18" s="1"/>
  <c r="T508" i="18"/>
  <c r="AB508" i="18" s="1"/>
  <c r="J508" i="18"/>
  <c r="U507" i="18"/>
  <c r="AC507" i="18" s="1"/>
  <c r="T507" i="18"/>
  <c r="AB507" i="18" s="1"/>
  <c r="J507" i="18"/>
  <c r="U506" i="18"/>
  <c r="AC506" i="18" s="1"/>
  <c r="T506" i="18"/>
  <c r="J506" i="18"/>
  <c r="U505" i="18"/>
  <c r="AC505" i="18" s="1"/>
  <c r="T505" i="18"/>
  <c r="AB505" i="18" s="1"/>
  <c r="J505" i="18"/>
  <c r="U504" i="18"/>
  <c r="AC504" i="18" s="1"/>
  <c r="T504" i="18"/>
  <c r="J504" i="18"/>
  <c r="U503" i="18"/>
  <c r="AC503" i="18" s="1"/>
  <c r="T503" i="18"/>
  <c r="AB503" i="18" s="1"/>
  <c r="J503" i="18"/>
  <c r="U502" i="18"/>
  <c r="AC502" i="18" s="1"/>
  <c r="T502" i="18"/>
  <c r="AB502" i="18" s="1"/>
  <c r="J502" i="18"/>
  <c r="U501" i="18"/>
  <c r="AC501" i="18" s="1"/>
  <c r="T501" i="18"/>
  <c r="AB501" i="18" s="1"/>
  <c r="J501" i="18"/>
  <c r="U500" i="18"/>
  <c r="AC500" i="18" s="1"/>
  <c r="T500" i="18"/>
  <c r="AB500" i="18" s="1"/>
  <c r="J500" i="18"/>
  <c r="U499" i="18"/>
  <c r="AC499" i="18" s="1"/>
  <c r="T499" i="18"/>
  <c r="J499" i="18"/>
  <c r="U498" i="18"/>
  <c r="AC498" i="18" s="1"/>
  <c r="T498" i="18"/>
  <c r="AB498" i="18" s="1"/>
  <c r="J498" i="18"/>
  <c r="U497" i="18"/>
  <c r="AC497" i="18" s="1"/>
  <c r="T497" i="18"/>
  <c r="AB497" i="18" s="1"/>
  <c r="J497" i="18"/>
  <c r="U496" i="18"/>
  <c r="AC496" i="18" s="1"/>
  <c r="T496" i="18"/>
  <c r="AB496" i="18" s="1"/>
  <c r="J496" i="18"/>
  <c r="U495" i="18"/>
  <c r="AC495" i="18" s="1"/>
  <c r="T495" i="18"/>
  <c r="J495" i="18"/>
  <c r="U494" i="18"/>
  <c r="T494" i="18"/>
  <c r="AB494" i="18" s="1"/>
  <c r="J494" i="18"/>
  <c r="U493" i="18"/>
  <c r="AC493" i="18" s="1"/>
  <c r="T493" i="18"/>
  <c r="J493" i="18"/>
  <c r="U492" i="18"/>
  <c r="AC492" i="18" s="1"/>
  <c r="T492" i="18"/>
  <c r="J492" i="18"/>
  <c r="U491" i="18"/>
  <c r="AC491" i="18" s="1"/>
  <c r="T491" i="18"/>
  <c r="J491" i="18"/>
  <c r="U490" i="18"/>
  <c r="AC490" i="18" s="1"/>
  <c r="T490" i="18"/>
  <c r="AB490" i="18" s="1"/>
  <c r="J490" i="18"/>
  <c r="U489" i="18"/>
  <c r="AC489" i="18" s="1"/>
  <c r="T489" i="18"/>
  <c r="AB489" i="18" s="1"/>
  <c r="J489" i="18"/>
  <c r="U488" i="18"/>
  <c r="AC488" i="18" s="1"/>
  <c r="T488" i="18"/>
  <c r="J488" i="18"/>
  <c r="U487" i="18"/>
  <c r="AC487" i="18" s="1"/>
  <c r="T487" i="18"/>
  <c r="K487" i="18"/>
  <c r="J487" i="18"/>
  <c r="U486" i="18"/>
  <c r="AC486" i="18" s="1"/>
  <c r="T486" i="18"/>
  <c r="J486" i="18"/>
  <c r="U485" i="18"/>
  <c r="AC485" i="18" s="1"/>
  <c r="T485" i="18"/>
  <c r="AB485" i="18" s="1"/>
  <c r="J485" i="18"/>
  <c r="U484" i="18"/>
  <c r="AC484" i="18" s="1"/>
  <c r="T484" i="18"/>
  <c r="J484" i="18"/>
  <c r="U483" i="18"/>
  <c r="AC483" i="18" s="1"/>
  <c r="T483" i="18"/>
  <c r="AB483" i="18" s="1"/>
  <c r="J483" i="18"/>
  <c r="U482" i="18"/>
  <c r="AC482" i="18" s="1"/>
  <c r="T482" i="18"/>
  <c r="AB482" i="18" s="1"/>
  <c r="J482" i="18"/>
  <c r="U481" i="18"/>
  <c r="T481" i="18"/>
  <c r="AB481" i="18" s="1"/>
  <c r="J481" i="18"/>
  <c r="U480" i="18"/>
  <c r="AC480" i="18" s="1"/>
  <c r="T480" i="18"/>
  <c r="AB480" i="18" s="1"/>
  <c r="J480" i="18"/>
  <c r="U479" i="18"/>
  <c r="AC479" i="18" s="1"/>
  <c r="T479" i="18"/>
  <c r="J479" i="18"/>
  <c r="U478" i="18"/>
  <c r="AC478" i="18" s="1"/>
  <c r="T478" i="18"/>
  <c r="AB478" i="18" s="1"/>
  <c r="J478" i="18"/>
  <c r="U477" i="18"/>
  <c r="AC477" i="18" s="1"/>
  <c r="T477" i="18"/>
  <c r="AB477" i="18" s="1"/>
  <c r="J477" i="18"/>
  <c r="U476" i="18"/>
  <c r="AC476" i="18" s="1"/>
  <c r="T476" i="18"/>
  <c r="AB476" i="18" s="1"/>
  <c r="J476" i="18"/>
  <c r="U475" i="18"/>
  <c r="AC475" i="18" s="1"/>
  <c r="T475" i="18"/>
  <c r="AB475" i="18" s="1"/>
  <c r="J475" i="18"/>
  <c r="U474" i="18"/>
  <c r="AC474" i="18" s="1"/>
  <c r="T474" i="18"/>
  <c r="J474" i="18"/>
  <c r="U473" i="18"/>
  <c r="AC473" i="18" s="1"/>
  <c r="T473" i="18"/>
  <c r="J473" i="18"/>
  <c r="U472" i="18"/>
  <c r="AC472" i="18" s="1"/>
  <c r="T472" i="18"/>
  <c r="AB472" i="18" s="1"/>
  <c r="J472" i="18"/>
  <c r="U471" i="18"/>
  <c r="AC471" i="18" s="1"/>
  <c r="T471" i="18"/>
  <c r="AB471" i="18" s="1"/>
  <c r="J471" i="18"/>
  <c r="U470" i="18"/>
  <c r="T470" i="18"/>
  <c r="AB470" i="18" s="1"/>
  <c r="K470" i="18"/>
  <c r="J470" i="18"/>
  <c r="U469" i="18"/>
  <c r="AC469" i="18" s="1"/>
  <c r="T469" i="18"/>
  <c r="AB469" i="18" s="1"/>
  <c r="J469" i="18"/>
  <c r="U468" i="18"/>
  <c r="AC468" i="18" s="1"/>
  <c r="T468" i="18"/>
  <c r="AB468" i="18" s="1"/>
  <c r="J468" i="18"/>
  <c r="U467" i="18"/>
  <c r="AC467" i="18" s="1"/>
  <c r="T467" i="18"/>
  <c r="J467" i="18"/>
  <c r="U466" i="18"/>
  <c r="AC466" i="18" s="1"/>
  <c r="T466" i="18"/>
  <c r="J466" i="18"/>
  <c r="U465" i="18"/>
  <c r="AC465" i="18" s="1"/>
  <c r="T465" i="18"/>
  <c r="AB465" i="18" s="1"/>
  <c r="J465" i="18"/>
  <c r="U464" i="18"/>
  <c r="AC464" i="18" s="1"/>
  <c r="T464" i="18"/>
  <c r="AB464" i="18" s="1"/>
  <c r="J464" i="18"/>
  <c r="U463" i="18"/>
  <c r="AC463" i="18" s="1"/>
  <c r="AD463" i="18" s="1"/>
  <c r="T463" i="18"/>
  <c r="AB463" i="18" s="1"/>
  <c r="J463" i="18"/>
  <c r="U462" i="18"/>
  <c r="AC462" i="18" s="1"/>
  <c r="T462" i="18"/>
  <c r="J462" i="18"/>
  <c r="U461" i="18"/>
  <c r="AC461" i="18" s="1"/>
  <c r="T461" i="18"/>
  <c r="J461" i="18"/>
  <c r="U460" i="18"/>
  <c r="AC460" i="18" s="1"/>
  <c r="T460" i="18"/>
  <c r="J460" i="18"/>
  <c r="U459" i="18"/>
  <c r="AC459" i="18" s="1"/>
  <c r="T459" i="18"/>
  <c r="J459" i="18"/>
  <c r="U458" i="18"/>
  <c r="AC458" i="18" s="1"/>
  <c r="T458" i="18"/>
  <c r="AB458" i="18" s="1"/>
  <c r="J458" i="18"/>
  <c r="U457" i="18"/>
  <c r="AC457" i="18" s="1"/>
  <c r="T457" i="18"/>
  <c r="J457" i="18"/>
  <c r="U456" i="18"/>
  <c r="AC456" i="18" s="1"/>
  <c r="T456" i="18"/>
  <c r="AB456" i="18" s="1"/>
  <c r="J456" i="18"/>
  <c r="U455" i="18"/>
  <c r="AC455" i="18" s="1"/>
  <c r="T455" i="18"/>
  <c r="AB455" i="18" s="1"/>
  <c r="J455" i="18"/>
  <c r="U454" i="18"/>
  <c r="AC454" i="18" s="1"/>
  <c r="T454" i="18"/>
  <c r="J454" i="18"/>
  <c r="U453" i="18"/>
  <c r="AC453" i="18" s="1"/>
  <c r="T453" i="18"/>
  <c r="AB453" i="18" s="1"/>
  <c r="J453" i="18"/>
  <c r="U452" i="18"/>
  <c r="AC452" i="18" s="1"/>
  <c r="T452" i="18"/>
  <c r="AB452" i="18" s="1"/>
  <c r="AD452" i="18" s="1"/>
  <c r="J452" i="18"/>
  <c r="U451" i="18"/>
  <c r="AC451" i="18" s="1"/>
  <c r="T451" i="18"/>
  <c r="AB451" i="18" s="1"/>
  <c r="J451" i="18"/>
  <c r="U450" i="18"/>
  <c r="AC450" i="18" s="1"/>
  <c r="T450" i="18"/>
  <c r="J450" i="18"/>
  <c r="U449" i="18"/>
  <c r="AC449" i="18" s="1"/>
  <c r="T449" i="18"/>
  <c r="J449" i="18"/>
  <c r="U448" i="18"/>
  <c r="AC448" i="18" s="1"/>
  <c r="T448" i="18"/>
  <c r="V448" i="18" s="1"/>
  <c r="W448" i="18" s="1"/>
  <c r="X448" i="18" s="1"/>
  <c r="Z448" i="18" s="1"/>
  <c r="J448" i="18"/>
  <c r="U447" i="18"/>
  <c r="AC447" i="18" s="1"/>
  <c r="T447" i="18"/>
  <c r="J447" i="18"/>
  <c r="U446" i="18"/>
  <c r="AC446" i="18" s="1"/>
  <c r="T446" i="18"/>
  <c r="AB446" i="18" s="1"/>
  <c r="J446" i="18"/>
  <c r="U445" i="18"/>
  <c r="T445" i="18"/>
  <c r="AB445" i="18" s="1"/>
  <c r="J445" i="18"/>
  <c r="U444" i="18"/>
  <c r="AC444" i="18" s="1"/>
  <c r="T444" i="18"/>
  <c r="J444" i="18"/>
  <c r="U443" i="18"/>
  <c r="AC443" i="18" s="1"/>
  <c r="T443" i="18"/>
  <c r="J443" i="18"/>
  <c r="U442" i="18"/>
  <c r="AC442" i="18" s="1"/>
  <c r="T442" i="18"/>
  <c r="J442" i="18"/>
  <c r="AB441" i="18"/>
  <c r="U441" i="18"/>
  <c r="T441" i="18"/>
  <c r="J441" i="18"/>
  <c r="U440" i="18"/>
  <c r="AC440" i="18" s="1"/>
  <c r="T440" i="18"/>
  <c r="AB440" i="18" s="1"/>
  <c r="J440" i="18"/>
  <c r="U439" i="18"/>
  <c r="AC439" i="18" s="1"/>
  <c r="T439" i="18"/>
  <c r="AB439" i="18" s="1"/>
  <c r="J439" i="18"/>
  <c r="U438" i="18"/>
  <c r="AC438" i="18" s="1"/>
  <c r="T438" i="18"/>
  <c r="J438" i="18"/>
  <c r="U437" i="18"/>
  <c r="AC437" i="18" s="1"/>
  <c r="T437" i="18"/>
  <c r="J437" i="18"/>
  <c r="U436" i="18"/>
  <c r="AC436" i="18" s="1"/>
  <c r="T436" i="18"/>
  <c r="AB436" i="18" s="1"/>
  <c r="J436" i="18"/>
  <c r="U435" i="18"/>
  <c r="AC435" i="18" s="1"/>
  <c r="T435" i="18"/>
  <c r="J435" i="18"/>
  <c r="U434" i="18"/>
  <c r="T434" i="18"/>
  <c r="AB434" i="18" s="1"/>
  <c r="J434" i="18"/>
  <c r="U433" i="18"/>
  <c r="T433" i="18"/>
  <c r="AB433" i="18" s="1"/>
  <c r="J433" i="18"/>
  <c r="U432" i="18"/>
  <c r="AC432" i="18" s="1"/>
  <c r="T432" i="18"/>
  <c r="AB432" i="18" s="1"/>
  <c r="J432" i="18"/>
  <c r="U431" i="18"/>
  <c r="AC431" i="18" s="1"/>
  <c r="T431" i="18"/>
  <c r="J431" i="18"/>
  <c r="U430" i="18"/>
  <c r="AC430" i="18" s="1"/>
  <c r="T430" i="18"/>
  <c r="J430" i="18"/>
  <c r="U429" i="18"/>
  <c r="AC429" i="18" s="1"/>
  <c r="T429" i="18"/>
  <c r="AB429" i="18" s="1"/>
  <c r="J429" i="18"/>
  <c r="U428" i="18"/>
  <c r="AC428" i="18" s="1"/>
  <c r="T428" i="18"/>
  <c r="AB428" i="18" s="1"/>
  <c r="J428" i="18"/>
  <c r="U427" i="18"/>
  <c r="T427" i="18"/>
  <c r="AB427" i="18" s="1"/>
  <c r="J427" i="18"/>
  <c r="U426" i="18"/>
  <c r="AC426" i="18" s="1"/>
  <c r="T426" i="18"/>
  <c r="AB426" i="18" s="1"/>
  <c r="J426" i="18"/>
  <c r="AC425" i="18"/>
  <c r="U425" i="18"/>
  <c r="T425" i="18"/>
  <c r="J425" i="18"/>
  <c r="U424" i="18"/>
  <c r="AC424" i="18" s="1"/>
  <c r="T424" i="18"/>
  <c r="AB424" i="18" s="1"/>
  <c r="AD424" i="18" s="1"/>
  <c r="J424" i="18"/>
  <c r="U423" i="18"/>
  <c r="AC423" i="18" s="1"/>
  <c r="T423" i="18"/>
  <c r="J423" i="18"/>
  <c r="U422" i="18"/>
  <c r="AC422" i="18" s="1"/>
  <c r="T422" i="18"/>
  <c r="AB422" i="18" s="1"/>
  <c r="J422" i="18"/>
  <c r="U421" i="18"/>
  <c r="AC421" i="18" s="1"/>
  <c r="T421" i="18"/>
  <c r="AB421" i="18" s="1"/>
  <c r="J421" i="18"/>
  <c r="U420" i="18"/>
  <c r="AC420" i="18" s="1"/>
  <c r="T420" i="18"/>
  <c r="AB420" i="18" s="1"/>
  <c r="J420" i="18"/>
  <c r="U419" i="18"/>
  <c r="AC419" i="18" s="1"/>
  <c r="T419" i="18"/>
  <c r="AB419" i="18" s="1"/>
  <c r="J419" i="18"/>
  <c r="U418" i="18"/>
  <c r="AC418" i="18" s="1"/>
  <c r="T418" i="18"/>
  <c r="J418" i="18"/>
  <c r="U417" i="18"/>
  <c r="AC417" i="18" s="1"/>
  <c r="T417" i="18"/>
  <c r="AB417" i="18" s="1"/>
  <c r="U416" i="18"/>
  <c r="T416" i="18"/>
  <c r="AB416" i="18" s="1"/>
  <c r="J416" i="18"/>
  <c r="U415" i="18"/>
  <c r="AC415" i="18" s="1"/>
  <c r="T415" i="18"/>
  <c r="AB415" i="18" s="1"/>
  <c r="J415" i="18"/>
  <c r="U414" i="18"/>
  <c r="AC414" i="18" s="1"/>
  <c r="T414" i="18"/>
  <c r="AB414" i="18" s="1"/>
  <c r="AD414" i="18" s="1"/>
  <c r="J414" i="18"/>
  <c r="U413" i="18"/>
  <c r="AC413" i="18" s="1"/>
  <c r="T413" i="18"/>
  <c r="J413" i="18"/>
  <c r="U412" i="18"/>
  <c r="AC412" i="18" s="1"/>
  <c r="T412" i="18"/>
  <c r="J412" i="18"/>
  <c r="U411" i="18"/>
  <c r="AC411" i="18" s="1"/>
  <c r="T411" i="18"/>
  <c r="J411" i="18"/>
  <c r="U410" i="18"/>
  <c r="AC410" i="18" s="1"/>
  <c r="T410" i="18"/>
  <c r="AB410" i="18" s="1"/>
  <c r="J410" i="18"/>
  <c r="U409" i="18"/>
  <c r="AC409" i="18" s="1"/>
  <c r="T409" i="18"/>
  <c r="AB409" i="18" s="1"/>
  <c r="J409" i="18"/>
  <c r="U408" i="18"/>
  <c r="AC408" i="18" s="1"/>
  <c r="T408" i="18"/>
  <c r="J408" i="18"/>
  <c r="U407" i="18"/>
  <c r="AC407" i="18" s="1"/>
  <c r="T407" i="18"/>
  <c r="J407" i="18"/>
  <c r="U406" i="18"/>
  <c r="AC406" i="18" s="1"/>
  <c r="T406" i="18"/>
  <c r="AB406" i="18" s="1"/>
  <c r="J406" i="18"/>
  <c r="U405" i="18"/>
  <c r="T405" i="18"/>
  <c r="AB405" i="18" s="1"/>
  <c r="J405" i="18"/>
  <c r="U404" i="18"/>
  <c r="AC404" i="18" s="1"/>
  <c r="AD404" i="18" s="1"/>
  <c r="T404" i="18"/>
  <c r="AB404" i="18" s="1"/>
  <c r="J404" i="18"/>
  <c r="U403" i="18"/>
  <c r="AC403" i="18" s="1"/>
  <c r="T403" i="18"/>
  <c r="J403" i="18"/>
  <c r="U402" i="18"/>
  <c r="AC402" i="18" s="1"/>
  <c r="T402" i="18"/>
  <c r="J402" i="18"/>
  <c r="U401" i="18"/>
  <c r="AC401" i="18" s="1"/>
  <c r="T401" i="18"/>
  <c r="AB401" i="18" s="1"/>
  <c r="AD401" i="18" s="1"/>
  <c r="J401" i="18"/>
  <c r="U400" i="18"/>
  <c r="AC400" i="18" s="1"/>
  <c r="T400" i="18"/>
  <c r="J400" i="18"/>
  <c r="U399" i="18"/>
  <c r="T399" i="18"/>
  <c r="AB399" i="18" s="1"/>
  <c r="J399" i="18"/>
  <c r="U398" i="18"/>
  <c r="AC398" i="18" s="1"/>
  <c r="T398" i="18"/>
  <c r="J398" i="18"/>
  <c r="U397" i="18"/>
  <c r="T397" i="18"/>
  <c r="AB397" i="18" s="1"/>
  <c r="J397" i="18"/>
  <c r="U396" i="18"/>
  <c r="T396" i="18"/>
  <c r="AB396" i="18" s="1"/>
  <c r="J396" i="18"/>
  <c r="U395" i="18"/>
  <c r="AC395" i="18" s="1"/>
  <c r="T395" i="18"/>
  <c r="J395" i="18"/>
  <c r="U394" i="18"/>
  <c r="AC394" i="18" s="1"/>
  <c r="T394" i="18"/>
  <c r="J394" i="18"/>
  <c r="U393" i="18"/>
  <c r="AC393" i="18" s="1"/>
  <c r="T393" i="18"/>
  <c r="AB393" i="18" s="1"/>
  <c r="J393" i="18"/>
  <c r="U392" i="18"/>
  <c r="AC392" i="18" s="1"/>
  <c r="T392" i="18"/>
  <c r="AB392" i="18" s="1"/>
  <c r="J392" i="18"/>
  <c r="U391" i="18"/>
  <c r="T391" i="18"/>
  <c r="AB391" i="18" s="1"/>
  <c r="J391" i="18"/>
  <c r="U390" i="18"/>
  <c r="AC390" i="18" s="1"/>
  <c r="T390" i="18"/>
  <c r="AB390" i="18" s="1"/>
  <c r="J390" i="18"/>
  <c r="U389" i="18"/>
  <c r="AC389" i="18" s="1"/>
  <c r="T389" i="18"/>
  <c r="J389" i="18"/>
  <c r="U388" i="18"/>
  <c r="AC388" i="18" s="1"/>
  <c r="T388" i="18"/>
  <c r="AB388" i="18" s="1"/>
  <c r="J388" i="18"/>
  <c r="U387" i="18"/>
  <c r="AC387" i="18" s="1"/>
  <c r="T387" i="18"/>
  <c r="AB387" i="18" s="1"/>
  <c r="J387" i="18"/>
  <c r="U386" i="18"/>
  <c r="AC386" i="18" s="1"/>
  <c r="T386" i="18"/>
  <c r="J386" i="18"/>
  <c r="U385" i="18"/>
  <c r="AC385" i="18" s="1"/>
  <c r="T385" i="18"/>
  <c r="J385" i="18"/>
  <c r="U384" i="18"/>
  <c r="T384" i="18"/>
  <c r="AB384" i="18" s="1"/>
  <c r="J384" i="18"/>
  <c r="U383" i="18"/>
  <c r="AC383" i="18" s="1"/>
  <c r="T383" i="18"/>
  <c r="AB383" i="18" s="1"/>
  <c r="J383" i="18"/>
  <c r="U382" i="18"/>
  <c r="AC382" i="18" s="1"/>
  <c r="T382" i="18"/>
  <c r="J382" i="18"/>
  <c r="U381" i="18"/>
  <c r="AC381" i="18" s="1"/>
  <c r="T381" i="18"/>
  <c r="AB381" i="18" s="1"/>
  <c r="J381" i="18"/>
  <c r="U380" i="18"/>
  <c r="AC380" i="18" s="1"/>
  <c r="T380" i="18"/>
  <c r="AB380" i="18" s="1"/>
  <c r="J380" i="18"/>
  <c r="U379" i="18"/>
  <c r="AC379" i="18" s="1"/>
  <c r="T379" i="18"/>
  <c r="J379" i="18"/>
  <c r="U378" i="18"/>
  <c r="T378" i="18"/>
  <c r="AB378" i="18" s="1"/>
  <c r="J378" i="18"/>
  <c r="U377" i="18"/>
  <c r="AC377" i="18" s="1"/>
  <c r="T377" i="18"/>
  <c r="AB377" i="18" s="1"/>
  <c r="U376" i="18"/>
  <c r="AC376" i="18" s="1"/>
  <c r="T376" i="18"/>
  <c r="AB376" i="18" s="1"/>
  <c r="J376" i="18"/>
  <c r="U375" i="18"/>
  <c r="AC375" i="18" s="1"/>
  <c r="T375" i="18"/>
  <c r="J375" i="18"/>
  <c r="U374" i="18"/>
  <c r="AC374" i="18" s="1"/>
  <c r="T374" i="18"/>
  <c r="AB374" i="18" s="1"/>
  <c r="J374" i="18"/>
  <c r="U373" i="18"/>
  <c r="T373" i="18"/>
  <c r="AB373" i="18" s="1"/>
  <c r="J373" i="18"/>
  <c r="U372" i="18"/>
  <c r="AC372" i="18" s="1"/>
  <c r="T372" i="18"/>
  <c r="J372" i="18"/>
  <c r="U371" i="18"/>
  <c r="AC371" i="18" s="1"/>
  <c r="T371" i="18"/>
  <c r="J371" i="18"/>
  <c r="U370" i="18"/>
  <c r="AC370" i="18" s="1"/>
  <c r="T370" i="18"/>
  <c r="J370" i="18"/>
  <c r="U369" i="18"/>
  <c r="AC369" i="18" s="1"/>
  <c r="T369" i="18"/>
  <c r="AB369" i="18" s="1"/>
  <c r="J369" i="18"/>
  <c r="U368" i="18"/>
  <c r="AC368" i="18" s="1"/>
  <c r="T368" i="18"/>
  <c r="AB368" i="18" s="1"/>
  <c r="J368" i="18"/>
  <c r="U367" i="18"/>
  <c r="V367" i="18" s="1"/>
  <c r="W367" i="18" s="1"/>
  <c r="X367" i="18" s="1"/>
  <c r="Z367" i="18" s="1"/>
  <c r="T367" i="18"/>
  <c r="AB367" i="18" s="1"/>
  <c r="J367" i="18"/>
  <c r="U366" i="18"/>
  <c r="AC366" i="18" s="1"/>
  <c r="T366" i="18"/>
  <c r="AB366" i="18" s="1"/>
  <c r="J366" i="18"/>
  <c r="U365" i="18"/>
  <c r="AC365" i="18" s="1"/>
  <c r="T365" i="18"/>
  <c r="J365" i="18"/>
  <c r="U364" i="18"/>
  <c r="AC364" i="18" s="1"/>
  <c r="T364" i="18"/>
  <c r="AB364" i="18" s="1"/>
  <c r="J364" i="18"/>
  <c r="U363" i="18"/>
  <c r="AC363" i="18" s="1"/>
  <c r="T363" i="18"/>
  <c r="J363" i="18"/>
  <c r="U362" i="18"/>
  <c r="AC362" i="18" s="1"/>
  <c r="T362" i="18"/>
  <c r="J362" i="18"/>
  <c r="U361" i="18"/>
  <c r="T361" i="18"/>
  <c r="AB361" i="18" s="1"/>
  <c r="J361" i="18"/>
  <c r="U360" i="18"/>
  <c r="AC360" i="18" s="1"/>
  <c r="T360" i="18"/>
  <c r="AB360" i="18" s="1"/>
  <c r="J360" i="18"/>
  <c r="U359" i="18"/>
  <c r="AC359" i="18" s="1"/>
  <c r="T359" i="18"/>
  <c r="AB359" i="18" s="1"/>
  <c r="J359" i="18"/>
  <c r="U358" i="18"/>
  <c r="AC358" i="18" s="1"/>
  <c r="T358" i="18"/>
  <c r="AB358" i="18" s="1"/>
  <c r="J358" i="18"/>
  <c r="U357" i="18"/>
  <c r="AC357" i="18" s="1"/>
  <c r="T357" i="18"/>
  <c r="J357" i="18"/>
  <c r="U356" i="18"/>
  <c r="AC356" i="18" s="1"/>
  <c r="T356" i="18"/>
  <c r="AB356" i="18" s="1"/>
  <c r="J356" i="18"/>
  <c r="U355" i="18"/>
  <c r="AC355" i="18" s="1"/>
  <c r="T355" i="18"/>
  <c r="AB355" i="18" s="1"/>
  <c r="J355" i="18"/>
  <c r="U354" i="18"/>
  <c r="AC354" i="18" s="1"/>
  <c r="T354" i="18"/>
  <c r="AB354" i="18" s="1"/>
  <c r="J354" i="18"/>
  <c r="U353" i="18"/>
  <c r="AC353" i="18" s="1"/>
  <c r="T353" i="18"/>
  <c r="K353" i="18"/>
  <c r="J353" i="18"/>
  <c r="U352" i="18"/>
  <c r="AC352" i="18" s="1"/>
  <c r="T352" i="18"/>
  <c r="J352" i="18"/>
  <c r="U351" i="18"/>
  <c r="AC351" i="18" s="1"/>
  <c r="T351" i="18"/>
  <c r="AB351" i="18" s="1"/>
  <c r="AD351" i="18" s="1"/>
  <c r="J351" i="18"/>
  <c r="U350" i="18"/>
  <c r="AC350" i="18" s="1"/>
  <c r="T350" i="18"/>
  <c r="J350" i="18"/>
  <c r="U349" i="18"/>
  <c r="AC349" i="18" s="1"/>
  <c r="T349" i="18"/>
  <c r="AB349" i="18" s="1"/>
  <c r="J349" i="18"/>
  <c r="U348" i="18"/>
  <c r="T348" i="18"/>
  <c r="AB348" i="18" s="1"/>
  <c r="J348" i="18"/>
  <c r="U347" i="18"/>
  <c r="AC347" i="18" s="1"/>
  <c r="T347" i="18"/>
  <c r="AB347" i="18" s="1"/>
  <c r="J347" i="18"/>
  <c r="U346" i="18"/>
  <c r="AC346" i="18" s="1"/>
  <c r="T346" i="18"/>
  <c r="J346" i="18"/>
  <c r="U345" i="18"/>
  <c r="AC345" i="18" s="1"/>
  <c r="T345" i="18"/>
  <c r="AB345" i="18" s="1"/>
  <c r="J345" i="18"/>
  <c r="U344" i="18"/>
  <c r="AC344" i="18" s="1"/>
  <c r="T344" i="18"/>
  <c r="J344" i="18"/>
  <c r="U343" i="18"/>
  <c r="AC343" i="18" s="1"/>
  <c r="T343" i="18"/>
  <c r="AB343" i="18" s="1"/>
  <c r="J343" i="18"/>
  <c r="U342" i="18"/>
  <c r="AC342" i="18" s="1"/>
  <c r="T342" i="18"/>
  <c r="AB342" i="18" s="1"/>
  <c r="J342" i="18"/>
  <c r="U341" i="18"/>
  <c r="AC341" i="18" s="1"/>
  <c r="T341" i="18"/>
  <c r="J341" i="18"/>
  <c r="U340" i="18"/>
  <c r="AC340" i="18" s="1"/>
  <c r="T340" i="18"/>
  <c r="AB340" i="18" s="1"/>
  <c r="J340" i="18"/>
  <c r="U339" i="18"/>
  <c r="AC339" i="18" s="1"/>
  <c r="T339" i="18"/>
  <c r="AB339" i="18" s="1"/>
  <c r="AD339" i="18" s="1"/>
  <c r="J339" i="18"/>
  <c r="U338" i="18"/>
  <c r="AC338" i="18" s="1"/>
  <c r="T338" i="18"/>
  <c r="J338" i="18"/>
  <c r="U337" i="18"/>
  <c r="AC337" i="18" s="1"/>
  <c r="T337" i="18"/>
  <c r="AB337" i="18" s="1"/>
  <c r="J337" i="18"/>
  <c r="U336" i="18"/>
  <c r="T336" i="18"/>
  <c r="AB336" i="18" s="1"/>
  <c r="J336" i="18"/>
  <c r="U335" i="18"/>
  <c r="AC335" i="18" s="1"/>
  <c r="T335" i="18"/>
  <c r="AB335" i="18" s="1"/>
  <c r="J335" i="18"/>
  <c r="U334" i="18"/>
  <c r="AC334" i="18" s="1"/>
  <c r="T334" i="18"/>
  <c r="AB334" i="18" s="1"/>
  <c r="K334" i="18"/>
  <c r="J334" i="18"/>
  <c r="U333" i="18"/>
  <c r="AC333" i="18" s="1"/>
  <c r="T333" i="18"/>
  <c r="AB333" i="18" s="1"/>
  <c r="J333" i="18"/>
  <c r="U332" i="18"/>
  <c r="AC332" i="18" s="1"/>
  <c r="T332" i="18"/>
  <c r="J332" i="18"/>
  <c r="U331" i="18"/>
  <c r="AC331" i="18" s="1"/>
  <c r="T331" i="18"/>
  <c r="AB331" i="18" s="1"/>
  <c r="J331" i="18"/>
  <c r="U330" i="18"/>
  <c r="AC330" i="18" s="1"/>
  <c r="T330" i="18"/>
  <c r="AB330" i="18" s="1"/>
  <c r="J330" i="18"/>
  <c r="U329" i="18"/>
  <c r="T329" i="18"/>
  <c r="AB329" i="18" s="1"/>
  <c r="J329" i="18"/>
  <c r="U328" i="18"/>
  <c r="AC328" i="18" s="1"/>
  <c r="T328" i="18"/>
  <c r="AB328" i="18" s="1"/>
  <c r="J328" i="18"/>
  <c r="U327" i="18"/>
  <c r="AC327" i="18" s="1"/>
  <c r="T327" i="18"/>
  <c r="AB327" i="18" s="1"/>
  <c r="J327" i="18"/>
  <c r="U326" i="18"/>
  <c r="AC326" i="18" s="1"/>
  <c r="T326" i="18"/>
  <c r="AB326" i="18" s="1"/>
  <c r="J326" i="18"/>
  <c r="U325" i="18"/>
  <c r="AC325" i="18" s="1"/>
  <c r="T325" i="18"/>
  <c r="J325" i="18"/>
  <c r="U324" i="18"/>
  <c r="AC324" i="18" s="1"/>
  <c r="T324" i="18"/>
  <c r="AB324" i="18" s="1"/>
  <c r="J324" i="18"/>
  <c r="U323" i="18"/>
  <c r="T323" i="18"/>
  <c r="AB323" i="18" s="1"/>
  <c r="J323" i="18"/>
  <c r="U322" i="18"/>
  <c r="AC322" i="18" s="1"/>
  <c r="T322" i="18"/>
  <c r="AB322" i="18" s="1"/>
  <c r="J322" i="18"/>
  <c r="U321" i="18"/>
  <c r="AC321" i="18" s="1"/>
  <c r="T321" i="18"/>
  <c r="AB321" i="18" s="1"/>
  <c r="J321" i="18"/>
  <c r="U320" i="18"/>
  <c r="AC320" i="18" s="1"/>
  <c r="T320" i="18"/>
  <c r="J320" i="18"/>
  <c r="U319" i="18"/>
  <c r="AC319" i="18" s="1"/>
  <c r="T319" i="18"/>
  <c r="AB319" i="18" s="1"/>
  <c r="J319" i="18"/>
  <c r="U318" i="18"/>
  <c r="AC318" i="18" s="1"/>
  <c r="T318" i="18"/>
  <c r="J318" i="18"/>
  <c r="U317" i="18"/>
  <c r="AC317" i="18" s="1"/>
  <c r="T317" i="18"/>
  <c r="AB317" i="18" s="1"/>
  <c r="J317" i="18"/>
  <c r="U316" i="18"/>
  <c r="AC316" i="18" s="1"/>
  <c r="T316" i="18"/>
  <c r="J316" i="18"/>
  <c r="U315" i="18"/>
  <c r="AC315" i="18" s="1"/>
  <c r="T315" i="18"/>
  <c r="J315" i="18"/>
  <c r="U314" i="18"/>
  <c r="AC314" i="18" s="1"/>
  <c r="T314" i="18"/>
  <c r="J314" i="18"/>
  <c r="U313" i="18"/>
  <c r="AC313" i="18" s="1"/>
  <c r="T313" i="18"/>
  <c r="K313" i="18"/>
  <c r="J313" i="18"/>
  <c r="U312" i="18"/>
  <c r="AC312" i="18" s="1"/>
  <c r="T312" i="18"/>
  <c r="J312" i="18"/>
  <c r="U311" i="18"/>
  <c r="AC311" i="18" s="1"/>
  <c r="T311" i="18"/>
  <c r="J311" i="18"/>
  <c r="U310" i="18"/>
  <c r="T310" i="18"/>
  <c r="AB310" i="18" s="1"/>
  <c r="J310" i="18"/>
  <c r="U309" i="18"/>
  <c r="AC309" i="18" s="1"/>
  <c r="T309" i="18"/>
  <c r="AB309" i="18" s="1"/>
  <c r="J309" i="18"/>
  <c r="U308" i="18"/>
  <c r="AC308" i="18" s="1"/>
  <c r="T308" i="18"/>
  <c r="J308" i="18"/>
  <c r="U307" i="18"/>
  <c r="AC307" i="18" s="1"/>
  <c r="T307" i="18"/>
  <c r="V307" i="18" s="1"/>
  <c r="W307" i="18" s="1"/>
  <c r="X307" i="18" s="1"/>
  <c r="Z307" i="18" s="1"/>
  <c r="J307" i="18"/>
  <c r="U306" i="18"/>
  <c r="AC306" i="18" s="1"/>
  <c r="T306" i="18"/>
  <c r="AB306" i="18" s="1"/>
  <c r="J306" i="18"/>
  <c r="U305" i="18"/>
  <c r="AC305" i="18" s="1"/>
  <c r="T305" i="18"/>
  <c r="J305" i="18"/>
  <c r="U304" i="18"/>
  <c r="AC304" i="18" s="1"/>
  <c r="T304" i="18"/>
  <c r="AB304" i="18" s="1"/>
  <c r="J304" i="18"/>
  <c r="U303" i="18"/>
  <c r="AC303" i="18" s="1"/>
  <c r="T303" i="18"/>
  <c r="J303" i="18"/>
  <c r="U302" i="18"/>
  <c r="AC302" i="18" s="1"/>
  <c r="T302" i="18"/>
  <c r="J302" i="18"/>
  <c r="U301" i="18"/>
  <c r="AC301" i="18" s="1"/>
  <c r="T301" i="18"/>
  <c r="AB301" i="18" s="1"/>
  <c r="J301" i="18"/>
  <c r="U300" i="18"/>
  <c r="AC300" i="18" s="1"/>
  <c r="T300" i="18"/>
  <c r="J300" i="18"/>
  <c r="U299" i="18"/>
  <c r="AC299" i="18" s="1"/>
  <c r="T299" i="18"/>
  <c r="AB299" i="18" s="1"/>
  <c r="AD299" i="18" s="1"/>
  <c r="J299" i="18"/>
  <c r="U298" i="18"/>
  <c r="T298" i="18"/>
  <c r="AB298" i="18" s="1"/>
  <c r="J298" i="18"/>
  <c r="U297" i="18"/>
  <c r="AC297" i="18" s="1"/>
  <c r="T297" i="18"/>
  <c r="AB297" i="18" s="1"/>
  <c r="J297" i="18"/>
  <c r="U296" i="18"/>
  <c r="AC296" i="18" s="1"/>
  <c r="T296" i="18"/>
  <c r="J296" i="18"/>
  <c r="U295" i="18"/>
  <c r="AC295" i="18" s="1"/>
  <c r="T295" i="18"/>
  <c r="J295" i="18"/>
  <c r="U294" i="18"/>
  <c r="AC294" i="18" s="1"/>
  <c r="T294" i="18"/>
  <c r="K294" i="18"/>
  <c r="J294" i="18"/>
  <c r="U293" i="18"/>
  <c r="AC293" i="18" s="1"/>
  <c r="T293" i="18"/>
  <c r="AB293" i="18" s="1"/>
  <c r="J293" i="18"/>
  <c r="U292" i="18"/>
  <c r="T292" i="18"/>
  <c r="AB292" i="18" s="1"/>
  <c r="J292" i="18"/>
  <c r="U291" i="18"/>
  <c r="T291" i="18"/>
  <c r="AB291" i="18" s="1"/>
  <c r="J291" i="18"/>
  <c r="U290" i="18"/>
  <c r="AC290" i="18" s="1"/>
  <c r="T290" i="18"/>
  <c r="AB290" i="18" s="1"/>
  <c r="J290" i="18"/>
  <c r="U289" i="18"/>
  <c r="T289" i="18"/>
  <c r="AB289" i="18" s="1"/>
  <c r="J289" i="18"/>
  <c r="U288" i="18"/>
  <c r="AC288" i="18" s="1"/>
  <c r="T288" i="18"/>
  <c r="AB288" i="18" s="1"/>
  <c r="J288" i="18"/>
  <c r="U287" i="18"/>
  <c r="AC287" i="18" s="1"/>
  <c r="T287" i="18"/>
  <c r="J287" i="18"/>
  <c r="U286" i="18"/>
  <c r="AC286" i="18" s="1"/>
  <c r="T286" i="18"/>
  <c r="AB286" i="18" s="1"/>
  <c r="J286" i="18"/>
  <c r="U285" i="18"/>
  <c r="AC285" i="18" s="1"/>
  <c r="T285" i="18"/>
  <c r="AB285" i="18" s="1"/>
  <c r="AD285" i="18" s="1"/>
  <c r="J285" i="18"/>
  <c r="U284" i="18"/>
  <c r="AC284" i="18" s="1"/>
  <c r="T284" i="18"/>
  <c r="J284" i="18"/>
  <c r="U283" i="18"/>
  <c r="AC283" i="18" s="1"/>
  <c r="T283" i="18"/>
  <c r="AB283" i="18" s="1"/>
  <c r="J283" i="18"/>
  <c r="U282" i="18"/>
  <c r="T282" i="18"/>
  <c r="AB282" i="18" s="1"/>
  <c r="J282" i="18"/>
  <c r="U281" i="18"/>
  <c r="AC281" i="18" s="1"/>
  <c r="T281" i="18"/>
  <c r="AB281" i="18" s="1"/>
  <c r="J281" i="18"/>
  <c r="U280" i="18"/>
  <c r="AC280" i="18" s="1"/>
  <c r="T280" i="18"/>
  <c r="J280" i="18"/>
  <c r="U279" i="18"/>
  <c r="AC279" i="18" s="1"/>
  <c r="T279" i="18"/>
  <c r="J279" i="18"/>
  <c r="U278" i="18"/>
  <c r="AC278" i="18" s="1"/>
  <c r="T278" i="18"/>
  <c r="AB278" i="18" s="1"/>
  <c r="J278" i="18"/>
  <c r="U277" i="18"/>
  <c r="AC277" i="18" s="1"/>
  <c r="T277" i="18"/>
  <c r="AB277" i="18" s="1"/>
  <c r="J277" i="18"/>
  <c r="U276" i="18"/>
  <c r="AC276" i="18" s="1"/>
  <c r="T276" i="18"/>
  <c r="AB276" i="18" s="1"/>
  <c r="J276" i="18"/>
  <c r="U275" i="18"/>
  <c r="AC275" i="18" s="1"/>
  <c r="T275" i="18"/>
  <c r="J275" i="18"/>
  <c r="U274" i="18"/>
  <c r="AC274" i="18" s="1"/>
  <c r="T274" i="18"/>
  <c r="J274" i="18"/>
  <c r="U273" i="18"/>
  <c r="AC273" i="18" s="1"/>
  <c r="T273" i="18"/>
  <c r="J273" i="18"/>
  <c r="U272" i="18"/>
  <c r="T272" i="18"/>
  <c r="AB272" i="18" s="1"/>
  <c r="J272" i="18"/>
  <c r="U271" i="18"/>
  <c r="AC271" i="18" s="1"/>
  <c r="T271" i="18"/>
  <c r="AB271" i="18" s="1"/>
  <c r="J271" i="18"/>
  <c r="U270" i="18"/>
  <c r="T270" i="18"/>
  <c r="AB270" i="18" s="1"/>
  <c r="J270" i="18"/>
  <c r="U269" i="18"/>
  <c r="AC269" i="18" s="1"/>
  <c r="T269" i="18"/>
  <c r="AB269" i="18" s="1"/>
  <c r="J269" i="18"/>
  <c r="U268" i="18"/>
  <c r="AC268" i="18" s="1"/>
  <c r="T268" i="18"/>
  <c r="J268" i="18"/>
  <c r="U267" i="18"/>
  <c r="AC267" i="18" s="1"/>
  <c r="T267" i="18"/>
  <c r="J267" i="18"/>
  <c r="U266" i="18"/>
  <c r="AC266" i="18" s="1"/>
  <c r="T266" i="18"/>
  <c r="AB266" i="18" s="1"/>
  <c r="J266" i="18"/>
  <c r="U265" i="18"/>
  <c r="AC265" i="18" s="1"/>
  <c r="T265" i="18"/>
  <c r="J265" i="18"/>
  <c r="U264" i="18"/>
  <c r="V264" i="18" s="1"/>
  <c r="W264" i="18" s="1"/>
  <c r="X264" i="18" s="1"/>
  <c r="Z264" i="18" s="1"/>
  <c r="T264" i="18"/>
  <c r="AB264" i="18" s="1"/>
  <c r="J264" i="18"/>
  <c r="U263" i="18"/>
  <c r="T263" i="18"/>
  <c r="AB263" i="18" s="1"/>
  <c r="J263" i="18"/>
  <c r="U262" i="18"/>
  <c r="AC262" i="18" s="1"/>
  <c r="T262" i="18"/>
  <c r="AB262" i="18" s="1"/>
  <c r="J262" i="18"/>
  <c r="U261" i="18"/>
  <c r="AC261" i="18" s="1"/>
  <c r="T261" i="18"/>
  <c r="AB261" i="18" s="1"/>
  <c r="J261" i="18"/>
  <c r="U260" i="18"/>
  <c r="T260" i="18"/>
  <c r="AB260" i="18" s="1"/>
  <c r="J260" i="18"/>
  <c r="U259" i="18"/>
  <c r="AC259" i="18" s="1"/>
  <c r="T259" i="18"/>
  <c r="AB259" i="18" s="1"/>
  <c r="J259" i="18"/>
  <c r="U258" i="18"/>
  <c r="T258" i="18"/>
  <c r="AB258" i="18" s="1"/>
  <c r="J258" i="18"/>
  <c r="U257" i="18"/>
  <c r="AC257" i="18" s="1"/>
  <c r="T257" i="18"/>
  <c r="J257" i="18"/>
  <c r="U256" i="18"/>
  <c r="AC256" i="18" s="1"/>
  <c r="T256" i="18"/>
  <c r="J256" i="18"/>
  <c r="U255" i="18"/>
  <c r="AC255" i="18" s="1"/>
  <c r="T255" i="18"/>
  <c r="J255" i="18"/>
  <c r="U254" i="18"/>
  <c r="AC254" i="18" s="1"/>
  <c r="T254" i="18"/>
  <c r="AB254" i="18" s="1"/>
  <c r="J254" i="18"/>
  <c r="U253" i="18"/>
  <c r="AC253" i="18" s="1"/>
  <c r="T253" i="18"/>
  <c r="AB253" i="18" s="1"/>
  <c r="J253" i="18"/>
  <c r="U252" i="18"/>
  <c r="T252" i="18"/>
  <c r="AB252" i="18" s="1"/>
  <c r="J252" i="18"/>
  <c r="U251" i="18"/>
  <c r="AC251" i="18" s="1"/>
  <c r="T251" i="18"/>
  <c r="J251" i="18"/>
  <c r="U250" i="18"/>
  <c r="AC250" i="18" s="1"/>
  <c r="T250" i="18"/>
  <c r="AB250" i="18" s="1"/>
  <c r="J250" i="18"/>
  <c r="U249" i="18"/>
  <c r="AC249" i="18" s="1"/>
  <c r="T249" i="18"/>
  <c r="AB249" i="18" s="1"/>
  <c r="J249" i="18"/>
  <c r="U248" i="18"/>
  <c r="AC248" i="18" s="1"/>
  <c r="T248" i="18"/>
  <c r="J248" i="18"/>
  <c r="U247" i="18"/>
  <c r="AC247" i="18" s="1"/>
  <c r="T247" i="18"/>
  <c r="J247" i="18"/>
  <c r="U246" i="18"/>
  <c r="T246" i="18"/>
  <c r="AB246" i="18" s="1"/>
  <c r="J246" i="18"/>
  <c r="U245" i="18"/>
  <c r="AC245" i="18" s="1"/>
  <c r="T245" i="18"/>
  <c r="AB245" i="18" s="1"/>
  <c r="J245" i="18"/>
  <c r="U244" i="18"/>
  <c r="AC244" i="18" s="1"/>
  <c r="T244" i="18"/>
  <c r="J244" i="18"/>
  <c r="U243" i="18"/>
  <c r="AC243" i="18" s="1"/>
  <c r="T243" i="18"/>
  <c r="AB243" i="18" s="1"/>
  <c r="J243" i="18"/>
  <c r="U242" i="18"/>
  <c r="AC242" i="18" s="1"/>
  <c r="T242" i="18"/>
  <c r="AB242" i="18" s="1"/>
  <c r="U241" i="18"/>
  <c r="AC241" i="18" s="1"/>
  <c r="T241" i="18"/>
  <c r="AB241" i="18" s="1"/>
  <c r="J241" i="18"/>
  <c r="U240" i="18"/>
  <c r="T240" i="18"/>
  <c r="AB240" i="18" s="1"/>
  <c r="J240" i="18"/>
  <c r="U239" i="18"/>
  <c r="AC239" i="18" s="1"/>
  <c r="T239" i="18"/>
  <c r="AB239" i="18" s="1"/>
  <c r="J239" i="18"/>
  <c r="U238" i="18"/>
  <c r="AC238" i="18" s="1"/>
  <c r="T238" i="18"/>
  <c r="AB238" i="18" s="1"/>
  <c r="J238" i="18"/>
  <c r="U237" i="18"/>
  <c r="AC237" i="18" s="1"/>
  <c r="T237" i="18"/>
  <c r="J237" i="18"/>
  <c r="U236" i="18"/>
  <c r="AC236" i="18" s="1"/>
  <c r="T236" i="18"/>
  <c r="AB236" i="18" s="1"/>
  <c r="J236" i="18"/>
  <c r="U235" i="18"/>
  <c r="AC235" i="18" s="1"/>
  <c r="T235" i="18"/>
  <c r="AB235" i="18" s="1"/>
  <c r="AD235" i="18" s="1"/>
  <c r="J235" i="18"/>
  <c r="U234" i="18"/>
  <c r="AC234" i="18" s="1"/>
  <c r="T234" i="18"/>
  <c r="J234" i="18"/>
  <c r="U233" i="18"/>
  <c r="AC233" i="18" s="1"/>
  <c r="T233" i="18"/>
  <c r="J233" i="18"/>
  <c r="U232" i="18"/>
  <c r="AC232" i="18" s="1"/>
  <c r="T232" i="18"/>
  <c r="J232" i="18"/>
  <c r="U231" i="18"/>
  <c r="AC231" i="18" s="1"/>
  <c r="T231" i="18"/>
  <c r="J231" i="18"/>
  <c r="U230" i="18"/>
  <c r="AC230" i="18" s="1"/>
  <c r="T230" i="18"/>
  <c r="AB230" i="18" s="1"/>
  <c r="J230" i="18"/>
  <c r="U229" i="18"/>
  <c r="AC229" i="18" s="1"/>
  <c r="T229" i="18"/>
  <c r="AB229" i="18" s="1"/>
  <c r="J229" i="18"/>
  <c r="U228" i="18"/>
  <c r="AC228" i="18" s="1"/>
  <c r="T228" i="18"/>
  <c r="AB228" i="18" s="1"/>
  <c r="J228" i="18"/>
  <c r="U227" i="18"/>
  <c r="AC227" i="18" s="1"/>
  <c r="T227" i="18"/>
  <c r="AB227" i="18" s="1"/>
  <c r="AD227" i="18" s="1"/>
  <c r="J227" i="18"/>
  <c r="U226" i="18"/>
  <c r="AC226" i="18" s="1"/>
  <c r="T226" i="18"/>
  <c r="AB226" i="18" s="1"/>
  <c r="J226" i="18"/>
  <c r="U225" i="18"/>
  <c r="AC225" i="18" s="1"/>
  <c r="T225" i="18"/>
  <c r="AB225" i="18" s="1"/>
  <c r="J225" i="18"/>
  <c r="U224" i="18"/>
  <c r="AC224" i="18" s="1"/>
  <c r="T224" i="18"/>
  <c r="AB224" i="18" s="1"/>
  <c r="J224" i="18"/>
  <c r="U223" i="18"/>
  <c r="AC223" i="18" s="1"/>
  <c r="T223" i="18"/>
  <c r="V223" i="18" s="1"/>
  <c r="W223" i="18" s="1"/>
  <c r="X223" i="18" s="1"/>
  <c r="Z223" i="18" s="1"/>
  <c r="J223" i="18"/>
  <c r="U222" i="18"/>
  <c r="AC222" i="18" s="1"/>
  <c r="T222" i="18"/>
  <c r="J222" i="18"/>
  <c r="U221" i="18"/>
  <c r="AC221" i="18" s="1"/>
  <c r="T221" i="18"/>
  <c r="J221" i="18"/>
  <c r="U220" i="18"/>
  <c r="AC220" i="18" s="1"/>
  <c r="T220" i="18"/>
  <c r="AB220" i="18" s="1"/>
  <c r="J220" i="18"/>
  <c r="U219" i="18"/>
  <c r="AC219" i="18" s="1"/>
  <c r="T219" i="18"/>
  <c r="J219" i="18"/>
  <c r="U218" i="18"/>
  <c r="T218" i="18"/>
  <c r="AB218" i="18" s="1"/>
  <c r="J218" i="18"/>
  <c r="U217" i="18"/>
  <c r="AC217" i="18" s="1"/>
  <c r="T217" i="18"/>
  <c r="J217" i="18"/>
  <c r="U216" i="18"/>
  <c r="AC216" i="18" s="1"/>
  <c r="T216" i="18"/>
  <c r="AB216" i="18" s="1"/>
  <c r="AD216" i="18" s="1"/>
  <c r="J216" i="18"/>
  <c r="U215" i="18"/>
  <c r="AC215" i="18" s="1"/>
  <c r="T215" i="18"/>
  <c r="AB215" i="18" s="1"/>
  <c r="AD215" i="18" s="1"/>
  <c r="J215" i="18"/>
  <c r="U214" i="18"/>
  <c r="AC214" i="18" s="1"/>
  <c r="T214" i="18"/>
  <c r="J214" i="18"/>
  <c r="U213" i="18"/>
  <c r="AC213" i="18" s="1"/>
  <c r="T213" i="18"/>
  <c r="AB213" i="18" s="1"/>
  <c r="J213" i="18"/>
  <c r="U212" i="18"/>
  <c r="AC212" i="18" s="1"/>
  <c r="T212" i="18"/>
  <c r="AB212" i="18" s="1"/>
  <c r="J212" i="18"/>
  <c r="U211" i="18"/>
  <c r="AC211" i="18" s="1"/>
  <c r="T211" i="18"/>
  <c r="AB211" i="18" s="1"/>
  <c r="J211" i="18"/>
  <c r="U210" i="18"/>
  <c r="AC210" i="18" s="1"/>
  <c r="T210" i="18"/>
  <c r="J210" i="18"/>
  <c r="U209" i="18"/>
  <c r="AC209" i="18" s="1"/>
  <c r="T209" i="18"/>
  <c r="AB209" i="18" s="1"/>
  <c r="J209" i="18"/>
  <c r="U208" i="18"/>
  <c r="AC208" i="18" s="1"/>
  <c r="T208" i="18"/>
  <c r="J208" i="18"/>
  <c r="U207" i="18"/>
  <c r="AC207" i="18" s="1"/>
  <c r="T207" i="18"/>
  <c r="V207" i="18" s="1"/>
  <c r="W207" i="18" s="1"/>
  <c r="X207" i="18" s="1"/>
  <c r="Z207" i="18" s="1"/>
  <c r="J207" i="18"/>
  <c r="U206" i="18"/>
  <c r="AC206" i="18" s="1"/>
  <c r="T206" i="18"/>
  <c r="AB206" i="18" s="1"/>
  <c r="J206" i="18"/>
  <c r="AC205" i="18"/>
  <c r="U205" i="18"/>
  <c r="T205" i="18"/>
  <c r="AB205" i="18" s="1"/>
  <c r="J205" i="18"/>
  <c r="U204" i="18"/>
  <c r="T204" i="18"/>
  <c r="AB204" i="18" s="1"/>
  <c r="J204" i="18"/>
  <c r="U203" i="18"/>
  <c r="AC203" i="18" s="1"/>
  <c r="T203" i="18"/>
  <c r="AB203" i="18" s="1"/>
  <c r="J203" i="18"/>
  <c r="U202" i="18"/>
  <c r="AC202" i="18" s="1"/>
  <c r="T202" i="18"/>
  <c r="AB202" i="18" s="1"/>
  <c r="U201" i="18"/>
  <c r="AC201" i="18" s="1"/>
  <c r="T201" i="18"/>
  <c r="AB201" i="18" s="1"/>
  <c r="J201" i="18"/>
  <c r="U200" i="18"/>
  <c r="AC200" i="18" s="1"/>
  <c r="T200" i="18"/>
  <c r="J200" i="18"/>
  <c r="U199" i="18"/>
  <c r="AC199" i="18" s="1"/>
  <c r="T199" i="18"/>
  <c r="AB199" i="18" s="1"/>
  <c r="J199" i="18"/>
  <c r="U198" i="18"/>
  <c r="AC198" i="18" s="1"/>
  <c r="T198" i="18"/>
  <c r="AB198" i="18" s="1"/>
  <c r="J198" i="18"/>
  <c r="U197" i="18"/>
  <c r="AC197" i="18" s="1"/>
  <c r="T197" i="18"/>
  <c r="J197" i="18"/>
  <c r="U196" i="18"/>
  <c r="AC196" i="18" s="1"/>
  <c r="T196" i="18"/>
  <c r="J196" i="18"/>
  <c r="U195" i="18"/>
  <c r="T195" i="18"/>
  <c r="AB195" i="18" s="1"/>
  <c r="J195" i="18"/>
  <c r="U194" i="18"/>
  <c r="AC194" i="18" s="1"/>
  <c r="T194" i="18"/>
  <c r="V194" i="18" s="1"/>
  <c r="W194" i="18" s="1"/>
  <c r="X194" i="18" s="1"/>
  <c r="Z194" i="18" s="1"/>
  <c r="J194" i="18"/>
  <c r="U193" i="18"/>
  <c r="V193" i="18" s="1"/>
  <c r="W193" i="18" s="1"/>
  <c r="X193" i="18" s="1"/>
  <c r="Z193" i="18" s="1"/>
  <c r="T193" i="18"/>
  <c r="AB193" i="18" s="1"/>
  <c r="J193" i="18"/>
  <c r="U192" i="18"/>
  <c r="AC192" i="18" s="1"/>
  <c r="T192" i="18"/>
  <c r="AB192" i="18" s="1"/>
  <c r="J192" i="18"/>
  <c r="U191" i="18"/>
  <c r="AC191" i="18" s="1"/>
  <c r="T191" i="18"/>
  <c r="AB191" i="18" s="1"/>
  <c r="J191" i="18"/>
  <c r="U190" i="18"/>
  <c r="AC190" i="18" s="1"/>
  <c r="T190" i="18"/>
  <c r="AB190" i="18" s="1"/>
  <c r="J190" i="18"/>
  <c r="U189" i="18"/>
  <c r="AC189" i="18" s="1"/>
  <c r="T189" i="18"/>
  <c r="J189" i="18"/>
  <c r="U188" i="18"/>
  <c r="AC188" i="18" s="1"/>
  <c r="T188" i="18"/>
  <c r="J188" i="18"/>
  <c r="U187" i="18"/>
  <c r="AC187" i="18" s="1"/>
  <c r="T187" i="18"/>
  <c r="AB187" i="18" s="1"/>
  <c r="J187" i="18"/>
  <c r="U186" i="18"/>
  <c r="AC186" i="18" s="1"/>
  <c r="T186" i="18"/>
  <c r="AB186" i="18" s="1"/>
  <c r="J186" i="18"/>
  <c r="U185" i="18"/>
  <c r="AC185" i="18" s="1"/>
  <c r="T185" i="18"/>
  <c r="J185" i="18"/>
  <c r="U184" i="18"/>
  <c r="AC184" i="18" s="1"/>
  <c r="T184" i="18"/>
  <c r="AB184" i="18" s="1"/>
  <c r="J184" i="18"/>
  <c r="U183" i="18"/>
  <c r="T183" i="18"/>
  <c r="AB183" i="18" s="1"/>
  <c r="J183" i="18"/>
  <c r="U182" i="18"/>
  <c r="AC182" i="18" s="1"/>
  <c r="T182" i="18"/>
  <c r="J182" i="18"/>
  <c r="U181" i="18"/>
  <c r="T181" i="18"/>
  <c r="AB181" i="18" s="1"/>
  <c r="J181" i="18"/>
  <c r="U180" i="18"/>
  <c r="AC180" i="18" s="1"/>
  <c r="T180" i="18"/>
  <c r="AB180" i="18" s="1"/>
  <c r="J180" i="18"/>
  <c r="U179" i="18"/>
  <c r="AC179" i="18" s="1"/>
  <c r="T179" i="18"/>
  <c r="AB179" i="18" s="1"/>
  <c r="J179" i="18"/>
  <c r="U178" i="18"/>
  <c r="AC178" i="18" s="1"/>
  <c r="T178" i="18"/>
  <c r="AB178" i="18" s="1"/>
  <c r="K178" i="18"/>
  <c r="J178" i="18"/>
  <c r="U177" i="18"/>
  <c r="AC177" i="18" s="1"/>
  <c r="T177" i="18"/>
  <c r="AB177" i="18" s="1"/>
  <c r="J177" i="18"/>
  <c r="U176" i="18"/>
  <c r="AC176" i="18" s="1"/>
  <c r="T176" i="18"/>
  <c r="AB176" i="18" s="1"/>
  <c r="J176" i="18"/>
  <c r="U175" i="18"/>
  <c r="AC175" i="18" s="1"/>
  <c r="T175" i="18"/>
  <c r="AB175" i="18" s="1"/>
  <c r="J175" i="18"/>
  <c r="U174" i="18"/>
  <c r="AC174" i="18" s="1"/>
  <c r="T174" i="18"/>
  <c r="AB174" i="18" s="1"/>
  <c r="J174" i="18"/>
  <c r="U173" i="18"/>
  <c r="AC173" i="18" s="1"/>
  <c r="T173" i="18"/>
  <c r="AB173" i="18" s="1"/>
  <c r="J173" i="18"/>
  <c r="U172" i="18"/>
  <c r="AC172" i="18" s="1"/>
  <c r="T172" i="18"/>
  <c r="J172" i="18"/>
  <c r="U171" i="18"/>
  <c r="AC171" i="18" s="1"/>
  <c r="T171" i="18"/>
  <c r="AB171" i="18" s="1"/>
  <c r="AD171" i="18" s="1"/>
  <c r="J171" i="18"/>
  <c r="U170" i="18"/>
  <c r="AC170" i="18" s="1"/>
  <c r="T170" i="18"/>
  <c r="AB170" i="18" s="1"/>
  <c r="J170" i="18"/>
  <c r="U169" i="18"/>
  <c r="AC169" i="18" s="1"/>
  <c r="T169" i="18"/>
  <c r="AB169" i="18" s="1"/>
  <c r="J169" i="18"/>
  <c r="U168" i="18"/>
  <c r="T168" i="18"/>
  <c r="AB168" i="18" s="1"/>
  <c r="J168" i="18"/>
  <c r="U167" i="18"/>
  <c r="AC167" i="18" s="1"/>
  <c r="T167" i="18"/>
  <c r="AB167" i="18" s="1"/>
  <c r="J167" i="18"/>
  <c r="U166" i="18"/>
  <c r="AC166" i="18" s="1"/>
  <c r="T166" i="18"/>
  <c r="J166" i="18"/>
  <c r="U165" i="18"/>
  <c r="AC165" i="18" s="1"/>
  <c r="T165" i="18"/>
  <c r="AB165" i="18" s="1"/>
  <c r="J165" i="18"/>
  <c r="U164" i="18"/>
  <c r="AC164" i="18" s="1"/>
  <c r="T164" i="18"/>
  <c r="AB164" i="18" s="1"/>
  <c r="J164" i="18"/>
  <c r="U163" i="18"/>
  <c r="AC163" i="18" s="1"/>
  <c r="T163" i="18"/>
  <c r="AB163" i="18" s="1"/>
  <c r="J163" i="18"/>
  <c r="U162" i="18"/>
  <c r="AC162" i="18" s="1"/>
  <c r="T162" i="18"/>
  <c r="AB162" i="18" s="1"/>
  <c r="J162" i="18"/>
  <c r="U161" i="18"/>
  <c r="AC161" i="18" s="1"/>
  <c r="T161" i="18"/>
  <c r="AB161" i="18" s="1"/>
  <c r="J161" i="18"/>
  <c r="U160" i="18"/>
  <c r="AC160" i="18" s="1"/>
  <c r="T160" i="18"/>
  <c r="J160" i="18"/>
  <c r="U159" i="18"/>
  <c r="AC159" i="18" s="1"/>
  <c r="T159" i="18"/>
  <c r="AB159" i="18" s="1"/>
  <c r="J159" i="18"/>
  <c r="U158" i="18"/>
  <c r="T158" i="18"/>
  <c r="AB158" i="18" s="1"/>
  <c r="J158" i="18"/>
  <c r="U157" i="18"/>
  <c r="AC157" i="18" s="1"/>
  <c r="T157" i="18"/>
  <c r="AB157" i="18" s="1"/>
  <c r="J157" i="18"/>
  <c r="U156" i="18"/>
  <c r="T156" i="18"/>
  <c r="AB156" i="18" s="1"/>
  <c r="J156" i="18"/>
  <c r="U155" i="18"/>
  <c r="AC155" i="18" s="1"/>
  <c r="T155" i="18"/>
  <c r="AB155" i="18" s="1"/>
  <c r="J155" i="18"/>
  <c r="U154" i="18"/>
  <c r="AC154" i="18" s="1"/>
  <c r="T154" i="18"/>
  <c r="AB154" i="18" s="1"/>
  <c r="J154" i="18"/>
  <c r="U153" i="18"/>
  <c r="AC153" i="18" s="1"/>
  <c r="T153" i="18"/>
  <c r="AB153" i="18" s="1"/>
  <c r="J153" i="18"/>
  <c r="U152" i="18"/>
  <c r="T152" i="18"/>
  <c r="AB152" i="18" s="1"/>
  <c r="J152" i="18"/>
  <c r="U151" i="18"/>
  <c r="AC151" i="18" s="1"/>
  <c r="T151" i="18"/>
  <c r="J151" i="18"/>
  <c r="U150" i="18"/>
  <c r="AC150" i="18" s="1"/>
  <c r="T150" i="18"/>
  <c r="AB150" i="18" s="1"/>
  <c r="J150" i="18"/>
  <c r="U149" i="18"/>
  <c r="AC149" i="18" s="1"/>
  <c r="T149" i="18"/>
  <c r="V149" i="18" s="1"/>
  <c r="W149" i="18" s="1"/>
  <c r="X149" i="18" s="1"/>
  <c r="Z149" i="18" s="1"/>
  <c r="J149" i="18"/>
  <c r="U148" i="18"/>
  <c r="AC148" i="18" s="1"/>
  <c r="T148" i="18"/>
  <c r="J148" i="18"/>
  <c r="U147" i="18"/>
  <c r="AC147" i="18" s="1"/>
  <c r="T147" i="18"/>
  <c r="AB147" i="18" s="1"/>
  <c r="J147" i="18"/>
  <c r="U146" i="18"/>
  <c r="T146" i="18"/>
  <c r="AB146" i="18" s="1"/>
  <c r="J146" i="18"/>
  <c r="U145" i="18"/>
  <c r="AC145" i="18" s="1"/>
  <c r="T145" i="18"/>
  <c r="J145" i="18"/>
  <c r="U144" i="18"/>
  <c r="T144" i="18"/>
  <c r="AB144" i="18" s="1"/>
  <c r="J144" i="18"/>
  <c r="U143" i="18"/>
  <c r="AC143" i="18" s="1"/>
  <c r="T143" i="18"/>
  <c r="AB143" i="18" s="1"/>
  <c r="AD143" i="18" s="1"/>
  <c r="J143" i="18"/>
  <c r="U142" i="18"/>
  <c r="AC142" i="18" s="1"/>
  <c r="T142" i="18"/>
  <c r="J142" i="18"/>
  <c r="U141" i="18"/>
  <c r="AC141" i="18" s="1"/>
  <c r="T141" i="18"/>
  <c r="V141" i="18" s="1"/>
  <c r="W141" i="18" s="1"/>
  <c r="X141" i="18" s="1"/>
  <c r="Z141" i="18" s="1"/>
  <c r="J141" i="18"/>
  <c r="U140" i="18"/>
  <c r="T140" i="18"/>
  <c r="AB140" i="18" s="1"/>
  <c r="J140" i="18"/>
  <c r="U139" i="18"/>
  <c r="AC139" i="18" s="1"/>
  <c r="T139" i="18"/>
  <c r="AB139" i="18" s="1"/>
  <c r="J139" i="18"/>
  <c r="U138" i="18"/>
  <c r="AC138" i="18" s="1"/>
  <c r="T138" i="18"/>
  <c r="AB138" i="18" s="1"/>
  <c r="J138" i="18"/>
  <c r="U137" i="18"/>
  <c r="AC137" i="18" s="1"/>
  <c r="T137" i="18"/>
  <c r="AB137" i="18" s="1"/>
  <c r="AD137" i="18" s="1"/>
  <c r="J137" i="18"/>
  <c r="U136" i="18"/>
  <c r="AC136" i="18" s="1"/>
  <c r="T136" i="18"/>
  <c r="J136" i="18"/>
  <c r="U135" i="18"/>
  <c r="AC135" i="18" s="1"/>
  <c r="T135" i="18"/>
  <c r="AB135" i="18" s="1"/>
  <c r="J135" i="18"/>
  <c r="U134" i="18"/>
  <c r="T134" i="18"/>
  <c r="AB134" i="18" s="1"/>
  <c r="J134" i="18"/>
  <c r="U133" i="18"/>
  <c r="AC133" i="18" s="1"/>
  <c r="T133" i="18"/>
  <c r="AB133" i="18" s="1"/>
  <c r="J133" i="18"/>
  <c r="U132" i="18"/>
  <c r="AC132" i="18" s="1"/>
  <c r="T132" i="18"/>
  <c r="AB132" i="18" s="1"/>
  <c r="J132" i="18"/>
  <c r="U131" i="18"/>
  <c r="AC131" i="18" s="1"/>
  <c r="T131" i="18"/>
  <c r="AB131" i="18" s="1"/>
  <c r="J131" i="18"/>
  <c r="U130" i="18"/>
  <c r="AC130" i="18" s="1"/>
  <c r="T130" i="18"/>
  <c r="J130" i="18"/>
  <c r="U129" i="18"/>
  <c r="AC129" i="18" s="1"/>
  <c r="T129" i="18"/>
  <c r="AB129" i="18" s="1"/>
  <c r="J129" i="18"/>
  <c r="U128" i="18"/>
  <c r="AC128" i="18" s="1"/>
  <c r="T128" i="18"/>
  <c r="J128" i="18"/>
  <c r="U127" i="18"/>
  <c r="AC127" i="18" s="1"/>
  <c r="T127" i="18"/>
  <c r="AB127" i="18" s="1"/>
  <c r="AD127" i="18" s="1"/>
  <c r="J127" i="18"/>
  <c r="U126" i="18"/>
  <c r="AC126" i="18" s="1"/>
  <c r="T126" i="18"/>
  <c r="AB126" i="18" s="1"/>
  <c r="J126" i="18"/>
  <c r="U125" i="18"/>
  <c r="AC125" i="18" s="1"/>
  <c r="T125" i="18"/>
  <c r="J125" i="18"/>
  <c r="U124" i="18"/>
  <c r="AC124" i="18" s="1"/>
  <c r="T124" i="18"/>
  <c r="U123" i="18"/>
  <c r="T123" i="18"/>
  <c r="AB123" i="18" s="1"/>
  <c r="J123" i="18"/>
  <c r="U122" i="18"/>
  <c r="AC122" i="18" s="1"/>
  <c r="T122" i="18"/>
  <c r="AB122" i="18" s="1"/>
  <c r="J122" i="18"/>
  <c r="U121" i="18"/>
  <c r="T121" i="18"/>
  <c r="AB121" i="18" s="1"/>
  <c r="J121" i="18"/>
  <c r="U120" i="18"/>
  <c r="AC120" i="18" s="1"/>
  <c r="T120" i="18"/>
  <c r="AB120" i="18" s="1"/>
  <c r="J120" i="18"/>
  <c r="U119" i="18"/>
  <c r="AC119" i="18" s="1"/>
  <c r="T119" i="18"/>
  <c r="AB119" i="18" s="1"/>
  <c r="J119" i="18"/>
  <c r="U118" i="18"/>
  <c r="AC118" i="18" s="1"/>
  <c r="T118" i="18"/>
  <c r="J118" i="18"/>
  <c r="U117" i="18"/>
  <c r="T117" i="18"/>
  <c r="AB117" i="18" s="1"/>
  <c r="J117" i="18"/>
  <c r="U116" i="18"/>
  <c r="AC116" i="18" s="1"/>
  <c r="T116" i="18"/>
  <c r="AB116" i="18" s="1"/>
  <c r="J116" i="18"/>
  <c r="U115" i="18"/>
  <c r="AC115" i="18" s="1"/>
  <c r="T115" i="18"/>
  <c r="AB115" i="18" s="1"/>
  <c r="J115" i="18"/>
  <c r="U114" i="18"/>
  <c r="AC114" i="18" s="1"/>
  <c r="T114" i="18"/>
  <c r="AB114" i="18" s="1"/>
  <c r="J114" i="18"/>
  <c r="U113" i="18"/>
  <c r="AC113" i="18" s="1"/>
  <c r="T113" i="18"/>
  <c r="J113" i="18"/>
  <c r="U112" i="18"/>
  <c r="AC112" i="18" s="1"/>
  <c r="T112" i="18"/>
  <c r="J112" i="18"/>
  <c r="U111" i="18"/>
  <c r="AC111" i="18" s="1"/>
  <c r="T111" i="18"/>
  <c r="AB111" i="18" s="1"/>
  <c r="J111" i="18"/>
  <c r="U110" i="18"/>
  <c r="AC110" i="18" s="1"/>
  <c r="T110" i="18"/>
  <c r="AB110" i="18" s="1"/>
  <c r="J110" i="18"/>
  <c r="U109" i="18"/>
  <c r="AC109" i="18" s="1"/>
  <c r="T109" i="18"/>
  <c r="AB109" i="18" s="1"/>
  <c r="J109" i="18"/>
  <c r="U108" i="18"/>
  <c r="AC108" i="18" s="1"/>
  <c r="T108" i="18"/>
  <c r="AB108" i="18" s="1"/>
  <c r="J108" i="18"/>
  <c r="U107" i="18"/>
  <c r="AC107" i="18" s="1"/>
  <c r="T107" i="18"/>
  <c r="AB107" i="18" s="1"/>
  <c r="J107" i="18"/>
  <c r="U106" i="18"/>
  <c r="AC106" i="18" s="1"/>
  <c r="T106" i="18"/>
  <c r="AB106" i="18" s="1"/>
  <c r="J106" i="18"/>
  <c r="U105" i="18"/>
  <c r="T105" i="18"/>
  <c r="AB105" i="18" s="1"/>
  <c r="J105" i="18"/>
  <c r="U104" i="18"/>
  <c r="AC104" i="18" s="1"/>
  <c r="T104" i="18"/>
  <c r="AB104" i="18" s="1"/>
  <c r="J104" i="18"/>
  <c r="U103" i="18"/>
  <c r="AC103" i="18" s="1"/>
  <c r="T103" i="18"/>
  <c r="AB103" i="18" s="1"/>
  <c r="J103" i="18"/>
  <c r="U102" i="18"/>
  <c r="AC102" i="18" s="1"/>
  <c r="T102" i="18"/>
  <c r="AB102" i="18" s="1"/>
  <c r="J102" i="18"/>
  <c r="U101" i="18"/>
  <c r="AC101" i="18" s="1"/>
  <c r="T101" i="18"/>
  <c r="V101" i="18" s="1"/>
  <c r="W101" i="18" s="1"/>
  <c r="X101" i="18" s="1"/>
  <c r="Z101" i="18" s="1"/>
  <c r="J101" i="18"/>
  <c r="U100" i="18"/>
  <c r="AC100" i="18" s="1"/>
  <c r="T100" i="18"/>
  <c r="AB100" i="18" s="1"/>
  <c r="J100" i="18"/>
  <c r="U99" i="18"/>
  <c r="AC99" i="18" s="1"/>
  <c r="T99" i="18"/>
  <c r="AB99" i="18" s="1"/>
  <c r="J99" i="18"/>
  <c r="U98" i="18"/>
  <c r="AC98" i="18" s="1"/>
  <c r="T98" i="18"/>
  <c r="J98" i="18"/>
  <c r="U97" i="18"/>
  <c r="T97" i="18"/>
  <c r="AB97" i="18" s="1"/>
  <c r="J97" i="18"/>
  <c r="U96" i="18"/>
  <c r="AC96" i="18" s="1"/>
  <c r="T96" i="18"/>
  <c r="AB96" i="18" s="1"/>
  <c r="J96" i="18"/>
  <c r="U95" i="18"/>
  <c r="AC95" i="18" s="1"/>
  <c r="T95" i="18"/>
  <c r="AB95" i="18" s="1"/>
  <c r="J95" i="18"/>
  <c r="U94" i="18"/>
  <c r="AC94" i="18" s="1"/>
  <c r="T94" i="18"/>
  <c r="AB94" i="18" s="1"/>
  <c r="J94" i="18"/>
  <c r="U93" i="18"/>
  <c r="T93" i="18"/>
  <c r="AB93" i="18" s="1"/>
  <c r="J93" i="18"/>
  <c r="U92" i="18"/>
  <c r="AC92" i="18" s="1"/>
  <c r="T92" i="18"/>
  <c r="J92" i="18"/>
  <c r="U91" i="18"/>
  <c r="AC91" i="18" s="1"/>
  <c r="T91" i="18"/>
  <c r="AB91" i="18" s="1"/>
  <c r="J91" i="18"/>
  <c r="U90" i="18"/>
  <c r="AC90" i="18" s="1"/>
  <c r="T90" i="18"/>
  <c r="AB90" i="18" s="1"/>
  <c r="J90" i="18"/>
  <c r="U89" i="18"/>
  <c r="AC89" i="18" s="1"/>
  <c r="T89" i="18"/>
  <c r="J89" i="18"/>
  <c r="U88" i="18"/>
  <c r="AC88" i="18" s="1"/>
  <c r="T88" i="18"/>
  <c r="AB88" i="18" s="1"/>
  <c r="J88" i="18"/>
  <c r="U87" i="18"/>
  <c r="AC87" i="18" s="1"/>
  <c r="T87" i="18"/>
  <c r="AB87" i="18" s="1"/>
  <c r="J87" i="18"/>
  <c r="U86" i="18"/>
  <c r="AC86" i="18" s="1"/>
  <c r="T86" i="18"/>
  <c r="J86" i="18"/>
  <c r="U85" i="18"/>
  <c r="AC85" i="18" s="1"/>
  <c r="T85" i="18"/>
  <c r="J85" i="18"/>
  <c r="U84" i="18"/>
  <c r="AC84" i="18" s="1"/>
  <c r="T84" i="18"/>
  <c r="AB84" i="18" s="1"/>
  <c r="U83" i="18"/>
  <c r="AC83" i="18" s="1"/>
  <c r="T83" i="18"/>
  <c r="AB83" i="18" s="1"/>
  <c r="J83" i="18"/>
  <c r="U82" i="18"/>
  <c r="AC82" i="18" s="1"/>
  <c r="T82" i="18"/>
  <c r="AB82" i="18" s="1"/>
  <c r="J82" i="18"/>
  <c r="U81" i="18"/>
  <c r="AC81" i="18" s="1"/>
  <c r="T81" i="18"/>
  <c r="J81" i="18"/>
  <c r="U80" i="18"/>
  <c r="AC80" i="18" s="1"/>
  <c r="T80" i="18"/>
  <c r="AB80" i="18" s="1"/>
  <c r="J80" i="18"/>
  <c r="U79" i="18"/>
  <c r="AC79" i="18" s="1"/>
  <c r="T79" i="18"/>
  <c r="V79" i="18" s="1"/>
  <c r="W79" i="18" s="1"/>
  <c r="X79" i="18" s="1"/>
  <c r="Z79" i="18" s="1"/>
  <c r="J79" i="18"/>
  <c r="U78" i="18"/>
  <c r="AC78" i="18" s="1"/>
  <c r="T78" i="18"/>
  <c r="J78" i="18"/>
  <c r="U77" i="18"/>
  <c r="T77" i="18"/>
  <c r="AB77" i="18" s="1"/>
  <c r="J77" i="18"/>
  <c r="U76" i="18"/>
  <c r="AC76" i="18" s="1"/>
  <c r="T76" i="18"/>
  <c r="J76" i="18"/>
  <c r="U75" i="18"/>
  <c r="AC75" i="18" s="1"/>
  <c r="T75" i="18"/>
  <c r="AB75" i="18" s="1"/>
  <c r="J75" i="18"/>
  <c r="U74" i="18"/>
  <c r="T74" i="18"/>
  <c r="AB74" i="18" s="1"/>
  <c r="J74" i="18"/>
  <c r="U73" i="18"/>
  <c r="AC73" i="18" s="1"/>
  <c r="T73" i="18"/>
  <c r="AB73" i="18" s="1"/>
  <c r="J73" i="18"/>
  <c r="U72" i="18"/>
  <c r="AC72" i="18" s="1"/>
  <c r="T72" i="18"/>
  <c r="AB72" i="18" s="1"/>
  <c r="AD72" i="18" s="1"/>
  <c r="J72" i="18"/>
  <c r="U71" i="18"/>
  <c r="AC71" i="18" s="1"/>
  <c r="T71" i="18"/>
  <c r="AB71" i="18" s="1"/>
  <c r="J71" i="18"/>
  <c r="U70" i="18"/>
  <c r="AC70" i="18" s="1"/>
  <c r="T70" i="18"/>
  <c r="AB70" i="18" s="1"/>
  <c r="J70" i="18"/>
  <c r="U69" i="18"/>
  <c r="AC69" i="18" s="1"/>
  <c r="T69" i="18"/>
  <c r="AB69" i="18" s="1"/>
  <c r="J69" i="18"/>
  <c r="U68" i="18"/>
  <c r="AC68" i="18" s="1"/>
  <c r="T68" i="18"/>
  <c r="AB68" i="18" s="1"/>
  <c r="J68" i="18"/>
  <c r="U67" i="18"/>
  <c r="AC67" i="18" s="1"/>
  <c r="T67" i="18"/>
  <c r="AB67" i="18" s="1"/>
  <c r="J67" i="18"/>
  <c r="U66" i="18"/>
  <c r="AC66" i="18" s="1"/>
  <c r="T66" i="18"/>
  <c r="J66" i="18"/>
  <c r="U65" i="18"/>
  <c r="T65" i="18"/>
  <c r="AB65" i="18" s="1"/>
  <c r="J65" i="18"/>
  <c r="U64" i="18"/>
  <c r="AC64" i="18" s="1"/>
  <c r="T64" i="18"/>
  <c r="V64" i="18" s="1"/>
  <c r="W64" i="18" s="1"/>
  <c r="X64" i="18" s="1"/>
  <c r="Z64" i="18" s="1"/>
  <c r="J64" i="18"/>
  <c r="U63" i="18"/>
  <c r="AC63" i="18" s="1"/>
  <c r="T63" i="18"/>
  <c r="AB63" i="18" s="1"/>
  <c r="J63" i="18"/>
  <c r="U62" i="18"/>
  <c r="T62" i="18"/>
  <c r="AB62" i="18" s="1"/>
  <c r="J62" i="18"/>
  <c r="U61" i="18"/>
  <c r="AC61" i="18" s="1"/>
  <c r="T61" i="18"/>
  <c r="AB61" i="18" s="1"/>
  <c r="J61" i="18"/>
  <c r="U60" i="18"/>
  <c r="AC60" i="18" s="1"/>
  <c r="T60" i="18"/>
  <c r="AB60" i="18" s="1"/>
  <c r="K60" i="18"/>
  <c r="J60" i="18"/>
  <c r="U59" i="18"/>
  <c r="AC59" i="18" s="1"/>
  <c r="T59" i="18"/>
  <c r="AB59" i="18" s="1"/>
  <c r="J59" i="18"/>
  <c r="U58" i="18"/>
  <c r="AC58" i="18" s="1"/>
  <c r="T58" i="18"/>
  <c r="AB58" i="18" s="1"/>
  <c r="J58" i="18"/>
  <c r="U57" i="18"/>
  <c r="AC57" i="18" s="1"/>
  <c r="T57" i="18"/>
  <c r="AB57" i="18" s="1"/>
  <c r="J57" i="18"/>
  <c r="U56" i="18"/>
  <c r="AC56" i="18" s="1"/>
  <c r="T56" i="18"/>
  <c r="AB56" i="18" s="1"/>
  <c r="J56" i="18"/>
  <c r="U55" i="18"/>
  <c r="AC55" i="18" s="1"/>
  <c r="T55" i="18"/>
  <c r="AB55" i="18" s="1"/>
  <c r="J55" i="18"/>
  <c r="U54" i="18"/>
  <c r="AC54" i="18" s="1"/>
  <c r="T54" i="18"/>
  <c r="J54" i="18"/>
  <c r="U53" i="18"/>
  <c r="AC53" i="18" s="1"/>
  <c r="T53" i="18"/>
  <c r="J53" i="18"/>
  <c r="U52" i="18"/>
  <c r="T52" i="18"/>
  <c r="AB52" i="18" s="1"/>
  <c r="J52" i="18"/>
  <c r="U51" i="18"/>
  <c r="AC51" i="18" s="1"/>
  <c r="T51" i="18"/>
  <c r="J51" i="18"/>
  <c r="U50" i="18"/>
  <c r="AC50" i="18" s="1"/>
  <c r="T50" i="18"/>
  <c r="AB50" i="18" s="1"/>
  <c r="J50" i="18"/>
  <c r="U49" i="18"/>
  <c r="AC49" i="18" s="1"/>
  <c r="T49" i="18"/>
  <c r="AB49" i="18" s="1"/>
  <c r="J49" i="18"/>
  <c r="U48" i="18"/>
  <c r="AC48" i="18" s="1"/>
  <c r="T48" i="18"/>
  <c r="AB48" i="18" s="1"/>
  <c r="J48" i="18"/>
  <c r="U47" i="18"/>
  <c r="AC47" i="18" s="1"/>
  <c r="T47" i="18"/>
  <c r="AB47" i="18" s="1"/>
  <c r="J47" i="18"/>
  <c r="U46" i="18"/>
  <c r="AC46" i="18" s="1"/>
  <c r="AD46" i="18" s="1"/>
  <c r="T46" i="18"/>
  <c r="AB46" i="18" s="1"/>
  <c r="J46" i="18"/>
  <c r="U45" i="18"/>
  <c r="AC45" i="18" s="1"/>
  <c r="T45" i="18"/>
  <c r="V45" i="18" s="1"/>
  <c r="W45" i="18" s="1"/>
  <c r="X45" i="18" s="1"/>
  <c r="Z45" i="18" s="1"/>
  <c r="J45" i="18"/>
  <c r="U44" i="18"/>
  <c r="AC44" i="18" s="1"/>
  <c r="T44" i="18"/>
  <c r="AB44" i="18" s="1"/>
  <c r="J44" i="18"/>
  <c r="U43" i="18"/>
  <c r="AC43" i="18" s="1"/>
  <c r="T43" i="18"/>
  <c r="AB43" i="18" s="1"/>
  <c r="J43" i="18"/>
  <c r="U42" i="18"/>
  <c r="AC42" i="18" s="1"/>
  <c r="T42" i="18"/>
  <c r="AB42" i="18" s="1"/>
  <c r="J42" i="18"/>
  <c r="U41" i="18"/>
  <c r="AC41" i="18" s="1"/>
  <c r="T41" i="18"/>
  <c r="J41" i="18"/>
  <c r="U40" i="18"/>
  <c r="T40" i="18"/>
  <c r="AB40" i="18" s="1"/>
  <c r="J40" i="18"/>
  <c r="U39" i="18"/>
  <c r="AC39" i="18" s="1"/>
  <c r="T39" i="18"/>
  <c r="K39" i="18"/>
  <c r="J39" i="18"/>
  <c r="U38" i="18"/>
  <c r="AC38" i="18" s="1"/>
  <c r="T38" i="18"/>
  <c r="J38" i="18"/>
  <c r="U37" i="18"/>
  <c r="AC37" i="18" s="1"/>
  <c r="T37" i="18"/>
  <c r="V37" i="18" s="1"/>
  <c r="W37" i="18" s="1"/>
  <c r="X37" i="18" s="1"/>
  <c r="Z37" i="18" s="1"/>
  <c r="J37" i="18"/>
  <c r="U36" i="18"/>
  <c r="AC36" i="18" s="1"/>
  <c r="T36" i="18"/>
  <c r="AB36" i="18" s="1"/>
  <c r="J36" i="18"/>
  <c r="U35" i="18"/>
  <c r="AC35" i="18" s="1"/>
  <c r="T35" i="18"/>
  <c r="AB35" i="18" s="1"/>
  <c r="J35" i="18"/>
  <c r="U34" i="18"/>
  <c r="AC34" i="18" s="1"/>
  <c r="T34" i="18"/>
  <c r="AB34" i="18" s="1"/>
  <c r="J34" i="18"/>
  <c r="U33" i="18"/>
  <c r="AC33" i="18" s="1"/>
  <c r="T33" i="18"/>
  <c r="AB33" i="18" s="1"/>
  <c r="J33" i="18"/>
  <c r="U32" i="18"/>
  <c r="AC32" i="18" s="1"/>
  <c r="T32" i="18"/>
  <c r="AB32" i="18" s="1"/>
  <c r="J32" i="18"/>
  <c r="U31" i="18"/>
  <c r="AC31" i="18" s="1"/>
  <c r="T31" i="18"/>
  <c r="AB31" i="18" s="1"/>
  <c r="J31" i="18"/>
  <c r="U30" i="18"/>
  <c r="AC30" i="18" s="1"/>
  <c r="T30" i="18"/>
  <c r="AB30" i="18" s="1"/>
  <c r="J30" i="18"/>
  <c r="U29" i="18"/>
  <c r="AC29" i="18" s="1"/>
  <c r="T29" i="18"/>
  <c r="V29" i="18" s="1"/>
  <c r="W29" i="18" s="1"/>
  <c r="X29" i="18" s="1"/>
  <c r="Z29" i="18" s="1"/>
  <c r="J29" i="18"/>
  <c r="U28" i="18"/>
  <c r="AC28" i="18" s="1"/>
  <c r="T28" i="18"/>
  <c r="J28" i="18"/>
  <c r="U27" i="18"/>
  <c r="T27" i="18"/>
  <c r="AB27" i="18" s="1"/>
  <c r="J27" i="18"/>
  <c r="U26" i="18"/>
  <c r="AC26" i="18" s="1"/>
  <c r="T26" i="18"/>
  <c r="J26" i="18"/>
  <c r="U25" i="18"/>
  <c r="AC25" i="18" s="1"/>
  <c r="T25" i="18"/>
  <c r="AB25" i="18" s="1"/>
  <c r="J25" i="18"/>
  <c r="U24" i="18"/>
  <c r="AC24" i="18" s="1"/>
  <c r="T24" i="18"/>
  <c r="AB24" i="18" s="1"/>
  <c r="J24" i="18"/>
  <c r="U23" i="18"/>
  <c r="AC23" i="18" s="1"/>
  <c r="T23" i="18"/>
  <c r="AB23" i="18" s="1"/>
  <c r="J23" i="18"/>
  <c r="U22" i="18"/>
  <c r="AC22" i="18" s="1"/>
  <c r="T22" i="18"/>
  <c r="AB22" i="18" s="1"/>
  <c r="J22" i="18"/>
  <c r="U21" i="18"/>
  <c r="AC21" i="18" s="1"/>
  <c r="T21" i="18"/>
  <c r="J21" i="18"/>
  <c r="AB20" i="18"/>
  <c r="U20" i="18"/>
  <c r="AC20" i="18" s="1"/>
  <c r="T20" i="18"/>
  <c r="J20" i="18"/>
  <c r="U19" i="18"/>
  <c r="AC19" i="18" s="1"/>
  <c r="T19" i="18"/>
  <c r="AB19" i="18" s="1"/>
  <c r="J19" i="18"/>
  <c r="U18" i="18"/>
  <c r="AC18" i="18" s="1"/>
  <c r="T18" i="18"/>
  <c r="AB18" i="18" s="1"/>
  <c r="K18" i="18"/>
  <c r="J18" i="18"/>
  <c r="U17" i="18"/>
  <c r="AC17" i="18" s="1"/>
  <c r="T17" i="18"/>
  <c r="AB17" i="18" s="1"/>
  <c r="J17" i="18"/>
  <c r="U16" i="18"/>
  <c r="AC16" i="18" s="1"/>
  <c r="T16" i="18"/>
  <c r="V16" i="18" s="1"/>
  <c r="W16" i="18" s="1"/>
  <c r="X16" i="18" s="1"/>
  <c r="Z16" i="18" s="1"/>
  <c r="J16" i="18"/>
  <c r="U15" i="18"/>
  <c r="AC15" i="18" s="1"/>
  <c r="T15" i="18"/>
  <c r="AB15" i="18" s="1"/>
  <c r="J15" i="18"/>
  <c r="U14" i="18"/>
  <c r="T14" i="18"/>
  <c r="AB14" i="18" s="1"/>
  <c r="J14" i="18"/>
  <c r="U13" i="18"/>
  <c r="AC13" i="18" s="1"/>
  <c r="T13" i="18"/>
  <c r="J13" i="18"/>
  <c r="U12" i="18"/>
  <c r="AC12" i="18" s="1"/>
  <c r="T12" i="18"/>
  <c r="J12" i="18"/>
  <c r="U11" i="18"/>
  <c r="T11" i="18"/>
  <c r="AB11" i="18" s="1"/>
  <c r="J11" i="18"/>
  <c r="U10" i="18"/>
  <c r="AC10" i="18" s="1"/>
  <c r="T10" i="18"/>
  <c r="AB10" i="18" s="1"/>
  <c r="J10" i="18"/>
  <c r="U9" i="18"/>
  <c r="AC9" i="18" s="1"/>
  <c r="T9" i="18"/>
  <c r="AB9" i="18" s="1"/>
  <c r="J9" i="18"/>
  <c r="U8" i="18"/>
  <c r="AC8" i="18" s="1"/>
  <c r="T8" i="18"/>
  <c r="AB8" i="18" s="1"/>
  <c r="J8" i="18"/>
  <c r="U7" i="18"/>
  <c r="AC7" i="18" s="1"/>
  <c r="T7" i="18"/>
  <c r="AB7" i="18" s="1"/>
  <c r="J7" i="18"/>
  <c r="U6" i="18"/>
  <c r="AC6" i="18" s="1"/>
  <c r="T6" i="18"/>
  <c r="AB6" i="18" s="1"/>
  <c r="J6" i="18"/>
  <c r="U5" i="18"/>
  <c r="AC5" i="18" s="1"/>
  <c r="T5" i="18"/>
  <c r="AB5" i="18" s="1"/>
  <c r="J5" i="18"/>
  <c r="U4" i="18"/>
  <c r="AC4" i="18" s="1"/>
  <c r="T4" i="18"/>
  <c r="V4" i="18" s="1"/>
  <c r="W4" i="18" s="1"/>
  <c r="X4" i="18" s="1"/>
  <c r="Z4" i="18" s="1"/>
  <c r="J4" i="18"/>
  <c r="U3" i="18"/>
  <c r="AC3" i="18" s="1"/>
  <c r="T3" i="18"/>
  <c r="AB3" i="18" s="1"/>
  <c r="J3" i="18"/>
  <c r="U2" i="18"/>
  <c r="AC2" i="18" s="1"/>
  <c r="T2" i="18"/>
  <c r="J2" i="18"/>
  <c r="J27" i="15" l="1"/>
  <c r="J8" i="15"/>
  <c r="J90" i="15"/>
  <c r="J66" i="15"/>
  <c r="J42" i="15"/>
  <c r="J15" i="15"/>
  <c r="J89" i="15"/>
  <c r="J77" i="15"/>
  <c r="J65" i="15"/>
  <c r="J53" i="15"/>
  <c r="J41" i="15"/>
  <c r="J29" i="15"/>
  <c r="J16" i="15"/>
  <c r="J78" i="15"/>
  <c r="J30" i="15"/>
  <c r="J14" i="15"/>
  <c r="J19" i="15"/>
  <c r="J88" i="15"/>
  <c r="J76" i="15"/>
  <c r="J64" i="15"/>
  <c r="J52" i="15"/>
  <c r="J40" i="15"/>
  <c r="J28" i="15"/>
  <c r="J54" i="15"/>
  <c r="J13" i="15"/>
  <c r="J20" i="15"/>
  <c r="J87" i="15"/>
  <c r="J75" i="15"/>
  <c r="J63" i="15"/>
  <c r="J51" i="15"/>
  <c r="J39" i="15"/>
  <c r="J100" i="15"/>
  <c r="J102" i="15"/>
  <c r="J101" i="15"/>
  <c r="J95" i="15"/>
  <c r="J86" i="15"/>
  <c r="J74" i="15"/>
  <c r="J62" i="15"/>
  <c r="J50" i="15"/>
  <c r="J38" i="15"/>
  <c r="J26" i="15"/>
  <c r="J12" i="15"/>
  <c r="J85" i="15"/>
  <c r="J73" i="15"/>
  <c r="J61" i="15"/>
  <c r="J49" i="15"/>
  <c r="J37" i="15"/>
  <c r="J25" i="15"/>
  <c r="J11" i="15"/>
  <c r="J84" i="15"/>
  <c r="J72" i="15"/>
  <c r="J60" i="15"/>
  <c r="J48" i="15"/>
  <c r="J36" i="15"/>
  <c r="J24" i="15"/>
  <c r="J10" i="15"/>
  <c r="J83" i="15"/>
  <c r="J71" i="15"/>
  <c r="J59" i="15"/>
  <c r="J47" i="15"/>
  <c r="J35" i="15"/>
  <c r="J23" i="15"/>
  <c r="J99" i="15"/>
  <c r="J94" i="15"/>
  <c r="J82" i="15"/>
  <c r="J70" i="15"/>
  <c r="J58" i="15"/>
  <c r="J46" i="15"/>
  <c r="J34" i="15"/>
  <c r="J22" i="15"/>
  <c r="J9" i="15"/>
  <c r="J93" i="15"/>
  <c r="J81" i="15"/>
  <c r="J69" i="15"/>
  <c r="J57" i="15"/>
  <c r="J45" i="15"/>
  <c r="J33" i="15"/>
  <c r="J21" i="15"/>
  <c r="J18" i="15"/>
  <c r="J92" i="15"/>
  <c r="J80" i="15"/>
  <c r="J68" i="15"/>
  <c r="J56" i="15"/>
  <c r="J44" i="15"/>
  <c r="J32" i="15"/>
  <c r="J17" i="15"/>
  <c r="J91" i="15"/>
  <c r="J79" i="15"/>
  <c r="J67" i="15"/>
  <c r="J55" i="15"/>
  <c r="J43" i="15"/>
  <c r="J31" i="15"/>
  <c r="J7" i="15"/>
  <c r="J6" i="15"/>
  <c r="J98" i="15"/>
  <c r="J97" i="15"/>
  <c r="J5" i="15"/>
  <c r="J2" i="15"/>
  <c r="J4" i="15"/>
  <c r="J3" i="15"/>
  <c r="J96" i="15"/>
  <c r="V457" i="18"/>
  <c r="W457" i="18" s="1"/>
  <c r="X457" i="18" s="1"/>
  <c r="Z457" i="18" s="1"/>
  <c r="V560" i="18"/>
  <c r="W560" i="18" s="1"/>
  <c r="X560" i="18" s="1"/>
  <c r="Z560" i="18" s="1"/>
  <c r="V123" i="18"/>
  <c r="W123" i="18" s="1"/>
  <c r="X123" i="18" s="1"/>
  <c r="Z123" i="18" s="1"/>
  <c r="AD100" i="18"/>
  <c r="AD477" i="18"/>
  <c r="V617" i="18"/>
  <c r="W617" i="18" s="1"/>
  <c r="X617" i="18" s="1"/>
  <c r="Z617" i="18" s="1"/>
  <c r="V621" i="18"/>
  <c r="W621" i="18" s="1"/>
  <c r="X621" i="18" s="1"/>
  <c r="Z621" i="18" s="1"/>
  <c r="AD184" i="18"/>
  <c r="AD455" i="18"/>
  <c r="V506" i="18"/>
  <c r="W506" i="18" s="1"/>
  <c r="X506" i="18" s="1"/>
  <c r="Z506" i="18" s="1"/>
  <c r="AB16" i="18"/>
  <c r="V50" i="18"/>
  <c r="W50" i="18" s="1"/>
  <c r="X50" i="18" s="1"/>
  <c r="Z50" i="18" s="1"/>
  <c r="V66" i="18"/>
  <c r="W66" i="18" s="1"/>
  <c r="X66" i="18" s="1"/>
  <c r="Z66" i="18" s="1"/>
  <c r="V130" i="18"/>
  <c r="W130" i="18" s="1"/>
  <c r="X130" i="18" s="1"/>
  <c r="Z130" i="18" s="1"/>
  <c r="AD483" i="18"/>
  <c r="AD422" i="18"/>
  <c r="AD516" i="18"/>
  <c r="AC558" i="18"/>
  <c r="V189" i="18"/>
  <c r="W189" i="18" s="1"/>
  <c r="X189" i="18" s="1"/>
  <c r="Z189" i="18" s="1"/>
  <c r="AD209" i="18"/>
  <c r="AD213" i="18"/>
  <c r="V237" i="18"/>
  <c r="W237" i="18" s="1"/>
  <c r="X237" i="18" s="1"/>
  <c r="Z237" i="18" s="1"/>
  <c r="AD253" i="18"/>
  <c r="AD387" i="18"/>
  <c r="AD415" i="18"/>
  <c r="AD489" i="18"/>
  <c r="AD505" i="18"/>
  <c r="V644" i="18"/>
  <c r="W644" i="18" s="1"/>
  <c r="X644" i="18" s="1"/>
  <c r="Z644" i="18" s="1"/>
  <c r="V667" i="18"/>
  <c r="W667" i="18" s="1"/>
  <c r="X667" i="18" s="1"/>
  <c r="Z667" i="18" s="1"/>
  <c r="V435" i="18"/>
  <c r="W435" i="18" s="1"/>
  <c r="X435" i="18" s="1"/>
  <c r="Z435" i="18" s="1"/>
  <c r="V486" i="18"/>
  <c r="W486" i="18" s="1"/>
  <c r="X486" i="18" s="1"/>
  <c r="Z486" i="18" s="1"/>
  <c r="AD544" i="18"/>
  <c r="V317" i="18"/>
  <c r="W317" i="18" s="1"/>
  <c r="X317" i="18" s="1"/>
  <c r="Z317" i="18" s="1"/>
  <c r="AD356" i="18"/>
  <c r="AD451" i="18"/>
  <c r="AD428" i="18"/>
  <c r="V522" i="18"/>
  <c r="W522" i="18" s="1"/>
  <c r="X522" i="18" s="1"/>
  <c r="Z522" i="18" s="1"/>
  <c r="AD657" i="18"/>
  <c r="V13" i="18"/>
  <c r="W13" i="18" s="1"/>
  <c r="X13" i="18" s="1"/>
  <c r="Z13" i="18" s="1"/>
  <c r="AD243" i="18"/>
  <c r="V329" i="18"/>
  <c r="W329" i="18" s="1"/>
  <c r="X329" i="18" s="1"/>
  <c r="Z329" i="18" s="1"/>
  <c r="V572" i="18"/>
  <c r="W572" i="18" s="1"/>
  <c r="X572" i="18" s="1"/>
  <c r="Z572" i="18" s="1"/>
  <c r="AD642" i="18"/>
  <c r="V152" i="18"/>
  <c r="W152" i="18" s="1"/>
  <c r="X152" i="18" s="1"/>
  <c r="Z152" i="18" s="1"/>
  <c r="AD377" i="18"/>
  <c r="V425" i="18"/>
  <c r="W425" i="18" s="1"/>
  <c r="X425" i="18" s="1"/>
  <c r="Z425" i="18" s="1"/>
  <c r="V491" i="18"/>
  <c r="W491" i="18" s="1"/>
  <c r="X491" i="18" s="1"/>
  <c r="Z491" i="18" s="1"/>
  <c r="V495" i="18"/>
  <c r="W495" i="18" s="1"/>
  <c r="X495" i="18" s="1"/>
  <c r="Z495" i="18" s="1"/>
  <c r="V615" i="18"/>
  <c r="W615" i="18" s="1"/>
  <c r="X615" i="18" s="1"/>
  <c r="Z615" i="18" s="1"/>
  <c r="AD627" i="18"/>
  <c r="V669" i="18"/>
  <c r="W669" i="18" s="1"/>
  <c r="X669" i="18" s="1"/>
  <c r="Z669" i="18" s="1"/>
  <c r="V259" i="18"/>
  <c r="W259" i="18" s="1"/>
  <c r="X259" i="18" s="1"/>
  <c r="Z259" i="18" s="1"/>
  <c r="V357" i="18"/>
  <c r="W357" i="18" s="1"/>
  <c r="X357" i="18" s="1"/>
  <c r="Z357" i="18" s="1"/>
  <c r="V397" i="18"/>
  <c r="W397" i="18" s="1"/>
  <c r="X397" i="18" s="1"/>
  <c r="Z397" i="18" s="1"/>
  <c r="AD511" i="18"/>
  <c r="AD592" i="18"/>
  <c r="AB37" i="18"/>
  <c r="AD37" i="18" s="1"/>
  <c r="V97" i="18"/>
  <c r="W97" i="18" s="1"/>
  <c r="X97" i="18" s="1"/>
  <c r="Z97" i="18" s="1"/>
  <c r="V181" i="18"/>
  <c r="W181" i="18" s="1"/>
  <c r="X181" i="18" s="1"/>
  <c r="Z181" i="18" s="1"/>
  <c r="AB223" i="18"/>
  <c r="AD223" i="18" s="1"/>
  <c r="AD229" i="18"/>
  <c r="AD349" i="18"/>
  <c r="AB357" i="18"/>
  <c r="AD357" i="18" s="1"/>
  <c r="AC397" i="18"/>
  <c r="AD475" i="18"/>
  <c r="V680" i="18"/>
  <c r="W680" i="18" s="1"/>
  <c r="X680" i="18" s="1"/>
  <c r="Z680" i="18" s="1"/>
  <c r="AD472" i="18"/>
  <c r="V121" i="18"/>
  <c r="W121" i="18" s="1"/>
  <c r="X121" i="18" s="1"/>
  <c r="Z121" i="18" s="1"/>
  <c r="V304" i="18"/>
  <c r="W304" i="18" s="1"/>
  <c r="X304" i="18" s="1"/>
  <c r="Z304" i="18" s="1"/>
  <c r="V509" i="18"/>
  <c r="W509" i="18" s="1"/>
  <c r="X509" i="18" s="1"/>
  <c r="Z509" i="18" s="1"/>
  <c r="V586" i="18"/>
  <c r="W586" i="18" s="1"/>
  <c r="X586" i="18" s="1"/>
  <c r="Z586" i="18" s="1"/>
  <c r="V609" i="18"/>
  <c r="W609" i="18" s="1"/>
  <c r="X609" i="18" s="1"/>
  <c r="Z609" i="18" s="1"/>
  <c r="V620" i="18"/>
  <c r="W620" i="18" s="1"/>
  <c r="X620" i="18" s="1"/>
  <c r="Z620" i="18" s="1"/>
  <c r="AB674" i="18"/>
  <c r="AD674" i="18" s="1"/>
  <c r="AD82" i="18"/>
  <c r="V2" i="18"/>
  <c r="W2" i="18" s="1"/>
  <c r="X2" i="18" s="1"/>
  <c r="Z2" i="18" s="1"/>
  <c r="V54" i="18"/>
  <c r="W54" i="18" s="1"/>
  <c r="X54" i="18" s="1"/>
  <c r="Z54" i="18" s="1"/>
  <c r="AD139" i="18"/>
  <c r="V156" i="18"/>
  <c r="W156" i="18" s="1"/>
  <c r="X156" i="18" s="1"/>
  <c r="Z156" i="18" s="1"/>
  <c r="AD159" i="18"/>
  <c r="V190" i="18"/>
  <c r="W190" i="18" s="1"/>
  <c r="X190" i="18" s="1"/>
  <c r="Z190" i="18" s="1"/>
  <c r="AD381" i="18"/>
  <c r="AD453" i="18"/>
  <c r="AD518" i="18"/>
  <c r="V532" i="18"/>
  <c r="W532" i="18" s="1"/>
  <c r="X532" i="18" s="1"/>
  <c r="Z532" i="18" s="1"/>
  <c r="AD603" i="18"/>
  <c r="AD658" i="18"/>
  <c r="V246" i="18"/>
  <c r="W246" i="18" s="1"/>
  <c r="X246" i="18" s="1"/>
  <c r="Z246" i="18" s="1"/>
  <c r="V531" i="18"/>
  <c r="W531" i="18" s="1"/>
  <c r="X531" i="18" s="1"/>
  <c r="Z531" i="18" s="1"/>
  <c r="AD49" i="18"/>
  <c r="AD322" i="18"/>
  <c r="AD410" i="18"/>
  <c r="V413" i="18"/>
  <c r="W413" i="18" s="1"/>
  <c r="X413" i="18" s="1"/>
  <c r="Z413" i="18" s="1"/>
  <c r="AB532" i="18"/>
  <c r="AD532" i="18" s="1"/>
  <c r="V661" i="18"/>
  <c r="W661" i="18" s="1"/>
  <c r="X661" i="18" s="1"/>
  <c r="Z661" i="18" s="1"/>
  <c r="V41" i="18"/>
  <c r="W41" i="18" s="1"/>
  <c r="X41" i="18" s="1"/>
  <c r="Z41" i="18" s="1"/>
  <c r="V52" i="18"/>
  <c r="W52" i="18" s="1"/>
  <c r="X52" i="18" s="1"/>
  <c r="Z52" i="18" s="1"/>
  <c r="AD236" i="18"/>
  <c r="V361" i="18"/>
  <c r="W361" i="18" s="1"/>
  <c r="X361" i="18" s="1"/>
  <c r="Z361" i="18" s="1"/>
  <c r="V630" i="18"/>
  <c r="W630" i="18" s="1"/>
  <c r="X630" i="18" s="1"/>
  <c r="Z630" i="18" s="1"/>
  <c r="V656" i="18"/>
  <c r="W656" i="18" s="1"/>
  <c r="X656" i="18" s="1"/>
  <c r="Z656" i="18" s="1"/>
  <c r="AD664" i="18"/>
  <c r="V634" i="18"/>
  <c r="W634" i="18" s="1"/>
  <c r="X634" i="18" s="1"/>
  <c r="Z634" i="18" s="1"/>
  <c r="V81" i="18"/>
  <c r="W81" i="18" s="1"/>
  <c r="X81" i="18" s="1"/>
  <c r="Z81" i="18" s="1"/>
  <c r="V199" i="18"/>
  <c r="W199" i="18" s="1"/>
  <c r="X199" i="18" s="1"/>
  <c r="Z199" i="18" s="1"/>
  <c r="AD317" i="18"/>
  <c r="AD364" i="18"/>
  <c r="V28" i="18"/>
  <c r="W28" i="18" s="1"/>
  <c r="X28" i="18" s="1"/>
  <c r="Z28" i="18" s="1"/>
  <c r="V33" i="18"/>
  <c r="W33" i="18" s="1"/>
  <c r="X33" i="18" s="1"/>
  <c r="Z33" i="18" s="1"/>
  <c r="V234" i="18"/>
  <c r="W234" i="18" s="1"/>
  <c r="X234" i="18" s="1"/>
  <c r="Z234" i="18" s="1"/>
  <c r="AD342" i="18"/>
  <c r="AD417" i="18"/>
  <c r="V559" i="18"/>
  <c r="W559" i="18" s="1"/>
  <c r="X559" i="18" s="1"/>
  <c r="Z559" i="18" s="1"/>
  <c r="AD573" i="18"/>
  <c r="AD594" i="18"/>
  <c r="AD480" i="18"/>
  <c r="AD568" i="18"/>
  <c r="V645" i="18"/>
  <c r="W645" i="18" s="1"/>
  <c r="X645" i="18" s="1"/>
  <c r="Z645" i="18" s="1"/>
  <c r="AD685" i="18"/>
  <c r="AD212" i="18"/>
  <c r="V53" i="18"/>
  <c r="W53" i="18" s="1"/>
  <c r="X53" i="18" s="1"/>
  <c r="Z53" i="18" s="1"/>
  <c r="V76" i="18"/>
  <c r="W76" i="18" s="1"/>
  <c r="X76" i="18" s="1"/>
  <c r="Z76" i="18" s="1"/>
  <c r="V91" i="18"/>
  <c r="W91" i="18" s="1"/>
  <c r="X91" i="18" s="1"/>
  <c r="Z91" i="18" s="1"/>
  <c r="AD175" i="18"/>
  <c r="AB189" i="18"/>
  <c r="AD189" i="18" s="1"/>
  <c r="AB234" i="18"/>
  <c r="AD234" i="18" s="1"/>
  <c r="AD286" i="18"/>
  <c r="V332" i="18"/>
  <c r="W332" i="18" s="1"/>
  <c r="X332" i="18" s="1"/>
  <c r="Z332" i="18" s="1"/>
  <c r="V434" i="18"/>
  <c r="W434" i="18" s="1"/>
  <c r="X434" i="18" s="1"/>
  <c r="Z434" i="18" s="1"/>
  <c r="V631" i="18"/>
  <c r="W631" i="18" s="1"/>
  <c r="X631" i="18" s="1"/>
  <c r="Z631" i="18" s="1"/>
  <c r="V654" i="18"/>
  <c r="W654" i="18" s="1"/>
  <c r="X654" i="18" s="1"/>
  <c r="Z654" i="18" s="1"/>
  <c r="AD75" i="18"/>
  <c r="AD242" i="18"/>
  <c r="AD276" i="18"/>
  <c r="V12" i="18"/>
  <c r="W12" i="18" s="1"/>
  <c r="X12" i="18" s="1"/>
  <c r="Z12" i="18" s="1"/>
  <c r="V14" i="18"/>
  <c r="W14" i="18" s="1"/>
  <c r="X14" i="18" s="1"/>
  <c r="Z14" i="18" s="1"/>
  <c r="AB54" i="18"/>
  <c r="V78" i="18"/>
  <c r="W78" i="18" s="1"/>
  <c r="X78" i="18" s="1"/>
  <c r="Z78" i="18" s="1"/>
  <c r="V94" i="18"/>
  <c r="W94" i="18" s="1"/>
  <c r="X94" i="18" s="1"/>
  <c r="Z94" i="18" s="1"/>
  <c r="V116" i="18"/>
  <c r="W116" i="18" s="1"/>
  <c r="X116" i="18" s="1"/>
  <c r="Z116" i="18" s="1"/>
  <c r="V128" i="18"/>
  <c r="W128" i="18" s="1"/>
  <c r="X128" i="18" s="1"/>
  <c r="Z128" i="18" s="1"/>
  <c r="AB130" i="18"/>
  <c r="AD130" i="18" s="1"/>
  <c r="AB141" i="18"/>
  <c r="AD141" i="18" s="1"/>
  <c r="V143" i="18"/>
  <c r="W143" i="18" s="1"/>
  <c r="X143" i="18" s="1"/>
  <c r="Z143" i="18" s="1"/>
  <c r="V146" i="18"/>
  <c r="W146" i="18" s="1"/>
  <c r="X146" i="18" s="1"/>
  <c r="Z146" i="18" s="1"/>
  <c r="AD170" i="18"/>
  <c r="V175" i="18"/>
  <c r="W175" i="18" s="1"/>
  <c r="X175" i="18" s="1"/>
  <c r="Z175" i="18" s="1"/>
  <c r="V204" i="18"/>
  <c r="W204" i="18" s="1"/>
  <c r="X204" i="18" s="1"/>
  <c r="Z204" i="18" s="1"/>
  <c r="V337" i="18"/>
  <c r="W337" i="18" s="1"/>
  <c r="X337" i="18" s="1"/>
  <c r="Z337" i="18" s="1"/>
  <c r="V406" i="18"/>
  <c r="W406" i="18" s="1"/>
  <c r="X406" i="18" s="1"/>
  <c r="Z406" i="18" s="1"/>
  <c r="V424" i="18"/>
  <c r="W424" i="18" s="1"/>
  <c r="X424" i="18" s="1"/>
  <c r="Z424" i="18" s="1"/>
  <c r="AD429" i="18"/>
  <c r="AD439" i="18"/>
  <c r="AD456" i="18"/>
  <c r="AC531" i="18"/>
  <c r="AD531" i="18" s="1"/>
  <c r="AD548" i="18"/>
  <c r="V569" i="18"/>
  <c r="W569" i="18" s="1"/>
  <c r="X569" i="18" s="1"/>
  <c r="Z569" i="18" s="1"/>
  <c r="V574" i="18"/>
  <c r="W574" i="18" s="1"/>
  <c r="X574" i="18" s="1"/>
  <c r="Z574" i="18" s="1"/>
  <c r="V582" i="18"/>
  <c r="W582" i="18" s="1"/>
  <c r="X582" i="18" s="1"/>
  <c r="Z582" i="18" s="1"/>
  <c r="AD593" i="18"/>
  <c r="V632" i="18"/>
  <c r="W632" i="18" s="1"/>
  <c r="X632" i="18" s="1"/>
  <c r="Z632" i="18" s="1"/>
  <c r="AD638" i="18"/>
  <c r="V476" i="18"/>
  <c r="W476" i="18" s="1"/>
  <c r="X476" i="18" s="1"/>
  <c r="Z476" i="18" s="1"/>
  <c r="V513" i="18"/>
  <c r="W513" i="18" s="1"/>
  <c r="X513" i="18" s="1"/>
  <c r="Z513" i="18" s="1"/>
  <c r="V114" i="18"/>
  <c r="W114" i="18" s="1"/>
  <c r="X114" i="18" s="1"/>
  <c r="Z114" i="18" s="1"/>
  <c r="V122" i="18"/>
  <c r="W122" i="18" s="1"/>
  <c r="X122" i="18" s="1"/>
  <c r="Z122" i="18" s="1"/>
  <c r="AB149" i="18"/>
  <c r="AD149" i="18" s="1"/>
  <c r="V183" i="18"/>
  <c r="W183" i="18" s="1"/>
  <c r="X183" i="18" s="1"/>
  <c r="Z183" i="18" s="1"/>
  <c r="AB237" i="18"/>
  <c r="AD245" i="18"/>
  <c r="AD271" i="18"/>
  <c r="V335" i="18"/>
  <c r="W335" i="18" s="1"/>
  <c r="X335" i="18" s="1"/>
  <c r="Z335" i="18" s="1"/>
  <c r="V401" i="18"/>
  <c r="W401" i="18" s="1"/>
  <c r="X401" i="18" s="1"/>
  <c r="Z401" i="18" s="1"/>
  <c r="V417" i="18"/>
  <c r="W417" i="18" s="1"/>
  <c r="X417" i="18" s="1"/>
  <c r="Z417" i="18" s="1"/>
  <c r="AC434" i="18"/>
  <c r="AD434" i="18" s="1"/>
  <c r="AB491" i="18"/>
  <c r="AD491" i="18" s="1"/>
  <c r="AB506" i="18"/>
  <c r="AD506" i="18" s="1"/>
  <c r="V519" i="18"/>
  <c r="W519" i="18" s="1"/>
  <c r="X519" i="18" s="1"/>
  <c r="Z519" i="18" s="1"/>
  <c r="V567" i="18"/>
  <c r="W567" i="18" s="1"/>
  <c r="X567" i="18" s="1"/>
  <c r="Z567" i="18" s="1"/>
  <c r="AB617" i="18"/>
  <c r="AD617" i="18" s="1"/>
  <c r="V195" i="18"/>
  <c r="W195" i="18" s="1"/>
  <c r="X195" i="18" s="1"/>
  <c r="Z195" i="18" s="1"/>
  <c r="AD458" i="18"/>
  <c r="AB12" i="18"/>
  <c r="V20" i="18"/>
  <c r="W20" i="18" s="1"/>
  <c r="X20" i="18" s="1"/>
  <c r="Z20" i="18" s="1"/>
  <c r="V25" i="18"/>
  <c r="W25" i="18" s="1"/>
  <c r="X25" i="18" s="1"/>
  <c r="Z25" i="18" s="1"/>
  <c r="AD32" i="18"/>
  <c r="AB128" i="18"/>
  <c r="AD128" i="18" s="1"/>
  <c r="V240" i="18"/>
  <c r="W240" i="18" s="1"/>
  <c r="X240" i="18" s="1"/>
  <c r="Z240" i="18" s="1"/>
  <c r="V245" i="18"/>
  <c r="W245" i="18" s="1"/>
  <c r="X245" i="18" s="1"/>
  <c r="Z245" i="18" s="1"/>
  <c r="V258" i="18"/>
  <c r="W258" i="18" s="1"/>
  <c r="X258" i="18" s="1"/>
  <c r="Z258" i="18" s="1"/>
  <c r="AD333" i="18"/>
  <c r="V343" i="18"/>
  <c r="W343" i="18" s="1"/>
  <c r="X343" i="18" s="1"/>
  <c r="Z343" i="18" s="1"/>
  <c r="V351" i="18"/>
  <c r="W351" i="18" s="1"/>
  <c r="X351" i="18" s="1"/>
  <c r="Z351" i="18" s="1"/>
  <c r="AD354" i="18"/>
  <c r="V359" i="18"/>
  <c r="W359" i="18" s="1"/>
  <c r="X359" i="18" s="1"/>
  <c r="Z359" i="18" s="1"/>
  <c r="V432" i="18"/>
  <c r="W432" i="18" s="1"/>
  <c r="X432" i="18" s="1"/>
  <c r="Z432" i="18" s="1"/>
  <c r="V445" i="18"/>
  <c r="W445" i="18" s="1"/>
  <c r="X445" i="18" s="1"/>
  <c r="Z445" i="18" s="1"/>
  <c r="AD482" i="18"/>
  <c r="V534" i="18"/>
  <c r="W534" i="18" s="1"/>
  <c r="X534" i="18" s="1"/>
  <c r="Z534" i="18" s="1"/>
  <c r="V580" i="18"/>
  <c r="W580" i="18" s="1"/>
  <c r="X580" i="18" s="1"/>
  <c r="Z580" i="18" s="1"/>
  <c r="V585" i="18"/>
  <c r="W585" i="18" s="1"/>
  <c r="X585" i="18" s="1"/>
  <c r="Z585" i="18" s="1"/>
  <c r="AD641" i="18"/>
  <c r="V7" i="18"/>
  <c r="W7" i="18" s="1"/>
  <c r="X7" i="18" s="1"/>
  <c r="Z7" i="18" s="1"/>
  <c r="V57" i="18"/>
  <c r="W57" i="18" s="1"/>
  <c r="X57" i="18" s="1"/>
  <c r="Z57" i="18" s="1"/>
  <c r="AD63" i="18"/>
  <c r="AD106" i="18"/>
  <c r="V142" i="18"/>
  <c r="W142" i="18" s="1"/>
  <c r="X142" i="18" s="1"/>
  <c r="Z142" i="18" s="1"/>
  <c r="AC152" i="18"/>
  <c r="AD152" i="18" s="1"/>
  <c r="AD163" i="18"/>
  <c r="V165" i="18"/>
  <c r="W165" i="18" s="1"/>
  <c r="X165" i="18" s="1"/>
  <c r="Z165" i="18" s="1"/>
  <c r="V230" i="18"/>
  <c r="W230" i="18" s="1"/>
  <c r="X230" i="18" s="1"/>
  <c r="Z230" i="18" s="1"/>
  <c r="V346" i="18"/>
  <c r="W346" i="18" s="1"/>
  <c r="X346" i="18" s="1"/>
  <c r="Z346" i="18" s="1"/>
  <c r="V409" i="18"/>
  <c r="W409" i="18" s="1"/>
  <c r="X409" i="18" s="1"/>
  <c r="Z409" i="18" s="1"/>
  <c r="AD420" i="18"/>
  <c r="AD440" i="18"/>
  <c r="V459" i="18"/>
  <c r="W459" i="18" s="1"/>
  <c r="X459" i="18" s="1"/>
  <c r="Z459" i="18" s="1"/>
  <c r="V464" i="18"/>
  <c r="W464" i="18" s="1"/>
  <c r="X464" i="18" s="1"/>
  <c r="Z464" i="18" s="1"/>
  <c r="AB519" i="18"/>
  <c r="AD519" i="18" s="1"/>
  <c r="AB567" i="18"/>
  <c r="AC585" i="18"/>
  <c r="AD585" i="18" s="1"/>
  <c r="AD588" i="18"/>
  <c r="AB615" i="18"/>
  <c r="AD615" i="18" s="1"/>
  <c r="AD649" i="18"/>
  <c r="V665" i="18"/>
  <c r="W665" i="18" s="1"/>
  <c r="X665" i="18" s="1"/>
  <c r="Z665" i="18" s="1"/>
  <c r="AD68" i="18"/>
  <c r="V98" i="18"/>
  <c r="W98" i="18" s="1"/>
  <c r="X98" i="18" s="1"/>
  <c r="Z98" i="18" s="1"/>
  <c r="AD155" i="18"/>
  <c r="AB207" i="18"/>
  <c r="AD207" i="18" s="1"/>
  <c r="V253" i="18"/>
  <c r="W253" i="18" s="1"/>
  <c r="X253" i="18" s="1"/>
  <c r="Z253" i="18" s="1"/>
  <c r="V477" i="18"/>
  <c r="W477" i="18" s="1"/>
  <c r="X477" i="18" s="1"/>
  <c r="Z477" i="18" s="1"/>
  <c r="V485" i="18"/>
  <c r="W485" i="18" s="1"/>
  <c r="X485" i="18" s="1"/>
  <c r="Z485" i="18" s="1"/>
  <c r="V489" i="18"/>
  <c r="W489" i="18" s="1"/>
  <c r="X489" i="18" s="1"/>
  <c r="Z489" i="18" s="1"/>
  <c r="AD524" i="18"/>
  <c r="V530" i="18"/>
  <c r="W530" i="18" s="1"/>
  <c r="X530" i="18" s="1"/>
  <c r="Z530" i="18" s="1"/>
  <c r="V628" i="18"/>
  <c r="W628" i="18" s="1"/>
  <c r="X628" i="18" s="1"/>
  <c r="Z628" i="18" s="1"/>
  <c r="AB630" i="18"/>
  <c r="AD630" i="18" s="1"/>
  <c r="AD426" i="18"/>
  <c r="AD129" i="18"/>
  <c r="AD190" i="18"/>
  <c r="V381" i="18"/>
  <c r="W381" i="18" s="1"/>
  <c r="X381" i="18" s="1"/>
  <c r="Z381" i="18" s="1"/>
  <c r="V438" i="18"/>
  <c r="W438" i="18" s="1"/>
  <c r="X438" i="18" s="1"/>
  <c r="Z438" i="18" s="1"/>
  <c r="V440" i="18"/>
  <c r="W440" i="18" s="1"/>
  <c r="X440" i="18" s="1"/>
  <c r="Z440" i="18" s="1"/>
  <c r="V502" i="18"/>
  <c r="W502" i="18" s="1"/>
  <c r="X502" i="18" s="1"/>
  <c r="Z502" i="18" s="1"/>
  <c r="AD512" i="18"/>
  <c r="AD570" i="18"/>
  <c r="V30" i="18"/>
  <c r="W30" i="18" s="1"/>
  <c r="X30" i="18" s="1"/>
  <c r="Z30" i="18" s="1"/>
  <c r="V68" i="18"/>
  <c r="W68" i="18" s="1"/>
  <c r="X68" i="18" s="1"/>
  <c r="Z68" i="18" s="1"/>
  <c r="V85" i="18"/>
  <c r="W85" i="18" s="1"/>
  <c r="X85" i="18" s="1"/>
  <c r="Z85" i="18" s="1"/>
  <c r="V93" i="18"/>
  <c r="W93" i="18" s="1"/>
  <c r="X93" i="18" s="1"/>
  <c r="Z93" i="18" s="1"/>
  <c r="V140" i="18"/>
  <c r="W140" i="18" s="1"/>
  <c r="X140" i="18" s="1"/>
  <c r="Z140" i="18" s="1"/>
  <c r="AB142" i="18"/>
  <c r="AD142" i="18" s="1"/>
  <c r="V228" i="18"/>
  <c r="W228" i="18" s="1"/>
  <c r="X228" i="18" s="1"/>
  <c r="Z228" i="18" s="1"/>
  <c r="AB457" i="18"/>
  <c r="AD457" i="18" s="1"/>
  <c r="AD497" i="18"/>
  <c r="AD530" i="18"/>
  <c r="AD608" i="18"/>
  <c r="AD655" i="18"/>
  <c r="V21" i="18"/>
  <c r="W21" i="18" s="1"/>
  <c r="X21" i="18" s="1"/>
  <c r="Z21" i="18" s="1"/>
  <c r="AB28" i="18"/>
  <c r="V38" i="18"/>
  <c r="W38" i="18" s="1"/>
  <c r="X38" i="18" s="1"/>
  <c r="Z38" i="18" s="1"/>
  <c r="AB66" i="18"/>
  <c r="AD66" i="18" s="1"/>
  <c r="AD88" i="18"/>
  <c r="V166" i="18"/>
  <c r="W166" i="18" s="1"/>
  <c r="X166" i="18" s="1"/>
  <c r="Z166" i="18" s="1"/>
  <c r="V171" i="18"/>
  <c r="W171" i="18" s="1"/>
  <c r="X171" i="18" s="1"/>
  <c r="Z171" i="18" s="1"/>
  <c r="V182" i="18"/>
  <c r="W182" i="18" s="1"/>
  <c r="X182" i="18" s="1"/>
  <c r="Z182" i="18" s="1"/>
  <c r="V213" i="18"/>
  <c r="W213" i="18" s="1"/>
  <c r="X213" i="18" s="1"/>
  <c r="Z213" i="18" s="1"/>
  <c r="AD226" i="18"/>
  <c r="V241" i="18"/>
  <c r="W241" i="18" s="1"/>
  <c r="X241" i="18" s="1"/>
  <c r="Z241" i="18" s="1"/>
  <c r="AD249" i="18"/>
  <c r="V275" i="18"/>
  <c r="W275" i="18" s="1"/>
  <c r="X275" i="18" s="1"/>
  <c r="Z275" i="18" s="1"/>
  <c r="AB438" i="18"/>
  <c r="AD485" i="18"/>
  <c r="AB495" i="18"/>
  <c r="AD495" i="18" s="1"/>
  <c r="AD558" i="18"/>
  <c r="V626" i="18"/>
  <c r="W626" i="18" s="1"/>
  <c r="X626" i="18" s="1"/>
  <c r="Z626" i="18" s="1"/>
  <c r="AD650" i="18"/>
  <c r="AD682" i="18"/>
  <c r="V299" i="18"/>
  <c r="W299" i="18" s="1"/>
  <c r="X299" i="18" s="1"/>
  <c r="Z299" i="18" s="1"/>
  <c r="V339" i="18"/>
  <c r="W339" i="18" s="1"/>
  <c r="X339" i="18" s="1"/>
  <c r="Z339" i="18" s="1"/>
  <c r="V395" i="18"/>
  <c r="W395" i="18" s="1"/>
  <c r="X395" i="18" s="1"/>
  <c r="Z395" i="18" s="1"/>
  <c r="AB413" i="18"/>
  <c r="AD413" i="18" s="1"/>
  <c r="V428" i="18"/>
  <c r="W428" i="18" s="1"/>
  <c r="X428" i="18" s="1"/>
  <c r="Z428" i="18" s="1"/>
  <c r="AD468" i="18"/>
  <c r="AD500" i="18"/>
  <c r="AD508" i="18"/>
  <c r="V518" i="18"/>
  <c r="W518" i="18" s="1"/>
  <c r="X518" i="18" s="1"/>
  <c r="Z518" i="18" s="1"/>
  <c r="AB522" i="18"/>
  <c r="AD522" i="18" s="1"/>
  <c r="AD541" i="18"/>
  <c r="AD579" i="18"/>
  <c r="AD611" i="18"/>
  <c r="AC644" i="18"/>
  <c r="AD644" i="18" s="1"/>
  <c r="AD393" i="18"/>
  <c r="AD43" i="18"/>
  <c r="AD80" i="18"/>
  <c r="AD91" i="18"/>
  <c r="AD206" i="18"/>
  <c r="V211" i="18"/>
  <c r="W211" i="18" s="1"/>
  <c r="X211" i="18" s="1"/>
  <c r="Z211" i="18" s="1"/>
  <c r="V249" i="18"/>
  <c r="W249" i="18" s="1"/>
  <c r="X249" i="18" s="1"/>
  <c r="Z249" i="18" s="1"/>
  <c r="AD321" i="18"/>
  <c r="AD324" i="18"/>
  <c r="V342" i="18"/>
  <c r="W342" i="18" s="1"/>
  <c r="X342" i="18" s="1"/>
  <c r="Z342" i="18" s="1"/>
  <c r="AD358" i="18"/>
  <c r="AD368" i="18"/>
  <c r="V371" i="18"/>
  <c r="W371" i="18" s="1"/>
  <c r="X371" i="18" s="1"/>
  <c r="Z371" i="18" s="1"/>
  <c r="V416" i="18"/>
  <c r="W416" i="18" s="1"/>
  <c r="X416" i="18" s="1"/>
  <c r="Z416" i="18" s="1"/>
  <c r="V458" i="18"/>
  <c r="W458" i="18" s="1"/>
  <c r="X458" i="18" s="1"/>
  <c r="Z458" i="18" s="1"/>
  <c r="V478" i="18"/>
  <c r="W478" i="18" s="1"/>
  <c r="X478" i="18" s="1"/>
  <c r="Z478" i="18" s="1"/>
  <c r="AB510" i="18"/>
  <c r="AD510" i="18" s="1"/>
  <c r="V541" i="18"/>
  <c r="W541" i="18" s="1"/>
  <c r="X541" i="18" s="1"/>
  <c r="Z541" i="18" s="1"/>
  <c r="V556" i="18"/>
  <c r="W556" i="18" s="1"/>
  <c r="X556" i="18" s="1"/>
  <c r="Z556" i="18" s="1"/>
  <c r="V600" i="18"/>
  <c r="W600" i="18" s="1"/>
  <c r="X600" i="18" s="1"/>
  <c r="Z600" i="18" s="1"/>
  <c r="V603" i="18"/>
  <c r="W603" i="18" s="1"/>
  <c r="X603" i="18" s="1"/>
  <c r="Z603" i="18" s="1"/>
  <c r="V619" i="18"/>
  <c r="W619" i="18" s="1"/>
  <c r="X619" i="18" s="1"/>
  <c r="Z619" i="18" s="1"/>
  <c r="V640" i="18"/>
  <c r="W640" i="18" s="1"/>
  <c r="X640" i="18" s="1"/>
  <c r="Z640" i="18" s="1"/>
  <c r="AD661" i="18"/>
  <c r="AD677" i="18"/>
  <c r="V682" i="18"/>
  <c r="W682" i="18" s="1"/>
  <c r="X682" i="18" s="1"/>
  <c r="Z682" i="18" s="1"/>
  <c r="AD180" i="18"/>
  <c r="AD224" i="18"/>
  <c r="AD201" i="18"/>
  <c r="AD165" i="18"/>
  <c r="AD176" i="18"/>
  <c r="AD203" i="18"/>
  <c r="V460" i="18"/>
  <c r="W460" i="18" s="1"/>
  <c r="X460" i="18" s="1"/>
  <c r="Z460" i="18" s="1"/>
  <c r="AB460" i="18"/>
  <c r="AD460" i="18" s="1"/>
  <c r="V550" i="18"/>
  <c r="W550" i="18" s="1"/>
  <c r="X550" i="18" s="1"/>
  <c r="Z550" i="18" s="1"/>
  <c r="AB550" i="18"/>
  <c r="AD550" i="18" s="1"/>
  <c r="V15" i="18"/>
  <c r="W15" i="18" s="1"/>
  <c r="X15" i="18" s="1"/>
  <c r="Z15" i="18" s="1"/>
  <c r="AD17" i="18"/>
  <c r="AD23" i="18"/>
  <c r="AD25" i="18"/>
  <c r="AD58" i="18"/>
  <c r="AD60" i="18"/>
  <c r="V67" i="18"/>
  <c r="W67" i="18" s="1"/>
  <c r="X67" i="18" s="1"/>
  <c r="Z67" i="18" s="1"/>
  <c r="AD69" i="18"/>
  <c r="V71" i="18"/>
  <c r="W71" i="18" s="1"/>
  <c r="X71" i="18" s="1"/>
  <c r="Z71" i="18" s="1"/>
  <c r="V82" i="18"/>
  <c r="W82" i="18" s="1"/>
  <c r="X82" i="18" s="1"/>
  <c r="Z82" i="18" s="1"/>
  <c r="AC93" i="18"/>
  <c r="AD93" i="18" s="1"/>
  <c r="V100" i="18"/>
  <c r="W100" i="18" s="1"/>
  <c r="X100" i="18" s="1"/>
  <c r="Z100" i="18" s="1"/>
  <c r="AD104" i="18"/>
  <c r="V108" i="18"/>
  <c r="W108" i="18" s="1"/>
  <c r="X108" i="18" s="1"/>
  <c r="Z108" i="18" s="1"/>
  <c r="V113" i="18"/>
  <c r="W113" i="18" s="1"/>
  <c r="X113" i="18" s="1"/>
  <c r="Z113" i="18" s="1"/>
  <c r="V117" i="18"/>
  <c r="W117" i="18" s="1"/>
  <c r="X117" i="18" s="1"/>
  <c r="Z117" i="18" s="1"/>
  <c r="AC123" i="18"/>
  <c r="AD123" i="18" s="1"/>
  <c r="AD126" i="18"/>
  <c r="V138" i="18"/>
  <c r="W138" i="18" s="1"/>
  <c r="X138" i="18" s="1"/>
  <c r="Z138" i="18" s="1"/>
  <c r="V144" i="18"/>
  <c r="W144" i="18" s="1"/>
  <c r="X144" i="18" s="1"/>
  <c r="Z144" i="18" s="1"/>
  <c r="V158" i="18"/>
  <c r="W158" i="18" s="1"/>
  <c r="X158" i="18" s="1"/>
  <c r="Z158" i="18" s="1"/>
  <c r="AD167" i="18"/>
  <c r="AD173" i="18"/>
  <c r="AD186" i="18"/>
  <c r="AC193" i="18"/>
  <c r="AD193" i="18" s="1"/>
  <c r="V200" i="18"/>
  <c r="W200" i="18" s="1"/>
  <c r="X200" i="18" s="1"/>
  <c r="Z200" i="18" s="1"/>
  <c r="AC246" i="18"/>
  <c r="AD246" i="18" s="1"/>
  <c r="AC258" i="18"/>
  <c r="AD258" i="18" s="1"/>
  <c r="V274" i="18"/>
  <c r="W274" i="18" s="1"/>
  <c r="X274" i="18" s="1"/>
  <c r="Z274" i="18" s="1"/>
  <c r="AB274" i="18"/>
  <c r="AD274" i="18" s="1"/>
  <c r="AB284" i="18"/>
  <c r="AD284" i="18" s="1"/>
  <c r="V284" i="18"/>
  <c r="W284" i="18" s="1"/>
  <c r="X284" i="18" s="1"/>
  <c r="Z284" i="18" s="1"/>
  <c r="V305" i="18"/>
  <c r="W305" i="18" s="1"/>
  <c r="X305" i="18" s="1"/>
  <c r="Z305" i="18" s="1"/>
  <c r="AB305" i="18"/>
  <c r="AD305" i="18" s="1"/>
  <c r="AD343" i="18"/>
  <c r="AD507" i="18"/>
  <c r="V588" i="18"/>
  <c r="W588" i="18" s="1"/>
  <c r="X588" i="18" s="1"/>
  <c r="Z588" i="18" s="1"/>
  <c r="AB591" i="18"/>
  <c r="V591" i="18"/>
  <c r="W591" i="18" s="1"/>
  <c r="X591" i="18" s="1"/>
  <c r="Z591" i="18" s="1"/>
  <c r="V651" i="18"/>
  <c r="W651" i="18" s="1"/>
  <c r="X651" i="18" s="1"/>
  <c r="Z651" i="18" s="1"/>
  <c r="AB651" i="18"/>
  <c r="AD651" i="18" s="1"/>
  <c r="AD15" i="18"/>
  <c r="V17" i="18"/>
  <c r="W17" i="18" s="1"/>
  <c r="X17" i="18" s="1"/>
  <c r="Z17" i="18" s="1"/>
  <c r="AD30" i="18"/>
  <c r="V32" i="18"/>
  <c r="W32" i="18" s="1"/>
  <c r="X32" i="18" s="1"/>
  <c r="Z32" i="18" s="1"/>
  <c r="AB45" i="18"/>
  <c r="AD45" i="18" s="1"/>
  <c r="V58" i="18"/>
  <c r="W58" i="18" s="1"/>
  <c r="X58" i="18" s="1"/>
  <c r="Z58" i="18" s="1"/>
  <c r="V65" i="18"/>
  <c r="W65" i="18" s="1"/>
  <c r="X65" i="18" s="1"/>
  <c r="Z65" i="18" s="1"/>
  <c r="AD67" i="18"/>
  <c r="V74" i="18"/>
  <c r="W74" i="18" s="1"/>
  <c r="X74" i="18" s="1"/>
  <c r="Z74" i="18" s="1"/>
  <c r="AD96" i="18"/>
  <c r="V102" i="18"/>
  <c r="W102" i="18" s="1"/>
  <c r="X102" i="18" s="1"/>
  <c r="Z102" i="18" s="1"/>
  <c r="V104" i="18"/>
  <c r="W104" i="18" s="1"/>
  <c r="X104" i="18" s="1"/>
  <c r="Z104" i="18" s="1"/>
  <c r="V126" i="18"/>
  <c r="W126" i="18" s="1"/>
  <c r="X126" i="18" s="1"/>
  <c r="Z126" i="18" s="1"/>
  <c r="AD147" i="18"/>
  <c r="V161" i="18"/>
  <c r="W161" i="18" s="1"/>
  <c r="X161" i="18" s="1"/>
  <c r="Z161" i="18" s="1"/>
  <c r="V167" i="18"/>
  <c r="W167" i="18" s="1"/>
  <c r="X167" i="18" s="1"/>
  <c r="Z167" i="18" s="1"/>
  <c r="V169" i="18"/>
  <c r="W169" i="18" s="1"/>
  <c r="X169" i="18" s="1"/>
  <c r="Z169" i="18" s="1"/>
  <c r="V192" i="18"/>
  <c r="W192" i="18" s="1"/>
  <c r="X192" i="18" s="1"/>
  <c r="Z192" i="18" s="1"/>
  <c r="AD198" i="18"/>
  <c r="V206" i="18"/>
  <c r="W206" i="18" s="1"/>
  <c r="X206" i="18" s="1"/>
  <c r="Z206" i="18" s="1"/>
  <c r="V229" i="18"/>
  <c r="W229" i="18" s="1"/>
  <c r="X229" i="18" s="1"/>
  <c r="Z229" i="18" s="1"/>
  <c r="AC263" i="18"/>
  <c r="AD263" i="18" s="1"/>
  <c r="V263" i="18"/>
  <c r="W263" i="18" s="1"/>
  <c r="X263" i="18" s="1"/>
  <c r="Z263" i="18" s="1"/>
  <c r="V279" i="18"/>
  <c r="W279" i="18" s="1"/>
  <c r="X279" i="18" s="1"/>
  <c r="Z279" i="18" s="1"/>
  <c r="AB279" i="18"/>
  <c r="AD279" i="18" s="1"/>
  <c r="AB332" i="18"/>
  <c r="AD332" i="18" s="1"/>
  <c r="V356" i="18"/>
  <c r="W356" i="18" s="1"/>
  <c r="X356" i="18" s="1"/>
  <c r="Z356" i="18" s="1"/>
  <c r="AD397" i="18"/>
  <c r="AD471" i="18"/>
  <c r="AD662" i="18"/>
  <c r="AC292" i="18"/>
  <c r="AD292" i="18" s="1"/>
  <c r="V292" i="18"/>
  <c r="W292" i="18" s="1"/>
  <c r="X292" i="18" s="1"/>
  <c r="Z292" i="18" s="1"/>
  <c r="AB316" i="18"/>
  <c r="AD316" i="18" s="1"/>
  <c r="V316" i="18"/>
  <c r="W316" i="18" s="1"/>
  <c r="X316" i="18" s="1"/>
  <c r="Z316" i="18" s="1"/>
  <c r="V568" i="18"/>
  <c r="W568" i="18" s="1"/>
  <c r="X568" i="18" s="1"/>
  <c r="Z568" i="18" s="1"/>
  <c r="AB4" i="18"/>
  <c r="AD4" i="18" s="1"/>
  <c r="V11" i="18"/>
  <c r="W11" i="18" s="1"/>
  <c r="X11" i="18" s="1"/>
  <c r="Z11" i="18" s="1"/>
  <c r="AB21" i="18"/>
  <c r="AD21" i="18" s="1"/>
  <c r="V39" i="18"/>
  <c r="W39" i="18" s="1"/>
  <c r="X39" i="18" s="1"/>
  <c r="Z39" i="18" s="1"/>
  <c r="AB41" i="18"/>
  <c r="AD41" i="18" s="1"/>
  <c r="V43" i="18"/>
  <c r="W43" i="18" s="1"/>
  <c r="X43" i="18" s="1"/>
  <c r="Z43" i="18" s="1"/>
  <c r="V63" i="18"/>
  <c r="W63" i="18" s="1"/>
  <c r="X63" i="18" s="1"/>
  <c r="Z63" i="18" s="1"/>
  <c r="V87" i="18"/>
  <c r="W87" i="18" s="1"/>
  <c r="X87" i="18" s="1"/>
  <c r="Z87" i="18" s="1"/>
  <c r="AD94" i="18"/>
  <c r="V111" i="18"/>
  <c r="W111" i="18" s="1"/>
  <c r="X111" i="18" s="1"/>
  <c r="Z111" i="18" s="1"/>
  <c r="AD122" i="18"/>
  <c r="AD161" i="18"/>
  <c r="AD169" i="18"/>
  <c r="V176" i="18"/>
  <c r="W176" i="18" s="1"/>
  <c r="X176" i="18" s="1"/>
  <c r="Z176" i="18" s="1"/>
  <c r="AD178" i="18"/>
  <c r="V180" i="18"/>
  <c r="W180" i="18" s="1"/>
  <c r="X180" i="18" s="1"/>
  <c r="Z180" i="18" s="1"/>
  <c r="V184" i="18"/>
  <c r="W184" i="18" s="1"/>
  <c r="X184" i="18" s="1"/>
  <c r="Z184" i="18" s="1"/>
  <c r="AD192" i="18"/>
  <c r="AC204" i="18"/>
  <c r="AD204" i="18" s="1"/>
  <c r="V238" i="18"/>
  <c r="W238" i="18" s="1"/>
  <c r="X238" i="18" s="1"/>
  <c r="Z238" i="18" s="1"/>
  <c r="AC240" i="18"/>
  <c r="AD240" i="18" s="1"/>
  <c r="V344" i="18"/>
  <c r="W344" i="18" s="1"/>
  <c r="X344" i="18" s="1"/>
  <c r="Z344" i="18" s="1"/>
  <c r="AB344" i="18"/>
  <c r="AD344" i="18" s="1"/>
  <c r="AB371" i="18"/>
  <c r="AD371" i="18" s="1"/>
  <c r="AB534" i="18"/>
  <c r="AD534" i="18" s="1"/>
  <c r="V548" i="18"/>
  <c r="W548" i="18" s="1"/>
  <c r="X548" i="18" s="1"/>
  <c r="Z548" i="18" s="1"/>
  <c r="AC605" i="18"/>
  <c r="AD605" i="18" s="1"/>
  <c r="V605" i="18"/>
  <c r="W605" i="18" s="1"/>
  <c r="X605" i="18" s="1"/>
  <c r="Z605" i="18" s="1"/>
  <c r="AC639" i="18"/>
  <c r="V639" i="18"/>
  <c r="W639" i="18" s="1"/>
  <c r="X639" i="18" s="1"/>
  <c r="Z639" i="18" s="1"/>
  <c r="AD133" i="18"/>
  <c r="V8" i="18"/>
  <c r="W8" i="18" s="1"/>
  <c r="X8" i="18" s="1"/>
  <c r="Z8" i="18" s="1"/>
  <c r="AC195" i="18"/>
  <c r="AD195" i="18" s="1"/>
  <c r="V212" i="18"/>
  <c r="W212" i="18" s="1"/>
  <c r="X212" i="18" s="1"/>
  <c r="Z212" i="18" s="1"/>
  <c r="V336" i="18"/>
  <c r="W336" i="18" s="1"/>
  <c r="X336" i="18" s="1"/>
  <c r="Z336" i="18" s="1"/>
  <c r="AC336" i="18"/>
  <c r="AD336" i="18" s="1"/>
  <c r="AB2" i="18"/>
  <c r="AD2" i="18" s="1"/>
  <c r="V26" i="18"/>
  <c r="W26" i="18" s="1"/>
  <c r="X26" i="18" s="1"/>
  <c r="Z26" i="18" s="1"/>
  <c r="AD28" i="18"/>
  <c r="AD54" i="18"/>
  <c r="V92" i="18"/>
  <c r="W92" i="18" s="1"/>
  <c r="X92" i="18" s="1"/>
  <c r="Z92" i="18" s="1"/>
  <c r="AD102" i="18"/>
  <c r="AD109" i="18"/>
  <c r="V118" i="18"/>
  <c r="W118" i="18" s="1"/>
  <c r="X118" i="18" s="1"/>
  <c r="Z118" i="18" s="1"/>
  <c r="AD120" i="18"/>
  <c r="V132" i="18"/>
  <c r="W132" i="18" s="1"/>
  <c r="X132" i="18" s="1"/>
  <c r="Z132" i="18" s="1"/>
  <c r="V145" i="18"/>
  <c r="W145" i="18" s="1"/>
  <c r="X145" i="18" s="1"/>
  <c r="Z145" i="18" s="1"/>
  <c r="V147" i="18"/>
  <c r="W147" i="18" s="1"/>
  <c r="X147" i="18" s="1"/>
  <c r="Z147" i="18" s="1"/>
  <c r="V164" i="18"/>
  <c r="W164" i="18" s="1"/>
  <c r="X164" i="18" s="1"/>
  <c r="Z164" i="18" s="1"/>
  <c r="AD187" i="18"/>
  <c r="V191" i="18"/>
  <c r="W191" i="18" s="1"/>
  <c r="X191" i="18" s="1"/>
  <c r="Z191" i="18" s="1"/>
  <c r="V196" i="18"/>
  <c r="W196" i="18" s="1"/>
  <c r="X196" i="18" s="1"/>
  <c r="Z196" i="18" s="1"/>
  <c r="V198" i="18"/>
  <c r="W198" i="18" s="1"/>
  <c r="X198" i="18" s="1"/>
  <c r="Z198" i="18" s="1"/>
  <c r="V277" i="18"/>
  <c r="W277" i="18" s="1"/>
  <c r="X277" i="18" s="1"/>
  <c r="Z277" i="18" s="1"/>
  <c r="AC282" i="18"/>
  <c r="AD282" i="18" s="1"/>
  <c r="V282" i="18"/>
  <c r="W282" i="18" s="1"/>
  <c r="X282" i="18" s="1"/>
  <c r="Z282" i="18" s="1"/>
  <c r="V311" i="18"/>
  <c r="W311" i="18" s="1"/>
  <c r="X311" i="18" s="1"/>
  <c r="Z311" i="18" s="1"/>
  <c r="AB311" i="18"/>
  <c r="AD311" i="18" s="1"/>
  <c r="AD374" i="18"/>
  <c r="AC445" i="18"/>
  <c r="AD445" i="18" s="1"/>
  <c r="AD561" i="18"/>
  <c r="V649" i="18"/>
  <c r="W649" i="18" s="1"/>
  <c r="X649" i="18" s="1"/>
  <c r="Z649" i="18" s="1"/>
  <c r="AC670" i="18"/>
  <c r="AD670" i="18" s="1"/>
  <c r="V670" i="18"/>
  <c r="W670" i="18" s="1"/>
  <c r="X670" i="18" s="1"/>
  <c r="Z670" i="18" s="1"/>
  <c r="V358" i="18"/>
  <c r="W358" i="18" s="1"/>
  <c r="X358" i="18" s="1"/>
  <c r="Z358" i="18" s="1"/>
  <c r="AD24" i="18"/>
  <c r="AD35" i="18"/>
  <c r="AD87" i="18"/>
  <c r="AD99" i="18"/>
  <c r="V203" i="18"/>
  <c r="W203" i="18" s="1"/>
  <c r="X203" i="18" s="1"/>
  <c r="Z203" i="18" s="1"/>
  <c r="V298" i="18"/>
  <c r="W298" i="18" s="1"/>
  <c r="X298" i="18" s="1"/>
  <c r="Z298" i="18" s="1"/>
  <c r="AC298" i="18"/>
  <c r="AD298" i="18" s="1"/>
  <c r="V349" i="18"/>
  <c r="W349" i="18" s="1"/>
  <c r="X349" i="18" s="1"/>
  <c r="Z349" i="18" s="1"/>
  <c r="AB352" i="18"/>
  <c r="AD352" i="18" s="1"/>
  <c r="V352" i="18"/>
  <c r="W352" i="18" s="1"/>
  <c r="X352" i="18" s="1"/>
  <c r="Z352" i="18" s="1"/>
  <c r="AD47" i="18"/>
  <c r="V80" i="18"/>
  <c r="W80" i="18" s="1"/>
  <c r="X80" i="18" s="1"/>
  <c r="Z80" i="18" s="1"/>
  <c r="AD33" i="18"/>
  <c r="AD50" i="18"/>
  <c r="V70" i="18"/>
  <c r="W70" i="18" s="1"/>
  <c r="X70" i="18" s="1"/>
  <c r="Z70" i="18" s="1"/>
  <c r="AD83" i="18"/>
  <c r="AB92" i="18"/>
  <c r="AD92" i="18" s="1"/>
  <c r="V99" i="18"/>
  <c r="W99" i="18" s="1"/>
  <c r="X99" i="18" s="1"/>
  <c r="Z99" i="18" s="1"/>
  <c r="V105" i="18"/>
  <c r="W105" i="18" s="1"/>
  <c r="X105" i="18" s="1"/>
  <c r="Z105" i="18" s="1"/>
  <c r="AB118" i="18"/>
  <c r="AD118" i="18" s="1"/>
  <c r="V120" i="18"/>
  <c r="W120" i="18" s="1"/>
  <c r="X120" i="18" s="1"/>
  <c r="Z120" i="18" s="1"/>
  <c r="V134" i="18"/>
  <c r="W134" i="18" s="1"/>
  <c r="X134" i="18" s="1"/>
  <c r="Z134" i="18" s="1"/>
  <c r="AB145" i="18"/>
  <c r="AD145" i="18" s="1"/>
  <c r="AD157" i="18"/>
  <c r="AD164" i="18"/>
  <c r="V187" i="18"/>
  <c r="W187" i="18" s="1"/>
  <c r="X187" i="18" s="1"/>
  <c r="Z187" i="18" s="1"/>
  <c r="AB194" i="18"/>
  <c r="AD194" i="18" s="1"/>
  <c r="AB196" i="18"/>
  <c r="AD196" i="18" s="1"/>
  <c r="V201" i="18"/>
  <c r="W201" i="18" s="1"/>
  <c r="X201" i="18" s="1"/>
  <c r="Z201" i="18" s="1"/>
  <c r="V205" i="18"/>
  <c r="W205" i="18" s="1"/>
  <c r="X205" i="18" s="1"/>
  <c r="Z205" i="18" s="1"/>
  <c r="V224" i="18"/>
  <c r="W224" i="18" s="1"/>
  <c r="X224" i="18" s="1"/>
  <c r="Z224" i="18" s="1"/>
  <c r="AD241" i="18"/>
  <c r="V393" i="18"/>
  <c r="W393" i="18" s="1"/>
  <c r="X393" i="18" s="1"/>
  <c r="Z393" i="18" s="1"/>
  <c r="V484" i="18"/>
  <c r="W484" i="18" s="1"/>
  <c r="X484" i="18" s="1"/>
  <c r="Z484" i="18" s="1"/>
  <c r="AB484" i="18"/>
  <c r="AD484" i="18" s="1"/>
  <c r="V508" i="18"/>
  <c r="W508" i="18" s="1"/>
  <c r="X508" i="18" s="1"/>
  <c r="Z508" i="18" s="1"/>
  <c r="V611" i="18"/>
  <c r="W611" i="18" s="1"/>
  <c r="X611" i="18" s="1"/>
  <c r="Z611" i="18" s="1"/>
  <c r="AB614" i="18"/>
  <c r="AD614" i="18" s="1"/>
  <c r="V614" i="18"/>
  <c r="W614" i="18" s="1"/>
  <c r="X614" i="18" s="1"/>
  <c r="Z614" i="18" s="1"/>
  <c r="AD663" i="18"/>
  <c r="AD330" i="18"/>
  <c r="V3" i="18"/>
  <c r="W3" i="18" s="1"/>
  <c r="X3" i="18" s="1"/>
  <c r="Z3" i="18" s="1"/>
  <c r="AD5" i="18"/>
  <c r="AD18" i="18"/>
  <c r="AD22" i="18"/>
  <c r="V42" i="18"/>
  <c r="W42" i="18" s="1"/>
  <c r="X42" i="18" s="1"/>
  <c r="Z42" i="18" s="1"/>
  <c r="AD44" i="18"/>
  <c r="V46" i="18"/>
  <c r="W46" i="18" s="1"/>
  <c r="X46" i="18" s="1"/>
  <c r="Z46" i="18" s="1"/>
  <c r="AD59" i="18"/>
  <c r="V77" i="18"/>
  <c r="W77" i="18" s="1"/>
  <c r="X77" i="18" s="1"/>
  <c r="Z77" i="18" s="1"/>
  <c r="AB79" i="18"/>
  <c r="AD79" i="18" s="1"/>
  <c r="AB81" i="18"/>
  <c r="AD81" i="18" s="1"/>
  <c r="V86" i="18"/>
  <c r="W86" i="18" s="1"/>
  <c r="X86" i="18" s="1"/>
  <c r="Z86" i="18" s="1"/>
  <c r="V112" i="18"/>
  <c r="W112" i="18" s="1"/>
  <c r="X112" i="18" s="1"/>
  <c r="Z112" i="18" s="1"/>
  <c r="V125" i="18"/>
  <c r="W125" i="18" s="1"/>
  <c r="X125" i="18" s="1"/>
  <c r="Z125" i="18" s="1"/>
  <c r="V129" i="18"/>
  <c r="W129" i="18" s="1"/>
  <c r="X129" i="18" s="1"/>
  <c r="Z129" i="18" s="1"/>
  <c r="AC134" i="18"/>
  <c r="AD134" i="18" s="1"/>
  <c r="V168" i="18"/>
  <c r="W168" i="18" s="1"/>
  <c r="X168" i="18" s="1"/>
  <c r="Z168" i="18" s="1"/>
  <c r="AD199" i="18"/>
  <c r="V209" i="18"/>
  <c r="W209" i="18" s="1"/>
  <c r="X209" i="18" s="1"/>
  <c r="Z209" i="18" s="1"/>
  <c r="AD211" i="18"/>
  <c r="V226" i="18"/>
  <c r="W226" i="18" s="1"/>
  <c r="X226" i="18" s="1"/>
  <c r="Z226" i="18" s="1"/>
  <c r="V252" i="18"/>
  <c r="W252" i="18" s="1"/>
  <c r="X252" i="18" s="1"/>
  <c r="Z252" i="18" s="1"/>
  <c r="AC252" i="18"/>
  <c r="AD252" i="18" s="1"/>
  <c r="AB275" i="18"/>
  <c r="AD275" i="18" s="1"/>
  <c r="V285" i="18"/>
  <c r="W285" i="18" s="1"/>
  <c r="X285" i="18" s="1"/>
  <c r="Z285" i="18" s="1"/>
  <c r="AD304" i="18"/>
  <c r="AD345" i="18"/>
  <c r="AC391" i="18"/>
  <c r="AD391" i="18" s="1"/>
  <c r="V391" i="18"/>
  <c r="W391" i="18" s="1"/>
  <c r="X391" i="18" s="1"/>
  <c r="Z391" i="18" s="1"/>
  <c r="AB411" i="18"/>
  <c r="AD411" i="18" s="1"/>
  <c r="V411" i="18"/>
  <c r="W411" i="18" s="1"/>
  <c r="X411" i="18" s="1"/>
  <c r="Z411" i="18" s="1"/>
  <c r="V421" i="18"/>
  <c r="W421" i="18" s="1"/>
  <c r="X421" i="18" s="1"/>
  <c r="Z421" i="18" s="1"/>
  <c r="AD446" i="18"/>
  <c r="AD496" i="18"/>
  <c r="AD520" i="18"/>
  <c r="AB647" i="18"/>
  <c r="AD647" i="18" s="1"/>
  <c r="V647" i="18"/>
  <c r="W647" i="18" s="1"/>
  <c r="X647" i="18" s="1"/>
  <c r="Z647" i="18" s="1"/>
  <c r="V679" i="18"/>
  <c r="W679" i="18" s="1"/>
  <c r="X679" i="18" s="1"/>
  <c r="Z679" i="18" s="1"/>
  <c r="AC679" i="18"/>
  <c r="AD679" i="18" s="1"/>
  <c r="V75" i="18"/>
  <c r="W75" i="18" s="1"/>
  <c r="X75" i="18" s="1"/>
  <c r="Z75" i="18" s="1"/>
  <c r="AD132" i="18"/>
  <c r="AD153" i="18"/>
  <c r="AB166" i="18"/>
  <c r="V170" i="18"/>
  <c r="W170" i="18" s="1"/>
  <c r="X170" i="18" s="1"/>
  <c r="Z170" i="18" s="1"/>
  <c r="AD191" i="18"/>
  <c r="AD220" i="18"/>
  <c r="V248" i="18"/>
  <c r="W248" i="18" s="1"/>
  <c r="X248" i="18" s="1"/>
  <c r="Z248" i="18" s="1"/>
  <c r="AB248" i="18"/>
  <c r="AD248" i="18" s="1"/>
  <c r="V255" i="18"/>
  <c r="W255" i="18" s="1"/>
  <c r="X255" i="18" s="1"/>
  <c r="Z255" i="18" s="1"/>
  <c r="AB255" i="18"/>
  <c r="AD255" i="18" s="1"/>
  <c r="AB320" i="18"/>
  <c r="AD320" i="18" s="1"/>
  <c r="V320" i="18"/>
  <c r="W320" i="18" s="1"/>
  <c r="X320" i="18" s="1"/>
  <c r="Z320" i="18" s="1"/>
  <c r="AD337" i="18"/>
  <c r="V449" i="18"/>
  <c r="W449" i="18" s="1"/>
  <c r="X449" i="18" s="1"/>
  <c r="Z449" i="18" s="1"/>
  <c r="AB449" i="18"/>
  <c r="V666" i="18"/>
  <c r="W666" i="18" s="1"/>
  <c r="X666" i="18" s="1"/>
  <c r="Z666" i="18" s="1"/>
  <c r="AB666" i="18"/>
  <c r="AD666" i="18" s="1"/>
  <c r="AD131" i="18"/>
  <c r="AB78" i="18"/>
  <c r="AD78" i="18" s="1"/>
  <c r="AD238" i="18"/>
  <c r="AD3" i="18"/>
  <c r="V5" i="18"/>
  <c r="W5" i="18" s="1"/>
  <c r="X5" i="18" s="1"/>
  <c r="Z5" i="18" s="1"/>
  <c r="V18" i="18"/>
  <c r="W18" i="18" s="1"/>
  <c r="X18" i="18" s="1"/>
  <c r="Z18" i="18" s="1"/>
  <c r="V40" i="18"/>
  <c r="W40" i="18" s="1"/>
  <c r="X40" i="18" s="1"/>
  <c r="Z40" i="18" s="1"/>
  <c r="AD42" i="18"/>
  <c r="V62" i="18"/>
  <c r="W62" i="18" s="1"/>
  <c r="X62" i="18" s="1"/>
  <c r="Z62" i="18" s="1"/>
  <c r="AB86" i="18"/>
  <c r="AD86" i="18" s="1"/>
  <c r="AB112" i="18"/>
  <c r="AD112" i="18" s="1"/>
  <c r="AB125" i="18"/>
  <c r="AD125" i="18" s="1"/>
  <c r="V131" i="18"/>
  <c r="W131" i="18" s="1"/>
  <c r="X131" i="18" s="1"/>
  <c r="Z131" i="18" s="1"/>
  <c r="AC168" i="18"/>
  <c r="AD168" i="18" s="1"/>
  <c r="AD177" i="18"/>
  <c r="AD205" i="18"/>
  <c r="AB370" i="18"/>
  <c r="AD370" i="18" s="1"/>
  <c r="V370" i="18"/>
  <c r="W370" i="18" s="1"/>
  <c r="X370" i="18" s="1"/>
  <c r="Z370" i="18" s="1"/>
  <c r="AD547" i="18"/>
  <c r="AD632" i="18"/>
  <c r="V653" i="18"/>
  <c r="W653" i="18" s="1"/>
  <c r="X653" i="18" s="1"/>
  <c r="Z653" i="18" s="1"/>
  <c r="AB653" i="18"/>
  <c r="AD653" i="18" s="1"/>
  <c r="AD8" i="18"/>
  <c r="V133" i="18"/>
  <c r="W133" i="18" s="1"/>
  <c r="X133" i="18" s="1"/>
  <c r="Z133" i="18" s="1"/>
  <c r="AB251" i="18"/>
  <c r="AD251" i="18" s="1"/>
  <c r="V251" i="18"/>
  <c r="W251" i="18" s="1"/>
  <c r="X251" i="18" s="1"/>
  <c r="Z251" i="18" s="1"/>
  <c r="AD16" i="18"/>
  <c r="AD55" i="18"/>
  <c r="AD10" i="18"/>
  <c r="AD12" i="18"/>
  <c r="V27" i="18"/>
  <c r="W27" i="18" s="1"/>
  <c r="X27" i="18" s="1"/>
  <c r="Z27" i="18" s="1"/>
  <c r="AB29" i="18"/>
  <c r="AD29" i="18" s="1"/>
  <c r="AD36" i="18"/>
  <c r="V51" i="18"/>
  <c r="W51" i="18" s="1"/>
  <c r="X51" i="18" s="1"/>
  <c r="Z51" i="18" s="1"/>
  <c r="AB53" i="18"/>
  <c r="AD53" i="18" s="1"/>
  <c r="V55" i="18"/>
  <c r="W55" i="18" s="1"/>
  <c r="X55" i="18" s="1"/>
  <c r="Z55" i="18" s="1"/>
  <c r="AD71" i="18"/>
  <c r="AD84" i="18"/>
  <c r="V106" i="18"/>
  <c r="W106" i="18" s="1"/>
  <c r="X106" i="18" s="1"/>
  <c r="Z106" i="18" s="1"/>
  <c r="AD108" i="18"/>
  <c r="AD114" i="18"/>
  <c r="AD135" i="18"/>
  <c r="V151" i="18"/>
  <c r="W151" i="18" s="1"/>
  <c r="X151" i="18" s="1"/>
  <c r="Z151" i="18" s="1"/>
  <c r="V163" i="18"/>
  <c r="W163" i="18" s="1"/>
  <c r="X163" i="18" s="1"/>
  <c r="Z163" i="18" s="1"/>
  <c r="V188" i="18"/>
  <c r="W188" i="18" s="1"/>
  <c r="X188" i="18" s="1"/>
  <c r="Z188" i="18" s="1"/>
  <c r="V233" i="18"/>
  <c r="W233" i="18" s="1"/>
  <c r="X233" i="18" s="1"/>
  <c r="Z233" i="18" s="1"/>
  <c r="AB265" i="18"/>
  <c r="AD265" i="18" s="1"/>
  <c r="V265" i="18"/>
  <c r="W265" i="18" s="1"/>
  <c r="X265" i="18" s="1"/>
  <c r="Z265" i="18" s="1"/>
  <c r="V340" i="18"/>
  <c r="W340" i="18" s="1"/>
  <c r="X340" i="18" s="1"/>
  <c r="Z340" i="18" s="1"/>
  <c r="AC367" i="18"/>
  <c r="AD367" i="18" s="1"/>
  <c r="AD383" i="18"/>
  <c r="V394" i="18"/>
  <c r="W394" i="18" s="1"/>
  <c r="X394" i="18" s="1"/>
  <c r="Z394" i="18" s="1"/>
  <c r="AB394" i="18"/>
  <c r="AD394" i="18" s="1"/>
  <c r="AC441" i="18"/>
  <c r="AD441" i="18" s="1"/>
  <c r="V441" i="18"/>
  <c r="W441" i="18" s="1"/>
  <c r="X441" i="18" s="1"/>
  <c r="Z441" i="18" s="1"/>
  <c r="AD604" i="18"/>
  <c r="V607" i="18"/>
  <c r="W607" i="18" s="1"/>
  <c r="X607" i="18" s="1"/>
  <c r="Z607" i="18" s="1"/>
  <c r="AB607" i="18"/>
  <c r="AD607" i="18" s="1"/>
  <c r="AD635" i="18"/>
  <c r="AC264" i="18"/>
  <c r="AD264" i="18" s="1"/>
  <c r="AD269" i="18"/>
  <c r="V271" i="18"/>
  <c r="W271" i="18" s="1"/>
  <c r="X271" i="18" s="1"/>
  <c r="Z271" i="18" s="1"/>
  <c r="V308" i="18"/>
  <c r="W308" i="18" s="1"/>
  <c r="X308" i="18" s="1"/>
  <c r="Z308" i="18" s="1"/>
  <c r="AD328" i="18"/>
  <c r="V330" i="18"/>
  <c r="W330" i="18" s="1"/>
  <c r="X330" i="18" s="1"/>
  <c r="Z330" i="18" s="1"/>
  <c r="V345" i="18"/>
  <c r="W345" i="18" s="1"/>
  <c r="X345" i="18" s="1"/>
  <c r="Z345" i="18" s="1"/>
  <c r="AD347" i="18"/>
  <c r="AD388" i="18"/>
  <c r="AD436" i="18"/>
  <c r="V443" i="18"/>
  <c r="W443" i="18" s="1"/>
  <c r="X443" i="18" s="1"/>
  <c r="Z443" i="18" s="1"/>
  <c r="V447" i="18"/>
  <c r="W447" i="18" s="1"/>
  <c r="X447" i="18" s="1"/>
  <c r="Z447" i="18" s="1"/>
  <c r="AD490" i="18"/>
  <c r="V494" i="18"/>
  <c r="W494" i="18" s="1"/>
  <c r="X494" i="18" s="1"/>
  <c r="Z494" i="18" s="1"/>
  <c r="V497" i="18"/>
  <c r="W497" i="18" s="1"/>
  <c r="X497" i="18" s="1"/>
  <c r="Z497" i="18" s="1"/>
  <c r="AB509" i="18"/>
  <c r="AD509" i="18" s="1"/>
  <c r="AD525" i="18"/>
  <c r="V536" i="18"/>
  <c r="W536" i="18" s="1"/>
  <c r="X536" i="18" s="1"/>
  <c r="Z536" i="18" s="1"/>
  <c r="AD552" i="18"/>
  <c r="AB556" i="18"/>
  <c r="AD556" i="18" s="1"/>
  <c r="AB559" i="18"/>
  <c r="AD559" i="18" s="1"/>
  <c r="AD563" i="18"/>
  <c r="AD571" i="18"/>
  <c r="V584" i="18"/>
  <c r="W584" i="18" s="1"/>
  <c r="X584" i="18" s="1"/>
  <c r="Z584" i="18" s="1"/>
  <c r="AB640" i="18"/>
  <c r="AD640" i="18" s="1"/>
  <c r="V655" i="18"/>
  <c r="W655" i="18" s="1"/>
  <c r="X655" i="18" s="1"/>
  <c r="Z655" i="18" s="1"/>
  <c r="V657" i="18"/>
  <c r="W657" i="18" s="1"/>
  <c r="X657" i="18" s="1"/>
  <c r="Z657" i="18" s="1"/>
  <c r="V681" i="18"/>
  <c r="W681" i="18" s="1"/>
  <c r="X681" i="18" s="1"/>
  <c r="Z681" i="18" s="1"/>
  <c r="V267" i="18"/>
  <c r="W267" i="18" s="1"/>
  <c r="X267" i="18" s="1"/>
  <c r="Z267" i="18" s="1"/>
  <c r="V269" i="18"/>
  <c r="W269" i="18" s="1"/>
  <c r="X269" i="18" s="1"/>
  <c r="Z269" i="18" s="1"/>
  <c r="AB308" i="18"/>
  <c r="AD308" i="18" s="1"/>
  <c r="V328" i="18"/>
  <c r="W328" i="18" s="1"/>
  <c r="X328" i="18" s="1"/>
  <c r="Z328" i="18" s="1"/>
  <c r="V334" i="18"/>
  <c r="W334" i="18" s="1"/>
  <c r="X334" i="18" s="1"/>
  <c r="Z334" i="18" s="1"/>
  <c r="V347" i="18"/>
  <c r="W347" i="18" s="1"/>
  <c r="X347" i="18" s="1"/>
  <c r="Z347" i="18" s="1"/>
  <c r="AD360" i="18"/>
  <c r="V382" i="18"/>
  <c r="W382" i="18" s="1"/>
  <c r="X382" i="18" s="1"/>
  <c r="Z382" i="18" s="1"/>
  <c r="V396" i="18"/>
  <c r="W396" i="18" s="1"/>
  <c r="X396" i="18" s="1"/>
  <c r="Z396" i="18" s="1"/>
  <c r="AD419" i="18"/>
  <c r="V423" i="18"/>
  <c r="W423" i="18" s="1"/>
  <c r="X423" i="18" s="1"/>
  <c r="Z423" i="18" s="1"/>
  <c r="AB447" i="18"/>
  <c r="AD447" i="18" s="1"/>
  <c r="V451" i="18"/>
  <c r="W451" i="18" s="1"/>
  <c r="X451" i="18" s="1"/>
  <c r="Z451" i="18" s="1"/>
  <c r="V453" i="18"/>
  <c r="W453" i="18" s="1"/>
  <c r="X453" i="18" s="1"/>
  <c r="Z453" i="18" s="1"/>
  <c r="AD469" i="18"/>
  <c r="V471" i="18"/>
  <c r="W471" i="18" s="1"/>
  <c r="X471" i="18" s="1"/>
  <c r="Z471" i="18" s="1"/>
  <c r="V490" i="18"/>
  <c r="W490" i="18" s="1"/>
  <c r="X490" i="18" s="1"/>
  <c r="Z490" i="18" s="1"/>
  <c r="AC494" i="18"/>
  <c r="AD494" i="18" s="1"/>
  <c r="V499" i="18"/>
  <c r="W499" i="18" s="1"/>
  <c r="X499" i="18" s="1"/>
  <c r="Z499" i="18" s="1"/>
  <c r="AD501" i="18"/>
  <c r="V521" i="18"/>
  <c r="W521" i="18" s="1"/>
  <c r="X521" i="18" s="1"/>
  <c r="Z521" i="18" s="1"/>
  <c r="AD523" i="18"/>
  <c r="V525" i="18"/>
  <c r="W525" i="18" s="1"/>
  <c r="X525" i="18" s="1"/>
  <c r="Z525" i="18" s="1"/>
  <c r="V552" i="18"/>
  <c r="W552" i="18" s="1"/>
  <c r="X552" i="18" s="1"/>
  <c r="Z552" i="18" s="1"/>
  <c r="AD584" i="18"/>
  <c r="V593" i="18"/>
  <c r="W593" i="18" s="1"/>
  <c r="X593" i="18" s="1"/>
  <c r="Z593" i="18" s="1"/>
  <c r="V618" i="18"/>
  <c r="W618" i="18" s="1"/>
  <c r="X618" i="18" s="1"/>
  <c r="Z618" i="18" s="1"/>
  <c r="V622" i="18"/>
  <c r="W622" i="18" s="1"/>
  <c r="X622" i="18" s="1"/>
  <c r="Z622" i="18" s="1"/>
  <c r="AD628" i="18"/>
  <c r="V643" i="18"/>
  <c r="W643" i="18" s="1"/>
  <c r="X643" i="18" s="1"/>
  <c r="Z643" i="18" s="1"/>
  <c r="V668" i="18"/>
  <c r="W668" i="18" s="1"/>
  <c r="X668" i="18" s="1"/>
  <c r="Z668" i="18" s="1"/>
  <c r="AD421" i="18"/>
  <c r="AD555" i="18"/>
  <c r="AD564" i="18"/>
  <c r="AD616" i="18"/>
  <c r="AD259" i="18"/>
  <c r="AD261" i="18"/>
  <c r="AD334" i="18"/>
  <c r="AB382" i="18"/>
  <c r="AD382" i="18" s="1"/>
  <c r="V384" i="18"/>
  <c r="W384" i="18" s="1"/>
  <c r="X384" i="18" s="1"/>
  <c r="Z384" i="18" s="1"/>
  <c r="V427" i="18"/>
  <c r="W427" i="18" s="1"/>
  <c r="X427" i="18" s="1"/>
  <c r="Z427" i="18" s="1"/>
  <c r="V433" i="18"/>
  <c r="W433" i="18" s="1"/>
  <c r="X433" i="18" s="1"/>
  <c r="Z433" i="18" s="1"/>
  <c r="V465" i="18"/>
  <c r="W465" i="18" s="1"/>
  <c r="X465" i="18" s="1"/>
  <c r="Z465" i="18" s="1"/>
  <c r="V483" i="18"/>
  <c r="W483" i="18" s="1"/>
  <c r="X483" i="18" s="1"/>
  <c r="Z483" i="18" s="1"/>
  <c r="V496" i="18"/>
  <c r="W496" i="18" s="1"/>
  <c r="X496" i="18" s="1"/>
  <c r="Z496" i="18" s="1"/>
  <c r="AB499" i="18"/>
  <c r="AD499" i="18" s="1"/>
  <c r="V501" i="18"/>
  <c r="W501" i="18" s="1"/>
  <c r="X501" i="18" s="1"/>
  <c r="Z501" i="18" s="1"/>
  <c r="V503" i="18"/>
  <c r="W503" i="18" s="1"/>
  <c r="X503" i="18" s="1"/>
  <c r="Z503" i="18" s="1"/>
  <c r="V507" i="18"/>
  <c r="W507" i="18" s="1"/>
  <c r="X507" i="18" s="1"/>
  <c r="Z507" i="18" s="1"/>
  <c r="AD521" i="18"/>
  <c r="V555" i="18"/>
  <c r="W555" i="18" s="1"/>
  <c r="X555" i="18" s="1"/>
  <c r="Z555" i="18" s="1"/>
  <c r="V570" i="18"/>
  <c r="W570" i="18" s="1"/>
  <c r="X570" i="18" s="1"/>
  <c r="Z570" i="18" s="1"/>
  <c r="V576" i="18"/>
  <c r="W576" i="18" s="1"/>
  <c r="X576" i="18" s="1"/>
  <c r="Z576" i="18" s="1"/>
  <c r="V581" i="18"/>
  <c r="W581" i="18" s="1"/>
  <c r="X581" i="18" s="1"/>
  <c r="Z581" i="18" s="1"/>
  <c r="V597" i="18"/>
  <c r="W597" i="18" s="1"/>
  <c r="X597" i="18" s="1"/>
  <c r="Z597" i="18" s="1"/>
  <c r="V599" i="18"/>
  <c r="W599" i="18" s="1"/>
  <c r="X599" i="18" s="1"/>
  <c r="Z599" i="18" s="1"/>
  <c r="AD618" i="18"/>
  <c r="AD622" i="18"/>
  <c r="V627" i="18"/>
  <c r="W627" i="18" s="1"/>
  <c r="X627" i="18" s="1"/>
  <c r="Z627" i="18" s="1"/>
  <c r="AD639" i="18"/>
  <c r="AD643" i="18"/>
  <c r="AD675" i="18"/>
  <c r="V243" i="18"/>
  <c r="W243" i="18" s="1"/>
  <c r="X243" i="18" s="1"/>
  <c r="Z243" i="18" s="1"/>
  <c r="AB267" i="18"/>
  <c r="AD267" i="18" s="1"/>
  <c r="AD288" i="18"/>
  <c r="V294" i="18"/>
  <c r="W294" i="18" s="1"/>
  <c r="X294" i="18" s="1"/>
  <c r="Z294" i="18" s="1"/>
  <c r="V309" i="18"/>
  <c r="W309" i="18" s="1"/>
  <c r="X309" i="18" s="1"/>
  <c r="Z309" i="18" s="1"/>
  <c r="V372" i="18"/>
  <c r="W372" i="18" s="1"/>
  <c r="X372" i="18" s="1"/>
  <c r="Z372" i="18" s="1"/>
  <c r="AC396" i="18"/>
  <c r="AD396" i="18" s="1"/>
  <c r="AB423" i="18"/>
  <c r="AD423" i="18" s="1"/>
  <c r="AB425" i="18"/>
  <c r="AD425" i="18" s="1"/>
  <c r="AC427" i="18"/>
  <c r="AD427" i="18" s="1"/>
  <c r="V429" i="18"/>
  <c r="W429" i="18" s="1"/>
  <c r="X429" i="18" s="1"/>
  <c r="Z429" i="18" s="1"/>
  <c r="V473" i="18"/>
  <c r="W473" i="18" s="1"/>
  <c r="X473" i="18" s="1"/>
  <c r="Z473" i="18" s="1"/>
  <c r="V517" i="18"/>
  <c r="W517" i="18" s="1"/>
  <c r="X517" i="18" s="1"/>
  <c r="Z517" i="18" s="1"/>
  <c r="V533" i="18"/>
  <c r="W533" i="18" s="1"/>
  <c r="X533" i="18" s="1"/>
  <c r="Z533" i="18" s="1"/>
  <c r="AD535" i="18"/>
  <c r="V537" i="18"/>
  <c r="W537" i="18" s="1"/>
  <c r="X537" i="18" s="1"/>
  <c r="Z537" i="18" s="1"/>
  <c r="V547" i="18"/>
  <c r="W547" i="18" s="1"/>
  <c r="X547" i="18" s="1"/>
  <c r="Z547" i="18" s="1"/>
  <c r="V564" i="18"/>
  <c r="W564" i="18" s="1"/>
  <c r="X564" i="18" s="1"/>
  <c r="Z564" i="18" s="1"/>
  <c r="V579" i="18"/>
  <c r="W579" i="18" s="1"/>
  <c r="X579" i="18" s="1"/>
  <c r="Z579" i="18" s="1"/>
  <c r="AB595" i="18"/>
  <c r="AD595" i="18" s="1"/>
  <c r="AC620" i="18"/>
  <c r="AD620" i="18" s="1"/>
  <c r="V633" i="18"/>
  <c r="W633" i="18" s="1"/>
  <c r="X633" i="18" s="1"/>
  <c r="Z633" i="18" s="1"/>
  <c r="V635" i="18"/>
  <c r="W635" i="18" s="1"/>
  <c r="X635" i="18" s="1"/>
  <c r="Z635" i="18" s="1"/>
  <c r="V662" i="18"/>
  <c r="W662" i="18" s="1"/>
  <c r="X662" i="18" s="1"/>
  <c r="Z662" i="18" s="1"/>
  <c r="AD684" i="18"/>
  <c r="AD278" i="18"/>
  <c r="AD290" i="18"/>
  <c r="V324" i="18"/>
  <c r="W324" i="18" s="1"/>
  <c r="X324" i="18" s="1"/>
  <c r="Z324" i="18" s="1"/>
  <c r="V446" i="18"/>
  <c r="W446" i="18" s="1"/>
  <c r="X446" i="18" s="1"/>
  <c r="Z446" i="18" s="1"/>
  <c r="AB459" i="18"/>
  <c r="AD459" i="18" s="1"/>
  <c r="V461" i="18"/>
  <c r="W461" i="18" s="1"/>
  <c r="X461" i="18" s="1"/>
  <c r="Z461" i="18" s="1"/>
  <c r="AD465" i="18"/>
  <c r="V512" i="18"/>
  <c r="W512" i="18" s="1"/>
  <c r="X512" i="18" s="1"/>
  <c r="Z512" i="18" s="1"/>
  <c r="V520" i="18"/>
  <c r="W520" i="18" s="1"/>
  <c r="X520" i="18" s="1"/>
  <c r="Z520" i="18" s="1"/>
  <c r="AB560" i="18"/>
  <c r="AD560" i="18" s="1"/>
  <c r="AB572" i="18"/>
  <c r="AD572" i="18" s="1"/>
  <c r="AC581" i="18"/>
  <c r="AD581" i="18" s="1"/>
  <c r="V583" i="18"/>
  <c r="W583" i="18" s="1"/>
  <c r="X583" i="18" s="1"/>
  <c r="Z583" i="18" s="1"/>
  <c r="V587" i="18"/>
  <c r="W587" i="18" s="1"/>
  <c r="X587" i="18" s="1"/>
  <c r="Z587" i="18" s="1"/>
  <c r="AC597" i="18"/>
  <c r="AD597" i="18" s="1"/>
  <c r="V604" i="18"/>
  <c r="W604" i="18" s="1"/>
  <c r="X604" i="18" s="1"/>
  <c r="Z604" i="18" s="1"/>
  <c r="AD629" i="18"/>
  <c r="AB631" i="18"/>
  <c r="V673" i="18"/>
  <c r="W673" i="18" s="1"/>
  <c r="X673" i="18" s="1"/>
  <c r="Z673" i="18" s="1"/>
  <c r="V678" i="18"/>
  <c r="W678" i="18" s="1"/>
  <c r="X678" i="18" s="1"/>
  <c r="Z678" i="18" s="1"/>
  <c r="V276" i="18"/>
  <c r="W276" i="18" s="1"/>
  <c r="X276" i="18" s="1"/>
  <c r="Z276" i="18" s="1"/>
  <c r="V286" i="18"/>
  <c r="W286" i="18" s="1"/>
  <c r="X286" i="18" s="1"/>
  <c r="Z286" i="18" s="1"/>
  <c r="V288" i="18"/>
  <c r="W288" i="18" s="1"/>
  <c r="X288" i="18" s="1"/>
  <c r="Z288" i="18" s="1"/>
  <c r="AB294" i="18"/>
  <c r="AD294" i="18" s="1"/>
  <c r="AD301" i="18"/>
  <c r="AD309" i="18"/>
  <c r="V322" i="18"/>
  <c r="W322" i="18" s="1"/>
  <c r="X322" i="18" s="1"/>
  <c r="Z322" i="18" s="1"/>
  <c r="AD327" i="18"/>
  <c r="V331" i="18"/>
  <c r="W331" i="18" s="1"/>
  <c r="X331" i="18" s="1"/>
  <c r="Z331" i="18" s="1"/>
  <c r="V348" i="18"/>
  <c r="W348" i="18" s="1"/>
  <c r="X348" i="18" s="1"/>
  <c r="Z348" i="18" s="1"/>
  <c r="V374" i="18"/>
  <c r="W374" i="18" s="1"/>
  <c r="X374" i="18" s="1"/>
  <c r="Z374" i="18" s="1"/>
  <c r="AD376" i="18"/>
  <c r="V387" i="18"/>
  <c r="W387" i="18" s="1"/>
  <c r="X387" i="18" s="1"/>
  <c r="Z387" i="18" s="1"/>
  <c r="V410" i="18"/>
  <c r="W410" i="18" s="1"/>
  <c r="X410" i="18" s="1"/>
  <c r="Z410" i="18" s="1"/>
  <c r="V420" i="18"/>
  <c r="W420" i="18" s="1"/>
  <c r="X420" i="18" s="1"/>
  <c r="Z420" i="18" s="1"/>
  <c r="V452" i="18"/>
  <c r="W452" i="18" s="1"/>
  <c r="X452" i="18" s="1"/>
  <c r="Z452" i="18" s="1"/>
  <c r="AD503" i="18"/>
  <c r="AD533" i="18"/>
  <c r="V549" i="18"/>
  <c r="W549" i="18" s="1"/>
  <c r="X549" i="18" s="1"/>
  <c r="Z549" i="18" s="1"/>
  <c r="AB557" i="18"/>
  <c r="AD557" i="18" s="1"/>
  <c r="V608" i="18"/>
  <c r="W608" i="18" s="1"/>
  <c r="X608" i="18" s="1"/>
  <c r="Z608" i="18" s="1"/>
  <c r="V610" i="18"/>
  <c r="W610" i="18" s="1"/>
  <c r="X610" i="18" s="1"/>
  <c r="Z610" i="18" s="1"/>
  <c r="AD623" i="18"/>
  <c r="V650" i="18"/>
  <c r="W650" i="18" s="1"/>
  <c r="X650" i="18" s="1"/>
  <c r="Z650" i="18" s="1"/>
  <c r="V658" i="18"/>
  <c r="W658" i="18" s="1"/>
  <c r="X658" i="18" s="1"/>
  <c r="Z658" i="18" s="1"/>
  <c r="AB307" i="18"/>
  <c r="AD307" i="18" s="1"/>
  <c r="AD335" i="18"/>
  <c r="AB346" i="18"/>
  <c r="AD346" i="18" s="1"/>
  <c r="AC348" i="18"/>
  <c r="AD348" i="18" s="1"/>
  <c r="V355" i="18"/>
  <c r="W355" i="18" s="1"/>
  <c r="X355" i="18" s="1"/>
  <c r="Z355" i="18" s="1"/>
  <c r="AB372" i="18"/>
  <c r="AD372" i="18" s="1"/>
  <c r="V376" i="18"/>
  <c r="W376" i="18" s="1"/>
  <c r="X376" i="18" s="1"/>
  <c r="Z376" i="18" s="1"/>
  <c r="V379" i="18"/>
  <c r="W379" i="18" s="1"/>
  <c r="X379" i="18" s="1"/>
  <c r="Z379" i="18" s="1"/>
  <c r="V422" i="18"/>
  <c r="W422" i="18" s="1"/>
  <c r="X422" i="18" s="1"/>
  <c r="Z422" i="18" s="1"/>
  <c r="V456" i="18"/>
  <c r="W456" i="18" s="1"/>
  <c r="X456" i="18" s="1"/>
  <c r="Z456" i="18" s="1"/>
  <c r="AB461" i="18"/>
  <c r="AD461" i="18" s="1"/>
  <c r="V468" i="18"/>
  <c r="W468" i="18" s="1"/>
  <c r="X468" i="18" s="1"/>
  <c r="Z468" i="18" s="1"/>
  <c r="AB473" i="18"/>
  <c r="AD473" i="18" s="1"/>
  <c r="V482" i="18"/>
  <c r="W482" i="18" s="1"/>
  <c r="X482" i="18" s="1"/>
  <c r="Z482" i="18" s="1"/>
  <c r="V498" i="18"/>
  <c r="W498" i="18" s="1"/>
  <c r="X498" i="18" s="1"/>
  <c r="Z498" i="18" s="1"/>
  <c r="AD502" i="18"/>
  <c r="V529" i="18"/>
  <c r="W529" i="18" s="1"/>
  <c r="X529" i="18" s="1"/>
  <c r="Z529" i="18" s="1"/>
  <c r="AB583" i="18"/>
  <c r="AD583" i="18" s="1"/>
  <c r="AB587" i="18"/>
  <c r="AD587" i="18" s="1"/>
  <c r="V592" i="18"/>
  <c r="W592" i="18" s="1"/>
  <c r="X592" i="18" s="1"/>
  <c r="Z592" i="18" s="1"/>
  <c r="AD600" i="18"/>
  <c r="V606" i="18"/>
  <c r="W606" i="18" s="1"/>
  <c r="X606" i="18" s="1"/>
  <c r="Z606" i="18" s="1"/>
  <c r="V646" i="18"/>
  <c r="W646" i="18" s="1"/>
  <c r="X646" i="18" s="1"/>
  <c r="Z646" i="18" s="1"/>
  <c r="AD652" i="18"/>
  <c r="AB654" i="18"/>
  <c r="AD654" i="18" s="1"/>
  <c r="AB678" i="18"/>
  <c r="V262" i="18"/>
  <c r="W262" i="18" s="1"/>
  <c r="X262" i="18" s="1"/>
  <c r="Z262" i="18" s="1"/>
  <c r="V297" i="18"/>
  <c r="W297" i="18" s="1"/>
  <c r="X297" i="18" s="1"/>
  <c r="Z297" i="18" s="1"/>
  <c r="V301" i="18"/>
  <c r="W301" i="18" s="1"/>
  <c r="X301" i="18" s="1"/>
  <c r="Z301" i="18" s="1"/>
  <c r="AD366" i="18"/>
  <c r="V383" i="18"/>
  <c r="W383" i="18" s="1"/>
  <c r="X383" i="18" s="1"/>
  <c r="Z383" i="18" s="1"/>
  <c r="V412" i="18"/>
  <c r="W412" i="18" s="1"/>
  <c r="X412" i="18" s="1"/>
  <c r="Z412" i="18" s="1"/>
  <c r="V414" i="18"/>
  <c r="W414" i="18" s="1"/>
  <c r="X414" i="18" s="1"/>
  <c r="Z414" i="18" s="1"/>
  <c r="AD432" i="18"/>
  <c r="V436" i="18"/>
  <c r="W436" i="18" s="1"/>
  <c r="X436" i="18" s="1"/>
  <c r="Z436" i="18" s="1"/>
  <c r="AB448" i="18"/>
  <c r="AD448" i="18" s="1"/>
  <c r="AD464" i="18"/>
  <c r="V472" i="18"/>
  <c r="W472" i="18" s="1"/>
  <c r="X472" i="18" s="1"/>
  <c r="Z472" i="18" s="1"/>
  <c r="AD478" i="18"/>
  <c r="V524" i="18"/>
  <c r="W524" i="18" s="1"/>
  <c r="X524" i="18" s="1"/>
  <c r="Z524" i="18" s="1"/>
  <c r="AD538" i="18"/>
  <c r="AB549" i="18"/>
  <c r="AD549" i="18" s="1"/>
  <c r="V594" i="18"/>
  <c r="W594" i="18" s="1"/>
  <c r="X594" i="18" s="1"/>
  <c r="Z594" i="18" s="1"/>
  <c r="V596" i="18"/>
  <c r="W596" i="18" s="1"/>
  <c r="X596" i="18" s="1"/>
  <c r="Z596" i="18" s="1"/>
  <c r="V623" i="18"/>
  <c r="W623" i="18" s="1"/>
  <c r="X623" i="18" s="1"/>
  <c r="Z623" i="18" s="1"/>
  <c r="V638" i="18"/>
  <c r="W638" i="18" s="1"/>
  <c r="X638" i="18" s="1"/>
  <c r="Z638" i="18" s="1"/>
  <c r="V642" i="18"/>
  <c r="W642" i="18" s="1"/>
  <c r="X642" i="18" s="1"/>
  <c r="Z642" i="18" s="1"/>
  <c r="AD646" i="18"/>
  <c r="AB667" i="18"/>
  <c r="AD667" i="18" s="1"/>
  <c r="AB669" i="18"/>
  <c r="AD669" i="18" s="1"/>
  <c r="AD281" i="18"/>
  <c r="AD283" i="18"/>
  <c r="V293" i="18"/>
  <c r="W293" i="18" s="1"/>
  <c r="X293" i="18" s="1"/>
  <c r="Z293" i="18" s="1"/>
  <c r="V306" i="18"/>
  <c r="W306" i="18" s="1"/>
  <c r="X306" i="18" s="1"/>
  <c r="Z306" i="18" s="1"/>
  <c r="AD355" i="18"/>
  <c r="AD359" i="18"/>
  <c r="AD406" i="18"/>
  <c r="AD438" i="18"/>
  <c r="AD498" i="18"/>
  <c r="AD554" i="18"/>
  <c r="V561" i="18"/>
  <c r="W561" i="18" s="1"/>
  <c r="X561" i="18" s="1"/>
  <c r="Z561" i="18" s="1"/>
  <c r="V563" i="18"/>
  <c r="W563" i="18" s="1"/>
  <c r="X563" i="18" s="1"/>
  <c r="Z563" i="18" s="1"/>
  <c r="AD569" i="18"/>
  <c r="V571" i="18"/>
  <c r="W571" i="18" s="1"/>
  <c r="X571" i="18" s="1"/>
  <c r="Z571" i="18" s="1"/>
  <c r="V573" i="18"/>
  <c r="W573" i="18" s="1"/>
  <c r="X573" i="18" s="1"/>
  <c r="Z573" i="18" s="1"/>
  <c r="V575" i="18"/>
  <c r="W575" i="18" s="1"/>
  <c r="X575" i="18" s="1"/>
  <c r="Z575" i="18" s="1"/>
  <c r="V598" i="18"/>
  <c r="W598" i="18" s="1"/>
  <c r="X598" i="18" s="1"/>
  <c r="Z598" i="18" s="1"/>
  <c r="AB606" i="18"/>
  <c r="AD606" i="18" s="1"/>
  <c r="AB619" i="18"/>
  <c r="AD619" i="18" s="1"/>
  <c r="AD6" i="18"/>
  <c r="AD19" i="18"/>
  <c r="AD34" i="18"/>
  <c r="AD111" i="18"/>
  <c r="AD56" i="18"/>
  <c r="AD115" i="18"/>
  <c r="AD61" i="18"/>
  <c r="AD9" i="18"/>
  <c r="AD48" i="18"/>
  <c r="AD90" i="18"/>
  <c r="AD116" i="18"/>
  <c r="AD7" i="18"/>
  <c r="AD20" i="18"/>
  <c r="AD31" i="18"/>
  <c r="AD103" i="18"/>
  <c r="AD70" i="18"/>
  <c r="AD57" i="18"/>
  <c r="AD73" i="18"/>
  <c r="AD110" i="18"/>
  <c r="V24" i="18"/>
  <c r="W24" i="18" s="1"/>
  <c r="X24" i="18" s="1"/>
  <c r="Z24" i="18" s="1"/>
  <c r="V110" i="18"/>
  <c r="W110" i="18" s="1"/>
  <c r="X110" i="18" s="1"/>
  <c r="Z110" i="18" s="1"/>
  <c r="AD150" i="18"/>
  <c r="AC218" i="18"/>
  <c r="AD218" i="18" s="1"/>
  <c r="V218" i="18"/>
  <c r="W218" i="18" s="1"/>
  <c r="X218" i="18" s="1"/>
  <c r="Z218" i="18" s="1"/>
  <c r="AD546" i="18"/>
  <c r="V10" i="18"/>
  <c r="W10" i="18" s="1"/>
  <c r="X10" i="18" s="1"/>
  <c r="Z10" i="18" s="1"/>
  <c r="V23" i="18"/>
  <c r="W23" i="18" s="1"/>
  <c r="X23" i="18" s="1"/>
  <c r="Z23" i="18" s="1"/>
  <c r="V35" i="18"/>
  <c r="W35" i="18" s="1"/>
  <c r="X35" i="18" s="1"/>
  <c r="Z35" i="18" s="1"/>
  <c r="V48" i="18"/>
  <c r="W48" i="18" s="1"/>
  <c r="X48" i="18" s="1"/>
  <c r="Z48" i="18" s="1"/>
  <c r="V61" i="18"/>
  <c r="W61" i="18" s="1"/>
  <c r="X61" i="18" s="1"/>
  <c r="Z61" i="18" s="1"/>
  <c r="V73" i="18"/>
  <c r="W73" i="18" s="1"/>
  <c r="X73" i="18" s="1"/>
  <c r="Z73" i="18" s="1"/>
  <c r="AB85" i="18"/>
  <c r="AD85" i="18" s="1"/>
  <c r="V90" i="18"/>
  <c r="W90" i="18" s="1"/>
  <c r="X90" i="18" s="1"/>
  <c r="Z90" i="18" s="1"/>
  <c r="AB98" i="18"/>
  <c r="AD98" i="18" s="1"/>
  <c r="V103" i="18"/>
  <c r="W103" i="18" s="1"/>
  <c r="X103" i="18" s="1"/>
  <c r="Z103" i="18" s="1"/>
  <c r="V115" i="18"/>
  <c r="W115" i="18" s="1"/>
  <c r="X115" i="18" s="1"/>
  <c r="Z115" i="18" s="1"/>
  <c r="AB124" i="18"/>
  <c r="AD124" i="18" s="1"/>
  <c r="V124" i="18"/>
  <c r="W124" i="18" s="1"/>
  <c r="X124" i="18" s="1"/>
  <c r="Z124" i="18" s="1"/>
  <c r="AB151" i="18"/>
  <c r="AD151" i="18" s="1"/>
  <c r="V155" i="18"/>
  <c r="W155" i="18" s="1"/>
  <c r="X155" i="18" s="1"/>
  <c r="Z155" i="18" s="1"/>
  <c r="V159" i="18"/>
  <c r="W159" i="18" s="1"/>
  <c r="X159" i="18" s="1"/>
  <c r="Z159" i="18" s="1"/>
  <c r="V177" i="18"/>
  <c r="W177" i="18" s="1"/>
  <c r="X177" i="18" s="1"/>
  <c r="Z177" i="18" s="1"/>
  <c r="V178" i="18"/>
  <c r="W178" i="18" s="1"/>
  <c r="X178" i="18" s="1"/>
  <c r="Z178" i="18" s="1"/>
  <c r="AC183" i="18"/>
  <c r="AD183" i="18" s="1"/>
  <c r="AB188" i="18"/>
  <c r="AD188" i="18" s="1"/>
  <c r="V232" i="18"/>
  <c r="W232" i="18" s="1"/>
  <c r="X232" i="18" s="1"/>
  <c r="Z232" i="18" s="1"/>
  <c r="AB232" i="18"/>
  <c r="AD232" i="18" s="1"/>
  <c r="V36" i="18"/>
  <c r="W36" i="18" s="1"/>
  <c r="X36" i="18" s="1"/>
  <c r="Z36" i="18" s="1"/>
  <c r="V49" i="18"/>
  <c r="W49" i="18" s="1"/>
  <c r="X49" i="18" s="1"/>
  <c r="Z49" i="18" s="1"/>
  <c r="V139" i="18"/>
  <c r="W139" i="18" s="1"/>
  <c r="X139" i="18" s="1"/>
  <c r="Z139" i="18" s="1"/>
  <c r="V162" i="18"/>
  <c r="W162" i="18" s="1"/>
  <c r="X162" i="18" s="1"/>
  <c r="Z162" i="18" s="1"/>
  <c r="AB185" i="18"/>
  <c r="AD185" i="18" s="1"/>
  <c r="V185" i="18"/>
  <c r="W185" i="18" s="1"/>
  <c r="X185" i="18" s="1"/>
  <c r="Z185" i="18" s="1"/>
  <c r="AD228" i="18"/>
  <c r="V9" i="18"/>
  <c r="W9" i="18" s="1"/>
  <c r="X9" i="18" s="1"/>
  <c r="Z9" i="18" s="1"/>
  <c r="AB13" i="18"/>
  <c r="AD13" i="18" s="1"/>
  <c r="AC14" i="18"/>
  <c r="AD14" i="18" s="1"/>
  <c r="V22" i="18"/>
  <c r="W22" i="18" s="1"/>
  <c r="X22" i="18" s="1"/>
  <c r="Z22" i="18" s="1"/>
  <c r="AB26" i="18"/>
  <c r="AD26" i="18" s="1"/>
  <c r="AC27" i="18"/>
  <c r="AD27" i="18" s="1"/>
  <c r="V34" i="18"/>
  <c r="W34" i="18" s="1"/>
  <c r="X34" i="18" s="1"/>
  <c r="Z34" i="18" s="1"/>
  <c r="AB38" i="18"/>
  <c r="AD38" i="18" s="1"/>
  <c r="AB39" i="18"/>
  <c r="AD39" i="18" s="1"/>
  <c r="AC40" i="18"/>
  <c r="AD40" i="18" s="1"/>
  <c r="V47" i="18"/>
  <c r="W47" i="18" s="1"/>
  <c r="X47" i="18" s="1"/>
  <c r="Z47" i="18" s="1"/>
  <c r="AB51" i="18"/>
  <c r="AD51" i="18" s="1"/>
  <c r="AC52" i="18"/>
  <c r="AD52" i="18" s="1"/>
  <c r="V59" i="18"/>
  <c r="W59" i="18" s="1"/>
  <c r="X59" i="18" s="1"/>
  <c r="Z59" i="18" s="1"/>
  <c r="V60" i="18"/>
  <c r="W60" i="18" s="1"/>
  <c r="X60" i="18" s="1"/>
  <c r="Z60" i="18" s="1"/>
  <c r="AB64" i="18"/>
  <c r="AD64" i="18" s="1"/>
  <c r="AC65" i="18"/>
  <c r="AD65" i="18" s="1"/>
  <c r="V72" i="18"/>
  <c r="W72" i="18" s="1"/>
  <c r="X72" i="18" s="1"/>
  <c r="Z72" i="18" s="1"/>
  <c r="AB76" i="18"/>
  <c r="AD76" i="18" s="1"/>
  <c r="AC77" i="18"/>
  <c r="AD77" i="18" s="1"/>
  <c r="V83" i="18"/>
  <c r="W83" i="18" s="1"/>
  <c r="X83" i="18" s="1"/>
  <c r="Z83" i="18" s="1"/>
  <c r="V89" i="18"/>
  <c r="W89" i="18" s="1"/>
  <c r="X89" i="18" s="1"/>
  <c r="Z89" i="18" s="1"/>
  <c r="V96" i="18"/>
  <c r="W96" i="18" s="1"/>
  <c r="X96" i="18" s="1"/>
  <c r="Z96" i="18" s="1"/>
  <c r="AC105" i="18"/>
  <c r="AD105" i="18" s="1"/>
  <c r="V109" i="18"/>
  <c r="W109" i="18" s="1"/>
  <c r="X109" i="18" s="1"/>
  <c r="Z109" i="18" s="1"/>
  <c r="AC117" i="18"/>
  <c r="AD117" i="18" s="1"/>
  <c r="V127" i="18"/>
  <c r="W127" i="18" s="1"/>
  <c r="X127" i="18" s="1"/>
  <c r="Z127" i="18" s="1"/>
  <c r="AD138" i="18"/>
  <c r="AC140" i="18"/>
  <c r="AD140" i="18" s="1"/>
  <c r="V150" i="18"/>
  <c r="W150" i="18" s="1"/>
  <c r="X150" i="18" s="1"/>
  <c r="Z150" i="18" s="1"/>
  <c r="V154" i="18"/>
  <c r="W154" i="18" s="1"/>
  <c r="X154" i="18" s="1"/>
  <c r="Z154" i="18" s="1"/>
  <c r="AC156" i="18"/>
  <c r="AD156" i="18" s="1"/>
  <c r="V173" i="18"/>
  <c r="W173" i="18" s="1"/>
  <c r="X173" i="18" s="1"/>
  <c r="Z173" i="18" s="1"/>
  <c r="V202" i="18"/>
  <c r="W202" i="18" s="1"/>
  <c r="X202" i="18" s="1"/>
  <c r="Z202" i="18" s="1"/>
  <c r="AB208" i="18"/>
  <c r="AD208" i="18" s="1"/>
  <c r="V208" i="18"/>
  <c r="W208" i="18" s="1"/>
  <c r="X208" i="18" s="1"/>
  <c r="Z208" i="18" s="1"/>
  <c r="V210" i="18"/>
  <c r="W210" i="18" s="1"/>
  <c r="X210" i="18" s="1"/>
  <c r="Z210" i="18" s="1"/>
  <c r="AB210" i="18"/>
  <c r="AD210" i="18" s="1"/>
  <c r="AB222" i="18"/>
  <c r="AD222" i="18" s="1"/>
  <c r="V222" i="18"/>
  <c r="W222" i="18" s="1"/>
  <c r="X222" i="18" s="1"/>
  <c r="Z222" i="18" s="1"/>
  <c r="AD239" i="18"/>
  <c r="AB256" i="18"/>
  <c r="AD256" i="18" s="1"/>
  <c r="V256" i="18"/>
  <c r="W256" i="18" s="1"/>
  <c r="X256" i="18" s="1"/>
  <c r="Z256" i="18" s="1"/>
  <c r="V95" i="18"/>
  <c r="W95" i="18" s="1"/>
  <c r="X95" i="18" s="1"/>
  <c r="Z95" i="18" s="1"/>
  <c r="AD179" i="18"/>
  <c r="AB197" i="18"/>
  <c r="AD197" i="18" s="1"/>
  <c r="V197" i="18"/>
  <c r="W197" i="18" s="1"/>
  <c r="X197" i="18" s="1"/>
  <c r="Z197" i="18" s="1"/>
  <c r="AB200" i="18"/>
  <c r="AD200" i="18" s="1"/>
  <c r="V215" i="18"/>
  <c r="W215" i="18" s="1"/>
  <c r="X215" i="18" s="1"/>
  <c r="Z215" i="18" s="1"/>
  <c r="AD230" i="18"/>
  <c r="AB273" i="18"/>
  <c r="AD273" i="18" s="1"/>
  <c r="V273" i="18"/>
  <c r="W273" i="18" s="1"/>
  <c r="X273" i="18" s="1"/>
  <c r="Z273" i="18" s="1"/>
  <c r="V84" i="18"/>
  <c r="W84" i="18" s="1"/>
  <c r="X84" i="18" s="1"/>
  <c r="Z84" i="18" s="1"/>
  <c r="AC97" i="18"/>
  <c r="AD97" i="18" s="1"/>
  <c r="AC144" i="18"/>
  <c r="AD144" i="18" s="1"/>
  <c r="V6" i="18"/>
  <c r="W6" i="18" s="1"/>
  <c r="X6" i="18" s="1"/>
  <c r="Z6" i="18" s="1"/>
  <c r="AC11" i="18"/>
  <c r="AD11" i="18" s="1"/>
  <c r="V19" i="18"/>
  <c r="W19" i="18" s="1"/>
  <c r="X19" i="18" s="1"/>
  <c r="Z19" i="18" s="1"/>
  <c r="V31" i="18"/>
  <c r="W31" i="18" s="1"/>
  <c r="X31" i="18" s="1"/>
  <c r="Z31" i="18" s="1"/>
  <c r="V44" i="18"/>
  <c r="W44" i="18" s="1"/>
  <c r="X44" i="18" s="1"/>
  <c r="Z44" i="18" s="1"/>
  <c r="V56" i="18"/>
  <c r="W56" i="18" s="1"/>
  <c r="X56" i="18" s="1"/>
  <c r="Z56" i="18" s="1"/>
  <c r="AC62" i="18"/>
  <c r="AD62" i="18" s="1"/>
  <c r="V69" i="18"/>
  <c r="W69" i="18" s="1"/>
  <c r="X69" i="18" s="1"/>
  <c r="Z69" i="18" s="1"/>
  <c r="AC74" i="18"/>
  <c r="AD74" i="18" s="1"/>
  <c r="V88" i="18"/>
  <c r="W88" i="18" s="1"/>
  <c r="X88" i="18" s="1"/>
  <c r="Z88" i="18" s="1"/>
  <c r="V107" i="18"/>
  <c r="W107" i="18" s="1"/>
  <c r="X107" i="18" s="1"/>
  <c r="Z107" i="18" s="1"/>
  <c r="V119" i="18"/>
  <c r="W119" i="18" s="1"/>
  <c r="X119" i="18" s="1"/>
  <c r="Z119" i="18" s="1"/>
  <c r="AC121" i="18"/>
  <c r="AD121" i="18" s="1"/>
  <c r="V135" i="18"/>
  <c r="W135" i="18" s="1"/>
  <c r="X135" i="18" s="1"/>
  <c r="Z135" i="18" s="1"/>
  <c r="V153" i="18"/>
  <c r="W153" i="18" s="1"/>
  <c r="X153" i="18" s="1"/>
  <c r="Z153" i="18" s="1"/>
  <c r="AD166" i="18"/>
  <c r="AB172" i="18"/>
  <c r="AD172" i="18" s="1"/>
  <c r="V172" i="18"/>
  <c r="W172" i="18" s="1"/>
  <c r="X172" i="18" s="1"/>
  <c r="Z172" i="18" s="1"/>
  <c r="AB182" i="18"/>
  <c r="AD182" i="18" s="1"/>
  <c r="AB217" i="18"/>
  <c r="AD217" i="18" s="1"/>
  <c r="V217" i="18"/>
  <c r="W217" i="18" s="1"/>
  <c r="X217" i="18" s="1"/>
  <c r="Z217" i="18" s="1"/>
  <c r="AB219" i="18"/>
  <c r="AD219" i="18" s="1"/>
  <c r="V219" i="18"/>
  <c r="W219" i="18" s="1"/>
  <c r="X219" i="18" s="1"/>
  <c r="Z219" i="18" s="1"/>
  <c r="AB247" i="18"/>
  <c r="AD247" i="18" s="1"/>
  <c r="V247" i="18"/>
  <c r="W247" i="18" s="1"/>
  <c r="X247" i="18" s="1"/>
  <c r="Z247" i="18" s="1"/>
  <c r="AB136" i="18"/>
  <c r="AD136" i="18" s="1"/>
  <c r="V136" i="18"/>
  <c r="W136" i="18" s="1"/>
  <c r="X136" i="18" s="1"/>
  <c r="Z136" i="18" s="1"/>
  <c r="AD202" i="18"/>
  <c r="V287" i="18"/>
  <c r="W287" i="18" s="1"/>
  <c r="X287" i="18" s="1"/>
  <c r="Z287" i="18" s="1"/>
  <c r="AB287" i="18"/>
  <c r="AD287" i="18" s="1"/>
  <c r="AB89" i="18"/>
  <c r="AD89" i="18" s="1"/>
  <c r="AD154" i="18"/>
  <c r="AC158" i="18"/>
  <c r="AD158" i="18" s="1"/>
  <c r="AB160" i="18"/>
  <c r="AD160" i="18" s="1"/>
  <c r="V160" i="18"/>
  <c r="W160" i="18" s="1"/>
  <c r="X160" i="18" s="1"/>
  <c r="Z160" i="18" s="1"/>
  <c r="AB257" i="18"/>
  <c r="AD257" i="18" s="1"/>
  <c r="V257" i="18"/>
  <c r="W257" i="18" s="1"/>
  <c r="X257" i="18" s="1"/>
  <c r="Z257" i="18" s="1"/>
  <c r="AB315" i="18"/>
  <c r="AD315" i="18" s="1"/>
  <c r="V315" i="18"/>
  <c r="W315" i="18" s="1"/>
  <c r="X315" i="18" s="1"/>
  <c r="Z315" i="18" s="1"/>
  <c r="AD95" i="18"/>
  <c r="V137" i="18"/>
  <c r="W137" i="18" s="1"/>
  <c r="X137" i="18" s="1"/>
  <c r="Z137" i="18" s="1"/>
  <c r="V157" i="18"/>
  <c r="W157" i="18" s="1"/>
  <c r="X157" i="18" s="1"/>
  <c r="Z157" i="18" s="1"/>
  <c r="AD174" i="18"/>
  <c r="V186" i="18"/>
  <c r="W186" i="18" s="1"/>
  <c r="X186" i="18" s="1"/>
  <c r="Z186" i="18" s="1"/>
  <c r="AB221" i="18"/>
  <c r="AD221" i="18" s="1"/>
  <c r="V221" i="18"/>
  <c r="W221" i="18" s="1"/>
  <c r="X221" i="18" s="1"/>
  <c r="Z221" i="18" s="1"/>
  <c r="AD277" i="18"/>
  <c r="AB101" i="18"/>
  <c r="AD101" i="18" s="1"/>
  <c r="AB113" i="18"/>
  <c r="AD113" i="18" s="1"/>
  <c r="AC146" i="18"/>
  <c r="AD146" i="18" s="1"/>
  <c r="AB148" i="18"/>
  <c r="AD148" i="18" s="1"/>
  <c r="V148" i="18"/>
  <c r="W148" i="18" s="1"/>
  <c r="X148" i="18" s="1"/>
  <c r="Z148" i="18" s="1"/>
  <c r="AB214" i="18"/>
  <c r="AD214" i="18" s="1"/>
  <c r="V214" i="18"/>
  <c r="W214" i="18" s="1"/>
  <c r="X214" i="18" s="1"/>
  <c r="Z214" i="18" s="1"/>
  <c r="V235" i="18"/>
  <c r="W235" i="18" s="1"/>
  <c r="X235" i="18" s="1"/>
  <c r="Z235" i="18" s="1"/>
  <c r="V244" i="18"/>
  <c r="W244" i="18" s="1"/>
  <c r="X244" i="18" s="1"/>
  <c r="Z244" i="18" s="1"/>
  <c r="AB244" i="18"/>
  <c r="AD244" i="18" s="1"/>
  <c r="AD107" i="18"/>
  <c r="AD119" i="18"/>
  <c r="AD162" i="18"/>
  <c r="V174" i="18"/>
  <c r="W174" i="18" s="1"/>
  <c r="X174" i="18" s="1"/>
  <c r="Z174" i="18" s="1"/>
  <c r="V179" i="18"/>
  <c r="W179" i="18" s="1"/>
  <c r="X179" i="18" s="1"/>
  <c r="Z179" i="18" s="1"/>
  <c r="AC181" i="18"/>
  <c r="AD181" i="18" s="1"/>
  <c r="V216" i="18"/>
  <c r="W216" i="18" s="1"/>
  <c r="X216" i="18" s="1"/>
  <c r="Z216" i="18" s="1"/>
  <c r="AB233" i="18"/>
  <c r="AD233" i="18" s="1"/>
  <c r="AC270" i="18"/>
  <c r="AD270" i="18" s="1"/>
  <c r="V270" i="18"/>
  <c r="W270" i="18" s="1"/>
  <c r="X270" i="18" s="1"/>
  <c r="Z270" i="18" s="1"/>
  <c r="V250" i="18"/>
  <c r="W250" i="18" s="1"/>
  <c r="X250" i="18" s="1"/>
  <c r="Z250" i="18" s="1"/>
  <c r="AD326" i="18"/>
  <c r="V369" i="18"/>
  <c r="W369" i="18" s="1"/>
  <c r="X369" i="18" s="1"/>
  <c r="Z369" i="18" s="1"/>
  <c r="V289" i="18"/>
  <c r="W289" i="18" s="1"/>
  <c r="X289" i="18" s="1"/>
  <c r="Z289" i="18" s="1"/>
  <c r="AC289" i="18"/>
  <c r="AD289" i="18" s="1"/>
  <c r="V296" i="18"/>
  <c r="W296" i="18" s="1"/>
  <c r="X296" i="18" s="1"/>
  <c r="Z296" i="18" s="1"/>
  <c r="AB296" i="18"/>
  <c r="AD296" i="18" s="1"/>
  <c r="AB362" i="18"/>
  <c r="AD362" i="18" s="1"/>
  <c r="V362" i="18"/>
  <c r="W362" i="18" s="1"/>
  <c r="X362" i="18" s="1"/>
  <c r="Z362" i="18" s="1"/>
  <c r="V467" i="18"/>
  <c r="W467" i="18" s="1"/>
  <c r="X467" i="18" s="1"/>
  <c r="Z467" i="18" s="1"/>
  <c r="AB467" i="18"/>
  <c r="AD467" i="18" s="1"/>
  <c r="AD262" i="18"/>
  <c r="AB300" i="18"/>
  <c r="AD300" i="18" s="1"/>
  <c r="V300" i="18"/>
  <c r="W300" i="18" s="1"/>
  <c r="X300" i="18" s="1"/>
  <c r="Z300" i="18" s="1"/>
  <c r="V326" i="18"/>
  <c r="W326" i="18" s="1"/>
  <c r="X326" i="18" s="1"/>
  <c r="Z326" i="18" s="1"/>
  <c r="AB341" i="18"/>
  <c r="AD341" i="18" s="1"/>
  <c r="V341" i="18"/>
  <c r="W341" i="18" s="1"/>
  <c r="X341" i="18" s="1"/>
  <c r="Z341" i="18" s="1"/>
  <c r="AB385" i="18"/>
  <c r="AD385" i="18" s="1"/>
  <c r="V385" i="18"/>
  <c r="W385" i="18" s="1"/>
  <c r="X385" i="18" s="1"/>
  <c r="Z385" i="18" s="1"/>
  <c r="V261" i="18"/>
  <c r="W261" i="18" s="1"/>
  <c r="X261" i="18" s="1"/>
  <c r="Z261" i="18" s="1"/>
  <c r="V281" i="18"/>
  <c r="W281" i="18" s="1"/>
  <c r="X281" i="18" s="1"/>
  <c r="Z281" i="18" s="1"/>
  <c r="AC291" i="18"/>
  <c r="AD291" i="18" s="1"/>
  <c r="V291" i="18"/>
  <c r="W291" i="18" s="1"/>
  <c r="X291" i="18" s="1"/>
  <c r="Z291" i="18" s="1"/>
  <c r="AB302" i="18"/>
  <c r="AD302" i="18" s="1"/>
  <c r="V302" i="18"/>
  <c r="W302" i="18" s="1"/>
  <c r="X302" i="18" s="1"/>
  <c r="Z302" i="18" s="1"/>
  <c r="AB350" i="18"/>
  <c r="AD350" i="18" s="1"/>
  <c r="V350" i="18"/>
  <c r="W350" i="18" s="1"/>
  <c r="X350" i="18" s="1"/>
  <c r="Z350" i="18" s="1"/>
  <c r="V403" i="18"/>
  <c r="W403" i="18" s="1"/>
  <c r="X403" i="18" s="1"/>
  <c r="Z403" i="18" s="1"/>
  <c r="AB403" i="18"/>
  <c r="AD403" i="18" s="1"/>
  <c r="V220" i="18"/>
  <c r="W220" i="18" s="1"/>
  <c r="X220" i="18" s="1"/>
  <c r="Z220" i="18" s="1"/>
  <c r="V225" i="18"/>
  <c r="W225" i="18" s="1"/>
  <c r="X225" i="18" s="1"/>
  <c r="Z225" i="18" s="1"/>
  <c r="AD250" i="18"/>
  <c r="V272" i="18"/>
  <c r="W272" i="18" s="1"/>
  <c r="X272" i="18" s="1"/>
  <c r="Z272" i="18" s="1"/>
  <c r="AC272" i="18"/>
  <c r="AD272" i="18" s="1"/>
  <c r="AB365" i="18"/>
  <c r="AD365" i="18" s="1"/>
  <c r="V365" i="18"/>
  <c r="W365" i="18" s="1"/>
  <c r="X365" i="18" s="1"/>
  <c r="Z365" i="18" s="1"/>
  <c r="AB444" i="18"/>
  <c r="AD444" i="18" s="1"/>
  <c r="V444" i="18"/>
  <c r="W444" i="18" s="1"/>
  <c r="X444" i="18" s="1"/>
  <c r="Z444" i="18" s="1"/>
  <c r="V373" i="18"/>
  <c r="W373" i="18" s="1"/>
  <c r="X373" i="18" s="1"/>
  <c r="Z373" i="18" s="1"/>
  <c r="AC373" i="18"/>
  <c r="AD373" i="18" s="1"/>
  <c r="V236" i="18"/>
  <c r="W236" i="18" s="1"/>
  <c r="X236" i="18" s="1"/>
  <c r="Z236" i="18" s="1"/>
  <c r="AD237" i="18"/>
  <c r="V239" i="18"/>
  <c r="W239" i="18" s="1"/>
  <c r="X239" i="18" s="1"/>
  <c r="Z239" i="18" s="1"/>
  <c r="V260" i="18"/>
  <c r="W260" i="18" s="1"/>
  <c r="X260" i="18" s="1"/>
  <c r="Z260" i="18" s="1"/>
  <c r="AC260" i="18"/>
  <c r="AD260" i="18" s="1"/>
  <c r="V283" i="18"/>
  <c r="W283" i="18" s="1"/>
  <c r="X283" i="18" s="1"/>
  <c r="Z283" i="18" s="1"/>
  <c r="V290" i="18"/>
  <c r="W290" i="18" s="1"/>
  <c r="X290" i="18" s="1"/>
  <c r="Z290" i="18" s="1"/>
  <c r="V295" i="18"/>
  <c r="W295" i="18" s="1"/>
  <c r="X295" i="18" s="1"/>
  <c r="Z295" i="18" s="1"/>
  <c r="AB295" i="18"/>
  <c r="AD295" i="18" s="1"/>
  <c r="AB314" i="18"/>
  <c r="AD314" i="18" s="1"/>
  <c r="V314" i="18"/>
  <c r="W314" i="18" s="1"/>
  <c r="X314" i="18" s="1"/>
  <c r="Z314" i="18" s="1"/>
  <c r="V390" i="18"/>
  <c r="W390" i="18" s="1"/>
  <c r="X390" i="18" s="1"/>
  <c r="Z390" i="18" s="1"/>
  <c r="AD266" i="18"/>
  <c r="AB280" i="18"/>
  <c r="AD280" i="18" s="1"/>
  <c r="V280" i="18"/>
  <c r="W280" i="18" s="1"/>
  <c r="X280" i="18" s="1"/>
  <c r="Z280" i="18" s="1"/>
  <c r="V303" i="18"/>
  <c r="W303" i="18" s="1"/>
  <c r="X303" i="18" s="1"/>
  <c r="Z303" i="18" s="1"/>
  <c r="AB303" i="18"/>
  <c r="AD303" i="18" s="1"/>
  <c r="V327" i="18"/>
  <c r="W327" i="18" s="1"/>
  <c r="X327" i="18" s="1"/>
  <c r="Z327" i="18" s="1"/>
  <c r="AB353" i="18"/>
  <c r="AD353" i="18" s="1"/>
  <c r="V353" i="18"/>
  <c r="W353" i="18" s="1"/>
  <c r="X353" i="18" s="1"/>
  <c r="Z353" i="18" s="1"/>
  <c r="AD297" i="18"/>
  <c r="V310" i="18"/>
  <c r="W310" i="18" s="1"/>
  <c r="X310" i="18" s="1"/>
  <c r="Z310" i="18" s="1"/>
  <c r="AC310" i="18"/>
  <c r="AD310" i="18" s="1"/>
  <c r="AB318" i="18"/>
  <c r="AD318" i="18" s="1"/>
  <c r="V318" i="18"/>
  <c r="W318" i="18" s="1"/>
  <c r="X318" i="18" s="1"/>
  <c r="Z318" i="18" s="1"/>
  <c r="V323" i="18"/>
  <c r="W323" i="18" s="1"/>
  <c r="X323" i="18" s="1"/>
  <c r="Z323" i="18" s="1"/>
  <c r="AC323" i="18"/>
  <c r="AD323" i="18" s="1"/>
  <c r="AC399" i="18"/>
  <c r="AD399" i="18" s="1"/>
  <c r="V399" i="18"/>
  <c r="W399" i="18" s="1"/>
  <c r="X399" i="18" s="1"/>
  <c r="Z399" i="18" s="1"/>
  <c r="AD225" i="18"/>
  <c r="V227" i="18"/>
  <c r="W227" i="18" s="1"/>
  <c r="X227" i="18" s="1"/>
  <c r="Z227" i="18" s="1"/>
  <c r="AB231" i="18"/>
  <c r="AD231" i="18" s="1"/>
  <c r="V231" i="18"/>
  <c r="W231" i="18" s="1"/>
  <c r="X231" i="18" s="1"/>
  <c r="Z231" i="18" s="1"/>
  <c r="AD254" i="18"/>
  <c r="AB268" i="18"/>
  <c r="AD268" i="18" s="1"/>
  <c r="V268" i="18"/>
  <c r="W268" i="18" s="1"/>
  <c r="X268" i="18" s="1"/>
  <c r="Z268" i="18" s="1"/>
  <c r="AD293" i="18"/>
  <c r="AC329" i="18"/>
  <c r="AD329" i="18" s="1"/>
  <c r="AC378" i="18"/>
  <c r="AD378" i="18" s="1"/>
  <c r="V378" i="18"/>
  <c r="W378" i="18" s="1"/>
  <c r="X378" i="18" s="1"/>
  <c r="Z378" i="18" s="1"/>
  <c r="AD331" i="18"/>
  <c r="AB338" i="18"/>
  <c r="AD338" i="18" s="1"/>
  <c r="V338" i="18"/>
  <c r="W338" i="18" s="1"/>
  <c r="X338" i="18" s="1"/>
  <c r="Z338" i="18" s="1"/>
  <c r="AB379" i="18"/>
  <c r="AD379" i="18" s="1"/>
  <c r="AB442" i="18"/>
  <c r="AD442" i="18" s="1"/>
  <c r="V442" i="18"/>
  <c r="W442" i="18" s="1"/>
  <c r="X442" i="18" s="1"/>
  <c r="Z442" i="18" s="1"/>
  <c r="AC481" i="18"/>
  <c r="AD481" i="18" s="1"/>
  <c r="V481" i="18"/>
  <c r="W481" i="18" s="1"/>
  <c r="X481" i="18" s="1"/>
  <c r="Z481" i="18" s="1"/>
  <c r="AC405" i="18"/>
  <c r="AD405" i="18" s="1"/>
  <c r="V405" i="18"/>
  <c r="W405" i="18" s="1"/>
  <c r="X405" i="18" s="1"/>
  <c r="Z405" i="18" s="1"/>
  <c r="V242" i="18"/>
  <c r="W242" i="18" s="1"/>
  <c r="X242" i="18" s="1"/>
  <c r="Z242" i="18" s="1"/>
  <c r="V254" i="18"/>
  <c r="W254" i="18" s="1"/>
  <c r="X254" i="18" s="1"/>
  <c r="Z254" i="18" s="1"/>
  <c r="V266" i="18"/>
  <c r="W266" i="18" s="1"/>
  <c r="X266" i="18" s="1"/>
  <c r="Z266" i="18" s="1"/>
  <c r="V278" i="18"/>
  <c r="W278" i="18" s="1"/>
  <c r="X278" i="18" s="1"/>
  <c r="Z278" i="18" s="1"/>
  <c r="AD319" i="18"/>
  <c r="AB325" i="18"/>
  <c r="AD325" i="18" s="1"/>
  <c r="V325" i="18"/>
  <c r="W325" i="18" s="1"/>
  <c r="X325" i="18" s="1"/>
  <c r="Z325" i="18" s="1"/>
  <c r="V333" i="18"/>
  <c r="W333" i="18" s="1"/>
  <c r="X333" i="18" s="1"/>
  <c r="Z333" i="18" s="1"/>
  <c r="V368" i="18"/>
  <c r="W368" i="18" s="1"/>
  <c r="X368" i="18" s="1"/>
  <c r="Z368" i="18" s="1"/>
  <c r="AB375" i="18"/>
  <c r="AD375" i="18" s="1"/>
  <c r="V375" i="18"/>
  <c r="W375" i="18" s="1"/>
  <c r="X375" i="18" s="1"/>
  <c r="Z375" i="18" s="1"/>
  <c r="V389" i="18"/>
  <c r="W389" i="18" s="1"/>
  <c r="X389" i="18" s="1"/>
  <c r="Z389" i="18" s="1"/>
  <c r="V392" i="18"/>
  <c r="W392" i="18" s="1"/>
  <c r="X392" i="18" s="1"/>
  <c r="Z392" i="18" s="1"/>
  <c r="AB407" i="18"/>
  <c r="AD407" i="18" s="1"/>
  <c r="V407" i="18"/>
  <c r="W407" i="18" s="1"/>
  <c r="X407" i="18" s="1"/>
  <c r="Z407" i="18" s="1"/>
  <c r="AB479" i="18"/>
  <c r="AD479" i="18" s="1"/>
  <c r="V479" i="18"/>
  <c r="W479" i="18" s="1"/>
  <c r="X479" i="18" s="1"/>
  <c r="Z479" i="18" s="1"/>
  <c r="AD340" i="18"/>
  <c r="AD369" i="18"/>
  <c r="AB418" i="18"/>
  <c r="AD418" i="18" s="1"/>
  <c r="V418" i="18"/>
  <c r="W418" i="18" s="1"/>
  <c r="X418" i="18" s="1"/>
  <c r="Z418" i="18" s="1"/>
  <c r="AB313" i="18"/>
  <c r="AD313" i="18" s="1"/>
  <c r="V313" i="18"/>
  <c r="W313" i="18" s="1"/>
  <c r="X313" i="18" s="1"/>
  <c r="Z313" i="18" s="1"/>
  <c r="V321" i="18"/>
  <c r="W321" i="18" s="1"/>
  <c r="X321" i="18" s="1"/>
  <c r="Z321" i="18" s="1"/>
  <c r="V364" i="18"/>
  <c r="W364" i="18" s="1"/>
  <c r="X364" i="18" s="1"/>
  <c r="Z364" i="18" s="1"/>
  <c r="V377" i="18"/>
  <c r="W377" i="18" s="1"/>
  <c r="X377" i="18" s="1"/>
  <c r="Z377" i="18" s="1"/>
  <c r="V380" i="18"/>
  <c r="W380" i="18" s="1"/>
  <c r="X380" i="18" s="1"/>
  <c r="Z380" i="18" s="1"/>
  <c r="AB398" i="18"/>
  <c r="AD398" i="18" s="1"/>
  <c r="V398" i="18"/>
  <c r="W398" i="18" s="1"/>
  <c r="X398" i="18" s="1"/>
  <c r="Z398" i="18" s="1"/>
  <c r="V400" i="18"/>
  <c r="W400" i="18" s="1"/>
  <c r="X400" i="18" s="1"/>
  <c r="Z400" i="18" s="1"/>
  <c r="AC416" i="18"/>
  <c r="AD416" i="18" s="1"/>
  <c r="V431" i="18"/>
  <c r="W431" i="18" s="1"/>
  <c r="X431" i="18" s="1"/>
  <c r="Z431" i="18" s="1"/>
  <c r="AB431" i="18"/>
  <c r="AD431" i="18" s="1"/>
  <c r="AC470" i="18"/>
  <c r="AD470" i="18" s="1"/>
  <c r="V470" i="18"/>
  <c r="W470" i="18" s="1"/>
  <c r="X470" i="18" s="1"/>
  <c r="Z470" i="18" s="1"/>
  <c r="V402" i="18"/>
  <c r="W402" i="18" s="1"/>
  <c r="X402" i="18" s="1"/>
  <c r="Z402" i="18" s="1"/>
  <c r="AB402" i="18"/>
  <c r="AD402" i="18" s="1"/>
  <c r="V360" i="18"/>
  <c r="W360" i="18" s="1"/>
  <c r="X360" i="18" s="1"/>
  <c r="Z360" i="18" s="1"/>
  <c r="AC361" i="18"/>
  <c r="AD361" i="18" s="1"/>
  <c r="AC384" i="18"/>
  <c r="AD384" i="18" s="1"/>
  <c r="AB386" i="18"/>
  <c r="AD386" i="18" s="1"/>
  <c r="V386" i="18"/>
  <c r="W386" i="18" s="1"/>
  <c r="X386" i="18" s="1"/>
  <c r="Z386" i="18" s="1"/>
  <c r="AB389" i="18"/>
  <c r="AD389" i="18" s="1"/>
  <c r="AD392" i="18"/>
  <c r="AD409" i="18"/>
  <c r="AC433" i="18"/>
  <c r="AD433" i="18" s="1"/>
  <c r="AB363" i="18"/>
  <c r="AD363" i="18" s="1"/>
  <c r="V363" i="18"/>
  <c r="W363" i="18" s="1"/>
  <c r="X363" i="18" s="1"/>
  <c r="Z363" i="18" s="1"/>
  <c r="V437" i="18"/>
  <c r="W437" i="18" s="1"/>
  <c r="X437" i="18" s="1"/>
  <c r="Z437" i="18" s="1"/>
  <c r="AB437" i="18"/>
  <c r="AD437" i="18" s="1"/>
  <c r="V462" i="18"/>
  <c r="W462" i="18" s="1"/>
  <c r="X462" i="18" s="1"/>
  <c r="Z462" i="18" s="1"/>
  <c r="AB462" i="18"/>
  <c r="AD462" i="18" s="1"/>
  <c r="V487" i="18"/>
  <c r="W487" i="18" s="1"/>
  <c r="X487" i="18" s="1"/>
  <c r="Z487" i="18" s="1"/>
  <c r="AB487" i="18"/>
  <c r="AD487" i="18" s="1"/>
  <c r="AD306" i="18"/>
  <c r="AB312" i="18"/>
  <c r="AD312" i="18" s="1"/>
  <c r="V312" i="18"/>
  <c r="W312" i="18" s="1"/>
  <c r="X312" i="18" s="1"/>
  <c r="Z312" i="18" s="1"/>
  <c r="V354" i="18"/>
  <c r="W354" i="18" s="1"/>
  <c r="X354" i="18" s="1"/>
  <c r="Z354" i="18" s="1"/>
  <c r="V366" i="18"/>
  <c r="W366" i="18" s="1"/>
  <c r="X366" i="18" s="1"/>
  <c r="Z366" i="18" s="1"/>
  <c r="AD380" i="18"/>
  <c r="AB395" i="18"/>
  <c r="AD395" i="18" s="1"/>
  <c r="AD449" i="18"/>
  <c r="AD476" i="18"/>
  <c r="V319" i="18"/>
  <c r="W319" i="18" s="1"/>
  <c r="X319" i="18" s="1"/>
  <c r="Z319" i="18" s="1"/>
  <c r="V388" i="18"/>
  <c r="W388" i="18" s="1"/>
  <c r="X388" i="18" s="1"/>
  <c r="Z388" i="18" s="1"/>
  <c r="AD390" i="18"/>
  <c r="V474" i="18"/>
  <c r="W474" i="18" s="1"/>
  <c r="X474" i="18" s="1"/>
  <c r="Z474" i="18" s="1"/>
  <c r="AB474" i="18"/>
  <c r="AD474" i="18" s="1"/>
  <c r="AD514" i="18"/>
  <c r="AD528" i="18"/>
  <c r="AB539" i="18"/>
  <c r="AD539" i="18" s="1"/>
  <c r="V539" i="18"/>
  <c r="W539" i="18" s="1"/>
  <c r="X539" i="18" s="1"/>
  <c r="Z539" i="18" s="1"/>
  <c r="V408" i="18"/>
  <c r="W408" i="18" s="1"/>
  <c r="X408" i="18" s="1"/>
  <c r="Z408" i="18" s="1"/>
  <c r="V419" i="18"/>
  <c r="W419" i="18" s="1"/>
  <c r="X419" i="18" s="1"/>
  <c r="Z419" i="18" s="1"/>
  <c r="V439" i="18"/>
  <c r="W439" i="18" s="1"/>
  <c r="X439" i="18" s="1"/>
  <c r="Z439" i="18" s="1"/>
  <c r="V450" i="18"/>
  <c r="W450" i="18" s="1"/>
  <c r="X450" i="18" s="1"/>
  <c r="Z450" i="18" s="1"/>
  <c r="V455" i="18"/>
  <c r="W455" i="18" s="1"/>
  <c r="X455" i="18" s="1"/>
  <c r="Z455" i="18" s="1"/>
  <c r="V469" i="18"/>
  <c r="W469" i="18" s="1"/>
  <c r="X469" i="18" s="1"/>
  <c r="Z469" i="18" s="1"/>
  <c r="V493" i="18"/>
  <c r="W493" i="18" s="1"/>
  <c r="X493" i="18" s="1"/>
  <c r="Z493" i="18" s="1"/>
  <c r="AD537" i="18"/>
  <c r="AD517" i="18"/>
  <c r="AB430" i="18"/>
  <c r="AD430" i="18" s="1"/>
  <c r="V430" i="18"/>
  <c r="W430" i="18" s="1"/>
  <c r="X430" i="18" s="1"/>
  <c r="Z430" i="18" s="1"/>
  <c r="AB450" i="18"/>
  <c r="AD450" i="18" s="1"/>
  <c r="AB466" i="18"/>
  <c r="AD466" i="18" s="1"/>
  <c r="V466" i="18"/>
  <c r="W466" i="18" s="1"/>
  <c r="X466" i="18" s="1"/>
  <c r="Z466" i="18" s="1"/>
  <c r="V480" i="18"/>
  <c r="W480" i="18" s="1"/>
  <c r="X480" i="18" s="1"/>
  <c r="Z480" i="18" s="1"/>
  <c r="AB493" i="18"/>
  <c r="AD493" i="18" s="1"/>
  <c r="AB515" i="18"/>
  <c r="AD515" i="18" s="1"/>
  <c r="V515" i="18"/>
  <c r="W515" i="18" s="1"/>
  <c r="X515" i="18" s="1"/>
  <c r="Z515" i="18" s="1"/>
  <c r="AD526" i="18"/>
  <c r="AD540" i="18"/>
  <c r="AB545" i="18"/>
  <c r="AD545" i="18" s="1"/>
  <c r="V545" i="18"/>
  <c r="W545" i="18" s="1"/>
  <c r="X545" i="18" s="1"/>
  <c r="Z545" i="18" s="1"/>
  <c r="AB488" i="18"/>
  <c r="AD488" i="18" s="1"/>
  <c r="V488" i="18"/>
  <c r="W488" i="18" s="1"/>
  <c r="X488" i="18" s="1"/>
  <c r="Z488" i="18" s="1"/>
  <c r="AB553" i="18"/>
  <c r="AD553" i="18" s="1"/>
  <c r="V553" i="18"/>
  <c r="W553" i="18" s="1"/>
  <c r="X553" i="18" s="1"/>
  <c r="Z553" i="18" s="1"/>
  <c r="V404" i="18"/>
  <c r="W404" i="18" s="1"/>
  <c r="X404" i="18" s="1"/>
  <c r="Z404" i="18" s="1"/>
  <c r="AB408" i="18"/>
  <c r="AD408" i="18" s="1"/>
  <c r="V475" i="18"/>
  <c r="W475" i="18" s="1"/>
  <c r="X475" i="18" s="1"/>
  <c r="Z475" i="18" s="1"/>
  <c r="AB486" i="18"/>
  <c r="AD486" i="18" s="1"/>
  <c r="AD513" i="18"/>
  <c r="AB454" i="18"/>
  <c r="AD454" i="18" s="1"/>
  <c r="V454" i="18"/>
  <c r="W454" i="18" s="1"/>
  <c r="X454" i="18" s="1"/>
  <c r="Z454" i="18" s="1"/>
  <c r="AB492" i="18"/>
  <c r="AD492" i="18" s="1"/>
  <c r="V492" i="18"/>
  <c r="W492" i="18" s="1"/>
  <c r="X492" i="18" s="1"/>
  <c r="Z492" i="18" s="1"/>
  <c r="AD529" i="18"/>
  <c r="AB543" i="18"/>
  <c r="AD543" i="18" s="1"/>
  <c r="V543" i="18"/>
  <c r="W543" i="18" s="1"/>
  <c r="X543" i="18" s="1"/>
  <c r="Z543" i="18" s="1"/>
  <c r="AB443" i="18"/>
  <c r="AD443" i="18" s="1"/>
  <c r="V463" i="18"/>
  <c r="W463" i="18" s="1"/>
  <c r="X463" i="18" s="1"/>
  <c r="Z463" i="18" s="1"/>
  <c r="AB504" i="18"/>
  <c r="AD504" i="18" s="1"/>
  <c r="V504" i="18"/>
  <c r="W504" i="18" s="1"/>
  <c r="X504" i="18" s="1"/>
  <c r="Z504" i="18" s="1"/>
  <c r="AB527" i="18"/>
  <c r="AD527" i="18" s="1"/>
  <c r="V527" i="18"/>
  <c r="W527" i="18" s="1"/>
  <c r="X527" i="18" s="1"/>
  <c r="Z527" i="18" s="1"/>
  <c r="V415" i="18"/>
  <c r="W415" i="18" s="1"/>
  <c r="X415" i="18" s="1"/>
  <c r="Z415" i="18" s="1"/>
  <c r="V426" i="18"/>
  <c r="W426" i="18" s="1"/>
  <c r="X426" i="18" s="1"/>
  <c r="Z426" i="18" s="1"/>
  <c r="AD536" i="18"/>
  <c r="AB400" i="18"/>
  <c r="AD400" i="18" s="1"/>
  <c r="AB412" i="18"/>
  <c r="AD412" i="18" s="1"/>
  <c r="AB435" i="18"/>
  <c r="AD435" i="18" s="1"/>
  <c r="V505" i="18"/>
  <c r="W505" i="18" s="1"/>
  <c r="X505" i="18" s="1"/>
  <c r="Z505" i="18" s="1"/>
  <c r="V516" i="18"/>
  <c r="W516" i="18" s="1"/>
  <c r="X516" i="18" s="1"/>
  <c r="Z516" i="18" s="1"/>
  <c r="V528" i="18"/>
  <c r="W528" i="18" s="1"/>
  <c r="X528" i="18" s="1"/>
  <c r="Z528" i="18" s="1"/>
  <c r="V540" i="18"/>
  <c r="W540" i="18" s="1"/>
  <c r="X540" i="18" s="1"/>
  <c r="Z540" i="18" s="1"/>
  <c r="V551" i="18"/>
  <c r="W551" i="18" s="1"/>
  <c r="X551" i="18" s="1"/>
  <c r="Z551" i="18" s="1"/>
  <c r="AD580" i="18"/>
  <c r="AD631" i="18"/>
  <c r="AB683" i="18"/>
  <c r="AD683" i="18" s="1"/>
  <c r="V683" i="18"/>
  <c r="W683" i="18" s="1"/>
  <c r="X683" i="18" s="1"/>
  <c r="Z683" i="18" s="1"/>
  <c r="V562" i="18"/>
  <c r="W562" i="18" s="1"/>
  <c r="X562" i="18" s="1"/>
  <c r="Z562" i="18" s="1"/>
  <c r="AB562" i="18"/>
  <c r="AD562" i="18" s="1"/>
  <c r="AD613" i="18"/>
  <c r="AD660" i="18"/>
  <c r="V514" i="18"/>
  <c r="W514" i="18" s="1"/>
  <c r="X514" i="18" s="1"/>
  <c r="Z514" i="18" s="1"/>
  <c r="V526" i="18"/>
  <c r="W526" i="18" s="1"/>
  <c r="X526" i="18" s="1"/>
  <c r="Z526" i="18" s="1"/>
  <c r="V538" i="18"/>
  <c r="W538" i="18" s="1"/>
  <c r="X538" i="18" s="1"/>
  <c r="Z538" i="18" s="1"/>
  <c r="AD551" i="18"/>
  <c r="AD576" i="18"/>
  <c r="AD591" i="18"/>
  <c r="AD596" i="18"/>
  <c r="AD626" i="18"/>
  <c r="AD648" i="18"/>
  <c r="AD673" i="18"/>
  <c r="AD681" i="18"/>
  <c r="AB636" i="18"/>
  <c r="AD636" i="18" s="1"/>
  <c r="V636" i="18"/>
  <c r="W636" i="18" s="1"/>
  <c r="X636" i="18" s="1"/>
  <c r="Z636" i="18" s="1"/>
  <c r="V500" i="18"/>
  <c r="W500" i="18" s="1"/>
  <c r="X500" i="18" s="1"/>
  <c r="Z500" i="18" s="1"/>
  <c r="V511" i="18"/>
  <c r="W511" i="18" s="1"/>
  <c r="X511" i="18" s="1"/>
  <c r="Z511" i="18" s="1"/>
  <c r="V523" i="18"/>
  <c r="W523" i="18" s="1"/>
  <c r="X523" i="18" s="1"/>
  <c r="Z523" i="18" s="1"/>
  <c r="V535" i="18"/>
  <c r="W535" i="18" s="1"/>
  <c r="X535" i="18" s="1"/>
  <c r="Z535" i="18" s="1"/>
  <c r="AB565" i="18"/>
  <c r="AD565" i="18" s="1"/>
  <c r="V565" i="18"/>
  <c r="W565" i="18" s="1"/>
  <c r="X565" i="18" s="1"/>
  <c r="Z565" i="18" s="1"/>
  <c r="AB601" i="18"/>
  <c r="AD601" i="18" s="1"/>
  <c r="V601" i="18"/>
  <c r="W601" i="18" s="1"/>
  <c r="X601" i="18" s="1"/>
  <c r="Z601" i="18" s="1"/>
  <c r="AB671" i="18"/>
  <c r="AD671" i="18" s="1"/>
  <c r="V671" i="18"/>
  <c r="W671" i="18" s="1"/>
  <c r="X671" i="18" s="1"/>
  <c r="Z671" i="18" s="1"/>
  <c r="AB542" i="18"/>
  <c r="AD542" i="18" s="1"/>
  <c r="V542" i="18"/>
  <c r="W542" i="18" s="1"/>
  <c r="X542" i="18" s="1"/>
  <c r="Z542" i="18" s="1"/>
  <c r="V544" i="18"/>
  <c r="W544" i="18" s="1"/>
  <c r="X544" i="18" s="1"/>
  <c r="Z544" i="18" s="1"/>
  <c r="AB589" i="18"/>
  <c r="AD589" i="18" s="1"/>
  <c r="V589" i="18"/>
  <c r="W589" i="18" s="1"/>
  <c r="X589" i="18" s="1"/>
  <c r="Z589" i="18" s="1"/>
  <c r="AB624" i="18"/>
  <c r="AD624" i="18" s="1"/>
  <c r="V624" i="18"/>
  <c r="W624" i="18" s="1"/>
  <c r="X624" i="18" s="1"/>
  <c r="Z624" i="18" s="1"/>
  <c r="V546" i="18"/>
  <c r="W546" i="18" s="1"/>
  <c r="X546" i="18" s="1"/>
  <c r="Z546" i="18" s="1"/>
  <c r="AD567" i="18"/>
  <c r="AB577" i="18"/>
  <c r="AD577" i="18" s="1"/>
  <c r="V577" i="18"/>
  <c r="W577" i="18" s="1"/>
  <c r="X577" i="18" s="1"/>
  <c r="Z577" i="18" s="1"/>
  <c r="AB659" i="18"/>
  <c r="AD659" i="18" s="1"/>
  <c r="V659" i="18"/>
  <c r="W659" i="18" s="1"/>
  <c r="X659" i="18" s="1"/>
  <c r="Z659" i="18" s="1"/>
  <c r="AD665" i="18"/>
  <c r="AD676" i="18"/>
  <c r="AD678" i="18"/>
  <c r="AD602" i="18"/>
  <c r="AB612" i="18"/>
  <c r="AD612" i="18" s="1"/>
  <c r="V612" i="18"/>
  <c r="W612" i="18" s="1"/>
  <c r="X612" i="18" s="1"/>
  <c r="Z612" i="18" s="1"/>
  <c r="AD637" i="18"/>
  <c r="AD566" i="18"/>
  <c r="AD590" i="18"/>
  <c r="AD625" i="18"/>
  <c r="AD672" i="18"/>
  <c r="AB575" i="18"/>
  <c r="AD575" i="18" s="1"/>
  <c r="V677" i="18"/>
  <c r="W677" i="18" s="1"/>
  <c r="X677" i="18" s="1"/>
  <c r="Z677" i="18" s="1"/>
  <c r="AB574" i="18"/>
  <c r="AD574" i="18" s="1"/>
  <c r="AB586" i="18"/>
  <c r="AD586" i="18" s="1"/>
  <c r="AB598" i="18"/>
  <c r="AD598" i="18" s="1"/>
  <c r="AC599" i="18"/>
  <c r="AD599" i="18" s="1"/>
  <c r="AB609" i="18"/>
  <c r="AD609" i="18" s="1"/>
  <c r="AC610" i="18"/>
  <c r="AD610" i="18" s="1"/>
  <c r="AB621" i="18"/>
  <c r="AD621" i="18" s="1"/>
  <c r="V629" i="18"/>
  <c r="W629" i="18" s="1"/>
  <c r="X629" i="18" s="1"/>
  <c r="Z629" i="18" s="1"/>
  <c r="AB633" i="18"/>
  <c r="AD633" i="18" s="1"/>
  <c r="AC634" i="18"/>
  <c r="AD634" i="18" s="1"/>
  <c r="V641" i="18"/>
  <c r="W641" i="18" s="1"/>
  <c r="X641" i="18" s="1"/>
  <c r="Z641" i="18" s="1"/>
  <c r="AB645" i="18"/>
  <c r="AD645" i="18" s="1"/>
  <c r="V652" i="18"/>
  <c r="W652" i="18" s="1"/>
  <c r="X652" i="18" s="1"/>
  <c r="Z652" i="18" s="1"/>
  <c r="AB656" i="18"/>
  <c r="AD656" i="18" s="1"/>
  <c r="V664" i="18"/>
  <c r="W664" i="18" s="1"/>
  <c r="X664" i="18" s="1"/>
  <c r="Z664" i="18" s="1"/>
  <c r="AB668" i="18"/>
  <c r="AD668" i="18" s="1"/>
  <c r="V676" i="18"/>
  <c r="W676" i="18" s="1"/>
  <c r="X676" i="18" s="1"/>
  <c r="Z676" i="18" s="1"/>
  <c r="AB680" i="18"/>
  <c r="AD680" i="18" s="1"/>
  <c r="V616" i="18"/>
  <c r="W616" i="18" s="1"/>
  <c r="X616" i="18" s="1"/>
  <c r="Z616" i="18" s="1"/>
  <c r="V663" i="18"/>
  <c r="W663" i="18" s="1"/>
  <c r="X663" i="18" s="1"/>
  <c r="Z663" i="18" s="1"/>
  <c r="V675" i="18"/>
  <c r="W675" i="18" s="1"/>
  <c r="X675" i="18" s="1"/>
  <c r="Z675" i="18" s="1"/>
  <c r="V685" i="18"/>
  <c r="W685" i="18" s="1"/>
  <c r="X685" i="18" s="1"/>
  <c r="Z685" i="18" s="1"/>
  <c r="V554" i="18"/>
  <c r="W554" i="18" s="1"/>
  <c r="X554" i="18" s="1"/>
  <c r="Z554" i="18" s="1"/>
  <c r="V566" i="18"/>
  <c r="W566" i="18" s="1"/>
  <c r="X566" i="18" s="1"/>
  <c r="Z566" i="18" s="1"/>
  <c r="V578" i="18"/>
  <c r="W578" i="18" s="1"/>
  <c r="X578" i="18" s="1"/>
  <c r="Z578" i="18" s="1"/>
  <c r="V590" i="18"/>
  <c r="W590" i="18" s="1"/>
  <c r="X590" i="18" s="1"/>
  <c r="Z590" i="18" s="1"/>
  <c r="V602" i="18"/>
  <c r="W602" i="18" s="1"/>
  <c r="X602" i="18" s="1"/>
  <c r="Z602" i="18" s="1"/>
  <c r="V613" i="18"/>
  <c r="W613" i="18" s="1"/>
  <c r="X613" i="18" s="1"/>
  <c r="Z613" i="18" s="1"/>
  <c r="V625" i="18"/>
  <c r="W625" i="18" s="1"/>
  <c r="X625" i="18" s="1"/>
  <c r="Z625" i="18" s="1"/>
  <c r="V637" i="18"/>
  <c r="W637" i="18" s="1"/>
  <c r="X637" i="18" s="1"/>
  <c r="Z637" i="18" s="1"/>
  <c r="V648" i="18"/>
  <c r="W648" i="18" s="1"/>
  <c r="X648" i="18" s="1"/>
  <c r="Z648" i="18" s="1"/>
  <c r="V660" i="18"/>
  <c r="W660" i="18" s="1"/>
  <c r="X660" i="18" s="1"/>
  <c r="Z660" i="18" s="1"/>
  <c r="V672" i="18"/>
  <c r="W672" i="18" s="1"/>
  <c r="X672" i="18" s="1"/>
  <c r="Z672" i="18" s="1"/>
  <c r="V684" i="18"/>
  <c r="W684" i="18" s="1"/>
  <c r="X684" i="18" s="1"/>
  <c r="Z684" i="18" s="1"/>
  <c r="F10" i="17" l="1"/>
  <c r="F11" i="17"/>
  <c r="F13" i="17"/>
  <c r="O5" i="15"/>
  <c r="O97" i="15"/>
  <c r="O98" i="15"/>
  <c r="O6" i="15"/>
  <c r="O7" i="15"/>
  <c r="O8" i="15"/>
  <c r="O96" i="15"/>
  <c r="O3" i="15"/>
  <c r="O4" i="15"/>
  <c r="O2" i="15"/>
  <c r="I7" i="2"/>
  <c r="I8" i="2"/>
  <c r="I2" i="2"/>
  <c r="I3" i="2"/>
  <c r="I4" i="2"/>
  <c r="I5" i="2"/>
  <c r="I6" i="2"/>
  <c r="E13" i="8"/>
  <c r="E12" i="8"/>
  <c r="E11" i="8"/>
  <c r="E10" i="8"/>
  <c r="E9" i="8"/>
  <c r="E8" i="8"/>
  <c r="E7" i="8"/>
  <c r="E6" i="8"/>
  <c r="E5" i="8"/>
  <c r="E4" i="8"/>
  <c r="E3" i="8"/>
  <c r="E2" i="8"/>
  <c r="E17" i="9"/>
  <c r="E16" i="9"/>
  <c r="E15" i="9"/>
  <c r="E14" i="9"/>
  <c r="E13" i="9"/>
  <c r="E12" i="9"/>
  <c r="E11" i="9"/>
  <c r="E10" i="9"/>
  <c r="E9" i="9"/>
  <c r="E8" i="9"/>
  <c r="E7" i="9"/>
  <c r="E6" i="9"/>
  <c r="E5" i="9"/>
  <c r="E4" i="9"/>
  <c r="E3" i="9"/>
  <c r="E2" i="9"/>
  <c r="E21" i="13"/>
  <c r="E20" i="13"/>
  <c r="E19" i="13"/>
  <c r="E18" i="13"/>
  <c r="E17" i="13"/>
  <c r="E16" i="13"/>
  <c r="E15" i="13"/>
  <c r="E14" i="13"/>
  <c r="E13" i="13"/>
  <c r="E12" i="13"/>
  <c r="E11" i="13"/>
  <c r="E10" i="13"/>
  <c r="E9" i="13"/>
  <c r="E8" i="13"/>
  <c r="E7" i="13"/>
  <c r="E6" i="13"/>
  <c r="E5" i="13"/>
  <c r="E4" i="13"/>
  <c r="E2" i="13"/>
  <c r="E3" i="11"/>
  <c r="E4" i="11"/>
  <c r="E5" i="11"/>
  <c r="E6" i="11"/>
  <c r="E7" i="11"/>
  <c r="E8" i="11"/>
  <c r="E9" i="11"/>
  <c r="E10" i="11"/>
  <c r="E27" i="11"/>
  <c r="E11" i="11"/>
  <c r="E12" i="11"/>
  <c r="E13" i="11"/>
  <c r="E14" i="11"/>
  <c r="E15" i="11"/>
  <c r="E16" i="11"/>
  <c r="E17" i="11"/>
  <c r="E18" i="11"/>
  <c r="E19" i="11"/>
  <c r="E20" i="11"/>
  <c r="E21" i="11"/>
  <c r="E22" i="11"/>
  <c r="E23" i="11"/>
  <c r="E24" i="11"/>
  <c r="E25" i="11"/>
  <c r="E26" i="11"/>
  <c r="E2" i="11"/>
  <c r="I12" i="13"/>
  <c r="G12" i="13"/>
  <c r="I17" i="13"/>
  <c r="G17" i="13"/>
  <c r="F9" i="17"/>
  <c r="F8" i="17"/>
  <c r="F7" i="17"/>
  <c r="F6" i="17"/>
  <c r="F5" i="17"/>
  <c r="F4" i="17"/>
  <c r="F3" i="17"/>
  <c r="F2" i="17"/>
  <c r="M3" i="15"/>
  <c r="Q3" i="15"/>
  <c r="M4" i="15"/>
  <c r="Q4" i="15"/>
  <c r="M5" i="15"/>
  <c r="Q5" i="15"/>
  <c r="M97" i="15"/>
  <c r="Q97" i="15"/>
  <c r="M98" i="15"/>
  <c r="Q98" i="15"/>
  <c r="M6" i="15"/>
  <c r="Q6" i="15"/>
  <c r="M7" i="15"/>
  <c r="Q7" i="15"/>
  <c r="M8" i="15"/>
  <c r="Q8" i="15"/>
  <c r="M96" i="15"/>
  <c r="Q96" i="15"/>
  <c r="E3" i="16"/>
  <c r="E7" i="16"/>
  <c r="E8" i="16"/>
  <c r="M2" i="15"/>
  <c r="E4" i="16"/>
  <c r="E5" i="16"/>
  <c r="E6" i="16"/>
  <c r="E9" i="16"/>
  <c r="E10" i="16"/>
  <c r="E11" i="16"/>
  <c r="E2" i="16"/>
  <c r="Q2" i="15"/>
  <c r="E2" i="14"/>
  <c r="I16" i="13"/>
  <c r="G16" i="13"/>
  <c r="G4" i="13"/>
  <c r="G5" i="13"/>
  <c r="G6" i="13"/>
  <c r="G7" i="13"/>
  <c r="G8" i="13"/>
  <c r="G11" i="13"/>
  <c r="G13" i="13"/>
  <c r="G14" i="13"/>
  <c r="G15" i="13"/>
  <c r="G20" i="13"/>
  <c r="G9" i="13"/>
  <c r="G10" i="13"/>
  <c r="G18" i="13"/>
  <c r="G19" i="13"/>
  <c r="G21" i="13"/>
  <c r="G2" i="13"/>
  <c r="K26" i="11"/>
  <c r="I26" i="11"/>
  <c r="G26" i="11"/>
  <c r="I15" i="13"/>
  <c r="I18" i="13"/>
  <c r="I19" i="13"/>
  <c r="I21" i="13"/>
  <c r="I11" i="13"/>
  <c r="I8" i="13"/>
  <c r="I7" i="13"/>
  <c r="G3" i="11"/>
  <c r="G5" i="11"/>
  <c r="G4" i="11"/>
  <c r="G6" i="11"/>
  <c r="G7" i="11"/>
  <c r="G8" i="11"/>
  <c r="G9" i="11"/>
  <c r="G10" i="11"/>
  <c r="G27" i="11"/>
  <c r="G11" i="11"/>
  <c r="G12" i="11"/>
  <c r="G13" i="11"/>
  <c r="G14" i="11"/>
  <c r="G15" i="11"/>
  <c r="G16" i="11"/>
  <c r="G17" i="11"/>
  <c r="G18" i="11"/>
  <c r="G19" i="11"/>
  <c r="G20" i="11"/>
  <c r="G21" i="11"/>
  <c r="G22" i="11"/>
  <c r="G23" i="11"/>
  <c r="G24" i="11"/>
  <c r="G25" i="11"/>
  <c r="G2" i="11"/>
  <c r="I5" i="13" l="1"/>
  <c r="I6" i="13"/>
  <c r="I13" i="13"/>
  <c r="I14" i="13"/>
  <c r="I20" i="13"/>
  <c r="I9" i="13"/>
  <c r="I10" i="13"/>
  <c r="I4" i="13"/>
  <c r="I2" i="13"/>
  <c r="I19" i="11" l="1"/>
  <c r="K19" i="11"/>
  <c r="I20" i="11"/>
  <c r="K20" i="11"/>
  <c r="I21" i="11"/>
  <c r="K21" i="11"/>
  <c r="I22" i="11"/>
  <c r="K22" i="11"/>
  <c r="I23" i="11"/>
  <c r="K23" i="11"/>
  <c r="I24" i="11"/>
  <c r="K24" i="11"/>
  <c r="I25" i="11"/>
  <c r="K25" i="11"/>
  <c r="K10" i="11"/>
  <c r="I10" i="11"/>
  <c r="I3" i="11"/>
  <c r="I5" i="11"/>
  <c r="I4" i="11"/>
  <c r="I6" i="11"/>
  <c r="I7" i="11"/>
  <c r="I8" i="11"/>
  <c r="I9" i="11"/>
  <c r="I27" i="11"/>
  <c r="I11" i="11"/>
  <c r="I12" i="11"/>
  <c r="I13" i="11"/>
  <c r="I14" i="11"/>
  <c r="I15" i="11"/>
  <c r="I16" i="11"/>
  <c r="I17" i="11"/>
  <c r="I18" i="11"/>
  <c r="I2" i="11"/>
  <c r="K18" i="11"/>
  <c r="K17" i="11"/>
  <c r="K16" i="11"/>
  <c r="K15" i="11"/>
  <c r="K14" i="11"/>
  <c r="K13" i="11"/>
  <c r="K12" i="11"/>
  <c r="K11" i="11"/>
  <c r="K27" i="11"/>
  <c r="K9" i="11"/>
  <c r="K8" i="11"/>
  <c r="K7" i="11"/>
  <c r="K6" i="11"/>
  <c r="K4" i="11"/>
  <c r="K5" i="11"/>
  <c r="K3" i="11"/>
  <c r="K2" i="11"/>
  <c r="G15" i="9"/>
  <c r="G14" i="9"/>
  <c r="G13" i="9"/>
  <c r="G12" i="9"/>
  <c r="G5" i="9"/>
  <c r="G6" i="9"/>
  <c r="G7" i="9"/>
  <c r="G8" i="9"/>
  <c r="G9" i="9"/>
  <c r="G10" i="9"/>
  <c r="G11" i="9"/>
  <c r="G16" i="9"/>
  <c r="G17" i="9"/>
  <c r="G4" i="9"/>
  <c r="G3" i="9"/>
  <c r="G2" i="9"/>
  <c r="I4" i="8"/>
  <c r="I5" i="8"/>
  <c r="I6" i="8"/>
  <c r="I7" i="8"/>
  <c r="I8" i="8"/>
  <c r="I9" i="8"/>
  <c r="I10" i="8"/>
  <c r="I11" i="8"/>
  <c r="I12" i="8"/>
  <c r="I13" i="8"/>
  <c r="I3" i="8"/>
  <c r="I2" i="8"/>
  <c r="E5" i="4"/>
  <c r="E4" i="4"/>
  <c r="E3" i="4"/>
  <c r="E2" i="4"/>
  <c r="E3" i="3"/>
  <c r="E2" i="3"/>
  <c r="K5" i="2"/>
  <c r="K4" i="2"/>
  <c r="K3" i="2"/>
  <c r="K2" i="2"/>
  <c r="K8" i="2"/>
  <c r="K7" i="2"/>
  <c r="K6" i="2"/>
  <c r="E7" i="2"/>
  <c r="G7" i="2"/>
  <c r="E8" i="2"/>
  <c r="G8" i="2"/>
  <c r="E2" i="2"/>
  <c r="G2" i="2"/>
  <c r="E3" i="2"/>
  <c r="G3" i="2"/>
  <c r="E4" i="2"/>
  <c r="G4" i="2"/>
  <c r="E5" i="2"/>
  <c r="G5" i="2"/>
  <c r="G6" i="2"/>
  <c r="E6" i="2"/>
</calcChain>
</file>

<file path=xl/sharedStrings.xml><?xml version="1.0" encoding="utf-8"?>
<sst xmlns="http://schemas.openxmlformats.org/spreadsheetml/2006/main" count="25227" uniqueCount="8898">
  <si>
    <t>t_cliente</t>
  </si>
  <si>
    <t>t_tipo_cliente</t>
  </si>
  <si>
    <t>descripcion_tipo_cliente</t>
  </si>
  <si>
    <t>t_prioridad_cliente</t>
  </si>
  <si>
    <t>descripcion_prioridad_cliente</t>
  </si>
  <si>
    <t>IMBERA</t>
  </si>
  <si>
    <t>PERFICOM</t>
  </si>
  <si>
    <t>BTICINO</t>
  </si>
  <si>
    <t>PERCCO-INGENIERIA</t>
  </si>
  <si>
    <t>PERCCO-HORNOS</t>
  </si>
  <si>
    <t>PERCCO-DINOS</t>
  </si>
  <si>
    <t>PERCCO-MAQUINADOS</t>
  </si>
  <si>
    <t>INTERNO</t>
  </si>
  <si>
    <t>Internal customer</t>
  </si>
  <si>
    <t>EXTERNO</t>
  </si>
  <si>
    <t>External customer</t>
  </si>
  <si>
    <t>BAJA</t>
  </si>
  <si>
    <t>These customers won’t significantly speed up your project’s progress. They’re important but lack urgency.</t>
  </si>
  <si>
    <t>MEDIA</t>
  </si>
  <si>
    <t>Medium priority customerss require timely attention but can wait until the more pressing high-priority customers are attended.</t>
  </si>
  <si>
    <t>ALTA</t>
  </si>
  <si>
    <t>High-priority customers are both urgent and important, often with deadlines that are close on the horizon or with high stakes attached.</t>
  </si>
  <si>
    <t>URGENTE</t>
  </si>
  <si>
    <t>These customers are critical and require immediate resources and attention to prevent negative consequences.</t>
  </si>
  <si>
    <t>t_entry_status</t>
  </si>
  <si>
    <t>CREATED</t>
  </si>
  <si>
    <t>El registro ha sido creado.</t>
  </si>
  <si>
    <t>MODIFIED</t>
  </si>
  <si>
    <t>El registro ha sido actualizado o modificado.</t>
  </si>
  <si>
    <t>DEPRECATED</t>
  </si>
  <si>
    <t>El registro ya no se recomienda para su uso, aunque todavía puede existir en la base de datos.</t>
  </si>
  <si>
    <t>ACTIVE</t>
  </si>
  <si>
    <t>El registro está en uso y es relevante.</t>
  </si>
  <si>
    <t>INACTIVE</t>
  </si>
  <si>
    <t>El registro ya no está en uso pero se conserva.</t>
  </si>
  <si>
    <t>ARCHIVED</t>
  </si>
  <si>
    <t>El registro ha sido archivado para almacenamiento a largo plazo.</t>
  </si>
  <si>
    <t>DELETED</t>
  </si>
  <si>
    <t>El registro ha sido eliminado de manera lógica (a menudo marcado en lugar de ser borrado físicamente).</t>
  </si>
  <si>
    <t>PENDING</t>
  </si>
  <si>
    <t>El registro está en espera de alguna acción o aprobación.</t>
  </si>
  <si>
    <t>ERROR</t>
  </si>
  <si>
    <t>Hubo un problema con el registro que necesita ser corregido.</t>
  </si>
  <si>
    <t>descripcion_entry_status</t>
  </si>
  <si>
    <t>create_date</t>
  </si>
  <si>
    <t>create_by</t>
  </si>
  <si>
    <t>update_date</t>
  </si>
  <si>
    <t>update_by</t>
  </si>
  <si>
    <t>Descripcion</t>
  </si>
  <si>
    <t>Nota</t>
  </si>
  <si>
    <t>Simbolo</t>
  </si>
  <si>
    <t>Tambor de cincuenta y cinco galones (EUA)</t>
  </si>
  <si>
    <t>Las unidades marcadas como borradas en el catalogo internacional de UNECE, seran retenidas indefinidamente en las listas de codigos. En su caso, estas unidades podran ser reinstalado a traves del proceso de mantenimiento.</t>
  </si>
  <si>
    <t>Camion cisterna</t>
  </si>
  <si>
    <t>Tonelada real</t>
  </si>
  <si>
    <t>Libra por mil pies cuadrados</t>
  </si>
  <si>
    <t>Lb/kftÂ²</t>
  </si>
  <si>
    <t>Dia de potencia de caballos por tonelada metrica de aire seco</t>
  </si>
  <si>
    <t>Pescar</t>
  </si>
  <si>
    <t>Kilogramo por tonelada metrica seca del aire</t>
  </si>
  <si>
    <t>Pie cÃºbico por minuto por pie cuadrado</t>
  </si>
  <si>
    <t>Se requiere factor de conversion</t>
  </si>
  <si>
    <t>FtÂ³/(min/ftÂ²)</t>
  </si>
  <si>
    <t>Bolsa a granel de quinientos kilos</t>
  </si>
  <si>
    <t>Bolsa a granel de trescientos kilos</t>
  </si>
  <si>
    <t>Bolsa a granel de cincuenta libras</t>
  </si>
  <si>
    <t>Bolso de cincuenta libras</t>
  </si>
  <si>
    <t>Carga masiva</t>
  </si>
  <si>
    <t>Kilogramo teorico</t>
  </si>
  <si>
    <t>Tonelada teorica (UK)</t>
  </si>
  <si>
    <t>Por ciento por 1000 horas</t>
  </si>
  <si>
    <t>Tasa de fracaso en el tiempo</t>
  </si>
  <si>
    <t>Libra por pulgada cuadrada, calibre</t>
  </si>
  <si>
    <t>Unidades no recomendadas para su uso por la Oficina Internacional de Pesos y Medidas (BIPM) con sede en Francia.</t>
  </si>
  <si>
    <t>Oersted</t>
  </si>
  <si>
    <t>Oe</t>
  </si>
  <si>
    <t>Escala especifica de prueba</t>
  </si>
  <si>
    <t>Voltios amperios por libra</t>
  </si>
  <si>
    <t>Vatio por libra</t>
  </si>
  <si>
    <t>Amperios por centimetro</t>
  </si>
  <si>
    <t>Gauss</t>
  </si>
  <si>
    <t>Gs</t>
  </si>
  <si>
    <t>Kilogauss</t>
  </si>
  <si>
    <t>Ks</t>
  </si>
  <si>
    <t>Kilopound-force por pulgada cuadrada</t>
  </si>
  <si>
    <t>Unidad de presion que define el nÃºmero de kilopounds fuerza por pulgada cuadrada.Â 
Utilice kip por pulgada cuadrada (codigo comÃºn N20).</t>
  </si>
  <si>
    <t>Klbf/inÂ²</t>
  </si>
  <si>
    <t>Saybold segundo universal</t>
  </si>
  <si>
    <t>Calorias por centimetro cÃºbico</t>
  </si>
  <si>
    <t>Calorias por gramo</t>
  </si>
  <si>
    <t>Utilice calorias de la tabla internacional (IT) por gramo (codigo comÃºn D75).</t>
  </si>
  <si>
    <t>Cal/g</t>
  </si>
  <si>
    <t>Unidad de curl</t>
  </si>
  <si>
    <t>Veinte mil galones</t>
  </si>
  <si>
    <t>Diez mil galones (US)</t>
  </si>
  <si>
    <t>Diez kilos de tambor</t>
  </si>
  <si>
    <t>Quince kilos de tambor</t>
  </si>
  <si>
    <t>Ascensor</t>
  </si>
  <si>
    <t>Pequeno aerosol</t>
  </si>
  <si>
    <t>Monton de calor</t>
  </si>
  <si>
    <t>Grupos</t>
  </si>
  <si>
    <t>Una unidad de conteo que define el nÃºmero de grupos (grupo: conjunto de elementos clasificados juntos).</t>
  </si>
  <si>
    <t>Equipos</t>
  </si>
  <si>
    <t xml:space="preserve"> Unidad de recuento que define el nÃºmero de equipos (equipo: un conjunto completo de equipo / materiales / objetos utilizados para un proposito especifico).</t>
  </si>
  <si>
    <t>Raciones</t>
  </si>
  <si>
    <t>Una unidad de recuento para definir el nÃºmero de raciones (racion: una sola porcion de las disposiciones).</t>
  </si>
  <si>
    <t>Shot</t>
  </si>
  <si>
    <t>Unidad de medida para liquidos.</t>
  </si>
  <si>
    <t>Palo, medida militar.</t>
  </si>
  <si>
    <t>Unidad para el momento de rotacion relacionado con la longitud segÃºn el sistema de unidades Anglo-Americanas e Imperial.</t>
  </si>
  <si>
    <t>Tambor de 115 kilogramos</t>
  </si>
  <si>
    <t>Tambor de cien libras</t>
  </si>
  <si>
    <t>1A</t>
  </si>
  <si>
    <t>Milla de carros</t>
  </si>
  <si>
    <t>1B</t>
  </si>
  <si>
    <t>Recuento de automoviles</t>
  </si>
  <si>
    <t>1C</t>
  </si>
  <si>
    <t>Conteo de locomotoras</t>
  </si>
  <si>
    <t>1D</t>
  </si>
  <si>
    <t>Caboose count</t>
  </si>
  <si>
    <t>1E</t>
  </si>
  <si>
    <t>Coche vacio</t>
  </si>
  <si>
    <t>1F</t>
  </si>
  <si>
    <t>Milla de tren</t>
  </si>
  <si>
    <t>1G</t>
  </si>
  <si>
    <t>Galon del uso del combustible (los EUA)</t>
  </si>
  <si>
    <t>1H</t>
  </si>
  <si>
    <t>Milla de caboose</t>
  </si>
  <si>
    <t>1I</t>
  </si>
  <si>
    <t xml:space="preserve"> Tipo de interes fijo</t>
  </si>
  <si>
    <t xml:space="preserve"> Unidad de cantidad expresada como una tasa predeterminada o conjunto para el uso de una instalacion o servicio.</t>
  </si>
  <si>
    <t>1J</t>
  </si>
  <si>
    <t>Tonelada milla</t>
  </si>
  <si>
    <t>1K</t>
  </si>
  <si>
    <t>Milla locomotora</t>
  </si>
  <si>
    <t>1L</t>
  </si>
  <si>
    <t>Recuento total de automoviles</t>
  </si>
  <si>
    <t>1M</t>
  </si>
  <si>
    <t>Milla total del coche</t>
  </si>
  <si>
    <t>1X</t>
  </si>
  <si>
    <t>Cuarto de milla</t>
  </si>
  <si>
    <t xml:space="preserve"> Contenedores de veinte pies</t>
  </si>
  <si>
    <t xml:space="preserve"> Unidad de conteo que define el nÃºmero de contenedores de transporte que miden 20 pies de longitud.</t>
  </si>
  <si>
    <t xml:space="preserve"> Contenedor de cuarenta pies</t>
  </si>
  <si>
    <t xml:space="preserve"> Unidad de conteo que define el nÃºmero de contenedores de transporte que miden 40 pies de longitud.</t>
  </si>
  <si>
    <t>Decilitro por gramo</t>
  </si>
  <si>
    <t>dl/g</t>
  </si>
  <si>
    <t>Gramo por centimetro cÃºbico</t>
  </si>
  <si>
    <t>g/cmÂ³</t>
  </si>
  <si>
    <t>Libra teorica</t>
  </si>
  <si>
    <t xml:space="preserve"> Unidad de masa que define la masa esperada de material expresado como el nÃºmero de libras.</t>
  </si>
  <si>
    <t>Gramo por centimetro cuadrado</t>
  </si>
  <si>
    <t>g/cmÂ²</t>
  </si>
  <si>
    <t>Tonelada teorica</t>
  </si>
  <si>
    <t>Unidad de masa que define la masa esperada de material, expresada como el nÃºmero de toneladas.</t>
  </si>
  <si>
    <t>Kilogramo por metro cuadrado</t>
  </si>
  <si>
    <t>kg/mÂ²</t>
  </si>
  <si>
    <t>2A</t>
  </si>
  <si>
    <t>Radian por segundo</t>
  </si>
  <si>
    <t xml:space="preserve">Es la velocidad de un cuerpo que, con una rotacion uniforme alrededor de un eje fijo, gira en 1 segundo, 1 radian. </t>
  </si>
  <si>
    <t>rad/s</t>
  </si>
  <si>
    <t>2B</t>
  </si>
  <si>
    <t>Radian por segundo cuadrado</t>
  </si>
  <si>
    <t xml:space="preserve">Es la aceleracion angular de un cuerpo animado de una rotacion uniformemente variada alrededor de un eje fijo, cuya velocidad angular, varia 1 radian por segundo, en 1 segundo. </t>
  </si>
  <si>
    <t>rad/sÂ²</t>
  </si>
  <si>
    <t>2C</t>
  </si>
  <si>
    <t>Roentgen</t>
  </si>
  <si>
    <t>R</t>
  </si>
  <si>
    <t>2G</t>
  </si>
  <si>
    <t>Voltios CA</t>
  </si>
  <si>
    <t xml:space="preserve"> Una unidad de potencial electrico en relacion a la corriente alterna (CA).</t>
  </si>
  <si>
    <t>V</t>
  </si>
  <si>
    <t>2H</t>
  </si>
  <si>
    <t>Voltios CD</t>
  </si>
  <si>
    <t>Unidad de potencial electrico en relacion con corriente directa (CD).</t>
  </si>
  <si>
    <t>2I</t>
  </si>
  <si>
    <t>Unidad termica britanica (tabla internacional) por hora</t>
  </si>
  <si>
    <t>BtuIT/h</t>
  </si>
  <si>
    <t>2J</t>
  </si>
  <si>
    <t>Centimetro cÃºbico por segundo</t>
  </si>
  <si>
    <t>cmÂ³/s</t>
  </si>
  <si>
    <t>2K</t>
  </si>
  <si>
    <t>Pie cÃºbico por hora</t>
  </si>
  <si>
    <t>ftÂ³/h</t>
  </si>
  <si>
    <t>2L</t>
  </si>
  <si>
    <t>Pie cÃºbico por minuto</t>
  </si>
  <si>
    <t>ftÂ³/min</t>
  </si>
  <si>
    <t>2M</t>
  </si>
  <si>
    <t>Centimetro por segundo</t>
  </si>
  <si>
    <t>cm/s</t>
  </si>
  <si>
    <t>2N</t>
  </si>
  <si>
    <t>Decibel</t>
  </si>
  <si>
    <t>Medida de sonoridad o sensacion sonora que es igual a la decima parte de un bel.</t>
  </si>
  <si>
    <t>dB</t>
  </si>
  <si>
    <t>2P</t>
  </si>
  <si>
    <t>Kilobyte</t>
  </si>
  <si>
    <t xml:space="preserve"> Unidad de informacion igual a 10 Â³  (1000) bytes.</t>
  </si>
  <si>
    <t>kbyte</t>
  </si>
  <si>
    <t>2Q</t>
  </si>
  <si>
    <t>Kilobecquerel</t>
  </si>
  <si>
    <t>kBq</t>
  </si>
  <si>
    <t>2R</t>
  </si>
  <si>
    <t>Kilocurie</t>
  </si>
  <si>
    <t>kCi</t>
  </si>
  <si>
    <t>2U</t>
  </si>
  <si>
    <t>Megagramo</t>
  </si>
  <si>
    <t>Mg</t>
  </si>
  <si>
    <t>2V</t>
  </si>
  <si>
    <t>Megagrama por hora</t>
  </si>
  <si>
    <t>Mg/h</t>
  </si>
  <si>
    <t>2X</t>
  </si>
  <si>
    <t>Metro por minuto</t>
  </si>
  <si>
    <t>m/min</t>
  </si>
  <si>
    <t>2Y</t>
  </si>
  <si>
    <t>Milliroentgen</t>
  </si>
  <si>
    <t>mR</t>
  </si>
  <si>
    <t>2Z</t>
  </si>
  <si>
    <t>Milivoltio</t>
  </si>
  <si>
    <t>mV</t>
  </si>
  <si>
    <t>Kilopascal por grtr</t>
  </si>
  <si>
    <t>kPaÂ·mÂ²/g</t>
  </si>
  <si>
    <t>Kilopascal por milimetro</t>
  </si>
  <si>
    <t>kPa/mm</t>
  </si>
  <si>
    <t>Milimetro por un segundo centimetro cuadrado</t>
  </si>
  <si>
    <t>ml/(cmÂ²Â·s)</t>
  </si>
  <si>
    <t>Onza por pie cuadrado</t>
  </si>
  <si>
    <t>oz/ftÂ²</t>
  </si>
  <si>
    <t>Onzas por pie cuadrado por 0,01 pulgadas</t>
  </si>
  <si>
    <t>oz/(ftÂ²/cin)</t>
  </si>
  <si>
    <t>3B</t>
  </si>
  <si>
    <t>Megajoule</t>
  </si>
  <si>
    <t>MJ</t>
  </si>
  <si>
    <t>3C</t>
  </si>
  <si>
    <t>Manmonth</t>
  </si>
  <si>
    <t>Unidad de cuenta que define el nÃºmero de meses que una persona o personas pueden desempenar alguna actividad.</t>
  </si>
  <si>
    <t>3E</t>
  </si>
  <si>
    <t>Libra por libra de producto</t>
  </si>
  <si>
    <t>3G</t>
  </si>
  <si>
    <t>Libra por pieza de producto</t>
  </si>
  <si>
    <t>3H</t>
  </si>
  <si>
    <t>Kilogramo por kilogramo de producto</t>
  </si>
  <si>
    <t>3I</t>
  </si>
  <si>
    <t>Kilogramo por pedazo de producto</t>
  </si>
  <si>
    <t>Mililitro por segundo</t>
  </si>
  <si>
    <t>ml/s</t>
  </si>
  <si>
    <t>Mililitro por minuto</t>
  </si>
  <si>
    <t>ml/min</t>
  </si>
  <si>
    <t>4B</t>
  </si>
  <si>
    <t>Gorra</t>
  </si>
  <si>
    <t>4C</t>
  </si>
  <si>
    <t>Centistokes</t>
  </si>
  <si>
    <t>cSt</t>
  </si>
  <si>
    <t>4E</t>
  </si>
  <si>
    <t>Veinte pack</t>
  </si>
  <si>
    <t>4G</t>
  </si>
  <si>
    <t>Microlitro</t>
  </si>
  <si>
    <t>Âµl</t>
  </si>
  <si>
    <t>4H</t>
  </si>
  <si>
    <t>Micra</t>
  </si>
  <si>
    <t>El micrometro, micron o micra es una unidad de longitud equivalente a una milesima parte de un milimetro.</t>
  </si>
  <si>
    <t>Âµm</t>
  </si>
  <si>
    <t>4K</t>
  </si>
  <si>
    <t>Miliamperio</t>
  </si>
  <si>
    <t>mA</t>
  </si>
  <si>
    <t>4L</t>
  </si>
  <si>
    <t>Megabyte</t>
  </si>
  <si>
    <t>Unidad que se usa para cuantificar un caudal de datos equivalente a 1000 kb/s.</t>
  </si>
  <si>
    <t>Mbyte</t>
  </si>
  <si>
    <t>4M</t>
  </si>
  <si>
    <t>Miligramo por hora</t>
  </si>
  <si>
    <t>mg/h</t>
  </si>
  <si>
    <t>4N</t>
  </si>
  <si>
    <t>Megabequerel</t>
  </si>
  <si>
    <t>MBq</t>
  </si>
  <si>
    <t>4O</t>
  </si>
  <si>
    <t>Microfaradio</t>
  </si>
  <si>
    <t>ÂµF</t>
  </si>
  <si>
    <t>4P</t>
  </si>
  <si>
    <t>Newton por metro</t>
  </si>
  <si>
    <t>N/m</t>
  </si>
  <si>
    <t>4Q</t>
  </si>
  <si>
    <t>Onza pulgada</t>
  </si>
  <si>
    <t>ozÂ·in</t>
  </si>
  <si>
    <t>4R</t>
  </si>
  <si>
    <t>Onza pie</t>
  </si>
  <si>
    <t>ozÂ·ft</t>
  </si>
  <si>
    <t>4T</t>
  </si>
  <si>
    <t>Picofaradio</t>
  </si>
  <si>
    <t>pF</t>
  </si>
  <si>
    <t>4U</t>
  </si>
  <si>
    <t>Libra por hora</t>
  </si>
  <si>
    <t>lb/h</t>
  </si>
  <si>
    <t>4W</t>
  </si>
  <si>
    <t>Tonelada (EUA) por hora</t>
  </si>
  <si>
    <t>ton (US) /h</t>
  </si>
  <si>
    <t>4X</t>
  </si>
  <si>
    <t>Kilolitro por hora</t>
  </si>
  <si>
    <t>kl/h</t>
  </si>
  <si>
    <t>Sitas</t>
  </si>
  <si>
    <t xml:space="preserve"> Unidad de area de placa de estano igual a un area de superficie de 100 metros cuadrados.</t>
  </si>
  <si>
    <t>Malla</t>
  </si>
  <si>
    <t>Una unidad de recuento de definir el nÃºmero de hebras por pulgada como una medida de la finura de un producto tejido.</t>
  </si>
  <si>
    <t xml:space="preserve"> kilogramo neto</t>
  </si>
  <si>
    <t>Unidad de masa que define el nÃºmero total de kilogramos despues de las deducciones.</t>
  </si>
  <si>
    <t>Parte por millon</t>
  </si>
  <si>
    <t xml:space="preserve"> Una unidad de proporcion igual a 10??.</t>
  </si>
  <si>
    <t>ppm</t>
  </si>
  <si>
    <t>5A</t>
  </si>
  <si>
    <t>Barril por minuto</t>
  </si>
  <si>
    <t>barrel (US)/min</t>
  </si>
  <si>
    <t>5B</t>
  </si>
  <si>
    <t>Batch</t>
  </si>
  <si>
    <t>Unidad de conteo que define el nÃºmero de lotes (lote: cantidad de material producido en una operacion o nÃºmero de animales o personas que vienen a la vez).</t>
  </si>
  <si>
    <t>5C</t>
  </si>
  <si>
    <t>Galon (US) por mil</t>
  </si>
  <si>
    <t>5E</t>
  </si>
  <si>
    <t>Mmscf/day</t>
  </si>
  <si>
    <t>Unidad de volumen equivalente a un millon (1,000,000) pies cÃºbicos de gas por dia.</t>
  </si>
  <si>
    <t>5F</t>
  </si>
  <si>
    <t>Libra por mil</t>
  </si>
  <si>
    <t>5G</t>
  </si>
  <si>
    <t>bomba</t>
  </si>
  <si>
    <t>5H</t>
  </si>
  <si>
    <t>Escenario</t>
  </si>
  <si>
    <t>5I</t>
  </si>
  <si>
    <t>Pies cÃºbicos estandar</t>
  </si>
  <si>
    <t>Utilice estandar (codigo comÃºn WSD)</t>
  </si>
  <si>
    <t>Std</t>
  </si>
  <si>
    <t>5J</t>
  </si>
  <si>
    <t>Caballos de potencia hidraulica</t>
  </si>
  <si>
    <t>Unidad de potencia de la definicion de los caballos de potencia hidraulica suministrada por una bomba de fluido dependiendo de la viscosidad del fluido.</t>
  </si>
  <si>
    <t>5K</t>
  </si>
  <si>
    <t>Contar por minuto</t>
  </si>
  <si>
    <t>5P</t>
  </si>
  <si>
    <t>Nivel sismico</t>
  </si>
  <si>
    <t>5Q</t>
  </si>
  <si>
    <t>Linea sismica</t>
  </si>
  <si>
    <t>Tanto por ciento en peso</t>
  </si>
  <si>
    <t>Una unidad de proporcion igual a 10?Â².</t>
  </si>
  <si>
    <t>Parte por mil millones (EUA)</t>
  </si>
  <si>
    <t>Una unidad de proporcion igual a 10??.</t>
  </si>
  <si>
    <t>ppb</t>
  </si>
  <si>
    <t>Milipascal</t>
  </si>
  <si>
    <t>mPa</t>
  </si>
  <si>
    <t>Mili-pulgada</t>
  </si>
  <si>
    <t>mil</t>
  </si>
  <si>
    <t>Libra por pulgada cuadrado absoluta</t>
  </si>
  <si>
    <t>lb/inÂ²</t>
  </si>
  <si>
    <t>Henry</t>
  </si>
  <si>
    <t>Un henry es la unidad para la inductancia electrica en el Sistema Internacional de Unidades. Es la inductancia electrica de un circuito cerrado en el que se produce una fuerza electromotriz de 1 voltio, cuando la corriente electrica que recorre el circuito varia uniformemente a razon de un amperio por segundo.</t>
  </si>
  <si>
    <t>H</t>
  </si>
  <si>
    <t>Pie libra-fuerza</t>
  </si>
  <si>
    <t>ftÂ·lbf</t>
  </si>
  <si>
    <t>Libra por pie cÃºbico</t>
  </si>
  <si>
    <t>lb/ftÂ³</t>
  </si>
  <si>
    <t>Poise</t>
  </si>
  <si>
    <t>El poise (simbolo: P) es la unidad de viscosidad dinamica del sistema cegesimal de unidades.</t>
  </si>
  <si>
    <t>P</t>
  </si>
  <si>
    <t>Stokes</t>
  </si>
  <si>
    <t>El Stokes es la unidad de viscosidad cinematica en el Sistema Cegesimal de Unidades</t>
  </si>
  <si>
    <t>St</t>
  </si>
  <si>
    <t>A1</t>
  </si>
  <si>
    <t>15 Â° C calorias</t>
  </si>
  <si>
    <t>Cal $ _ $</t>
  </si>
  <si>
    <t>A10</t>
  </si>
  <si>
    <t>Amperio por metro cuadrado por joule segundo</t>
  </si>
  <si>
    <t>AÂ·mÂ²/(JÂ·s)</t>
  </si>
  <si>
    <t>A11</t>
  </si>
  <si>
    <t>Angstrom</t>
  </si>
  <si>
    <t>El angstrom es una unidad de longitud empleada principalmente para expresar longitudes de onda, distancias moleculares y atomicas, etc.</t>
  </si>
  <si>
    <t>Ã…</t>
  </si>
  <si>
    <t>A12</t>
  </si>
  <si>
    <t>Unidad astronomica</t>
  </si>
  <si>
    <t>Es una unidad de longitud igual por definicion a 149 597 870 700 metros, y que equivale aproximadamente a la distancia media entre el planeta Tierra y el Sol.</t>
  </si>
  <si>
    <t>ua</t>
  </si>
  <si>
    <t>A13</t>
  </si>
  <si>
    <t>Attojoule</t>
  </si>
  <si>
    <t xml:space="preserve"> Una unidad SI de la energia, el trabajo, y el calor igual a 10 -18 joules</t>
  </si>
  <si>
    <t>aJ</t>
  </si>
  <si>
    <t>A14</t>
  </si>
  <si>
    <t>Barn</t>
  </si>
  <si>
    <t>Es una unidad de superficie, equivalente a 10-28 mÂ² (100 femtometros cuadrados). Sus mÃºltiplos son muy utilizados en fisica de particulas para medir las secciones eficaces en reacciones nucleares, y sus inversos para medir luminosidades.</t>
  </si>
  <si>
    <t>b</t>
  </si>
  <si>
    <t>A15</t>
  </si>
  <si>
    <t>Barn por electrovoltio</t>
  </si>
  <si>
    <t>b/eV</t>
  </si>
  <si>
    <t>A16</t>
  </si>
  <si>
    <t xml:space="preserve">Barn por electrovoltio </t>
  </si>
  <si>
    <t>b/(srÂ·eV)</t>
  </si>
  <si>
    <t>A17</t>
  </si>
  <si>
    <t>Barn por esteroradian</t>
  </si>
  <si>
    <t>b/sr</t>
  </si>
  <si>
    <t>A18</t>
  </si>
  <si>
    <t>Becquerel por kilogramo</t>
  </si>
  <si>
    <t>Bq/kg</t>
  </si>
  <si>
    <t>A19</t>
  </si>
  <si>
    <t>Becquerel por metro cÃºbico</t>
  </si>
  <si>
    <t>Bq/mÂ³</t>
  </si>
  <si>
    <t>A2</t>
  </si>
  <si>
    <t>Amperio por centimetro</t>
  </si>
  <si>
    <t>A/cm</t>
  </si>
  <si>
    <t>A20</t>
  </si>
  <si>
    <t>Unidad termica britanica (tabla internacional) por segundo pie cuadrado grado rankine.</t>
  </si>
  <si>
    <t>BtuIT/(sÂ·ftÂ²Â·Â°R)</t>
  </si>
  <si>
    <t>A21</t>
  </si>
  <si>
    <t>Unidad termica britanica (tabla internacional) por libra grado rankine</t>
  </si>
  <si>
    <t>Btu/IT(lbÂ·Â°R)</t>
  </si>
  <si>
    <t>A22</t>
  </si>
  <si>
    <t>Unidad termica britanica (tabla internacional) por segundo pie grado rankine</t>
  </si>
  <si>
    <t>BtuIT/(sÂ·ftÂ·Â°R)</t>
  </si>
  <si>
    <t>A23</t>
  </si>
  <si>
    <t>Unidad termica britanica (tabla internacional) por hora pie cuadrado grado rankine.</t>
  </si>
  <si>
    <t>BtuIT/(hÂ·ftÂ²Â·Â°R)</t>
  </si>
  <si>
    <t>A24</t>
  </si>
  <si>
    <t>Candela por metro cuadrado</t>
  </si>
  <si>
    <t>cd/mÂ²</t>
  </si>
  <si>
    <t>A25</t>
  </si>
  <si>
    <t>Caballo de vapor</t>
  </si>
  <si>
    <t>Sinonimo: Caballo de fuerza metrico</t>
  </si>
  <si>
    <t>CV</t>
  </si>
  <si>
    <t>A26</t>
  </si>
  <si>
    <t>Culombio metro</t>
  </si>
  <si>
    <t>CÂ·m</t>
  </si>
  <si>
    <t>A27</t>
  </si>
  <si>
    <t>Culombio metro cuadrado por voltio</t>
  </si>
  <si>
    <t>CÂ·mÂ²/V</t>
  </si>
  <si>
    <t>A28</t>
  </si>
  <si>
    <t>Culombio por centimetro cÃºbico</t>
  </si>
  <si>
    <t>C/cmÂ³</t>
  </si>
  <si>
    <t>A29</t>
  </si>
  <si>
    <t>Culombio por metro cÃºbico</t>
  </si>
  <si>
    <t>C/mÂ³</t>
  </si>
  <si>
    <t>A3</t>
  </si>
  <si>
    <t>Amperio por milimetro</t>
  </si>
  <si>
    <t>A/mm</t>
  </si>
  <si>
    <t>A30</t>
  </si>
  <si>
    <t>Culombio por milimetro cÃºbico</t>
  </si>
  <si>
    <t>C/mmÂ³</t>
  </si>
  <si>
    <t>A31</t>
  </si>
  <si>
    <t>Culombio por kilogramo-segundo</t>
  </si>
  <si>
    <t>C/(kgÂ·s)</t>
  </si>
  <si>
    <t>A32</t>
  </si>
  <si>
    <t>Culombio por Mol</t>
  </si>
  <si>
    <t>C/mol</t>
  </si>
  <si>
    <t>A33</t>
  </si>
  <si>
    <t>Culombio por centimetro cuadrado</t>
  </si>
  <si>
    <t>C/cmÂ²</t>
  </si>
  <si>
    <t>A34</t>
  </si>
  <si>
    <t>Culombio por metro cuadrado</t>
  </si>
  <si>
    <t>C/mÂ²</t>
  </si>
  <si>
    <t>A35</t>
  </si>
  <si>
    <t>Culombio por milimetro cuadrado</t>
  </si>
  <si>
    <t>C/mmÂ²</t>
  </si>
  <si>
    <t>A36</t>
  </si>
  <si>
    <t>Centimetro cÃºbico por Mol</t>
  </si>
  <si>
    <t>cmÂ³/mol</t>
  </si>
  <si>
    <t>A37</t>
  </si>
  <si>
    <t>Decimetro cuadrado por Mol</t>
  </si>
  <si>
    <t>dmÂ³/mol</t>
  </si>
  <si>
    <t>A38</t>
  </si>
  <si>
    <t>Cubic pooulo p</t>
  </si>
  <si>
    <t>mÂ³/C</t>
  </si>
  <si>
    <t>A39</t>
  </si>
  <si>
    <t>Metro cÃºbico por kilogramo</t>
  </si>
  <si>
    <t>mÂ³/kg</t>
  </si>
  <si>
    <t>A4</t>
  </si>
  <si>
    <t>Amperio por centimetro cuadrado</t>
  </si>
  <si>
    <t>A/cmÂ²</t>
  </si>
  <si>
    <t>A40</t>
  </si>
  <si>
    <t>Metro cÃºbico por Mol</t>
  </si>
  <si>
    <t>mÂ³/mol</t>
  </si>
  <si>
    <t>A41</t>
  </si>
  <si>
    <t>Amperio por metro cuadrado</t>
  </si>
  <si>
    <t>A/mÂ²</t>
  </si>
  <si>
    <t>A42</t>
  </si>
  <si>
    <t>Curie por kilogramo</t>
  </si>
  <si>
    <t>Ci/kg</t>
  </si>
  <si>
    <t>A43</t>
  </si>
  <si>
    <t>Tonelaje de peso muerto</t>
  </si>
  <si>
    <t>Unidad de masa que define la diferencia entre el peso de un barco cuando esta completamente vacio y su peso cuando esta completamente cargado, expresado como el nÃºmero de toneladas.</t>
  </si>
  <si>
    <t>dwt</t>
  </si>
  <si>
    <t>A44</t>
  </si>
  <si>
    <t>Decalitro</t>
  </si>
  <si>
    <t>dal</t>
  </si>
  <si>
    <t>A45</t>
  </si>
  <si>
    <t>Decametro</t>
  </si>
  <si>
    <t>Medida de longitud, de simbolo dam o Dm, que es igual a 10 metros.</t>
  </si>
  <si>
    <t>dam</t>
  </si>
  <si>
    <t>A47</t>
  </si>
  <si>
    <t>Decitex</t>
  </si>
  <si>
    <t>Unidad de densidad de hilo.Â Un decitex es igual a una masa de 1 gramo por 10 kilometros de longitud.</t>
  </si>
  <si>
    <t>dtex (g/10km)</t>
  </si>
  <si>
    <t>A48</t>
  </si>
  <si>
    <t>Grado rankine</t>
  </si>
  <si>
    <t>Consulte ISO 80000-5 (Cantidades y unidades - Parte 5: Termodinamica)</t>
  </si>
  <si>
    <t>Â°R</t>
  </si>
  <si>
    <t>A49</t>
  </si>
  <si>
    <t>Negador</t>
  </si>
  <si>
    <t>Unidad de densidad de hilo.Â Una denier es igual a una masa de 1 gramo por 9 kilometros de longitud.</t>
  </si>
  <si>
    <t>den (g/9 km)</t>
  </si>
  <si>
    <t>A5</t>
  </si>
  <si>
    <t>Amperio metro cuadrado</t>
  </si>
  <si>
    <t>AÂ·mÂ²</t>
  </si>
  <si>
    <t>A50</t>
  </si>
  <si>
    <t>Dina segundo por centimetro cÃºbico</t>
  </si>
  <si>
    <t>Dyn Â· s/cmÂ³</t>
  </si>
  <si>
    <t>A51</t>
  </si>
  <si>
    <t>Dina segundo por centimetro</t>
  </si>
  <si>
    <t>Dyn Â· s/cm</t>
  </si>
  <si>
    <t>A52</t>
  </si>
  <si>
    <t>Dina segundo por centimetro a la quinta potencia</t>
  </si>
  <si>
    <t>Dyn Â· s/cm?</t>
  </si>
  <si>
    <t>A53</t>
  </si>
  <si>
    <t>Electronvoltio</t>
  </si>
  <si>
    <t>eV</t>
  </si>
  <si>
    <t>A54</t>
  </si>
  <si>
    <t>Electronvoltio por metro</t>
  </si>
  <si>
    <t>eV/m</t>
  </si>
  <si>
    <t>A55</t>
  </si>
  <si>
    <t>Electronvoltio por metro cuadrado</t>
  </si>
  <si>
    <t>eVÂ·mÂ²</t>
  </si>
  <si>
    <t>A56</t>
  </si>
  <si>
    <t>Electronvoltio metro cuadrado por kilogramo</t>
  </si>
  <si>
    <t>eVÂ·mÂ²/kg</t>
  </si>
  <si>
    <t>A57</t>
  </si>
  <si>
    <t>Ergio</t>
  </si>
  <si>
    <t>ergio</t>
  </si>
  <si>
    <t>A58</t>
  </si>
  <si>
    <t>Erg por centimetro</t>
  </si>
  <si>
    <t>Erg/cm</t>
  </si>
  <si>
    <t>A59</t>
  </si>
  <si>
    <t>La cobertura de nubes 8-parte</t>
  </si>
  <si>
    <t>Unidad de recuento para definir el nÃºmero de octavos de partes como una medida de la cobertura de nubes de la ccÃºpula celeste.Â 
'Sinonimo: OKTA, OCTA</t>
  </si>
  <si>
    <t>A6</t>
  </si>
  <si>
    <t>Amperio por metro cuadrado Kelvin cuadrado</t>
  </si>
  <si>
    <t>A/(mÂ²Â·KÂ²)</t>
  </si>
  <si>
    <t>A60</t>
  </si>
  <si>
    <t>Erg por centimetro cÃºbico</t>
  </si>
  <si>
    <t>Erg/cmÂ³</t>
  </si>
  <si>
    <t>A61</t>
  </si>
  <si>
    <t>Erg por gramo</t>
  </si>
  <si>
    <t>Erg/g</t>
  </si>
  <si>
    <t>A62</t>
  </si>
  <si>
    <t>Erg por segundo gramo</t>
  </si>
  <si>
    <t>Erg/g Â· s</t>
  </si>
  <si>
    <t>A63</t>
  </si>
  <si>
    <t>Erg por segundo</t>
  </si>
  <si>
    <t>Ergs</t>
  </si>
  <si>
    <t>A64</t>
  </si>
  <si>
    <t>Erg por segundo centimetro cuadrado</t>
  </si>
  <si>
    <t>Erg/(s Â· cmÂ²)</t>
  </si>
  <si>
    <t>A65</t>
  </si>
  <si>
    <t>Erg por centimetro cuadrado segundo</t>
  </si>
  <si>
    <t>Erg/(cmÂ² Â· s)</t>
  </si>
  <si>
    <t>A66</t>
  </si>
  <si>
    <t>Erg centimetro cuadrado</t>
  </si>
  <si>
    <t>Erg Â· cmÂ²</t>
  </si>
  <si>
    <t>A67</t>
  </si>
  <si>
    <t>Erg centimetro cuadrado por gramo</t>
  </si>
  <si>
    <t>Erg Â· cmÂ²/g</t>
  </si>
  <si>
    <t>A68</t>
  </si>
  <si>
    <t>Exajoule</t>
  </si>
  <si>
    <t>EJ</t>
  </si>
  <si>
    <t>A69</t>
  </si>
  <si>
    <t>Faradio por metro</t>
  </si>
  <si>
    <t>F/m</t>
  </si>
  <si>
    <t>A7</t>
  </si>
  <si>
    <t>Amperio por milimetro cuadrado</t>
  </si>
  <si>
    <t>A/mmÂ²</t>
  </si>
  <si>
    <t>A70</t>
  </si>
  <si>
    <t>Femtojoule</t>
  </si>
  <si>
    <t>fJ</t>
  </si>
  <si>
    <t>A71</t>
  </si>
  <si>
    <t>Femtometro</t>
  </si>
  <si>
    <t>Es la unidad de longitud que equivale a una milbillonesima parte del metro.</t>
  </si>
  <si>
    <t>fm</t>
  </si>
  <si>
    <t>A73</t>
  </si>
  <si>
    <t>Pie por segundo al cuadrado</t>
  </si>
  <si>
    <t>ft/sÂ²</t>
  </si>
  <si>
    <t>A74</t>
  </si>
  <si>
    <t>Pie libra-fuerza por segundo</t>
  </si>
  <si>
    <t>ftÂ·lbf/s</t>
  </si>
  <si>
    <t>A75</t>
  </si>
  <si>
    <t>Tonelada de carga</t>
  </si>
  <si>
    <t>Unidad de informacion que normalmente se utiliza para la facturacion, que se define como sea el nÃºmero de toneladas metricas o el nÃºmero de metros cÃºbicos, lo que sea mayor.</t>
  </si>
  <si>
    <t>A76</t>
  </si>
  <si>
    <t>Galon</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</si>
  <si>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t>
  </si>
  <si>
    <t>Gal</t>
  </si>
  <si>
    <t>A77</t>
  </si>
  <si>
    <t>Gaussian CGS (Centimetro-Gram-Segundo sistema) unidad de desplazamiento</t>
  </si>
  <si>
    <t>A78</t>
  </si>
  <si>
    <t>Gaussiano CGS (Centimetro-Gram-Segundo sistema) unidad de corriente electrica</t>
  </si>
  <si>
    <t>A79</t>
  </si>
  <si>
    <t>Gaussian CGS (Centimetro-Gram-Segundo sistema) unidad de carga electrica</t>
  </si>
  <si>
    <t>A8</t>
  </si>
  <si>
    <t>Amperio segundo</t>
  </si>
  <si>
    <t>AÂ·s</t>
  </si>
  <si>
    <t>A80</t>
  </si>
  <si>
    <t>Gaussiano CGS (Centimetro-Gram-Segundo sistema) unidad de la fuerza del campo electrico</t>
  </si>
  <si>
    <t>A81</t>
  </si>
  <si>
    <t>Gaussian CGS (Centimetro-Gram-Segundo sistema) unidad de polarizacion electrica</t>
  </si>
  <si>
    <t>A82</t>
  </si>
  <si>
    <t>Gaussiano CGS (Centimetro-Gram-Segundo sistema) unidad de potencial electrico</t>
  </si>
  <si>
    <t>A83</t>
  </si>
  <si>
    <t>Gaussian CGS (Centimetro-Gram-Segundo sistema) unidad de magnetizacion</t>
  </si>
  <si>
    <t>A84</t>
  </si>
  <si>
    <t>GigaCulombio por metro cÃºbico</t>
  </si>
  <si>
    <t>GC/mÂ³</t>
  </si>
  <si>
    <t>A85</t>
  </si>
  <si>
    <t>Gigaelectronvoltio</t>
  </si>
  <si>
    <t>GeV</t>
  </si>
  <si>
    <t>A86</t>
  </si>
  <si>
    <t>Gigahertz</t>
  </si>
  <si>
    <t>Es un mÃºltiplo de la unidad de medida de frecuencia hercio (Hz) y equivale a 109 (1 000 000 000) Hz. Por lo tanto, tiene un periodo de oscilacion de 1 nanosegundo. Las ondas de radio con frecuencias cercanas al gigahercio se denominan microondas.</t>
  </si>
  <si>
    <t>GHz</t>
  </si>
  <si>
    <t>A87</t>
  </si>
  <si>
    <t>GigaOhm</t>
  </si>
  <si>
    <t>G?</t>
  </si>
  <si>
    <t>A88</t>
  </si>
  <si>
    <t>GigaOhm metro</t>
  </si>
  <si>
    <t>G?Â·m</t>
  </si>
  <si>
    <t>A89</t>
  </si>
  <si>
    <t>Gigapascal</t>
  </si>
  <si>
    <t>GPa</t>
  </si>
  <si>
    <t>A9</t>
  </si>
  <si>
    <t>Tarifa</t>
  </si>
  <si>
    <t>Unidad de cantidad expresada como una tasa para el uso de una instalacion o servicio.</t>
  </si>
  <si>
    <t>A90</t>
  </si>
  <si>
    <t>Gigawatt</t>
  </si>
  <si>
    <t>GW</t>
  </si>
  <si>
    <t>A91</t>
  </si>
  <si>
    <t>Grado centesimal</t>
  </si>
  <si>
    <t>Sinonimo: grado
El grado centesimal o gon Â—tambien llamado gradian (plural: gradianes) y gonio Â— es una unidad de medida de angulos planos, alternativa al grado sexagesimal y al radian.</t>
  </si>
  <si>
    <t>gon</t>
  </si>
  <si>
    <t>A93</t>
  </si>
  <si>
    <t>Gramo por metro cÃºbico</t>
  </si>
  <si>
    <t>g/mÂ³</t>
  </si>
  <si>
    <t>A94</t>
  </si>
  <si>
    <t>Gramo por Mol</t>
  </si>
  <si>
    <t>g/mol</t>
  </si>
  <si>
    <t>A95</t>
  </si>
  <si>
    <t>Gray</t>
  </si>
  <si>
    <t>Es una unidad derivada del Sistema Internacional de Unidades que mide la dosis absorbida de radiaciones ionizantes por un determinado material. Un Gray es equivalente a la absorcion de un julio de energia ionizante por un kilogramo de material irradiado.</t>
  </si>
  <si>
    <t>Gy</t>
  </si>
  <si>
    <t>A96</t>
  </si>
  <si>
    <t>Gray por segundo</t>
  </si>
  <si>
    <t>Gy/s</t>
  </si>
  <si>
    <t>A97</t>
  </si>
  <si>
    <t>Hectopascal</t>
  </si>
  <si>
    <t>hPa</t>
  </si>
  <si>
    <t>A98</t>
  </si>
  <si>
    <t>Henry por metro</t>
  </si>
  <si>
    <t>H/m</t>
  </si>
  <si>
    <t>A99</t>
  </si>
  <si>
    <t>Bit</t>
  </si>
  <si>
    <t>Unidad de informacion igual a un digito binario.</t>
  </si>
  <si>
    <t>bit</t>
  </si>
  <si>
    <t>AA</t>
  </si>
  <si>
    <t>Balon</t>
  </si>
  <si>
    <t>Unidad de recuento para definir el nÃºmero de bolas (Balon: objeto formado en la forma de esfera).</t>
  </si>
  <si>
    <t>AB</t>
  </si>
  <si>
    <t>Paquete a granel</t>
  </si>
  <si>
    <t>Unidad de recuento para definir el nÃºmero de articulos por paquete a granel.</t>
  </si>
  <si>
    <t>pk</t>
  </si>
  <si>
    <t>ACR</t>
  </si>
  <si>
    <t>Acre</t>
  </si>
  <si>
    <t>Es una medida de superficie, usada en agricultura en varios paises.</t>
  </si>
  <si>
    <t>acre</t>
  </si>
  <si>
    <t>ACT</t>
  </si>
  <si>
    <t>Actividad</t>
  </si>
  <si>
    <t>Unidad de recuento para definir el nÃºmero de actividades (actividad: una unidad de trabajo o accion).</t>
  </si>
  <si>
    <t>AD</t>
  </si>
  <si>
    <t>Byte</t>
  </si>
  <si>
    <t>Unidad de informacion igual a 8 bits.</t>
  </si>
  <si>
    <t>byte</t>
  </si>
  <si>
    <t>AE</t>
  </si>
  <si>
    <t>Amperio por metro</t>
  </si>
  <si>
    <t>(a veces llamado amperio vuelta por metro) es la unidad SI de la corriente de campo magnetico.</t>
  </si>
  <si>
    <t>A/m</t>
  </si>
  <si>
    <t>AH</t>
  </si>
  <si>
    <t>Minuto adicional</t>
  </si>
  <si>
    <t>Unidad de tiempo que define el nÃºmero de minutos, ademas de los minutos referenciados.</t>
  </si>
  <si>
    <t>AI</t>
  </si>
  <si>
    <t>Minuto y medio por llamada</t>
  </si>
  <si>
    <t>Unidad de recuento para definir el nÃºmero de minutos para el intervalo medio de una llamada.</t>
  </si>
  <si>
    <t>AJ</t>
  </si>
  <si>
    <t>policia</t>
  </si>
  <si>
    <t>AK</t>
  </si>
  <si>
    <t>Braza</t>
  </si>
  <si>
    <t>Una braza es una unidad de longitud nautica, usada generalmente para medir la profundidad del agua. Se llama braza porque equivale a la longitud de un par de brazos extendidos, aproximadamente dos metros, o 6 pies en el sistema de medicion estadounidense. Actualmente es considerada arcaica e imprecisa.</t>
  </si>
  <si>
    <t>fth</t>
  </si>
  <si>
    <t>AL</t>
  </si>
  <si>
    <t>Linea de acceso</t>
  </si>
  <si>
    <t>Unidad de recuento para definir el nÃºmero de lineas de acceso telefonico.</t>
  </si>
  <si>
    <t>AMH</t>
  </si>
  <si>
    <t>Amperio hora</t>
  </si>
  <si>
    <t xml:space="preserve">Unidad de carga electrica definida por la cantidad de carga acumulada por un flujo constante de un amperio por 1 hora. </t>
  </si>
  <si>
    <t>AÂ·h</t>
  </si>
  <si>
    <t>AMP</t>
  </si>
  <si>
    <t>Amperio</t>
  </si>
  <si>
    <t xml:space="preserve">Es la intensidad de una corriente constante que manteniendose en dos conductores paralelos, rectilineos, de longitud infinita, de seccion circular despreciable y situados a una distancia de un metro uno de otro en el vacio, produciria una fuerza igual a 2Â·10-7 newton por metro de longitud. </t>
  </si>
  <si>
    <t>A</t>
  </si>
  <si>
    <t>ANN</t>
  </si>
  <si>
    <t>Ano</t>
  </si>
  <si>
    <t xml:space="preserve">Unidad de tiempo equivalente a 365.25 dias. </t>
  </si>
  <si>
    <t>y</t>
  </si>
  <si>
    <t>AP</t>
  </si>
  <si>
    <t>Libra de aluminio solamente</t>
  </si>
  <si>
    <t>APZ</t>
  </si>
  <si>
    <t xml:space="preserve">Onza troy u onza farmaceutica </t>
  </si>
  <si>
    <t>tr oz</t>
  </si>
  <si>
    <t>AQ</t>
  </si>
  <si>
    <t>Unidad del factor anti-hemofilico.</t>
  </si>
  <si>
    <t>Unidad de medida para la potencia de la sangre (US).</t>
  </si>
  <si>
    <t>AR</t>
  </si>
  <si>
    <t>supositorio</t>
  </si>
  <si>
    <t>ARE</t>
  </si>
  <si>
    <t>Are</t>
  </si>
  <si>
    <t>Sinonimo: decametro cuadrado</t>
  </si>
  <si>
    <t>un</t>
  </si>
  <si>
    <t>AS</t>
  </si>
  <si>
    <t>Variedad</t>
  </si>
  <si>
    <t>Unidad de recuento para definir el nÃºmero de surtidos (variedad: conjunto de elementos agrupados en una coleccion mixta).</t>
  </si>
  <si>
    <t>ASM</t>
  </si>
  <si>
    <t>Grado alcoholico en masa</t>
  </si>
  <si>
    <t>Unidad de masa que define el grado alcoholico de un liquido.</t>
  </si>
  <si>
    <t>ASU</t>
  </si>
  <si>
    <t>Grado alcoholico volumetrico</t>
  </si>
  <si>
    <t>Unidad de volumen que define el grado alcoholico de un liquido (por ejemplo, alcohol, vino, cerveza, etc.), a menudo a una temperatura especifica.</t>
  </si>
  <si>
    <t>ATM</t>
  </si>
  <si>
    <t>Atmosfera estandar</t>
  </si>
  <si>
    <t>Es un modelo de la atmosfera terrestre que permite obtener los valores de presion, temperatura, densidad y viscosidad del aire en funcion de la altitud. Su funcion es proporcionar un marco de referencia invariante para la navegacion aerea y para la realizacion de calculos aerodinamicos consistentes.</t>
  </si>
  <si>
    <t>atm</t>
  </si>
  <si>
    <t>ATT</t>
  </si>
  <si>
    <t>Atmosfera tecnica</t>
  </si>
  <si>
    <t>a</t>
  </si>
  <si>
    <t>AW</t>
  </si>
  <si>
    <t>Relleno de polvo en viales</t>
  </si>
  <si>
    <t>AWG</t>
  </si>
  <si>
    <t>Calibre de alambre americano</t>
  </si>
  <si>
    <t>Tambien conocido como el calibre del cable Brown &amp; Sharpe , es un estandarizado calibre del cable sistema utilizado desde 1857 predominantemente en Norteamerica para los diametros de vuelta, no ferroso,, solido electricamente conductor de alambre.</t>
  </si>
  <si>
    <t>AY</t>
  </si>
  <si>
    <t>Montaje</t>
  </si>
  <si>
    <t>Una unidad de recuento de definir el nÃºmero de conjuntos (montaje: articulos que consisten de partes componentes).</t>
  </si>
  <si>
    <t>AZ</t>
  </si>
  <si>
    <t>Unidad termica britanica (tabla internacional) por libra</t>
  </si>
  <si>
    <t>BtuIT/lb</t>
  </si>
  <si>
    <t>B0</t>
  </si>
  <si>
    <t>Btu por pie cÃºbico</t>
  </si>
  <si>
    <t>BTU/ftÂ³</t>
  </si>
  <si>
    <t>B1</t>
  </si>
  <si>
    <t>Barril (EUA) por dia</t>
  </si>
  <si>
    <t>barrelÂ (US)/d</t>
  </si>
  <si>
    <t>B10</t>
  </si>
  <si>
    <t>Bits por segundo</t>
  </si>
  <si>
    <t>Unidad de informacion igual a un digito binario por segundo.</t>
  </si>
  <si>
    <t>bit/s</t>
  </si>
  <si>
    <t>B11</t>
  </si>
  <si>
    <t>Joule por kilogramo kelvin</t>
  </si>
  <si>
    <t xml:space="preserve">Es la capacidad termica masica de un cuerpo homogeneo de una masa de 1 kilogramo, en el que el aporte de una cantidad de calor de un joule, produce una elevacion de temperatura termodinamica de 1 kelvin. </t>
  </si>
  <si>
    <t>J/(kgÂ·K)</t>
  </si>
  <si>
    <t>B12</t>
  </si>
  <si>
    <t>Joule por metro</t>
  </si>
  <si>
    <t>J/m</t>
  </si>
  <si>
    <t>B13</t>
  </si>
  <si>
    <t>Joule por metro cuadrado</t>
  </si>
  <si>
    <t>Sinonimo: joule por metro cuadrado</t>
  </si>
  <si>
    <t>J/mÂ²</t>
  </si>
  <si>
    <t>B14</t>
  </si>
  <si>
    <t>Joule por metro a la cuarta potencia</t>
  </si>
  <si>
    <t>J/m?</t>
  </si>
  <si>
    <t>B15</t>
  </si>
  <si>
    <t>Juole por Mol</t>
  </si>
  <si>
    <t>J/mol</t>
  </si>
  <si>
    <t>B16</t>
  </si>
  <si>
    <t>Juoule por Mol kelvin</t>
  </si>
  <si>
    <t>J/(molÂ·K)</t>
  </si>
  <si>
    <t>B17</t>
  </si>
  <si>
    <t>Credito</t>
  </si>
  <si>
    <t>Unidad de recuento de definir el nÃºmero de entradas realizadas en el haber de una cuenta.</t>
  </si>
  <si>
    <t>B18</t>
  </si>
  <si>
    <t>Segundos joule</t>
  </si>
  <si>
    <t>JÂ·s</t>
  </si>
  <si>
    <t>B19</t>
  </si>
  <si>
    <t>Digito</t>
  </si>
  <si>
    <t>Unidad de informacion que define la cantidad de nÃºmeros utiliza para formar un nÃºmero.</t>
  </si>
  <si>
    <t>B2</t>
  </si>
  <si>
    <t>litera</t>
  </si>
  <si>
    <t>B20</t>
  </si>
  <si>
    <t>Joule metro cuadrado por kilogramo</t>
  </si>
  <si>
    <t>JÂ·mÂ²/kg</t>
  </si>
  <si>
    <t>B21</t>
  </si>
  <si>
    <t>Kelvin por watt</t>
  </si>
  <si>
    <t>K/W</t>
  </si>
  <si>
    <t>B22</t>
  </si>
  <si>
    <t>Kiloamperio</t>
  </si>
  <si>
    <t>kA</t>
  </si>
  <si>
    <t>B23</t>
  </si>
  <si>
    <t>Kiloamperio por metro cuadrado</t>
  </si>
  <si>
    <t>kA/mÂ²</t>
  </si>
  <si>
    <t>B24</t>
  </si>
  <si>
    <t>Kiloamperio por metro</t>
  </si>
  <si>
    <t>kA/m</t>
  </si>
  <si>
    <t>B25</t>
  </si>
  <si>
    <t>Kilobecquerel por metro cÃºbico</t>
  </si>
  <si>
    <t>kBq/kg</t>
  </si>
  <si>
    <t>B26</t>
  </si>
  <si>
    <t>KiloCulombio</t>
  </si>
  <si>
    <t>kC</t>
  </si>
  <si>
    <t>B27</t>
  </si>
  <si>
    <t>KiloCulombio por metro cÃºbico</t>
  </si>
  <si>
    <t>kC/mÂ³</t>
  </si>
  <si>
    <t>B28</t>
  </si>
  <si>
    <t>KiloCulombio por metro cuadrado</t>
  </si>
  <si>
    <t>kC/mÂ²</t>
  </si>
  <si>
    <t>B29</t>
  </si>
  <si>
    <t>Kiloelectronvoltio</t>
  </si>
  <si>
    <t>keV</t>
  </si>
  <si>
    <t>B3</t>
  </si>
  <si>
    <t>Libra de bateo</t>
  </si>
  <si>
    <t>Unidad de masa que define el nÃºmero de libras de fibra acolchada.</t>
  </si>
  <si>
    <t>B30</t>
  </si>
  <si>
    <t>Gibibit</t>
  </si>
  <si>
    <t>Unidad de informacion igual a 2Â³? los bits (digitos binarios).</t>
  </si>
  <si>
    <t>Gibit</t>
  </si>
  <si>
    <t>B31</t>
  </si>
  <si>
    <t>Kilogramo metro por segundo</t>
  </si>
  <si>
    <t>kgÂ·m/s</t>
  </si>
  <si>
    <t>B32</t>
  </si>
  <si>
    <t>Kilogramo metro cuadrado</t>
  </si>
  <si>
    <t>kgÂ·mÂ²</t>
  </si>
  <si>
    <t>B33</t>
  </si>
  <si>
    <t>Kilogramo metro cuadrado por segundo</t>
  </si>
  <si>
    <t>kgÂ·mÂ²/s</t>
  </si>
  <si>
    <t>B34</t>
  </si>
  <si>
    <t>Kilogramo por decimetro cÃºbico</t>
  </si>
  <si>
    <t>kg/dmÂ³</t>
  </si>
  <si>
    <t>B35</t>
  </si>
  <si>
    <t>Kilogramo por litro</t>
  </si>
  <si>
    <t>kg/l or kg/L</t>
  </si>
  <si>
    <t>B36</t>
  </si>
  <si>
    <t>Calorias (termoquimicas) por gramo</t>
  </si>
  <si>
    <t>calÂ thÂ / g</t>
  </si>
  <si>
    <t>B37</t>
  </si>
  <si>
    <t>Kilogramo de fuerza</t>
  </si>
  <si>
    <t>Kgf</t>
  </si>
  <si>
    <t>B38</t>
  </si>
  <si>
    <t>Kilogramo-metro de la fuerza</t>
  </si>
  <si>
    <t>Kgf Â· m</t>
  </si>
  <si>
    <t>B39</t>
  </si>
  <si>
    <t>Kilogramo-fuerza del metro por segundo</t>
  </si>
  <si>
    <t>Kgf Â· m/s</t>
  </si>
  <si>
    <t>B4</t>
  </si>
  <si>
    <t>Barril, unidad imperial</t>
  </si>
  <si>
    <t>Unidad de volumen utilizado para medir cerveza.Â Un barril de cerveza es igual a 36 galones imperiales.</t>
  </si>
  <si>
    <t>B40</t>
  </si>
  <si>
    <t>Kilogramo de fuerza por metro cuadrado</t>
  </si>
  <si>
    <t>Kgf/mÂ²</t>
  </si>
  <si>
    <t>B41</t>
  </si>
  <si>
    <t>Kilojoule por kelvin</t>
  </si>
  <si>
    <t>kJ/K</t>
  </si>
  <si>
    <t>B42</t>
  </si>
  <si>
    <t>Kilojoule por kilogramo</t>
  </si>
  <si>
    <t>kJ/kg</t>
  </si>
  <si>
    <t>B43</t>
  </si>
  <si>
    <t>Kilojoule por kilogramo kelvin</t>
  </si>
  <si>
    <t>kJ/(kgÂ·K)</t>
  </si>
  <si>
    <t>B44</t>
  </si>
  <si>
    <t xml:space="preserve">Kilojoule por Mol </t>
  </si>
  <si>
    <t>kJ/mol</t>
  </si>
  <si>
    <t>B45</t>
  </si>
  <si>
    <t>KiloMol</t>
  </si>
  <si>
    <t>kmol</t>
  </si>
  <si>
    <t>B46</t>
  </si>
  <si>
    <t>KiloMol por metro cÃºbico</t>
  </si>
  <si>
    <t>kmol/mÂ³</t>
  </si>
  <si>
    <t>B47</t>
  </si>
  <si>
    <t>Kilonewton</t>
  </si>
  <si>
    <t>kN</t>
  </si>
  <si>
    <t>B48</t>
  </si>
  <si>
    <t>Kilonewton metro</t>
  </si>
  <si>
    <t>kNÂ·m</t>
  </si>
  <si>
    <t>B49</t>
  </si>
  <si>
    <t>KiloOhm</t>
  </si>
  <si>
    <t>k?</t>
  </si>
  <si>
    <t>B5</t>
  </si>
  <si>
    <t>palanquilla</t>
  </si>
  <si>
    <t>B50</t>
  </si>
  <si>
    <t>KiloOhm metro</t>
  </si>
  <si>
    <t>k?Â·m</t>
  </si>
  <si>
    <t>B51</t>
  </si>
  <si>
    <t>KiloLibra</t>
  </si>
  <si>
    <t>Sinonimo: Kilogramo-fuerza</t>
  </si>
  <si>
    <t>Kp</t>
  </si>
  <si>
    <t>B52</t>
  </si>
  <si>
    <t>Kilosegundo</t>
  </si>
  <si>
    <t>ks</t>
  </si>
  <si>
    <t>B53</t>
  </si>
  <si>
    <t>Kilosiemens</t>
  </si>
  <si>
    <t>kS</t>
  </si>
  <si>
    <t>B54</t>
  </si>
  <si>
    <t>Kilosiemens por metro</t>
  </si>
  <si>
    <t>kS/m</t>
  </si>
  <si>
    <t>B55</t>
  </si>
  <si>
    <t>Kilovoltio por metro</t>
  </si>
  <si>
    <t>kV/m</t>
  </si>
  <si>
    <t>B56</t>
  </si>
  <si>
    <t>Kiloweber por metro</t>
  </si>
  <si>
    <t>kWb/m</t>
  </si>
  <si>
    <t>B57</t>
  </si>
  <si>
    <t>Ano luz</t>
  </si>
  <si>
    <t>Unidad de longitud que considera la distancia a la que viaja la luz en el vacio en un ano.</t>
  </si>
  <si>
    <t>ly</t>
  </si>
  <si>
    <t>B58</t>
  </si>
  <si>
    <t>Litro por Mol</t>
  </si>
  <si>
    <t>l/mol</t>
  </si>
  <si>
    <t>B59</t>
  </si>
  <si>
    <t>Lumen hora</t>
  </si>
  <si>
    <t>lmÂ·h</t>
  </si>
  <si>
    <t>B6</t>
  </si>
  <si>
    <t>Bollo</t>
  </si>
  <si>
    <t>B60</t>
  </si>
  <si>
    <t>Lumen por metro cuadrado</t>
  </si>
  <si>
    <t>lm/mÂ²</t>
  </si>
  <si>
    <t>B61</t>
  </si>
  <si>
    <t>Luminosidad por watt</t>
  </si>
  <si>
    <t>lm/W</t>
  </si>
  <si>
    <t>B62</t>
  </si>
  <si>
    <t>Lumen segundo</t>
  </si>
  <si>
    <t>lmÂ·s</t>
  </si>
  <si>
    <t>B63</t>
  </si>
  <si>
    <t>Hora de luz</t>
  </si>
  <si>
    <t>lxÂ·h</t>
  </si>
  <si>
    <t>B64</t>
  </si>
  <si>
    <t>Segundo de luz</t>
  </si>
  <si>
    <t>lxÂ·s</t>
  </si>
  <si>
    <t>B65</t>
  </si>
  <si>
    <t>Maxwell</t>
  </si>
  <si>
    <t>Mx</t>
  </si>
  <si>
    <t>B66</t>
  </si>
  <si>
    <t>Megaamperio por metro cuadrado</t>
  </si>
  <si>
    <t>MA/mÂ²</t>
  </si>
  <si>
    <t>B67</t>
  </si>
  <si>
    <t>Megabecquerel por kilogramo</t>
  </si>
  <si>
    <t>MBq/kg</t>
  </si>
  <si>
    <t>B68</t>
  </si>
  <si>
    <t>Gigabit</t>
  </si>
  <si>
    <t>Unidad de informacion igual a 10? los bits (digitos binarios).</t>
  </si>
  <si>
    <t>Gbit</t>
  </si>
  <si>
    <t>B69</t>
  </si>
  <si>
    <t>MegaCulombio por metro cÃºbico</t>
  </si>
  <si>
    <t>MC/mÂ³</t>
  </si>
  <si>
    <t>B7</t>
  </si>
  <si>
    <t>Ciclo</t>
  </si>
  <si>
    <t>Unidad de recuento de definir el nÃºmero de ciclos (ciclo: un periodo recurrente de duracion definida).</t>
  </si>
  <si>
    <t>B70</t>
  </si>
  <si>
    <t>MegaCulombio por metro cuadrado</t>
  </si>
  <si>
    <t>MC/mÂ²</t>
  </si>
  <si>
    <t>B71</t>
  </si>
  <si>
    <t>Megaelectronvoltio</t>
  </si>
  <si>
    <t>MeV</t>
  </si>
  <si>
    <t>B72</t>
  </si>
  <si>
    <t>Megagramo por metro cÃºbico</t>
  </si>
  <si>
    <t>Mg/mÂ³</t>
  </si>
  <si>
    <t>B73</t>
  </si>
  <si>
    <t>Meganewton</t>
  </si>
  <si>
    <t>MN</t>
  </si>
  <si>
    <t>B74</t>
  </si>
  <si>
    <t>Meganewton metro</t>
  </si>
  <si>
    <t>MNÂ·m</t>
  </si>
  <si>
    <t>B75</t>
  </si>
  <si>
    <t>MegaOhm</t>
  </si>
  <si>
    <t>M?</t>
  </si>
  <si>
    <t>B76</t>
  </si>
  <si>
    <t>MegaOhm metro</t>
  </si>
  <si>
    <t>M?Â·m</t>
  </si>
  <si>
    <t>B77</t>
  </si>
  <si>
    <t>Megasiemens por metro</t>
  </si>
  <si>
    <t>MS/m</t>
  </si>
  <si>
    <t>B78</t>
  </si>
  <si>
    <t xml:space="preserve">Megavoltio </t>
  </si>
  <si>
    <t>MV</t>
  </si>
  <si>
    <t>B79</t>
  </si>
  <si>
    <t>Megavoltio por metro</t>
  </si>
  <si>
    <t>MV/m</t>
  </si>
  <si>
    <t>B8</t>
  </si>
  <si>
    <t>Joule por metro cÃºbico</t>
  </si>
  <si>
    <t>J/mÂ³</t>
  </si>
  <si>
    <t>B80</t>
  </si>
  <si>
    <t>Gigabit por segundo</t>
  </si>
  <si>
    <t>Unidad de informacion igual a 10? bits (digitos binarios) por segundo.</t>
  </si>
  <si>
    <t>Gbit/s</t>
  </si>
  <si>
    <t>B81</t>
  </si>
  <si>
    <t>Reciprocidad del metro cuadrado, reciprocidad del segundo</t>
  </si>
  <si>
    <t>m?Â²/s</t>
  </si>
  <si>
    <t>B82</t>
  </si>
  <si>
    <t>Pulgadas por pie lineal</t>
  </si>
  <si>
    <t>Unidad de longitud que define el nÃºmero de pulgadas por pie lineal.</t>
  </si>
  <si>
    <t>B83</t>
  </si>
  <si>
    <t>Metro a la cuarta potencia</t>
  </si>
  <si>
    <t>m?</t>
  </si>
  <si>
    <t>B84</t>
  </si>
  <si>
    <t>Microamperio</t>
  </si>
  <si>
    <t>ÂµA</t>
  </si>
  <si>
    <t>B85</t>
  </si>
  <si>
    <t>Microbar</t>
  </si>
  <si>
    <t>Âµbar</t>
  </si>
  <si>
    <t>B86</t>
  </si>
  <si>
    <t>MicroCulombio</t>
  </si>
  <si>
    <t>ÂµC</t>
  </si>
  <si>
    <t>B87</t>
  </si>
  <si>
    <t>MicroCulombio por metro cÃºbico</t>
  </si>
  <si>
    <t>ÂµC/mÂ³</t>
  </si>
  <si>
    <t>B88</t>
  </si>
  <si>
    <t>MicroCulombio por metro cuadrado</t>
  </si>
  <si>
    <t>ÂµC/mÂ²</t>
  </si>
  <si>
    <t>B89</t>
  </si>
  <si>
    <t>Microfaradio por metro</t>
  </si>
  <si>
    <t>ÂµF/m</t>
  </si>
  <si>
    <t>B9</t>
  </si>
  <si>
    <t>Batt</t>
  </si>
  <si>
    <t>B90</t>
  </si>
  <si>
    <t>Microhenry</t>
  </si>
  <si>
    <t>ÂµH</t>
  </si>
  <si>
    <t>B91</t>
  </si>
  <si>
    <t>Microhenry por metro</t>
  </si>
  <si>
    <t>ÂµH/m</t>
  </si>
  <si>
    <t>B92</t>
  </si>
  <si>
    <t>Micronewton</t>
  </si>
  <si>
    <t>ÂµN</t>
  </si>
  <si>
    <t>B93</t>
  </si>
  <si>
    <t>Micronewton metro</t>
  </si>
  <si>
    <t>ÂµNÂ·m</t>
  </si>
  <si>
    <t>B94</t>
  </si>
  <si>
    <t>Micro Ohm</t>
  </si>
  <si>
    <t>Âµ?</t>
  </si>
  <si>
    <t>B95</t>
  </si>
  <si>
    <t>MicroOhm metro</t>
  </si>
  <si>
    <t>Âµ?Â·m</t>
  </si>
  <si>
    <t>B96</t>
  </si>
  <si>
    <t>Micropascal</t>
  </si>
  <si>
    <t>ÂµPa</t>
  </si>
  <si>
    <t>B97</t>
  </si>
  <si>
    <t>Microrradian</t>
  </si>
  <si>
    <t>Unidad de distancia angular igual a una milesima de milliradian. Unidad angular - una unidad de medida para angulos.</t>
  </si>
  <si>
    <t>Âµrad</t>
  </si>
  <si>
    <t>B98</t>
  </si>
  <si>
    <t>Microsegundo</t>
  </si>
  <si>
    <t>Âµs</t>
  </si>
  <si>
    <t>B99</t>
  </si>
  <si>
    <t>Microsiemens</t>
  </si>
  <si>
    <t>ÂµS</t>
  </si>
  <si>
    <t>BAR</t>
  </si>
  <si>
    <t>Bar [unidad de presion]</t>
  </si>
  <si>
    <t>Se denomina bar a una unidad de presion equivalente a un millon de barias, aproximadamente igual a una atmosfera (1 atm). Su simbolo es Â«barÂ».</t>
  </si>
  <si>
    <t>bar</t>
  </si>
  <si>
    <t>BB</t>
  </si>
  <si>
    <t>Caja base</t>
  </si>
  <si>
    <t>Una unidad de area de 112 hojas de productos de estano (placa de estano, acero libre de estano o placa negra) 14 por 20 pulgadas o 31,360 pulgadas cuadradas.</t>
  </si>
  <si>
    <t>BFT</t>
  </si>
  <si>
    <t>Tablero de pies</t>
  </si>
  <si>
    <t>Unidad de medida para el volumen de la madera en el Estados Unidos y Canada . Es el volumen de una longitud de un pie de una placa de un pie de ancho y una pulgada de grosor.</t>
  </si>
  <si>
    <t>fbm</t>
  </si>
  <si>
    <t>BH</t>
  </si>
  <si>
    <t>Cepillo</t>
  </si>
  <si>
    <t>BHP</t>
  </si>
  <si>
    <t>Potencia al freno</t>
  </si>
  <si>
    <t>BIL</t>
  </si>
  <si>
    <t>Billon</t>
  </si>
  <si>
    <t>Sinonimo: Trillon en EUA.</t>
  </si>
  <si>
    <t>BLD</t>
  </si>
  <si>
    <t>Barril seco (EUA)</t>
  </si>
  <si>
    <t>bbl (US)</t>
  </si>
  <si>
    <t>BLL</t>
  </si>
  <si>
    <t>Barril (EUA)</t>
  </si>
  <si>
    <t>Un barril estadounidense es igual a:
42 galones estadounidenses
168 cuartos estadounidenses
336 pintas estadounidenses
1344 gills estadounidenses
5376 onzas liquidas estadounidenses
158.987294928 litros</t>
  </si>
  <si>
    <t>barrel (US)</t>
  </si>
  <si>
    <t>BP</t>
  </si>
  <si>
    <t>Tabledo de cien pies</t>
  </si>
  <si>
    <t>BPM</t>
  </si>
  <si>
    <t>Latidos por minuto</t>
  </si>
  <si>
    <t>El nÃºmero de latidos por minuto.</t>
  </si>
  <si>
    <t>BQL</t>
  </si>
  <si>
    <t>Becquerel</t>
  </si>
  <si>
    <t>Es la actividad de una fuente radiactiva en la que se desintegra un nÃºcleo por segundo en un dado instante.</t>
  </si>
  <si>
    <t>Bq</t>
  </si>
  <si>
    <t>BTU</t>
  </si>
  <si>
    <t>Unidad termica britanica (tabla internacional)</t>
  </si>
  <si>
    <t>BtuIT</t>
  </si>
  <si>
    <t>BUA</t>
  </si>
  <si>
    <t>Bushel (EUA)</t>
  </si>
  <si>
    <t>El bushel es una unidad de medida de capacidad para mercancia solida en los paises anglosajones (paises de habla inglesa). Se utiliza en el comercio de granos, harinas y otros productos analogos.</t>
  </si>
  <si>
    <t>bu (US)</t>
  </si>
  <si>
    <t>BUI</t>
  </si>
  <si>
    <t>Bushel (UK)</t>
  </si>
  <si>
    <t>Un bushel tiene 4 pecks o 32 quarts, y equivale a 1,03205 del bushel de los Estados Unidos, que a su vez equivale a 0,35238 hectolitros. La palabra bushel esta cayendo en desuso rapidamente.</t>
  </si>
  <si>
    <t>bushel (UK)</t>
  </si>
  <si>
    <t>BW</t>
  </si>
  <si>
    <t>Peso base</t>
  </si>
  <si>
    <t>BZ</t>
  </si>
  <si>
    <t>Millones de BTUs</t>
  </si>
  <si>
    <t>C0</t>
  </si>
  <si>
    <t>Llamada</t>
  </si>
  <si>
    <t>Una unidad de recuento de definir el nÃºmero de llamadas (call: sesion de comunicacion o de visita).</t>
  </si>
  <si>
    <t>C1</t>
  </si>
  <si>
    <t>Libra de producto compuesto (peso total)</t>
  </si>
  <si>
    <t>C10</t>
  </si>
  <si>
    <t>Milifaradio</t>
  </si>
  <si>
    <t>mF</t>
  </si>
  <si>
    <t>C11</t>
  </si>
  <si>
    <t>Miligalon</t>
  </si>
  <si>
    <t>mGal</t>
  </si>
  <si>
    <t>C12</t>
  </si>
  <si>
    <t>Miligramo por metro</t>
  </si>
  <si>
    <t>mg/m</t>
  </si>
  <si>
    <t>C13</t>
  </si>
  <si>
    <t>MilliGray</t>
  </si>
  <si>
    <t>mGy</t>
  </si>
  <si>
    <t>C14</t>
  </si>
  <si>
    <t>Milihenry</t>
  </si>
  <si>
    <t>mH</t>
  </si>
  <si>
    <t>C15</t>
  </si>
  <si>
    <t>Milijoule</t>
  </si>
  <si>
    <t>mJ</t>
  </si>
  <si>
    <t>C16</t>
  </si>
  <si>
    <t>Milimetro por segundo</t>
  </si>
  <si>
    <t>mm/s</t>
  </si>
  <si>
    <t>C17</t>
  </si>
  <si>
    <t>Milimetro cuadrado por segundo</t>
  </si>
  <si>
    <t>mmÂ²/s</t>
  </si>
  <si>
    <t>C18</t>
  </si>
  <si>
    <t>MiliMol</t>
  </si>
  <si>
    <t>mmol</t>
  </si>
  <si>
    <t>C19</t>
  </si>
  <si>
    <t>Mol por kilogramo</t>
  </si>
  <si>
    <t>mol/kg</t>
  </si>
  <si>
    <t>C2</t>
  </si>
  <si>
    <t>Carset</t>
  </si>
  <si>
    <t>C20</t>
  </si>
  <si>
    <t>Milinewton</t>
  </si>
  <si>
    <t>mN</t>
  </si>
  <si>
    <t>C21</t>
  </si>
  <si>
    <t>Kibibit</t>
  </si>
  <si>
    <t>Unidad de informacion igual a 2Â¹? (1024) bits (digitos binarios).</t>
  </si>
  <si>
    <t>Kibit</t>
  </si>
  <si>
    <t>C22</t>
  </si>
  <si>
    <t>Milinewton por metro</t>
  </si>
  <si>
    <t>mN/m</t>
  </si>
  <si>
    <t>C23</t>
  </si>
  <si>
    <t>MiliOhm metro</t>
  </si>
  <si>
    <t>m?Â·m</t>
  </si>
  <si>
    <t>C24</t>
  </si>
  <si>
    <t>Milipascal segundo</t>
  </si>
  <si>
    <t>mPaÂ·s</t>
  </si>
  <si>
    <t>C25</t>
  </si>
  <si>
    <t>Milirradian</t>
  </si>
  <si>
    <t>Es una unidad derivada sistema internacional para la medicion angular , que se define como una milesima parte de un radian (0,001 radianes).</t>
  </si>
  <si>
    <t>mrad</t>
  </si>
  <si>
    <t>C26</t>
  </si>
  <si>
    <t>Milisegundo</t>
  </si>
  <si>
    <t>ms</t>
  </si>
  <si>
    <t>C27</t>
  </si>
  <si>
    <t>Milisiemens</t>
  </si>
  <si>
    <t>mS</t>
  </si>
  <si>
    <t>C28</t>
  </si>
  <si>
    <t>MilliSievert</t>
  </si>
  <si>
    <t>mSv</t>
  </si>
  <si>
    <t>C29</t>
  </si>
  <si>
    <t>Militesla</t>
  </si>
  <si>
    <t>mT</t>
  </si>
  <si>
    <t>C3</t>
  </si>
  <si>
    <t>Microvoltios por metro</t>
  </si>
  <si>
    <t>ÂµV/m</t>
  </si>
  <si>
    <t>C30</t>
  </si>
  <si>
    <t>Milivoltio por metro</t>
  </si>
  <si>
    <t>mV/m</t>
  </si>
  <si>
    <t>C31</t>
  </si>
  <si>
    <t>Miliwatt</t>
  </si>
  <si>
    <t>mW</t>
  </si>
  <si>
    <t>C32</t>
  </si>
  <si>
    <t>Miliwatt por metro cuadrado</t>
  </si>
  <si>
    <t>Es equivalente a una milesima de vatio.</t>
  </si>
  <si>
    <t>mW/mÂ²</t>
  </si>
  <si>
    <t>C33</t>
  </si>
  <si>
    <t>Miliweber</t>
  </si>
  <si>
    <t>mWb</t>
  </si>
  <si>
    <t>C34</t>
  </si>
  <si>
    <t>Mol</t>
  </si>
  <si>
    <t xml:space="preserve">Es la cantidad de sustancia de un sistema que contiene tantas entidades elementales como atomos hay en 0,012 kilogramos de carbono 12. </t>
  </si>
  <si>
    <t>mol</t>
  </si>
  <si>
    <t>C35</t>
  </si>
  <si>
    <t>Mol por decimetro cÃºbico</t>
  </si>
  <si>
    <t>mol/dmÂ³</t>
  </si>
  <si>
    <t>C36</t>
  </si>
  <si>
    <t>Mol por metro cÃºbico</t>
  </si>
  <si>
    <t>mol/mÂ³</t>
  </si>
  <si>
    <t>C37</t>
  </si>
  <si>
    <t>Kilobits</t>
  </si>
  <si>
    <t>Unidad de informacion igual a 10Â³(1000) bits (digitos binarios).</t>
  </si>
  <si>
    <t>kbit</t>
  </si>
  <si>
    <t>C38</t>
  </si>
  <si>
    <t>Mol por litro</t>
  </si>
  <si>
    <t>mol/l</t>
  </si>
  <si>
    <t>C39</t>
  </si>
  <si>
    <t>Nanoamperio</t>
  </si>
  <si>
    <t>nA</t>
  </si>
  <si>
    <t>C4</t>
  </si>
  <si>
    <t>partido de carga</t>
  </si>
  <si>
    <t>C40</t>
  </si>
  <si>
    <t>NanoCulombio</t>
  </si>
  <si>
    <t>nC</t>
  </si>
  <si>
    <t>C41</t>
  </si>
  <si>
    <t>Nanofaradio</t>
  </si>
  <si>
    <t>nF</t>
  </si>
  <si>
    <t>C42</t>
  </si>
  <si>
    <t>Nanofaradio por metro</t>
  </si>
  <si>
    <t>nF/m</t>
  </si>
  <si>
    <t>C43</t>
  </si>
  <si>
    <t>Nanohenry</t>
  </si>
  <si>
    <t>nH</t>
  </si>
  <si>
    <t>C44</t>
  </si>
  <si>
    <t>Nanohenry por metro</t>
  </si>
  <si>
    <t>nH/m</t>
  </si>
  <si>
    <t>C45</t>
  </si>
  <si>
    <t>Nanometro</t>
  </si>
  <si>
    <t>Medida de longitud que equivale a la milmillonesima parte del metro.</t>
  </si>
  <si>
    <t>nm</t>
  </si>
  <si>
    <t>C46</t>
  </si>
  <si>
    <t>NanoOhm metro</t>
  </si>
  <si>
    <t>n?Â·m</t>
  </si>
  <si>
    <t>C47</t>
  </si>
  <si>
    <t>Nanosegundo</t>
  </si>
  <si>
    <t>ns</t>
  </si>
  <si>
    <t>C48</t>
  </si>
  <si>
    <t>Nanotesla</t>
  </si>
  <si>
    <t>nT</t>
  </si>
  <si>
    <t>C49</t>
  </si>
  <si>
    <t>Nanowatt</t>
  </si>
  <si>
    <t>nW</t>
  </si>
  <si>
    <t>C5</t>
  </si>
  <si>
    <t>Costo</t>
  </si>
  <si>
    <t>C50</t>
  </si>
  <si>
    <t>Neperio</t>
  </si>
  <si>
    <t>El neper o neperio es una unidad de medida relativa que se utiliza frecuentemente en el campo de la telecomunicacion, para expresar relaciones entre voltajes o intensidades.</t>
  </si>
  <si>
    <t>Np</t>
  </si>
  <si>
    <t>C51</t>
  </si>
  <si>
    <t>Neperio por segundo</t>
  </si>
  <si>
    <t>Np/s</t>
  </si>
  <si>
    <t>C52</t>
  </si>
  <si>
    <t>Picometro</t>
  </si>
  <si>
    <t>Es una unidad de longitud del SI que equivale a una billonesima (0,000 000 000 001 o 1Ã—10-12) parte de un metro.</t>
  </si>
  <si>
    <t>pm</t>
  </si>
  <si>
    <t>C53</t>
  </si>
  <si>
    <t>Newton metro segundo</t>
  </si>
  <si>
    <t>NÂ·mÂ·s</t>
  </si>
  <si>
    <t>C54</t>
  </si>
  <si>
    <t>Newton metro cuadrado por kilogramo cuadrado</t>
  </si>
  <si>
    <t>NÂ·mÂ²/kgÂ²</t>
  </si>
  <si>
    <t>C55</t>
  </si>
  <si>
    <t>Newton por metro cuadrado</t>
  </si>
  <si>
    <t>N/mÂ²</t>
  </si>
  <si>
    <t>C56</t>
  </si>
  <si>
    <t>Newton por milimetro cuadrado</t>
  </si>
  <si>
    <t>N/mmÂ²</t>
  </si>
  <si>
    <t>C57</t>
  </si>
  <si>
    <t>Newton segundo</t>
  </si>
  <si>
    <t>NÂ·s</t>
  </si>
  <si>
    <t>C58</t>
  </si>
  <si>
    <t>Segundos newton por metro</t>
  </si>
  <si>
    <t>NÂ·s/m</t>
  </si>
  <si>
    <t>C59</t>
  </si>
  <si>
    <t>Octava</t>
  </si>
  <si>
    <t>Una unidad utilizada en la mÃºsica para describir la relacion de la frecuencia entre las notas.</t>
  </si>
  <si>
    <t>C6</t>
  </si>
  <si>
    <t>celda</t>
  </si>
  <si>
    <t>C60</t>
  </si>
  <si>
    <t>Ohm centimetro</t>
  </si>
  <si>
    <t>?Â·cm</t>
  </si>
  <si>
    <t>C61</t>
  </si>
  <si>
    <t>Ohm metro</t>
  </si>
  <si>
    <t>?Â·m</t>
  </si>
  <si>
    <t>C62</t>
  </si>
  <si>
    <t>Uno</t>
  </si>
  <si>
    <t>Sinonimo: unidad</t>
  </si>
  <si>
    <t>C63</t>
  </si>
  <si>
    <t>Parsec</t>
  </si>
  <si>
    <t xml:space="preserve">Es una unidad de medida astronomica bastante utilizada para calcular grandes distancias entre objetos. </t>
  </si>
  <si>
    <t>pc</t>
  </si>
  <si>
    <t>C64</t>
  </si>
  <si>
    <t>Pascal por kelvin</t>
  </si>
  <si>
    <t>Pa/K</t>
  </si>
  <si>
    <t>C65</t>
  </si>
  <si>
    <t>Pascal segundo</t>
  </si>
  <si>
    <t>Es la viscosidad dinamica de un fluido homogeneo, en el cual, el movimiento rectilineo y uniforme de una superficie plana de 1 metro cuadrado, da lugar a una fuerza retardatriz de 1 newton, cuando hay una diferencia de velocidad de 1 metro por segundo entre dos planos paralelos separados por 1 metro de distancia.</t>
  </si>
  <si>
    <t>PaÂ·s</t>
  </si>
  <si>
    <t>C66</t>
  </si>
  <si>
    <t>Segundos pascal por metro cÃºbico</t>
  </si>
  <si>
    <t>PaÂ·s/mÂ³</t>
  </si>
  <si>
    <t>C67</t>
  </si>
  <si>
    <t xml:space="preserve">Segundos pascal por metro </t>
  </si>
  <si>
    <t>PaÂ· s/m</t>
  </si>
  <si>
    <t>C68</t>
  </si>
  <si>
    <t>Petajoule</t>
  </si>
  <si>
    <t>PJ</t>
  </si>
  <si>
    <t>C69</t>
  </si>
  <si>
    <t>Phon</t>
  </si>
  <si>
    <t>Unidad de volumen del sonido subjetivo. Un sonido tiene p phons de sonoridad si se parece al oyente a ser iguales en intensidad, con el sonido de un tono puro de frecuencia 1 kilohertz y de la fuerza p decibelios.</t>
  </si>
  <si>
    <t>C7</t>
  </si>
  <si>
    <t>Centipoise</t>
  </si>
  <si>
    <t>cP</t>
  </si>
  <si>
    <t>C70</t>
  </si>
  <si>
    <t>Picoamperio</t>
  </si>
  <si>
    <t>pA</t>
  </si>
  <si>
    <t>C71</t>
  </si>
  <si>
    <t>PicoCulombio</t>
  </si>
  <si>
    <t>pC</t>
  </si>
  <si>
    <t>C72</t>
  </si>
  <si>
    <t>Picofaradio por metro</t>
  </si>
  <si>
    <t>pF/m</t>
  </si>
  <si>
    <t>C73</t>
  </si>
  <si>
    <t>Picohenry</t>
  </si>
  <si>
    <t>pH</t>
  </si>
  <si>
    <t>C74</t>
  </si>
  <si>
    <t>Kilobits por segundo</t>
  </si>
  <si>
    <t>Unidad de informacion igual a 10 Â³  (1000) bits (digitos binarios) por segundo.</t>
  </si>
  <si>
    <t>kbit/s</t>
  </si>
  <si>
    <t>C75</t>
  </si>
  <si>
    <t>Picowatt</t>
  </si>
  <si>
    <t>pW</t>
  </si>
  <si>
    <t>C76</t>
  </si>
  <si>
    <t>Picowatt  por metro cuadrado</t>
  </si>
  <si>
    <t>Es igual a la trillonesima parte de un vatio (10?12).</t>
  </si>
  <si>
    <t>pW/mÂ²</t>
  </si>
  <si>
    <t>C77</t>
  </si>
  <si>
    <t>Calibre de libra</t>
  </si>
  <si>
    <t>C78</t>
  </si>
  <si>
    <t>Libra fuerza</t>
  </si>
  <si>
    <t>lbf</t>
  </si>
  <si>
    <t>C79</t>
  </si>
  <si>
    <t>Kilovoltios horas amperios</t>
  </si>
  <si>
    <t>Unidad de energia acumulada de 1000 amperios voltioios durante un periodo de una hora.</t>
  </si>
  <si>
    <t>kVAh</t>
  </si>
  <si>
    <t>C8</t>
  </si>
  <si>
    <t>MilliCulombio por kilogramo</t>
  </si>
  <si>
    <t>mC/kg</t>
  </si>
  <si>
    <t>C80</t>
  </si>
  <si>
    <t>Rad</t>
  </si>
  <si>
    <t>rad</t>
  </si>
  <si>
    <t>C81</t>
  </si>
  <si>
    <t>Radian</t>
  </si>
  <si>
    <t>Es la unidad de medida de un angulo con vertice en el centro de un circulo cuyos lados son cortados por el arco de la circunferencia, y que ademas dicho arco tiene una longitud igual a la del radio.</t>
  </si>
  <si>
    <t>C82</t>
  </si>
  <si>
    <t>Radianmetro cuadrado por Mol</t>
  </si>
  <si>
    <t>radÂ·mÂ²/mol</t>
  </si>
  <si>
    <t>C83</t>
  </si>
  <si>
    <t>Rradian metro cuadrado por kilogramo</t>
  </si>
  <si>
    <t>radÂ·mÂ²/kg</t>
  </si>
  <si>
    <t>C84</t>
  </si>
  <si>
    <t>Radian por metro</t>
  </si>
  <si>
    <t>rad/m</t>
  </si>
  <si>
    <t>C85</t>
  </si>
  <si>
    <t>Reciprocidad Amstrong</t>
  </si>
  <si>
    <t>Ã…?Â¹</t>
  </si>
  <si>
    <t>C86</t>
  </si>
  <si>
    <t>Reciprocidad del metro cÃºbico</t>
  </si>
  <si>
    <t>m?Â³</t>
  </si>
  <si>
    <t>C87</t>
  </si>
  <si>
    <t>Reciprocidad metro cÃºbico por segundo</t>
  </si>
  <si>
    <t>Sinonimo: Reciprocidad del segundo por metro cÃºbico.</t>
  </si>
  <si>
    <t>m?Â³/s</t>
  </si>
  <si>
    <t>C88</t>
  </si>
  <si>
    <t>Reciproco joule por metro cÃºbico</t>
  </si>
  <si>
    <t>eV?Â¹/mÂ³</t>
  </si>
  <si>
    <t>C89</t>
  </si>
  <si>
    <t>Henry reciproco</t>
  </si>
  <si>
    <t>H?Â¹</t>
  </si>
  <si>
    <t>C9</t>
  </si>
  <si>
    <t>Grupo bobinas</t>
  </si>
  <si>
    <t>Unidad de conteo que define el nÃºmero de grupos de bobinas (grupo bobina: grupos de elementos dispuestos por longitudes de los objetos colocados en una secuencia de circulos concentricos unido).</t>
  </si>
  <si>
    <t>C90</t>
  </si>
  <si>
    <t>Reciproco Henry</t>
  </si>
  <si>
    <t>J?Â¹/mÂ³</t>
  </si>
  <si>
    <t>C91</t>
  </si>
  <si>
    <t>Reciprocidad de kelvin o kelvin a la potencia menos 1</t>
  </si>
  <si>
    <t>K?Â¹</t>
  </si>
  <si>
    <t>C92</t>
  </si>
  <si>
    <t>Reciprocidad Metro</t>
  </si>
  <si>
    <t>m?Â¹</t>
  </si>
  <si>
    <t>C93</t>
  </si>
  <si>
    <t>Reciprocidad Metro cuadrado</t>
  </si>
  <si>
    <t>Sinonimo: Reciprocidad de metro cuadrado</t>
  </si>
  <si>
    <t>m?Â²</t>
  </si>
  <si>
    <t>C94</t>
  </si>
  <si>
    <t>Reciprocidad Minuto</t>
  </si>
  <si>
    <t>min?Â¹</t>
  </si>
  <si>
    <t>C95</t>
  </si>
  <si>
    <t>Reciprocidad Mol</t>
  </si>
  <si>
    <t>Es una propiedad fisica definida como su masa por unidad de cantidad de sustancia.</t>
  </si>
  <si>
    <t>mol?Â¹</t>
  </si>
  <si>
    <t>C96</t>
  </si>
  <si>
    <t xml:space="preserve">Reciprocidad Pascal o pascal a la potencia menos 1 </t>
  </si>
  <si>
    <t>Pa?Â¹</t>
  </si>
  <si>
    <t>C97</t>
  </si>
  <si>
    <t>Reciprocidad Segundo</t>
  </si>
  <si>
    <t>s?Â¹</t>
  </si>
  <si>
    <t>C98</t>
  </si>
  <si>
    <t>Segundo reciproco por metro cÃºbico</t>
  </si>
  <si>
    <t>S $ ^ {1} $/m $ Â³ $</t>
  </si>
  <si>
    <t>C99</t>
  </si>
  <si>
    <t>Reciprocidad Segundo por metro cuadrado</t>
  </si>
  <si>
    <t>s?Â¹/mÂ²</t>
  </si>
  <si>
    <t>CCT</t>
  </si>
  <si>
    <t>Capacidad de carga en toneladas metricas</t>
  </si>
  <si>
    <t>Unidad de masa que define la capacidad de carga, expresada como el nÃºmero de toneladas metricas.</t>
  </si>
  <si>
    <t>CDL</t>
  </si>
  <si>
    <t>Candela</t>
  </si>
  <si>
    <t>La candela es una de las unidades basicas del Sistema Internacional, de intensidad luminosa.</t>
  </si>
  <si>
    <t>cd</t>
  </si>
  <si>
    <t>CE</t>
  </si>
  <si>
    <t>Cada mes</t>
  </si>
  <si>
    <t>CEL</t>
  </si>
  <si>
    <t>Grados celsius</t>
  </si>
  <si>
    <t>Â°C</t>
  </si>
  <si>
    <t>CEN</t>
  </si>
  <si>
    <t>Centenar</t>
  </si>
  <si>
    <t>Una unidad de recuento de definir el nÃºmero de unidades en mÃºltiplos de 100.</t>
  </si>
  <si>
    <t>CG</t>
  </si>
  <si>
    <t>Tarjeta</t>
  </si>
  <si>
    <t>Unidad de conteo que define el nÃºmero de unidades de la tarjeta (tarjeta: papel rigido grueso o carton).</t>
  </si>
  <si>
    <t>CGM</t>
  </si>
  <si>
    <t>Centigramo</t>
  </si>
  <si>
    <t>cg</t>
  </si>
  <si>
    <t>CK</t>
  </si>
  <si>
    <t>Conector</t>
  </si>
  <si>
    <t>CKG</t>
  </si>
  <si>
    <t>Culombio por kilogramo</t>
  </si>
  <si>
    <t>C/kg</t>
  </si>
  <si>
    <t>CLF</t>
  </si>
  <si>
    <t>Cientos de hojas</t>
  </si>
  <si>
    <t>Una unidad de recuento de definir el nÃºmero de hojas, expresado en unidades de cien hojas.</t>
  </si>
  <si>
    <t>CLT</t>
  </si>
  <si>
    <t>Centilitro</t>
  </si>
  <si>
    <t>Medida de volumen, de simbolo cl, que es igual a la centesima parte de un litro.</t>
  </si>
  <si>
    <t>cl</t>
  </si>
  <si>
    <t>CMK</t>
  </si>
  <si>
    <t>Centimetro cuadrado</t>
  </si>
  <si>
    <t>Medida de longitud, de simbolo cm, que es igual a la centesima parte de un metro.</t>
  </si>
  <si>
    <t>cmÂ²</t>
  </si>
  <si>
    <t>CMQ</t>
  </si>
  <si>
    <t>Centimetro cÃºbico</t>
  </si>
  <si>
    <t>cmÂ³</t>
  </si>
  <si>
    <t>CMT</t>
  </si>
  <si>
    <t>Centimetro</t>
  </si>
  <si>
    <t>Es una unidad de longitud. Es el segundo submÃºltiplo del metro y equivale a la centesima parte de el.</t>
  </si>
  <si>
    <t>cm</t>
  </si>
  <si>
    <t>CNP</t>
  </si>
  <si>
    <t>Cientos de paquetes</t>
  </si>
  <si>
    <t>Unidad de recuento para definir el nÃºmero de cientos de paquetes (cien paquete: conjunto de un centenar de articulos empaquetados juntos).</t>
  </si>
  <si>
    <t>CNT</t>
  </si>
  <si>
    <t>Cental (UK)</t>
  </si>
  <si>
    <t>Una unidad de masa igual a cien  kilos (EUA).</t>
  </si>
  <si>
    <t>COU</t>
  </si>
  <si>
    <t>Culombio</t>
  </si>
  <si>
    <t xml:space="preserve">Es la cantidad de electricidad transportada en 1 segundo por una corriente de intensidad 1 amperio. </t>
  </si>
  <si>
    <t>C</t>
  </si>
  <si>
    <t>CTG</t>
  </si>
  <si>
    <t>Contenido en gramos</t>
  </si>
  <si>
    <t>Unidad de masa que define el nÃºmero de gramos de un elemento con nombre en un producto.</t>
  </si>
  <si>
    <t>CTM</t>
  </si>
  <si>
    <t>Quilatage metrico</t>
  </si>
  <si>
    <t>Es una unidad de masa igual a 200  mg y se utiliza para la medicion de las piedras preciosas y perlas .</t>
  </si>
  <si>
    <t>CTN</t>
  </si>
  <si>
    <t>Tonelada de contenido (metrica)</t>
  </si>
  <si>
    <t>Unidad de masa que define el nÃºmero de toneladas metricas de un elemento con nombre en un producto.</t>
  </si>
  <si>
    <t>CUR</t>
  </si>
  <si>
    <t>Curie</t>
  </si>
  <si>
    <t>El Curie (Ci) es la unidad antigua de medida de radiactividad, definida como la actividad de in gramo del isotopo Ra-226, su equivalencia es: 1Ci = 3,7 1010 Bq.</t>
  </si>
  <si>
    <t>Ci</t>
  </si>
  <si>
    <t>CWA</t>
  </si>
  <si>
    <t>Hundred pound</t>
  </si>
  <si>
    <t>cwt (US)</t>
  </si>
  <si>
    <t>CWI</t>
  </si>
  <si>
    <t>Hundredweight</t>
  </si>
  <si>
    <t>cwt (UK)</t>
  </si>
  <si>
    <t>CZ</t>
  </si>
  <si>
    <t>Combo</t>
  </si>
  <si>
    <t>D03</t>
  </si>
  <si>
    <t>Kilovatio hora por hora</t>
  </si>
  <si>
    <t>Unidad de energia acumulada en mil vatios durante un periodo de una hora.</t>
  </si>
  <si>
    <t>kWÂ·h/h</t>
  </si>
  <si>
    <t>D04</t>
  </si>
  <si>
    <t>Lot [unidad de peso]</t>
  </si>
  <si>
    <t>Unidad de peso igual a aproximadamente media onza o 15 gramos.</t>
  </si>
  <si>
    <t>D1</t>
  </si>
  <si>
    <t>Segundo reciproco por estereorradian</t>
  </si>
  <si>
    <t>s?Â¹/sr</t>
  </si>
  <si>
    <t>D10</t>
  </si>
  <si>
    <t>Siemens por metro</t>
  </si>
  <si>
    <t>S/m</t>
  </si>
  <si>
    <t>D11</t>
  </si>
  <si>
    <t>Mebibit</t>
  </si>
  <si>
    <t>Una unidad de informacion igual a 2Â²? (1048576) bits (digitos binarios).</t>
  </si>
  <si>
    <t>Mibit</t>
  </si>
  <si>
    <t>D12</t>
  </si>
  <si>
    <t>Siemens metro cuadrado por Mol</t>
  </si>
  <si>
    <t>SÂ·mÂ²/mol</t>
  </si>
  <si>
    <t>D13</t>
  </si>
  <si>
    <t>Sievert</t>
  </si>
  <si>
    <t>Sv</t>
  </si>
  <si>
    <t>D14</t>
  </si>
  <si>
    <t>Yarda mil lineal</t>
  </si>
  <si>
    <t>D15</t>
  </si>
  <si>
    <t>Sone</t>
  </si>
  <si>
    <t>Una unidad de volumen del sonido subjetivo. Un sone es la intensidad de un tono puro de la frecuencia y la fuerza de un kilohertz 40 decibelios.</t>
  </si>
  <si>
    <t>D16</t>
  </si>
  <si>
    <t>Centimetro cuadrado por erg</t>
  </si>
  <si>
    <t>cmÂ²/erg</t>
  </si>
  <si>
    <t>D17</t>
  </si>
  <si>
    <t>Centimetro cuadrado por esteroradian erg</t>
  </si>
  <si>
    <t>cmÂ²/(srÂ·erg)</t>
  </si>
  <si>
    <t>D18</t>
  </si>
  <si>
    <t>Metro kelvin</t>
  </si>
  <si>
    <t>mÂ·K</t>
  </si>
  <si>
    <t>D19</t>
  </si>
  <si>
    <t>Metro cuadrado kelvin por watt.</t>
  </si>
  <si>
    <t>mÂ²Â·K/W</t>
  </si>
  <si>
    <t>D2</t>
  </si>
  <si>
    <t>Segundo reciproco por estereorradian metro cuadrado</t>
  </si>
  <si>
    <t>s?Â¹/(srÂ·mÂ²)</t>
  </si>
  <si>
    <t>D20</t>
  </si>
  <si>
    <t>Metro cuadrado por joule</t>
  </si>
  <si>
    <t>mÂ²/J</t>
  </si>
  <si>
    <t>D21</t>
  </si>
  <si>
    <t>Metro cuadrado por kilogramo</t>
  </si>
  <si>
    <t>mÂ²/kg</t>
  </si>
  <si>
    <t>D22</t>
  </si>
  <si>
    <t>Metro cuadrado por Mol</t>
  </si>
  <si>
    <t>mÂ²/mol</t>
  </si>
  <si>
    <t>D23</t>
  </si>
  <si>
    <t>Gramo pluma (proteina)</t>
  </si>
  <si>
    <t>Unidad de recuento pata definir el nÃºmero de gramos de aminoacidos  prescritos para la terapia parenteral y terapia enteral.</t>
  </si>
  <si>
    <t>D24</t>
  </si>
  <si>
    <t>Metro cuadrado por esteroradian</t>
  </si>
  <si>
    <t>mÂ²/sr</t>
  </si>
  <si>
    <t>D25</t>
  </si>
  <si>
    <t>Metro cuadrado por esteroradian joule</t>
  </si>
  <si>
    <t>mÂ²/(srÂ·J)</t>
  </si>
  <si>
    <t>D26</t>
  </si>
  <si>
    <t>Metro cuadrado por voltiosegundo</t>
  </si>
  <si>
    <t>mÂ²/(VÂ·s)</t>
  </si>
  <si>
    <t>D27</t>
  </si>
  <si>
    <t>Estereorradian</t>
  </si>
  <si>
    <t>Es la unidad que mide angulos solidos</t>
  </si>
  <si>
    <t>sr</t>
  </si>
  <si>
    <t>D28</t>
  </si>
  <si>
    <t>sifon</t>
  </si>
  <si>
    <t>D29</t>
  </si>
  <si>
    <t>Terahertz</t>
  </si>
  <si>
    <t>Se refiere a las ondas electromagneticas que se propagan en las frecuencias en el rango de los terahercios.</t>
  </si>
  <si>
    <t>THz</t>
  </si>
  <si>
    <t>D30</t>
  </si>
  <si>
    <t>Terajoule</t>
  </si>
  <si>
    <t>TJ</t>
  </si>
  <si>
    <t>D31</t>
  </si>
  <si>
    <t>Terawatt</t>
  </si>
  <si>
    <t>TW</t>
  </si>
  <si>
    <t>D32</t>
  </si>
  <si>
    <t xml:space="preserve">Terawatt hora </t>
  </si>
  <si>
    <t>TWÂ·h</t>
  </si>
  <si>
    <t>D33</t>
  </si>
  <si>
    <t>Tesla</t>
  </si>
  <si>
    <t xml:space="preserve">Es la induccion magnetica uniforme que, repartida normalmente sobre una superficie de 1 metro cuadrado, produce a traves de esta superficie un flujo magnetico total de 1 weber. </t>
  </si>
  <si>
    <t>T</t>
  </si>
  <si>
    <t>D34</t>
  </si>
  <si>
    <t>Tex</t>
  </si>
  <si>
    <t>Enidad de medida utilizada para medir la densidad o la masa lineal de una fibra.</t>
  </si>
  <si>
    <t>tex (g/km)</t>
  </si>
  <si>
    <t>D35</t>
  </si>
  <si>
    <t>Calorias (termoquimicas)</t>
  </si>
  <si>
    <t>ÂºÂ cal</t>
  </si>
  <si>
    <t>D36</t>
  </si>
  <si>
    <t>Megabit</t>
  </si>
  <si>
    <t>unidad que se usa para cuantificar un caudal de datos equivalente a 1000 kb/s.</t>
  </si>
  <si>
    <t>Mbit</t>
  </si>
  <si>
    <t>D37</t>
  </si>
  <si>
    <t>Calorias (termoquimicas) por gramo de kelvin</t>
  </si>
  <si>
    <t>ÂºÂ calÂ / (g Â· K)</t>
  </si>
  <si>
    <t>D38</t>
  </si>
  <si>
    <t>Calorias (termoquimicas) por segundo centimetro kelvin</t>
  </si>
  <si>
    <t>ÂºÂ calÂ / (s Â· cm Â· K)</t>
  </si>
  <si>
    <t>D39</t>
  </si>
  <si>
    <t>Calorias (termoquimicas) por segundo centimetro cuadrado kelvin</t>
  </si>
  <si>
    <t>ÂºÂ calÂ / (s Â· cmÂ² Â· K)</t>
  </si>
  <si>
    <t>D40</t>
  </si>
  <si>
    <t>Mil litros</t>
  </si>
  <si>
    <t>D41</t>
  </si>
  <si>
    <t>Tonelada por metro cÃºbico</t>
  </si>
  <si>
    <t>t/mÂ³</t>
  </si>
  <si>
    <t>D42</t>
  </si>
  <si>
    <t>Ano tropical</t>
  </si>
  <si>
    <t>Unidad de tiempo equivalente a 365.242 19 dias. Sinonimo: ano solar.</t>
  </si>
  <si>
    <t>y (tropical)</t>
  </si>
  <si>
    <t>D43</t>
  </si>
  <si>
    <t>Unidad de masa atomica unificada</t>
  </si>
  <si>
    <t>u</t>
  </si>
  <si>
    <t>D44</t>
  </si>
  <si>
    <t>Var</t>
  </si>
  <si>
    <t>El nombre de la unidad es un acronimo de volt-amperio-reactive.</t>
  </si>
  <si>
    <t>var</t>
  </si>
  <si>
    <t>D45</t>
  </si>
  <si>
    <t>Voltio cuadrado por kelvin cuadrado</t>
  </si>
  <si>
    <t>VÂ²/KÂ²</t>
  </si>
  <si>
    <t>D46</t>
  </si>
  <si>
    <t>Voltioio-amperio</t>
  </si>
  <si>
    <t>VÂ·A</t>
  </si>
  <si>
    <t>D47</t>
  </si>
  <si>
    <t>Voltio por centimetro</t>
  </si>
  <si>
    <t>V/cm</t>
  </si>
  <si>
    <t>D48</t>
  </si>
  <si>
    <t xml:space="preserve">Voltio por Kelvin </t>
  </si>
  <si>
    <t>V/K</t>
  </si>
  <si>
    <t>D49</t>
  </si>
  <si>
    <t xml:space="preserve">Millivoltio por Kelvin </t>
  </si>
  <si>
    <t>mV/K</t>
  </si>
  <si>
    <t>D5</t>
  </si>
  <si>
    <t>Kilogramo por centimetro cuadrado</t>
  </si>
  <si>
    <t>kg/cmÂ²</t>
  </si>
  <si>
    <t>D50</t>
  </si>
  <si>
    <t>Voltio por metro</t>
  </si>
  <si>
    <t>Es la intensidad de un campo electrico, que ejerce una fuerza de 1 newton sobre un cuerpo cargado con una cantidad de electricidad de 1 coulomb.</t>
  </si>
  <si>
    <t>V/m</t>
  </si>
  <si>
    <t>D51</t>
  </si>
  <si>
    <t>Voltio por milimetro</t>
  </si>
  <si>
    <t>V/mm</t>
  </si>
  <si>
    <t>D52</t>
  </si>
  <si>
    <t>Watt por kelvin</t>
  </si>
  <si>
    <t>W/K</t>
  </si>
  <si>
    <t>D53</t>
  </si>
  <si>
    <t>Watt por metro kelvin</t>
  </si>
  <si>
    <t>Es la conductividad termica de un cuerpo homogeneo isotropo, en la que una diferencia de temperatura de 1 kelvin entre dos planos paralelos, de area 1 metro cuadrado y distantes 1 metro, produce entre estos planos un flujo termico de 1 watt.</t>
  </si>
  <si>
    <t>W/(mÂ·K)</t>
  </si>
  <si>
    <t>D54</t>
  </si>
  <si>
    <t>Watt por metro cuadrado</t>
  </si>
  <si>
    <t>W/mÂ²</t>
  </si>
  <si>
    <t>D55</t>
  </si>
  <si>
    <t>Watt por metro cuadrado kelvin</t>
  </si>
  <si>
    <t>W/(mÂ²Â·K)</t>
  </si>
  <si>
    <t>D56</t>
  </si>
  <si>
    <t>Watt por metro cuadrado kelvin a la cuarta potencia</t>
  </si>
  <si>
    <t>W/(mÂ²Â·K?)</t>
  </si>
  <si>
    <t>D57</t>
  </si>
  <si>
    <t>Watt por estereorradian</t>
  </si>
  <si>
    <t>W/sr</t>
  </si>
  <si>
    <t>D58</t>
  </si>
  <si>
    <t>Watt por estereorradian metro cuadrado</t>
  </si>
  <si>
    <t>W/(srÂ·mÂ²)</t>
  </si>
  <si>
    <t>D59</t>
  </si>
  <si>
    <t>Weber por metro</t>
  </si>
  <si>
    <t>Wb/m</t>
  </si>
  <si>
    <t>D6</t>
  </si>
  <si>
    <t>Roentgen por segundo</t>
  </si>
  <si>
    <t>R/s</t>
  </si>
  <si>
    <t>D60</t>
  </si>
  <si>
    <t>Weber por milimetro</t>
  </si>
  <si>
    <t>Wb/mm</t>
  </si>
  <si>
    <t>D61</t>
  </si>
  <si>
    <t>Minuto [unidad de angulo]</t>
  </si>
  <si>
    <t>Es una sexagesima parte de un grado.</t>
  </si>
  <si>
    <t>'</t>
  </si>
  <si>
    <t>D62</t>
  </si>
  <si>
    <t>Segundo [unidad de angulo]</t>
  </si>
  <si>
    <t>Es una unidad de medida angular. Su valor equivale a 1/60 del minuto de arco y a 1/3600 del grado sexagesimal.</t>
  </si>
  <si>
    <t>"</t>
  </si>
  <si>
    <t>D63</t>
  </si>
  <si>
    <t>Libro</t>
  </si>
  <si>
    <t>Unidad de recuento para definir el nÃºmero de libros (libro: conjunto de elementos unidos entre si o documento de un material escrito).</t>
  </si>
  <si>
    <t>D64</t>
  </si>
  <si>
    <t>bloquear</t>
  </si>
  <si>
    <t>D65</t>
  </si>
  <si>
    <t>Redondo</t>
  </si>
  <si>
    <t>Unidad de recuento para definir el nÃºmero de rondas (redondos: un objeto circular o cilindrico).</t>
  </si>
  <si>
    <t>D66</t>
  </si>
  <si>
    <t>casete</t>
  </si>
  <si>
    <t>D67</t>
  </si>
  <si>
    <t>Dolar por hora</t>
  </si>
  <si>
    <t>D68</t>
  </si>
  <si>
    <t>NÃºmero de palabras</t>
  </si>
  <si>
    <t>Unidad de recuento para definir el nÃºmero de palabras.</t>
  </si>
  <si>
    <t>D69</t>
  </si>
  <si>
    <t>Pulgada a la cuarta potencia</t>
  </si>
  <si>
    <t>in?</t>
  </si>
  <si>
    <t>D7</t>
  </si>
  <si>
    <t>Sandwich</t>
  </si>
  <si>
    <t>D70</t>
  </si>
  <si>
    <t>Calorias (tabla internacional)</t>
  </si>
  <si>
    <t>CalÂ TI</t>
  </si>
  <si>
    <t>D71</t>
  </si>
  <si>
    <t>Calorias (tabla internacional) por segundo centimetro kelvin</t>
  </si>
  <si>
    <t>calÂ TIÂ / (s Â· cm Â· K)</t>
  </si>
  <si>
    <t>D72</t>
  </si>
  <si>
    <t>Calorias (tabla internacional) por segundo centimetro cuadrado kelvin</t>
  </si>
  <si>
    <t>CalÂ TIÂ / (s Â· cmÂ² Â· K)</t>
  </si>
  <si>
    <t>D73</t>
  </si>
  <si>
    <t>Joule metro cuadrado</t>
  </si>
  <si>
    <t>JÂ·mÂ²</t>
  </si>
  <si>
    <t>D74</t>
  </si>
  <si>
    <t>Kilogramo por Mol</t>
  </si>
  <si>
    <t>kg/mol</t>
  </si>
  <si>
    <t>D75</t>
  </si>
  <si>
    <t>Calorias (tabla internacional) por gramo</t>
  </si>
  <si>
    <t>calÂ ITÂ / g</t>
  </si>
  <si>
    <t>D76</t>
  </si>
  <si>
    <t>Calorias (tabla internacional) por gramo de kelvin</t>
  </si>
  <si>
    <t>calÂ ITÂ / (g Â· K)</t>
  </si>
  <si>
    <t>D77</t>
  </si>
  <si>
    <t>MegaCulombio</t>
  </si>
  <si>
    <t>MC</t>
  </si>
  <si>
    <t>D78</t>
  </si>
  <si>
    <t>Megajoule por segundo</t>
  </si>
  <si>
    <t>Unidad de energia acumulada igual a un millon de julios por segundo.</t>
  </si>
  <si>
    <t>MJ/s</t>
  </si>
  <si>
    <t>D79</t>
  </si>
  <si>
    <t>Viga</t>
  </si>
  <si>
    <t>D8</t>
  </si>
  <si>
    <t>Draize score</t>
  </si>
  <si>
    <t>D80</t>
  </si>
  <si>
    <t>Microwatt</t>
  </si>
  <si>
    <t>ÂµW</t>
  </si>
  <si>
    <t>D81</t>
  </si>
  <si>
    <t>Microtesla</t>
  </si>
  <si>
    <t>ÂµT</t>
  </si>
  <si>
    <t>D82</t>
  </si>
  <si>
    <t>Microvoltio</t>
  </si>
  <si>
    <t>ÂµV</t>
  </si>
  <si>
    <t>D83</t>
  </si>
  <si>
    <t>Milinewton metro</t>
  </si>
  <si>
    <t>mNÂ·m</t>
  </si>
  <si>
    <t>D85</t>
  </si>
  <si>
    <t>Microwatt por metro cuadrado</t>
  </si>
  <si>
    <t>Es equivalente a una millonesima parte de un vatio.</t>
  </si>
  <si>
    <t>ÂµW/mÂ²</t>
  </si>
  <si>
    <t>D86</t>
  </si>
  <si>
    <t>MiliCulombio</t>
  </si>
  <si>
    <t>mC</t>
  </si>
  <si>
    <t>D87</t>
  </si>
  <si>
    <t>MiliMol por kilogramo</t>
  </si>
  <si>
    <t>mmol/kg</t>
  </si>
  <si>
    <t>D88</t>
  </si>
  <si>
    <t>MiliCulombio por metro cÃºbico</t>
  </si>
  <si>
    <t>mC/mÂ³</t>
  </si>
  <si>
    <t>D89</t>
  </si>
  <si>
    <t>MiliCulombio por metro cuadrado</t>
  </si>
  <si>
    <t>mC/mÂ²</t>
  </si>
  <si>
    <t>D9</t>
  </si>
  <si>
    <t>Dina por centimetro cuadrado</t>
  </si>
  <si>
    <t>Dyn/cmÂ²</t>
  </si>
  <si>
    <t>D90</t>
  </si>
  <si>
    <t>Metro cÃºbico (neta)</t>
  </si>
  <si>
    <t>D91</t>
  </si>
  <si>
    <t>Rem</t>
  </si>
  <si>
    <t>rem</t>
  </si>
  <si>
    <t>D92</t>
  </si>
  <si>
    <t>banda</t>
  </si>
  <si>
    <t>D93</t>
  </si>
  <si>
    <t>Segundo por metro cÃºbico</t>
  </si>
  <si>
    <t>s/mÂ³</t>
  </si>
  <si>
    <t>D94</t>
  </si>
  <si>
    <t>Segundo por metro cÃºbico Radian</t>
  </si>
  <si>
    <t>s/(radÂ·mÂ³)</t>
  </si>
  <si>
    <t>D95</t>
  </si>
  <si>
    <t>Joule por gramo</t>
  </si>
  <si>
    <t>J/g</t>
  </si>
  <si>
    <t>D96</t>
  </si>
  <si>
    <t>Libra bruta</t>
  </si>
  <si>
    <t>D98</t>
  </si>
  <si>
    <t>Libra masiva</t>
  </si>
  <si>
    <t>D99</t>
  </si>
  <si>
    <t>manga</t>
  </si>
  <si>
    <t>DAA</t>
  </si>
  <si>
    <t>Decar</t>
  </si>
  <si>
    <t>daa</t>
  </si>
  <si>
    <t>DAD</t>
  </si>
  <si>
    <t>Decena de dias</t>
  </si>
  <si>
    <t>Unidad de tiempo que define el nÃºmero de dias en mÃºltiplos de 10.</t>
  </si>
  <si>
    <t>DAY</t>
  </si>
  <si>
    <t>Dia</t>
  </si>
  <si>
    <t>Se denomina dia (del latin dies) al lapso que tarda la Tierra desde que el Sol esta en el punto mas alto sobre el horizonte hasta que vuelve a estarlo.</t>
  </si>
  <si>
    <t>d</t>
  </si>
  <si>
    <t>DB</t>
  </si>
  <si>
    <t>Libra seca</t>
  </si>
  <si>
    <t>Unidad de masa que define el nÃºmero de libras de un producto, sin tener en cuenta el contenido de agua del producto.</t>
  </si>
  <si>
    <t>DC</t>
  </si>
  <si>
    <t>Disco (disco)</t>
  </si>
  <si>
    <t>DD</t>
  </si>
  <si>
    <t>Grado [unidad de angulo]</t>
  </si>
  <si>
    <t>Es el resultado de dividir el angulo llano en 180 partes iguales.</t>
  </si>
  <si>
    <t>Â°</t>
  </si>
  <si>
    <t>DE</t>
  </si>
  <si>
    <t>Acuerdo</t>
  </si>
  <si>
    <t>DEC</t>
  </si>
  <si>
    <t>Decada</t>
  </si>
  <si>
    <t>Unidad de recuento de definir el nÃºmero de decadas (decada: cantidad igual a 10 o tiempo igual a 10 anos).</t>
  </si>
  <si>
    <t>DG</t>
  </si>
  <si>
    <t>Decigramo</t>
  </si>
  <si>
    <t>dg</t>
  </si>
  <si>
    <t>DI</t>
  </si>
  <si>
    <t>dispensador</t>
  </si>
  <si>
    <t>DJ</t>
  </si>
  <si>
    <t>Decagramo</t>
  </si>
  <si>
    <t>dag</t>
  </si>
  <si>
    <t>DLT</t>
  </si>
  <si>
    <t>Decilitro</t>
  </si>
  <si>
    <t>dl</t>
  </si>
  <si>
    <t>DMA</t>
  </si>
  <si>
    <t>Decametro cÃºbico</t>
  </si>
  <si>
    <t>damÂ³</t>
  </si>
  <si>
    <t>DMK</t>
  </si>
  <si>
    <t xml:space="preserve">Decimetro cuadrado </t>
  </si>
  <si>
    <t>Medida de longitud, de simbolo dm, que es igual a la decima parte de un metro.</t>
  </si>
  <si>
    <t>dmÂ²</t>
  </si>
  <si>
    <t>DMO</t>
  </si>
  <si>
    <t>Kiloliter norma</t>
  </si>
  <si>
    <t>Unidad de volumen que define el nÃºmero de kilolitros de un producto a una temperatura de 15 grados centigrados, sobre todo en relacion con los aceites de hidrocarburos.</t>
  </si>
  <si>
    <t>DMQ</t>
  </si>
  <si>
    <t>Decimetro cÃºbico</t>
  </si>
  <si>
    <t>dmÂ³</t>
  </si>
  <si>
    <t>DMT</t>
  </si>
  <si>
    <t>Decimetro</t>
  </si>
  <si>
    <t>Es una unidad de longitud. Es el primer submÃºltiplo del metro y equivale a la decima parte de el.</t>
  </si>
  <si>
    <t>dm</t>
  </si>
  <si>
    <t>DN</t>
  </si>
  <si>
    <t>Decinewton metro</t>
  </si>
  <si>
    <t>dNÂ·m</t>
  </si>
  <si>
    <t>DPC</t>
  </si>
  <si>
    <t>Docenas de piezas</t>
  </si>
  <si>
    <t>Unidad de recuento para definir el nÃºmero de piezas en mÃºltiplos de 12 (pieza: un solo articulo, el articulo o ejemplar).</t>
  </si>
  <si>
    <t>DPR</t>
  </si>
  <si>
    <t>Docenas de pares</t>
  </si>
  <si>
    <t>Unidad de recuento de definir el nÃºmero de pares en mÃºltiplos de 12 (par: item descrito por dos de).</t>
  </si>
  <si>
    <t>DPT</t>
  </si>
  <si>
    <t>Peso de desplazamiento</t>
  </si>
  <si>
    <t>Unidad de masa que define el volumen de agua de mar de un barco desplaza, expresada como el nÃºmero de toneladas.</t>
  </si>
  <si>
    <t>DQ</t>
  </si>
  <si>
    <t>registro de datos</t>
  </si>
  <si>
    <t>DRA</t>
  </si>
  <si>
    <t>Dram (EUA)</t>
  </si>
  <si>
    <t>Sinonimo: dracma (Reino Unido), dram Troy</t>
  </si>
  <si>
    <t>DRI</t>
  </si>
  <si>
    <t>Dram (UK)</t>
  </si>
  <si>
    <t>Son las siglas de la voz inglesa Dynamic Random Access Memory, que significa memoria dinamica de acceso aleatorio (o RAM dinamica), para denominar a un tipo de tecnologia de memoria RAM basada en condensadores, los cuales pierden su carga progresivamente, necesitando de un circuito dinamico de refresco que, cada cierto periodo, revisa dicha carga y la repone en un ciclo de refresco.</t>
  </si>
  <si>
    <t>DRL</t>
  </si>
  <si>
    <t>Docena de rodillos</t>
  </si>
  <si>
    <t>Unidad de recuento de definir el nÃºmero de rollos, expresado en doce unidades de rodillos.</t>
  </si>
  <si>
    <t>DRM</t>
  </si>
  <si>
    <t>Drachm (UK)</t>
  </si>
  <si>
    <t>DS</t>
  </si>
  <si>
    <t>monitor</t>
  </si>
  <si>
    <t>DT</t>
  </si>
  <si>
    <t>Tonelada seca</t>
  </si>
  <si>
    <t>Unidad de masa que define el nÃºmero de toneladas de un producto, sin tener en cuenta el contenido de agua del producto.</t>
  </si>
  <si>
    <t>DTN</t>
  </si>
  <si>
    <t>Decitonelada metrica</t>
  </si>
  <si>
    <t>Sinonimo: centner, metrico 100 kg; Quintal, metrico 100 kg</t>
  </si>
  <si>
    <t>dt or dtn</t>
  </si>
  <si>
    <t>DU</t>
  </si>
  <si>
    <t>dina</t>
  </si>
  <si>
    <t>Dyn</t>
  </si>
  <si>
    <t>DWT</t>
  </si>
  <si>
    <t>Pennyweight</t>
  </si>
  <si>
    <t>La unidad obsoleta pennyweight era Unidad de masa utilizada en el Reino Unido antes de 1971. Se consideraba equivalente a la masa de un penique, y equivale a la 1/240 parte de una libra troy. Se abrevia pwt.</t>
  </si>
  <si>
    <t>Dx</t>
  </si>
  <si>
    <t>Dina por centimetro</t>
  </si>
  <si>
    <t>Dyn/cm</t>
  </si>
  <si>
    <t>DY</t>
  </si>
  <si>
    <t>Libro de directorio</t>
  </si>
  <si>
    <t>DZN</t>
  </si>
  <si>
    <t>Docena</t>
  </si>
  <si>
    <t>Unidad de recuento de definir el nÃºmero de unidades en mÃºltiplos de 12.</t>
  </si>
  <si>
    <t>DOZ</t>
  </si>
  <si>
    <t>DZP</t>
  </si>
  <si>
    <t>Docena de paquete</t>
  </si>
  <si>
    <t>Unidad de conteo que define el nÃºmero de paquetes en mÃºltiplos de 12 (paquete: unidad de embalaje estandar).</t>
  </si>
  <si>
    <t>E01</t>
  </si>
  <si>
    <t>Newton por centimetro cuadrado</t>
  </si>
  <si>
    <t>Medida de la presion expresada en newtons por centimetro cuadrado</t>
  </si>
  <si>
    <t>N/cmÂ²</t>
  </si>
  <si>
    <t>E07</t>
  </si>
  <si>
    <t>Megawatt hora por hora</t>
  </si>
  <si>
    <t>Unidad de energia acumulado de un millon de vatios durante un periodo de una hora.</t>
  </si>
  <si>
    <t>MWÂ·h/h</t>
  </si>
  <si>
    <t>E08</t>
  </si>
  <si>
    <t>Megavatios por hertz</t>
  </si>
  <si>
    <t>Unidad de energia expresada como el cambio de carga en millones de watts que provocara un desplazamiento de frecuencia de un hertz.</t>
  </si>
  <si>
    <t>MW/Hz</t>
  </si>
  <si>
    <t>E09</t>
  </si>
  <si>
    <t>Miliamperio hora</t>
  </si>
  <si>
    <t>Unidad de carga de potencia entregada a razon de una milesima parte de un amperio durante un periodo de una hora.</t>
  </si>
  <si>
    <t>mAÂ·h</t>
  </si>
  <si>
    <t>E10</t>
  </si>
  <si>
    <t>Dia de grado</t>
  </si>
  <si>
    <t>Unidad de medida utilizada en la meteorologia y la ingenieria para medir la demanda de calentamiento o enfriamiento durante un periodo determinado de dias.</t>
  </si>
  <si>
    <t>deg da</t>
  </si>
  <si>
    <t>E11</t>
  </si>
  <si>
    <t>Gigacalorie</t>
  </si>
  <si>
    <t>Una unidad de energia termica equivalente a mil millones de calorias.</t>
  </si>
  <si>
    <t>E12</t>
  </si>
  <si>
    <t>Mille</t>
  </si>
  <si>
    <t>Unidad de recuento de definir el nÃºmero de cigarrillos en unidades de 1.000.</t>
  </si>
  <si>
    <t>E14</t>
  </si>
  <si>
    <t>Kilocaloria (tabla internacional)</t>
  </si>
  <si>
    <t>kcalIT</t>
  </si>
  <si>
    <t>E15</t>
  </si>
  <si>
    <t>Kilocaloria (termoquimica) por hora</t>
  </si>
  <si>
    <t>kcalth/h</t>
  </si>
  <si>
    <t>E16</t>
  </si>
  <si>
    <t>Millon de btu (ti) por hora</t>
  </si>
  <si>
    <t>Unidad de potencia igual a un millon de unidades termicas britanicas por hora.</t>
  </si>
  <si>
    <t>E17</t>
  </si>
  <si>
    <t>Pie cÃºbico por segundo</t>
  </si>
  <si>
    <t>Unidad de volumen igual a un pie cÃºbico pasa por un punto dado en un periodo de un segundo.</t>
  </si>
  <si>
    <t>ftÂ³/s</t>
  </si>
  <si>
    <t>E18</t>
  </si>
  <si>
    <t>Tonelada por hora</t>
  </si>
  <si>
    <t>Una unidad de peso o masa equivalente a una tonelada metrica por hora.</t>
  </si>
  <si>
    <t>t/h</t>
  </si>
  <si>
    <t>E19</t>
  </si>
  <si>
    <t>Ping</t>
  </si>
  <si>
    <t>Unidad de area equivalente a 3,3 metros cuadrados.</t>
  </si>
  <si>
    <t>E20</t>
  </si>
  <si>
    <t>Megabit por segundo</t>
  </si>
  <si>
    <t>Unidad de informacion igual a 10 ?  (1000000) bits (digitos binarios) por segundo.</t>
  </si>
  <si>
    <t>Mbit/s</t>
  </si>
  <si>
    <t>E21</t>
  </si>
  <si>
    <t>Shares</t>
  </si>
  <si>
    <t>Unidad de recuento para definir el nÃºmero de acciones (proporcion: un total o una parte de las partes en que se divide el capital de una entidad comercial).</t>
  </si>
  <si>
    <t>E22</t>
  </si>
  <si>
    <t>Tue</t>
  </si>
  <si>
    <t>Unidad de recuento para definir el nÃºmero de unidades equivalentes a veinte pies (TEU) como una medida de la capacidad de carga en contenedores.</t>
  </si>
  <si>
    <t>E23</t>
  </si>
  <si>
    <t>Neumatico</t>
  </si>
  <si>
    <t>Unidad de recuento de definir el nÃºmero de neumaticos (una cubierta solida o llena de aire colocado alrededor de una llanta de rueda para formar un contacto suave con la carretera, absorber los golpes y proporcionar traccion).</t>
  </si>
  <si>
    <t>E25</t>
  </si>
  <si>
    <t>Unidad activa</t>
  </si>
  <si>
    <t>Unidad de conteo que define el nÃºmero de unidades activas dentro de una sustancia.</t>
  </si>
  <si>
    <t>E27</t>
  </si>
  <si>
    <t>Dosis</t>
  </si>
  <si>
    <t>Unidad de recuento de definir el nÃºmero de dosis (dosis: una cantidad definida de un medicamento o farmaco).</t>
  </si>
  <si>
    <t>E28</t>
  </si>
  <si>
    <t>Tonelada seca de aire</t>
  </si>
  <si>
    <t>E3</t>
  </si>
  <si>
    <t>remolque</t>
  </si>
  <si>
    <t>E30</t>
  </si>
  <si>
    <t>Hebra</t>
  </si>
  <si>
    <t>Unidad de recuento de definir el nÃºmero de hebras (hebra: de largo,, flexible, solo hilo delgado, tiras de fibra, filamento constituyente o mÃºltiplos de la misma, trenzados entre si).</t>
  </si>
  <si>
    <t>E31</t>
  </si>
  <si>
    <t>Metro cuadrado por litro</t>
  </si>
  <si>
    <t>Unidad de recuento de definir el nÃºmero de metros cuadrados por litro.</t>
  </si>
  <si>
    <t>mÂ²/l</t>
  </si>
  <si>
    <t>E32</t>
  </si>
  <si>
    <t>Litros por hora</t>
  </si>
  <si>
    <t>Unidad de recuento de definir el nÃºmero de litros por hora.</t>
  </si>
  <si>
    <t>l/h</t>
  </si>
  <si>
    <t>E33</t>
  </si>
  <si>
    <t>Por mil pies</t>
  </si>
  <si>
    <t>Unidad de recuento de definir el nÃºmero de pies por mil unidades.</t>
  </si>
  <si>
    <t>E34</t>
  </si>
  <si>
    <t>Gigabyte</t>
  </si>
  <si>
    <t>Unidad de informacion igual a 10? bytes.</t>
  </si>
  <si>
    <t>Gbyte</t>
  </si>
  <si>
    <t>E35</t>
  </si>
  <si>
    <t>Terabyte</t>
  </si>
  <si>
    <t>Unidad de informacion igual a 10Â¹Â² bytes.</t>
  </si>
  <si>
    <t>Tbyte</t>
  </si>
  <si>
    <t>E36</t>
  </si>
  <si>
    <t>Petabyte</t>
  </si>
  <si>
    <t>Unidad de informacion igual a 10Â¹? bytes.</t>
  </si>
  <si>
    <t>Pbyte</t>
  </si>
  <si>
    <t>E37</t>
  </si>
  <si>
    <t>Pixel</t>
  </si>
  <si>
    <t>Unidad de recuento de definir el nÃºmero de pixeles (pixel: elemento de imagen).</t>
  </si>
  <si>
    <t>E38</t>
  </si>
  <si>
    <t>Megapixeles</t>
  </si>
  <si>
    <t>Unidad de recuento igual a 10 $ ? $ (1000000) pixeles (elementos de imagen).</t>
  </si>
  <si>
    <t>E39</t>
  </si>
  <si>
    <t>Puntos por pulgada</t>
  </si>
  <si>
    <t>Unidad de informacion que define el nÃºmero de puntos por pulgada lineal como una medida de la resolucion o nitidez de una imagen grafica.</t>
  </si>
  <si>
    <t>dpi</t>
  </si>
  <si>
    <t>E4</t>
  </si>
  <si>
    <t>Kilo bruto</t>
  </si>
  <si>
    <t>Unidad de masa que define el nÃºmero total de kilogramos antes de las deducciones.</t>
  </si>
  <si>
    <t>E40</t>
  </si>
  <si>
    <t>Parte por cien mil</t>
  </si>
  <si>
    <t>Unidad de proporcion igual a 10??.</t>
  </si>
  <si>
    <t>ppht</t>
  </si>
  <si>
    <t>E41</t>
  </si>
  <si>
    <t>Kilogramo-fuerza por milimetro cuadrado</t>
  </si>
  <si>
    <t>kgfÂ·m/cmÂ²</t>
  </si>
  <si>
    <t>E42</t>
  </si>
  <si>
    <t>Kilogramo-fuerza por centimetro cuadrado</t>
  </si>
  <si>
    <t>kgf/cmÂ²</t>
  </si>
  <si>
    <t>E43</t>
  </si>
  <si>
    <t>Joule por centimetro cuadrado</t>
  </si>
  <si>
    <t>Una unidad de energia que define el nÃºmero de julios por centimetro cuadrado.</t>
  </si>
  <si>
    <t>J/cmÂ²</t>
  </si>
  <si>
    <t>E44</t>
  </si>
  <si>
    <t>Metros kilogramo-fuerza por centimetro cuadrado</t>
  </si>
  <si>
    <t>Unidad de torsion que define el medidor de par kilogramo-fuerza por centimetro cuadrado.</t>
  </si>
  <si>
    <t>E45</t>
  </si>
  <si>
    <t>MiliOhm</t>
  </si>
  <si>
    <t>E46</t>
  </si>
  <si>
    <t>Kilovatio hora por metro cÃºbico</t>
  </si>
  <si>
    <t>Unidad de consumo de energia expresada como kilovatio hora por metro cÃºbico.</t>
  </si>
  <si>
    <t>kWÂ·h/mÂ³</t>
  </si>
  <si>
    <t>E47</t>
  </si>
  <si>
    <t>Kilovatio hora por kelvin</t>
  </si>
  <si>
    <t>Unidad de consumo de energia expresada como kilovatio hora por kelvin.</t>
  </si>
  <si>
    <t>kWÂ·h/K</t>
  </si>
  <si>
    <t>E48</t>
  </si>
  <si>
    <t>Unidad de servicio</t>
  </si>
  <si>
    <t>Unidad de conteo que define el nÃºmero de unidades de servicio (unidad de servicio: definido periodo / propiedad / centro / utilidad de alimentacion).</t>
  </si>
  <si>
    <t>E49</t>
  </si>
  <si>
    <t>Dia de trabajo</t>
  </si>
  <si>
    <t>Unidad de recuento de definir el nÃºmero de dias de trabajo (jornada de trabajo: un dia en el que se lleva a cabo normalmente un trabajo).</t>
  </si>
  <si>
    <t>E5</t>
  </si>
  <si>
    <t>Tonelada metrica larga</t>
  </si>
  <si>
    <t>Utilice ton (UK) o tonelada larga (US) (codigo comÃºn LTN)</t>
  </si>
  <si>
    <t>E50</t>
  </si>
  <si>
    <t>Unidad de cuenta</t>
  </si>
  <si>
    <t>Unidad de recuento de definir el nÃºmero de unidades de contabilidad.</t>
  </si>
  <si>
    <t>E51</t>
  </si>
  <si>
    <t>Trabajo</t>
  </si>
  <si>
    <t>Unidad de recuento de definir el nÃºmero de puestos de trabajo.</t>
  </si>
  <si>
    <t>E52</t>
  </si>
  <si>
    <t>Run foot</t>
  </si>
  <si>
    <t>Unidad de conteo para definir la distancia (en la unidad Pie) que se dan en una carrera).</t>
  </si>
  <si>
    <t>E53</t>
  </si>
  <si>
    <t>Prueba</t>
  </si>
  <si>
    <t>Unidad de recuento de definir el nÃºmero de pruebas.</t>
  </si>
  <si>
    <t>E54</t>
  </si>
  <si>
    <t>Viaje</t>
  </si>
  <si>
    <t>Unidad de recuento de definir el nÃºmero de viajes.</t>
  </si>
  <si>
    <t>E55</t>
  </si>
  <si>
    <t>Utilizar</t>
  </si>
  <si>
    <t>Unidad de recuento de definir el nÃºmero de veces que se utiliza un objeto.</t>
  </si>
  <si>
    <t>E56</t>
  </si>
  <si>
    <t>Bien</t>
  </si>
  <si>
    <t>Unidad de recuento para definir el nÃºmero de pozos.</t>
  </si>
  <si>
    <t>E57</t>
  </si>
  <si>
    <t>Zona</t>
  </si>
  <si>
    <t>Unidad de conteo que define el nÃºmero de zonas.</t>
  </si>
  <si>
    <t>E58</t>
  </si>
  <si>
    <t>Exabit por segundo</t>
  </si>
  <si>
    <t>Unidad de informacion igual a 10Â¹? bits (digitos binarios) por segundo.</t>
  </si>
  <si>
    <t>Ebit/s</t>
  </si>
  <si>
    <t>E59</t>
  </si>
  <si>
    <t>Exbibyte</t>
  </si>
  <si>
    <t>Unidad de informacion igual a 2?? bytes.</t>
  </si>
  <si>
    <t>Eibyte</t>
  </si>
  <si>
    <t>E60</t>
  </si>
  <si>
    <t>Pebibyte</t>
  </si>
  <si>
    <t>Pibyte</t>
  </si>
  <si>
    <t>E61</t>
  </si>
  <si>
    <t>Tebibyte</t>
  </si>
  <si>
    <t>Tibyte</t>
  </si>
  <si>
    <t>E62</t>
  </si>
  <si>
    <t>Gibibyte</t>
  </si>
  <si>
    <t>Unidad de informacion igual a 2Â³? bytes.</t>
  </si>
  <si>
    <t>Gibyte</t>
  </si>
  <si>
    <t>E63</t>
  </si>
  <si>
    <t>Mebibyte</t>
  </si>
  <si>
    <t>Unidad de informacion igual a 2Â²? bytes.</t>
  </si>
  <si>
    <t>Mibyte</t>
  </si>
  <si>
    <t>E64</t>
  </si>
  <si>
    <t>Kibibyte</t>
  </si>
  <si>
    <t>Unidad de informacion igual a 2Â¹? bytes.</t>
  </si>
  <si>
    <t>Kibyte</t>
  </si>
  <si>
    <t>E65</t>
  </si>
  <si>
    <t>Exbibit por metro</t>
  </si>
  <si>
    <t>Unidad de informacion igual a 2?? bits (digitos binarios) por metro.</t>
  </si>
  <si>
    <t>Eibit/m</t>
  </si>
  <si>
    <t>E66</t>
  </si>
  <si>
    <t>Exbibit por metro cuadrado</t>
  </si>
  <si>
    <t>Unidad de informacion igual a 2?? bits (digitos binarios) por metro cuadrado.</t>
  </si>
  <si>
    <t>Eibit/mÂ²</t>
  </si>
  <si>
    <t>E67</t>
  </si>
  <si>
    <t>Exbibit por metro cÃºbico</t>
  </si>
  <si>
    <t>Unidad de informacion igual a 2?? bits (digitos binarios) por metro cÃºbico.</t>
  </si>
  <si>
    <t>Eibit/mÂ³</t>
  </si>
  <si>
    <t>E68</t>
  </si>
  <si>
    <t>Gigabyte por segundo</t>
  </si>
  <si>
    <t>Unidad de informacion igual a 10? bytes por segundo.</t>
  </si>
  <si>
    <t>Gbyte/s</t>
  </si>
  <si>
    <t>E69</t>
  </si>
  <si>
    <t>Gibibit por metro</t>
  </si>
  <si>
    <t>Unidad de informacion igual a 2Â³? bits (digitos binarios) por metro.</t>
  </si>
  <si>
    <t>Gibit/m</t>
  </si>
  <si>
    <t>E70</t>
  </si>
  <si>
    <t>Gibibit por metro cuadrado</t>
  </si>
  <si>
    <t>Unidad de informacion igual a 2Â³? bits (digitos binarios) por metro cuadrado.</t>
  </si>
  <si>
    <t>Gibit/mÂ²</t>
  </si>
  <si>
    <t>E71</t>
  </si>
  <si>
    <t>Gibibit por metro cÃºbico</t>
  </si>
  <si>
    <t>Unidad de informacion igual a 2Â³? bits (digitos binarios) por metro cÃºbico.</t>
  </si>
  <si>
    <t>Gibit/mÂ³</t>
  </si>
  <si>
    <t>E72</t>
  </si>
  <si>
    <t>Kibibit por metro</t>
  </si>
  <si>
    <t>Unidad de informacion igual a 2Â¹? bits (digitos binarios) por metro.</t>
  </si>
  <si>
    <t>Kibit/m</t>
  </si>
  <si>
    <t>E73</t>
  </si>
  <si>
    <t>Kibibit por metro cuadrado</t>
  </si>
  <si>
    <t>Unidad de informacion igual a 2Â¹? bits (digitos binarios) por metro cuadrado.</t>
  </si>
  <si>
    <t>Kibit/mÂ²</t>
  </si>
  <si>
    <t>E74</t>
  </si>
  <si>
    <t>Kikibit por metro cÃºbico.</t>
  </si>
  <si>
    <t xml:space="preserve"> Unidad de informacion igual a 2Â¹? bits (digitos binarios) por metro cÃºbico.</t>
  </si>
  <si>
    <t>Kibit/mÂ³</t>
  </si>
  <si>
    <t>E75</t>
  </si>
  <si>
    <t>Mebbit por metro.</t>
  </si>
  <si>
    <t xml:space="preserve"> Unidad de informacion igual a 2Â²? bits (digitos binarios) por metro.</t>
  </si>
  <si>
    <t>Mibit/m</t>
  </si>
  <si>
    <t>E76</t>
  </si>
  <si>
    <t>Mebbitt por metro cuadrado.</t>
  </si>
  <si>
    <t xml:space="preserve"> Unidad de informacion igual a 2Â²? bits (digitos binarios) por metro cuadrado.</t>
  </si>
  <si>
    <t>Mibit/mÂ²</t>
  </si>
  <si>
    <t>E77</t>
  </si>
  <si>
    <t xml:space="preserve">Mebbit por metro cÃºbico. </t>
  </si>
  <si>
    <t xml:space="preserve"> Unidad de informacion igual a 2Â²? bits (digitos binarios) por metro cÃºbico.</t>
  </si>
  <si>
    <t>Mibit/mÂ³</t>
  </si>
  <si>
    <t>E78</t>
  </si>
  <si>
    <t>Petabit</t>
  </si>
  <si>
    <t xml:space="preserve"> Unidad de informacion igual a 10Â¹? los bits (digitos binarios).</t>
  </si>
  <si>
    <t>Pbit</t>
  </si>
  <si>
    <t>E79</t>
  </si>
  <si>
    <t>Pebibit por segundo.</t>
  </si>
  <si>
    <t xml:space="preserve"> Unidad de informacion igual a 10Â¹? bits (digitos binarios) por segundo.</t>
  </si>
  <si>
    <t>Pbit/s</t>
  </si>
  <si>
    <t>E80</t>
  </si>
  <si>
    <t>Pebibit por metro.</t>
  </si>
  <si>
    <t>Pibit/m</t>
  </si>
  <si>
    <t>E81</t>
  </si>
  <si>
    <t>Pebibit por metro cuadrado.</t>
  </si>
  <si>
    <t xml:space="preserve"> Unidad de informacion igual a 2?? bits (digitos binarios) por metro cuadrado.</t>
  </si>
  <si>
    <t>Pibit/mÂ²</t>
  </si>
  <si>
    <t>E82</t>
  </si>
  <si>
    <t>Pebibit por metro cÃºbico.</t>
  </si>
  <si>
    <t xml:space="preserve"> Unidad de informacion igual a 2?? bits (digitos binarios) por metro cÃºbico.</t>
  </si>
  <si>
    <t>Pibit/mÂ³</t>
  </si>
  <si>
    <t>E83</t>
  </si>
  <si>
    <t>Tebibit.</t>
  </si>
  <si>
    <t xml:space="preserve"> Unidad de informacion igual a 10Â¹Â² los bits (digitos binarios).</t>
  </si>
  <si>
    <t>Tbit</t>
  </si>
  <si>
    <t>E84</t>
  </si>
  <si>
    <t>Tebibit por segundo</t>
  </si>
  <si>
    <t xml:space="preserve"> Unidad de informacion igual a 10Â¹Â² bits (digitos binarios) por segundo.</t>
  </si>
  <si>
    <t>Tbit/s</t>
  </si>
  <si>
    <t>E85</t>
  </si>
  <si>
    <t>Tebibit por metro.</t>
  </si>
  <si>
    <t xml:space="preserve"> Unidad de informacion igual a 2?? bits (digitos binarios) por metro.</t>
  </si>
  <si>
    <t>Tibit/m</t>
  </si>
  <si>
    <t>E86</t>
  </si>
  <si>
    <t>Tebibit por metro cÃºbico.</t>
  </si>
  <si>
    <t>Tibit/mÂ³</t>
  </si>
  <si>
    <t>E87</t>
  </si>
  <si>
    <t>Tebibit por metro cuadrado</t>
  </si>
  <si>
    <t>Tibit/mÂ²</t>
  </si>
  <si>
    <t>E88</t>
  </si>
  <si>
    <t>Bit por metro</t>
  </si>
  <si>
    <t>Unidad de informacion igual a 1 bit (digito binario) por metro.</t>
  </si>
  <si>
    <t>bit/m</t>
  </si>
  <si>
    <t>E89</t>
  </si>
  <si>
    <t>Bit por metro cuadrado</t>
  </si>
  <si>
    <t xml:space="preserve"> Unidad de informacion igual a 1 bit (digito binario) por metro cuadrado.</t>
  </si>
  <si>
    <t>bit/mÂ²</t>
  </si>
  <si>
    <t>E90</t>
  </si>
  <si>
    <t>Centimetro reciproco</t>
  </si>
  <si>
    <t>cm?Â¹</t>
  </si>
  <si>
    <t>E91</t>
  </si>
  <si>
    <t>Dia reciproco</t>
  </si>
  <si>
    <t>d?Â¹</t>
  </si>
  <si>
    <t>E92</t>
  </si>
  <si>
    <t>Decimetro cÃºbico por hora</t>
  </si>
  <si>
    <t>dmÂ³/h</t>
  </si>
  <si>
    <t>E93</t>
  </si>
  <si>
    <t>Kilogramo por hora</t>
  </si>
  <si>
    <t>kg/h</t>
  </si>
  <si>
    <t>E94</t>
  </si>
  <si>
    <t>KiloMol por segundo</t>
  </si>
  <si>
    <t>kmol/s</t>
  </si>
  <si>
    <t>E95</t>
  </si>
  <si>
    <t>Mol por segundo</t>
  </si>
  <si>
    <t>mol/s</t>
  </si>
  <si>
    <t>E96</t>
  </si>
  <si>
    <t>Grado por segundo</t>
  </si>
  <si>
    <t>Â°/s</t>
  </si>
  <si>
    <t>E97</t>
  </si>
  <si>
    <t>Mililitro por gadro celsius metro</t>
  </si>
  <si>
    <t>mm/(Â°CÂ·m)</t>
  </si>
  <si>
    <t>E98</t>
  </si>
  <si>
    <t>Grado celsius por kelvin</t>
  </si>
  <si>
    <t>Â°C/K</t>
  </si>
  <si>
    <t>E99</t>
  </si>
  <si>
    <t>Hectopascal por bar</t>
  </si>
  <si>
    <t>hPa/bar</t>
  </si>
  <si>
    <t>EA</t>
  </si>
  <si>
    <t>Elemento</t>
  </si>
  <si>
    <t>Unidad de conteo que define el nÃºmero de elementos considerados como unidades separadas.</t>
  </si>
  <si>
    <t>EB</t>
  </si>
  <si>
    <t>Casilla de correo electronico</t>
  </si>
  <si>
    <t>Es el destino al que correo electronico se entregan los mensajes. Es el equivalente de un buzon en el sistema postal.</t>
  </si>
  <si>
    <t>EP</t>
  </si>
  <si>
    <t>Paquete de once</t>
  </si>
  <si>
    <t>EQ</t>
  </si>
  <si>
    <t>Galon equivalente</t>
  </si>
  <si>
    <t>Unidad de volumen que define el nÃºmero de galones de producto producido a partir de concentrado.</t>
  </si>
  <si>
    <t>F01</t>
  </si>
  <si>
    <t>Bit por metro cÃºbico</t>
  </si>
  <si>
    <t>Unidad de informacion igual a 1 bit (digito binario) por metro cÃºbico.</t>
  </si>
  <si>
    <t>bit/mÂ³</t>
  </si>
  <si>
    <t>F02</t>
  </si>
  <si>
    <t>Kelvin por kelvin</t>
  </si>
  <si>
    <t>K/K</t>
  </si>
  <si>
    <t>F03</t>
  </si>
  <si>
    <t>Kilopascal por bar</t>
  </si>
  <si>
    <t>kPa/bar</t>
  </si>
  <si>
    <t>F04</t>
  </si>
  <si>
    <t>Milibar por bar</t>
  </si>
  <si>
    <t>mbar/bar</t>
  </si>
  <si>
    <t>F05</t>
  </si>
  <si>
    <t>Megapascal por bar</t>
  </si>
  <si>
    <t>MPa/bar</t>
  </si>
  <si>
    <t>F06</t>
  </si>
  <si>
    <t>Poise por bar</t>
  </si>
  <si>
    <t>P/bar</t>
  </si>
  <si>
    <t>F07</t>
  </si>
  <si>
    <t>Pascal por bar</t>
  </si>
  <si>
    <t>Pa/bar</t>
  </si>
  <si>
    <t>F08</t>
  </si>
  <si>
    <t>Miliamperio por pulgada</t>
  </si>
  <si>
    <t>mA/in</t>
  </si>
  <si>
    <t>F1</t>
  </si>
  <si>
    <t>Mil pies cÃºbicos por dia</t>
  </si>
  <si>
    <t>F10</t>
  </si>
  <si>
    <t>Kelvin por hora</t>
  </si>
  <si>
    <t>K/h</t>
  </si>
  <si>
    <t>F11</t>
  </si>
  <si>
    <t>Kelvin por minuto</t>
  </si>
  <si>
    <t>K/min</t>
  </si>
  <si>
    <t>F12</t>
  </si>
  <si>
    <t>Kelvin por segundo</t>
  </si>
  <si>
    <t>K/s</t>
  </si>
  <si>
    <t>F13</t>
  </si>
  <si>
    <t>Slug</t>
  </si>
  <si>
    <t>Una unidad de masa. Un slug es la masa acelerada a 1 pie por segundo por segundo por una fuerza de 1 libra.</t>
  </si>
  <si>
    <t>slug</t>
  </si>
  <si>
    <t>F14</t>
  </si>
  <si>
    <t>Gramo por kelvin</t>
  </si>
  <si>
    <t>g/K</t>
  </si>
  <si>
    <t>F15</t>
  </si>
  <si>
    <t>Kilogramo por kelvin</t>
  </si>
  <si>
    <t>kg/K</t>
  </si>
  <si>
    <t>F16</t>
  </si>
  <si>
    <t>Miligramo por kelvin</t>
  </si>
  <si>
    <t>mg/K</t>
  </si>
  <si>
    <t>F17</t>
  </si>
  <si>
    <t>Libra fuerza por pie</t>
  </si>
  <si>
    <t>lbf/ft</t>
  </si>
  <si>
    <t>F18</t>
  </si>
  <si>
    <t>Kilogramo centimetro cuadrado</t>
  </si>
  <si>
    <t>kgÂ·cmÂ²</t>
  </si>
  <si>
    <t>F19</t>
  </si>
  <si>
    <t>Kilogramo milimetro cuadrado</t>
  </si>
  <si>
    <t>kgÂ·mmÂ²</t>
  </si>
  <si>
    <t>F20</t>
  </si>
  <si>
    <t>Libra pulgada cuadrada</t>
  </si>
  <si>
    <t>lbÂ·inÂ²</t>
  </si>
  <si>
    <t>F21</t>
  </si>
  <si>
    <t>Libra fuerza pulgada</t>
  </si>
  <si>
    <t>lbfÂ·in</t>
  </si>
  <si>
    <t>F22</t>
  </si>
  <si>
    <t>Libra fuerza por pie entre amperio</t>
  </si>
  <si>
    <t>lbfÂ·ft/A</t>
  </si>
  <si>
    <t>F23</t>
  </si>
  <si>
    <t>Gramo por decimetro cÃºbico</t>
  </si>
  <si>
    <t>g/dmÂ³</t>
  </si>
  <si>
    <t>F24</t>
  </si>
  <si>
    <t>Kilogramo por kiloMol</t>
  </si>
  <si>
    <t>kg/kmol</t>
  </si>
  <si>
    <t>F25</t>
  </si>
  <si>
    <t>Gramo por hertz</t>
  </si>
  <si>
    <t>g/Hz</t>
  </si>
  <si>
    <t>F26</t>
  </si>
  <si>
    <t>Gramo por dia</t>
  </si>
  <si>
    <t>g/d</t>
  </si>
  <si>
    <t>F27</t>
  </si>
  <si>
    <t>Gramo por hora</t>
  </si>
  <si>
    <t>g/h</t>
  </si>
  <si>
    <t>F28</t>
  </si>
  <si>
    <t>Gramo por minuto</t>
  </si>
  <si>
    <t>g/min</t>
  </si>
  <si>
    <t>F29</t>
  </si>
  <si>
    <t>Gramo por segundo</t>
  </si>
  <si>
    <t>g/s</t>
  </si>
  <si>
    <t>F30</t>
  </si>
  <si>
    <t>Kilogramo por dia</t>
  </si>
  <si>
    <t>kg/d</t>
  </si>
  <si>
    <t>F31</t>
  </si>
  <si>
    <t>Kilogramo por minuto</t>
  </si>
  <si>
    <t>kg/min</t>
  </si>
  <si>
    <t>F32</t>
  </si>
  <si>
    <t>Miligramo por dia</t>
  </si>
  <si>
    <t>mg/d</t>
  </si>
  <si>
    <t>F33</t>
  </si>
  <si>
    <t>Miligramo por minuto</t>
  </si>
  <si>
    <t>mg/min</t>
  </si>
  <si>
    <t>F34</t>
  </si>
  <si>
    <t>Miligramo por segundo</t>
  </si>
  <si>
    <t>mg/s</t>
  </si>
  <si>
    <t>F35</t>
  </si>
  <si>
    <t>Gramo por dia kelvin</t>
  </si>
  <si>
    <t>g/(dÂ·K)</t>
  </si>
  <si>
    <t>F36</t>
  </si>
  <si>
    <t>Gramo por hora kelvin</t>
  </si>
  <si>
    <t>g/(hÂ·K)</t>
  </si>
  <si>
    <t>F37</t>
  </si>
  <si>
    <t>Gramo por minuto kelvin</t>
  </si>
  <si>
    <t>g/(minÂ·K)</t>
  </si>
  <si>
    <t>F38</t>
  </si>
  <si>
    <t>Gramo por segundo kelvin</t>
  </si>
  <si>
    <t>g/(sÂ·K)</t>
  </si>
  <si>
    <t>F39</t>
  </si>
  <si>
    <t>Kilogramo por dia kelvin</t>
  </si>
  <si>
    <t>kg/(dÂ·K)</t>
  </si>
  <si>
    <t>F40</t>
  </si>
  <si>
    <t>Kilogramo por hora kelvin</t>
  </si>
  <si>
    <t>kg/(hÂ·K)</t>
  </si>
  <si>
    <t>F41</t>
  </si>
  <si>
    <t>Kilogramo por minuto kelvin</t>
  </si>
  <si>
    <t>kg/(minÂ·K)</t>
  </si>
  <si>
    <t>F42</t>
  </si>
  <si>
    <t>Kilogramo por segundo kelvin</t>
  </si>
  <si>
    <t>kg/(sÂ·K)</t>
  </si>
  <si>
    <t>F43</t>
  </si>
  <si>
    <t>Miligramo por dia kelvin</t>
  </si>
  <si>
    <t>mg/(dÂ·K)</t>
  </si>
  <si>
    <t>F44</t>
  </si>
  <si>
    <t>Miligramo por hora kelvin</t>
  </si>
  <si>
    <t>mg/(hÂ·K)</t>
  </si>
  <si>
    <t>F45</t>
  </si>
  <si>
    <t>Miligramo por minuto kelvin</t>
  </si>
  <si>
    <t>mg/(minÂ·K)</t>
  </si>
  <si>
    <t>F46</t>
  </si>
  <si>
    <t>Miligramo por segundo kelvin</t>
  </si>
  <si>
    <t>mg/(sÂ·K)</t>
  </si>
  <si>
    <t>F47</t>
  </si>
  <si>
    <t>Newton por milimetro</t>
  </si>
  <si>
    <t>N/mm</t>
  </si>
  <si>
    <t>F48</t>
  </si>
  <si>
    <t>Libra fuerza por pulgada</t>
  </si>
  <si>
    <t>lbf/in</t>
  </si>
  <si>
    <t>F49</t>
  </si>
  <si>
    <t>Rod (Unidad de distancia)</t>
  </si>
  <si>
    <t>Unidad de distancia equivalente a 5.5 yardas (16 pies 6 pulgadas)</t>
  </si>
  <si>
    <t>rd (US)</t>
  </si>
  <si>
    <t>F50</t>
  </si>
  <si>
    <t>Micrometro por kelvin</t>
  </si>
  <si>
    <t>Âµm/K</t>
  </si>
  <si>
    <t>F51</t>
  </si>
  <si>
    <t>Centimetro por kelvin</t>
  </si>
  <si>
    <t>cm/K</t>
  </si>
  <si>
    <t>F52</t>
  </si>
  <si>
    <t>Metro por kelvin</t>
  </si>
  <si>
    <t>m/K</t>
  </si>
  <si>
    <t>F53</t>
  </si>
  <si>
    <t>Mililitro por kelvin</t>
  </si>
  <si>
    <t>mm/K</t>
  </si>
  <si>
    <t>F54</t>
  </si>
  <si>
    <t>MiliOhm por metro</t>
  </si>
  <si>
    <t>m?/m</t>
  </si>
  <si>
    <t>F55</t>
  </si>
  <si>
    <t>Ohm por milla (milla estatal)</t>
  </si>
  <si>
    <t>?/mi</t>
  </si>
  <si>
    <t>F56</t>
  </si>
  <si>
    <t>Ohm por kilometro</t>
  </si>
  <si>
    <t>?/km</t>
  </si>
  <si>
    <t>F57</t>
  </si>
  <si>
    <t>Miliamperio por libra-fuerza por pulgada cuadrada</t>
  </si>
  <si>
    <t>mA/(lbf/inÂ²)</t>
  </si>
  <si>
    <t>F58</t>
  </si>
  <si>
    <t>Bar reciproco</t>
  </si>
  <si>
    <t>1/bar</t>
  </si>
  <si>
    <t>F59</t>
  </si>
  <si>
    <t>Miliamperio por bar</t>
  </si>
  <si>
    <t>mA/bar</t>
  </si>
  <si>
    <t>F60</t>
  </si>
  <si>
    <t>Grado celsius por bar</t>
  </si>
  <si>
    <t>Â°C/bar</t>
  </si>
  <si>
    <t>F61</t>
  </si>
  <si>
    <t>Kelvin por bar</t>
  </si>
  <si>
    <t>K/bar</t>
  </si>
  <si>
    <t>F62</t>
  </si>
  <si>
    <t>Gramo por dia bar</t>
  </si>
  <si>
    <t>g/(dÂ·bar)</t>
  </si>
  <si>
    <t>F63</t>
  </si>
  <si>
    <t>Gramo por hora bar</t>
  </si>
  <si>
    <t>g/(hÂ·bar)</t>
  </si>
  <si>
    <t>F64</t>
  </si>
  <si>
    <t>Gramo por minuto bar</t>
  </si>
  <si>
    <t>g/(minÂ·bar)</t>
  </si>
  <si>
    <t>F65</t>
  </si>
  <si>
    <t>Gramo por segundo bar</t>
  </si>
  <si>
    <t>g/(sÂ·bar)</t>
  </si>
  <si>
    <t>F66</t>
  </si>
  <si>
    <t>Kililogramo por dia bar</t>
  </si>
  <si>
    <t>kg/(dÂ·bar)</t>
  </si>
  <si>
    <t>F67</t>
  </si>
  <si>
    <t>Kilogramo por hora bar</t>
  </si>
  <si>
    <t>kg/(hÂ·bar)</t>
  </si>
  <si>
    <t>F68</t>
  </si>
  <si>
    <t>Kilogramo por minuto bar</t>
  </si>
  <si>
    <t>kg/(minÂ·bar)</t>
  </si>
  <si>
    <t>F69</t>
  </si>
  <si>
    <t>Kilogramo por segundo bar</t>
  </si>
  <si>
    <t>kg/(sÂ·bar)</t>
  </si>
  <si>
    <t>F70</t>
  </si>
  <si>
    <t>Miligramo por dia bar</t>
  </si>
  <si>
    <t>mg/(dÂ·bar)</t>
  </si>
  <si>
    <t>F71</t>
  </si>
  <si>
    <t>Miligramo por hora bar</t>
  </si>
  <si>
    <t>mg/(hÂ·bar)</t>
  </si>
  <si>
    <t>F72</t>
  </si>
  <si>
    <t>Miligramo por minuto bar</t>
  </si>
  <si>
    <t>mg/(minÂ·bar)</t>
  </si>
  <si>
    <t>F73</t>
  </si>
  <si>
    <t>Miligramo por segundo bar</t>
  </si>
  <si>
    <t>mg/(sÂ·bar)</t>
  </si>
  <si>
    <t>F74</t>
  </si>
  <si>
    <t>Gramo por bar</t>
  </si>
  <si>
    <t>g/bar</t>
  </si>
  <si>
    <t>F75</t>
  </si>
  <si>
    <t>Miligramo por bar</t>
  </si>
  <si>
    <t>mg/bar</t>
  </si>
  <si>
    <t>F76</t>
  </si>
  <si>
    <t>Miliamperio por milimetro</t>
  </si>
  <si>
    <t>mA/mm</t>
  </si>
  <si>
    <t>F77</t>
  </si>
  <si>
    <t>Pascal segundo por kelvin</t>
  </si>
  <si>
    <t>Pa.s/K</t>
  </si>
  <si>
    <t>F78</t>
  </si>
  <si>
    <t>Pulgada de agua</t>
  </si>
  <si>
    <t>inH?O</t>
  </si>
  <si>
    <t>F79</t>
  </si>
  <si>
    <t>Pulgada de mercurio</t>
  </si>
  <si>
    <t>inHg</t>
  </si>
  <si>
    <t>F80</t>
  </si>
  <si>
    <t>Caballos de fuerza de agua</t>
  </si>
  <si>
    <t>Define la cantidad de potencia requerida para mover un volumen dado de agua contra la aceleracion de la gravedad a una elevacion especificada (cabezal de presion).</t>
  </si>
  <si>
    <t>F81</t>
  </si>
  <si>
    <t>Bar por kelvin</t>
  </si>
  <si>
    <t>bar/K</t>
  </si>
  <si>
    <t>F82</t>
  </si>
  <si>
    <t>Hectopascal por kelvin</t>
  </si>
  <si>
    <t>hPa/K</t>
  </si>
  <si>
    <t>F83</t>
  </si>
  <si>
    <t>Kilopascal por kelvin</t>
  </si>
  <si>
    <t>kPa/K</t>
  </si>
  <si>
    <t>F84</t>
  </si>
  <si>
    <t>Milibar por kelvin</t>
  </si>
  <si>
    <t>mbar/K</t>
  </si>
  <si>
    <t>F85</t>
  </si>
  <si>
    <t>Megapascal por kelvin</t>
  </si>
  <si>
    <t>MPa/K</t>
  </si>
  <si>
    <t>F86</t>
  </si>
  <si>
    <t>Poise por kelvin</t>
  </si>
  <si>
    <t>P/K</t>
  </si>
  <si>
    <t>F87</t>
  </si>
  <si>
    <t>Voltio por litro minuto</t>
  </si>
  <si>
    <t>V/(lÂ·min)</t>
  </si>
  <si>
    <t>F88</t>
  </si>
  <si>
    <t>Newton centimetro</t>
  </si>
  <si>
    <t>NÂ·cm</t>
  </si>
  <si>
    <t>F89</t>
  </si>
  <si>
    <t>Newton metro por grados</t>
  </si>
  <si>
    <t>Nm/Â°</t>
  </si>
  <si>
    <t>F9</t>
  </si>
  <si>
    <t>Fibra por centimetro cÃºbico de aire</t>
  </si>
  <si>
    <t>F90</t>
  </si>
  <si>
    <t>Newton metro por amperio</t>
  </si>
  <si>
    <t>NÂ·m/A</t>
  </si>
  <si>
    <t>F91</t>
  </si>
  <si>
    <t>Bar litro por segundo</t>
  </si>
  <si>
    <t>barÂ·l/s</t>
  </si>
  <si>
    <t>F92</t>
  </si>
  <si>
    <t>Bar metro cÃºbico por segundo</t>
  </si>
  <si>
    <t>barÂ·mÂ³/s</t>
  </si>
  <si>
    <t>F93</t>
  </si>
  <si>
    <t>Hectopascal litro por segundo</t>
  </si>
  <si>
    <t>hPaÂ·l/s</t>
  </si>
  <si>
    <t>F94</t>
  </si>
  <si>
    <t>Hectopascal metro cÃºbico por segundo</t>
  </si>
  <si>
    <t>hPaÂ·mÂ³/s</t>
  </si>
  <si>
    <t>F95</t>
  </si>
  <si>
    <t>Milibar litro por segundo</t>
  </si>
  <si>
    <t>mbarÂ·l/s</t>
  </si>
  <si>
    <t>F96</t>
  </si>
  <si>
    <t>Milibar metro cÃºbico por segundo</t>
  </si>
  <si>
    <t>mbarÂ·mÂ³/s</t>
  </si>
  <si>
    <t>F97</t>
  </si>
  <si>
    <t>Megapascal litro por segundo</t>
  </si>
  <si>
    <t>MPaÂ·l/s</t>
  </si>
  <si>
    <t>F98</t>
  </si>
  <si>
    <t>Megapascal metro cÃºbico por segundo</t>
  </si>
  <si>
    <t>MPaÂ·mÂ³/s</t>
  </si>
  <si>
    <t>F99</t>
  </si>
  <si>
    <t>Pascal litro por segundo</t>
  </si>
  <si>
    <t>PaÂ·l/s</t>
  </si>
  <si>
    <t>FAH</t>
  </si>
  <si>
    <t>Grado fahrenheit</t>
  </si>
  <si>
    <t>Â°F</t>
  </si>
  <si>
    <t>FAR</t>
  </si>
  <si>
    <t>Farad</t>
  </si>
  <si>
    <t xml:space="preserve">Es la capacidad de un condensador electrico que entre sus armaduras aparece una diferencia de potencial electrico de 1 volt, cuando esta cargado con una cantidad de electricidad igual a 1 coulomb. </t>
  </si>
  <si>
    <t>F</t>
  </si>
  <si>
    <t>FB</t>
  </si>
  <si>
    <t>campo</t>
  </si>
  <si>
    <t>FBM</t>
  </si>
  <si>
    <t>Medidor de fibra</t>
  </si>
  <si>
    <t>Unidad de longitud que define el nÃºmero de metros de fibra individual.</t>
  </si>
  <si>
    <t>FC</t>
  </si>
  <si>
    <t>Mil pies cÃºbicos</t>
  </si>
  <si>
    <t>Unidad de volumen igual a mil pies cÃºbicos.</t>
  </si>
  <si>
    <t>kftÂ³</t>
  </si>
  <si>
    <t>FD</t>
  </si>
  <si>
    <t>Millones de particulas por pie cÃºbico</t>
  </si>
  <si>
    <t>FE</t>
  </si>
  <si>
    <t>Pie de pista</t>
  </si>
  <si>
    <t>FF</t>
  </si>
  <si>
    <t>Cien metros cÃºbicos</t>
  </si>
  <si>
    <t>Unidad de volumen igual a cien metros cÃºbicos.</t>
  </si>
  <si>
    <t>FG</t>
  </si>
  <si>
    <t>Parche transdermico</t>
  </si>
  <si>
    <t>FH</t>
  </si>
  <si>
    <t>MicroMol</t>
  </si>
  <si>
    <t>Âµmol</t>
  </si>
  <si>
    <t>FIT</t>
  </si>
  <si>
    <t>Fallas en el tiempo</t>
  </si>
  <si>
    <t>Unidad de conteo que define el nÃºmero de fallos que se pueden esperar en un intervalo de tiempo especificado. Las tasas de fallo de los componentes semiconductores se especifican a menudo como FIT (fallas en la unidad de tiempo) donde 1 FIT = 10?? / h.</t>
  </si>
  <si>
    <t>FL</t>
  </si>
  <si>
    <t>Flake ton</t>
  </si>
  <si>
    <t>Unidad de masa que define el nÃºmero de toneladas de una sustancia en copos (escamas: un pequeno fragmento plano).</t>
  </si>
  <si>
    <t>FM</t>
  </si>
  <si>
    <t>Millones de pies cÃºbicos</t>
  </si>
  <si>
    <t>MftÂ³</t>
  </si>
  <si>
    <t>FOT</t>
  </si>
  <si>
    <t>Pie</t>
  </si>
  <si>
    <t>Unidad de medida empleada por aeronautas, equivale a 30.48 cm</t>
  </si>
  <si>
    <t>ft</t>
  </si>
  <si>
    <t>FP</t>
  </si>
  <si>
    <t>Libra por pie cuadrado</t>
  </si>
  <si>
    <t>lb/ftÂ²</t>
  </si>
  <si>
    <t>FR</t>
  </si>
  <si>
    <t>Pie por minuto</t>
  </si>
  <si>
    <t>ft/min</t>
  </si>
  <si>
    <t>FS</t>
  </si>
  <si>
    <t>Pie por segundo</t>
  </si>
  <si>
    <t>ft/s</t>
  </si>
  <si>
    <t>FTK</t>
  </si>
  <si>
    <t>Pie cuadrado</t>
  </si>
  <si>
    <t xml:space="preserve"> Es una unidad de superficie del sistema anglosajon de unidades, equivalente a un cuadrado de un pie de lado.</t>
  </si>
  <si>
    <t>ftÂ²</t>
  </si>
  <si>
    <t>FTQ</t>
  </si>
  <si>
    <t>Pie cÃºbico</t>
  </si>
  <si>
    <t>ftÂ³</t>
  </si>
  <si>
    <t>G01</t>
  </si>
  <si>
    <t>Pascal metro cÃºbico por segundo</t>
  </si>
  <si>
    <t>PaÂ·mÂ³/s</t>
  </si>
  <si>
    <t>G04</t>
  </si>
  <si>
    <t>Centimetro por bar</t>
  </si>
  <si>
    <t>cm/bar</t>
  </si>
  <si>
    <t>G05</t>
  </si>
  <si>
    <t xml:space="preserve">Metro por bar </t>
  </si>
  <si>
    <t>m/bar</t>
  </si>
  <si>
    <t>G06</t>
  </si>
  <si>
    <t xml:space="preserve">Milimetro por bar </t>
  </si>
  <si>
    <t>mm/bar</t>
  </si>
  <si>
    <t>G08</t>
  </si>
  <si>
    <t>Pulgada cuadrada por segundo</t>
  </si>
  <si>
    <t>inÂ²/s</t>
  </si>
  <si>
    <t>G09</t>
  </si>
  <si>
    <t>Metro cuadrado por segundo kelvin</t>
  </si>
  <si>
    <t>mÂ²/(sÂ·K)</t>
  </si>
  <si>
    <t>G10</t>
  </si>
  <si>
    <t>Stokes por kelvin</t>
  </si>
  <si>
    <t>St/K</t>
  </si>
  <si>
    <t>G11</t>
  </si>
  <si>
    <t>Gramo por centimetro cÃºbico bar</t>
  </si>
  <si>
    <t>g/(cmÂ³Â·bar)</t>
  </si>
  <si>
    <t>G12</t>
  </si>
  <si>
    <t>Gramo por decimetro cÃºbico bar</t>
  </si>
  <si>
    <t>g/(dmÂ³Â·bar)</t>
  </si>
  <si>
    <t>G13</t>
  </si>
  <si>
    <t>Gramo por litro bar</t>
  </si>
  <si>
    <t>g/(lÂ·bar)</t>
  </si>
  <si>
    <t>G14</t>
  </si>
  <si>
    <t>Gramo por metro cÃºbico bar</t>
  </si>
  <si>
    <t>g/(mÂ³Â·bar)</t>
  </si>
  <si>
    <t>G15</t>
  </si>
  <si>
    <t>Gramo por mililitro bar</t>
  </si>
  <si>
    <t>g/(mlÂ·bar)</t>
  </si>
  <si>
    <t>G16</t>
  </si>
  <si>
    <t>Kilogramo por centimetro cÃºbico bar</t>
  </si>
  <si>
    <t>kg/(cmÂ³Â·bar)</t>
  </si>
  <si>
    <t>G17</t>
  </si>
  <si>
    <t>Kilogramo por litro bar</t>
  </si>
  <si>
    <t>kg/(lÂ·bar)</t>
  </si>
  <si>
    <t>G18</t>
  </si>
  <si>
    <t>Kilogramo por metro cÃºbico bar</t>
  </si>
  <si>
    <t>kg/(mÂ³Â·bar)</t>
  </si>
  <si>
    <t>G19</t>
  </si>
  <si>
    <t>Newton metro por kilogramo</t>
  </si>
  <si>
    <t>NÂ·m/kg</t>
  </si>
  <si>
    <t>G2</t>
  </si>
  <si>
    <t>Galon (EUA) por minuto</t>
  </si>
  <si>
    <t>gal (US) /min</t>
  </si>
  <si>
    <t>G20</t>
  </si>
  <si>
    <t>Libra-fuerza pie por libra</t>
  </si>
  <si>
    <t>lbfÂ·ft/lb</t>
  </si>
  <si>
    <t>G21</t>
  </si>
  <si>
    <t>Taza (unidad de volumen)</t>
  </si>
  <si>
    <t>cup (US)</t>
  </si>
  <si>
    <t>G23</t>
  </si>
  <si>
    <t>Peck</t>
  </si>
  <si>
    <t>Es una unidad de medida imperial y habitual en  Estados Unidos de volumen seco.</t>
  </si>
  <si>
    <t>pk (US)</t>
  </si>
  <si>
    <t>G24</t>
  </si>
  <si>
    <t>Cucharada (estados unidos)</t>
  </si>
  <si>
    <t>1/2 onzas fluidas, 3 cucharaditas, 15 mililitros</t>
  </si>
  <si>
    <t>tablespoon (US)</t>
  </si>
  <si>
    <t>G25</t>
  </si>
  <si>
    <t>Cucharilla (estados unidos)</t>
  </si>
  <si>
    <t>1/6 onzas fluidas o 5 mililitros</t>
  </si>
  <si>
    <t>teaspoon (US)</t>
  </si>
  <si>
    <t>G26</t>
  </si>
  <si>
    <t>Estere</t>
  </si>
  <si>
    <t>st</t>
  </si>
  <si>
    <t>G27</t>
  </si>
  <si>
    <t>Centimetro cÃºbico por kelvin</t>
  </si>
  <si>
    <t>cmÂ³/K</t>
  </si>
  <si>
    <t>G28</t>
  </si>
  <si>
    <t>Litro por kelvin</t>
  </si>
  <si>
    <t>l/K</t>
  </si>
  <si>
    <t>G29</t>
  </si>
  <si>
    <t>Metro cÃºbico por kelvin</t>
  </si>
  <si>
    <t>mÂ³/K</t>
  </si>
  <si>
    <t>G3</t>
  </si>
  <si>
    <t>Galon (RU) por minuto</t>
  </si>
  <si>
    <t>gal (UK) /min</t>
  </si>
  <si>
    <t>G30</t>
  </si>
  <si>
    <t>Mililitro por klevin</t>
  </si>
  <si>
    <t>ml/K</t>
  </si>
  <si>
    <t>G31</t>
  </si>
  <si>
    <t>Kilogramo por centimetro cÃºbico</t>
  </si>
  <si>
    <t>kg/cmÂ³</t>
  </si>
  <si>
    <t>G32</t>
  </si>
  <si>
    <t>Onza (avoirdupois) por yarda cÃºbica</t>
  </si>
  <si>
    <t>oz/ydÂ³</t>
  </si>
  <si>
    <t>G33</t>
  </si>
  <si>
    <t>Gramo por centimetro cÃºbico kelvin</t>
  </si>
  <si>
    <t>g/(cmÂ³Â·K)</t>
  </si>
  <si>
    <t>G34</t>
  </si>
  <si>
    <t>Gramo por decimetro cÃºbico kelvin</t>
  </si>
  <si>
    <t>g/(dmÂ³Â·K)</t>
  </si>
  <si>
    <t>G35</t>
  </si>
  <si>
    <t>Gramo por litro kelvin</t>
  </si>
  <si>
    <t>g/(lÂ·K)</t>
  </si>
  <si>
    <t>G36</t>
  </si>
  <si>
    <t>Gramo por metro cÃºbico kelvin</t>
  </si>
  <si>
    <t>g/(mÂ³Â·K)</t>
  </si>
  <si>
    <t>G37</t>
  </si>
  <si>
    <t>Gramo por mililitro kelvin</t>
  </si>
  <si>
    <t>g/(mlÂ·K)</t>
  </si>
  <si>
    <t>G38</t>
  </si>
  <si>
    <t>Kilogramo por centimetro cÃºbico kelvin</t>
  </si>
  <si>
    <t>kg/(cmÂ³Â·K)</t>
  </si>
  <si>
    <t>G39</t>
  </si>
  <si>
    <t>Kilogramo por litro kelvin</t>
  </si>
  <si>
    <t>kg/(lÂ·K)</t>
  </si>
  <si>
    <t>G40</t>
  </si>
  <si>
    <t>Kilogramo por metro cÃºbico kelvin</t>
  </si>
  <si>
    <t>kg/(mÂ³Â·K)</t>
  </si>
  <si>
    <t>G41</t>
  </si>
  <si>
    <t>Metro cuadrado por segundo bar</t>
  </si>
  <si>
    <t>mÂ²/(sÂ·bar)</t>
  </si>
  <si>
    <t>G42</t>
  </si>
  <si>
    <t>Microsiemens por centimetro</t>
  </si>
  <si>
    <t>ÂµS/cm</t>
  </si>
  <si>
    <t>G43</t>
  </si>
  <si>
    <t>Microsiemens por metro</t>
  </si>
  <si>
    <t>ÂµS/m</t>
  </si>
  <si>
    <t>G44</t>
  </si>
  <si>
    <t>Nanosiemens por centimetro</t>
  </si>
  <si>
    <t>nS/cm</t>
  </si>
  <si>
    <t>G45</t>
  </si>
  <si>
    <t>Nanosiemens por metro</t>
  </si>
  <si>
    <t>nS/m</t>
  </si>
  <si>
    <t>G46</t>
  </si>
  <si>
    <t>Stokes por bar</t>
  </si>
  <si>
    <t>St/bar</t>
  </si>
  <si>
    <t>G47</t>
  </si>
  <si>
    <t>Centimetro cÃºbico por dia</t>
  </si>
  <si>
    <t>cmÂ³/d</t>
  </si>
  <si>
    <t>G48</t>
  </si>
  <si>
    <t>Centimetro cÃºbico por hora</t>
  </si>
  <si>
    <t>cmÂ³/h</t>
  </si>
  <si>
    <t>G49</t>
  </si>
  <si>
    <t>Centimetro cÃºbico por minuto</t>
  </si>
  <si>
    <t>cmÂ³/min</t>
  </si>
  <si>
    <t>G50</t>
  </si>
  <si>
    <t>Galon por hora</t>
  </si>
  <si>
    <t>gal/h</t>
  </si>
  <si>
    <t>G51</t>
  </si>
  <si>
    <t>Litro por segundo</t>
  </si>
  <si>
    <t>l/s</t>
  </si>
  <si>
    <t>G52</t>
  </si>
  <si>
    <t>Metro cÃºbico por dia</t>
  </si>
  <si>
    <t>mÂ³/d</t>
  </si>
  <si>
    <t>G53</t>
  </si>
  <si>
    <t>Metro cÃºbico por minuto</t>
  </si>
  <si>
    <t>mÂ³/min</t>
  </si>
  <si>
    <t>G54</t>
  </si>
  <si>
    <t>Mililitro por dia</t>
  </si>
  <si>
    <t>ml/d</t>
  </si>
  <si>
    <t>G55</t>
  </si>
  <si>
    <t>Mililitro por hora</t>
  </si>
  <si>
    <t>ml/h</t>
  </si>
  <si>
    <t>G56</t>
  </si>
  <si>
    <t>Pulgada cÃºbica por hora</t>
  </si>
  <si>
    <t>inÂ³/h</t>
  </si>
  <si>
    <t>G57</t>
  </si>
  <si>
    <t>Pulgada cÃºbica por minuto</t>
  </si>
  <si>
    <t>inÂ³/min</t>
  </si>
  <si>
    <t>G58</t>
  </si>
  <si>
    <t>Pulgada cÃºbica por segundo</t>
  </si>
  <si>
    <t>inÂ³/s</t>
  </si>
  <si>
    <t>G59</t>
  </si>
  <si>
    <t>Miliamperio por litro minuto</t>
  </si>
  <si>
    <t>mA/(lÂ·min)</t>
  </si>
  <si>
    <t>G60</t>
  </si>
  <si>
    <t>Voltio por bar</t>
  </si>
  <si>
    <t>V/bar</t>
  </si>
  <si>
    <t>G61</t>
  </si>
  <si>
    <t>Centimetro cÃºbico por dia kelvin</t>
  </si>
  <si>
    <t>cmÂ³/(dÂ·K)</t>
  </si>
  <si>
    <t>G62</t>
  </si>
  <si>
    <t>Centimetro cÃºbico por hora kelvin</t>
  </si>
  <si>
    <t>cmÂ³/(hÂ·K)</t>
  </si>
  <si>
    <t>G63</t>
  </si>
  <si>
    <t>Centimetro cÃºbico por minuto kelvin</t>
  </si>
  <si>
    <t>cmÂ³/(minÂ·K)</t>
  </si>
  <si>
    <t>G64</t>
  </si>
  <si>
    <t>Centimetro cÃºbico por segundo kelvin</t>
  </si>
  <si>
    <t>cmÂ³/(sÂ·K)</t>
  </si>
  <si>
    <t>G65</t>
  </si>
  <si>
    <t>Litro por dia kelvin</t>
  </si>
  <si>
    <t>l/(dÂ·K)</t>
  </si>
  <si>
    <t>G66</t>
  </si>
  <si>
    <t>Litro por hora kelvin</t>
  </si>
  <si>
    <t>l/(hÂ·K)</t>
  </si>
  <si>
    <t>G67</t>
  </si>
  <si>
    <t>Litro por minuto kelvin</t>
  </si>
  <si>
    <t>l/(minÂ·K)</t>
  </si>
  <si>
    <t>G68</t>
  </si>
  <si>
    <t>Litro por segundo kelvin</t>
  </si>
  <si>
    <t>l/(sÂ·K)</t>
  </si>
  <si>
    <t>G69</t>
  </si>
  <si>
    <t>Metro cÃºbico por dia kelvin</t>
  </si>
  <si>
    <t>mÂ³/(dÂ·K)</t>
  </si>
  <si>
    <t>G7</t>
  </si>
  <si>
    <t>Hoja de microficha</t>
  </si>
  <si>
    <t>G70</t>
  </si>
  <si>
    <t>Metro cÃºbico por hora kelvin</t>
  </si>
  <si>
    <t>mÂ³/(hÂ·K)</t>
  </si>
  <si>
    <t>G71</t>
  </si>
  <si>
    <t>Metro cÃºbico por minuto kelvin</t>
  </si>
  <si>
    <t>mÂ³/(minÂ·K)</t>
  </si>
  <si>
    <t>G72</t>
  </si>
  <si>
    <t>Metro cÃºbico por segundo kelvin</t>
  </si>
  <si>
    <t>mÂ³/(sÂ·K)</t>
  </si>
  <si>
    <t>G73</t>
  </si>
  <si>
    <t>Mililitro por dia kelvin</t>
  </si>
  <si>
    <t>ml/(dÂ·K)</t>
  </si>
  <si>
    <t>G74</t>
  </si>
  <si>
    <t>Mililitro por hora kelvin</t>
  </si>
  <si>
    <t>ml/(hÂ·K)</t>
  </si>
  <si>
    <t>G75</t>
  </si>
  <si>
    <t>Mililitro por minuto kelvin</t>
  </si>
  <si>
    <t>ml/(minÂ·K)</t>
  </si>
  <si>
    <t>G76</t>
  </si>
  <si>
    <t>Mililitro por segundo kelvin</t>
  </si>
  <si>
    <t>ml/(sÂ·K)</t>
  </si>
  <si>
    <t>G77</t>
  </si>
  <si>
    <t xml:space="preserve">Milimetro a la cuarta potencia </t>
  </si>
  <si>
    <t>mm?</t>
  </si>
  <si>
    <t>G78</t>
  </si>
  <si>
    <t>Centimetro cÃºbico por dia bar</t>
  </si>
  <si>
    <t>cmÂ³/(dÂ·bar)</t>
  </si>
  <si>
    <t>G79</t>
  </si>
  <si>
    <t>Centimetro cÃºbico por hora bar</t>
  </si>
  <si>
    <t>cmÂ³/(hÂ·bar)</t>
  </si>
  <si>
    <t>G80</t>
  </si>
  <si>
    <t>Centimetro cÃºbico por minuto bar</t>
  </si>
  <si>
    <t>cmÂ³/(minÂ·bar)</t>
  </si>
  <si>
    <t>G81</t>
  </si>
  <si>
    <t>Centimetro cÃºbico por segundo bar</t>
  </si>
  <si>
    <t>cmÂ³/(sÂ·bar)</t>
  </si>
  <si>
    <t>G82</t>
  </si>
  <si>
    <t>Litro por dia bar</t>
  </si>
  <si>
    <t>l/(dÂ·bar)</t>
  </si>
  <si>
    <t>G83</t>
  </si>
  <si>
    <t>Litro por hora bar</t>
  </si>
  <si>
    <t>l/(hÂ·bar)</t>
  </si>
  <si>
    <t>G84</t>
  </si>
  <si>
    <t>Litro por minuto bar</t>
  </si>
  <si>
    <t>l/(minÂ·bar)</t>
  </si>
  <si>
    <t>G85</t>
  </si>
  <si>
    <t>Litro por segundo bar</t>
  </si>
  <si>
    <t>l/(sÂ·bar)</t>
  </si>
  <si>
    <t>G86</t>
  </si>
  <si>
    <t>Metro cÃºbico por dia bar</t>
  </si>
  <si>
    <t>mÂ³/(dÂ·bar)</t>
  </si>
  <si>
    <t>G87</t>
  </si>
  <si>
    <t>Metro cÃºbico por hora bar</t>
  </si>
  <si>
    <t>mÂ³/(hÂ·bar)</t>
  </si>
  <si>
    <t>G88</t>
  </si>
  <si>
    <t>Metro cÃºbico por minuto bar</t>
  </si>
  <si>
    <t>mÂ³/(minÂ·bar)</t>
  </si>
  <si>
    <t>G89</t>
  </si>
  <si>
    <t>Metro cÃºbico por segundo bar</t>
  </si>
  <si>
    <t>mÂ³/(sÂ·bar)</t>
  </si>
  <si>
    <t>G90</t>
  </si>
  <si>
    <t>Mililitro por dia bar</t>
  </si>
  <si>
    <t>ml/(dÂ·bar)</t>
  </si>
  <si>
    <t>G91</t>
  </si>
  <si>
    <t>Mililitro por hora bar</t>
  </si>
  <si>
    <t>ml/(hÂ·bar)</t>
  </si>
  <si>
    <t>G92</t>
  </si>
  <si>
    <t>Mililitro por minuto bar</t>
  </si>
  <si>
    <t>ml/(minÂ·bar)</t>
  </si>
  <si>
    <t>G93</t>
  </si>
  <si>
    <t>Mililitro por segundo bar</t>
  </si>
  <si>
    <t>ml/(sÂ·bar)</t>
  </si>
  <si>
    <t>G94</t>
  </si>
  <si>
    <t>Centimetro cÃºbico por bar</t>
  </si>
  <si>
    <t>cmÂ³/bar</t>
  </si>
  <si>
    <t>G95</t>
  </si>
  <si>
    <t>Litro por bar</t>
  </si>
  <si>
    <t>l/bar</t>
  </si>
  <si>
    <t>G96</t>
  </si>
  <si>
    <t>Metro cÃºbico por bar</t>
  </si>
  <si>
    <t>mÂ³/bar</t>
  </si>
  <si>
    <t>G97</t>
  </si>
  <si>
    <t xml:space="preserve">Mililitro por bar </t>
  </si>
  <si>
    <t>ml/bar</t>
  </si>
  <si>
    <t>G98</t>
  </si>
  <si>
    <t>Micro henry por kiloOhm</t>
  </si>
  <si>
    <t>ÂµH/k?</t>
  </si>
  <si>
    <t>G99</t>
  </si>
  <si>
    <t>Micro henry por Ohm</t>
  </si>
  <si>
    <t>ÂµH/?</t>
  </si>
  <si>
    <t>GB</t>
  </si>
  <si>
    <t>Galon (EUA) por dia</t>
  </si>
  <si>
    <t>gal (US)/d</t>
  </si>
  <si>
    <t>GBQ</t>
  </si>
  <si>
    <t>Gigabecquerel</t>
  </si>
  <si>
    <t>GBq</t>
  </si>
  <si>
    <t>GC</t>
  </si>
  <si>
    <t>Gramo por 100 gramos</t>
  </si>
  <si>
    <t>Gd</t>
  </si>
  <si>
    <t>Barril bruto</t>
  </si>
  <si>
    <t>GDW</t>
  </si>
  <si>
    <t>Gramo, peso seco</t>
  </si>
  <si>
    <t>Unidad de masa que define el nÃºmero de gramos de un producto, sin tener en cuenta el contenido de agua del producto.</t>
  </si>
  <si>
    <t>GE</t>
  </si>
  <si>
    <t>Libra por galon (EUA)</t>
  </si>
  <si>
    <t>lb/gal (US)</t>
  </si>
  <si>
    <t>GF</t>
  </si>
  <si>
    <t>Gramo por metro (gramo por 100 centimetros)</t>
  </si>
  <si>
    <t>g/m</t>
  </si>
  <si>
    <t>GFI</t>
  </si>
  <si>
    <t>Gramo de isotopo fisible</t>
  </si>
  <si>
    <t>Unidad de masa que define el nÃºmero de gramos de un isotopo fisible (isotopo fisible: un isotopo cuyo nÃºcleo es capaz de ser dividido cuando se irradia con neutrones de baja energia).</t>
  </si>
  <si>
    <t>gi F/S</t>
  </si>
  <si>
    <t>GGR</t>
  </si>
  <si>
    <t>Grandioso</t>
  </si>
  <si>
    <t>Unidad de cuenta que define el nÃºmero de unidades en mÃºltiplos de 1728 (12 x 12 x 12).</t>
  </si>
  <si>
    <t>GH</t>
  </si>
  <si>
    <t>Medio galon (US)</t>
  </si>
  <si>
    <t>GIA</t>
  </si>
  <si>
    <t>Gill (us)</t>
  </si>
  <si>
    <t>Es Unidad de volumen inglesa en el sistema imperial y en los Estados Unidos. La version imperial usada en el UK es de 5 onzas liquidas, y es equivalente a 142,0653125 ml; mientras que en los EUA es de 4 onzas liquidas, y es equivalente a 118,29411825 ml.</t>
  </si>
  <si>
    <t>gi (US)</t>
  </si>
  <si>
    <t>GIC</t>
  </si>
  <si>
    <t>Gramo, incluido el contenedor</t>
  </si>
  <si>
    <t>Unidad de masa que define el nÃºmero de gramos de un producto, incluyendo su recipiente.</t>
  </si>
  <si>
    <t>GII</t>
  </si>
  <si>
    <t>Gill (uk)</t>
  </si>
  <si>
    <t>Es Unidad de volumen inglesa en el sistema imperial y en los Estados Unidos. La version imperial usada en el UK es de 5 onzas liquidas, y es equivalente a 142.0653125 ml; mientras que en los EUA es de 4 onzas liquidas, y es equivalente a 118.29411825 ml.</t>
  </si>
  <si>
    <t>gi (UK)</t>
  </si>
  <si>
    <t>GIP</t>
  </si>
  <si>
    <t>Grama, incluido el embalaje interior</t>
  </si>
  <si>
    <t>Unidad de masa que define el nÃºmero de gramos de un producto, incluyendo sus materiales de envasado interior.</t>
  </si>
  <si>
    <t>GJ</t>
  </si>
  <si>
    <t>Gramo por mililitro</t>
  </si>
  <si>
    <t>g/ml</t>
  </si>
  <si>
    <t>GK</t>
  </si>
  <si>
    <t>Gramo por kilogramo</t>
  </si>
  <si>
    <t>GL</t>
  </si>
  <si>
    <t>Gramo por litro</t>
  </si>
  <si>
    <t>g/l</t>
  </si>
  <si>
    <t>GLD</t>
  </si>
  <si>
    <t>Galon seco (EUA)</t>
  </si>
  <si>
    <t>dry gal (US)</t>
  </si>
  <si>
    <t>GLI</t>
  </si>
  <si>
    <t>Galon (UK)</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</si>
  <si>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
Es equivalente a 3.7854 litros.</t>
  </si>
  <si>
    <t>gal (UK)</t>
  </si>
  <si>
    <t>GLL</t>
  </si>
  <si>
    <t>Galon (EUA)</t>
  </si>
  <si>
    <t>gal (US)</t>
  </si>
  <si>
    <t>GM</t>
  </si>
  <si>
    <t>Gramo por metro cuadrado</t>
  </si>
  <si>
    <t>g/mÂ²</t>
  </si>
  <si>
    <t>GN</t>
  </si>
  <si>
    <t>Galon bruto</t>
  </si>
  <si>
    <t>GO</t>
  </si>
  <si>
    <t>Miligramo por metro cuadrado</t>
  </si>
  <si>
    <t>mg/mÂ²</t>
  </si>
  <si>
    <t>GP</t>
  </si>
  <si>
    <t>Miligramo por metro cÃºbico</t>
  </si>
  <si>
    <t>mg/mÂ³</t>
  </si>
  <si>
    <t>GQ</t>
  </si>
  <si>
    <t>Microgramo por metro cÃºbico</t>
  </si>
  <si>
    <t>Âµg/mÂ³</t>
  </si>
  <si>
    <t>GRM</t>
  </si>
  <si>
    <t>Gramo</t>
  </si>
  <si>
    <t>Medida de masa, de simbolo g, que es igual a la milesima parte de un kilogramo.</t>
  </si>
  <si>
    <t>g</t>
  </si>
  <si>
    <t>GRN</t>
  </si>
  <si>
    <t>Grano</t>
  </si>
  <si>
    <t>Es la minima unidad de masa en el sistema ingles de medidas. Se considera con el mismo valor en cualquier pais anglosajon. Se utiliza para estimar con mas sensibilidad y precision la poca masa de pequenos objetos (medicamentos, drogas, polvora, proyectiles, piezas de joyeria, etc.).</t>
  </si>
  <si>
    <t>gr</t>
  </si>
  <si>
    <t>GRO</t>
  </si>
  <si>
    <t>Gross</t>
  </si>
  <si>
    <t>Unidad de conteo que define el nÃºmero de unidades en mÃºltiplos de 144 (12 x 12).</t>
  </si>
  <si>
    <t>GT</t>
  </si>
  <si>
    <t>Tonelada bruta</t>
  </si>
  <si>
    <t>Una unidad de masa igual a 2240 libras.Â Vease el Convenio internacional sobre arqueo de buques.
Sinonimo: ton (UK) o tonelada larga (US) (codigo comÃºn LTN)Â </t>
  </si>
  <si>
    <t>GV</t>
  </si>
  <si>
    <t>Gigajoule</t>
  </si>
  <si>
    <t>Galon por mil pies cÃºbicos</t>
  </si>
  <si>
    <t>GWH</t>
  </si>
  <si>
    <t>Gigawatt hora</t>
  </si>
  <si>
    <t>GWÂ·h</t>
  </si>
  <si>
    <t>GY</t>
  </si>
  <si>
    <t>Patio grueso</t>
  </si>
  <si>
    <t>GZ</t>
  </si>
  <si>
    <t>Sistema de calibracion</t>
  </si>
  <si>
    <t>H03</t>
  </si>
  <si>
    <t>Henry por kiloOhm</t>
  </si>
  <si>
    <t>H/k?</t>
  </si>
  <si>
    <t>H04</t>
  </si>
  <si>
    <t>Henry por Ohm</t>
  </si>
  <si>
    <t>H/?</t>
  </si>
  <si>
    <t>H05</t>
  </si>
  <si>
    <t>Milihenry por kiloOhm</t>
  </si>
  <si>
    <t>mH/k?</t>
  </si>
  <si>
    <t>H06</t>
  </si>
  <si>
    <t>Milihenry por Ohm</t>
  </si>
  <si>
    <t>mH/?</t>
  </si>
  <si>
    <t>H07</t>
  </si>
  <si>
    <t>Pascal segundo por bar</t>
  </si>
  <si>
    <t>PaÂ·s/bar</t>
  </si>
  <si>
    <t>H08</t>
  </si>
  <si>
    <t>Microbequerel</t>
  </si>
  <si>
    <t>ÂµBq</t>
  </si>
  <si>
    <t>H09</t>
  </si>
  <si>
    <t>Ano reciproco</t>
  </si>
  <si>
    <t>1/y</t>
  </si>
  <si>
    <t>H1</t>
  </si>
  <si>
    <t>Media pagina - electronica</t>
  </si>
  <si>
    <t>H10</t>
  </si>
  <si>
    <t>Hora reciproca</t>
  </si>
  <si>
    <t>1/h</t>
  </si>
  <si>
    <t>H11</t>
  </si>
  <si>
    <t>Mes reciproco</t>
  </si>
  <si>
    <t>1/mo</t>
  </si>
  <si>
    <t>H12</t>
  </si>
  <si>
    <t>Grado celsius por hora</t>
  </si>
  <si>
    <t>Â°C/h</t>
  </si>
  <si>
    <t>H13</t>
  </si>
  <si>
    <t>Grado celsius por minuto</t>
  </si>
  <si>
    <t>Â°C/min</t>
  </si>
  <si>
    <t>H14</t>
  </si>
  <si>
    <t>Grado celsius por segundo</t>
  </si>
  <si>
    <t>Â°C/s</t>
  </si>
  <si>
    <t>H15</t>
  </si>
  <si>
    <t>Centimetro cuadrado por gramo</t>
  </si>
  <si>
    <t>cmÂ²/g</t>
  </si>
  <si>
    <t>H16</t>
  </si>
  <si>
    <t>Decametro cuadrado</t>
  </si>
  <si>
    <t>damÂ²</t>
  </si>
  <si>
    <t>H18</t>
  </si>
  <si>
    <t>Hectometro cuadrado</t>
  </si>
  <si>
    <t>Sinonimo: hectarea</t>
  </si>
  <si>
    <t>hmÂ²</t>
  </si>
  <si>
    <t>H19</t>
  </si>
  <si>
    <t>Hectometro cÃºbico</t>
  </si>
  <si>
    <t>hmÂ³</t>
  </si>
  <si>
    <t>H2</t>
  </si>
  <si>
    <t>Medio litro</t>
  </si>
  <si>
    <t>H20</t>
  </si>
  <si>
    <t>Kilometro cÃºbico</t>
  </si>
  <si>
    <t>kmÂ³</t>
  </si>
  <si>
    <t>H21</t>
  </si>
  <si>
    <t>Blanco</t>
  </si>
  <si>
    <t>Unidad de conteo que define el nÃºmero de blancos</t>
  </si>
  <si>
    <t>H22</t>
  </si>
  <si>
    <t>Voltio pulgada cuadrada por libra fuerza</t>
  </si>
  <si>
    <t>V/(lbf/inÂ²)</t>
  </si>
  <si>
    <t>H23</t>
  </si>
  <si>
    <t>Voltio por pulgada</t>
  </si>
  <si>
    <t>V/in</t>
  </si>
  <si>
    <t>H24</t>
  </si>
  <si>
    <t>Voltio por microsegundo</t>
  </si>
  <si>
    <t>V/Âµs</t>
  </si>
  <si>
    <t>H25</t>
  </si>
  <si>
    <t>Por ciento por kelvin</t>
  </si>
  <si>
    <t>Unidad de proporcion, igual a 0,01, en relacion con la unidad de base SI Kelvin.</t>
  </si>
  <si>
    <t>%/K</t>
  </si>
  <si>
    <t>H26</t>
  </si>
  <si>
    <t>Ohm por metro</t>
  </si>
  <si>
    <t>?/m</t>
  </si>
  <si>
    <t>H27</t>
  </si>
  <si>
    <t>Grado por metro</t>
  </si>
  <si>
    <t>Â°/m</t>
  </si>
  <si>
    <t>H28</t>
  </si>
  <si>
    <t>Microfaradio por kilometro</t>
  </si>
  <si>
    <t>ÂµF/km</t>
  </si>
  <si>
    <t>H29</t>
  </si>
  <si>
    <t>Microgramo por litro</t>
  </si>
  <si>
    <t>Âµg/l</t>
  </si>
  <si>
    <t>H30</t>
  </si>
  <si>
    <t>Micrometro cuadrado</t>
  </si>
  <si>
    <t>ÂµmÂ²</t>
  </si>
  <si>
    <t>H31</t>
  </si>
  <si>
    <t>Amperio por kilogramo</t>
  </si>
  <si>
    <t>A/kg</t>
  </si>
  <si>
    <t>H32</t>
  </si>
  <si>
    <t>Amperio cuadrado segundo</t>
  </si>
  <si>
    <t>Es una unidad de medida basada en la energia o el calor que se permite pasar a traves del fusible o interruptor durante una condicion de cortocircuito.</t>
  </si>
  <si>
    <t>AÂ²Â·s</t>
  </si>
  <si>
    <t>H33</t>
  </si>
  <si>
    <t>Faradio por kilometro</t>
  </si>
  <si>
    <t>F/km</t>
  </si>
  <si>
    <t>H34</t>
  </si>
  <si>
    <t>Hertz metro</t>
  </si>
  <si>
    <t>HzÂ·m</t>
  </si>
  <si>
    <t>H35</t>
  </si>
  <si>
    <t>Kelvin metro por watt</t>
  </si>
  <si>
    <t>KÂ·m/W</t>
  </si>
  <si>
    <t>H36</t>
  </si>
  <si>
    <t>MegaOhm por kilometro</t>
  </si>
  <si>
    <t>M?/km</t>
  </si>
  <si>
    <t>H37</t>
  </si>
  <si>
    <t>MegaOhm por metro</t>
  </si>
  <si>
    <t>M?/m</t>
  </si>
  <si>
    <t>H38</t>
  </si>
  <si>
    <t>Megaamperio</t>
  </si>
  <si>
    <t>MA</t>
  </si>
  <si>
    <t>H39</t>
  </si>
  <si>
    <t>Megahertz kilometro</t>
  </si>
  <si>
    <t>MHzÂ·km</t>
  </si>
  <si>
    <t>H40</t>
  </si>
  <si>
    <t>Newton por amperio</t>
  </si>
  <si>
    <t>N/A</t>
  </si>
  <si>
    <t>H41</t>
  </si>
  <si>
    <t>Newton metro watts elevado a la potencia menos 0.5</t>
  </si>
  <si>
    <t>NÂ·mÂ·W????</t>
  </si>
  <si>
    <t>H42</t>
  </si>
  <si>
    <t>Pascal por metro</t>
  </si>
  <si>
    <t>Pa/m</t>
  </si>
  <si>
    <t>H43</t>
  </si>
  <si>
    <t>Siemens por centimetro</t>
  </si>
  <si>
    <t>S/cm</t>
  </si>
  <si>
    <t>H44</t>
  </si>
  <si>
    <t>TeraOhm</t>
  </si>
  <si>
    <t>T?</t>
  </si>
  <si>
    <t>H45</t>
  </si>
  <si>
    <t>Voltio segundo por metro</t>
  </si>
  <si>
    <t>VÂ·s/m</t>
  </si>
  <si>
    <t>H46</t>
  </si>
  <si>
    <t>Voltio por segundo</t>
  </si>
  <si>
    <t>V/s</t>
  </si>
  <si>
    <t>H47</t>
  </si>
  <si>
    <t>Watt por metro cÃºbico</t>
  </si>
  <si>
    <t>W/mÂ³</t>
  </si>
  <si>
    <t>H48</t>
  </si>
  <si>
    <t>Attofarad</t>
  </si>
  <si>
    <t>aF</t>
  </si>
  <si>
    <t>H49</t>
  </si>
  <si>
    <t>Centimetro por hora</t>
  </si>
  <si>
    <t>cm/h</t>
  </si>
  <si>
    <t>H50</t>
  </si>
  <si>
    <t>Reciprocidad del centimetro cÃºbico</t>
  </si>
  <si>
    <t>cm?Â³</t>
  </si>
  <si>
    <t>H51</t>
  </si>
  <si>
    <t>Decibel per kilometro</t>
  </si>
  <si>
    <t>dB/km</t>
  </si>
  <si>
    <t>H52</t>
  </si>
  <si>
    <t>Decibel per metro</t>
  </si>
  <si>
    <t>dB/m</t>
  </si>
  <si>
    <t>H53</t>
  </si>
  <si>
    <t>Kilogramo por bar</t>
  </si>
  <si>
    <t>kg/bar</t>
  </si>
  <si>
    <t>H54</t>
  </si>
  <si>
    <t xml:space="preserve">Kilogramo por decimetro cÃºbico kelvin </t>
  </si>
  <si>
    <t>(kg/dmÂ³)/K</t>
  </si>
  <si>
    <t>H55</t>
  </si>
  <si>
    <t>Kilogramo por decimetro cÃºbico bar</t>
  </si>
  <si>
    <t>(kg/dmÂ³)/bar</t>
  </si>
  <si>
    <t>H56</t>
  </si>
  <si>
    <t>Kilogramo por metro cuadrado segundo</t>
  </si>
  <si>
    <t>kg/(mÂ²Â·s)</t>
  </si>
  <si>
    <t>H57</t>
  </si>
  <si>
    <t>Pulgada por dos pi por radian</t>
  </si>
  <si>
    <t>in/revolution</t>
  </si>
  <si>
    <t>H58</t>
  </si>
  <si>
    <t>Metro por voltio segundo</t>
  </si>
  <si>
    <t>m/(VÂ·s)</t>
  </si>
  <si>
    <t>H59</t>
  </si>
  <si>
    <t>Metro cuadrado por newton</t>
  </si>
  <si>
    <t>mÂ²/N</t>
  </si>
  <si>
    <t>H60</t>
  </si>
  <si>
    <t>Metro cÃºbico por metro cÃºbico</t>
  </si>
  <si>
    <t>mÂ³/mÂ³</t>
  </si>
  <si>
    <t>H61</t>
  </si>
  <si>
    <t>Milisiemens por centimetro</t>
  </si>
  <si>
    <t>mS/cm</t>
  </si>
  <si>
    <t>H62</t>
  </si>
  <si>
    <t>Milivoltio por minuto</t>
  </si>
  <si>
    <t>mV/min</t>
  </si>
  <si>
    <t>H63</t>
  </si>
  <si>
    <t>Miligramo por centimetro cuadrado</t>
  </si>
  <si>
    <t>mg/cmÂ²</t>
  </si>
  <si>
    <t>H64</t>
  </si>
  <si>
    <t>Miligramo por gramo</t>
  </si>
  <si>
    <t>mg/g</t>
  </si>
  <si>
    <t>H65</t>
  </si>
  <si>
    <t>Mililitro por metro cÃºbico</t>
  </si>
  <si>
    <t>ml/mÂ³</t>
  </si>
  <si>
    <t>H66</t>
  </si>
  <si>
    <t xml:space="preserve">Milimetro por ano </t>
  </si>
  <si>
    <t>mm/y</t>
  </si>
  <si>
    <t>H67</t>
  </si>
  <si>
    <t>Milimetro por hora</t>
  </si>
  <si>
    <t>mm/h</t>
  </si>
  <si>
    <t>H68</t>
  </si>
  <si>
    <t>MiliMol por gram</t>
  </si>
  <si>
    <t>mmol/g</t>
  </si>
  <si>
    <t>H69</t>
  </si>
  <si>
    <t>Picopascal por kilometro</t>
  </si>
  <si>
    <t>pPa/km</t>
  </si>
  <si>
    <t>H70</t>
  </si>
  <si>
    <t>Picosegundo</t>
  </si>
  <si>
    <t>ps</t>
  </si>
  <si>
    <t>H71</t>
  </si>
  <si>
    <t>Por ciento al mes</t>
  </si>
  <si>
    <t>Unidad de proporcion, igual a 0,01, en relacion a un mes.</t>
  </si>
  <si>
    <t>%/mo</t>
  </si>
  <si>
    <t>H72</t>
  </si>
  <si>
    <t>Por ciento por hectobar</t>
  </si>
  <si>
    <t>Unidad de proporcion, igual a 0,01, en relacion con 100 veces la barra unitaria</t>
  </si>
  <si>
    <t>%/hbar</t>
  </si>
  <si>
    <t>H73</t>
  </si>
  <si>
    <t>Por ciento por decakelvin</t>
  </si>
  <si>
    <t>Unidad de proporcion, igual a 0,01, en relacion con 10 veces la unidad de base SI Kelvin</t>
  </si>
  <si>
    <t>%/daK</t>
  </si>
  <si>
    <t>H74</t>
  </si>
  <si>
    <t>Watt por metro</t>
  </si>
  <si>
    <t>W/m</t>
  </si>
  <si>
    <t>H75</t>
  </si>
  <si>
    <t>Decapascal</t>
  </si>
  <si>
    <t>daPa</t>
  </si>
  <si>
    <t>H76</t>
  </si>
  <si>
    <t>Gramo por milimetro</t>
  </si>
  <si>
    <t>g/mm</t>
  </si>
  <si>
    <t>H77</t>
  </si>
  <si>
    <t>Anchura del modulo</t>
  </si>
  <si>
    <t>Unidad de medida utilizada para describir la anchura de los conjuntos electronicos como una norma de instalacion o una dimension de montaje.</t>
  </si>
  <si>
    <t>MW</t>
  </si>
  <si>
    <t>H78</t>
  </si>
  <si>
    <t>Centimetro convencional de agua</t>
  </si>
  <si>
    <t>Cm H $ ? $ O</t>
  </si>
  <si>
    <t>H79</t>
  </si>
  <si>
    <t xml:space="preserve">Escala francesa </t>
  </si>
  <si>
    <t>Unidad de longitud usada para la medicion de los diametros de pequenos tubos como instrumentos urologicos y cateteres.                                                       
Sinonimos: Frances, CharriÃ¨re, CharriÃ¨re gauge.</t>
  </si>
  <si>
    <t>Fg</t>
  </si>
  <si>
    <t>H80</t>
  </si>
  <si>
    <t>Unidad de bastidor</t>
  </si>
  <si>
    <t>Unidad de medida utilizada para describir la altura en unidades de bastidor del equipo destinado a ser montado en un bastidor de 19 pulgadas o un bastidor de 23 pulgadas. Unidad de bastidor tiene 1,45 pulgadas (44,45 mm) de alto.</t>
  </si>
  <si>
    <t>U or RU</t>
  </si>
  <si>
    <t>H81</t>
  </si>
  <si>
    <t>Milimetro por minuto</t>
  </si>
  <si>
    <t>mm/min</t>
  </si>
  <si>
    <t>H82</t>
  </si>
  <si>
    <t>Punto grande</t>
  </si>
  <si>
    <t>Unidad de longitud que define el nÃºmero de puntos grandes (punto grande: el software de Adobe (EUA) define el punto grande a ser exactamente 1/72 de pulgada (0,013 888 9 pulgadas o 0,352 777 8 milimetros)</t>
  </si>
  <si>
    <t>bp</t>
  </si>
  <si>
    <t>H83</t>
  </si>
  <si>
    <t>Litro por kilogramo</t>
  </si>
  <si>
    <t>l/kg</t>
  </si>
  <si>
    <t>H84</t>
  </si>
  <si>
    <t>Gramos milimetro</t>
  </si>
  <si>
    <t>gÂ·mm</t>
  </si>
  <si>
    <t>H85</t>
  </si>
  <si>
    <t>Semana reciproca</t>
  </si>
  <si>
    <t>1/wk</t>
  </si>
  <si>
    <t>H87</t>
  </si>
  <si>
    <t>Pieza</t>
  </si>
  <si>
    <t>Unidad de conteo que define el nÃºmero de piezas (pieza: un solo articulo, articulo o ejemplar).</t>
  </si>
  <si>
    <t>H88</t>
  </si>
  <si>
    <t>MegaOhm kilometro</t>
  </si>
  <si>
    <t>M?Â·km</t>
  </si>
  <si>
    <t>H89</t>
  </si>
  <si>
    <t>Por ciento por Ohmio</t>
  </si>
  <si>
    <t>Unidad de proporcion, igual a 0,01, en relacion con un angulo de un grado.</t>
  </si>
  <si>
    <t>%/?</t>
  </si>
  <si>
    <t>H90</t>
  </si>
  <si>
    <t>Porcentaje por grado</t>
  </si>
  <si>
    <t>Unidad de proporcion, igual a 0,01, en relacion a mÃºltiplos de diez mil.</t>
  </si>
  <si>
    <t>%/Â°</t>
  </si>
  <si>
    <t>H91</t>
  </si>
  <si>
    <t>Por ciento por cada diez mil</t>
  </si>
  <si>
    <t>Unidad de proporcion, igual a 0,01, en relacion a mÃºltiplos de cien mil.</t>
  </si>
  <si>
    <t>%/10000</t>
  </si>
  <si>
    <t>H92</t>
  </si>
  <si>
    <t>Ciento por cien mil</t>
  </si>
  <si>
    <t>Unidad de proporcion, igual a 0,01, en relacion a mÃºltiplos de cien.</t>
  </si>
  <si>
    <t>%/100000</t>
  </si>
  <si>
    <t>H93</t>
  </si>
  <si>
    <t>Porcentaje por cien</t>
  </si>
  <si>
    <t>Unidad de proporcion, igual a 0,01, en relacion a mÃºltiplos de mil.</t>
  </si>
  <si>
    <t>%/100</t>
  </si>
  <si>
    <t>H94</t>
  </si>
  <si>
    <t>Por ciento por mil</t>
  </si>
  <si>
    <t>Unidad de proporcion, igual a 0,01, en relacion con la unidad derivada de SI volt.</t>
  </si>
  <si>
    <t>%/1000</t>
  </si>
  <si>
    <t>H95</t>
  </si>
  <si>
    <t>Por ciento por voltio</t>
  </si>
  <si>
    <t>Unidad de proporcion, igual a 0,01, en relacion con una presion atmosferica de una barra.</t>
  </si>
  <si>
    <t>%/V</t>
  </si>
  <si>
    <t>H96</t>
  </si>
  <si>
    <t>Tanto por ciento por bar</t>
  </si>
  <si>
    <t>%/bar</t>
  </si>
  <si>
    <t>H98</t>
  </si>
  <si>
    <t>Por ciento por pulgada</t>
  </si>
  <si>
    <t>Unidad de proporcion, igual a 0,01, en relacion a una pulgada.</t>
  </si>
  <si>
    <t>%/in</t>
  </si>
  <si>
    <t>H99</t>
  </si>
  <si>
    <t>Por ciento por metro</t>
  </si>
  <si>
    <t>Unidad de proporcion, igual a 0,01, en relacion con un metro.</t>
  </si>
  <si>
    <t>%/m</t>
  </si>
  <si>
    <t>HA</t>
  </si>
  <si>
    <t>Madeja</t>
  </si>
  <si>
    <t>Unidad de longitud, tipicamente para el hilado.</t>
  </si>
  <si>
    <t>HAR</t>
  </si>
  <si>
    <t>hectarea</t>
  </si>
  <si>
    <t>Sinonimo: hectometro cuadrado</t>
  </si>
  <si>
    <t>decir ah</t>
  </si>
  <si>
    <t>HBA</t>
  </si>
  <si>
    <t xml:space="preserve">Hectobar </t>
  </si>
  <si>
    <t>hbar</t>
  </si>
  <si>
    <t>HBX</t>
  </si>
  <si>
    <t>Ciento de cajas</t>
  </si>
  <si>
    <t>Unidad de conteo que define el nÃºmero de cajas en mÃºltiplos de cien unidades de caja.</t>
  </si>
  <si>
    <t>HC</t>
  </si>
  <si>
    <t>Conteo en cientos</t>
  </si>
  <si>
    <t>Unidad de cuenta que define el nÃºmero de unidades contadas en mÃºltiplos de 100.</t>
  </si>
  <si>
    <t>HD</t>
  </si>
  <si>
    <t>Media docena</t>
  </si>
  <si>
    <t>HDW</t>
  </si>
  <si>
    <t>Cien kilogramos, peso seco</t>
  </si>
  <si>
    <t>Unidad de masa que define el nÃºmero de cien kilogramos de un producto, sin tener en cuenta el contenido de agua del producto.</t>
  </si>
  <si>
    <t>HE</t>
  </si>
  <si>
    <t>Centesima de un quilate</t>
  </si>
  <si>
    <t>HEA</t>
  </si>
  <si>
    <t>Cabeza</t>
  </si>
  <si>
    <t>Unidad de conteo que define el nÃºmero de cabezas (cabeza: persona o animal considerada como un nÃºmero.</t>
  </si>
  <si>
    <t>HF</t>
  </si>
  <si>
    <t>Cien pies</t>
  </si>
  <si>
    <t>HGM</t>
  </si>
  <si>
    <t>Hectogramo</t>
  </si>
  <si>
    <t>hg</t>
  </si>
  <si>
    <t>HH</t>
  </si>
  <si>
    <t>Cien pies cÃºbicos</t>
  </si>
  <si>
    <t>Unidad de volumen igual a cien pies cÃºbicos.</t>
  </si>
  <si>
    <t>HI</t>
  </si>
  <si>
    <t>Cien hojas</t>
  </si>
  <si>
    <t>HIU</t>
  </si>
  <si>
    <t>Unidad internacional de cien</t>
  </si>
  <si>
    <t>Unidad de cuenta que define el nÃºmero de unidades internacionales en mÃºltiplos de 100.</t>
  </si>
  <si>
    <t>HJ</t>
  </si>
  <si>
    <t>Potencia metrica</t>
  </si>
  <si>
    <t>Hp metrico</t>
  </si>
  <si>
    <t>HK</t>
  </si>
  <si>
    <t>Cien kilogramos</t>
  </si>
  <si>
    <t>HKM</t>
  </si>
  <si>
    <t>Cien kilogramos, masa neta</t>
  </si>
  <si>
    <t>Unidad de masa que define el nÃºmero de cientos de kilogramos de un producto, despues de las deducciones.</t>
  </si>
  <si>
    <t>HL</t>
  </si>
  <si>
    <t>Cien pies (lineal)</t>
  </si>
  <si>
    <t>HLT</t>
  </si>
  <si>
    <t>Hectolitro</t>
  </si>
  <si>
    <t>Es una unidad de volumen equivalente a cien litros, representado por el simbolo hl. Es el segundo mÃºltiplo del litro y tambien equivale a 100 decimetros cÃºbicos (0,1 metros cÃºbicos).</t>
  </si>
  <si>
    <t>hl</t>
  </si>
  <si>
    <t>HM</t>
  </si>
  <si>
    <t>Milla por hora (milla estatal)</t>
  </si>
  <si>
    <t>mile/h</t>
  </si>
  <si>
    <t>HMQ</t>
  </si>
  <si>
    <t>Millones de metros cÃºbicos</t>
  </si>
  <si>
    <t>Unidad de volumen igual a un millon de metros cÃºbicos.</t>
  </si>
  <si>
    <t>MmÂ³</t>
  </si>
  <si>
    <t>HMT</t>
  </si>
  <si>
    <t>Hectometro</t>
  </si>
  <si>
    <t>Es una unidad de longitud. Equivale a 100 metros. Hecto es el prefijo para 100 en el Sistema Internacional de Unidades.</t>
  </si>
  <si>
    <t>hm</t>
  </si>
  <si>
    <t>HN</t>
  </si>
  <si>
    <t>Milimetro convencional de mercurio</t>
  </si>
  <si>
    <t>Mm Hg</t>
  </si>
  <si>
    <t>HO</t>
  </si>
  <si>
    <t>Cien onzas troy</t>
  </si>
  <si>
    <t>HP</t>
  </si>
  <si>
    <t>Milimetro convencional de agua</t>
  </si>
  <si>
    <t>Mm H $ ? $ O</t>
  </si>
  <si>
    <t>HPA</t>
  </si>
  <si>
    <t>Hectolitro de alcohol puro</t>
  </si>
  <si>
    <t>Unidad de volumen igual a cien litros de alcohol puro.</t>
  </si>
  <si>
    <t>HS</t>
  </si>
  <si>
    <t>Cien pies cuadrados</t>
  </si>
  <si>
    <t>HT</t>
  </si>
  <si>
    <t>media hora</t>
  </si>
  <si>
    <t>HTZ</t>
  </si>
  <si>
    <t>Hertz</t>
  </si>
  <si>
    <t>Unidad de frecuencia del Sistema Internacional, de simbolo Hz, que equivale a la frecuencia de un fenomeno periodico cuyo periodo es 1 segundo.</t>
  </si>
  <si>
    <t>Hz</t>
  </si>
  <si>
    <t>HUR</t>
  </si>
  <si>
    <t>Hora</t>
  </si>
  <si>
    <t>Es una unidad de tiempo que se corresponde con la vigesimo-cuarta parte de un dia solar medio.</t>
  </si>
  <si>
    <t>h</t>
  </si>
  <si>
    <t>HY</t>
  </si>
  <si>
    <t>Cien yardas</t>
  </si>
  <si>
    <t>IA</t>
  </si>
  <si>
    <t>Pulgada libra</t>
  </si>
  <si>
    <t>inÂ·lb</t>
  </si>
  <si>
    <t>IC</t>
  </si>
  <si>
    <t>Contar por pulgada</t>
  </si>
  <si>
    <t>IE</t>
  </si>
  <si>
    <t>Personas</t>
  </si>
  <si>
    <t>Unidad de conteo que define el nÃºmero de personas.</t>
  </si>
  <si>
    <t>IF</t>
  </si>
  <si>
    <t>Pulgadas de agua</t>
  </si>
  <si>
    <t>Use una pulgada de agua (codigo comÃºn F78)</t>
  </si>
  <si>
    <t>II</t>
  </si>
  <si>
    <t>Columna pulgada</t>
  </si>
  <si>
    <t>IM</t>
  </si>
  <si>
    <t>Impresion</t>
  </si>
  <si>
    <t>INH</t>
  </si>
  <si>
    <t>Pulgada</t>
  </si>
  <si>
    <t>Es una unidad de longitud antropometrica que equivale al ancho de la primera falange del pulgar, y mas especificamente a su falange distal.</t>
  </si>
  <si>
    <t>in</t>
  </si>
  <si>
    <t>INK</t>
  </si>
  <si>
    <t>Pulgada cuadrada</t>
  </si>
  <si>
    <t>Es una unidad de medida imperial, equivalente a la superficie de un cuadrado cuyo lado posee 1 pulgada de longitud (2,54 centimetros).</t>
  </si>
  <si>
    <t>inÂ²</t>
  </si>
  <si>
    <t>INQ</t>
  </si>
  <si>
    <t>Pulgada cÃºbica</t>
  </si>
  <si>
    <t>Sinonimo: pulgada cuadrada</t>
  </si>
  <si>
    <t>inÂ³</t>
  </si>
  <si>
    <t>IP</t>
  </si>
  <si>
    <t>poliza de seguros</t>
  </si>
  <si>
    <t>ISD</t>
  </si>
  <si>
    <t>Grado internacional de azÃºcar</t>
  </si>
  <si>
    <t>Unidad de medida que define el contenido de azÃºcar de una solucion, expresada en grados.</t>
  </si>
  <si>
    <t>IT</t>
  </si>
  <si>
    <t>Recuento por centimetro</t>
  </si>
  <si>
    <t>IU</t>
  </si>
  <si>
    <t>Pulgada por segundo</t>
  </si>
  <si>
    <t>in/s</t>
  </si>
  <si>
    <t>IV</t>
  </si>
  <si>
    <t>Pulgada por segundo al cuadrado</t>
  </si>
  <si>
    <t>in/sÂ²</t>
  </si>
  <si>
    <t>J10</t>
  </si>
  <si>
    <t>Por ciento por milimetro</t>
  </si>
  <si>
    <t>Unidad de proporcion, igual a 0,01, en relacion a un milimetro.</t>
  </si>
  <si>
    <t>%/mm</t>
  </si>
  <si>
    <t>J12</t>
  </si>
  <si>
    <t>Por mille por psi</t>
  </si>
  <si>
    <t>Unidad de presion igual a una milesima de psi (libra-fuerza por pulgada cuadrada).</t>
  </si>
  <si>
    <t>Â‰/psi</t>
  </si>
  <si>
    <t>J13</t>
  </si>
  <si>
    <t>Grado api</t>
  </si>
  <si>
    <t>Unidad de densidad relativa como una medida de cuan pesado o ligero es un liquido de petroleo comparado con agua (API: American Petroleum Institute).</t>
  </si>
  <si>
    <t>Â°API</t>
  </si>
  <si>
    <t>J14</t>
  </si>
  <si>
    <t>Grado baume (escala de origen)</t>
  </si>
  <si>
    <t>Unidad tradicional de densidad relativa para liquidos. Nombrado en honor de Antoine Baume.</t>
  </si>
  <si>
    <t>Â°Be</t>
  </si>
  <si>
    <t>J15</t>
  </si>
  <si>
    <t>Grado baume (us pesado)</t>
  </si>
  <si>
    <t>Unidad de densidad relativa para liquidos mas pesados que el agua.</t>
  </si>
  <si>
    <t>Â°Be (US heavy)</t>
  </si>
  <si>
    <t>J16</t>
  </si>
  <si>
    <t>Grado baume (luz de los EUA)</t>
  </si>
  <si>
    <t>Unidad de densidad relativa para liquidos mas ligeros que el agua.</t>
  </si>
  <si>
    <t>Â°Be (US light)</t>
  </si>
  <si>
    <t>J17</t>
  </si>
  <si>
    <t>Grado balling</t>
  </si>
  <si>
    <t>Unidad de densidad como medida del contenido de azÃºcar, especialmente de mosto de cerveza. Nombrado en honor de Karl Balling.</t>
  </si>
  <si>
    <t>Â°Balling</t>
  </si>
  <si>
    <t>J18</t>
  </si>
  <si>
    <t>Grado brix</t>
  </si>
  <si>
    <t>Unidad de proporcion utilizada para medir la proporcion de masa de azÃºcar disuelta a agua de un liquido. Nombrado en honor de Adolf Brix</t>
  </si>
  <si>
    <t>Â°Bx</t>
  </si>
  <si>
    <t>J19</t>
  </si>
  <si>
    <t>Grado fahrenheit hora pie cuadrado por unidad termica britanica (termoquimico).</t>
  </si>
  <si>
    <t>Â°FÂ·hÂ·ftÂ²/Btuth</t>
  </si>
  <si>
    <t>J2</t>
  </si>
  <si>
    <t>Joule por kilogramo</t>
  </si>
  <si>
    <t>J/kg</t>
  </si>
  <si>
    <t>J20</t>
  </si>
  <si>
    <t>Grado fahrenheit por kelvin</t>
  </si>
  <si>
    <t>Â°F/K</t>
  </si>
  <si>
    <t>J21</t>
  </si>
  <si>
    <t>Grado fahrenheit por bar</t>
  </si>
  <si>
    <t>Â°F/bar</t>
  </si>
  <si>
    <t>J22</t>
  </si>
  <si>
    <t>Grado fahrenheit hora pie cuadrado por unidad termica britanica (tabla internacional).</t>
  </si>
  <si>
    <t>Â°FÂ·hÂ·ftÂ²/BtuIT</t>
  </si>
  <si>
    <t>J23</t>
  </si>
  <si>
    <t>Grado fahrenheit por hora</t>
  </si>
  <si>
    <t>Â°F/h</t>
  </si>
  <si>
    <t>J24</t>
  </si>
  <si>
    <t>Grado fahrenheit por minuto</t>
  </si>
  <si>
    <t>Â°F/min</t>
  </si>
  <si>
    <t>J25</t>
  </si>
  <si>
    <t>Grado fahrenheit por segundo</t>
  </si>
  <si>
    <t>Â°F/s</t>
  </si>
  <si>
    <t>J26</t>
  </si>
  <si>
    <t>Reciprocidad grado fahrenheit</t>
  </si>
  <si>
    <t>1/Â°F</t>
  </si>
  <si>
    <t>J27</t>
  </si>
  <si>
    <t>Grado oechsle</t>
  </si>
  <si>
    <t>Unidad de densidad como medida del contenido de azÃºcar de mosto, el licor no fermentado del que se elabora el vino. Nombrado en honor de Ferdinand Oechsle.</t>
  </si>
  <si>
    <t>Â°Oechsle</t>
  </si>
  <si>
    <t>J28</t>
  </si>
  <si>
    <t>Grado rankine por hora</t>
  </si>
  <si>
    <t>Â°R/h</t>
  </si>
  <si>
    <t>J29</t>
  </si>
  <si>
    <t>Grado rankine por minuto</t>
  </si>
  <si>
    <t>Â°R/min</t>
  </si>
  <si>
    <t>J30</t>
  </si>
  <si>
    <t>Grado rankine por segundo</t>
  </si>
  <si>
    <t>Â°R/s</t>
  </si>
  <si>
    <t>J31</t>
  </si>
  <si>
    <t>Grado twaddel.</t>
  </si>
  <si>
    <t>Unidad de densidad para liquidos que son mas pesados que el agua. 1 grado Twaddle representa una diferencia en gravedad especifica de 0,005.</t>
  </si>
  <si>
    <t>Â°Tw</t>
  </si>
  <si>
    <t>J32</t>
  </si>
  <si>
    <t>Micropoise</t>
  </si>
  <si>
    <t>ÂµP</t>
  </si>
  <si>
    <t>J33</t>
  </si>
  <si>
    <t>Microgramo por kilogramo</t>
  </si>
  <si>
    <t>Âµg/kg</t>
  </si>
  <si>
    <t>J34</t>
  </si>
  <si>
    <t>Microgramo por metro cÃºbico kelvin</t>
  </si>
  <si>
    <t>(Âµg/mÂ³)/K</t>
  </si>
  <si>
    <t>J35</t>
  </si>
  <si>
    <t>Microgramo por metro cÃºbico bar</t>
  </si>
  <si>
    <t>(Âµg/mÂ³)/bar</t>
  </si>
  <si>
    <t>J36</t>
  </si>
  <si>
    <t>Microlitro por litro</t>
  </si>
  <si>
    <t>Âµl/l</t>
  </si>
  <si>
    <t>J38</t>
  </si>
  <si>
    <t>Baud</t>
  </si>
  <si>
    <t>Es Unidad de medida utilizada en telecomunicaciones, que representa el nÃºmero de simbolos por segundo en un medio de transmision digital.1 Cada simbolo puede comprender 1 o mas bits, dependiendo del esquema de modulacion.</t>
  </si>
  <si>
    <t>Bd</t>
  </si>
  <si>
    <t>J39</t>
  </si>
  <si>
    <t>Unidad termica britanica (significado)</t>
  </si>
  <si>
    <t>Btu</t>
  </si>
  <si>
    <t>J40</t>
  </si>
  <si>
    <t>Unidad termica britanica (tabla internacional) pie por hora pie cuadrado grado fahrenheit.</t>
  </si>
  <si>
    <t>BtuITÂ·ft/(hÂ·ftÂ²Â·Â°F)</t>
  </si>
  <si>
    <t>J41</t>
  </si>
  <si>
    <t>Unidad termica britanica (tabla internacional) pulgada por hora pie cuadrado grado fahrenheit.</t>
  </si>
  <si>
    <t>BtuITÂ·in/(hÂ·ftÂ²Â·Â°F)</t>
  </si>
  <si>
    <t>J42</t>
  </si>
  <si>
    <t>Unidad termica britanica (tabla internacional) pulgada por segundo pie cuadrado grado fahrenheit.</t>
  </si>
  <si>
    <t>BtuITÂ·in/(sÂ·ftÂ²Â·Â°F)</t>
  </si>
  <si>
    <t>J43</t>
  </si>
  <si>
    <t>Unidad termica britanica (tabla internacional) por libra grado fahrenheit</t>
  </si>
  <si>
    <t>BtuIT/(lbÂ·Â°F)</t>
  </si>
  <si>
    <t>J44</t>
  </si>
  <si>
    <t>Unidad termica britanica (tabla internacional) por minuto</t>
  </si>
  <si>
    <t>BtuIT/min</t>
  </si>
  <si>
    <t>J45</t>
  </si>
  <si>
    <t>Unidad termica britanica (tabla internacional) por segundo</t>
  </si>
  <si>
    <t>BtuIT/s</t>
  </si>
  <si>
    <t>J46</t>
  </si>
  <si>
    <t>Unidad termica britanica (termoquimico) pie por hora pie cuadrado grado fahrenheit.</t>
  </si>
  <si>
    <t>BtuthÂ·ft/(hÂ·ftÂ²Â·Â°F)</t>
  </si>
  <si>
    <t>J47</t>
  </si>
  <si>
    <t>Unidad termica britanica (termoquimica) por hora</t>
  </si>
  <si>
    <t>Btuth/h</t>
  </si>
  <si>
    <t>J48</t>
  </si>
  <si>
    <t>Unidad termica britanica (termoquimico) pulgada por hora pie cuadrado grado fahrenheit.</t>
  </si>
  <si>
    <t>BtuthÂ·in/(hÂ·ftÂ²Â·Â°F)</t>
  </si>
  <si>
    <t>J49</t>
  </si>
  <si>
    <t>Unidad termica britanica (termoquimico) pulgada por segundo pie cuadrado grado fahrenheit.</t>
  </si>
  <si>
    <t>BtuthÂ·in/(sÂ·ftÂ²Â·Â°F)</t>
  </si>
  <si>
    <t>J50</t>
  </si>
  <si>
    <t>Unidad termica britanica (termoquimico) por libra grado fahrenheit</t>
  </si>
  <si>
    <t>Btuth/(lbÂ·Â°F)</t>
  </si>
  <si>
    <t>J51</t>
  </si>
  <si>
    <t>Unidad termica britanica (termoquimica) por minuto</t>
  </si>
  <si>
    <t>Btuth/min</t>
  </si>
  <si>
    <t>J52</t>
  </si>
  <si>
    <t>Unidad termica britanica (termoquimica) por segundo</t>
  </si>
  <si>
    <t>Btuth/s</t>
  </si>
  <si>
    <t>J53</t>
  </si>
  <si>
    <t>Culombio metro cuadrado por kilogramo</t>
  </si>
  <si>
    <t>CÂ·mÂ²/kg</t>
  </si>
  <si>
    <t>J54</t>
  </si>
  <si>
    <t>Megabaud</t>
  </si>
  <si>
    <t>Unidad de velocidad de transmision de senal igual a 106 (1000000) eventos de senalizacion por segundo.</t>
  </si>
  <si>
    <t>MBd</t>
  </si>
  <si>
    <t>J55</t>
  </si>
  <si>
    <t>Watt segundo</t>
  </si>
  <si>
    <t>WÂ·s</t>
  </si>
  <si>
    <t>J56</t>
  </si>
  <si>
    <t>Bar por bar</t>
  </si>
  <si>
    <t>bar/bar</t>
  </si>
  <si>
    <t>J57</t>
  </si>
  <si>
    <t>Barril (uk petroleo)</t>
  </si>
  <si>
    <t>Es el nombre de varias unidades de volumen usadas en el Reino Unido y en los Estados Unidos.</t>
  </si>
  <si>
    <t>bbl (UK liq.)</t>
  </si>
  <si>
    <t>J58</t>
  </si>
  <si>
    <t>Barril (petroleo UK) por minuto</t>
  </si>
  <si>
    <t>bbl (UK liq.)/min</t>
  </si>
  <si>
    <t>J59</t>
  </si>
  <si>
    <t>Barril (petroleo UK) por dia</t>
  </si>
  <si>
    <t>bbl (UK liq.)/d</t>
  </si>
  <si>
    <t>J60</t>
  </si>
  <si>
    <t>Barril (petroleo UK) por hora</t>
  </si>
  <si>
    <t>bbl (UK liq.)/h</t>
  </si>
  <si>
    <t>J61</t>
  </si>
  <si>
    <t>Barril (petroleo UK) por segundo</t>
  </si>
  <si>
    <t>bbl (UK liq.)/s</t>
  </si>
  <si>
    <t>J62</t>
  </si>
  <si>
    <t>Barril (petroleo estados unidos) por hora</t>
  </si>
  <si>
    <t>bbl (US)/h</t>
  </si>
  <si>
    <t>J63</t>
  </si>
  <si>
    <t>Barril (petroleo estados unidos) por segundo</t>
  </si>
  <si>
    <t>bbl (US)/s</t>
  </si>
  <si>
    <t>J64</t>
  </si>
  <si>
    <t xml:space="preserve">Bushel (UK) por dia </t>
  </si>
  <si>
    <t>bu (UK)/d</t>
  </si>
  <si>
    <t>J65</t>
  </si>
  <si>
    <t>Bushel (UK) por hora</t>
  </si>
  <si>
    <t>bu (UK)/h</t>
  </si>
  <si>
    <t>J66</t>
  </si>
  <si>
    <t>Bushel (UK) por minuto</t>
  </si>
  <si>
    <t>bu (UK)/min</t>
  </si>
  <si>
    <t>J67</t>
  </si>
  <si>
    <t>Bushel (UK) por segundo</t>
  </si>
  <si>
    <t>bu (UK)/s</t>
  </si>
  <si>
    <t>J68</t>
  </si>
  <si>
    <t>Bushel (seco, estados unidos) por dia</t>
  </si>
  <si>
    <t>bu (US dry)/d</t>
  </si>
  <si>
    <t>J69</t>
  </si>
  <si>
    <t>Bushel (seco, estados unidos) por hora</t>
  </si>
  <si>
    <t>bu (US dry)/h</t>
  </si>
  <si>
    <t>J70</t>
  </si>
  <si>
    <t>Bushel (seco, estados unidos) por minuto</t>
  </si>
  <si>
    <t>bu (US dry)/min</t>
  </si>
  <si>
    <t>J71</t>
  </si>
  <si>
    <t>Bushel (seco, estados unidos) por segundo</t>
  </si>
  <si>
    <t>bu (US dry)/s</t>
  </si>
  <si>
    <t>J72</t>
  </si>
  <si>
    <t>Centinewton metro</t>
  </si>
  <si>
    <t>cNÂ·m</t>
  </si>
  <si>
    <t>J73</t>
  </si>
  <si>
    <t>Centipoise por kelvin</t>
  </si>
  <si>
    <t>cP/K</t>
  </si>
  <si>
    <t>J74</t>
  </si>
  <si>
    <t>Centipoise por bar</t>
  </si>
  <si>
    <t>cP/bar</t>
  </si>
  <si>
    <t>J75</t>
  </si>
  <si>
    <t>Caloria</t>
  </si>
  <si>
    <t>Unidad de energia termica, de simbolo cal, que equivale a la cantidad de calor necesaria para elevar 1 grado centigrado la temperatura de 1 gramo de agua.</t>
  </si>
  <si>
    <t>cal</t>
  </si>
  <si>
    <t>J76</t>
  </si>
  <si>
    <t>Caloria (tabla internacional) por gramo grado celsius</t>
  </si>
  <si>
    <t>calIT/(gÂ·Â°C)</t>
  </si>
  <si>
    <t>J78</t>
  </si>
  <si>
    <t>Caloria (termoquimica) por centimetro segundo grado celsius</t>
  </si>
  <si>
    <t>calth/(cmÂ·sÂ·Â°C)</t>
  </si>
  <si>
    <t>J79</t>
  </si>
  <si>
    <t>Caloria (termoquimico) por gramo grado celsius</t>
  </si>
  <si>
    <t>calth/(gÂ·Â°C)</t>
  </si>
  <si>
    <t>J81</t>
  </si>
  <si>
    <t>Caloria (termoquimica) por minuto</t>
  </si>
  <si>
    <t>calth/min</t>
  </si>
  <si>
    <t>J82</t>
  </si>
  <si>
    <t>Caloria (termoquimica) por segundo</t>
  </si>
  <si>
    <t>calth/s</t>
  </si>
  <si>
    <t>J83</t>
  </si>
  <si>
    <t>Clo</t>
  </si>
  <si>
    <t>Clo es una unidad de medida empleada para el indice de indumento.</t>
  </si>
  <si>
    <t>clo</t>
  </si>
  <si>
    <t>J84</t>
  </si>
  <si>
    <t>Centimetro por segundo kelvin</t>
  </si>
  <si>
    <t>(cm/s)/K</t>
  </si>
  <si>
    <t>J85</t>
  </si>
  <si>
    <t>Centimetro por segundo bar</t>
  </si>
  <si>
    <t>(cm/s)/bar</t>
  </si>
  <si>
    <t>J87</t>
  </si>
  <si>
    <t>Centimetro cÃºbico por metro cÃºbico</t>
  </si>
  <si>
    <t>cmÂ³/mÂ³</t>
  </si>
  <si>
    <t>J89</t>
  </si>
  <si>
    <t>Centimetro de mercurio</t>
  </si>
  <si>
    <t>Cm Hg</t>
  </si>
  <si>
    <t>J90</t>
  </si>
  <si>
    <t>Decimetro cÃºbico por dia</t>
  </si>
  <si>
    <t>dmÂ³/d</t>
  </si>
  <si>
    <t>J91</t>
  </si>
  <si>
    <t>Decimetro cÃºbico por metro cÃºbico</t>
  </si>
  <si>
    <t>dmÂ³/mÂ³</t>
  </si>
  <si>
    <t>J92</t>
  </si>
  <si>
    <t>Decimetro cÃºbico por minuto</t>
  </si>
  <si>
    <t>dmÂ³/min</t>
  </si>
  <si>
    <t>J93</t>
  </si>
  <si>
    <t>Decimetro cÃºbico por segundo</t>
  </si>
  <si>
    <t>dmÂ³/s</t>
  </si>
  <si>
    <t>J94</t>
  </si>
  <si>
    <t>Dina centimetro</t>
  </si>
  <si>
    <t>Dyn Â· cm</t>
  </si>
  <si>
    <t>J95</t>
  </si>
  <si>
    <t>Onza (fluido, UK) por dia</t>
  </si>
  <si>
    <t>fl oz (UK)/d</t>
  </si>
  <si>
    <t>J96</t>
  </si>
  <si>
    <t>Onza (fluido, UK) por hora</t>
  </si>
  <si>
    <t>fl oz (UK)/h</t>
  </si>
  <si>
    <t>J97</t>
  </si>
  <si>
    <t>Onza (fluido, UK) por minuto</t>
  </si>
  <si>
    <t>fl oz (UK)/min</t>
  </si>
  <si>
    <t>J98</t>
  </si>
  <si>
    <t>Onza (fluido, UK) por segundo</t>
  </si>
  <si>
    <t>fl oz (UK)/s</t>
  </si>
  <si>
    <t>J99</t>
  </si>
  <si>
    <t>Onza (fluido, estados unidos) por dia</t>
  </si>
  <si>
    <t>fl oz (US)/d</t>
  </si>
  <si>
    <t>JB</t>
  </si>
  <si>
    <t>Jumbo</t>
  </si>
  <si>
    <t>JE</t>
  </si>
  <si>
    <t>Joule por kelvin</t>
  </si>
  <si>
    <t>Es el aumento de entropia de un sistema que recibe una cantidad de calor de 1 joule, a la temperatura termodinamica constante de 1 kelvin, siempre que en el sistema no tenga lugar ninguna transformacion irreversible.</t>
  </si>
  <si>
    <t>J/K</t>
  </si>
  <si>
    <t>JK</t>
  </si>
  <si>
    <t>Megajoule por kilogramo</t>
  </si>
  <si>
    <t>MJ/kg</t>
  </si>
  <si>
    <t>JM</t>
  </si>
  <si>
    <t>Megajoule por metro cÃºbico</t>
  </si>
  <si>
    <t>MJ/mÂ³</t>
  </si>
  <si>
    <t>JNT</t>
  </si>
  <si>
    <t>Junta de tuberia</t>
  </si>
  <si>
    <t>Un recuento del nÃºmero de juntas de la tuberia.</t>
  </si>
  <si>
    <t>Jo</t>
  </si>
  <si>
    <t>Articulacion</t>
  </si>
  <si>
    <t>JOU</t>
  </si>
  <si>
    <t>Joule</t>
  </si>
  <si>
    <t xml:space="preserve">Es el trabajo producido por una fuerza de 1 newton, cuyo punto de aplicacion se desplaza 1 metro en la direccion de la fuerza. </t>
  </si>
  <si>
    <t>J</t>
  </si>
  <si>
    <t>JPS</t>
  </si>
  <si>
    <t>Cien metros</t>
  </si>
  <si>
    <t>Unidad de conteo que define el nÃºmero de longitudes de 100 metros.</t>
  </si>
  <si>
    <t>JWL</t>
  </si>
  <si>
    <t>NÃºmero de joyas</t>
  </si>
  <si>
    <t>Unidad de cuenta que define el nÃºmero de joyas (joya: piedra preciosa).</t>
  </si>
  <si>
    <t>K1</t>
  </si>
  <si>
    <t>Demanda de kilowatt</t>
  </si>
  <si>
    <t>Unidad de medida que define la carga de potencia medida a intervalos predeterminados.</t>
  </si>
  <si>
    <t>K10</t>
  </si>
  <si>
    <t>Onza (fluido, estados unidos) por hora</t>
  </si>
  <si>
    <t>fl oz (US)/h</t>
  </si>
  <si>
    <t>K11</t>
  </si>
  <si>
    <t>Onza (fluido, estados unidos) por minuto</t>
  </si>
  <si>
    <t>fl oz (US)/min</t>
  </si>
  <si>
    <t>K12</t>
  </si>
  <si>
    <t>Onza (fluido, estados unidos) por segundo</t>
  </si>
  <si>
    <t>fl oz (US)/s</t>
  </si>
  <si>
    <t>K13</t>
  </si>
  <si>
    <t>Pie por grado fahrenheit</t>
  </si>
  <si>
    <t>ft/Â°F</t>
  </si>
  <si>
    <t>K14</t>
  </si>
  <si>
    <t>Pie por hora</t>
  </si>
  <si>
    <t>ft/h</t>
  </si>
  <si>
    <t>K15</t>
  </si>
  <si>
    <t>Pie libra-fuerza por hora</t>
  </si>
  <si>
    <t>ftÂ·lbf/h</t>
  </si>
  <si>
    <t>K16</t>
  </si>
  <si>
    <t>Pie libra-fuerza por minuto</t>
  </si>
  <si>
    <t>ftÂ·lbf/min</t>
  </si>
  <si>
    <t>K17</t>
  </si>
  <si>
    <t>Pie por psi (libra por pulgada cuadrada)</t>
  </si>
  <si>
    <t>ft/psi</t>
  </si>
  <si>
    <t>K18</t>
  </si>
  <si>
    <t>Pie por segundo grado fahrenheit</t>
  </si>
  <si>
    <t>(ft/s)/Â°F</t>
  </si>
  <si>
    <t>K19</t>
  </si>
  <si>
    <t>Pie por segundo psi (libra por pulgada cuadrada)</t>
  </si>
  <si>
    <t>(ft/s)/psi</t>
  </si>
  <si>
    <t>K2</t>
  </si>
  <si>
    <t>Kilovoltios amperios demanda reactiva</t>
  </si>
  <si>
    <t>Unidad de medida que define la demanda de potencia reactiva igual a un kilovoltioio de potencia reactiva.</t>
  </si>
  <si>
    <t>K20</t>
  </si>
  <si>
    <t>Reciprocidad del pie cuadrado</t>
  </si>
  <si>
    <t>1/ftÂ³</t>
  </si>
  <si>
    <t>K21</t>
  </si>
  <si>
    <t>Pie cÃºbico por grado fahrenheit</t>
  </si>
  <si>
    <t>ftÂ³/Â°F</t>
  </si>
  <si>
    <t>K22</t>
  </si>
  <si>
    <t>Pie cÃºbico por dia</t>
  </si>
  <si>
    <t>ftÂ³/d</t>
  </si>
  <si>
    <t>K23</t>
  </si>
  <si>
    <t>Pie cÃºbico por psi (libra por pulgada cuadrada)</t>
  </si>
  <si>
    <t>ftÂ³/psi</t>
  </si>
  <si>
    <t>K24</t>
  </si>
  <si>
    <t>Pie de agua</t>
  </si>
  <si>
    <t>Ft H $ ? $ O</t>
  </si>
  <si>
    <t>K25</t>
  </si>
  <si>
    <t>Pie de mercurio</t>
  </si>
  <si>
    <t>Ft Hg</t>
  </si>
  <si>
    <t>K26</t>
  </si>
  <si>
    <t>Galon (UK) por dia</t>
  </si>
  <si>
    <t>gal (UK)/d</t>
  </si>
  <si>
    <t>K27</t>
  </si>
  <si>
    <t>Galon (UK) por hora</t>
  </si>
  <si>
    <t>gal (UK)/h</t>
  </si>
  <si>
    <t>K28</t>
  </si>
  <si>
    <t>Galon (UK) por segundo</t>
  </si>
  <si>
    <t>gal (UK)/s</t>
  </si>
  <si>
    <t>K3</t>
  </si>
  <si>
    <t>Kilovoltio amperio hora reactivo</t>
  </si>
  <si>
    <t>Unidad de medida que define la energia reactiva acumulada igual a un kilovoltioio de potencia reactiva por hora.</t>
  </si>
  <si>
    <t>kvarÂ·h</t>
  </si>
  <si>
    <t>K30</t>
  </si>
  <si>
    <t>Galon (liquido, EUA) por segundo</t>
  </si>
  <si>
    <t>gal (US liq.)/s</t>
  </si>
  <si>
    <t>K31</t>
  </si>
  <si>
    <t>Gramo-fuerza por centimetro cuadrado</t>
  </si>
  <si>
    <t>gf/cmÂ²</t>
  </si>
  <si>
    <t>K32</t>
  </si>
  <si>
    <t>Gill (UK) por dia</t>
  </si>
  <si>
    <t>Gill es una unidad de volumen inglesa en el sistema imperial y en los Estados Unidos. La version imperial usada en el UK es de 5 onzas liquidas, y es equivalente a 142,0653125 ml; mientras que en los EUA es de 4 onzas liquidas, y es equivalente a 118,29411825 ml.</t>
  </si>
  <si>
    <t>gi (UK)/d</t>
  </si>
  <si>
    <t>K33</t>
  </si>
  <si>
    <t>Gill (UK) por hora</t>
  </si>
  <si>
    <t>gi (UK)/h</t>
  </si>
  <si>
    <t>K34</t>
  </si>
  <si>
    <t>Gill (UK) por minuto</t>
  </si>
  <si>
    <t>gi (UK)/min</t>
  </si>
  <si>
    <t>K35</t>
  </si>
  <si>
    <t>Gill (UK) por segundo</t>
  </si>
  <si>
    <t>gi (UK)/s</t>
  </si>
  <si>
    <t>K36</t>
  </si>
  <si>
    <t>Gill (estados unidos) por dia</t>
  </si>
  <si>
    <t>gi (US)/d</t>
  </si>
  <si>
    <t>K37</t>
  </si>
  <si>
    <t>Gill (estados unidos) por hora</t>
  </si>
  <si>
    <t>gi (US)/h</t>
  </si>
  <si>
    <t>K38</t>
  </si>
  <si>
    <t>Gill (estados unidos) por minuto</t>
  </si>
  <si>
    <t>gi (US)/min</t>
  </si>
  <si>
    <t>K39</t>
  </si>
  <si>
    <t>Gill (estados unidos) por segundo</t>
  </si>
  <si>
    <t>gi (US)/s</t>
  </si>
  <si>
    <t>K40</t>
  </si>
  <si>
    <t>Aceleracion estandar de la caida libre</t>
  </si>
  <si>
    <t>Es la aceleracion nominal de la gravedad de un objeto en un vacio cerca de la superficie de la Tierra.</t>
  </si>
  <si>
    <t>gn</t>
  </si>
  <si>
    <t>K41</t>
  </si>
  <si>
    <t>Grano por galon (EUA)</t>
  </si>
  <si>
    <t>gr/gal (US)</t>
  </si>
  <si>
    <t>K42</t>
  </si>
  <si>
    <t xml:space="preserve">Caballo de fuerza de caldera </t>
  </si>
  <si>
    <t>Es la cantidad de energia requerida para producir 34,5 libras (15,65 kg) de vapor por hora a presion y temperatura 0 psig (0 bar) y 212 o F (100 o C) - con agua de alimentacion a presion 0 psig y la temperatura 212 o F.</t>
  </si>
  <si>
    <t>boiler hp</t>
  </si>
  <si>
    <t>K43</t>
  </si>
  <si>
    <t>Caballo de fuerza (electrico)</t>
  </si>
  <si>
    <t>Es una unidad de medida de potencia (la velocidad a la que el trabajo se realiza).</t>
  </si>
  <si>
    <t>electric hp</t>
  </si>
  <si>
    <t>K45</t>
  </si>
  <si>
    <t>Pulgada por grado fahrenheit</t>
  </si>
  <si>
    <t>in/Â°F</t>
  </si>
  <si>
    <t>K46</t>
  </si>
  <si>
    <t>Pulgada por psi (libra por pulgada cuadrada)</t>
  </si>
  <si>
    <t>in/psi</t>
  </si>
  <si>
    <t>K47</t>
  </si>
  <si>
    <t>Pulgada por segundo grado fahrenheit</t>
  </si>
  <si>
    <t>(in/s)/Â°F</t>
  </si>
  <si>
    <t>K48</t>
  </si>
  <si>
    <t>Pulgada por segundo psi (libra por pulgada cuadrada)</t>
  </si>
  <si>
    <t>(in/s)/psi</t>
  </si>
  <si>
    <t>K49</t>
  </si>
  <si>
    <t>Reciprocidad de la pulgada cuadrada</t>
  </si>
  <si>
    <t>1/inÂ³</t>
  </si>
  <si>
    <t>K5</t>
  </si>
  <si>
    <t>Kilovoltios amperios (reactivos)</t>
  </si>
  <si>
    <t>Utilice kilovar (codigo comÃºn KVR)</t>
  </si>
  <si>
    <t>Kvar</t>
  </si>
  <si>
    <t>K50</t>
  </si>
  <si>
    <t>Kilobaud</t>
  </si>
  <si>
    <t>Unidad de velocidad de transmision de senal igual a 10Â³ (1000) eventos de senalizacion por segundo.</t>
  </si>
  <si>
    <t>kBd</t>
  </si>
  <si>
    <t>K51</t>
  </si>
  <si>
    <t>Kilocaloria (significado)</t>
  </si>
  <si>
    <t>kcal</t>
  </si>
  <si>
    <t>K52</t>
  </si>
  <si>
    <t>Kilocaloria (tabla internacional) por hora metro grado celsius</t>
  </si>
  <si>
    <t>kcal/(mÂ·hÂ·Â°C)</t>
  </si>
  <si>
    <t>K53</t>
  </si>
  <si>
    <t>Kilocaloria (termoquimico)</t>
  </si>
  <si>
    <t>kcalth</t>
  </si>
  <si>
    <t>K54</t>
  </si>
  <si>
    <t>Kilocaloria (termoquimica) por minuto</t>
  </si>
  <si>
    <t>kcalth/min</t>
  </si>
  <si>
    <t>K55</t>
  </si>
  <si>
    <t>Kilocaloria (termoquimica) por segundo</t>
  </si>
  <si>
    <t>kcalth/s</t>
  </si>
  <si>
    <t>K58</t>
  </si>
  <si>
    <t>KiloMol por hora</t>
  </si>
  <si>
    <t>kmol/h</t>
  </si>
  <si>
    <t>K59</t>
  </si>
  <si>
    <t>KiloMol por metro cÃºbico kelvin</t>
  </si>
  <si>
    <t>(kmol/mÂ³)/K</t>
  </si>
  <si>
    <t>K6</t>
  </si>
  <si>
    <t>Kilolitro</t>
  </si>
  <si>
    <t>kl</t>
  </si>
  <si>
    <t>K60</t>
  </si>
  <si>
    <t>KiloMol por metro cÃºbico bar</t>
  </si>
  <si>
    <t>(kmol/mÂ³)/bar</t>
  </si>
  <si>
    <t>K61</t>
  </si>
  <si>
    <t>KiloMol por minuto</t>
  </si>
  <si>
    <t>kmol/min</t>
  </si>
  <si>
    <t>K62</t>
  </si>
  <si>
    <t>Litro por litro</t>
  </si>
  <si>
    <t>l/l</t>
  </si>
  <si>
    <t>K63</t>
  </si>
  <si>
    <t>Reciprocidad del litro</t>
  </si>
  <si>
    <t>1/l</t>
  </si>
  <si>
    <t>K64</t>
  </si>
  <si>
    <t>Libra (avoirdupois) por grado fahrenheit</t>
  </si>
  <si>
    <t>lb/Â°F</t>
  </si>
  <si>
    <t>K65</t>
  </si>
  <si>
    <t>Libra (avoirdupois) pie cuadrado</t>
  </si>
  <si>
    <t>lbÂ·ftÂ²</t>
  </si>
  <si>
    <t>K66</t>
  </si>
  <si>
    <t>Libra (avoirdupois) por dia</t>
  </si>
  <si>
    <t>lb/d</t>
  </si>
  <si>
    <t>K67</t>
  </si>
  <si>
    <t>Libra por pie hora</t>
  </si>
  <si>
    <t>lb/(ftÂ·h)</t>
  </si>
  <si>
    <t>K68</t>
  </si>
  <si>
    <t>Libra por pie segundo</t>
  </si>
  <si>
    <t>lb/(ftÂ·s)</t>
  </si>
  <si>
    <t>K69</t>
  </si>
  <si>
    <t>Libra (avoirdupois) por pie cÃºbico grado fahrenheit</t>
  </si>
  <si>
    <t>(lb/ftÂ³)/Â°F</t>
  </si>
  <si>
    <t>K70</t>
  </si>
  <si>
    <t>Libra (avoirdupois) por pie cÃºbico psi</t>
  </si>
  <si>
    <t>(lb/ftÂ³)/psi</t>
  </si>
  <si>
    <t>K71</t>
  </si>
  <si>
    <t>Libra (avoirdupois) por galon (UK)</t>
  </si>
  <si>
    <t>lb/gal (UK)</t>
  </si>
  <si>
    <t>K73</t>
  </si>
  <si>
    <t>Libra (avoirdupois) por hora grados fahrenheit</t>
  </si>
  <si>
    <t>(lb/h)/Â°F</t>
  </si>
  <si>
    <t>K74</t>
  </si>
  <si>
    <t>Libra (avoirdupois) por hora libra-fuerza por pulgada cuadrada</t>
  </si>
  <si>
    <t>(lb/h)/psi</t>
  </si>
  <si>
    <t>K75</t>
  </si>
  <si>
    <t>Libra (avoirdupois) por pulgada cÃºbica grado fahrenheit</t>
  </si>
  <si>
    <t>(lb/inÂ³)/Â°F</t>
  </si>
  <si>
    <t>K76</t>
  </si>
  <si>
    <t>Libra (avoirdupois) por pulgada cÃºbica psi</t>
  </si>
  <si>
    <t>(lb/inÂ³)/psi</t>
  </si>
  <si>
    <t>K77</t>
  </si>
  <si>
    <t>Libra (avoirdupois) por psi</t>
  </si>
  <si>
    <t>lb/psi</t>
  </si>
  <si>
    <t>K78</t>
  </si>
  <si>
    <t>Libra (avoirdupois) por minuto</t>
  </si>
  <si>
    <t>lb/min</t>
  </si>
  <si>
    <t>K79</t>
  </si>
  <si>
    <t>Libra (avoirdupois) por minuto grados fahrenheit</t>
  </si>
  <si>
    <t>lb/(minÂ·Â°F)</t>
  </si>
  <si>
    <t>K80</t>
  </si>
  <si>
    <t>Libra (avoirdupois) por minuto libra-fuerza por pulgada cuadrada</t>
  </si>
  <si>
    <t>(lb/min)/psi</t>
  </si>
  <si>
    <t>K81</t>
  </si>
  <si>
    <t>Libra (avoirdupois) por segundo</t>
  </si>
  <si>
    <t>lb/s</t>
  </si>
  <si>
    <t>K82</t>
  </si>
  <si>
    <t>Libra (avoirdupois)por segundo grados fahrenheit</t>
  </si>
  <si>
    <t>(lb/s)/Â°F</t>
  </si>
  <si>
    <t>K83</t>
  </si>
  <si>
    <t>Libra (avoirdupois) por segundo libra-fuerza por pulgada cuadrada</t>
  </si>
  <si>
    <t>(lb/s)/psi</t>
  </si>
  <si>
    <t>K84</t>
  </si>
  <si>
    <t xml:space="preserve">Libra por yarda cÃºbica </t>
  </si>
  <si>
    <t>lb/ydÂ³</t>
  </si>
  <si>
    <t>K85</t>
  </si>
  <si>
    <t>Libra-fuerza por pie cuadrado</t>
  </si>
  <si>
    <t>lbf/ftÂ²</t>
  </si>
  <si>
    <t>K86</t>
  </si>
  <si>
    <t>Libra-fuerza por pulgada cuadrada grados fahrenheit</t>
  </si>
  <si>
    <t>psi/Â°F</t>
  </si>
  <si>
    <t>K87</t>
  </si>
  <si>
    <t>Libra-fuerza por pulgada cuadrada pulgada cÃºbica por segundo</t>
  </si>
  <si>
    <t>psiÂ·inÂ³/s</t>
  </si>
  <si>
    <t>K88</t>
  </si>
  <si>
    <t>Libra-fuerza por pulgada cuadrada litro por segundo</t>
  </si>
  <si>
    <t>psiÂ·l/s</t>
  </si>
  <si>
    <t>K89</t>
  </si>
  <si>
    <t>Libra-fuerza por pulgada cuadrada metro cÃºbico por segundo</t>
  </si>
  <si>
    <t>psiÂ·mÂ³/s</t>
  </si>
  <si>
    <t>K90</t>
  </si>
  <si>
    <t>Libra-fuerza por pulgada cuadrada yarda cÃºbica por segundo</t>
  </si>
  <si>
    <t>psiÂ·ydÂ³/s</t>
  </si>
  <si>
    <t>K91</t>
  </si>
  <si>
    <t>Libra-fuerza segundo por pie cuadrado</t>
  </si>
  <si>
    <t>lbfÂ·s/ftÂ²</t>
  </si>
  <si>
    <t>K92</t>
  </si>
  <si>
    <t>Libra-fuerza segundo por pulgada cuadrada</t>
  </si>
  <si>
    <t>lbfÂ·s/inÂ²</t>
  </si>
  <si>
    <t>K93</t>
  </si>
  <si>
    <t>Reciprocidad psi</t>
  </si>
  <si>
    <t>1/psi</t>
  </si>
  <si>
    <t>K94</t>
  </si>
  <si>
    <t>Cuarto (liquido, UK) por dia</t>
  </si>
  <si>
    <t>qt (UK liq.)/d</t>
  </si>
  <si>
    <t>K95</t>
  </si>
  <si>
    <t>Cuarto (liquido, UK) por hora</t>
  </si>
  <si>
    <t>qt (UK liq.)/h</t>
  </si>
  <si>
    <t>K96</t>
  </si>
  <si>
    <t>Cuarto (liquido, UK) por minuto</t>
  </si>
  <si>
    <t>qt (UK liq.)/min</t>
  </si>
  <si>
    <t>K97</t>
  </si>
  <si>
    <t>Cuarto (liquido, UK) por segundo</t>
  </si>
  <si>
    <t>qt (UK liq.)/s</t>
  </si>
  <si>
    <t>K98</t>
  </si>
  <si>
    <t>Cuarto (liquido, estados unidos) por dia</t>
  </si>
  <si>
    <t>qt (US liq.)/d</t>
  </si>
  <si>
    <t>K99</t>
  </si>
  <si>
    <t>Cuarto (liquido, estados unidos) por hora</t>
  </si>
  <si>
    <t>qt (US liq.)/h</t>
  </si>
  <si>
    <t>KA</t>
  </si>
  <si>
    <t>Pastel</t>
  </si>
  <si>
    <t>Unidad de conteo que define el nÃºmero de pasteles (torta: objeto en forma de una masa plana y compacta).</t>
  </si>
  <si>
    <t>KAT</t>
  </si>
  <si>
    <t>Katal</t>
  </si>
  <si>
    <t xml:space="preserve"> Una unidad de actividad catalitica que define la actividad catalitica de las enzimas y otros catalizadores.</t>
  </si>
  <si>
    <t>kat</t>
  </si>
  <si>
    <t>KB</t>
  </si>
  <si>
    <t>Kilocaracter</t>
  </si>
  <si>
    <t>Unidad de informacion igual a 10Â³ (1000) caracteres.</t>
  </si>
  <si>
    <t>KBA</t>
  </si>
  <si>
    <t>Kilobar</t>
  </si>
  <si>
    <t>kbar</t>
  </si>
  <si>
    <t>KCC</t>
  </si>
  <si>
    <t>Kilogramo de cloruro de colina</t>
  </si>
  <si>
    <t>Unidad de masa igual a mil gramos de cloruro de colina.</t>
  </si>
  <si>
    <t>kg C? H??ClNO</t>
  </si>
  <si>
    <t>KD</t>
  </si>
  <si>
    <t>Kilogram decimal</t>
  </si>
  <si>
    <t>KDW</t>
  </si>
  <si>
    <t>Kilogramo de peso neto drenado</t>
  </si>
  <si>
    <t>Unidad de masa que define el nÃºmero neto de kilogramos de un producto, sin tener en cuenta el contenido liquido del producto.</t>
  </si>
  <si>
    <t>kg/net eda</t>
  </si>
  <si>
    <t>KEL</t>
  </si>
  <si>
    <t>Kelvin</t>
  </si>
  <si>
    <t xml:space="preserve">Unidad de temperatura termodinamica, es la fraccion 1/273,16 de la temperatura termodinamica del punto triple del agua. </t>
  </si>
  <si>
    <t>K</t>
  </si>
  <si>
    <t>KF</t>
  </si>
  <si>
    <t>Kilopacket</t>
  </si>
  <si>
    <t>KGM</t>
  </si>
  <si>
    <t>Kilogramo</t>
  </si>
  <si>
    <t>Una unidad de masa igual a mil gramos.</t>
  </si>
  <si>
    <t>kg</t>
  </si>
  <si>
    <t>KGS</t>
  </si>
  <si>
    <t>Kilogramo por segundo</t>
  </si>
  <si>
    <t>kg/s</t>
  </si>
  <si>
    <t>KHY</t>
  </si>
  <si>
    <t>Kilogramo de peroxido de hidrogeno</t>
  </si>
  <si>
    <t>Unidad de masa igual a mil gramos de peroxido de hidrogeno.</t>
  </si>
  <si>
    <t>kg H?O?</t>
  </si>
  <si>
    <t>KHZ</t>
  </si>
  <si>
    <t>Kilohertz</t>
  </si>
  <si>
    <t>Medida de frecuencia que es igual a 1000 hertz.</t>
  </si>
  <si>
    <t>kHz</t>
  </si>
  <si>
    <t>KI</t>
  </si>
  <si>
    <t>Kilogramo por milimetro de ancho</t>
  </si>
  <si>
    <t>KIC</t>
  </si>
  <si>
    <t>Kilogramo, incluyendo el contenedor</t>
  </si>
  <si>
    <t>Unidad de masa que define el nÃºmero de kilogramos de un producto, incluido su contenedor.</t>
  </si>
  <si>
    <t>KIP</t>
  </si>
  <si>
    <t>Kilogramo, incluyendo el empaquetado interno</t>
  </si>
  <si>
    <t>Unidad de masa que define el nÃºmero de kilogramos de un producto, incluyendo sus materiales de embalaje internos.</t>
  </si>
  <si>
    <t>KJ</t>
  </si>
  <si>
    <t>Kilosegmento</t>
  </si>
  <si>
    <t>Unidad de informacion igual a 10Â³ (1000) segmentos.</t>
  </si>
  <si>
    <t>KJO</t>
  </si>
  <si>
    <t>Kilojoule</t>
  </si>
  <si>
    <t>kJ</t>
  </si>
  <si>
    <t>KL</t>
  </si>
  <si>
    <t>Kilogramo por metro</t>
  </si>
  <si>
    <t>kg/m</t>
  </si>
  <si>
    <t>KLK</t>
  </si>
  <si>
    <t>Porcentaje de material seco lactico</t>
  </si>
  <si>
    <t>Unidad de proporcion que define el porcentaje de material lactico seco en un producto.</t>
  </si>
  <si>
    <t>KLX</t>
  </si>
  <si>
    <t>Kilolux</t>
  </si>
  <si>
    <t>Una unidad de iluminancia igual a mil lux.</t>
  </si>
  <si>
    <t>klx</t>
  </si>
  <si>
    <t>KMA</t>
  </si>
  <si>
    <t>Kilogramo de metilamina</t>
  </si>
  <si>
    <t>Unidad de masa igual a mil gramos de metilamina.</t>
  </si>
  <si>
    <t>kg met.am.</t>
  </si>
  <si>
    <t>KMH</t>
  </si>
  <si>
    <t>Kilometro por hora</t>
  </si>
  <si>
    <t>km/h</t>
  </si>
  <si>
    <t>KMK</t>
  </si>
  <si>
    <t>Kilometro cuadrado</t>
  </si>
  <si>
    <t>Es la unidad de superficie de area que se corresponde con un cuadrado de un kilometro de lado.</t>
  </si>
  <si>
    <t>kmÂ²</t>
  </si>
  <si>
    <t>KMQ</t>
  </si>
  <si>
    <t>Kilogramo por metro cÃºbico</t>
  </si>
  <si>
    <t>Unidad de peso expresada en kilogramos de una sustancia que llena un volumen de un metro cÃºbico.</t>
  </si>
  <si>
    <t>kg/mÂ³</t>
  </si>
  <si>
    <t>KMT</t>
  </si>
  <si>
    <t>Kilometro</t>
  </si>
  <si>
    <t>Es una unidad de longitud. Es el tercer mÃºltiplo del metro, equivalente a 1000 metros. Su simbolo es km y no acepta plural ni lleva punto final Â—excepto cuando se encuentra como Ãºltimo elemento de una frase u oracionÂ— por no tratarse de una abreviatura.</t>
  </si>
  <si>
    <t>km</t>
  </si>
  <si>
    <t>KNI</t>
  </si>
  <si>
    <t>Kilogramo de nitrogeno</t>
  </si>
  <si>
    <t>Unidad de masa igual a mil gramos de nitrogeno.</t>
  </si>
  <si>
    <t>kg N</t>
  </si>
  <si>
    <t>KNM</t>
  </si>
  <si>
    <t>Kolonewton por metro cuadrado</t>
  </si>
  <si>
    <t>KN/m2</t>
  </si>
  <si>
    <t>KNS</t>
  </si>
  <si>
    <t>Kilogramo sustancia nombrada</t>
  </si>
  <si>
    <t>Unidad de masa igual a un kilogramo de una sustancia llamada.</t>
  </si>
  <si>
    <t>KNT</t>
  </si>
  <si>
    <t>Nudo</t>
  </si>
  <si>
    <t>El nudo es una medida de velocidad utilizada tanto para navegacion maritima como aerea, equivalente a 1852 m/hora. Tambien se utiliza en meteorologia para medir la velocidad de los vientos.</t>
  </si>
  <si>
    <t>kn</t>
  </si>
  <si>
    <t>KO</t>
  </si>
  <si>
    <t>Miliequivalentes de potasa caustica por gramo de producto</t>
  </si>
  <si>
    <t>Unidad de conteo que define el nÃºmero de miligramos de hidroxido de potasio por gramo de producto como una medida de la concentracion de hidroxido de potasio en el producto.</t>
  </si>
  <si>
    <t>KPA</t>
  </si>
  <si>
    <t>Kilopascal</t>
  </si>
  <si>
    <t>kPa</t>
  </si>
  <si>
    <t>KPH</t>
  </si>
  <si>
    <t>Kilogramo de hidroxido de potasio (potasa caustica)</t>
  </si>
  <si>
    <t>Unidad de masa igual a mil gramos de hidroxido de potasio (potasa caustica).</t>
  </si>
  <si>
    <t>kg KOH</t>
  </si>
  <si>
    <t>KPO</t>
  </si>
  <si>
    <t>Kilogramo de oxido de potasio</t>
  </si>
  <si>
    <t>Unidad de masa igual a mil gramos de oxido de potasio.</t>
  </si>
  <si>
    <t>kg K?O</t>
  </si>
  <si>
    <t>KPP</t>
  </si>
  <si>
    <t>Kilogramo de pentoxido de fosforo (anhidrido fosforico)</t>
  </si>
  <si>
    <t>Unidad de masa igual a mil gramos de anhidrido fosforico de pentoxido de fosforo.</t>
  </si>
  <si>
    <t>KR</t>
  </si>
  <si>
    <t>Kiloroentgen</t>
  </si>
  <si>
    <t>kR</t>
  </si>
  <si>
    <t>KS</t>
  </si>
  <si>
    <t>Mil libras por pulgada cuadrada</t>
  </si>
  <si>
    <t>KSD</t>
  </si>
  <si>
    <t>Kilogramo de sustancia 90% seco</t>
  </si>
  <si>
    <t>Unidad de masa igual a mil gramos de una sustancia llamada 90% seca.</t>
  </si>
  <si>
    <t>kg 90 % sdt</t>
  </si>
  <si>
    <t>KSH</t>
  </si>
  <si>
    <t>Kilogramo de hidroxido de sodio (sodio caustica)</t>
  </si>
  <si>
    <t>Unidad de masa igual a mil gramos de hidroxido sodico (sosa caustica).</t>
  </si>
  <si>
    <t>kg NaOH</t>
  </si>
  <si>
    <t>KT</t>
  </si>
  <si>
    <t>Kit</t>
  </si>
  <si>
    <t>Unidad de conteo que define el nÃºmero de kits (kit: banera, barril o cubo).</t>
  </si>
  <si>
    <t>KTN</t>
  </si>
  <si>
    <t>Kilotonelada Metrica</t>
  </si>
  <si>
    <t>kt</t>
  </si>
  <si>
    <t>KUR</t>
  </si>
  <si>
    <t>Kilogramo de uranio</t>
  </si>
  <si>
    <t>Unidad de masa igual a mil gramos de uranio.</t>
  </si>
  <si>
    <t>kg U</t>
  </si>
  <si>
    <t>KVA</t>
  </si>
  <si>
    <t>Kilovoltio - amperio</t>
  </si>
  <si>
    <t>kVÂ·A</t>
  </si>
  <si>
    <t>KVR</t>
  </si>
  <si>
    <t>Kilovar</t>
  </si>
  <si>
    <t>kvar</t>
  </si>
  <si>
    <t>KVT</t>
  </si>
  <si>
    <t>Kilovoltio</t>
  </si>
  <si>
    <t>kV</t>
  </si>
  <si>
    <t>KW</t>
  </si>
  <si>
    <t>Kilogramo por milimetro</t>
  </si>
  <si>
    <t>kg/mm</t>
  </si>
  <si>
    <t>KWH</t>
  </si>
  <si>
    <t>Kilowatt hora</t>
  </si>
  <si>
    <t>kWÂ·h</t>
  </si>
  <si>
    <t>KWN</t>
  </si>
  <si>
    <t>Kilowatt hora por metro cÃºbico normalizado</t>
  </si>
  <si>
    <t>Kilowatt hora por metro cÃºbico normalizado (temperatura 0 Â° C y presion 101325 milibares).</t>
  </si>
  <si>
    <t>Anadido. Nueva unidad anadida en esta version de la lista de codigos</t>
  </si>
  <si>
    <t>KWO</t>
  </si>
  <si>
    <t>Kilogramo de trioxido de tungsteno</t>
  </si>
  <si>
    <t>A unit of mass equal to one thousand grams of tungsten trioxide.</t>
  </si>
  <si>
    <t>kg WO?</t>
  </si>
  <si>
    <t>KWS</t>
  </si>
  <si>
    <t>Kilowatt hora por metro cÃºbico estandar</t>
  </si>
  <si>
    <t>Kilowatt hora por metro cÃºbico normalizado (temperatura 15 Â° C y presion 101325 milibares).</t>
  </si>
  <si>
    <t>KWT</t>
  </si>
  <si>
    <t>Kilowatt</t>
  </si>
  <si>
    <t>kW</t>
  </si>
  <si>
    <t>KX</t>
  </si>
  <si>
    <t>Mililitro por kilogramo</t>
  </si>
  <si>
    <t>ml/kg</t>
  </si>
  <si>
    <t>L10</t>
  </si>
  <si>
    <t>Cuarto (liquido, estados unidos) por minuto</t>
  </si>
  <si>
    <t>qt (US liq.)/min</t>
  </si>
  <si>
    <t>L11</t>
  </si>
  <si>
    <t>Cuarto (liquido, estados unidos) por segundo</t>
  </si>
  <si>
    <t>qt (US liq.)/s</t>
  </si>
  <si>
    <t>L12</t>
  </si>
  <si>
    <t>Metro por segundo kelvin</t>
  </si>
  <si>
    <t>(m/s)/K</t>
  </si>
  <si>
    <t>L13</t>
  </si>
  <si>
    <t>Metro por segundo bar</t>
  </si>
  <si>
    <t>(m/s)/bar</t>
  </si>
  <si>
    <t>L14</t>
  </si>
  <si>
    <t>Metro cuadrado hora grado celsius por kilocaloria (tabla internacional)</t>
  </si>
  <si>
    <t>mÂ²Â·hÂ·Â°C/kcal</t>
  </si>
  <si>
    <t>L15</t>
  </si>
  <si>
    <t>Milipascal segundo por kelvin</t>
  </si>
  <si>
    <t>mPaÂ·s/K</t>
  </si>
  <si>
    <t>L16</t>
  </si>
  <si>
    <t>Milipascal segundo por bar</t>
  </si>
  <si>
    <t>mPaÂ·s/bar</t>
  </si>
  <si>
    <t>L17</t>
  </si>
  <si>
    <t>Miligramo por metro cÃºbico kelvin</t>
  </si>
  <si>
    <t>(mg/mÂ³)/K</t>
  </si>
  <si>
    <t>L18</t>
  </si>
  <si>
    <t>Miligramo por metro cÃºbico bar</t>
  </si>
  <si>
    <t>(mg/mÂ³)/bar</t>
  </si>
  <si>
    <t>L19</t>
  </si>
  <si>
    <t>Mililitro por litro</t>
  </si>
  <si>
    <t>ml/l</t>
  </si>
  <si>
    <t>L2</t>
  </si>
  <si>
    <t>Litro por minuto</t>
  </si>
  <si>
    <t>l/min</t>
  </si>
  <si>
    <t>L20</t>
  </si>
  <si>
    <t>Reciprocidad del milimetro cÃºbico</t>
  </si>
  <si>
    <t>1/mmÂ³</t>
  </si>
  <si>
    <t>L21</t>
  </si>
  <si>
    <t>Milimetro cÃºbico por metro cÃºbico</t>
  </si>
  <si>
    <t>mmÂ³/mÂ³</t>
  </si>
  <si>
    <t>L23</t>
  </si>
  <si>
    <t xml:space="preserve">Mol por hora </t>
  </si>
  <si>
    <t>mol/h</t>
  </si>
  <si>
    <t>L24</t>
  </si>
  <si>
    <t>Mol por kilogramo kelvin</t>
  </si>
  <si>
    <t>(mol/kg)/K</t>
  </si>
  <si>
    <t>L25</t>
  </si>
  <si>
    <t>Mol por kilogramo bar</t>
  </si>
  <si>
    <t>(mol/kg)/bar</t>
  </si>
  <si>
    <t>L26</t>
  </si>
  <si>
    <t>Mol por litro kelvin</t>
  </si>
  <si>
    <t>(mol/l)/K</t>
  </si>
  <si>
    <t>L27</t>
  </si>
  <si>
    <t>Mol por litro bar</t>
  </si>
  <si>
    <t>(mol/l)/bar</t>
  </si>
  <si>
    <t>L28</t>
  </si>
  <si>
    <t>Mol por metro cÃºbico kelvin</t>
  </si>
  <si>
    <t>(mol/mÂ³)/K</t>
  </si>
  <si>
    <t>L29</t>
  </si>
  <si>
    <t>Mol por metro cÃºbico bar</t>
  </si>
  <si>
    <t>(mol/mÂ³)/bar</t>
  </si>
  <si>
    <t>L30</t>
  </si>
  <si>
    <t>Mol por minuto</t>
  </si>
  <si>
    <t>mol/min</t>
  </si>
  <si>
    <t>L31</t>
  </si>
  <si>
    <t>Milliroentgen aequivalent men</t>
  </si>
  <si>
    <t>mrem</t>
  </si>
  <si>
    <t>L32</t>
  </si>
  <si>
    <t>Nanogramo por kilogramo</t>
  </si>
  <si>
    <t>ng/kg</t>
  </si>
  <si>
    <t>L33</t>
  </si>
  <si>
    <t>Onza (avoirdupois) por dia</t>
  </si>
  <si>
    <t>oz/d</t>
  </si>
  <si>
    <t>L34</t>
  </si>
  <si>
    <t>Onza (avoirdupois) por hora</t>
  </si>
  <si>
    <t>oz/h</t>
  </si>
  <si>
    <t>L35</t>
  </si>
  <si>
    <t>Onza (avoirdupois) por minuto</t>
  </si>
  <si>
    <t>oz/min</t>
  </si>
  <si>
    <t>L36</t>
  </si>
  <si>
    <t>Onza (avoirdupois) por segundo</t>
  </si>
  <si>
    <t>oz/s</t>
  </si>
  <si>
    <t>L37</t>
  </si>
  <si>
    <t>Onza (avoirdupois) por galon (UK)</t>
  </si>
  <si>
    <t>oz/gal (UK)</t>
  </si>
  <si>
    <t>L38</t>
  </si>
  <si>
    <t>Onza (avoirdupois) por galon (EUA)</t>
  </si>
  <si>
    <t>oz/gal (US)</t>
  </si>
  <si>
    <t>L39</t>
  </si>
  <si>
    <t>Onza (avoirdupois) por pulgada cÃºbica</t>
  </si>
  <si>
    <t>oz/inÂ³</t>
  </si>
  <si>
    <t>L40</t>
  </si>
  <si>
    <t>Onza fuerza</t>
  </si>
  <si>
    <t>ozf</t>
  </si>
  <si>
    <t>L41</t>
  </si>
  <si>
    <t>Onza (avoirdupois) fuerza pulgada</t>
  </si>
  <si>
    <t>ozfÂ·in</t>
  </si>
  <si>
    <t>L42</t>
  </si>
  <si>
    <t>Picosiemens por metro</t>
  </si>
  <si>
    <t>pS/m</t>
  </si>
  <si>
    <t>L43</t>
  </si>
  <si>
    <t>Peck (UK)</t>
  </si>
  <si>
    <t>Un peck es una unidad tradicional de medida de volÃºmenes. Aunque puede ser utilizado para medir seco y liquido, se utiliza generalmente para las materias secas. Es igual a 1/4 bushel, 2 galones, o 8 cuartos de galon.</t>
  </si>
  <si>
    <t>pk (UK)</t>
  </si>
  <si>
    <t>L44</t>
  </si>
  <si>
    <t>Peck (UK) por dia</t>
  </si>
  <si>
    <t>pk (UK)/d</t>
  </si>
  <si>
    <t>L45</t>
  </si>
  <si>
    <t>Peck (UK) por hora</t>
  </si>
  <si>
    <t>pk (UK)/h</t>
  </si>
  <si>
    <t>L46</t>
  </si>
  <si>
    <t>Peck (UK) por minuto</t>
  </si>
  <si>
    <t>pk (UK)/min</t>
  </si>
  <si>
    <t>L47</t>
  </si>
  <si>
    <t>Peck (UK) por segundo</t>
  </si>
  <si>
    <t>pk (UK)/s</t>
  </si>
  <si>
    <t>L48</t>
  </si>
  <si>
    <t>Peck (seco, estados unidos) por dia</t>
  </si>
  <si>
    <t>pk (US dry)/d</t>
  </si>
  <si>
    <t>L49</t>
  </si>
  <si>
    <t>Peck (seco, estados unidos) por hora</t>
  </si>
  <si>
    <t>pk (US dry)/h</t>
  </si>
  <si>
    <t>L50</t>
  </si>
  <si>
    <t>Peck (seco, estados unidos) por minuto</t>
  </si>
  <si>
    <t>pk (US dry)/min</t>
  </si>
  <si>
    <t>L51</t>
  </si>
  <si>
    <t>Peck (seco, estados unidos) por segundo</t>
  </si>
  <si>
    <t>pk (US dry)/s</t>
  </si>
  <si>
    <t>L52</t>
  </si>
  <si>
    <t>Libra.fuerza por pulgada cuadrada por libra fuerza por pulgada cuadrada</t>
  </si>
  <si>
    <t>psi/psi</t>
  </si>
  <si>
    <t>L53</t>
  </si>
  <si>
    <t>Pinta (UK) por dia</t>
  </si>
  <si>
    <t>pt (UK)/d</t>
  </si>
  <si>
    <t>L54</t>
  </si>
  <si>
    <t>Pinta (UK) por hora</t>
  </si>
  <si>
    <t>pt (UK)/h</t>
  </si>
  <si>
    <t>L55</t>
  </si>
  <si>
    <t>Pinta (UK) por minuto</t>
  </si>
  <si>
    <t>pt (UK)/min</t>
  </si>
  <si>
    <t>L56</t>
  </si>
  <si>
    <t>Pinta (UK) por segundo</t>
  </si>
  <si>
    <t>pt (UK)/s</t>
  </si>
  <si>
    <t>L57</t>
  </si>
  <si>
    <t>Pinta (liquido, estados unidos) por dia</t>
  </si>
  <si>
    <t>pt (US liq.)/d</t>
  </si>
  <si>
    <t>L58</t>
  </si>
  <si>
    <t>Pinta (liquido, estados unidos) por hora</t>
  </si>
  <si>
    <t>pt (US liq.)/h</t>
  </si>
  <si>
    <t>L59</t>
  </si>
  <si>
    <t>Pinta (liquido, estados unidos) por minuto</t>
  </si>
  <si>
    <t>pt (US liq.)/min</t>
  </si>
  <si>
    <t>L60</t>
  </si>
  <si>
    <t>Pinta (liquido, estados unidos) por segundo</t>
  </si>
  <si>
    <t>pt (US liq.)/s</t>
  </si>
  <si>
    <t>L61</t>
  </si>
  <si>
    <t>Pinta (US seco)</t>
  </si>
  <si>
    <t>Utilice pinta seca (codigo comÃºn PTD)</t>
  </si>
  <si>
    <t>Pt (US seco)</t>
  </si>
  <si>
    <t>L62</t>
  </si>
  <si>
    <t>Cuarto de galon (seco de los EUA)</t>
  </si>
  <si>
    <t>Utilice cuarto seco (EUA) (codigo comÃºn QTD)</t>
  </si>
  <si>
    <t>Qt (US seco)</t>
  </si>
  <si>
    <t>L63</t>
  </si>
  <si>
    <t>Slug por dia</t>
  </si>
  <si>
    <t>slug/d</t>
  </si>
  <si>
    <t>L64</t>
  </si>
  <si>
    <t>Slug por pie segundo</t>
  </si>
  <si>
    <t>slug/(ftÂ·s)</t>
  </si>
  <si>
    <t>L65</t>
  </si>
  <si>
    <t>Slug por pie cÃºbico</t>
  </si>
  <si>
    <t>slug/ftÂ³</t>
  </si>
  <si>
    <t>L66</t>
  </si>
  <si>
    <t>Slug por hora</t>
  </si>
  <si>
    <t>slug/h</t>
  </si>
  <si>
    <t>L67</t>
  </si>
  <si>
    <t>Slug por minuto</t>
  </si>
  <si>
    <t>slug/min</t>
  </si>
  <si>
    <t>L68</t>
  </si>
  <si>
    <t>Slug por segundo</t>
  </si>
  <si>
    <t>slug/s</t>
  </si>
  <si>
    <t>L69</t>
  </si>
  <si>
    <t>Tonelada por kelvin</t>
  </si>
  <si>
    <t>t/K</t>
  </si>
  <si>
    <t>L70</t>
  </si>
  <si>
    <t>Tonelada por bar</t>
  </si>
  <si>
    <t>t/bar</t>
  </si>
  <si>
    <t>L71</t>
  </si>
  <si>
    <t>Tonelada por dia</t>
  </si>
  <si>
    <t>t/d</t>
  </si>
  <si>
    <t>L72</t>
  </si>
  <si>
    <t>Tonelada por dia kelvin</t>
  </si>
  <si>
    <t>(t/d)/K</t>
  </si>
  <si>
    <t>L73</t>
  </si>
  <si>
    <t>Tonelada por dia bar</t>
  </si>
  <si>
    <t>(t/d)/bar</t>
  </si>
  <si>
    <t>L74</t>
  </si>
  <si>
    <t>Tonelada por hora kelvin</t>
  </si>
  <si>
    <t>(t/h)/K</t>
  </si>
  <si>
    <t>L75</t>
  </si>
  <si>
    <t>Tonelada por hora bar</t>
  </si>
  <si>
    <t>(t/h)/bar</t>
  </si>
  <si>
    <t>L76</t>
  </si>
  <si>
    <t>Tonelada por metro cÃºbico kelvin</t>
  </si>
  <si>
    <t>(t/mÂ³)/K</t>
  </si>
  <si>
    <t>L77</t>
  </si>
  <si>
    <t>Tonelada por metro cÃºbico bar</t>
  </si>
  <si>
    <t>(t/mÂ³)/bar</t>
  </si>
  <si>
    <t>L78</t>
  </si>
  <si>
    <t>Tonelada por minuto</t>
  </si>
  <si>
    <t>t/min</t>
  </si>
  <si>
    <t>L79</t>
  </si>
  <si>
    <t>Tonelada por minuto kelvin</t>
  </si>
  <si>
    <t>(t/min)/K</t>
  </si>
  <si>
    <t>L80</t>
  </si>
  <si>
    <t>Tonelada por minuto bar</t>
  </si>
  <si>
    <t>(t/min)/bar</t>
  </si>
  <si>
    <t>L81</t>
  </si>
  <si>
    <t>Tonelada por segundo</t>
  </si>
  <si>
    <t>t/s</t>
  </si>
  <si>
    <t>L82</t>
  </si>
  <si>
    <t>Tonelada por segundo kelvin</t>
  </si>
  <si>
    <t>(t/s)/K</t>
  </si>
  <si>
    <t>L83</t>
  </si>
  <si>
    <t>Tonelada por segundo bar</t>
  </si>
  <si>
    <t>(t/s)/bar</t>
  </si>
  <si>
    <t>L84</t>
  </si>
  <si>
    <t>Tonelada (flota UK)</t>
  </si>
  <si>
    <t>British shipping ton</t>
  </si>
  <si>
    <t>L85</t>
  </si>
  <si>
    <t>Tonelada larga por dia</t>
  </si>
  <si>
    <t>ton (UK)/d</t>
  </si>
  <si>
    <t>L86</t>
  </si>
  <si>
    <t>Tonelada (flota estados unidos)</t>
  </si>
  <si>
    <t>(US) shipping ton</t>
  </si>
  <si>
    <t>L87</t>
  </si>
  <si>
    <t>Tonelada corta por grado fahrenheit</t>
  </si>
  <si>
    <t>ton (US)/Â°F</t>
  </si>
  <si>
    <t>L88</t>
  </si>
  <si>
    <t>Tonelada corta por dia</t>
  </si>
  <si>
    <t>ton (US)/d</t>
  </si>
  <si>
    <t>L89</t>
  </si>
  <si>
    <t>Tonelada corta por hora grados fahrenheit</t>
  </si>
  <si>
    <t>ton (US)/(hÂ·Â°F)</t>
  </si>
  <si>
    <t>L90</t>
  </si>
  <si>
    <t>Tonelada corta por hora libra-fuerza por pulgada cuadrada</t>
  </si>
  <si>
    <t>(ton (US)/h)/psi</t>
  </si>
  <si>
    <t>L91</t>
  </si>
  <si>
    <t>Tonelada corta por psi</t>
  </si>
  <si>
    <t>ton (US)/psi</t>
  </si>
  <si>
    <t>L92</t>
  </si>
  <si>
    <t>Tonelada larga (UK) por yarda cÃºbica</t>
  </si>
  <si>
    <t>ton.l/ydÂ³ (UK)</t>
  </si>
  <si>
    <t>L93</t>
  </si>
  <si>
    <t>Tonelada corta (estados unidos) por yarda cÃºbica</t>
  </si>
  <si>
    <t>ton.s/ydÂ³ (US)</t>
  </si>
  <si>
    <t>L94</t>
  </si>
  <si>
    <t>Tonelada fuerza</t>
  </si>
  <si>
    <t>ton.sh-force</t>
  </si>
  <si>
    <t>L95</t>
  </si>
  <si>
    <t>Ano comÃºn</t>
  </si>
  <si>
    <t>Es un ano civil de 365 dias, uno menos que el ano bisiesto, por lo que tiene exactamente 52 semanas y un dia. El reparto de los anos civiles entre anos comunes y anos bisiestos se hace de acuerdo con el calendario gregoriano: en cada periodo de 400 anos hay 303 comunes y 97 bisiestos.</t>
  </si>
  <si>
    <t>y (365 days)</t>
  </si>
  <si>
    <t>L96</t>
  </si>
  <si>
    <t>Ano sideral</t>
  </si>
  <si>
    <t>Es el tiempo que trascurre entre dos pasos consecutivos de la Tierra por un mismo punto de su orbita, tomando como referencia a las estrellas.</t>
  </si>
  <si>
    <t>y (sidereal)</t>
  </si>
  <si>
    <t>L98</t>
  </si>
  <si>
    <t>Yarda por grado fahrenheit</t>
  </si>
  <si>
    <t>yd/Â°F</t>
  </si>
  <si>
    <t>L99</t>
  </si>
  <si>
    <t>Yarda por psi (libra por pulgada cuadrada)</t>
  </si>
  <si>
    <t>yd/psi</t>
  </si>
  <si>
    <t>LA</t>
  </si>
  <si>
    <t xml:space="preserve">Libra por pulgada cÃºbica </t>
  </si>
  <si>
    <t>lb/inÂ³</t>
  </si>
  <si>
    <t>LAC</t>
  </si>
  <si>
    <t>Porcentaje de exceso de lactosa</t>
  </si>
  <si>
    <t>Unidad de proporcion que define el porcentaje de lactosa en un producto que excede un nivel de porcentaje definido.</t>
  </si>
  <si>
    <t>LBR</t>
  </si>
  <si>
    <t>Libra</t>
  </si>
  <si>
    <t>Unidad monetaria de Irlanda (hasta su sustitucion por el euro), Reino Unido, Chipre, Egipto, Libano, Malta, Siria y otros paises.</t>
  </si>
  <si>
    <t>lb</t>
  </si>
  <si>
    <t>LBT</t>
  </si>
  <si>
    <t>Troy pound</t>
  </si>
  <si>
    <t>LC</t>
  </si>
  <si>
    <t>Centimetro lineal</t>
  </si>
  <si>
    <t>LD</t>
  </si>
  <si>
    <t>Litro por dia</t>
  </si>
  <si>
    <t>l/d</t>
  </si>
  <si>
    <t>LE</t>
  </si>
  <si>
    <t>Lite</t>
  </si>
  <si>
    <t>LEF</t>
  </si>
  <si>
    <t>Hoja</t>
  </si>
  <si>
    <t>Unidad de conteo que define el nÃºmero de hojas.</t>
  </si>
  <si>
    <t>LF</t>
  </si>
  <si>
    <t>Pie lineal</t>
  </si>
  <si>
    <t>Unidad de conteo que define el nÃºmero de pies (12 pulgadas) de longitud de un objeto de ancho uniforme.</t>
  </si>
  <si>
    <t>LH</t>
  </si>
  <si>
    <t>Hora de trabajo</t>
  </si>
  <si>
    <t>Unidad de tiempo que define el nÃºmero de horas de trabajo.</t>
  </si>
  <si>
    <t>LI</t>
  </si>
  <si>
    <t>Pulgada lineal</t>
  </si>
  <si>
    <t>LJ</t>
  </si>
  <si>
    <t>Spray grande</t>
  </si>
  <si>
    <t>LK</t>
  </si>
  <si>
    <t>Enlazar</t>
  </si>
  <si>
    <t>Unidad de distancia igual a 0.01 cadena.</t>
  </si>
  <si>
    <t>LM</t>
  </si>
  <si>
    <t>Metro lineal</t>
  </si>
  <si>
    <t>Unidad de conteo que define el nÃºmero de metros de longitud de un objeto de ancho uniforme.</t>
  </si>
  <si>
    <t>LN</t>
  </si>
  <si>
    <t>Longitud</t>
  </si>
  <si>
    <t>Unidad de distancia que define la extension lineal de un elemento medido de extremo a extremo.</t>
  </si>
  <si>
    <t>LO</t>
  </si>
  <si>
    <t>Lote [unidad de adquisicion]</t>
  </si>
  <si>
    <t>Unidad de conteo que define el nÃºmero de lotes (lote: una coleccion de articulos asociados).</t>
  </si>
  <si>
    <t>LP</t>
  </si>
  <si>
    <t>Libra liquida</t>
  </si>
  <si>
    <t>Unidad de masa que define el nÃºmero de libras de una sustancia liquida.</t>
  </si>
  <si>
    <t>LPA</t>
  </si>
  <si>
    <t>Litro de alcohol puro</t>
  </si>
  <si>
    <t>Unidad de volumen igual a un litro de alcohol puro.</t>
  </si>
  <si>
    <t>LR</t>
  </si>
  <si>
    <t xml:space="preserve">Capa </t>
  </si>
  <si>
    <t>Unidad de conteo que define el nÃºmero de capas.</t>
  </si>
  <si>
    <t>LS</t>
  </si>
  <si>
    <t>Suma global</t>
  </si>
  <si>
    <t>Unidad de conteo que define el nÃºmero de cantidades monetarias completas o completas.</t>
  </si>
  <si>
    <t>LTN</t>
  </si>
  <si>
    <t>Tonelada (UK) o tonelada larga (estados unidos)</t>
  </si>
  <si>
    <t>Sinonimo: tonelada bruta (2240 ??lb)</t>
  </si>
  <si>
    <t>ton (UK)</t>
  </si>
  <si>
    <t>LTR</t>
  </si>
  <si>
    <t>Litro</t>
  </si>
  <si>
    <t>Es una unidad de volumen equivalente a un decimetro cÃºbico (1 dmÂ³). Su uso es aceptado en el Sistema Internacional de Unidades (SI), aunque ya no pertenece estrictamente a el.</t>
  </si>
  <si>
    <t>l</t>
  </si>
  <si>
    <t>LUB</t>
  </si>
  <si>
    <t>Tonelada metrica, aceite lubricante</t>
  </si>
  <si>
    <t>Unidad de masa que define el nÃºmero de toneladas metricas de aceite lubricante.</t>
  </si>
  <si>
    <t>LUM</t>
  </si>
  <si>
    <t>Lumen</t>
  </si>
  <si>
    <t>El lumen es la unidad estandar del flujo luminoso de una fuente de luz. Es una unidad derivada del sistema internacional, basada en la candela.</t>
  </si>
  <si>
    <t>lm</t>
  </si>
  <si>
    <t>LUX</t>
  </si>
  <si>
    <t>Lux</t>
  </si>
  <si>
    <t>Un lux es la incidencia perpendicular de un lumen en una superficie de 1 metro cuadrado. Equivale a 0.0929 lÃºmenes.</t>
  </si>
  <si>
    <t>lx</t>
  </si>
  <si>
    <t>LX</t>
  </si>
  <si>
    <t>Yarda lineal por libra</t>
  </si>
  <si>
    <t>LY</t>
  </si>
  <si>
    <t>Yarda lineal</t>
  </si>
  <si>
    <t>Unidad de conteo que define el nÃºmero de unidades de 36 pulgadas en longitud de un objeto de ancho uniforme.</t>
  </si>
  <si>
    <t>M0</t>
  </si>
  <si>
    <t>cinta magnetica</t>
  </si>
  <si>
    <t>M1</t>
  </si>
  <si>
    <t>Miligramo por litro</t>
  </si>
  <si>
    <t>mg/l</t>
  </si>
  <si>
    <t>M10</t>
  </si>
  <si>
    <t>Reciprocidad de la yarda cuadrada</t>
  </si>
  <si>
    <t>1/ydÂ³</t>
  </si>
  <si>
    <t>M11</t>
  </si>
  <si>
    <t>Yarda cÃºbica por grado fahrenheit</t>
  </si>
  <si>
    <t>ydÂ³/Â°F</t>
  </si>
  <si>
    <t>M12</t>
  </si>
  <si>
    <t>Yarda cÃºbica por dia</t>
  </si>
  <si>
    <t>ydÂ³/d</t>
  </si>
  <si>
    <t>M13</t>
  </si>
  <si>
    <t xml:space="preserve">Yarda cÃºbica por hora </t>
  </si>
  <si>
    <t>ydÂ³/h</t>
  </si>
  <si>
    <t>M14</t>
  </si>
  <si>
    <t>Yarda cÃºbica por psi (libra por pulgada cuadrada)</t>
  </si>
  <si>
    <t>ydÂ³/psi</t>
  </si>
  <si>
    <t>M15</t>
  </si>
  <si>
    <t>Yarda cÃºbica por minuto</t>
  </si>
  <si>
    <t>ydÂ³/min</t>
  </si>
  <si>
    <t>M16</t>
  </si>
  <si>
    <t>Yarda cÃºbica por segundo</t>
  </si>
  <si>
    <t>ydÂ³/s</t>
  </si>
  <si>
    <t>M17</t>
  </si>
  <si>
    <t>Kilohertz metro</t>
  </si>
  <si>
    <t>kHzÂ·m</t>
  </si>
  <si>
    <t>M18</t>
  </si>
  <si>
    <t>Gigahertz metro</t>
  </si>
  <si>
    <t>GHzÂ·m</t>
  </si>
  <si>
    <t>M19</t>
  </si>
  <si>
    <t>Beaufort</t>
  </si>
  <si>
    <t>Una medida empirica para describir la velocidad del viento basada principalmente en condiciones marinas observadas. La escala de Beaufort indica la velocidad del viento por nÃºmeros que tipicamente varian de 0 para la calma, a 12 para el huracan.</t>
  </si>
  <si>
    <t>Bft</t>
  </si>
  <si>
    <t>M20</t>
  </si>
  <si>
    <t>Reciproco de megakelvin o megakelvin a la potencia menos 1</t>
  </si>
  <si>
    <t>1/MK</t>
  </si>
  <si>
    <t>M21</t>
  </si>
  <si>
    <t>Kilovoltio-amperio hora reciprocidad</t>
  </si>
  <si>
    <t>1/kVAh</t>
  </si>
  <si>
    <t>M22</t>
  </si>
  <si>
    <t>Milimetro por centimetro cuadrado minuto</t>
  </si>
  <si>
    <t>(ml/min)/cmÂ²</t>
  </si>
  <si>
    <t>M23</t>
  </si>
  <si>
    <t>Newton por centimetro</t>
  </si>
  <si>
    <t>N/cm</t>
  </si>
  <si>
    <t>M24</t>
  </si>
  <si>
    <t>Ohm kilometro</t>
  </si>
  <si>
    <t>?Â·km</t>
  </si>
  <si>
    <t>M25</t>
  </si>
  <si>
    <t>Porcentaje por grado celsius</t>
  </si>
  <si>
    <t>Unidad de proporcion, igual a 0,01, en relacion a una temperatura de un grado.</t>
  </si>
  <si>
    <t>%/Â°C</t>
  </si>
  <si>
    <t>M26</t>
  </si>
  <si>
    <t>GigaOhm por metro</t>
  </si>
  <si>
    <t>G?/m</t>
  </si>
  <si>
    <t>M27</t>
  </si>
  <si>
    <t>Megahertz metro</t>
  </si>
  <si>
    <t>MHzÂ·m</t>
  </si>
  <si>
    <t>M29</t>
  </si>
  <si>
    <t>Kilogramo por kilogramo</t>
  </si>
  <si>
    <t>kg/kg</t>
  </si>
  <si>
    <t>M30</t>
  </si>
  <si>
    <t>voltio-amperio segundo reciprocidad</t>
  </si>
  <si>
    <t>1/(VÂ·AÂ·s)</t>
  </si>
  <si>
    <t>M31</t>
  </si>
  <si>
    <t>Kilogramo por kilometro</t>
  </si>
  <si>
    <t>kg/km</t>
  </si>
  <si>
    <t>M32</t>
  </si>
  <si>
    <t>Segundos pascal por litro</t>
  </si>
  <si>
    <t>PaÂ·s/l</t>
  </si>
  <si>
    <t>M33</t>
  </si>
  <si>
    <t>MiliMol por litro</t>
  </si>
  <si>
    <t>mmol/l</t>
  </si>
  <si>
    <t>M34</t>
  </si>
  <si>
    <t>Newton metro por metro cuadrado</t>
  </si>
  <si>
    <t>NÂ·m/mÂ²</t>
  </si>
  <si>
    <t>M35</t>
  </si>
  <si>
    <t>Milivoltio - amperio</t>
  </si>
  <si>
    <t>mVÂ·A</t>
  </si>
  <si>
    <t>M36</t>
  </si>
  <si>
    <t>Mes de 30 dias</t>
  </si>
  <si>
    <t>Unidad de cuenta que define el nÃºmero de meses expresado en mÃºltiplos de 30 dias, un dia es igual a 24 horas.</t>
  </si>
  <si>
    <t>mo (30 days)</t>
  </si>
  <si>
    <t>M37</t>
  </si>
  <si>
    <t>Actual 360</t>
  </si>
  <si>
    <t>Unidad de cuenta que define el nÃºmero de anos expresado en mÃºltiplos de 360 dias, un dia es igual a 24 horas.</t>
  </si>
  <si>
    <t>y (360 days)</t>
  </si>
  <si>
    <t>M38</t>
  </si>
  <si>
    <t>Kilometro por segundo cuadrado</t>
  </si>
  <si>
    <t>1000 veces de la unidad base del sistema internacional dividido por la potencia de la unidad base del sistema internacional por el segundo al  exponente 2.</t>
  </si>
  <si>
    <t>km/sÂ²</t>
  </si>
  <si>
    <t>M39</t>
  </si>
  <si>
    <t>Centimetro por segundo cuadrado</t>
  </si>
  <si>
    <t>0.01 veces de unidad de base del sistema internacional dividido por la potencia de la unidad de base del sistema internacional en segundo lugar por el exponente 2.</t>
  </si>
  <si>
    <t>cm/sÂ²</t>
  </si>
  <si>
    <t>M4</t>
  </si>
  <si>
    <t>Valor monetario</t>
  </si>
  <si>
    <t>Unidad de medida expresada como un monto monetario.</t>
  </si>
  <si>
    <t>M40</t>
  </si>
  <si>
    <t>Yarda por segundo cuadrado</t>
  </si>
  <si>
    <t>Unidad de longitud de acuerdo con el sistema Anglo-Americano y el sistema imperial de unidades, dividido por la potencia de la unidad del sistema internacional, segundo elevado al exponente 2.</t>
  </si>
  <si>
    <t>yd/sÂ²</t>
  </si>
  <si>
    <t>M41</t>
  </si>
  <si>
    <t>Milimetro por segundo cuadrado</t>
  </si>
  <si>
    <t>0.001 veces de unidad de base del sistema internacional, dividido por la potencia de la unidad de base del sistema internacional por el segundo exponente 2.</t>
  </si>
  <si>
    <t>mm/sÂ²</t>
  </si>
  <si>
    <t>M42</t>
  </si>
  <si>
    <t>Milla (milla estatal)  por segundo cuadrado</t>
  </si>
  <si>
    <t>Unidad de la longitud segÃºn el sistema Imperial de unidades dividido por la potencia de la unidad base del sistema internacional por segundo por el exponente 2.</t>
  </si>
  <si>
    <t>mi/sÂ²</t>
  </si>
  <si>
    <t>M43</t>
  </si>
  <si>
    <t>Mil (unidad de Medida Militar)</t>
  </si>
  <si>
    <t>Unidad para indicar un angulo en la zona militar, igual a la 6400Âª parte del circulo completo del 360Â° o 2  pi radian.</t>
  </si>
  <si>
    <t>M44</t>
  </si>
  <si>
    <t>Revolucion</t>
  </si>
  <si>
    <t>Unidad para identificar un angulo de un circulo de 360 grados o 2*pi*radio (Referencia ISO/TC12 SI Guia).</t>
  </si>
  <si>
    <t>rev</t>
  </si>
  <si>
    <t>M45</t>
  </si>
  <si>
    <t>Grado por segundo cuadrado</t>
  </si>
  <si>
    <t>360 partes de un circulo completo dividido por la potencia de la unidad de base SI en segundo lugar y el exponente 2.</t>
  </si>
  <si>
    <t>Â°/sÂ²</t>
  </si>
  <si>
    <t>M46</t>
  </si>
  <si>
    <t>Revolucion por minuto</t>
  </si>
  <si>
    <t>r/min</t>
  </si>
  <si>
    <t>M47</t>
  </si>
  <si>
    <t>Circular Mil</t>
  </si>
  <si>
    <t>Unidad que representa el area del circulo de un mil de diametro.</t>
  </si>
  <si>
    <t>cmil</t>
  </si>
  <si>
    <t>M48</t>
  </si>
  <si>
    <t>Milla cuadrada (basado en u.s survey foot)</t>
  </si>
  <si>
    <t>Unidad de area que es principalmente usada en la agricultura y en la forestacion.</t>
  </si>
  <si>
    <t>miÂ² (US survey)</t>
  </si>
  <si>
    <t>M49</t>
  </si>
  <si>
    <t xml:space="preserve">Cadena </t>
  </si>
  <si>
    <t xml:space="preserve"> Es una unidad de longitud utilizada para medir terrenos. Equivale a 20,1168 metros, y en ingles se llama surveyor chain.</t>
  </si>
  <si>
    <t xml:space="preserve">ch (US survey) </t>
  </si>
  <si>
    <t>M5</t>
  </si>
  <si>
    <t>Microcurie</t>
  </si>
  <si>
    <t>ÂµCi</t>
  </si>
  <si>
    <t>M50</t>
  </si>
  <si>
    <t>Estadio</t>
  </si>
  <si>
    <t>Unidad comunmente usada en Gran Bretana en distancias rurales: 1 furlong = 40 rods = 10 cadenas (UK) =1/8 de milla = 1/10 furlong = 220 yardas =660 pies.</t>
  </si>
  <si>
    <t>fur</t>
  </si>
  <si>
    <t>M51</t>
  </si>
  <si>
    <t>Pie (Topografia UEA)</t>
  </si>
  <si>
    <t>Unidad comunmente usada en los estados unidos para la inspeccion de artilleria.</t>
  </si>
  <si>
    <t xml:space="preserve">ft (US survey) </t>
  </si>
  <si>
    <t>M52</t>
  </si>
  <si>
    <t>Milla</t>
  </si>
  <si>
    <t>Unidad comunmente usada en los Estados Unidos para la inspeccion de artilleria.</t>
  </si>
  <si>
    <t xml:space="preserve">mi (US survey) </t>
  </si>
  <si>
    <t>M53</t>
  </si>
  <si>
    <t>Metro por pascal</t>
  </si>
  <si>
    <t>Metro, unidad del Sistema Internacional dividido por Pascal, Unidad del Sistema Internacional</t>
  </si>
  <si>
    <t>m/Pa</t>
  </si>
  <si>
    <t>M55</t>
  </si>
  <si>
    <t>Metro por radian</t>
  </si>
  <si>
    <t>Unidad del factor de conversion para la implementacion de rotacion a movimiento lineal.</t>
  </si>
  <si>
    <t>m/rad</t>
  </si>
  <si>
    <t>M56</t>
  </si>
  <si>
    <t xml:space="preserve">Shake </t>
  </si>
  <si>
    <t>Unidad para un periodo muy corto.</t>
  </si>
  <si>
    <t>shake</t>
  </si>
  <si>
    <t>M57</t>
  </si>
  <si>
    <t>Milla por minuto</t>
  </si>
  <si>
    <t>Unidad de velocidad del sistema ingles de unidades.</t>
  </si>
  <si>
    <t>mi/min</t>
  </si>
  <si>
    <t>M58</t>
  </si>
  <si>
    <t>Milla por segundo</t>
  </si>
  <si>
    <t>mi/s</t>
  </si>
  <si>
    <t>M59</t>
  </si>
  <si>
    <t>Metro por segundo pascal</t>
  </si>
  <si>
    <t>Metro dividido por el producto de SI unidad base segundo y el derivado unidad SI pascal.</t>
  </si>
  <si>
    <t>(m/s)/Pa</t>
  </si>
  <si>
    <t>M60</t>
  </si>
  <si>
    <t>Metro por hora</t>
  </si>
  <si>
    <t>Metro,unidad del sistema internacional dividido por la unidad de hora.</t>
  </si>
  <si>
    <t>m/h</t>
  </si>
  <si>
    <t>M61</t>
  </si>
  <si>
    <t>Pulgada por ano</t>
  </si>
  <si>
    <t>Unidad de longitud segÃºn el sistema de unidades Anglo-Americano y el sistema Imperial de unidades dividido por la unidad comÃºn ano de 365 dias.</t>
  </si>
  <si>
    <t>in/y</t>
  </si>
  <si>
    <t>M62</t>
  </si>
  <si>
    <t>Kilometro por segundo</t>
  </si>
  <si>
    <t>1000 veces del medidor de unidad de base SI dividido por la segunda unidad de base SI.</t>
  </si>
  <si>
    <t>km/s</t>
  </si>
  <si>
    <t>M63</t>
  </si>
  <si>
    <t>Pulgada por minuto</t>
  </si>
  <si>
    <t>Unidad de pulgada de acuerdo con el sistema de unidades Anglo-Americanas e Imperial dividido por el minuto de unidad.</t>
  </si>
  <si>
    <t>in/min</t>
  </si>
  <si>
    <t>M64</t>
  </si>
  <si>
    <t>Yarda por segundo</t>
  </si>
  <si>
    <t>Unidad de yarda de acuerdo con el sistema de unidades Anglo-Americanas e Imperial dividido por la unidad de base segundo.</t>
  </si>
  <si>
    <t>yd/s</t>
  </si>
  <si>
    <t>M65</t>
  </si>
  <si>
    <t>Yarda por minuto</t>
  </si>
  <si>
    <t>Unidad de yarda de acuerdo con el sistema de unidades Anglo-Americanas e Imperial dividido por el minuto de unidad.</t>
  </si>
  <si>
    <t>yd/min</t>
  </si>
  <si>
    <t>M66</t>
  </si>
  <si>
    <t>Yarda por hora</t>
  </si>
  <si>
    <t>Unidad de yarda de acuerdo con el sistema Anglo-Americano y el sistema Imperial de unidades, dividido por la unidad de minuto.</t>
  </si>
  <si>
    <t>yd/h</t>
  </si>
  <si>
    <t>M67</t>
  </si>
  <si>
    <t>Acre-pie</t>
  </si>
  <si>
    <t>Unidad de volÃºmen, la cÃºal es usada en los Estados Unidos para medir la capacidad de las presas.</t>
  </si>
  <si>
    <t>acre-ft (US survey)</t>
  </si>
  <si>
    <t>M68</t>
  </si>
  <si>
    <t>Cordon</t>
  </si>
  <si>
    <t>Unidad tradicional del volumen de lena apilada que se ha medido con un cordon.</t>
  </si>
  <si>
    <t>cord</t>
  </si>
  <si>
    <t>M69</t>
  </si>
  <si>
    <t>Milla cÃºbica (reinounido)</t>
  </si>
  <si>
    <t>miÂ³</t>
  </si>
  <si>
    <t>M7</t>
  </si>
  <si>
    <t>Micro-pulgada</t>
  </si>
  <si>
    <t>Âµin</t>
  </si>
  <si>
    <t>M70</t>
  </si>
  <si>
    <t>Unidad tradicional de capacidad de carga</t>
  </si>
  <si>
    <t>RT</t>
  </si>
  <si>
    <t>M71</t>
  </si>
  <si>
    <t>Metro cÃºbico por pascal (joules)</t>
  </si>
  <si>
    <t>Unidad de Energia del sistema internacional, metro elevado al exponente 3 y dividido por la unidad pascal.</t>
  </si>
  <si>
    <t>mÂ³/Pa</t>
  </si>
  <si>
    <t>M72</t>
  </si>
  <si>
    <t>Bel</t>
  </si>
  <si>
    <t>las decimas de bel, o decibeles. El logaritmo de la relacion del sonido o la senal con un estandar proporciona la medicion del decibel. ... El simbolo correspondiente a la unidad es B, pero dB es la unidad estandar.</t>
  </si>
  <si>
    <t>B</t>
  </si>
  <si>
    <t>M73</t>
  </si>
  <si>
    <t>Kilogramo por metro cÃºbico pascal</t>
  </si>
  <si>
    <t>Unidad base del sistema internacional kilogramo, dividido por el producto de metro elevado al exponente 3 por pascal.</t>
  </si>
  <si>
    <t>(kg/mÂ³)/Pa</t>
  </si>
  <si>
    <t>M74</t>
  </si>
  <si>
    <t>Kilogramo por pascal</t>
  </si>
  <si>
    <t>kg/Pa</t>
  </si>
  <si>
    <t>M75</t>
  </si>
  <si>
    <t>Kilolibra fuerza</t>
  </si>
  <si>
    <t>100 veces la unidad de fuerza, libra fueza de acuerdo con la relacion del sistema de unidades  Anglo-Americano</t>
  </si>
  <si>
    <t>kip</t>
  </si>
  <si>
    <t>M76</t>
  </si>
  <si>
    <t>Poundal</t>
  </si>
  <si>
    <t>Unidad no conforme al sistema internacional de la potencia, que corresponde a una masa de una libra multiplicada con la aceleracion de un pie por segundo cuadrado.</t>
  </si>
  <si>
    <t>pdl</t>
  </si>
  <si>
    <t>M77</t>
  </si>
  <si>
    <t>Kilogramo metro por segundo cuadrado</t>
  </si>
  <si>
    <t>Producto del kilogramo,unidad base del sistema internacional y del metro, unidad base del sistema internacional dividido por la potencia del segundo elevado al exponente 2.</t>
  </si>
  <si>
    <t>kgÂ·m/sÂ²</t>
  </si>
  <si>
    <t>M78</t>
  </si>
  <si>
    <t>Pond</t>
  </si>
  <si>
    <t>0.001 veces de la unidad del peso, definida como una masa de 1 kg que se encuentra sobre una fuerza de peso de 1 kp por la fuerza gravitatoria al nivel del mar, que corresponde a una fuerza de 9,806 65 newton.</t>
  </si>
  <si>
    <t>p</t>
  </si>
  <si>
    <t>M79</t>
  </si>
  <si>
    <t>Pie cuadrado por hora</t>
  </si>
  <si>
    <t>Potencia de la unidad pie, de acuerdo con el sistema Anglo-Americano e Imperial de unidades, elevado al exponente 2 y dividido por la unidad derivada pascal del sistema internacional de unidades.</t>
  </si>
  <si>
    <t>ftÂ²/h</t>
  </si>
  <si>
    <t>M80</t>
  </si>
  <si>
    <t>Stokes por pascal</t>
  </si>
  <si>
    <t>CGS (Centimetro-Gramo-Segundo sistema) unidad stokes dividido por la unidad derivada del sistema internacional, pascal.</t>
  </si>
  <si>
    <t>St/Pa</t>
  </si>
  <si>
    <t>M81</t>
  </si>
  <si>
    <t>Centimetro cuadrado por segundo</t>
  </si>
  <si>
    <t>cmÂ²/s</t>
  </si>
  <si>
    <t>M82</t>
  </si>
  <si>
    <t>Metro cuadrado por segundo pascal</t>
  </si>
  <si>
    <t>Potencia de la unidad base, metro, del sistema internacional con el exponente 2, dividido por la unidad base, segundo, y la unidad derivada, pascal, ambas del sistema internacional.</t>
  </si>
  <si>
    <t>(mÂ²/s)/Pa</t>
  </si>
  <si>
    <t>M83</t>
  </si>
  <si>
    <t>Denier</t>
  </si>
  <si>
    <t>Unidad tradicional para la indicacion de la masa lineal de fibras e hilados textiles.</t>
  </si>
  <si>
    <t>den</t>
  </si>
  <si>
    <t>M84</t>
  </si>
  <si>
    <t xml:space="preserve">Libra por yarda </t>
  </si>
  <si>
    <t>Unidad de masa lineal segÃºn el sistema de unidades avoirdupois.</t>
  </si>
  <si>
    <t>lb/yd</t>
  </si>
  <si>
    <t>M85</t>
  </si>
  <si>
    <t>Tonelada, ensayo</t>
  </si>
  <si>
    <t>Unidad de masa no conforme al sistema internacional, utilizada en la mineralogia para determinar la concentracion de metales preciosos en el mineral de acuerdo con la masa del metal precioso en miligramos en una muestra de la masa de un sonido de ensayo (nÃºmero de onzas troy en una tonelada corta (1 000 lb)).</t>
  </si>
  <si>
    <t>M86</t>
  </si>
  <si>
    <t>Libra Alemana</t>
  </si>
  <si>
    <t>Anticuada unidad de masa usada en Alemania.</t>
  </si>
  <si>
    <t>pfd</t>
  </si>
  <si>
    <t>M87</t>
  </si>
  <si>
    <t>Kilogramo por segundo pascal</t>
  </si>
  <si>
    <t>Es la unidad base kilogramo dividido por el producto de la unidad base segundo y la derivada de la unidad pascal.</t>
  </si>
  <si>
    <t>(kg/s)/Pa</t>
  </si>
  <si>
    <t>M88</t>
  </si>
  <si>
    <t>Tonelada por mes</t>
  </si>
  <si>
    <t>Unidad tonelada metrica dividida por la unidad mes</t>
  </si>
  <si>
    <t>t/mo</t>
  </si>
  <si>
    <t>M89</t>
  </si>
  <si>
    <t>Tonelada por ano</t>
  </si>
  <si>
    <t>Unidad tonelada metrica dividida por la unidad ano con 365 dias</t>
  </si>
  <si>
    <t>t/y</t>
  </si>
  <si>
    <t>M9</t>
  </si>
  <si>
    <t>Millones de btu por 1000 pies cÃºbicos</t>
  </si>
  <si>
    <t>MBTU/kftÂ³</t>
  </si>
  <si>
    <t>M90</t>
  </si>
  <si>
    <t>Kilolibra por hora</t>
  </si>
  <si>
    <t>1000 veces la unidad de la masa libra avoirdupois de acuerdo con el sistema unitario avoirdupois dividido por la unidad de hora.</t>
  </si>
  <si>
    <t>klb/h</t>
  </si>
  <si>
    <t>M91</t>
  </si>
  <si>
    <t>Libra por libra</t>
  </si>
  <si>
    <t>Proporcion de la masa consistente en la libra avoirdupois segÃºn el sistema unitario avoirdupois dividido por la libra avoirdupois segÃºn el sistema unitario avoirdupois.</t>
  </si>
  <si>
    <t>lb/lb</t>
  </si>
  <si>
    <t>M92</t>
  </si>
  <si>
    <t>Libra fuerza pie</t>
  </si>
  <si>
    <t>Producto de la unidad libra fuerza, de acuerdo con el sistema de unidades Anglo-Americano, y la unidad pie, de acuerdo con el sistema de unidades, Anglo-Americano y el sistema imperial de unidades.</t>
  </si>
  <si>
    <t>lbfÂ·ft</t>
  </si>
  <si>
    <t>M93</t>
  </si>
  <si>
    <t>Newton metro por radian</t>
  </si>
  <si>
    <t>Producto de la unidad derivada del sistema internacional, newton y de la unidad base , metro, dividida por la unidad radian.</t>
  </si>
  <si>
    <t>NÂ·m/rad</t>
  </si>
  <si>
    <t>M94</t>
  </si>
  <si>
    <t>Kilogramo metro</t>
  </si>
  <si>
    <t>Unidad de desequilibrio como producto del kilogramo  y el metro.</t>
  </si>
  <si>
    <t>kgÂ·m</t>
  </si>
  <si>
    <t>M95</t>
  </si>
  <si>
    <t>Poundal pie</t>
  </si>
  <si>
    <t>Producto de la unidad poundal, no conforme al sistema internacional de unidades, y la unidad pie, de acuerdo con el sistema de unidades Anglo-Americano y el sistema imperial.</t>
  </si>
  <si>
    <t>pdlÂ·ft</t>
  </si>
  <si>
    <t>M96</t>
  </si>
  <si>
    <t>Poundal pulgada</t>
  </si>
  <si>
    <t>Producto de la unidad poundal, no conforme al sistema internacional de unidades, y la unidad pulgada, de acuerdo con el sistema de unidades Anglo-Americano y el sistema imperial.</t>
  </si>
  <si>
    <t>pdlÂ·in</t>
  </si>
  <si>
    <t>M97</t>
  </si>
  <si>
    <t>Dina metro</t>
  </si>
  <si>
    <t>CGS (Centimetro-Gramo-Segundo sistema) unidad del momento de rotacion.</t>
  </si>
  <si>
    <t>dynÂ·m</t>
  </si>
  <si>
    <t>M98</t>
  </si>
  <si>
    <t>Kilogramo centimetro por segundo</t>
  </si>
  <si>
    <t>Producto del kilogramo de unidad de base SI y  0.01 veces de metro unidad de base SI dividido por la unidad de base SI en segundo.</t>
  </si>
  <si>
    <t>kgÂ·(cm/s)</t>
  </si>
  <si>
    <t>M99</t>
  </si>
  <si>
    <t>Gramo centimetro por segundo</t>
  </si>
  <si>
    <t>Producto del 0.001 veces del kilogramo de la unidad base SI y el 0,01 veces del metro de la unidad base SI dividido por la unidad base SI, segundo.</t>
  </si>
  <si>
    <t>gÂ·(cm/s)</t>
  </si>
  <si>
    <t>Maquina por unidad</t>
  </si>
  <si>
    <t>MAH</t>
  </si>
  <si>
    <t>Megavoltio amperio reactivo hora</t>
  </si>
  <si>
    <t>Define la cantidad total de potencia reactiva a traves de un sistema de potencia.</t>
  </si>
  <si>
    <t>MvarÂ·h</t>
  </si>
  <si>
    <t>MAL</t>
  </si>
  <si>
    <t>Megalitro</t>
  </si>
  <si>
    <t>Ml</t>
  </si>
  <si>
    <t>MAM</t>
  </si>
  <si>
    <t>Megametro</t>
  </si>
  <si>
    <t>Es la unidad de longitud que equivale a un millon de metros.</t>
  </si>
  <si>
    <t>Mm</t>
  </si>
  <si>
    <t>MAR</t>
  </si>
  <si>
    <t>Megavar</t>
  </si>
  <si>
    <t>Una unidad de potencia reactiva electrica representada por una corriente de mil amperios que fluye debido a una diferencia de potencial de mil voltios donde el seno del angulo de fase entre ellos es 1.</t>
  </si>
  <si>
    <t>MAW</t>
  </si>
  <si>
    <t>Megawatt</t>
  </si>
  <si>
    <t>Unidad de potencia que define la tasa de energia transferida o consumida cuando una corriente de 1000 amperios fluye debido a un potencial de 1000 volts al factor de potencia unitario.</t>
  </si>
  <si>
    <t>MBE</t>
  </si>
  <si>
    <t>Mil equivalente de ladrillo estandar</t>
  </si>
  <si>
    <t>Unidad de cuenta que define el nÃºmero de mil unidades equivalentes de ladrillo.</t>
  </si>
  <si>
    <t>MBF</t>
  </si>
  <si>
    <t>Mil pies de tabla</t>
  </si>
  <si>
    <t>MBR</t>
  </si>
  <si>
    <t>Milibar</t>
  </si>
  <si>
    <t>mbar</t>
  </si>
  <si>
    <t>Microgramo</t>
  </si>
  <si>
    <t>Âµg</t>
  </si>
  <si>
    <t>MCU</t>
  </si>
  <si>
    <t>Milicurie</t>
  </si>
  <si>
    <t>mCi</t>
  </si>
  <si>
    <t>MD</t>
  </si>
  <si>
    <t>Tonelada metrica seca al aire</t>
  </si>
  <si>
    <t>Unidad de conteo que define el nÃºmero de toneladas metricas de un producto, sin tener en cuenta el contenido de agua del producto.</t>
  </si>
  <si>
    <t>MF</t>
  </si>
  <si>
    <t>Miligramo por pie cuadrado por lado</t>
  </si>
  <si>
    <t>MGM</t>
  </si>
  <si>
    <t>Miligramo</t>
  </si>
  <si>
    <t>Medida de masa, de simbolo mg, que es igual a la milesima parte de un gramo.</t>
  </si>
  <si>
    <t>mg</t>
  </si>
  <si>
    <t>MHZ</t>
  </si>
  <si>
    <t>Megahertz</t>
  </si>
  <si>
    <t>Medida de frecuencia que es igual a 1 millon de hertz.</t>
  </si>
  <si>
    <t>MHz</t>
  </si>
  <si>
    <t>MIK</t>
  </si>
  <si>
    <t>Milla cuadrada (milla estatal)</t>
  </si>
  <si>
    <t xml:space="preserve"> Es una unidad de superficie equivalente a un cuadrado cuyos lados miden una milla estatutaria.</t>
  </si>
  <si>
    <t>miÂ²</t>
  </si>
  <si>
    <t>MIL</t>
  </si>
  <si>
    <t>Mil</t>
  </si>
  <si>
    <t>Es un nÃºmero natural que se escribe 1000 o 10Â³ en notacion cientifica, y que sigue del 999 y precede al 1001.</t>
  </si>
  <si>
    <t>MIN</t>
  </si>
  <si>
    <t>Minuto [unidad de tiempo]</t>
  </si>
  <si>
    <t xml:space="preserve">Es una unidad de tiempo que equivale a la sexagesima parte de una hora. Tambien comprende 60Â segundos. Su simbolo es min (adviertase que no es una abreviatura: no admite mayÃºscula, ni punto, ni plural). </t>
  </si>
  <si>
    <t>min</t>
  </si>
  <si>
    <t>MIO</t>
  </si>
  <si>
    <t>Millon</t>
  </si>
  <si>
    <t>Es igual a mil millares, o 106. El concepto de millon tambien se puede expresar mediante el prefijo mega antepuesto a unidades del SI. Etimologia: millon proviene del termino italiano milione (del latin: mille).</t>
  </si>
  <si>
    <t>MIU</t>
  </si>
  <si>
    <t>Unidad internacional de millon</t>
  </si>
  <si>
    <t>Unidad de cuenta que define el nÃºmero de unidades internacionales en mÃºltiplos de 106.</t>
  </si>
  <si>
    <t>MK</t>
  </si>
  <si>
    <t>Miligramo por pulgada cuadrada</t>
  </si>
  <si>
    <t>Mg/inÂ²</t>
  </si>
  <si>
    <t>MLD</t>
  </si>
  <si>
    <t>Mil millones</t>
  </si>
  <si>
    <t>Sinonimo: billon (US)</t>
  </si>
  <si>
    <t>MLT</t>
  </si>
  <si>
    <t>Mililitro</t>
  </si>
  <si>
    <t>Medida de volumen, de simbolo ml, que es igual a la milesima parte de un litro.</t>
  </si>
  <si>
    <t>ml</t>
  </si>
  <si>
    <t>MMK</t>
  </si>
  <si>
    <t>Milimetro cuadrado</t>
  </si>
  <si>
    <t>Medida de longitud, de simbolo mm, que es igual a la milesima parte de un metro.</t>
  </si>
  <si>
    <t>mmÂ²</t>
  </si>
  <si>
    <t>MMQ</t>
  </si>
  <si>
    <t>Milimetro cÃºbico</t>
  </si>
  <si>
    <t>mmÂ³</t>
  </si>
  <si>
    <t>MMT</t>
  </si>
  <si>
    <t>Milimetro</t>
  </si>
  <si>
    <t xml:space="preserve">Es una unidad de longitud. Es el tercer submÃºltiplo del metro y equivale a la milesima parte de el. </t>
  </si>
  <si>
    <t>mm</t>
  </si>
  <si>
    <t>MND</t>
  </si>
  <si>
    <t>Kilogramo, peso seco</t>
  </si>
  <si>
    <t>Unidad de masa que define el nÃºmero de kilogramos de un producto, sin tener en cuenta el contenido de agua del producto.</t>
  </si>
  <si>
    <t>MON</t>
  </si>
  <si>
    <t xml:space="preserve">Mes </t>
  </si>
  <si>
    <t>Unidad de tiempo equivalente a 1/12 de ano de 365.25 dias.</t>
  </si>
  <si>
    <t>mo</t>
  </si>
  <si>
    <t>MPA</t>
  </si>
  <si>
    <t>Megapascal</t>
  </si>
  <si>
    <t>MPa</t>
  </si>
  <si>
    <t>MQ</t>
  </si>
  <si>
    <t>Mil metros</t>
  </si>
  <si>
    <t>MQH</t>
  </si>
  <si>
    <t>Metro cÃºbico por hora</t>
  </si>
  <si>
    <t>mÂ³/h</t>
  </si>
  <si>
    <t>MQS</t>
  </si>
  <si>
    <t>Metro cÃºbico por segundo</t>
  </si>
  <si>
    <t>mÂ³/s</t>
  </si>
  <si>
    <t>MSK</t>
  </si>
  <si>
    <t>Metro por segundo cuadrado</t>
  </si>
  <si>
    <t xml:space="preserve">Es la aceleracion de un cuerpo, animado de movimiento uniformemente variado, cuya velocidad varia cada segundo, 1 m/s. </t>
  </si>
  <si>
    <t>m/sÂ²</t>
  </si>
  <si>
    <t>MTK</t>
  </si>
  <si>
    <t>Metro cuadrado</t>
  </si>
  <si>
    <t>Es la unidad basica de superficie en el Sistema Internacional de Unidades. Si a esta unidad se antepone un prefijo del Sistema Internacional se crea un mÃºltiplo o submÃºltiplo de esta.</t>
  </si>
  <si>
    <t>mÂ²</t>
  </si>
  <si>
    <t>MTQ</t>
  </si>
  <si>
    <t>Metro cÃºbico</t>
  </si>
  <si>
    <t>Sinonimo: metro cÃºbico</t>
  </si>
  <si>
    <t>mÂ³</t>
  </si>
  <si>
    <t>MTR</t>
  </si>
  <si>
    <t>Metro</t>
  </si>
  <si>
    <t>El metro (simbolo m) es la principal unidad de longitud del Sistema Internacional de Unidades. Un metro es la distancia que recorre la luz en el vacio en un intervalo de 1/299 792 458 de segundo.</t>
  </si>
  <si>
    <t>m</t>
  </si>
  <si>
    <t>MTS</t>
  </si>
  <si>
    <t>Metro por segundo</t>
  </si>
  <si>
    <t>Es la velocidad de un cuerpo que, con movimiento uniforme, recorre, una longitud de un metro en 1 segundo .</t>
  </si>
  <si>
    <t>m/s</t>
  </si>
  <si>
    <t>NÃºmero de mults</t>
  </si>
  <si>
    <t>MVA</t>
  </si>
  <si>
    <t>Megavoltio - amperio</t>
  </si>
  <si>
    <t>MVÂ·A</t>
  </si>
  <si>
    <t>MWH</t>
  </si>
  <si>
    <t>Megawatt hora</t>
  </si>
  <si>
    <t>Unidad de potencia que define la cantidad total de energia a granel transferida o consumida.</t>
  </si>
  <si>
    <t>MWÂ·h</t>
  </si>
  <si>
    <t>N1</t>
  </si>
  <si>
    <t>Pluma calorica</t>
  </si>
  <si>
    <t>Unidad de conteo que define el nÃºmero de calorias que se recetan diariamente para la terapia parenteral / enteral.</t>
  </si>
  <si>
    <t>N10</t>
  </si>
  <si>
    <t>Libra pie por segundo</t>
  </si>
  <si>
    <t>Producto de la libra avoirdupois de acuerdo con el sistema de unidades avoirdupois y el pie de acuerdo con el sistema de unidades Anglo-Americano y el sistema imperial, dividido por la unidad segundo del sistema interacional.</t>
  </si>
  <si>
    <t>lbÂ·(ft/s)</t>
  </si>
  <si>
    <t>N11</t>
  </si>
  <si>
    <t>Libra pulgada por segundo</t>
  </si>
  <si>
    <t>Producto de la libra avoirdupois de acuerdo con el sistema de unidades avoirdupois y la pulgada de acuerdo con el sistema de unidades Anglo-Americano y el sistema imperial, dividido por la unidad segundo del sistema interacional.</t>
  </si>
  <si>
    <t>lbÂ·(in/s)</t>
  </si>
  <si>
    <t>N12</t>
  </si>
  <si>
    <t>Pferdestaerke</t>
  </si>
  <si>
    <t>Unidad obsoleta de la potencia relativa a DIN 1301-3: 1979: 1 PS = 735.498 75 W.</t>
  </si>
  <si>
    <t>PS</t>
  </si>
  <si>
    <t>N13</t>
  </si>
  <si>
    <t>Centimetro de mercurio (0Â°)</t>
  </si>
  <si>
    <t>Unidad de presion no conforme al sistema internacional, en la cual el valor de 1 cmHg cumple con la presion estatica, que es generada por un mercurio a una temperatura de 0 Â° C con una altura de 1 centimetro.</t>
  </si>
  <si>
    <t>cmHg (0 ÂºC)</t>
  </si>
  <si>
    <t>N14</t>
  </si>
  <si>
    <t>Centimetro de agua (4Â°)</t>
  </si>
  <si>
    <t>Unidad de presion no conforme al sistema internacional, en la cual el valor de 1 cmH2O cumple con la presion estatica, que es generada por una cabeza de agua a una temperatura de 4 Â° C con una altura de 1 centimetro.</t>
  </si>
  <si>
    <t>cmH?O (4 Â°C)</t>
  </si>
  <si>
    <t>N15</t>
  </si>
  <si>
    <t>Pie de agua (39.2 Â°f)</t>
  </si>
  <si>
    <t>Unidad de presion no conforme al sistema internacional, de acuerdo con el sistema Anglo-Americano e Imperial para unidades, mientras que el valor de 1 ft H2O es equivalente a la presion estatica, que es generada por una cabeza de agua a una temperatura de 39,2 Â° F con una Altura de 1 pie.</t>
  </si>
  <si>
    <t>ftH?O (39,2 ÂºF)</t>
  </si>
  <si>
    <t>N16</t>
  </si>
  <si>
    <t>Pulgada de mercurio (32 Â°f)</t>
  </si>
  <si>
    <t>Unidad de presion no conforme al sistema internacional, de acuerdo con el sistema Anglo-American e Imperial para unidades, mientras que el valor de 1 inHg cumple con la presion estatica, que es generada por un mercurio a una temperatura de 32 Â° F con una altura de 1 pulgada.</t>
  </si>
  <si>
    <t>inHG (32 ÂºF)</t>
  </si>
  <si>
    <t>N17</t>
  </si>
  <si>
    <t>Pulgada de mercurio (60 Â°f)</t>
  </si>
  <si>
    <t>Unidad de presion no conforme al sistema internacional sino segÃºn al sistema Anglo-Americano e Imperial para unidades, mientras que el valor de 1 in Hg satisface la presion estatica, que es generada por un mercurio a una temperatura de 60 Â° F con una altura de 1 pulgada.</t>
  </si>
  <si>
    <t>inHg (60 ÂºF)</t>
  </si>
  <si>
    <t>N18</t>
  </si>
  <si>
    <t>Pulgada de agua (39.2 Â°f)</t>
  </si>
  <si>
    <t>Unidad de presion no conforme al sistema internacional sino de acuerdo con el sistema Anglo-Americano e Imperial para unidades, mientras que el valor de 1 inH2O satisface la presion estatica, que es generada por una cabeza de agua a una temperatura de 39,2 Â° F con una altura De 1 pulgada.</t>
  </si>
  <si>
    <t>inH?O (39,2 ÂºF)</t>
  </si>
  <si>
    <t>N19</t>
  </si>
  <si>
    <t>Pulgada de agua (60 Â°f)</t>
  </si>
  <si>
    <t>Unidad de presion no conforme al sistema internacional sino segÃºn al sistema Anglo-Americano e Imperial para unidades, mientras que el valor de 1 inH2O satisface la presion estatica, que es generada por una cabeza de agua a una temperatura de 60 Â° F con una altura de 1 pulgada.</t>
  </si>
  <si>
    <t>inH?O (60 ÂºF)</t>
  </si>
  <si>
    <t>N2</t>
  </si>
  <si>
    <t>nÃºmero de lineas</t>
  </si>
  <si>
    <t>N20</t>
  </si>
  <si>
    <t>Kip por pulgada cuadrada</t>
  </si>
  <si>
    <t>Unidad de presion no conforme al sistema internacional de unidades sino de acuerdo con el sistema Anglo-Americano de unidades como el 1000 veces de la unidad de fuerza de libra fuerza dividida por la potencia de la unidad de pulgada por el exponente 2.</t>
  </si>
  <si>
    <t>ksi</t>
  </si>
  <si>
    <t>N21</t>
  </si>
  <si>
    <t>Poundal por pie cuadrado</t>
  </si>
  <si>
    <t>Unidad de presion no conforme al sistema internacional segÃºn el sistema Imperial de unidades segÃºn NIST: 1 pdl / ftÂ² = 1,488 164 Pa.</t>
  </si>
  <si>
    <t>pdl/ftÂ²</t>
  </si>
  <si>
    <t>N22</t>
  </si>
  <si>
    <t>Onza (avoirdupois) por pulgada cuadrada</t>
  </si>
  <si>
    <t>Unidad de la masa especifica de la superficie (onza de avoirdupois segÃºn el sistema del avoirdupois de unidades segÃºn la superficie pulgada cuadrada segÃºn el sistema Anglo-Americano e imperial de unidades).</t>
  </si>
  <si>
    <t>oz/inÂ²</t>
  </si>
  <si>
    <t>N23</t>
  </si>
  <si>
    <t>Metro convencional de agua</t>
  </si>
  <si>
    <t>No es una unidad de presion del sistema internacional, mientras que un valor de 1 mH2O es equivalente a la presion estatica, que es producida por una columna de agua de un metro de alto.</t>
  </si>
  <si>
    <t>mH?O</t>
  </si>
  <si>
    <t>N24</t>
  </si>
  <si>
    <t>Gramo por milimetro cuadrado</t>
  </si>
  <si>
    <t>0.001 veces el kilo de unidad de basedel sistema internacional dividido por el 0,000 001 veces de la potencia del medidor de unidad de base del sistema internacional por el exponente 2.</t>
  </si>
  <si>
    <t>g/mmÂ²</t>
  </si>
  <si>
    <t>N25</t>
  </si>
  <si>
    <t>Libra por yarda cuadrada</t>
  </si>
  <si>
    <t>Unidad para la masa relacionada con el area como una unidad de la libra segÃºn el sistema de la unidad del avoirdupois dividido por la potencia del patio de la unidad segÃºn el sistema Anglo-Americano e imperial de unidades con el exponente 2.</t>
  </si>
  <si>
    <t>lb/ydÂ²</t>
  </si>
  <si>
    <t>N26</t>
  </si>
  <si>
    <t>Poundal por pulgada cuadrada</t>
  </si>
  <si>
    <t>Unidad de presion no conforme al sistema internacional sino segÃºn el sistema Imperial de unidades (poundal por pulgada cuadrada).</t>
  </si>
  <si>
    <t>pdl/inÂ²</t>
  </si>
  <si>
    <t>N27</t>
  </si>
  <si>
    <t xml:space="preserve">Pie a la cuarta potencia </t>
  </si>
  <si>
    <t>Potencia de la unidad pie, de acuerdo con el sistema Anglo-Americano e Imperial de unidades, elevado al exponente 4 de acuerdo con NIST: 1 ft4 = 8,630 975 m4.</t>
  </si>
  <si>
    <t>ft?</t>
  </si>
  <si>
    <t>N28</t>
  </si>
  <si>
    <t>Decimetro cÃºbico por kilogramo</t>
  </si>
  <si>
    <t>0.001 veces de metro, unidad base  del sistema internacional elevado al exponente 3 dividido por el kilogramo.</t>
  </si>
  <si>
    <t>dmÂ³/kg</t>
  </si>
  <si>
    <t>N29</t>
  </si>
  <si>
    <t xml:space="preserve">Pie cÃºbico por libra </t>
  </si>
  <si>
    <t>Potencia del pie, unidad de acuerdo con el sistema de unidades Anglo-Americanas e Imperial elevado al exponente 3 dividido por la libra de la unidad avoirdupois segÃºn el sistema unitario avoirdupois.</t>
  </si>
  <si>
    <t>ftÂ³/lb</t>
  </si>
  <si>
    <t>N3</t>
  </si>
  <si>
    <t>Impresion de punto</t>
  </si>
  <si>
    <t>N30</t>
  </si>
  <si>
    <t>Pulgada cÃºbica por libra</t>
  </si>
  <si>
    <t>Potencia de la unidad pulgada segÃºn el sistema Anglo-Americano e Imperial de unidades elevado al exponente 3 dividido por la libra avoirdupois segÃºn el sistema unitario avoirdupois.</t>
  </si>
  <si>
    <t>inÂ³/lb</t>
  </si>
  <si>
    <t>N31</t>
  </si>
  <si>
    <t>Kilonewton por metro</t>
  </si>
  <si>
    <t>1000 veces de la unidad derivada newton dividido por el metro, ambas unidades del sistema internacional.</t>
  </si>
  <si>
    <t>kN/m</t>
  </si>
  <si>
    <t>N32</t>
  </si>
  <si>
    <t>Poundal por pulgada</t>
  </si>
  <si>
    <t>Unidad de tension superficial de acuerdo con el sistema de unidad Imperial como cociente de poundal por pulgada.</t>
  </si>
  <si>
    <t>pdl/in</t>
  </si>
  <si>
    <t>N33</t>
  </si>
  <si>
    <t>Libra-fuerza por yarda</t>
  </si>
  <si>
    <t>Unidad de fuerza por unidad de longitud basado en el sistema Anglo-Americano de unidades.</t>
  </si>
  <si>
    <t>lbf/yd</t>
  </si>
  <si>
    <t>N34</t>
  </si>
  <si>
    <t>Poundal segundo por pie cuadrado</t>
  </si>
  <si>
    <t>Unidad de viscosidad no conforme al sistema internacional.</t>
  </si>
  <si>
    <t>(pdl/ftÂ²)Â·s</t>
  </si>
  <si>
    <t>N35</t>
  </si>
  <si>
    <t>Poise por pascal</t>
  </si>
  <si>
    <t>CGS (Centimetro-Gramo-Segundo sistema) unidad poise dividido por la unidad derivada del sistema internacional, pascal.</t>
  </si>
  <si>
    <t>P/Pa</t>
  </si>
  <si>
    <t>N36</t>
  </si>
  <si>
    <t>Newton segundo por metro cuadrado</t>
  </si>
  <si>
    <t>Unidad de la viscosidad dinamica como un producto de la unidad de la presion (newton por metro cuadrado) multiplicado con la unidad de base SI segundo.</t>
  </si>
  <si>
    <t>(N/mÂ²)Â·s</t>
  </si>
  <si>
    <t>N37</t>
  </si>
  <si>
    <t>Kilogramo por metro segundo</t>
  </si>
  <si>
    <t>Unidad de la viscosidad dinamica como un cociente de la unidad kilogramo del sistema internacional entre la unidad metro y por segundo del sistema internacional de unidades.</t>
  </si>
  <si>
    <t>kg/(mÂ·s)</t>
  </si>
  <si>
    <t>N38</t>
  </si>
  <si>
    <t>Kilogramo por metro minuto</t>
  </si>
  <si>
    <t>Unidad de la viscosidad dinamica como un cociente de la unidad kilogramo del sistema internacional entre la unidad metro y por minuto del sistema internacional de unidades.</t>
  </si>
  <si>
    <t>kg/(mÂ·min)</t>
  </si>
  <si>
    <t>N39</t>
  </si>
  <si>
    <t>Kilogramo por metro dia</t>
  </si>
  <si>
    <t xml:space="preserve">Unidad de la viscosidad dinamica como un cociente de unidad base kilogramo dividido por la unidad base metro y por la unidad de dia, ambas del sistema internacional. </t>
  </si>
  <si>
    <t>kg/(mÂ·d)</t>
  </si>
  <si>
    <t>N40</t>
  </si>
  <si>
    <t>Kilogramo por metro hora</t>
  </si>
  <si>
    <t>Unidad de la viscosidad dinamica como cociente de la unidad base kilogramo dividido por la unidad base metro y por unidad de hora, ambas del sistema internacional.</t>
  </si>
  <si>
    <t>kg/(mÂ·h)</t>
  </si>
  <si>
    <t>N41</t>
  </si>
  <si>
    <t>Gramo por centimetro segundo</t>
  </si>
  <si>
    <t>Unidad de la viscosidad dinamica como un cociente del 0,001 veces de la unidad base kilogramo dividido por el 0,01 veces de la unidad base metro y la unidad base segundo, del sistema internacional de unidades.</t>
  </si>
  <si>
    <t>g/(cmÂ·s)</t>
  </si>
  <si>
    <t>N42</t>
  </si>
  <si>
    <t>Poundal segundo por pulgada cuadrada</t>
  </si>
  <si>
    <t>Unidad de viscosidad dinamica no conforme al sistema internacional sino segÃºn el sistema Imperial de unidades, como producto de la  unidad de presion (poundal por pulgada cuadrada) multiplicada por la unidad base segundo, del sistema internacional de unidades.</t>
  </si>
  <si>
    <t>(pdl/inÂ²)Â·s</t>
  </si>
  <si>
    <t>N43</t>
  </si>
  <si>
    <t>Libra por pie minuto</t>
  </si>
  <si>
    <t>Unidad de la viscosidad dinamica segÃºn el sistema Anglo-Americano de unidades.</t>
  </si>
  <si>
    <t>lb/(ftÂ·min)</t>
  </si>
  <si>
    <t>N44</t>
  </si>
  <si>
    <t>Libra por pie dia</t>
  </si>
  <si>
    <t>lb/(ftÂ·d)</t>
  </si>
  <si>
    <t>N45</t>
  </si>
  <si>
    <t>Metro cÃºbico por segundo pascal</t>
  </si>
  <si>
    <t>Potencia de la unidad metro del sistema internacional por el exponente 3 dividido por el producto de la unidad base segundo y la unidad derivada pascal, ambas del sistema internacional de unidades.</t>
  </si>
  <si>
    <t>(mÂ³/s)/Pa</t>
  </si>
  <si>
    <t>N46</t>
  </si>
  <si>
    <t>Pie poundal</t>
  </si>
  <si>
    <t>Unidad de trabajo (trayectoria de fuerza)</t>
  </si>
  <si>
    <t>ftÂ·pdl</t>
  </si>
  <si>
    <t>N47</t>
  </si>
  <si>
    <t>Pulgada poundal</t>
  </si>
  <si>
    <t>Unidad de trabajo (fuerza multiplicado por trayectoria) de acuerdo con el sistema imperial de unidades como el producto de la unidad pulgada multiplicada por el poundal.</t>
  </si>
  <si>
    <t>inÂ·pdl</t>
  </si>
  <si>
    <t>N48</t>
  </si>
  <si>
    <t>Watt por centimetro cuadrado</t>
  </si>
  <si>
    <t>Unidad derivada del sistema internacional, watt, dividido por la potencia de la 0.01 parte de la unidad base del sistema internacional, metro al exponente 2.</t>
  </si>
  <si>
    <t>W/cmÂ²</t>
  </si>
  <si>
    <t>N49</t>
  </si>
  <si>
    <t>Watt por pulgada cuadrada</t>
  </si>
  <si>
    <t>Unidad derivada del sistema internacional, watt, dividido por la potencia de la unidad pulgada al exponente 2, de acuerdo al sistema de unidades Anglo-Americano y el sistema imperial de unidades.</t>
  </si>
  <si>
    <t>W/inÂ²</t>
  </si>
  <si>
    <t>N50</t>
  </si>
  <si>
    <t>Unidad termica britanica (tabla internacional) por pie cuadrado hora.</t>
  </si>
  <si>
    <t>Unidad del flujo superficial de calor segÃºn el sistema Imperial de unidades.</t>
  </si>
  <si>
    <t>BtuIT/(ftÂ²Â·h)</t>
  </si>
  <si>
    <t>N51</t>
  </si>
  <si>
    <t>Unidad termica britanica (termoquimica) por pie cuadrado hora.</t>
  </si>
  <si>
    <t>Btuth/(ftÂ²Â·h)</t>
  </si>
  <si>
    <t>N52</t>
  </si>
  <si>
    <t>Unidad termica britanica (termoquimico) por pie cuadrado minuto.</t>
  </si>
  <si>
    <t xml:space="preserve">Btuth/(ftÂ²Â·min) </t>
  </si>
  <si>
    <t>N53</t>
  </si>
  <si>
    <t>Unidad termica britanica (tabla internacional) por pie cuadrado segundo.</t>
  </si>
  <si>
    <t>BtuIT/(ftÂ²Â·s)</t>
  </si>
  <si>
    <t>N54</t>
  </si>
  <si>
    <t>Unidad termica britanica (termoquimica) por pie cuadrado segundo.</t>
  </si>
  <si>
    <t>Btuth/(ftÂ²Â·s)</t>
  </si>
  <si>
    <t>N55</t>
  </si>
  <si>
    <t>Unidad termica britanica (tabla internacional) por pulgada cuadrada segundo.</t>
  </si>
  <si>
    <t>BtuIT/(inÂ²Â·s)</t>
  </si>
  <si>
    <t>N56</t>
  </si>
  <si>
    <t>Caloria (termoquimica) por centimetro cuadrado minuto</t>
  </si>
  <si>
    <t>calth/(cmÂ²Â·min)</t>
  </si>
  <si>
    <t>N57</t>
  </si>
  <si>
    <t>Caloria (termoquimica) por centimetro cuadrado segundo</t>
  </si>
  <si>
    <t>calth/(cmÂ²Â·s)</t>
  </si>
  <si>
    <t>N58</t>
  </si>
  <si>
    <t>Unidad termica britanica (tabla internacional) por pie cÃºbico</t>
  </si>
  <si>
    <t>Unidad de la densidad de energia segÃºn el sistema Imperial de unidades.</t>
  </si>
  <si>
    <t>BtuIT/ftÂ³</t>
  </si>
  <si>
    <t>N59</t>
  </si>
  <si>
    <t>Unidad termica britanica (termoquimica) por pie cÃºbico</t>
  </si>
  <si>
    <t>Btuth/ftÂ³</t>
  </si>
  <si>
    <t>N60</t>
  </si>
  <si>
    <t>Unidad termica britanica (tabla internacional) por grado fahrenheit</t>
  </si>
  <si>
    <t>Unidad de la capacidad calorifica segÃºn el sistema Imperial de unidades.</t>
  </si>
  <si>
    <t>BtuIT/ÂºF</t>
  </si>
  <si>
    <t>N61</t>
  </si>
  <si>
    <t>Unidad termica britanica (termoquimico) por grado fahrenheit</t>
  </si>
  <si>
    <t>Btuth/ÂºF</t>
  </si>
  <si>
    <t>N62</t>
  </si>
  <si>
    <t>Unidad termica britanica (tabla internacional) por grado rankine</t>
  </si>
  <si>
    <t>BtuIT/ÂºR</t>
  </si>
  <si>
    <t>N63</t>
  </si>
  <si>
    <t>Unidad termica britanica (termoquimico) por grado rankine</t>
  </si>
  <si>
    <t>Btuth/ÂºR</t>
  </si>
  <si>
    <t>N64</t>
  </si>
  <si>
    <t>Unidad termica britanica (termoquimico) por libra grado rankine</t>
  </si>
  <si>
    <t>Unidad de la capacidad calorifica (unidad termica britanica segÃºn la tabla internacional segÃºn el grado de Rankine) de acuerdo con el sistema Imperial de unidades dividido por la unidad avoirdupois libra segÃºn el sistema de avoirdupois de unidades.</t>
  </si>
  <si>
    <t>(Btuth/Â°R)/lb</t>
  </si>
  <si>
    <t>N65</t>
  </si>
  <si>
    <t>Kilocaloria (tabla internacional) por gramo kelvin</t>
  </si>
  <si>
    <t>Unidad de la capacidad calorifica relacionada con la masa como cociente 1000 veces de la caloria (tabla internacional) dividido por el producto de 0,001 veces de las unidades de base kilogramo y kelvin.</t>
  </si>
  <si>
    <t>(kcalIT/K)/g</t>
  </si>
  <si>
    <t>N66</t>
  </si>
  <si>
    <t>Unidad termica britanica (39 Â°f)</t>
  </si>
  <si>
    <t>Unidad de energia termica segÃºn el sistema Imperial de unidades en una temperatura de referencia de 39 Â° F.</t>
  </si>
  <si>
    <t xml:space="preserve">Btu (39 ÂºF) </t>
  </si>
  <si>
    <t>N67</t>
  </si>
  <si>
    <t>Unidad termica britanica (59 Â°f)</t>
  </si>
  <si>
    <t>Unidad de energia termica segÃºn el sistema Imperial de unidades en una temperatura de referencia de 59 Â° F.</t>
  </si>
  <si>
    <t>Btu (59 ÂºF)</t>
  </si>
  <si>
    <t>N68</t>
  </si>
  <si>
    <t>Unidad termica britanica (60 Â°f)</t>
  </si>
  <si>
    <t>Unidad de energia termica segÃºn el sistema Imperial de unidades en una temperatura de referencia de 60 Â° F.</t>
  </si>
  <si>
    <t xml:space="preserve">Btu (60 ÂºF) </t>
  </si>
  <si>
    <t>N69</t>
  </si>
  <si>
    <t>Caloria (20 Â°c)</t>
  </si>
  <si>
    <t>Unidad para la cantidad de calor, que se requiere para que 1g de agua libre de aire a una presion constante de 101.325 kPa, se caliente a la presion de la atmosfera estandar a nivel del mar, de 19,5 Â° C a 20,5 Â° C.</t>
  </si>
  <si>
    <t>cal??</t>
  </si>
  <si>
    <t>N70</t>
  </si>
  <si>
    <t>Quad</t>
  </si>
  <si>
    <t>Unidad de energia de acuerdo al sistema imperial de unidades</t>
  </si>
  <si>
    <t>quad</t>
  </si>
  <si>
    <t>N71</t>
  </si>
  <si>
    <t>Termia (energia comercial)</t>
  </si>
  <si>
    <t>Unidad de energia calorifica en uso comercial, dentro de Estados Unidos definida como: 1 thm (EC) = 100 000 BtuIT.</t>
  </si>
  <si>
    <t>thm (EC)</t>
  </si>
  <si>
    <t>N72</t>
  </si>
  <si>
    <t>Termia (UEA)</t>
  </si>
  <si>
    <t>Unidad de energia termica en uso comercial.</t>
  </si>
  <si>
    <t>thm (US)</t>
  </si>
  <si>
    <t>N73</t>
  </si>
  <si>
    <t>Unidad termica britanica (termoquimica) por libra</t>
  </si>
  <si>
    <t>Unidad de la energia calorifica segÃºn el sistema imperial de unidades dividio por la unidad de la libra de avoirdupois segÃºn el sistema de avoirdupois de unidades.</t>
  </si>
  <si>
    <t>Btuth/lb</t>
  </si>
  <si>
    <t>N74</t>
  </si>
  <si>
    <t>Unidad termica britanica (tabla internacional) por hora pie cuadrado grado fahrenheit.</t>
  </si>
  <si>
    <t>Unidad del coeficiente de transicion termica segÃºn el sistema Imperial de unidades.</t>
  </si>
  <si>
    <t>BtuIT/(hÂ·ftÂ²Â·ÂºF)</t>
  </si>
  <si>
    <t>N75</t>
  </si>
  <si>
    <t>Unidad termica britanica (termoquimico) por hora pie cuadrado grado farenheit.</t>
  </si>
  <si>
    <t>Unidad del coeficiente de transicion termica segÃºn el sistema imperial de unidades.</t>
  </si>
  <si>
    <t>Btuth/(hÂ·ftÂ²Â·ÂºF)</t>
  </si>
  <si>
    <t>N76</t>
  </si>
  <si>
    <t>Unidad termica britanica (tabla internacional) por segundo pie cuadrado grado fahrenheit.</t>
  </si>
  <si>
    <t>BtuIT/(sÂ·ftÂ²Â·ÂºF)</t>
  </si>
  <si>
    <t>N77</t>
  </si>
  <si>
    <t>Unidad termica britanica (termoquimico) por segundo pie cuadrado grado fahrenheit.</t>
  </si>
  <si>
    <t xml:space="preserve">Btuth/(sÂ·ftÂ²Â·ÂºF) </t>
  </si>
  <si>
    <t>N78</t>
  </si>
  <si>
    <t>Kilowatt por metro cuadrado kelvin</t>
  </si>
  <si>
    <t>1000 veces la unidad derivada watt, dividida por el producto de la potencia de unidad base, metro, por el exponente 2 y la unidad base, kelvin, del sistema internacional de unidades.</t>
  </si>
  <si>
    <t>kW/(mÂ²Â·K)</t>
  </si>
  <si>
    <t>N79</t>
  </si>
  <si>
    <t>Kelvin por pascal</t>
  </si>
  <si>
    <t>Unidad base del sistema internacional kelvin, dividido entre pascal, unidad base del sistema internacional</t>
  </si>
  <si>
    <t>K/Pa</t>
  </si>
  <si>
    <t>N80</t>
  </si>
  <si>
    <t>Watt por metro grado celsius</t>
  </si>
  <si>
    <t>Unidad derivada del sistema internacional, watt, dividido por el producto de la unidad base, metro, y la unidad de temperatura grados Celsius.</t>
  </si>
  <si>
    <t>W/(mÂ·Â°C)</t>
  </si>
  <si>
    <t>N81</t>
  </si>
  <si>
    <t>Kilowatt por metro kelvin</t>
  </si>
  <si>
    <t>1000 veces de la unidad derivada, watt, dividido por el producto de la unidad de base metro y la unidad base kelvin, ambas del sistema internacional.</t>
  </si>
  <si>
    <t>kW/(mÂ·K)</t>
  </si>
  <si>
    <t>N82</t>
  </si>
  <si>
    <t>Kilowatt por metro grado celsius</t>
  </si>
  <si>
    <t>1000 veces de la unidad derivada, watt, dividido por el producto de la unidad base metro y la unidad de temperatura grados Celsius.</t>
  </si>
  <si>
    <t>kW/(mÂ·Â°C)</t>
  </si>
  <si>
    <t>N83</t>
  </si>
  <si>
    <t>Metro por grado celsius metro</t>
  </si>
  <si>
    <t>m/(Â°CÂ·m)</t>
  </si>
  <si>
    <t>N84</t>
  </si>
  <si>
    <t>Grado fahrenheit hora por unidad termica britanica (tabla internacional)</t>
  </si>
  <si>
    <t>Unidad no conforme al sistema internacional de unidades,de la resistencia termica segÃºn el sistema Imperial de unidades.</t>
  </si>
  <si>
    <t>ÂºF/(BtuIT/h)</t>
  </si>
  <si>
    <t>N85</t>
  </si>
  <si>
    <t>Grado fahrenheit hora por unidad termica britanica (termoquimico)</t>
  </si>
  <si>
    <t>ÂºF/(Btuth/h)</t>
  </si>
  <si>
    <t>N86</t>
  </si>
  <si>
    <t>Grado fahrenheit segundo por unidad termica britanica (tabla internacional)</t>
  </si>
  <si>
    <t>ÂºF/(BtuIT/s)</t>
  </si>
  <si>
    <t>N87</t>
  </si>
  <si>
    <t>Grago fahrenheit segundo por unidad termica britanica (termoquimico)</t>
  </si>
  <si>
    <t>ÂºF/(Btuth/s)</t>
  </si>
  <si>
    <t>N88</t>
  </si>
  <si>
    <t>Grado fahrenheit hora pie cuadrado por unidad termica britanica (tabla internacional) pulgada</t>
  </si>
  <si>
    <t>Unidad de resistencia termica especifica segÃºn el sistema Imperial de unidades</t>
  </si>
  <si>
    <t>ÂºFÂ·hÂ·ftÂ²/(BtuITÂ·in)</t>
  </si>
  <si>
    <t>N89</t>
  </si>
  <si>
    <t>Grado fahrenheit hora pie cuadrado por unidad termica britanica (termoquimico) pulgada.</t>
  </si>
  <si>
    <t>ÂºFÂ·hÂ·ftÂ²/(BtuthÂ·in)</t>
  </si>
  <si>
    <t>N90</t>
  </si>
  <si>
    <t>Kilofaradio</t>
  </si>
  <si>
    <t>1000 veces del faradio, unidad derivada del sistema internacional</t>
  </si>
  <si>
    <t>kF</t>
  </si>
  <si>
    <t>N91</t>
  </si>
  <si>
    <t>Joule reciproco</t>
  </si>
  <si>
    <t>1/J</t>
  </si>
  <si>
    <t>N92</t>
  </si>
  <si>
    <t>Picosiemens</t>
  </si>
  <si>
    <t>0.000 000 000 001 veces de la unidad derivada  siemens del sistema internacional de unidades.</t>
  </si>
  <si>
    <t>pS</t>
  </si>
  <si>
    <t>N93</t>
  </si>
  <si>
    <t>Amperio por pascal</t>
  </si>
  <si>
    <t>Unidad base amperio dividido por la unidad derivada pascal.</t>
  </si>
  <si>
    <t>A/Pa</t>
  </si>
  <si>
    <t>N94</t>
  </si>
  <si>
    <t>Franklin</t>
  </si>
  <si>
    <t>CGS (Centimetro-Gram-Segundo sistema) unidad de la carga electrica, donde la carga asciende exactamente a 1 franklin donde la fuerza de 1 dina sobre una carga igual se realiza a una distancia de 1 cm.</t>
  </si>
  <si>
    <t>Fr</t>
  </si>
  <si>
    <t>N95</t>
  </si>
  <si>
    <t>Amperio minuto</t>
  </si>
  <si>
    <t>Unidad de carga electrica que define la cantidad de carga acumulada por un flujo constante de un amperio por un minuto.</t>
  </si>
  <si>
    <t>AÂ·min</t>
  </si>
  <si>
    <t>N96</t>
  </si>
  <si>
    <t>Biot</t>
  </si>
  <si>
    <t>El nÃºmero de Biot (Bi) es un nÃºmero adimensional utilizado en calculos de transmision de calor. Su nombre hace honor al fisico frances Jean Baptiste Biot (1774-1862) y relaciona la transferencia de calor por conduccion dentro de un cuerpo y la transferencia de calor por conveccion en la superficie de dicho cuerpo. Biot en 1804, analizo la interaccion entre la conduccion en un solido y la conveccion en sus superficies.</t>
  </si>
  <si>
    <t>Bi</t>
  </si>
  <si>
    <t>N97</t>
  </si>
  <si>
    <t>Gilbert</t>
  </si>
  <si>
    <t>CGS (Centimetro-Gram-Segundo sistema) unidad de la fuerza magnetomotriz, que se define por el trabajo para aumentar el potencial magnetico de un polo comÃºn positivo con 1 erg.</t>
  </si>
  <si>
    <t>Gi</t>
  </si>
  <si>
    <t>N98</t>
  </si>
  <si>
    <t>Voltio por pascal</t>
  </si>
  <si>
    <t>Unidad derivada del sistema internacional, voltio, dividido entre la unidad derivada del sistema internacional, pascal.</t>
  </si>
  <si>
    <t>V/Pa</t>
  </si>
  <si>
    <t>N99</t>
  </si>
  <si>
    <t>Picovoltio</t>
  </si>
  <si>
    <t>0.000 000 000 001 veces de la unidad derivada del sistema internacional, voltio.</t>
  </si>
  <si>
    <t>pV</t>
  </si>
  <si>
    <t>NA</t>
  </si>
  <si>
    <t>Miligramo por kilogramo</t>
  </si>
  <si>
    <t>mg/kg</t>
  </si>
  <si>
    <t>NAR</t>
  </si>
  <si>
    <t>NÃºmero de articulos</t>
  </si>
  <si>
    <t xml:space="preserve">Unidad de conteo que define el nÃºmero de articulos </t>
  </si>
  <si>
    <t>NB</t>
  </si>
  <si>
    <t>barcaza</t>
  </si>
  <si>
    <t>NBB</t>
  </si>
  <si>
    <t>NÃºmero de bobinas</t>
  </si>
  <si>
    <t>NC</t>
  </si>
  <si>
    <t>Carro</t>
  </si>
  <si>
    <t>NCL</t>
  </si>
  <si>
    <t>NÃºmero de celulas</t>
  </si>
  <si>
    <t>Unidad de conteo que define el nÃºmero de celulas (celula: un espacio cerrado o circunscrito, cavidad o volumen)</t>
  </si>
  <si>
    <t>ND</t>
  </si>
  <si>
    <t>Barril neto</t>
  </si>
  <si>
    <t>NE</t>
  </si>
  <si>
    <t>Litro neto</t>
  </si>
  <si>
    <t>NEW</t>
  </si>
  <si>
    <t>Newton</t>
  </si>
  <si>
    <t>N</t>
  </si>
  <si>
    <t>NF</t>
  </si>
  <si>
    <t>Mensaje</t>
  </si>
  <si>
    <t>Unidad de conteo que define el nÃºmero de mensajes</t>
  </si>
  <si>
    <t>NG</t>
  </si>
  <si>
    <t>Galon neto (us)</t>
  </si>
  <si>
    <t>NH</t>
  </si>
  <si>
    <t>Hora del mensaje</t>
  </si>
  <si>
    <t>NI</t>
  </si>
  <si>
    <t>Galon imperial neto</t>
  </si>
  <si>
    <t>NIL</t>
  </si>
  <si>
    <t>Nil</t>
  </si>
  <si>
    <t>Unidad de conteo que define el nÃºmero de instancias de nada</t>
  </si>
  <si>
    <t>()</t>
  </si>
  <si>
    <t>NIU</t>
  </si>
  <si>
    <t>NÃºmero de unidades internacionales</t>
  </si>
  <si>
    <t>Unidad de conteo que define el nÃºmero de unidades internacionales</t>
  </si>
  <si>
    <t>NJ</t>
  </si>
  <si>
    <t>NÃºmero de pantallas</t>
  </si>
  <si>
    <t>NL</t>
  </si>
  <si>
    <t>Carga</t>
  </si>
  <si>
    <t>Unidad de volumen que define el nÃºmero de cargas(carga: cantidad de articulos transportados o procesados al mismo tiempo)</t>
  </si>
  <si>
    <t>NM3</t>
  </si>
  <si>
    <t>Metro cÃºbico normalizado</t>
  </si>
  <si>
    <t>Metros cÃºbicos normalizados (temperatura 0 Â° C y presion 101325 milibares)</t>
  </si>
  <si>
    <t>NMI</t>
  </si>
  <si>
    <t>Milla nautica</t>
  </si>
  <si>
    <t>Es una unidad de longitud empleada en navegacion maritima y aerea.</t>
  </si>
  <si>
    <t>n mile</t>
  </si>
  <si>
    <t>NMP</t>
  </si>
  <si>
    <t>NÃºmero de paquetes</t>
  </si>
  <si>
    <t>Unidad que define el nÃºmero de paquetes (paquetes: coleccion de objetos empaquetados)</t>
  </si>
  <si>
    <t>NN</t>
  </si>
  <si>
    <t>tren</t>
  </si>
  <si>
    <t>NPR</t>
  </si>
  <si>
    <t>NÃºmero de parejas</t>
  </si>
  <si>
    <t>Una unidad de cuenta que define el nÃºmero de pares (par: elemento descrito por dos).</t>
  </si>
  <si>
    <t>NPT</t>
  </si>
  <si>
    <t>NÃºmero de partes</t>
  </si>
  <si>
    <t>Unidad de conteo que define el nÃºmero de partes (partes: componente de larga entidad)</t>
  </si>
  <si>
    <t>NQ</t>
  </si>
  <si>
    <t>Mho</t>
  </si>
  <si>
    <t>NR</t>
  </si>
  <si>
    <t>Micromho</t>
  </si>
  <si>
    <t>NT</t>
  </si>
  <si>
    <t>Tonelada neta</t>
  </si>
  <si>
    <t>Unidad de masa equivalente a 2000 libras, ver (US). Convencion Internacional referencia sobre el arqueo de los busques</t>
  </si>
  <si>
    <t>NTT</t>
  </si>
  <si>
    <t>Tonelada de registro neto</t>
  </si>
  <si>
    <t>Una unidad de masa igual al total de las imagenes cÃºbicas despues de las deducciones, donde 1 registro t es igual a 100 pies cÃºbicos.Â Vease el Convenio internacional sobre el arqueo de los buques.</t>
  </si>
  <si>
    <t>NV</t>
  </si>
  <si>
    <t>vehiculo</t>
  </si>
  <si>
    <t>NY</t>
  </si>
  <si>
    <t>Libra por tonelada metrica al aire seco</t>
  </si>
  <si>
    <t>NX</t>
  </si>
  <si>
    <t>Parte por mil</t>
  </si>
  <si>
    <t>Unidad de proporcion igual a 10 Sinonimo: por milla</t>
  </si>
  <si>
    <t>Â‰</t>
  </si>
  <si>
    <t>OA</t>
  </si>
  <si>
    <t>Panel</t>
  </si>
  <si>
    <t xml:space="preserve">Unidade de conteo que define el n[umero de paneles </t>
  </si>
  <si>
    <t>ODE</t>
  </si>
  <si>
    <t>Equivalente de agotamiento del ozona</t>
  </si>
  <si>
    <t>Unidad de masa que define el potencial de agotamiento del ozono en kilogramos de un producto en relacion con el agotamiento calculado para la sustancia de referencia Triclorofluorometano (CFC-11).</t>
  </si>
  <si>
    <t>Ohm</t>
  </si>
  <si>
    <t xml:space="preserve">es la resistencia electrica que existe entre dos puntos de un conductor cuando una diferencia de potencial constante de 1 volt aplicada entre estos dos puntos produce, en dicho conductor, una corriente de intensidad 1 amperio, cuando no haya fuerza electromotriz en el conductor. </t>
  </si>
  <si>
    <t>?</t>
  </si>
  <si>
    <t>ON</t>
  </si>
  <si>
    <t>Onza por yarda cuadrada</t>
  </si>
  <si>
    <t>oz/ydÂ²</t>
  </si>
  <si>
    <t>ONZ</t>
  </si>
  <si>
    <t>Onza (avoirdupois)</t>
  </si>
  <si>
    <t>Es una unidad de masa usada desde la Antigua Roma para pesar con mayor precision las mercancias y otros articulos, especialmente si su peso era menor que una libra romana</t>
  </si>
  <si>
    <t>oz</t>
  </si>
  <si>
    <t>OP</t>
  </si>
  <si>
    <t>Dos paquetes</t>
  </si>
  <si>
    <t>OPM</t>
  </si>
  <si>
    <t>Oscilaciones por minuto</t>
  </si>
  <si>
    <t>nÃºmero de variaciones, perturbaciones o fluctuacion en el tiempo de un medio o sistema</t>
  </si>
  <si>
    <t>o/min</t>
  </si>
  <si>
    <t>OT</t>
  </si>
  <si>
    <t>Hora extra</t>
  </si>
  <si>
    <t>Unidad de tiempo que define el n[umero de horas extras</t>
  </si>
  <si>
    <t>OZ</t>
  </si>
  <si>
    <t>Onza AV</t>
  </si>
  <si>
    <t>Una unidad de medida igual a 1/16 de una libra o aproximadamente 28.3495 gramos (av = avoirdupois).Â Use onza (codigo comÃºn ONZ).</t>
  </si>
  <si>
    <t>OZA</t>
  </si>
  <si>
    <t>Onza liquida (estados unidos)</t>
  </si>
  <si>
    <t>fl oz (US)</t>
  </si>
  <si>
    <t>OZI</t>
  </si>
  <si>
    <t>Onza liquida (UK)</t>
  </si>
  <si>
    <t>fl oz (UK)</t>
  </si>
  <si>
    <t>P0</t>
  </si>
  <si>
    <t>Pagina electronica</t>
  </si>
  <si>
    <t>P1</t>
  </si>
  <si>
    <t>Tanto por ciento</t>
  </si>
  <si>
    <t>Unidad de proporcion equivalente a 0.01</t>
  </si>
  <si>
    <t>% or pct</t>
  </si>
  <si>
    <t>P10</t>
  </si>
  <si>
    <t>Culombio por metro</t>
  </si>
  <si>
    <t>Unidad derivada, coulomb dividida por la unidad base, metro.</t>
  </si>
  <si>
    <t>C/m</t>
  </si>
  <si>
    <t>P11</t>
  </si>
  <si>
    <t>Kiloweber</t>
  </si>
  <si>
    <t>1000 veces la unidad derivada weber, del sistema internacional de unidades.</t>
  </si>
  <si>
    <t>kWb</t>
  </si>
  <si>
    <t>P12</t>
  </si>
  <si>
    <t>Gamma</t>
  </si>
  <si>
    <t>Unidad de densidad de flujo magnetico.</t>
  </si>
  <si>
    <t>P13</t>
  </si>
  <si>
    <t>Kilotesla</t>
  </si>
  <si>
    <t>1000 veces la unidad derivada tesla.</t>
  </si>
  <si>
    <t>kT</t>
  </si>
  <si>
    <t>P14</t>
  </si>
  <si>
    <t>Joule por segundo</t>
  </si>
  <si>
    <t>Cociente de la unidad derivada joule dividido entre la unidad base, segundo, ambas del sistema internacional.</t>
  </si>
  <si>
    <t>J/s</t>
  </si>
  <si>
    <t>P15</t>
  </si>
  <si>
    <t>Joule por minuto</t>
  </si>
  <si>
    <t>Cociente de la unidad derivada, joule, dividido entre la unidad minuto.</t>
  </si>
  <si>
    <t>J/min</t>
  </si>
  <si>
    <t>P16</t>
  </si>
  <si>
    <t>Joule por hora</t>
  </si>
  <si>
    <t>Cociente de la unidad derivada, joule, dividido entre la unidad hora.</t>
  </si>
  <si>
    <t>J/h</t>
  </si>
  <si>
    <t>P17</t>
  </si>
  <si>
    <t>Joule por dia</t>
  </si>
  <si>
    <t>Cociente de la unidad derivada, joule, dividido entre la unidad dia.</t>
  </si>
  <si>
    <t>J/d</t>
  </si>
  <si>
    <t>P18</t>
  </si>
  <si>
    <t>Kilojoule por segundo</t>
  </si>
  <si>
    <t>Cociente entre 1000 veces de la unida derivada, joule, dividido por la unidad base segundo.</t>
  </si>
  <si>
    <t>kJ/s</t>
  </si>
  <si>
    <t>P19</t>
  </si>
  <si>
    <t>Kilojoule por minuto</t>
  </si>
  <si>
    <t>Cociente entre 1000 veces de la unida derivada, joule, dividido por la unidad minuto.</t>
  </si>
  <si>
    <t>kJ/min</t>
  </si>
  <si>
    <t>P2</t>
  </si>
  <si>
    <t>Libra por pie</t>
  </si>
  <si>
    <t>lb/ft</t>
  </si>
  <si>
    <t>P20</t>
  </si>
  <si>
    <t>Kilojoule por hora</t>
  </si>
  <si>
    <t>Cociente entre 1000 veces de la unida derivada, joule, dividido por la unidad hora.</t>
  </si>
  <si>
    <t>kJ/h</t>
  </si>
  <si>
    <t>P21</t>
  </si>
  <si>
    <t>Kilojoule por dia</t>
  </si>
  <si>
    <t>Cociente entre 1000 veces de la unida derivada, joule, dividido por la unidad dia</t>
  </si>
  <si>
    <t>kJ/d</t>
  </si>
  <si>
    <t>P22</t>
  </si>
  <si>
    <t>NanoOhm</t>
  </si>
  <si>
    <t>0.000 000 001 veces de la unidad derivada Ohm.</t>
  </si>
  <si>
    <t>n?</t>
  </si>
  <si>
    <t>P23</t>
  </si>
  <si>
    <t>Ohm circular-mil por pie</t>
  </si>
  <si>
    <t>Unidad de resistividad.</t>
  </si>
  <si>
    <t xml:space="preserve">?Â·cmil/ft </t>
  </si>
  <si>
    <t>P24</t>
  </si>
  <si>
    <t>Kilohenry</t>
  </si>
  <si>
    <t>1000 veces la unidad derivada, henry del sistema internacional.</t>
  </si>
  <si>
    <t>kH</t>
  </si>
  <si>
    <t>P25</t>
  </si>
  <si>
    <t>Lumen por pie cuadrado</t>
  </si>
  <si>
    <t>Unidad derivada, lumen dividido por la potencia de la unidad pie, al exponente 2, de acuerdo con el sistema anglo-americano y el sistema imperial.</t>
  </si>
  <si>
    <t>lm/ftÂ²</t>
  </si>
  <si>
    <t>P26</t>
  </si>
  <si>
    <t>Foto</t>
  </si>
  <si>
    <t>es una unidad de iluminancia  o flujo luminoso a traves de un area. No es una unidad del sistema internacional, sino que se asocia con el antiguo segundo sistema centimetro gramo de unidades .</t>
  </si>
  <si>
    <t>ph</t>
  </si>
  <si>
    <t>P27</t>
  </si>
  <si>
    <t>Vela (medida)</t>
  </si>
  <si>
    <t>Es una unidad de medida de iluminancia que no pertenece al Sistema Internacional de Unidades, pero es ampliamente usada en Estados Unidos para fotografia, cine, television, conservacion luminosa, ingenieria de la construccion, etc. Una vela significa "el reparto de iluminacion sobre una superficie equivalente a una candela, y a un pie de distancia".</t>
  </si>
  <si>
    <t>ftc</t>
  </si>
  <si>
    <t>P28</t>
  </si>
  <si>
    <t>Candela por pulgada cuadrada</t>
  </si>
  <si>
    <t>Unidad base, candela dividido por la potencia de la unidad de pulgada al exponente 2 de acuerdo con el sistema de unidades Anglo-Americanas e Imperial.</t>
  </si>
  <si>
    <t>cd/inÂ²</t>
  </si>
  <si>
    <t>P29</t>
  </si>
  <si>
    <t>Footlambert</t>
  </si>
  <si>
    <t>Unidad de luminancia de acuerdo con el sistema Anglo-Americano de unidades, y se define como la luminancia emitida o reflejada de un lumen por pie cuadrado.</t>
  </si>
  <si>
    <t>ftL</t>
  </si>
  <si>
    <t>P3</t>
  </si>
  <si>
    <t>Tres paquetes</t>
  </si>
  <si>
    <t>P30</t>
  </si>
  <si>
    <t>Lambert</t>
  </si>
  <si>
    <t>Unidad de luminancia CGS (Centimetro-Gram-Segundo sistema), definida como la luminancia emitida o reflejada de un lumen por centimetro cuadrado.</t>
  </si>
  <si>
    <t>Lb</t>
  </si>
  <si>
    <t>P31</t>
  </si>
  <si>
    <t xml:space="preserve">Stilb </t>
  </si>
  <si>
    <t>sb</t>
  </si>
  <si>
    <t>P32</t>
  </si>
  <si>
    <t>Candela por pie cuadrado</t>
  </si>
  <si>
    <t xml:space="preserve">Unidad base, candela dividido por la potencia de la unidad pie al exponente 2 , de acuerdo con el sistema anglo-americano y el sistema imperial de unidades </t>
  </si>
  <si>
    <t>cd/ftÂ²</t>
  </si>
  <si>
    <t>P33</t>
  </si>
  <si>
    <t>Kilocandela</t>
  </si>
  <si>
    <t>1000 veces la unidad base, candela, del sistema internacional.</t>
  </si>
  <si>
    <t>kcd</t>
  </si>
  <si>
    <t>P34</t>
  </si>
  <si>
    <t>Milicandela</t>
  </si>
  <si>
    <t>0.001 veces la unidad base , candela, del sistema internacional.</t>
  </si>
  <si>
    <t>mcd</t>
  </si>
  <si>
    <t>P35</t>
  </si>
  <si>
    <t>Hefner-kerze</t>
  </si>
  <si>
    <t>Obsoleto, unidad de potencia en Alemania relacionado con DIN 1301-3:1979: 1 HK = 0,903 candela.</t>
  </si>
  <si>
    <t>P36</t>
  </si>
  <si>
    <t>Candela internacional</t>
  </si>
  <si>
    <t>Unidad obsoleta de la potencia en Alemania relativa a DIN 1301-3: 1979: 1 HK = 1.019 candela.</t>
  </si>
  <si>
    <t>IK</t>
  </si>
  <si>
    <t>P37</t>
  </si>
  <si>
    <t>Unidad termica britanica (tabla internacional) por pie cuadrado</t>
  </si>
  <si>
    <t>Unidad de la transmision de energia relacionado de muestreo de areas de acuerdo con el sistema imperial de unidades.</t>
  </si>
  <si>
    <t>BtuIT/ftÂ²</t>
  </si>
  <si>
    <t>P38</t>
  </si>
  <si>
    <t>Unidad termica britanica (termoquimica) por pie cuadrado</t>
  </si>
  <si>
    <t>Btuth/ftÂ²</t>
  </si>
  <si>
    <t>P39</t>
  </si>
  <si>
    <t>Caloria (termoquimica) por centimetro cuadrado</t>
  </si>
  <si>
    <t>calth/cmÂ²</t>
  </si>
  <si>
    <t>P4</t>
  </si>
  <si>
    <t>paquete de cuatro</t>
  </si>
  <si>
    <t>P40</t>
  </si>
  <si>
    <t>Langley</t>
  </si>
  <si>
    <t>CGS (Centimetro-Gramo-Segundo sistema) unidad de la transmision de energia relacionada con el area (como una medida de la cantidad incidente de calor de la radiacion solar en la superficie de la tierra).</t>
  </si>
  <si>
    <t>Ly</t>
  </si>
  <si>
    <t>P41</t>
  </si>
  <si>
    <t>Decada (logaritmica)</t>
  </si>
  <si>
    <t>Una escala logaritmica es una escala de medida que utiliza el logaritmo de una cantidad fisica en lugar de la propia cantidad.</t>
  </si>
  <si>
    <t>dec</t>
  </si>
  <si>
    <t>P42</t>
  </si>
  <si>
    <t>Pascal por segundo cuadrado</t>
  </si>
  <si>
    <t>Unidad del conjunto como un producto de la potencia de derivado unidad pascal SI con exponente 2 y la unidad base segunda SI.</t>
  </si>
  <si>
    <t>PaÂ²Â·s</t>
  </si>
  <si>
    <t>P43</t>
  </si>
  <si>
    <t>Bel por metro</t>
  </si>
  <si>
    <t>Una unidad Bel dividida por la unidad basica del sistema internacional (metros).</t>
  </si>
  <si>
    <t>B/m</t>
  </si>
  <si>
    <t>P44</t>
  </si>
  <si>
    <t>Libra Mol</t>
  </si>
  <si>
    <t>Unidad que no forma parte del sistema internacional, cantidad de una sustancia relacionada que un mol libra de una composicion quimica corresponde a la misma cantidad de libras como el peso molcular de una molecula de esta composicion en unidades de masa atomica.</t>
  </si>
  <si>
    <t>lbmol</t>
  </si>
  <si>
    <t>P45</t>
  </si>
  <si>
    <t>Libra de Mol por segundo</t>
  </si>
  <si>
    <t>No forma parte del sistema internacional de unidades.
Unidad de flujo del flujo molar que se refiere a que una libra mol de una composicion quimica el mismo nÃºmero de libras corresponde con el peso molcular de una molecula de esta composicion en la masa atomica de unidades.</t>
  </si>
  <si>
    <t>lbmol/s</t>
  </si>
  <si>
    <t>P46</t>
  </si>
  <si>
    <t>Libra Mol por minuto</t>
  </si>
  <si>
    <t>No forma parte del sistema internacional de unidades.
Unidad de flujo del flujo molar que se refiere a que una libra mol de una composicion quimica el mismo nÃºmero de libras corresponde como el peso molcular de una molecula de esta composicion en la masa atomica de unidades.</t>
  </si>
  <si>
    <t>lbmol/h</t>
  </si>
  <si>
    <t>P47</t>
  </si>
  <si>
    <t>KiloMol por kilogramo</t>
  </si>
  <si>
    <t>1000 veces la division de la unidad base mol por la base de la unidad kilogramo.</t>
  </si>
  <si>
    <t>kmol/kg</t>
  </si>
  <si>
    <t>P48</t>
  </si>
  <si>
    <t>Libra de Mol por libra</t>
  </si>
  <si>
    <t>Unidad del flujo molar material dividido por la libra avoirdupois para la masa de acuerdo con el sistema de unidades avoirdupois no SI-conforme.</t>
  </si>
  <si>
    <t>lbmol/lb</t>
  </si>
  <si>
    <t>P49</t>
  </si>
  <si>
    <t>Newton metro cuadrado por amperio</t>
  </si>
  <si>
    <t>Producto de la division de la unidad Newton y la unidad base metro 
Producto de la unidad derivada newton y la potencia del medidor de la unidad base con el exponente 2 dividido por el amperio de la unidad base.</t>
  </si>
  <si>
    <t>NÂ·mÂ²/A</t>
  </si>
  <si>
    <t>P5</t>
  </si>
  <si>
    <t>Paquete de cinco</t>
  </si>
  <si>
    <t>Unidad de conteo que define el nÃºmero de paquetes-cinco (paquete-cinco: set de cinco articulos empaquetados siempre)</t>
  </si>
  <si>
    <t>P50</t>
  </si>
  <si>
    <t>Metro weber</t>
  </si>
  <si>
    <t>Producto de la division entre  la unidad Weber y la unidad Metro.</t>
  </si>
  <si>
    <t>WbÂ·m</t>
  </si>
  <si>
    <t>P51</t>
  </si>
  <si>
    <t xml:space="preserve">Mol por kilogramo pascal </t>
  </si>
  <si>
    <t xml:space="preserve">Unidad base mol dividido por el producto de la unidad base SI kilogramo y la unidad derivada pascal SI. </t>
  </si>
  <si>
    <t>(mol/kg)/Pa</t>
  </si>
  <si>
    <t>P52</t>
  </si>
  <si>
    <t>Mol por metro cÃºbico pascal</t>
  </si>
  <si>
    <t>unidad base mol dividido por el producto de la potencia de la unidad base SI metros con exponente 3 y la unidad derivada pascal SI.</t>
  </si>
  <si>
    <t>(mol/mÂ³)/Pa</t>
  </si>
  <si>
    <t>P53</t>
  </si>
  <si>
    <t>Unit por segundo</t>
  </si>
  <si>
    <t>Sistema CGS (Centimetro-Gram-Segundo sistema) para el flujo magnetico de un polo magnetico (segÃºn la interaccion de polos identicos de 1 din a una distancia de un cm).</t>
  </si>
  <si>
    <t xml:space="preserve">unit pole </t>
  </si>
  <si>
    <t>P54</t>
  </si>
  <si>
    <t>MiliGray por segundo</t>
  </si>
  <si>
    <t>0.0001 veces de la unidad derivada Gray dividido por la unidad de base segundos.</t>
  </si>
  <si>
    <t>mGy/s</t>
  </si>
  <si>
    <t>P55</t>
  </si>
  <si>
    <t>MicroGray por segundo</t>
  </si>
  <si>
    <t>0.000 001 veces de la unidad derivada Gray dividido por la unidad de base segundos.</t>
  </si>
  <si>
    <t>ÂµGy/s</t>
  </si>
  <si>
    <t>P56</t>
  </si>
  <si>
    <t>NanoGray por segundo</t>
  </si>
  <si>
    <t>0.000 000 001 veces de la unidad derivada Gray dividido por la unidad de base segundos.</t>
  </si>
  <si>
    <t>nGy/s</t>
  </si>
  <si>
    <t>P57</t>
  </si>
  <si>
    <t>Gray por minuto</t>
  </si>
  <si>
    <t>Derivada del la unidad Gray dividida por la unidad minutos.</t>
  </si>
  <si>
    <t>Gy/min</t>
  </si>
  <si>
    <t>P58</t>
  </si>
  <si>
    <t>MiliGray por minuto</t>
  </si>
  <si>
    <t>0.001 veces de la unidad derivada de Gray dividida por la unidad de minutos.</t>
  </si>
  <si>
    <t>mGy/min</t>
  </si>
  <si>
    <t>P59</t>
  </si>
  <si>
    <t>Microgray por minuto</t>
  </si>
  <si>
    <t>0.000 001 veces de la unidad derivada gris SI dividido por la unidad de minutos.</t>
  </si>
  <si>
    <t>ÂµGy/min</t>
  </si>
  <si>
    <t>P6</t>
  </si>
  <si>
    <t>paquete de seis</t>
  </si>
  <si>
    <t>P60</t>
  </si>
  <si>
    <t>Nanogray por minuto</t>
  </si>
  <si>
    <t>0.000 000 001 veces de la unidad derivada gris SI dividido por la unidad de minutos.</t>
  </si>
  <si>
    <t>nGy/min</t>
  </si>
  <si>
    <t>P61</t>
  </si>
  <si>
    <t>Gray por hora</t>
  </si>
  <si>
    <t>Derivada de la unidad Gray por la derivada de la unidad hora.</t>
  </si>
  <si>
    <t>Gy/h</t>
  </si>
  <si>
    <t>P62</t>
  </si>
  <si>
    <t>MiliGray por hora</t>
  </si>
  <si>
    <t>0.001 veces de la unidad derivada Gray por la unidad hora</t>
  </si>
  <si>
    <t>mGy/h</t>
  </si>
  <si>
    <t>P63</t>
  </si>
  <si>
    <t>Micro gray por hora</t>
  </si>
  <si>
    <t>0.000 001 veces de la unidad derivada gris SI dividida por la hora unidad.</t>
  </si>
  <si>
    <t>ÂµGy/h</t>
  </si>
  <si>
    <t>P64</t>
  </si>
  <si>
    <t>Nanogray por hora</t>
  </si>
  <si>
    <t>0.000 000 001 veces de la unidad derivada gris SI dividida por la hora unidad.</t>
  </si>
  <si>
    <t>nGy/h</t>
  </si>
  <si>
    <t>P65</t>
  </si>
  <si>
    <t>Sievert por segundo</t>
  </si>
  <si>
    <t>Derivada de la unidad Sievert dividida por la unidad de base segundos.</t>
  </si>
  <si>
    <t>Sv/s</t>
  </si>
  <si>
    <t>P66</t>
  </si>
  <si>
    <t>MilliSievert por segundo</t>
  </si>
  <si>
    <t>0.001 veces de la unidad derivada Sievert dividida por la unidad de base segundos.</t>
  </si>
  <si>
    <t>mSv/s</t>
  </si>
  <si>
    <t>P67</t>
  </si>
  <si>
    <t>MicroSievert por segundo</t>
  </si>
  <si>
    <t>0.000 001 veces de la unidad derivada Sievert dividido por la unidad de base segundos.</t>
  </si>
  <si>
    <t>ÂµSv/s</t>
  </si>
  <si>
    <t>P68</t>
  </si>
  <si>
    <t>NanoSievert por segundo</t>
  </si>
  <si>
    <t>0.000 000 001 veces de la unidad derivada Sievert dividido por la unidad de base segundos.</t>
  </si>
  <si>
    <t>nSv/s</t>
  </si>
  <si>
    <t>P69</t>
  </si>
  <si>
    <t>Rem por segundo</t>
  </si>
  <si>
    <t>Unidad para la tasa de estano equivalente y relativa a DIN 1301-3: 1979: 1 rem / s = 0,01 J / (kg Â· s) = 1 Sv / s.</t>
  </si>
  <si>
    <t>rem/s</t>
  </si>
  <si>
    <t>P7</t>
  </si>
  <si>
    <t>Paquete de siete</t>
  </si>
  <si>
    <t>P70</t>
  </si>
  <si>
    <t>Sievert por hora</t>
  </si>
  <si>
    <t>Derivado unidad Sievert dividida por la hora unidad.</t>
  </si>
  <si>
    <t>Sv/h</t>
  </si>
  <si>
    <t>P71</t>
  </si>
  <si>
    <t>MilliSievert por hora</t>
  </si>
  <si>
    <t>0.001 veces de la unidad derivada Sievert SI dividida por la unidad hora.</t>
  </si>
  <si>
    <t>mSv/h</t>
  </si>
  <si>
    <t>P72</t>
  </si>
  <si>
    <t>Micro Sievert por hora</t>
  </si>
  <si>
    <t>0.000 001 veces de la unidad derivada Sievert dividida por la unidad hora.</t>
  </si>
  <si>
    <t>ÂµSv/h</t>
  </si>
  <si>
    <t>P73</t>
  </si>
  <si>
    <t>NanoSievert por hora</t>
  </si>
  <si>
    <t>0.000 000 001 veces de la unidad derivada Sievert dividida por la unidad hora.</t>
  </si>
  <si>
    <t>nSv/h</t>
  </si>
  <si>
    <t>P74</t>
  </si>
  <si>
    <t>Sievert por minuto</t>
  </si>
  <si>
    <t>Derivado unidad Sievert dividido por la unidad minuto.</t>
  </si>
  <si>
    <t>Sv/min</t>
  </si>
  <si>
    <t>P75</t>
  </si>
  <si>
    <t>MilliSievert por minuto</t>
  </si>
  <si>
    <t>0.001 veces de la unidad derivada Sievert dividido por la unidad de minutos.</t>
  </si>
  <si>
    <t>mSv/min</t>
  </si>
  <si>
    <t>P76</t>
  </si>
  <si>
    <t>MicroSievert por minuto</t>
  </si>
  <si>
    <t>0.000 001 veces de la unidad derivada Sievert dividido por la unidad de minutos.</t>
  </si>
  <si>
    <t>ÂµSv/min</t>
  </si>
  <si>
    <t>P77</t>
  </si>
  <si>
    <t xml:space="preserve">NanoSievert pominut </t>
  </si>
  <si>
    <t>0.000 000 001 veces de la unidad derivada Sievert dividido por la unidad de minutos.</t>
  </si>
  <si>
    <t>nSv/min</t>
  </si>
  <si>
    <t>P78</t>
  </si>
  <si>
    <t>Reciprocidad por segundo</t>
  </si>
  <si>
    <t>Complemento de la potencia de la unidad pulgada segÃºn el sistema Anglo-Americano e Imperial de unidades por exponente 2.</t>
  </si>
  <si>
    <t>1/inÂ²</t>
  </si>
  <si>
    <t>P79</t>
  </si>
  <si>
    <t>Pascal metro cuadrado por kilogramo</t>
  </si>
  <si>
    <t xml:space="preserve"> Unidad del indice de estallido como unidad derivada para pascal presion relacionada con la sustancia, representado como cociente de la unidad base SI kilogramo dividida por la potencia de la unidad base SI metros por exponente 2.</t>
  </si>
  <si>
    <t>Pa/(kg/mÂ²)</t>
  </si>
  <si>
    <t>P8</t>
  </si>
  <si>
    <t>Paquete de ocho</t>
  </si>
  <si>
    <t>P80</t>
  </si>
  <si>
    <t>Milipascal por metro.</t>
  </si>
  <si>
    <t xml:space="preserve"> 0.001 veces de la unidad derivada pascal dividido por la unidad de base metros.</t>
  </si>
  <si>
    <t>mPa/m</t>
  </si>
  <si>
    <t>P81</t>
  </si>
  <si>
    <t>Kilopascal por metro.</t>
  </si>
  <si>
    <t>1000 veces de la unidad derivada pascal dividido por la unidad de base metros.</t>
  </si>
  <si>
    <t>kPa/m</t>
  </si>
  <si>
    <t>P82</t>
  </si>
  <si>
    <t>Hectopascal por metro.</t>
  </si>
  <si>
    <t xml:space="preserve">100 veces de la unidad derivada pascal SI dividido por la unidad de base metros. </t>
  </si>
  <si>
    <t>hPa/m</t>
  </si>
  <si>
    <t>P83</t>
  </si>
  <si>
    <t>Atmosfera estandar por metro.</t>
  </si>
  <si>
    <t>Unidad anticuadas de la presion dividida por la unidad de base metros.</t>
  </si>
  <si>
    <t>Atm/m</t>
  </si>
  <si>
    <t>P84</t>
  </si>
  <si>
    <t>Atmosfera tecnica por metro.</t>
  </si>
  <si>
    <t>unidad obsoleta y no legal de la presion que se genera por una columna de agua de 10 metros dividida por la unidad de base metros.</t>
  </si>
  <si>
    <t>at/m</t>
  </si>
  <si>
    <t>P85</t>
  </si>
  <si>
    <t>Torr por metro.</t>
  </si>
  <si>
    <t>Unidad de la presion dividida por la unidad de base metros.</t>
  </si>
  <si>
    <t>Torr/m</t>
  </si>
  <si>
    <t>P86</t>
  </si>
  <si>
    <t>Psi por pulgada</t>
  </si>
  <si>
    <t>Unidad de compuesto para la presion (libra de fuerza de acuerdo con el sistema de la unidad angloamericana dividida por la potencia de la unidad de pulgada de acuerdo con el sistema angloamericano e Imperial de unidades con el exponente 2) dividido por la unidad de pulgada de acuerdo con la sistema angloamericano e Imperial de unidades.</t>
  </si>
  <si>
    <t>psi/in</t>
  </si>
  <si>
    <t>P87</t>
  </si>
  <si>
    <t>Metro cÃºbico por segundo de metro cuadrado</t>
  </si>
  <si>
    <t>Unidad de volumen de flujo metros cÃºbicos por segundo relacionado con la superficie de transmision en metros cuadrados.</t>
  </si>
  <si>
    <t>(mÂ³/s)/mÂ²</t>
  </si>
  <si>
    <t>P88</t>
  </si>
  <si>
    <t>Rhe</t>
  </si>
  <si>
    <t>Unidad no conforme a SI de fluidez de viscosidad dinamica</t>
  </si>
  <si>
    <t>rhe</t>
  </si>
  <si>
    <t>P89</t>
  </si>
  <si>
    <t>Libra por metro cÃºbico de pulgada</t>
  </si>
  <si>
    <t>lbfÂ·ft/in</t>
  </si>
  <si>
    <t>P9</t>
  </si>
  <si>
    <t>Nueve paquetes</t>
  </si>
  <si>
    <t>P90</t>
  </si>
  <si>
    <t>Libra-fuerza por pulgada cuadrada</t>
  </si>
  <si>
    <t>lbfÂ·in/in</t>
  </si>
  <si>
    <t>P91</t>
  </si>
  <si>
    <t>Permanente (0Â°c)</t>
  </si>
  <si>
    <t>Unidad tradicional para la capacidad de un material para permitir la transicion del vapor, definida a una temperatura de 0Â°C como transmitancia del vapor en la cual la masa de un grano de vapor penetra en un area de un pie cuadrado a una presion de mercurio de una pulgada por hora.</t>
  </si>
  <si>
    <t xml:space="preserve">perm (0 ÂºC) </t>
  </si>
  <si>
    <t>P92</t>
  </si>
  <si>
    <t>Permanente (23Â°c)</t>
  </si>
  <si>
    <t>Unidad tradicional para la capacidad de un material para permitir la transicion del vapor, definida a una temperatura de 23Â°C como transmitancia del vapor en la cual la masa de un grano de vapor penetra en un area de un pie cuadrado a una presion de mercurio de una pulgada por hora.</t>
  </si>
  <si>
    <t xml:space="preserve">perm (23 ÂºC) </t>
  </si>
  <si>
    <t>P93</t>
  </si>
  <si>
    <t>Byte por segundo</t>
  </si>
  <si>
    <t>Son utilizados para expresar la velocidad de transmision de datos o bit rate. Con frecuencia se usa en forma ambigua como bps, que para el SI significaria "bits por segundos"</t>
  </si>
  <si>
    <t>byte/s</t>
  </si>
  <si>
    <t>P94</t>
  </si>
  <si>
    <t>Kilobyte por segundo</t>
  </si>
  <si>
    <t>1000-veces la unidad de byte dividida por la unidad de base SI en segundo lugar.</t>
  </si>
  <si>
    <t>kbyte/s</t>
  </si>
  <si>
    <t>P95</t>
  </si>
  <si>
    <t>Megabite por segundo</t>
  </si>
  <si>
    <t>1 000 000 veces de la unidad de byte dividida por la unidad base SI segunda</t>
  </si>
  <si>
    <t>Mbyte/s</t>
  </si>
  <si>
    <t>P96</t>
  </si>
  <si>
    <t>Reciproco de la unidad si deriva voltio</t>
  </si>
  <si>
    <t>Reciproco de la unidad SI deriva voltio</t>
  </si>
  <si>
    <t>1/V</t>
  </si>
  <si>
    <t>P97</t>
  </si>
  <si>
    <t>Reciprocidad de Radian</t>
  </si>
  <si>
    <t>Reciproco de la unidad radian</t>
  </si>
  <si>
    <t>1/rad</t>
  </si>
  <si>
    <t>P98</t>
  </si>
  <si>
    <t>Pascal a la suma de potencia de los nÃºmeros estequimetricos</t>
  </si>
  <si>
    <t>Unidad de la constante de equilibrio sobre la base de la presion (ISO 80000-9: 2009, 9-35.a).</t>
  </si>
  <si>
    <t>Pa??B</t>
  </si>
  <si>
    <t>P99</t>
  </si>
  <si>
    <t>Mols por metro cÃºbico a la suma de potencia de los nÃºmeros estequimetricos</t>
  </si>
  <si>
    <t>Unidad de la constante de equilibrio sobre la base de la concentracion (ISO 80000-9: 2009, 9-36.a).</t>
  </si>
  <si>
    <t>(mol/mÂ³)??B</t>
  </si>
  <si>
    <t>PAL</t>
  </si>
  <si>
    <t>Pascal</t>
  </si>
  <si>
    <t xml:space="preserve">Es la presion uniforme que, actuando sobre una superficie plana de 1 metro cuadrado, ejerce perpendicularmente a esta superficie una fuerza total de 1 newton. </t>
  </si>
  <si>
    <t>Pa</t>
  </si>
  <si>
    <t>PB</t>
  </si>
  <si>
    <t>Par de la pulgada</t>
  </si>
  <si>
    <t>PD</t>
  </si>
  <si>
    <t>Almohadilla</t>
  </si>
  <si>
    <t>Unidad de conteo que define el nÃºmero de almohadillas (almohadilla: bloquea de hojas de papel sujetas juntas en un extremo).</t>
  </si>
  <si>
    <t>PE</t>
  </si>
  <si>
    <t>Libra equivalente</t>
  </si>
  <si>
    <t>PFL</t>
  </si>
  <si>
    <t xml:space="preserve">Litro de prueba </t>
  </si>
  <si>
    <t>Unidad de volumen igual a un litro de alcoholes de prueba, o su equivalente alcoholico. Se utiliza para medir la concentracion de licores alcoholicos destilados, expresada como porcentaje del contenido en alcohol de una mezcla patron a una tempreatura especifica.</t>
  </si>
  <si>
    <t>PGL</t>
  </si>
  <si>
    <t>Galon de prueba</t>
  </si>
  <si>
    <t>Unidad de volumen igual a un galon de alcoholes de prueba, o su equivalente alcoholico. Se utiliza para medir la concentracion de licores alcoholicos destilados, expresada como porcentaje del contenido en alcohol de una mezcla patron a una temperatura especifica.</t>
  </si>
  <si>
    <t>PI</t>
  </si>
  <si>
    <t>Tono</t>
  </si>
  <si>
    <t>Unidade de conteo que define el nÃºmero de caracteres que se ajustan en una pulgada horizontal</t>
  </si>
  <si>
    <t>PLA</t>
  </si>
  <si>
    <t xml:space="preserve">Grado de platon </t>
  </si>
  <si>
    <t>Unidad de proporcion que define el contenido de azÃºcar de un producto, especialmente en relacion con la cerveza</t>
  </si>
  <si>
    <t>Â°P</t>
  </si>
  <si>
    <t>PM</t>
  </si>
  <si>
    <t>Porcentaje de libra</t>
  </si>
  <si>
    <t>PO</t>
  </si>
  <si>
    <t>Libra por pulgada</t>
  </si>
  <si>
    <t>lb/in</t>
  </si>
  <si>
    <t>PQ</t>
  </si>
  <si>
    <t>Pagina por pulgada</t>
  </si>
  <si>
    <t>Unidad de cantidad que define el grado de espesor de una publicacion enlazada, expresada como el nÃºmero de de paginas por pulgada de espesor.</t>
  </si>
  <si>
    <t>ppi</t>
  </si>
  <si>
    <t>PR</t>
  </si>
  <si>
    <t>Par</t>
  </si>
  <si>
    <t>Unidad de conteo que define el nÃºmero de pares (par: descripcion por 2)</t>
  </si>
  <si>
    <t>Libra fuerza por pulgada cuadrada</t>
  </si>
  <si>
    <t>lbf/inÂ²</t>
  </si>
  <si>
    <t>PT</t>
  </si>
  <si>
    <t>Pinta (US)</t>
  </si>
  <si>
    <t>Utilice pinta liquida (codigo comÃºn PTL)</t>
  </si>
  <si>
    <t>Pt (US)</t>
  </si>
  <si>
    <t>PTD</t>
  </si>
  <si>
    <t>Pinta seca (estados unidos)</t>
  </si>
  <si>
    <t>dry pt (US)</t>
  </si>
  <si>
    <t>PTI</t>
  </si>
  <si>
    <t>Pint (uk)</t>
  </si>
  <si>
    <t>Es una unidad de volumen inglesa en el sistema imperial y los Estados Unidos. La version imperial usada en el UK es de 20 onzas liquidas y es equivalente a 568,26125 ml, mientras que en los EUA es de 16 onzas liquidas y es equivalente a 473,17647 ml.</t>
  </si>
  <si>
    <t>pt (UK)</t>
  </si>
  <si>
    <t>PTL</t>
  </si>
  <si>
    <t>Pinta liquida (estados unidos)</t>
  </si>
  <si>
    <t>liq pt (US)</t>
  </si>
  <si>
    <t>PTN</t>
  </si>
  <si>
    <t>Parte</t>
  </si>
  <si>
    <t xml:space="preserve">Cantidad de alimentos asignados o suficientes para una persona </t>
  </si>
  <si>
    <t>PV</t>
  </si>
  <si>
    <t>Media pinta (US)</t>
  </si>
  <si>
    <t>PW</t>
  </si>
  <si>
    <t>Libra por pulgada de ancho</t>
  </si>
  <si>
    <t>PY</t>
  </si>
  <si>
    <t>Pico seco (EUA)</t>
  </si>
  <si>
    <t>PZ</t>
  </si>
  <si>
    <t>Peck dry (UK)</t>
  </si>
  <si>
    <t>Q10</t>
  </si>
  <si>
    <t>Joule por tesla</t>
  </si>
  <si>
    <t>Unidad del momento dipolar magnetico de la molecula como derivado de la unidad SI joule dividido por la unidad SI derivada Tesla</t>
  </si>
  <si>
    <t>J/T</t>
  </si>
  <si>
    <t>Q11</t>
  </si>
  <si>
    <t>Erlang</t>
  </si>
  <si>
    <t xml:space="preserve">Unidad del valor del mercado de acuerdo con la caracteristica de una sola caracteristica como una medicion estadistica de la utilizacion existente </t>
  </si>
  <si>
    <t>E</t>
  </si>
  <si>
    <t>Q12</t>
  </si>
  <si>
    <t>Octeto</t>
  </si>
  <si>
    <t>Sinonimo por byte: 1octet =8bit = 1byte</t>
  </si>
  <si>
    <t>o</t>
  </si>
  <si>
    <t>Q13</t>
  </si>
  <si>
    <t>Octeto por segundo</t>
  </si>
  <si>
    <t>Unidad octeto dividido por la unidad base SI segundo</t>
  </si>
  <si>
    <t>o/s</t>
  </si>
  <si>
    <t>Q14</t>
  </si>
  <si>
    <t>Shannon</t>
  </si>
  <si>
    <t>Unidad logaritmica para la informacion igual al contenido de la decision de una oracion de dos sucesos mutuamente excluyentes, expresada como un logaritmo a la base 2.</t>
  </si>
  <si>
    <t>Sh</t>
  </si>
  <si>
    <t>Q15</t>
  </si>
  <si>
    <t>Hartley</t>
  </si>
  <si>
    <t>Unidad logaritmica para la informacion igual al contenido de la decision de una oracion de diez sucesos mutuamente excluyentes, expresada como un logaritmo base 10.</t>
  </si>
  <si>
    <t>Hart</t>
  </si>
  <si>
    <t>Q16</t>
  </si>
  <si>
    <t xml:space="preserve">Unidad natural de informacion </t>
  </si>
  <si>
    <t>Unidad logaritmica para informacion igual al contenido de la decision de una oracion de 718 281 828 459 sucesos mutuamente excluyentes, expresada como un logaritmo para basar el valor de Euler e.</t>
  </si>
  <si>
    <t>nat</t>
  </si>
  <si>
    <t>Q17</t>
  </si>
  <si>
    <t>Shannon por segundo</t>
  </si>
  <si>
    <t>Unidad logaritmica relacionada con el tiempo para informacion igual al contenido de la decision de una oracion de dos sucesos mutuamente excluyentes, expresada como logaritmo base 2.</t>
  </si>
  <si>
    <t>Sh/s</t>
  </si>
  <si>
    <t>Q18</t>
  </si>
  <si>
    <t xml:space="preserve">Hartley por segundo </t>
  </si>
  <si>
    <t xml:space="preserve">Unidad logaritmica relacionada con el tiempo para informacion igual al contenido de la decision de una oracion de diez sucesos mutuamente excluyentes, expresada como un logartimo a la base 10. </t>
  </si>
  <si>
    <t>Hart/s</t>
  </si>
  <si>
    <t>Q19</t>
  </si>
  <si>
    <t xml:space="preserve">Unidad natural de informacion por segundo </t>
  </si>
  <si>
    <t>Unidad logaritmica relacionada con el tiempo para informacion igual al contenido de la decision de una oracion 2.718281828459 mutuamente excluyentes, expresado como un logaritmo a la base del valor de Euler</t>
  </si>
  <si>
    <t>nat/s</t>
  </si>
  <si>
    <t>Q20</t>
  </si>
  <si>
    <t>Segundo por kilogramo</t>
  </si>
  <si>
    <t>Unidad de la probabilidad de transicion de Einsten para emisiones espontaneas o inductoras y absorcion segÃºn ISO 80000-7, expresada como unidad base SI segundo dividida por la unidad base kilogramo.</t>
  </si>
  <si>
    <t>s/kg</t>
  </si>
  <si>
    <t>Q21</t>
  </si>
  <si>
    <t>Watt metro cuadrado</t>
  </si>
  <si>
    <t>Unidad de las primeras constantes de radiacion c1=2.p.c0, cuyo valor es 3.74177118.10 6 veces la del valor comparativo del producto de la unidad SI deriva watts multiplicada con la potencia de la SI medidor de la unidad base con el exponente 2.</t>
  </si>
  <si>
    <t>WÂ·mÂ²</t>
  </si>
  <si>
    <t>Q22</t>
  </si>
  <si>
    <t xml:space="preserve">Segundo por metro cÃºbicos de radianes </t>
  </si>
  <si>
    <t>Unidad de la densidad de estados como una expresion de la frecuencia angular como complemento del producto de hertzio y radiante y la potencia del medidor de la unidad base SI por exponente 3.</t>
  </si>
  <si>
    <t>1/(HzÂ·radÂ·mÂ³)</t>
  </si>
  <si>
    <t>Q23</t>
  </si>
  <si>
    <t>Weber a la potencia menos uno</t>
  </si>
  <si>
    <t>Complemento de la unidad SI deriva weber como unidad de la constante de Joshepson, cuyo valor es igual al 384,597,891 veces del valor de referencia gigahertz dividido  por volt. 4</t>
  </si>
  <si>
    <t>1/Wb</t>
  </si>
  <si>
    <t>Q24</t>
  </si>
  <si>
    <t>Reciprocidad de Pulgada</t>
  </si>
  <si>
    <t>Complemento de la unidad pulgada segÃºn el sistema de unidades Anglo-Americanas e Imperial</t>
  </si>
  <si>
    <t>1/in</t>
  </si>
  <si>
    <t>Q25</t>
  </si>
  <si>
    <t>Dioptria</t>
  </si>
  <si>
    <t>Unidad utilizada en la declaracion de indices de refraccion relativos de sistemas opticos como complemento de la longitud focal con correspondencia con: 1dpt=1/m.</t>
  </si>
  <si>
    <t>dpt</t>
  </si>
  <si>
    <t>Q26</t>
  </si>
  <si>
    <t>Uno por uno</t>
  </si>
  <si>
    <t>Valor del cociente de dos unidades fisicas del mismo tipo que un numerador y denominador mientras que las unidades se acortan mutuamente</t>
  </si>
  <si>
    <t>Q27</t>
  </si>
  <si>
    <t>Newtons metros por metro</t>
  </si>
  <si>
    <t>Unidad para el momento de rotacion relacionado con la longitud como producto de la unidad SI derivada por el medidor de la unidad SI</t>
  </si>
  <si>
    <t>Q28</t>
  </si>
  <si>
    <t>Kilogramo por metro cuadrado pascal segundo</t>
  </si>
  <si>
    <t>Unidad para la capacidad de un material para permitir la transicion del vapor</t>
  </si>
  <si>
    <t>kg/(mÂ²Â·PaÂ·s)</t>
  </si>
  <si>
    <t>Q29</t>
  </si>
  <si>
    <t>Microgramo por hectogramo</t>
  </si>
  <si>
    <t>Âµg/hg</t>
  </si>
  <si>
    <t>Q3</t>
  </si>
  <si>
    <t>Comida</t>
  </si>
  <si>
    <t>Unidad de conteo que define el nÃºmero de comida</t>
  </si>
  <si>
    <t>Q30</t>
  </si>
  <si>
    <t>Ph (potencial de hidrogeno)</t>
  </si>
  <si>
    <t xml:space="preserve">Es una escala numerica utilizada para especificar la acidez o basicidad de una solucion acuosa . </t>
  </si>
  <si>
    <t>Q31</t>
  </si>
  <si>
    <t>Kilojoule por gramo</t>
  </si>
  <si>
    <t>kJ/g</t>
  </si>
  <si>
    <t>Q32</t>
  </si>
  <si>
    <t>Femtolitro</t>
  </si>
  <si>
    <t>fl</t>
  </si>
  <si>
    <t>Q33</t>
  </si>
  <si>
    <t>Picolitro</t>
  </si>
  <si>
    <t>pl</t>
  </si>
  <si>
    <t>Q34</t>
  </si>
  <si>
    <t>Nanolitro</t>
  </si>
  <si>
    <t>nl</t>
  </si>
  <si>
    <t>Q35</t>
  </si>
  <si>
    <t>Megawatts por minuto</t>
  </si>
  <si>
    <t>Unidad de potencia que define la cantidad total de energia mayor transferida o consumida en un minuto.</t>
  </si>
  <si>
    <t>MW/min</t>
  </si>
  <si>
    <t>Q36</t>
  </si>
  <si>
    <t>Metro cuadrado por metro cÃºbico</t>
  </si>
  <si>
    <t>Unidad de la cantidad de superficie por unidad de volumen de un objeto o coleccion de objetos</t>
  </si>
  <si>
    <t>m2/m3</t>
  </si>
  <si>
    <t>Q37</t>
  </si>
  <si>
    <t>Metro cÃºbico estandar por dia</t>
  </si>
  <si>
    <t>Metro cÃºbico estandar (temperatura 15 Â° C y presion 101325 milibares) por dia</t>
  </si>
  <si>
    <t>Q38</t>
  </si>
  <si>
    <t>Metro cÃºbico estandar por hora</t>
  </si>
  <si>
    <t>Q39</t>
  </si>
  <si>
    <t>Metro cÃºbico normalizado por dia</t>
  </si>
  <si>
    <t>Metro cÃºbico estandar (temperatura 0Â° C y presion 101325 milibares) por dia</t>
  </si>
  <si>
    <t>Q40</t>
  </si>
  <si>
    <t>Metro cÃºbico normalizado por hora</t>
  </si>
  <si>
    <t>Q41</t>
  </si>
  <si>
    <t>Joule por metro cÃºbico normalizado</t>
  </si>
  <si>
    <t>Joule por metro cÃºbico normalizado (temperatura 0 Â° C y presion 101325 milibares).</t>
  </si>
  <si>
    <t>Q42</t>
  </si>
  <si>
    <t>Joule por metro cÃºbico estandar</t>
  </si>
  <si>
    <t>Joule por metro cÃºbico normalizado (temperatura 15 Â° C y presion 101325 milibares).</t>
  </si>
  <si>
    <t>QA</t>
  </si>
  <si>
    <t>Pagina-fascimil</t>
  </si>
  <si>
    <t>Unidad de conteo que define el nÃºmero de paginas fascimil</t>
  </si>
  <si>
    <t>QAN</t>
  </si>
  <si>
    <t>Cuarto (de un ano)</t>
  </si>
  <si>
    <t>Unidad de tiempo que define el nÃºmero de anos (3 meses)</t>
  </si>
  <si>
    <t>QB</t>
  </si>
  <si>
    <t>Pagina, copia impresa</t>
  </si>
  <si>
    <t>Unidad de conteo que define el nÃºmero de copias impresas</t>
  </si>
  <si>
    <t>QD</t>
  </si>
  <si>
    <t>Cuarta docena</t>
  </si>
  <si>
    <t>QH</t>
  </si>
  <si>
    <t>Un cuarto de hora</t>
  </si>
  <si>
    <t>QK</t>
  </si>
  <si>
    <t>Cuarto de kilogramo</t>
  </si>
  <si>
    <t>QR</t>
  </si>
  <si>
    <t>Mano de papel</t>
  </si>
  <si>
    <t>Unidad de conteo para papel, expresada como el nÃºmero de manos de papel (mano de papel: numero de papel en hojas, tipicamente 25)</t>
  </si>
  <si>
    <t>qr</t>
  </si>
  <si>
    <t>QT</t>
  </si>
  <si>
    <t>Cuarto (EUA)</t>
  </si>
  <si>
    <t>Utilice cuarto de galon liquido (codigo comÃºn QTL)</t>
  </si>
  <si>
    <t>Qt (US)</t>
  </si>
  <si>
    <t>QTD</t>
  </si>
  <si>
    <t>Cuarto seco (estados unidos)</t>
  </si>
  <si>
    <t>dry qt (US)</t>
  </si>
  <si>
    <t>QTI</t>
  </si>
  <si>
    <t>Cuarto (UK)</t>
  </si>
  <si>
    <t>Es una unidad de medida de volumen equivalente a media fanega. En Castilla equivalia a aproximadamente a 6 celemines. La medida real cambia segÃºn regiones o incluso localidades.</t>
  </si>
  <si>
    <t>qt (UK)</t>
  </si>
  <si>
    <t>QTL</t>
  </si>
  <si>
    <t>Cuarto de liquido (estados unidos)</t>
  </si>
  <si>
    <t>liq qt (US)</t>
  </si>
  <si>
    <t>QTR</t>
  </si>
  <si>
    <t>Cuarto</t>
  </si>
  <si>
    <t>Unidad tradicional de peso igual a 1/4 de peso. En el Reino Unido 1/4 equivale a 28 libras.</t>
  </si>
  <si>
    <t>Qr (UK)</t>
  </si>
  <si>
    <t>R1</t>
  </si>
  <si>
    <t>Pica</t>
  </si>
  <si>
    <t>Unidad de conteo que define el nÃºmero de picas (pica: longitud tipografia igual a 12 puntos o 4,22 mm aprox)</t>
  </si>
  <si>
    <t>R9</t>
  </si>
  <si>
    <t xml:space="preserve">Mil metros cÃºbicos </t>
  </si>
  <si>
    <t>Unidad de volumen que equivale a mil metro cÃºbicos</t>
  </si>
  <si>
    <t>RH</t>
  </si>
  <si>
    <t>Hora de funcionamiento</t>
  </si>
  <si>
    <t>Unidad de tiempo que define el nÃºmero de horas de operacion</t>
  </si>
  <si>
    <t>RK</t>
  </si>
  <si>
    <t>Medida metrica de rollo</t>
  </si>
  <si>
    <t>RM</t>
  </si>
  <si>
    <t>Resma</t>
  </si>
  <si>
    <t>Unidad de conteo para papel, espresada como el nÃºmero de resmas (resma: una gran cantidad de hojas de papel, tipicamente 500)</t>
  </si>
  <si>
    <t>RN</t>
  </si>
  <si>
    <t>Medida metrica de Hojas (resma)</t>
  </si>
  <si>
    <t>ROM</t>
  </si>
  <si>
    <t>Habitacion</t>
  </si>
  <si>
    <t>Unidad de conteo que define el nÃºmero de habitaciones</t>
  </si>
  <si>
    <t>RP</t>
  </si>
  <si>
    <t>Libra por resma</t>
  </si>
  <si>
    <t>Unidad de masa para papel, expresada en libras por resma. (Resma: una gran cantidad de papel, tipicamente 500 hojas)</t>
  </si>
  <si>
    <t>RPM</t>
  </si>
  <si>
    <t>Revoluciones por minuto</t>
  </si>
  <si>
    <t>Consulte la Guia ISO / TC12 SI</t>
  </si>
  <si>
    <t>RPS</t>
  </si>
  <si>
    <t>Revoluciones por segundo</t>
  </si>
  <si>
    <t>r/s</t>
  </si>
  <si>
    <t>RS</t>
  </si>
  <si>
    <t>Reiniciar</t>
  </si>
  <si>
    <t>Milla de toneladas de ingresos</t>
  </si>
  <si>
    <t>Unidad de informacion tipicamente utilizada para propositos de facturacion, expresada como el nÃºmero de toneladas en ingresos: una tonelada metrica o un metro cÃºbico, la que sea mayor) se movio  a una distancia de una milla</t>
  </si>
  <si>
    <t>RU</t>
  </si>
  <si>
    <t>correr</t>
  </si>
  <si>
    <t>S3</t>
  </si>
  <si>
    <t>Pie cuadrado por segundo</t>
  </si>
  <si>
    <t>Sinonimo: pie cuadrado por segundo</t>
  </si>
  <si>
    <t>ftÂ²/s</t>
  </si>
  <si>
    <t>S4</t>
  </si>
  <si>
    <t>Metro cuadrado por segundo</t>
  </si>
  <si>
    <t>Sinonimo: metro cuadrado por segundo</t>
  </si>
  <si>
    <t>mÂ²/s</t>
  </si>
  <si>
    <t>S5</t>
  </si>
  <si>
    <t>Sesenta cuartos de pulgada</t>
  </si>
  <si>
    <t>S6</t>
  </si>
  <si>
    <t>Sesion</t>
  </si>
  <si>
    <t>S7</t>
  </si>
  <si>
    <t>unidad de almacenamiento</t>
  </si>
  <si>
    <t>S8</t>
  </si>
  <si>
    <t>Unidad de publicidad estandar</t>
  </si>
  <si>
    <t>SAN</t>
  </si>
  <si>
    <t>Medio ano</t>
  </si>
  <si>
    <t xml:space="preserve">Unidad de tiempo que define el nÃºmero de anos </t>
  </si>
  <si>
    <t>SCO</t>
  </si>
  <si>
    <t>Puntuacion</t>
  </si>
  <si>
    <t>Unidad de conteo que define el nÃºmero de unidades en multiplos de 20</t>
  </si>
  <si>
    <t>SCR</t>
  </si>
  <si>
    <t>EscrÃºpulo</t>
  </si>
  <si>
    <t>El escrÃºpulo (en ingles apothecary scruple) era Unidad de medida utilizada en farmacia para pesar ingredientes de los medicamentos.
El escrÃºpulo podia tener diferentes valores en cada pais: en Espana y Portugal, un escrÃºpulo equivalia a 24 granos (pesando 1,55517384 gramos), mientras que en el sistema imperial ingles correspondia a 20 granos (1,2959782 gramos).
En astronomia, un escrÃºpulo es el resultado de dividir en sesenta partes un grado de circulo.</t>
  </si>
  <si>
    <t>SD</t>
  </si>
  <si>
    <t>Libra solida</t>
  </si>
  <si>
    <t>SE</t>
  </si>
  <si>
    <t>Seccion</t>
  </si>
  <si>
    <t>SEC</t>
  </si>
  <si>
    <t>Segundo [unidad de tiempo]</t>
  </si>
  <si>
    <t xml:space="preserve">Supone comÃºnmente una sesentava parte de un minuto (1?60) y es esencial para la medicion en mÃºltiples sistemas de unidades. </t>
  </si>
  <si>
    <t>s</t>
  </si>
  <si>
    <t>SET</t>
  </si>
  <si>
    <t>Conjunto</t>
  </si>
  <si>
    <t>Unidad de conteo que define el nÃºmero de conjuntos (Conjunto: un nÃºmero de objetos agrupados)</t>
  </si>
  <si>
    <t>SG</t>
  </si>
  <si>
    <t xml:space="preserve">Segmento </t>
  </si>
  <si>
    <t>Unidad de informacion equivalente a 64000bytes</t>
  </si>
  <si>
    <t>SHT</t>
  </si>
  <si>
    <t>Tonelada de envios</t>
  </si>
  <si>
    <t>Unidad de masa que define el nÃºmero de toneladas para el envio.</t>
  </si>
  <si>
    <t>SIE</t>
  </si>
  <si>
    <t>Siemens</t>
  </si>
  <si>
    <t>Se denomina siemens a la unidad derivada del SI para la medida de la conductancia electrica.</t>
  </si>
  <si>
    <t>S</t>
  </si>
  <si>
    <t>SK</t>
  </si>
  <si>
    <t>Camion cisterna con division</t>
  </si>
  <si>
    <t>SM3</t>
  </si>
  <si>
    <t>Metro cÃºbico estandar</t>
  </si>
  <si>
    <t>Metro cÃºbico estandar (temperatura 15 Â° C y presion 101325 milibares)</t>
  </si>
  <si>
    <t>SMI</t>
  </si>
  <si>
    <t>Milla (milla estatal)</t>
  </si>
  <si>
    <t>Medida de longitud, especialmente utilizada en marina, que equivale a 1,852 m.</t>
  </si>
  <si>
    <t>mile</t>
  </si>
  <si>
    <t>SN</t>
  </si>
  <si>
    <t>Barra cuadrada</t>
  </si>
  <si>
    <t>RdÂ²</t>
  </si>
  <si>
    <t>SQ</t>
  </si>
  <si>
    <t>Cuadrado</t>
  </si>
  <si>
    <t>Unidad de conteo que define el nÃºmero de cuadrados (cuadrado: forma rectangular)</t>
  </si>
  <si>
    <t>SQR</t>
  </si>
  <si>
    <t>Cuadrado y techado</t>
  </si>
  <si>
    <t>Unidad de conteo que conteo que define el nÃºmero de plazas de materiales para techos, medida en mÃºltiplos de 100 pies cuadrados</t>
  </si>
  <si>
    <t>SR</t>
  </si>
  <si>
    <t>Tira</t>
  </si>
  <si>
    <t>Unidad de conteo que define el nÃºmero de tiras (pieza larga y estrecha de un objeto)</t>
  </si>
  <si>
    <t>SS</t>
  </si>
  <si>
    <t>Medida metrica de hoja</t>
  </si>
  <si>
    <t>SST</t>
  </si>
  <si>
    <t>Estandar corto (7200 partidos)</t>
  </si>
  <si>
    <t>STC</t>
  </si>
  <si>
    <t>Palo</t>
  </si>
  <si>
    <t>Unidad de conteo que define el nÃºmero de palos (palo: pieza delgada y a menudo cilindirca de una sustancia)</t>
  </si>
  <si>
    <t>STI</t>
  </si>
  <si>
    <t>Estone (UK)</t>
  </si>
  <si>
    <t>STK</t>
  </si>
  <si>
    <t>Palo, cigarrillo</t>
  </si>
  <si>
    <t>Unidad de conteo que define el nÃºmero de cigarrillos en la unidad mas pequena para el calculo de la poblacion y/o del trabajo</t>
  </si>
  <si>
    <t>STL</t>
  </si>
  <si>
    <t>Litro estandar</t>
  </si>
  <si>
    <t>Unidad de volumen que define el nÃºmero de litros de un producto a una temperatura de 15 grados celsius, especialmente en relacion con los aceites de hidrocarburos</t>
  </si>
  <si>
    <t>STN</t>
  </si>
  <si>
    <t>Tonelada (estados unidos) o tonelada corta (UK y estados unidos)</t>
  </si>
  <si>
    <t>Sinonimo: tonelada neta (2000 lb)</t>
  </si>
  <si>
    <t>ton (US)</t>
  </si>
  <si>
    <t>STW</t>
  </si>
  <si>
    <t>Paja</t>
  </si>
  <si>
    <t>Unidad de conteo que define el nÃºmero de pajitas (paja:un tubo delgado utilizado para succionar liquidos)</t>
  </si>
  <si>
    <t>SW</t>
  </si>
  <si>
    <t>NÃºmero de madejas</t>
  </si>
  <si>
    <t>Unidad de conteo que define el nÃºmero de madejas (skein:un paquete de hilo o hilo suelto)</t>
  </si>
  <si>
    <t>SX</t>
  </si>
  <si>
    <t>Envio</t>
  </si>
  <si>
    <t>Unidad de conteo que define el nÃºmero de envios (embarque: una cantidad de mercancias embarcadas o transportadas)</t>
  </si>
  <si>
    <t>SYR</t>
  </si>
  <si>
    <t>Jeringuilla</t>
  </si>
  <si>
    <t>Unidad de conteo que define el nÃºmero de jeringuillas (jeringa: un pequeno dispositivo para bombear, pulverizar y/o inyectar liquidos a traves de una pequena abertura)</t>
  </si>
  <si>
    <t>T0</t>
  </si>
  <si>
    <t>Linea de telecomunicaciones en servicio</t>
  </si>
  <si>
    <t>Unidad de conteo que define el nÃºmero de lineas de servicio</t>
  </si>
  <si>
    <t>T1</t>
  </si>
  <si>
    <t>Mil libras</t>
  </si>
  <si>
    <t>T3</t>
  </si>
  <si>
    <t>Mil pedazos</t>
  </si>
  <si>
    <t>Unidad de conteo que define el nÃºmero de piezas en mÃºltiplos de 1000 (pieza: un solo articulo, articulo o ejemplar)</t>
  </si>
  <si>
    <t>T4</t>
  </si>
  <si>
    <t>Bolsa de mil</t>
  </si>
  <si>
    <t>T5</t>
  </si>
  <si>
    <t>Mil envolturas</t>
  </si>
  <si>
    <t>T6</t>
  </si>
  <si>
    <t>Mil galones (US)</t>
  </si>
  <si>
    <t>T7</t>
  </si>
  <si>
    <t>Impresion de mil</t>
  </si>
  <si>
    <t>T8</t>
  </si>
  <si>
    <t>Mil pulgadas lineales</t>
  </si>
  <si>
    <t>TA</t>
  </si>
  <si>
    <t>Decimo de pie cÃºbico</t>
  </si>
  <si>
    <t>TAB</t>
  </si>
  <si>
    <t>Tonelada de registro bruto</t>
  </si>
  <si>
    <t>Una unidad de masa igual al total de las imagenes cÃºbicas antes de las deducciones, donde 1 registro t es igual a 100 pies cÃºbicos.Vease el Convenio internacional sobre el arqueo de los buques.</t>
  </si>
  <si>
    <t>TAH</t>
  </si>
  <si>
    <t>Kiloamperio-hora (milamperio-hora)</t>
  </si>
  <si>
    <t>kAÂ·h</t>
  </si>
  <si>
    <t>TAN</t>
  </si>
  <si>
    <t>NÃºmero de acido total</t>
  </si>
  <si>
    <t>Unidad de quimica que define la cantidad de hidroxido de potasio (KOH) en miligramos que se necesita para neutralizar los acidos en un gramo de aceite. Es una medida importante de la calidad del petroleo crudo</t>
  </si>
  <si>
    <t>TC</t>
  </si>
  <si>
    <t>Camion</t>
  </si>
  <si>
    <t>TD</t>
  </si>
  <si>
    <t>Termico</t>
  </si>
  <si>
    <t>TE</t>
  </si>
  <si>
    <t>Totalizador</t>
  </si>
  <si>
    <t>TF</t>
  </si>
  <si>
    <t>Diez yardas cuadradas</t>
  </si>
  <si>
    <t>TI</t>
  </si>
  <si>
    <t>Mil pulgadas cuadradas</t>
  </si>
  <si>
    <t>Unidad de medida imperial</t>
  </si>
  <si>
    <t>TIC</t>
  </si>
  <si>
    <t>Tonelada metrica, incluido el contenedor</t>
  </si>
  <si>
    <t>Unidad de masa que define el nÃºmero de toneladas metricas de un producto, incluyendo su contenedor</t>
  </si>
  <si>
    <t>TIP</t>
  </si>
  <si>
    <t>Tonelada metrica, incluido el embalaje interior</t>
  </si>
  <si>
    <t>Unidad de masa que define el nÃºmero de toneladas metricas de un producto, incluyendo sus materiales de embalaje interior</t>
  </si>
  <si>
    <t>Mil centimetros cuadrados</t>
  </si>
  <si>
    <t>TKM</t>
  </si>
  <si>
    <t>Tonelada kilometro</t>
  </si>
  <si>
    <t>Unidad de informacion tipicamente usada para propositos de facturacion, expresada como el nÃºmero de toneladas (toneladas metricas) movidas sobre una distancia de un kilometro</t>
  </si>
  <si>
    <t>tÂ·km</t>
  </si>
  <si>
    <t>TL</t>
  </si>
  <si>
    <t>Mil pies (lineal)</t>
  </si>
  <si>
    <t>TMS</t>
  </si>
  <si>
    <t>Kilogramo de carne importada, menos despojos</t>
  </si>
  <si>
    <t>Unidad de masa equivalente a mil gramos de carne importada, sin tener en cuenta los subproductos menos valiosos como las montanas</t>
  </si>
  <si>
    <t>TNE</t>
  </si>
  <si>
    <t>Tonelada (tonelada metrica)</t>
  </si>
  <si>
    <t>Sinonimo: tonelada metrica</t>
  </si>
  <si>
    <t>t</t>
  </si>
  <si>
    <t>TP</t>
  </si>
  <si>
    <t>Paquete de diez</t>
  </si>
  <si>
    <t>Unidad de conteo que define el nÃºmero de elementos en mÃºltiplos de 10</t>
  </si>
  <si>
    <t>TPI</t>
  </si>
  <si>
    <t>Dientes por pulgada</t>
  </si>
  <si>
    <t>El nÃºmero de dientes por pulgada</t>
  </si>
  <si>
    <t>TPR</t>
  </si>
  <si>
    <t>Decenas de pares</t>
  </si>
  <si>
    <t>Unidad de conteo que define el nÃºmero de pares en multiplos de 10 (par:elemento descrito por dos)</t>
  </si>
  <si>
    <t>TQ</t>
  </si>
  <si>
    <t>Mil pies</t>
  </si>
  <si>
    <t>TQD</t>
  </si>
  <si>
    <t xml:space="preserve">Mil metros cÃºbicos por dia </t>
  </si>
  <si>
    <t>Unidad de volumen igual a mil metros cÃºbicos por dia</t>
  </si>
  <si>
    <t>kmÂ³/d</t>
  </si>
  <si>
    <t>TR</t>
  </si>
  <si>
    <t>Diez pies cuadrados</t>
  </si>
  <si>
    <t>TRL</t>
  </si>
  <si>
    <t>Trillones (eur)</t>
  </si>
  <si>
    <t>Unidad de escala nÃºmerica</t>
  </si>
  <si>
    <t>Ts</t>
  </si>
  <si>
    <t>Mil pies cuadrados</t>
  </si>
  <si>
    <t>TSD</t>
  </si>
  <si>
    <t>Tonelada de sustancia 90% seca</t>
  </si>
  <si>
    <t>TSH</t>
  </si>
  <si>
    <t>Tonelada de vapor por hora</t>
  </si>
  <si>
    <t>TST</t>
  </si>
  <si>
    <t>Decena de conjuntos</t>
  </si>
  <si>
    <t>Unidad de conteo que define el nÃºmero de conjuntos en mÃºltiplos de 10 (conjunto: un nÃºmero de objetos agrupados)</t>
  </si>
  <si>
    <t>TT</t>
  </si>
  <si>
    <t>Mil metros lineales</t>
  </si>
  <si>
    <t>TTS</t>
  </si>
  <si>
    <t>Decenas de millar de pegatinas</t>
  </si>
  <si>
    <t>Unidad de conteo que define el nÃºmero de palos multiples de 10000 (Pegatina: pieza delgada y a menudo cilindrica de una sustancia)</t>
  </si>
  <si>
    <t>Tu</t>
  </si>
  <si>
    <t>Contenedor externo</t>
  </si>
  <si>
    <t>Tipo de caja de contencion que sirve como contenedor de transporte externo, no especificado como equipo de transporte.</t>
  </si>
  <si>
    <t>TV</t>
  </si>
  <si>
    <t>Mil kilogramos</t>
  </si>
  <si>
    <t>Mil hojas</t>
  </si>
  <si>
    <t>U1</t>
  </si>
  <si>
    <t xml:space="preserve">Tratamiento </t>
  </si>
  <si>
    <t>Unidad de conteo que define el nÃºmero de tratamientos (tratamiento: sujeccion a la accion de un agente quimico, fisico o biologico)</t>
  </si>
  <si>
    <t>U2</t>
  </si>
  <si>
    <t>NÃºmero de tabletas</t>
  </si>
  <si>
    <t>Unidad de conteo que define el nÃºmero de tabletas</t>
  </si>
  <si>
    <t>UA</t>
  </si>
  <si>
    <t>Torr</t>
  </si>
  <si>
    <t>UB</t>
  </si>
  <si>
    <t xml:space="preserve">Linea de telecomunicaciones en servicio promedio </t>
  </si>
  <si>
    <t>Unida de conteo que define el nÃºmero medio de lineas de servicio</t>
  </si>
  <si>
    <t>UC</t>
  </si>
  <si>
    <t xml:space="preserve">Puerto de telecomunicaciones </t>
  </si>
  <si>
    <t>Uindad de conteo que define el nÃºmero de pÃºertos de acceso a la red</t>
  </si>
  <si>
    <t>UD</t>
  </si>
  <si>
    <t>Decimo minuto</t>
  </si>
  <si>
    <t>UE</t>
  </si>
  <si>
    <t>Hora de decimo</t>
  </si>
  <si>
    <t>UF</t>
  </si>
  <si>
    <t>Uso por linea de telecomunicaciones promedio</t>
  </si>
  <si>
    <t>UH</t>
  </si>
  <si>
    <t>Diez mil yardas</t>
  </si>
  <si>
    <t>UM</t>
  </si>
  <si>
    <t>Millon de unidades</t>
  </si>
  <si>
    <t>UN</t>
  </si>
  <si>
    <t>Newton metro</t>
  </si>
  <si>
    <t>NÂ·m</t>
  </si>
  <si>
    <t>VA</t>
  </si>
  <si>
    <t>Voltio-amperio por kilogramo</t>
  </si>
  <si>
    <t>VÂ·A/kg</t>
  </si>
  <si>
    <t>VLT</t>
  </si>
  <si>
    <t>Voltio</t>
  </si>
  <si>
    <t>Es la unidad derivada del Sistema Internacional para el potencial electrico, la fuerza electromotriz y la tension electrica.</t>
  </si>
  <si>
    <t>VP</t>
  </si>
  <si>
    <t xml:space="preserve">Volumen porcentual </t>
  </si>
  <si>
    <t xml:space="preserve">Unidad de medida de concentracion, expresada tipicamente como el porcentaje de volumen de un soluto en una solucion </t>
  </si>
  <si>
    <t>VS</t>
  </si>
  <si>
    <t>Visita</t>
  </si>
  <si>
    <t>W2</t>
  </si>
  <si>
    <t xml:space="preserve">Kilo hÃºmedo </t>
  </si>
  <si>
    <t>Unidad de masa que define el nÃºmero de kilogramos de un producto, incluido el contenido de agua del producto.</t>
  </si>
  <si>
    <t>W4</t>
  </si>
  <si>
    <t>Dos semanas</t>
  </si>
  <si>
    <t>WA</t>
  </si>
  <si>
    <t xml:space="preserve">Watt por kilogramo </t>
  </si>
  <si>
    <t>Unidad de potencia</t>
  </si>
  <si>
    <t>W/kg</t>
  </si>
  <si>
    <t>WB</t>
  </si>
  <si>
    <t>Libra hÃºmeda</t>
  </si>
  <si>
    <t xml:space="preserve">Unidad de masa que define el nÃºmero de libras de un material, incluyendo el contenido de agua del material </t>
  </si>
  <si>
    <t>WCD</t>
  </si>
  <si>
    <t>Cable</t>
  </si>
  <si>
    <t>Unidad de volumen utilizada para medir la madera. Un pie de tabla equivale a 1/2 de un pie cÃºbico.</t>
  </si>
  <si>
    <t>WE</t>
  </si>
  <si>
    <t xml:space="preserve">Tonelada hÃºmeda </t>
  </si>
  <si>
    <t>Unidad de masa que define el nÃºmero de toneladas de un material, incluyendo el contenido de agua del material.</t>
  </si>
  <si>
    <t>WEB</t>
  </si>
  <si>
    <t>Weber</t>
  </si>
  <si>
    <t xml:space="preserve">Es el flujo magnetico que, al atravesar un circuito de una sola espira produce en la misma una fuerza electromotriz de 1 volt si se anula dicho flujo en un segundo por decaimiento uniforme. </t>
  </si>
  <si>
    <t>Wb</t>
  </si>
  <si>
    <t>WEE</t>
  </si>
  <si>
    <t>Semana</t>
  </si>
  <si>
    <t>Es el periodo de tiempo estandar utilizado para los ciclos de dias de trabajo y de descanso en la mayoria de las partes del mundo.</t>
  </si>
  <si>
    <t>wk</t>
  </si>
  <si>
    <t>WG</t>
  </si>
  <si>
    <t>Galon de vino</t>
  </si>
  <si>
    <t>Unidad de volumen igual a 231 pulgadas cÃºbicas</t>
  </si>
  <si>
    <t>WH</t>
  </si>
  <si>
    <t>Rueda</t>
  </si>
  <si>
    <t>WHR</t>
  </si>
  <si>
    <t>Watt hora</t>
  </si>
  <si>
    <t>WÂ·h</t>
  </si>
  <si>
    <t>WI</t>
  </si>
  <si>
    <t>Peso por pulgada cuadrada</t>
  </si>
  <si>
    <t>WM</t>
  </si>
  <si>
    <t xml:space="preserve">Mes de trabajo </t>
  </si>
  <si>
    <t>Unidad de tiempo que define el nÃºmero de meses de trabajo.</t>
  </si>
  <si>
    <t>WR</t>
  </si>
  <si>
    <t>Envolver</t>
  </si>
  <si>
    <t>WSD</t>
  </si>
  <si>
    <t>Estandar</t>
  </si>
  <si>
    <t>Unidad de volumen de madera acabada igual a 165 pies cÃºbicos.</t>
  </si>
  <si>
    <t>std</t>
  </si>
  <si>
    <t>WTT</t>
  </si>
  <si>
    <t>Watt</t>
  </si>
  <si>
    <t xml:space="preserve">Es la potencia que da lugar a una produccion de energia igual a 1 joule por segundo. </t>
  </si>
  <si>
    <t>W</t>
  </si>
  <si>
    <t>WW</t>
  </si>
  <si>
    <t>Mililitro de agua</t>
  </si>
  <si>
    <t>Unidad de volumen igual al nÃºmero de mililitros de agua.</t>
  </si>
  <si>
    <t>X1</t>
  </si>
  <si>
    <t>Cadena de gunter</t>
  </si>
  <si>
    <t xml:space="preserve">Empleada para medir distancias, formada por 100 eslabones metalicos, equivalentes a una longitud total de 20.1168 metros (66 pies) que aÃºn es ampliamente usada en los paises anglosajones. </t>
  </si>
  <si>
    <t>ch (UK)</t>
  </si>
  <si>
    <t>X1A</t>
  </si>
  <si>
    <t>Tambor de acero</t>
  </si>
  <si>
    <t>X1B</t>
  </si>
  <si>
    <t>Tambor de aluminio</t>
  </si>
  <si>
    <t>X1D</t>
  </si>
  <si>
    <t>Tambor contrachapado</t>
  </si>
  <si>
    <t>X1F</t>
  </si>
  <si>
    <t>Contenedor flexible</t>
  </si>
  <si>
    <t>Contenedor de empaque de construccion flexible.</t>
  </si>
  <si>
    <t>X1G</t>
  </si>
  <si>
    <t>Tambor de fibra</t>
  </si>
  <si>
    <t>X1w</t>
  </si>
  <si>
    <t>Tambor de madera</t>
  </si>
  <si>
    <t>X2C</t>
  </si>
  <si>
    <t>Barril de madera</t>
  </si>
  <si>
    <t>X3A</t>
  </si>
  <si>
    <t>Bidon de acero</t>
  </si>
  <si>
    <t>X3H</t>
  </si>
  <si>
    <t>Bidon de plastico</t>
  </si>
  <si>
    <t>X43</t>
  </si>
  <si>
    <t>Bolsa de gran tamano</t>
  </si>
  <si>
    <t>Bolsa de tela de plastico o de papel que tiene las dimensiones del pallet sobre el que esta construido.</t>
  </si>
  <si>
    <t>X44</t>
  </si>
  <si>
    <t>Bolsa de plastico</t>
  </si>
  <si>
    <t>Un tipo de bolsa de plastico, normalmente utilizada para envolver piezas promocionales, publicaciones, muestras de productos y / o catalogos.</t>
  </si>
  <si>
    <t>X4A</t>
  </si>
  <si>
    <t>Caja de acero</t>
  </si>
  <si>
    <t>X4B</t>
  </si>
  <si>
    <t>Caja de aluminio</t>
  </si>
  <si>
    <t>X4C</t>
  </si>
  <si>
    <t>Caja de  madera natural</t>
  </si>
  <si>
    <t>X4D</t>
  </si>
  <si>
    <t>Caja de contrachapado</t>
  </si>
  <si>
    <t>X4F</t>
  </si>
  <si>
    <t>Caja de madera reconstituida</t>
  </si>
  <si>
    <t>X4G</t>
  </si>
  <si>
    <t>Caja de carton</t>
  </si>
  <si>
    <t>X4H</t>
  </si>
  <si>
    <t>Caja de plastico</t>
  </si>
  <si>
    <t>X5H</t>
  </si>
  <si>
    <t>Bolsa de plastico tejido</t>
  </si>
  <si>
    <t>X5L</t>
  </si>
  <si>
    <t>Bolsa textil</t>
  </si>
  <si>
    <t>X5M</t>
  </si>
  <si>
    <t>Bolsa de papel</t>
  </si>
  <si>
    <t>X6H</t>
  </si>
  <si>
    <t>Recipiente de plastico, Contenedor compuesto.</t>
  </si>
  <si>
    <t>X6P</t>
  </si>
  <si>
    <t>Recipiente de vidrio, Contenedor compuesto.</t>
  </si>
  <si>
    <t>X7A</t>
  </si>
  <si>
    <t>Estuche para carro</t>
  </si>
  <si>
    <t>Tipo de contenedor portatil disenado para almacenar equipo para el transporte en un automovil.</t>
  </si>
  <si>
    <t>X7B</t>
  </si>
  <si>
    <t>Estuche de madera</t>
  </si>
  <si>
    <t>Un estuche de madera para retener sustancias o articulos.</t>
  </si>
  <si>
    <t>X8A</t>
  </si>
  <si>
    <t>Pallet de madera</t>
  </si>
  <si>
    <t>Plataforma o caja abierta de madera, en la que se conservan las mercancias para facilitar su manejo mecanico durante el transporte y almacenamiento.</t>
  </si>
  <si>
    <t>X8B</t>
  </si>
  <si>
    <t>Cajon de madera</t>
  </si>
  <si>
    <t>Un contenedor de madera, en el que se conservan las mercancias para facilitar su manipulacion mecanica durante el transporte y almacenamiento.</t>
  </si>
  <si>
    <t>X8C</t>
  </si>
  <si>
    <t>Madera flejada</t>
  </si>
  <si>
    <t>Piezas sueltas o sin contenedor de madera atadas o envueltas.</t>
  </si>
  <si>
    <t>XAA</t>
  </si>
  <si>
    <t>Contenedor intermedio  para graneles de plastico rigido</t>
  </si>
  <si>
    <t>XAB</t>
  </si>
  <si>
    <t>Contenedor de fibra</t>
  </si>
  <si>
    <t>Recipiente de contencion de fibra, utilizado para retener sustancias o articulos.</t>
  </si>
  <si>
    <t>XAC</t>
  </si>
  <si>
    <t>Contenedor de papel</t>
  </si>
  <si>
    <t>Recipiente de contencion de papel, para retener sustancias o articulos.</t>
  </si>
  <si>
    <t>XAD</t>
  </si>
  <si>
    <t>Contenedor de madera</t>
  </si>
  <si>
    <t>Recipiente de contencion de madera, para retener sustancias o articulos.</t>
  </si>
  <si>
    <t>XAE</t>
  </si>
  <si>
    <t>Aerosol</t>
  </si>
  <si>
    <t>Una unidad de cuenta que define el nÃºmero de Aerosoles</t>
  </si>
  <si>
    <t>XAF</t>
  </si>
  <si>
    <t>Pallet modular con collares,  80cms * 60cms</t>
  </si>
  <si>
    <t>Pallet de tamano estandar con dimensiones de 80 centimetros por 60 centimetros (cms).</t>
  </si>
  <si>
    <t>XAG</t>
  </si>
  <si>
    <t>Pallet o empaquetado</t>
  </si>
  <si>
    <t>La carga del pallet se asegura con una pelicula de plastico transparente envuelta alrededor y luego encogido firmemente.</t>
  </si>
  <si>
    <t>XAH</t>
  </si>
  <si>
    <t>Pallet, 100cms X 110cms</t>
  </si>
  <si>
    <t>Pallet tamano estandar con dimensiones de 100 centimetros por 110 centimetros (cms).</t>
  </si>
  <si>
    <t>XAI</t>
  </si>
  <si>
    <t>Contenedor tipo concha</t>
  </si>
  <si>
    <t>XAJ</t>
  </si>
  <si>
    <t>Cono</t>
  </si>
  <si>
    <t>Contenedor utilizado en el transporte de material lineal como el hilo.</t>
  </si>
  <si>
    <t>XAL</t>
  </si>
  <si>
    <t>Esfera</t>
  </si>
  <si>
    <t>Recipiente de contencion esferico para retener sustancias o articulos.</t>
  </si>
  <si>
    <t>XAM</t>
  </si>
  <si>
    <t>Ampolleta no protegida</t>
  </si>
  <si>
    <t>XAP</t>
  </si>
  <si>
    <t>Ampolleta protegida</t>
  </si>
  <si>
    <t>XAT</t>
  </si>
  <si>
    <t>Atomizador</t>
  </si>
  <si>
    <t>XAV</t>
  </si>
  <si>
    <t>Capsula</t>
  </si>
  <si>
    <t>XB4</t>
  </si>
  <si>
    <t>Cinturon</t>
  </si>
  <si>
    <t>Banda utiliza para retener varios articulos juntos.</t>
  </si>
  <si>
    <t>XBA</t>
  </si>
  <si>
    <t>Barril</t>
  </si>
  <si>
    <t>XBB</t>
  </si>
  <si>
    <t>Bobina</t>
  </si>
  <si>
    <t>XBC</t>
  </si>
  <si>
    <t>Cajon para botellas / Estante para botellas</t>
  </si>
  <si>
    <t>XBD</t>
  </si>
  <si>
    <t>Tablero</t>
  </si>
  <si>
    <t>XBE</t>
  </si>
  <si>
    <t>Flejado</t>
  </si>
  <si>
    <t>XBF</t>
  </si>
  <si>
    <t>Globo no protegido</t>
  </si>
  <si>
    <t>XBG</t>
  </si>
  <si>
    <t>Bolso</t>
  </si>
  <si>
    <t>Recipiente de material flexible con tapa abierta o cerrada.</t>
  </si>
  <si>
    <t>XBH</t>
  </si>
  <si>
    <t>Manojo</t>
  </si>
  <si>
    <t>XBI</t>
  </si>
  <si>
    <t>Compartimiento</t>
  </si>
  <si>
    <t>XBJ</t>
  </si>
  <si>
    <t>Cubeta</t>
  </si>
  <si>
    <t>XBK</t>
  </si>
  <si>
    <t>Cesta</t>
  </si>
  <si>
    <t>XBL</t>
  </si>
  <si>
    <t>Paca comprimida</t>
  </si>
  <si>
    <t>XBM</t>
  </si>
  <si>
    <t>Cuenco</t>
  </si>
  <si>
    <t>XBN</t>
  </si>
  <si>
    <t>Paca no comprimida</t>
  </si>
  <si>
    <t>XBO</t>
  </si>
  <si>
    <t>Botella no-protegida y cilindrica</t>
  </si>
  <si>
    <t>Recipiente de forma cilindrica de cuello estrecho sin material de empaque protector externo.</t>
  </si>
  <si>
    <t>XBP</t>
  </si>
  <si>
    <t>Globo protegido</t>
  </si>
  <si>
    <t>XBQ</t>
  </si>
  <si>
    <t>Botella cilindrica protegida</t>
  </si>
  <si>
    <t>Recipiente de forma cilindrica de cuello estrecho con material de empaque protector externo.</t>
  </si>
  <si>
    <t>XBR</t>
  </si>
  <si>
    <t>Barra</t>
  </si>
  <si>
    <t>XBS</t>
  </si>
  <si>
    <t>Botella, no-protegida en forma de bulbo</t>
  </si>
  <si>
    <t>Recipiente en forma de bulbo de cuello estrecho sin material de empaque protector externo.</t>
  </si>
  <si>
    <t>XBT</t>
  </si>
  <si>
    <t>Rollo de tela</t>
  </si>
  <si>
    <t>XBU</t>
  </si>
  <si>
    <t>Butt</t>
  </si>
  <si>
    <t>Barril de 1/2 tonel</t>
  </si>
  <si>
    <t>XBV</t>
  </si>
  <si>
    <t>Botella de bulbo protegido</t>
  </si>
  <si>
    <t>Recipiente en forma de bulbo de cuello estrecho con material de empaque protector externo.</t>
  </si>
  <si>
    <t>XBW</t>
  </si>
  <si>
    <t>Caja para liquidos</t>
  </si>
  <si>
    <t>XBX</t>
  </si>
  <si>
    <t>Caja</t>
  </si>
  <si>
    <t>XBY</t>
  </si>
  <si>
    <t>Tablero, con fleje/ agrupados/ armados</t>
  </si>
  <si>
    <t>XBZ</t>
  </si>
  <si>
    <t>Barras, con fleje/ agrupados/ armados</t>
  </si>
  <si>
    <t>XCA</t>
  </si>
  <si>
    <t>Lata rectangular</t>
  </si>
  <si>
    <t>XCB</t>
  </si>
  <si>
    <t>Cajon para cerveza</t>
  </si>
  <si>
    <t>XCC</t>
  </si>
  <si>
    <t>Mantequera</t>
  </si>
  <si>
    <t>XCD</t>
  </si>
  <si>
    <t>Lata con mango y boquilla</t>
  </si>
  <si>
    <t>XCE</t>
  </si>
  <si>
    <t>Cesto tejido</t>
  </si>
  <si>
    <t>XCF</t>
  </si>
  <si>
    <t>Cofre</t>
  </si>
  <si>
    <t>XCG</t>
  </si>
  <si>
    <t>Contenedor tipo Jaula</t>
  </si>
  <si>
    <t>XCH</t>
  </si>
  <si>
    <t>Cajonera</t>
  </si>
  <si>
    <t>XCI</t>
  </si>
  <si>
    <t>Frasco</t>
  </si>
  <si>
    <t>XCJ</t>
  </si>
  <si>
    <t>AtaÃºd</t>
  </si>
  <si>
    <t>XCK</t>
  </si>
  <si>
    <t>Barrica</t>
  </si>
  <si>
    <t>XCL</t>
  </si>
  <si>
    <t>Espiral</t>
  </si>
  <si>
    <t>XCM</t>
  </si>
  <si>
    <t>Paquete de tarjetas</t>
  </si>
  <si>
    <t>Paquete plano normalmente hecho de carton desde / hacia el cual el producto es a menudo colgado o unido.</t>
  </si>
  <si>
    <t>XCN</t>
  </si>
  <si>
    <t>Contenedor, no especificado como equipo de transporte</t>
  </si>
  <si>
    <t>XCO</t>
  </si>
  <si>
    <t>Garrafon no protegido</t>
  </si>
  <si>
    <t>XCP</t>
  </si>
  <si>
    <t>Garrafon protegido</t>
  </si>
  <si>
    <t>XCQ</t>
  </si>
  <si>
    <t>Cartucho</t>
  </si>
  <si>
    <t>Paquete que contiene una carga tal como un explosivo propulsor para armas de fuego o toner de tinta para una impresora.</t>
  </si>
  <si>
    <t>XCR</t>
  </si>
  <si>
    <t>Cajon</t>
  </si>
  <si>
    <t>XCS</t>
  </si>
  <si>
    <t>Estuche</t>
  </si>
  <si>
    <t>XCT</t>
  </si>
  <si>
    <t>Carton</t>
  </si>
  <si>
    <t>XCU</t>
  </si>
  <si>
    <t>Vaso</t>
  </si>
  <si>
    <t>XCV</t>
  </si>
  <si>
    <t>Cubierta</t>
  </si>
  <si>
    <t>XCW</t>
  </si>
  <si>
    <t>Jaula estilo rodillo</t>
  </si>
  <si>
    <t>XCX</t>
  </si>
  <si>
    <t>Lata cilindrica</t>
  </si>
  <si>
    <t>XCY</t>
  </si>
  <si>
    <t>Cilindro</t>
  </si>
  <si>
    <t>XCZ</t>
  </si>
  <si>
    <t>Lona</t>
  </si>
  <si>
    <t>XDA</t>
  </si>
  <si>
    <t>Cajon multicapa de plastico</t>
  </si>
  <si>
    <t>XDB</t>
  </si>
  <si>
    <t>Cajon de varias capas de madera</t>
  </si>
  <si>
    <t>XDC</t>
  </si>
  <si>
    <t>Cajon multicapa de carton</t>
  </si>
  <si>
    <t>XDG</t>
  </si>
  <si>
    <t>Jaula, SegÃºn la clasificacion de la compania (Commonwealth Handling Equipment Pool (CHEP))</t>
  </si>
  <si>
    <t>XDH</t>
  </si>
  <si>
    <t>Caja, SegÃºn la clasificacion de la compania (CHEP), Eurobox</t>
  </si>
  <si>
    <t>Caja montada sobre una base de pallet SegÃºn la clasificacion de la compania (CHEP).</t>
  </si>
  <si>
    <t>XDI</t>
  </si>
  <si>
    <t>Tambor de hierro</t>
  </si>
  <si>
    <t>XDJ</t>
  </si>
  <si>
    <t>damajuana o garrafa, no protegido</t>
  </si>
  <si>
    <t>XDK</t>
  </si>
  <si>
    <t>Cajon a granel, carton</t>
  </si>
  <si>
    <t>XDL</t>
  </si>
  <si>
    <t>Cajas de plastico</t>
  </si>
  <si>
    <t>XDM</t>
  </si>
  <si>
    <t>Cajones a granel de madera</t>
  </si>
  <si>
    <t>XDN</t>
  </si>
  <si>
    <t>Dispensador</t>
  </si>
  <si>
    <t>XDP</t>
  </si>
  <si>
    <t>damajuana o garrafa, protegido</t>
  </si>
  <si>
    <t>XDR</t>
  </si>
  <si>
    <t>Tambor</t>
  </si>
  <si>
    <t>XDS</t>
  </si>
  <si>
    <t>Bandeja de una capa sin cubierta y de plastico</t>
  </si>
  <si>
    <t>XDT</t>
  </si>
  <si>
    <t>Bandeja de una capa sin cubierta y de madera</t>
  </si>
  <si>
    <t>XDU</t>
  </si>
  <si>
    <t>Bandeja de una capa sin cubierta y  poliestireno</t>
  </si>
  <si>
    <t>XDV</t>
  </si>
  <si>
    <t>Bandeja de una capa sin cubierta y de carton</t>
  </si>
  <si>
    <t>XDW</t>
  </si>
  <si>
    <t>Bandeja de dos capas sin tapa y con bandeja de plastico</t>
  </si>
  <si>
    <t>XDX</t>
  </si>
  <si>
    <t>Bandeja de dos capas sin cubierta y de madera</t>
  </si>
  <si>
    <t>XDY</t>
  </si>
  <si>
    <t>Bandeja de dos capas sin cubierta y de carton</t>
  </si>
  <si>
    <t>XEC</t>
  </si>
  <si>
    <t>XED</t>
  </si>
  <si>
    <t>Estuche, con pallet de base</t>
  </si>
  <si>
    <t>XEE</t>
  </si>
  <si>
    <t>Estuche, con pallet base de madera</t>
  </si>
  <si>
    <t>XEF</t>
  </si>
  <si>
    <t>Estuche, con pallet base de carton</t>
  </si>
  <si>
    <t>XEG</t>
  </si>
  <si>
    <t>Estuche, con pallet base de plastico</t>
  </si>
  <si>
    <t>XEH</t>
  </si>
  <si>
    <t>Estuche, con pallet base de metal</t>
  </si>
  <si>
    <t>XEI</t>
  </si>
  <si>
    <t>Estuche isotermico</t>
  </si>
  <si>
    <t>XEN</t>
  </si>
  <si>
    <t>Sobre</t>
  </si>
  <si>
    <t>XFB</t>
  </si>
  <si>
    <t>Bolsa flexible</t>
  </si>
  <si>
    <t>Bolsa de contencion flexible hecha de plastico, usado tipicamente para el transporte de mercancias no peligrosas a granel, que usan contenedores de transporte de tamano estandar.</t>
  </si>
  <si>
    <t>XFC</t>
  </si>
  <si>
    <t>Cajon para fruta</t>
  </si>
  <si>
    <t>XFD</t>
  </si>
  <si>
    <t>Cajon enmarcado</t>
  </si>
  <si>
    <t>XFE</t>
  </si>
  <si>
    <t>Tanque flexible</t>
  </si>
  <si>
    <t>Contenedor flexible de plastico, usado tipicamente para el transporte de cargas no peligrosas a granel usando contenedores de transporte de tamano estandar.</t>
  </si>
  <si>
    <t>XFI</t>
  </si>
  <si>
    <t>Firkin</t>
  </si>
  <si>
    <t>Barril de 41 litros</t>
  </si>
  <si>
    <t>XFL</t>
  </si>
  <si>
    <t>Matraz</t>
  </si>
  <si>
    <t>XFO</t>
  </si>
  <si>
    <t>Cajon para zapatos</t>
  </si>
  <si>
    <t>XFP</t>
  </si>
  <si>
    <t>Caja auxiliar para pelicula fotografica</t>
  </si>
  <si>
    <t>XFR</t>
  </si>
  <si>
    <t>Marco</t>
  </si>
  <si>
    <t>XFT</t>
  </si>
  <si>
    <t>Contenedor para alimentos</t>
  </si>
  <si>
    <t>XFW</t>
  </si>
  <si>
    <t>Carro de cama plana</t>
  </si>
  <si>
    <t>Modulo con ruedas en el que las bandejas u otros articulos de forma regular se empacan para fines de transporte.</t>
  </si>
  <si>
    <t>XFX</t>
  </si>
  <si>
    <t>Bolsa flexible tipo contenedor</t>
  </si>
  <si>
    <t>XGB</t>
  </si>
  <si>
    <t>Botella para gas</t>
  </si>
  <si>
    <t>Cilindro metalico de cuello estrecho para la retencion de gas licuado o comprimido.</t>
  </si>
  <si>
    <t>XGI</t>
  </si>
  <si>
    <t>XGL</t>
  </si>
  <si>
    <t>Contenedor tipo galon</t>
  </si>
  <si>
    <t>Contenedor con una capacidad de un galon.</t>
  </si>
  <si>
    <t>XGR</t>
  </si>
  <si>
    <t>Recipiente de vidrio</t>
  </si>
  <si>
    <t>Recipiente de contencion de vidrio para retener sustancias o articulos.</t>
  </si>
  <si>
    <t>XGU</t>
  </si>
  <si>
    <t>Bandeja contenedor para apilar horizontalmente objetos planos</t>
  </si>
  <si>
    <t>Bandeja para contiene objetos planos apilados uno encima del otro.</t>
  </si>
  <si>
    <t>XGY</t>
  </si>
  <si>
    <t>Costal de Yute</t>
  </si>
  <si>
    <t>Hecho de yute, usado para transportar mercancias gruesas, tales como granos, patatas, y otros productos agricolas.</t>
  </si>
  <si>
    <t>XGZ</t>
  </si>
  <si>
    <t>Vigas con correas o agrupadas</t>
  </si>
  <si>
    <t>XHA</t>
  </si>
  <si>
    <t>Cesta con mango y de plastico</t>
  </si>
  <si>
    <t>XHB</t>
  </si>
  <si>
    <t>Cesta con mango y de madera</t>
  </si>
  <si>
    <t>XHC</t>
  </si>
  <si>
    <t>Cesta  con asa y de  carton</t>
  </si>
  <si>
    <t>XHG</t>
  </si>
  <si>
    <t>Hogshead</t>
  </si>
  <si>
    <t>Barril de 1/4 de tonel</t>
  </si>
  <si>
    <t>XHN</t>
  </si>
  <si>
    <t>Gancho</t>
  </si>
  <si>
    <t>Artefacto, cuya forma con un gancho en la parte superior, tiene el proposito de colgar articulos de un carril.</t>
  </si>
  <si>
    <t>XHR</t>
  </si>
  <si>
    <t>Cesto</t>
  </si>
  <si>
    <t>XIA</t>
  </si>
  <si>
    <t>Paquete con pantalla y de madera</t>
  </si>
  <si>
    <t>XIB</t>
  </si>
  <si>
    <t>Paquete  con pantalla y de carton</t>
  </si>
  <si>
    <t>XIC</t>
  </si>
  <si>
    <t>Paquete con pantalla y de plastico</t>
  </si>
  <si>
    <t>XID</t>
  </si>
  <si>
    <t>Paquete con pantalla y de metal</t>
  </si>
  <si>
    <t>XIE</t>
  </si>
  <si>
    <t>Paquete de mostrador.</t>
  </si>
  <si>
    <t>XIF</t>
  </si>
  <si>
    <t>Envase para alimentos</t>
  </si>
  <si>
    <t>Envase flexible tubular o de piel, posiblemente transparente, a menudo utilizado para contener alimentos (por ejemplo salami).</t>
  </si>
  <si>
    <t>XIG</t>
  </si>
  <si>
    <t>Paquete envuelto en papel</t>
  </si>
  <si>
    <t>XIH</t>
  </si>
  <si>
    <t>Tambor de plastico</t>
  </si>
  <si>
    <t>XIK</t>
  </si>
  <si>
    <t>Paquete de carton con los agujeros para botellas</t>
  </si>
  <si>
    <t>Material de empaque realizado en carton que facilita la separacion de botellas individuales de vidrio o plastico.</t>
  </si>
  <si>
    <t>XIL</t>
  </si>
  <si>
    <t>Bandeja rigida con tapa y apilable (CEN TS 14482: 2002)</t>
  </si>
  <si>
    <t>Bandeja rigida apilable empotrada compatible con CEN TS 14482: 2002.</t>
  </si>
  <si>
    <t>XIN</t>
  </si>
  <si>
    <t>Lingote</t>
  </si>
  <si>
    <t>XIZ</t>
  </si>
  <si>
    <t>Lingotes  con correas/ agrupados</t>
  </si>
  <si>
    <t>XJB</t>
  </si>
  <si>
    <t>Bolsa jumbo</t>
  </si>
  <si>
    <t>Bolsa de contencion flexible, ampliamente utilizada para almacenamiento, transporte y manipulacion de materiales en polvo, escamas o granulares.Â Tipicamente construido a partir de tejido de polipropileno (PP) tejido en forma de bolsas cÃºbicas.</t>
  </si>
  <si>
    <t>XJC</t>
  </si>
  <si>
    <t>Bidon rectangular</t>
  </si>
  <si>
    <t>XJG</t>
  </si>
  <si>
    <t>Jarra</t>
  </si>
  <si>
    <t>XJR</t>
  </si>
  <si>
    <t>Tarro</t>
  </si>
  <si>
    <t>XJT</t>
  </si>
  <si>
    <t>Bolsa de yute</t>
  </si>
  <si>
    <t>XJY</t>
  </si>
  <si>
    <t>Bidon, cilindrico</t>
  </si>
  <si>
    <t>XKG</t>
  </si>
  <si>
    <t>Barrilete</t>
  </si>
  <si>
    <t>XKI</t>
  </si>
  <si>
    <t>Kit (Conjunto de piezas)</t>
  </si>
  <si>
    <t>Conjunto de articulos o implementos utilizados para un proposito especifico.</t>
  </si>
  <si>
    <t>XLE</t>
  </si>
  <si>
    <t>Valijas</t>
  </si>
  <si>
    <t>Coleccion de bolsas, cajas y / o contenedores que contienen objetos personales para un viaje.</t>
  </si>
  <si>
    <t>XLG</t>
  </si>
  <si>
    <t>Bitacora</t>
  </si>
  <si>
    <t>XLT</t>
  </si>
  <si>
    <t>Lote</t>
  </si>
  <si>
    <t>XLU</t>
  </si>
  <si>
    <t>Caja de arrastre</t>
  </si>
  <si>
    <t>Caja de madera para el transporte y almacenamiento de frutas y verduras.</t>
  </si>
  <si>
    <t>XLV</t>
  </si>
  <si>
    <t>Contenedor pequeno</t>
  </si>
  <si>
    <t>Contenedor de madera o metal, usado para empacar articulos de uso domestico y personales.</t>
  </si>
  <si>
    <t>XLZ</t>
  </si>
  <si>
    <t>Registros  con fleje/ agrupados/ armados</t>
  </si>
  <si>
    <t>XMA</t>
  </si>
  <si>
    <t>Cajon metalico</t>
  </si>
  <si>
    <t>Caja de contencion hecha de metal para retener sustancias o articulos.</t>
  </si>
  <si>
    <t>XMB</t>
  </si>
  <si>
    <t>MÃºltiplo de bolsas</t>
  </si>
  <si>
    <t>XMC</t>
  </si>
  <si>
    <t>Cajon para leche</t>
  </si>
  <si>
    <t>XME</t>
  </si>
  <si>
    <t>Contenedor de metal</t>
  </si>
  <si>
    <t>Tipo de caja de contencion hecha de metal para retener sustancias o articulos, no especificado de otro modo como equipo de transporte.</t>
  </si>
  <si>
    <t>XMR</t>
  </si>
  <si>
    <t>Recipiente de metal</t>
  </si>
  <si>
    <t>Recipiente de contencion de metal para retener sustancias o articulos.</t>
  </si>
  <si>
    <t>XMS</t>
  </si>
  <si>
    <t>Saco milti-pared</t>
  </si>
  <si>
    <t>XMT</t>
  </si>
  <si>
    <t>Tapete</t>
  </si>
  <si>
    <t>XMW</t>
  </si>
  <si>
    <t>Contenedor envuelto en plastico</t>
  </si>
  <si>
    <t>Recipiente de contencion envuelto en plastico para retener sustancias o articulos.</t>
  </si>
  <si>
    <t>XMX</t>
  </si>
  <si>
    <t>Caja pequena de cerillos</t>
  </si>
  <si>
    <t>XNA</t>
  </si>
  <si>
    <t>No disponible</t>
  </si>
  <si>
    <t>XNE</t>
  </si>
  <si>
    <t>Sin empaque o no empaquetado</t>
  </si>
  <si>
    <t>XNF</t>
  </si>
  <si>
    <t>Sin empaque o no empaquetado, unidad simple</t>
  </si>
  <si>
    <t>XNG</t>
  </si>
  <si>
    <t>Sin empaque o no empaquetado, unidades mÃºltiples</t>
  </si>
  <si>
    <t>XNS</t>
  </si>
  <si>
    <t>Caja nido</t>
  </si>
  <si>
    <t>XNT</t>
  </si>
  <si>
    <t>Red</t>
  </si>
  <si>
    <t>XNU</t>
  </si>
  <si>
    <t>Red de plastico con tubo</t>
  </si>
  <si>
    <t>XNV</t>
  </si>
  <si>
    <t>Red textil con tubo</t>
  </si>
  <si>
    <t>XOA</t>
  </si>
  <si>
    <t>Pallet, SegÃºn la clasificacion de la compania (Commonwealth Handling Equipment Pool (CHEP) 40 cm x 60 cm</t>
  </si>
  <si>
    <t>Pallet de dimensiones 40 centimetros x 60 centimetros.</t>
  </si>
  <si>
    <t>XOB</t>
  </si>
  <si>
    <t>Pallet, SegÃºn la clasificacion de la compania (Commonwealth Handling Equipment Pool (CHEP) 80 cm x 120 cm</t>
  </si>
  <si>
    <t>Pallet de dimensiones 80 centimetros x 120 centimetros.</t>
  </si>
  <si>
    <t>XOC</t>
  </si>
  <si>
    <t>Pallet, SegÃºn la clasificacion de la compania (Commonwealth Handling Equipment Pool (CHEP) 100 cm x 120 cm</t>
  </si>
  <si>
    <t>Pallet de dimensiones 100 centimetros x 120 centimetros.</t>
  </si>
  <si>
    <t>XOD</t>
  </si>
  <si>
    <t>Pallet, AS 4068-1993</t>
  </si>
  <si>
    <t>Pallet con  estandar australiano de dimensiones 115.5 centimetros x 116.5 centimetros.</t>
  </si>
  <si>
    <t>XOE</t>
  </si>
  <si>
    <t>Pallet, ISO T11</t>
  </si>
  <si>
    <t>Pallet con estandar ISO de dimensiones 110 centimetros x 110 centimetros, prevalente en la region Asia-Pacifico.</t>
  </si>
  <si>
    <t>XOF</t>
  </si>
  <si>
    <t>Plataforma, peso o dimension no especificada</t>
  </si>
  <si>
    <t>Plataforma de carga equivalente del Pallet de dimensiones desconocidas o peso desconocido.</t>
  </si>
  <si>
    <t>XOK</t>
  </si>
  <si>
    <t>Bloque</t>
  </si>
  <si>
    <t>Una pieza solida de una sustancia dura, tal como granito, que tiene uno o mas lados planos.</t>
  </si>
  <si>
    <t>XOT</t>
  </si>
  <si>
    <t>Octabin</t>
  </si>
  <si>
    <t>Envase estandar de carton de grandes dimensiones para almacenar por ejemplo verduras, granulos de plastico u otros productos secos.</t>
  </si>
  <si>
    <t>XP2</t>
  </si>
  <si>
    <t>Charola</t>
  </si>
  <si>
    <t>Recipiente ancho y abierto, usualmente de metal.</t>
  </si>
  <si>
    <t>XPA</t>
  </si>
  <si>
    <t>Cajetilla</t>
  </si>
  <si>
    <t>Paquete pequeno.</t>
  </si>
  <si>
    <t>XPB</t>
  </si>
  <si>
    <t>Pallet, Caja combinada y abierta con caja y pallet.</t>
  </si>
  <si>
    <t>XPC</t>
  </si>
  <si>
    <t>Paquete postal</t>
  </si>
  <si>
    <t>XPD</t>
  </si>
  <si>
    <t>Pallet modular con collares (80cms * 100cms)</t>
  </si>
  <si>
    <t>Pallet tamano estandar de dimensiones 80 centimetros por 100 centimetros (cms).</t>
  </si>
  <si>
    <t>XPE</t>
  </si>
  <si>
    <t>Pallet modular con collares (80cms * 120cms)</t>
  </si>
  <si>
    <t>Pallet tamano estandar de dimensiones 80 centimetros por 120 centimetros (cms).</t>
  </si>
  <si>
    <t>XPF</t>
  </si>
  <si>
    <t>Corral</t>
  </si>
  <si>
    <t>Pequeno recinto abierto para retener animales.</t>
  </si>
  <si>
    <t>XPG</t>
  </si>
  <si>
    <t>Placa</t>
  </si>
  <si>
    <t>XPH</t>
  </si>
  <si>
    <t>Cantaro</t>
  </si>
  <si>
    <t>XPI</t>
  </si>
  <si>
    <t>Pleca</t>
  </si>
  <si>
    <t>XPJ</t>
  </si>
  <si>
    <t>Canastilla</t>
  </si>
  <si>
    <t>XPK</t>
  </si>
  <si>
    <t>Paquete</t>
  </si>
  <si>
    <t>Unidad de empaque estandar.</t>
  </si>
  <si>
    <t>XPL</t>
  </si>
  <si>
    <t>Balde</t>
  </si>
  <si>
    <t>XPN</t>
  </si>
  <si>
    <t>Tablon</t>
  </si>
  <si>
    <t>XPO</t>
  </si>
  <si>
    <t>Bolsa pequena</t>
  </si>
  <si>
    <t>XPR</t>
  </si>
  <si>
    <t>Contenedor de plastico</t>
  </si>
  <si>
    <t>Recipiente de contencion de plastico para retener sustancias o articulos.</t>
  </si>
  <si>
    <t>XPT</t>
  </si>
  <si>
    <t>Maceta</t>
  </si>
  <si>
    <t>XPU</t>
  </si>
  <si>
    <t>Cacerola</t>
  </si>
  <si>
    <t>XPV</t>
  </si>
  <si>
    <t>Tubos, con fleje/ agrupados/ armados</t>
  </si>
  <si>
    <t>XPX</t>
  </si>
  <si>
    <t>Pallet</t>
  </si>
  <si>
    <t>Plataforma o caja abierta, generalmente de madera, en la que se conservan las mercancias para facilitar el manejo mecanico durante el transporte y almacenamiento.</t>
  </si>
  <si>
    <t>XPY</t>
  </si>
  <si>
    <t>Placas con fleje/ agrupados/ armados</t>
  </si>
  <si>
    <t>XPZ</t>
  </si>
  <si>
    <t>Tablones con fleje/ agrupados/ armados</t>
  </si>
  <si>
    <t>XQA</t>
  </si>
  <si>
    <t>Tambor de acero con cabeza no desmontable</t>
  </si>
  <si>
    <t>XQB</t>
  </si>
  <si>
    <t>Tambor de  acero con cabeza extraible</t>
  </si>
  <si>
    <t>XQC</t>
  </si>
  <si>
    <t>Tambor de aluminio con cabeza no extraible</t>
  </si>
  <si>
    <t>XQD</t>
  </si>
  <si>
    <t>Tambor de aluminio con cabeza extraible</t>
  </si>
  <si>
    <t>XQF</t>
  </si>
  <si>
    <t>Tambor, plastico con cabeza no desmontable</t>
  </si>
  <si>
    <t>XQG</t>
  </si>
  <si>
    <t>Tambor, plastico, cabeza extraible</t>
  </si>
  <si>
    <t>XQH</t>
  </si>
  <si>
    <t>Barril de madera con tapon</t>
  </si>
  <si>
    <t>XQJ</t>
  </si>
  <si>
    <t>Barril de madera con cabeza desprendible</t>
  </si>
  <si>
    <t>XQK</t>
  </si>
  <si>
    <t>Bidon de acero con cabeza no desmontable</t>
  </si>
  <si>
    <t>XQL</t>
  </si>
  <si>
    <t>Bidon de acero con cabeza desmontable</t>
  </si>
  <si>
    <t>XQM</t>
  </si>
  <si>
    <t>Bidon de plastico con cabeza no desmontable</t>
  </si>
  <si>
    <t>XQN</t>
  </si>
  <si>
    <t>Bidon de plastico con cabeza extraible</t>
  </si>
  <si>
    <t>XQP</t>
  </si>
  <si>
    <t>Caja de madera natural estandar</t>
  </si>
  <si>
    <t>XQQ</t>
  </si>
  <si>
    <t>Caja de madera natural con muros a prueba de filtraciones</t>
  </si>
  <si>
    <t>XQR</t>
  </si>
  <si>
    <t>Caja de plastico expandida</t>
  </si>
  <si>
    <t>XQS</t>
  </si>
  <si>
    <t>Caja de plastico solida</t>
  </si>
  <si>
    <t>XRD</t>
  </si>
  <si>
    <t>Rod</t>
  </si>
  <si>
    <t>XRG</t>
  </si>
  <si>
    <t>Anillo</t>
  </si>
  <si>
    <t>XRJ</t>
  </si>
  <si>
    <t>Estante, Perchero para ropa</t>
  </si>
  <si>
    <t>XRK</t>
  </si>
  <si>
    <t>Estante</t>
  </si>
  <si>
    <t>XRL</t>
  </si>
  <si>
    <t>Carrete</t>
  </si>
  <si>
    <t>Dispositivo giratorio cilindrico con un reborde en cada extremo en el que se enrollan los materiales.</t>
  </si>
  <si>
    <t>XRO</t>
  </si>
  <si>
    <t>Rollo</t>
  </si>
  <si>
    <t>XRT</t>
  </si>
  <si>
    <t>Red Roja</t>
  </si>
  <si>
    <t>Material de confinamiento hecho de redes de malla roja para retener articulos (por ejemplo arboles).</t>
  </si>
  <si>
    <t>XRZ</t>
  </si>
  <si>
    <t>Varillas  con fleje/ agrupados/ armados</t>
  </si>
  <si>
    <t>XSA</t>
  </si>
  <si>
    <t>Saco</t>
  </si>
  <si>
    <t>XSB</t>
  </si>
  <si>
    <t>Losa</t>
  </si>
  <si>
    <t>XSC</t>
  </si>
  <si>
    <t>Cajon poco profundo</t>
  </si>
  <si>
    <t>XSD</t>
  </si>
  <si>
    <t>Huso</t>
  </si>
  <si>
    <t>XSE</t>
  </si>
  <si>
    <t>BaÃºl</t>
  </si>
  <si>
    <t>XSH</t>
  </si>
  <si>
    <t>Bolsa pequena hermetica</t>
  </si>
  <si>
    <t>XSI</t>
  </si>
  <si>
    <t>Patin</t>
  </si>
  <si>
    <t>Una plataforma o plataforma movil baja para facilitar el manejo y transporte de mercancias.</t>
  </si>
  <si>
    <t>XSK</t>
  </si>
  <si>
    <t>Carcasa esqueleto</t>
  </si>
  <si>
    <t>XSL</t>
  </si>
  <si>
    <t>Hoja de deslizamiento</t>
  </si>
  <si>
    <t>Laminas de plastico duro se utilizan principalmente como la base sobre la cual apilan mercancias para optimizar el espacio dentro de un contenedor.Â Puede utilizarse como alternativa a un embalaje paletizado.</t>
  </si>
  <si>
    <t>XSM</t>
  </si>
  <si>
    <t>Hoja de metal</t>
  </si>
  <si>
    <t>XSO</t>
  </si>
  <si>
    <t>Carrete pequeno</t>
  </si>
  <si>
    <t>Contenedor de empaque utilizado en el transporte de articulos tales como alambre, cable, cinta e hilo.</t>
  </si>
  <si>
    <t>XSP</t>
  </si>
  <si>
    <t>Hoja de empaque de plastico</t>
  </si>
  <si>
    <t>XSS</t>
  </si>
  <si>
    <t>Cajon de acero</t>
  </si>
  <si>
    <t>XSU</t>
  </si>
  <si>
    <t>Maleta</t>
  </si>
  <si>
    <t>XSV</t>
  </si>
  <si>
    <t>Sobre de acero</t>
  </si>
  <si>
    <t>XSW</t>
  </si>
  <si>
    <t>Envoltorio</t>
  </si>
  <si>
    <t>Mercancias retenidas en una pelicula de plastico transparente que ha sido envuelta alrededor y luego encogido fuertemente a las mercancias.</t>
  </si>
  <si>
    <t>XSY</t>
  </si>
  <si>
    <t>Manga</t>
  </si>
  <si>
    <t>XSZ</t>
  </si>
  <si>
    <t>Hojas  con fleje/ agrupados/ armados</t>
  </si>
  <si>
    <t>XT1</t>
  </si>
  <si>
    <t>Tableta</t>
  </si>
  <si>
    <t>Articulo suelto o sin empaque en forma de barra, bloque o pieza.</t>
  </si>
  <si>
    <t>XTB</t>
  </si>
  <si>
    <t>Tina</t>
  </si>
  <si>
    <t>XTC</t>
  </si>
  <si>
    <t>Caja para te</t>
  </si>
  <si>
    <t>XTD</t>
  </si>
  <si>
    <t>Tubo plegable</t>
  </si>
  <si>
    <t>XTG</t>
  </si>
  <si>
    <t>Contenedor de tanque generico</t>
  </si>
  <si>
    <t>Recipiente especialmente construido para el transporte de liquidos y gases a granel.</t>
  </si>
  <si>
    <t>XTI</t>
  </si>
  <si>
    <t>Tierce</t>
  </si>
  <si>
    <t>Barril de 1/6 parte de tonel</t>
  </si>
  <si>
    <t>XTK</t>
  </si>
  <si>
    <t>Tanque rectangular</t>
  </si>
  <si>
    <t>XTL</t>
  </si>
  <si>
    <t>Tina con tapa</t>
  </si>
  <si>
    <t>XTN</t>
  </si>
  <si>
    <t>Hojalata</t>
  </si>
  <si>
    <t>XTO</t>
  </si>
  <si>
    <t>Tonel</t>
  </si>
  <si>
    <t>Barril con capacidad para 982 litros</t>
  </si>
  <si>
    <t>XTR</t>
  </si>
  <si>
    <t>Maletero</t>
  </si>
  <si>
    <t>XTS</t>
  </si>
  <si>
    <t>Estructura</t>
  </si>
  <si>
    <t>XTT</t>
  </si>
  <si>
    <t>Bolsa de mano</t>
  </si>
  <si>
    <t>Una gran bolsa o cesto.</t>
  </si>
  <si>
    <t>XTU</t>
  </si>
  <si>
    <t>Tubo</t>
  </si>
  <si>
    <t>XTV</t>
  </si>
  <si>
    <t>Tubo con boquilla</t>
  </si>
  <si>
    <t>Tubo de plastico, metal o carton, provisto de una boquilla, que contiene un producto liquido o semiliquido, por ejemplo silicio.</t>
  </si>
  <si>
    <t>XTW</t>
  </si>
  <si>
    <t>Pallet tricapa</t>
  </si>
  <si>
    <t>Una paleta ligera hecha de carton ondulado resistente.</t>
  </si>
  <si>
    <t>XTY</t>
  </si>
  <si>
    <t>Tanque cilindrico</t>
  </si>
  <si>
    <t>XTZ</t>
  </si>
  <si>
    <t>Tubos  con fleje/ agrupados/ armados</t>
  </si>
  <si>
    <t>XUC</t>
  </si>
  <si>
    <t>Sin empaque</t>
  </si>
  <si>
    <t>XUN</t>
  </si>
  <si>
    <t>Unidad</t>
  </si>
  <si>
    <t>Tipo de paquete compuesto de un solo articulo u objeto, no especificado de otro modo como una unidad de equipo de transporte.</t>
  </si>
  <si>
    <t>XVA</t>
  </si>
  <si>
    <t>Tanque</t>
  </si>
  <si>
    <t>XVG</t>
  </si>
  <si>
    <t>Tanque de gas (a 1,031 mbar y 15Â°Â C)</t>
  </si>
  <si>
    <t>XVI</t>
  </si>
  <si>
    <t>Frasco pequeno</t>
  </si>
  <si>
    <t>XVK</t>
  </si>
  <si>
    <t>Paquete transportable</t>
  </si>
  <si>
    <t>Tipo de cajon de madera.</t>
  </si>
  <si>
    <t>XVL</t>
  </si>
  <si>
    <t>Contenedor para liquidos a granel</t>
  </si>
  <si>
    <t>XVN</t>
  </si>
  <si>
    <t>Vehiculo</t>
  </si>
  <si>
    <t>Medio de transporte autopropulsado.</t>
  </si>
  <si>
    <t>XVO</t>
  </si>
  <si>
    <t>Contenedor para solido de particulas grandes a granel ("nodulos")</t>
  </si>
  <si>
    <t>XVP</t>
  </si>
  <si>
    <t>Envasado al vacio</t>
  </si>
  <si>
    <t>XVQ</t>
  </si>
  <si>
    <t>Tanque para Gas licuado (a temperatura / presion anormal)</t>
  </si>
  <si>
    <t>XVR</t>
  </si>
  <si>
    <t>Contenedor para solidos de particulas granulares a granel (Granos)</t>
  </si>
  <si>
    <t>XVS</t>
  </si>
  <si>
    <t>Contenedor de chatarra a granel</t>
  </si>
  <si>
    <t>Chatarra suelta o sin empaquetar transportada a granel.</t>
  </si>
  <si>
    <t>XVY</t>
  </si>
  <si>
    <t>Contenedor para solido de particulas finas a granel ("polvos")</t>
  </si>
  <si>
    <t>XWA</t>
  </si>
  <si>
    <t>Contenedor de granel intermedio</t>
  </si>
  <si>
    <t>Recipiente reutilizable hecho de metal, plastico, textiles, madera o materiales compuestos utilizados para facilitar el transporte de solidos y liquidos a granel en volÃºmenes manejables.</t>
  </si>
  <si>
    <t>XWB</t>
  </si>
  <si>
    <t>Botella de mimbre</t>
  </si>
  <si>
    <t>XWC</t>
  </si>
  <si>
    <t>Contenedor intermedio para graneles y de acero</t>
  </si>
  <si>
    <t>XWD</t>
  </si>
  <si>
    <t>Contenedor intermedio para graneles y de aluminio</t>
  </si>
  <si>
    <t>XWF</t>
  </si>
  <si>
    <t>Contenedor intermedio para graneles y de metal</t>
  </si>
  <si>
    <t>XWG</t>
  </si>
  <si>
    <t>Contenedor intermedio para graneles y de acero presurizado menor a 10 kpa</t>
  </si>
  <si>
    <t>XWH</t>
  </si>
  <si>
    <t>Contenedor intermedio para graneles y de aluminio, presurizado menor a 10 kpa</t>
  </si>
  <si>
    <t>XWJ</t>
  </si>
  <si>
    <t>Contenedor intermedio para graneles y de metal con una presion de 10 kpa</t>
  </si>
  <si>
    <t>XWK</t>
  </si>
  <si>
    <t>Contenedor intermedio para graneles y de acero para liquido</t>
  </si>
  <si>
    <t>XWL</t>
  </si>
  <si>
    <t>Contenedor intermedio para graneles y de aluminio para liquido</t>
  </si>
  <si>
    <t>XWM</t>
  </si>
  <si>
    <t>Contenedor intermedio para graneles y de metal para liquido</t>
  </si>
  <si>
    <t>XWN</t>
  </si>
  <si>
    <t>Contenedor intermedio para graneles con tejido plastico sin capa con revestimiento</t>
  </si>
  <si>
    <t>XWP</t>
  </si>
  <si>
    <t>Contenedor intermedio para graneles con tejido plastico y recubierto</t>
  </si>
  <si>
    <t>XWQ</t>
  </si>
  <si>
    <t>Contenedor intermedio para graneles con tejido plastico con revestimiento</t>
  </si>
  <si>
    <t>XWR</t>
  </si>
  <si>
    <t>Contenedor intermedio para graneles con tejido plastico, revestido y con forro</t>
  </si>
  <si>
    <t>XWS</t>
  </si>
  <si>
    <t>Contenedor intermedio para graneles con pelicula de plastico</t>
  </si>
  <si>
    <t>XWT</t>
  </si>
  <si>
    <t>Contenedor intermedio para graneles textil sin capa / forro</t>
  </si>
  <si>
    <t>XWU</t>
  </si>
  <si>
    <t>Contenedor intermedio para graneles de madera natural con forro interior</t>
  </si>
  <si>
    <t>XWV</t>
  </si>
  <si>
    <t>Contenedor intermedio para graneles textil recubierto</t>
  </si>
  <si>
    <t>XWW</t>
  </si>
  <si>
    <t>Contenedor intermedio para graneles textil con revestimiento</t>
  </si>
  <si>
    <t>XWX</t>
  </si>
  <si>
    <t>Contenedor intermedio para graneles textil recubierto y con forro</t>
  </si>
  <si>
    <t>XWY</t>
  </si>
  <si>
    <t>Contenedor intermedio para graneles contrachapado con revestimiento interior</t>
  </si>
  <si>
    <t>XWZ</t>
  </si>
  <si>
    <t>Contenedor intermedio para graneles de madera reconstituida con revestimiento interior</t>
  </si>
  <si>
    <t>XXA</t>
  </si>
  <si>
    <t>Bolsa de tejido plastico, sin abrigo interior ni forro</t>
  </si>
  <si>
    <t>XXB</t>
  </si>
  <si>
    <t>Bolsa de tejido plastico a prueba de filtraciones</t>
  </si>
  <si>
    <t>XXC</t>
  </si>
  <si>
    <t>Bolsa de tejido plastico resistente al agua</t>
  </si>
  <si>
    <t>XXD</t>
  </si>
  <si>
    <t>Bolsa con pelicula de plastico</t>
  </si>
  <si>
    <t>XXF</t>
  </si>
  <si>
    <t>Bolsa textil sin capa ni forro interior</t>
  </si>
  <si>
    <t>XXG</t>
  </si>
  <si>
    <t>Bolsa textil a prueba de filtraciones</t>
  </si>
  <si>
    <t>XXH</t>
  </si>
  <si>
    <t>Bolsa textil resistente al agua</t>
  </si>
  <si>
    <t>XXJ</t>
  </si>
  <si>
    <t>Bolsa de papel multi-pared</t>
  </si>
  <si>
    <t>XXK</t>
  </si>
  <si>
    <t>Bolsa de papel multi-pared, resistente al agua</t>
  </si>
  <si>
    <t>XYA</t>
  </si>
  <si>
    <t>Empaque compuesto, recipiente de plastico en tambor de acero</t>
  </si>
  <si>
    <t>XYB</t>
  </si>
  <si>
    <t>Empaque compuesto, recipiente de plastico en cajas de acero</t>
  </si>
  <si>
    <t>XYC</t>
  </si>
  <si>
    <t>Empaque compuesto, recipiente de plastico en tambor de aluminio</t>
  </si>
  <si>
    <t>XYD</t>
  </si>
  <si>
    <t>Empaque compuesto, recipiente de plastico en cajon de aluminio</t>
  </si>
  <si>
    <t>XYF</t>
  </si>
  <si>
    <t>Empaque compuesto, recipiente de plastico en caja de madera</t>
  </si>
  <si>
    <t>XYG</t>
  </si>
  <si>
    <t>Empaque compuesto, recipiente de plastico en tambor de madera contrachapada</t>
  </si>
  <si>
    <t>XYH</t>
  </si>
  <si>
    <t>Empaque compuesto, recipiente de plastico en caja de madera contrachapada</t>
  </si>
  <si>
    <t>XYJ</t>
  </si>
  <si>
    <t>Empaque compuesto, recipiente de plastico en tambor de fibra</t>
  </si>
  <si>
    <t>XYK</t>
  </si>
  <si>
    <t>Empaque compuesto, recipiente de plastico en caja de carton</t>
  </si>
  <si>
    <t>XYL</t>
  </si>
  <si>
    <t>Empaque compuesto, recipiente de plastico en el tambor de plastico</t>
  </si>
  <si>
    <t>XYM</t>
  </si>
  <si>
    <t>Empaque compuesto, recipiente de plastico en caja de plastico solido</t>
  </si>
  <si>
    <t>XYN</t>
  </si>
  <si>
    <t>Empaque compuesto, receptaculo de vidrio en tambor de acero</t>
  </si>
  <si>
    <t>XYP</t>
  </si>
  <si>
    <t>Empaque compuesto, receptaculo de vidrio en caja de cajas de acero</t>
  </si>
  <si>
    <t>XYQ</t>
  </si>
  <si>
    <t>Empaque compuesto, recipiente de vidrio en tambor de aluminio</t>
  </si>
  <si>
    <t>XYR</t>
  </si>
  <si>
    <t>Empaque compuesto, receptaculo de vidrio en caja de aluminio</t>
  </si>
  <si>
    <t>XYS</t>
  </si>
  <si>
    <t>Empaque compuesto, recipiente de vidrio en caja de madera</t>
  </si>
  <si>
    <t>XYT</t>
  </si>
  <si>
    <t>Empaque compuesto, recipiente de vidrio en tambor de madera contrachapada</t>
  </si>
  <si>
    <t>Xyv</t>
  </si>
  <si>
    <t>Empaque compuesto, recipiente de vidrio en el cesto de mimbre</t>
  </si>
  <si>
    <t>XYW</t>
  </si>
  <si>
    <t>Empaque compuesto, recipiente de vidrio en tambor de fibra</t>
  </si>
  <si>
    <t>XYX</t>
  </si>
  <si>
    <t>Empaque compuesto, recipiente de vidrio en caja de carton</t>
  </si>
  <si>
    <t>XYY</t>
  </si>
  <si>
    <t>Empaque compuesto, recipiente de vidrio en paquete de plastico expandible</t>
  </si>
  <si>
    <t>XYZ</t>
  </si>
  <si>
    <t>Empaque compuesto, recipiente de vidrio en paquete de plastico solido</t>
  </si>
  <si>
    <t>XZA</t>
  </si>
  <si>
    <t>Contenedor de granel intermedio, papel, multi-pared</t>
  </si>
  <si>
    <t>XZB</t>
  </si>
  <si>
    <t>Bolsa grande</t>
  </si>
  <si>
    <t>XZC</t>
  </si>
  <si>
    <t>Contenedor intermedio para graneles de papel, multi-pared y resistente al agua</t>
  </si>
  <si>
    <t>XZD</t>
  </si>
  <si>
    <t>Contenedor intermedio para graneles de plastico rigido, con equipo estructural para solidos</t>
  </si>
  <si>
    <t>XZF</t>
  </si>
  <si>
    <t>Contenedor intermedio para graneles de plastico rigido, autoportante para solidos</t>
  </si>
  <si>
    <t>XZG</t>
  </si>
  <si>
    <t>Contenedor intermedio para graneles de plastico rigido, con equipo estructural, presurizado</t>
  </si>
  <si>
    <t>XZH</t>
  </si>
  <si>
    <t>Contenedor intermedio para graneles de plastico rigido, autoportante y presurizado</t>
  </si>
  <si>
    <t>XZJ</t>
  </si>
  <si>
    <t>Contenedor intermedio para graneles de plastico rigido, con equipo estructural para liquidos</t>
  </si>
  <si>
    <t>XZK</t>
  </si>
  <si>
    <t>Contenedor intermedio para graneles de plastico rigido, autoportante, liquidos</t>
  </si>
  <si>
    <t>XZL</t>
  </si>
  <si>
    <t>Contenedor intermedio para graneles, compuesto y de plastico rigido, solidos</t>
  </si>
  <si>
    <t>XZM</t>
  </si>
  <si>
    <t>Contenedor intermedio para graneles, compuesto y de plastico flexible, solidos</t>
  </si>
  <si>
    <t>XZN</t>
  </si>
  <si>
    <t>Contenedor intermedio para graneles, compuesto y de plastico rigido, presurizado</t>
  </si>
  <si>
    <t>XZP</t>
  </si>
  <si>
    <t>Contenedor intermedio para graneles, compuesto y de plastico flexible, presurizado</t>
  </si>
  <si>
    <t>XZQ</t>
  </si>
  <si>
    <t>Contenedor intermedio para graneles, compuesto y de plastico rigido, liquidos</t>
  </si>
  <si>
    <t>XZR</t>
  </si>
  <si>
    <t>Contenedor intermedio para graneles, compuesto y de plastico flexible para liquidos</t>
  </si>
  <si>
    <t>XZS</t>
  </si>
  <si>
    <t>Contenedor intermedio para graneles, compuesto</t>
  </si>
  <si>
    <t>XZT</t>
  </si>
  <si>
    <t>Contenedor intermedio para graneles con tablero de fibras</t>
  </si>
  <si>
    <t>XZU</t>
  </si>
  <si>
    <t>Contenedor intermedio para graneles flexible</t>
  </si>
  <si>
    <t>XZV</t>
  </si>
  <si>
    <t>Contenedor intermedio para graneles de metal, distinto del acero</t>
  </si>
  <si>
    <t>XZW</t>
  </si>
  <si>
    <t>Contenedor intermedio para graneles, de madera natural</t>
  </si>
  <si>
    <t>XZX</t>
  </si>
  <si>
    <t>Contenedor intermedio para graneles, de contrachapado</t>
  </si>
  <si>
    <t>XZY</t>
  </si>
  <si>
    <t>Contenedor intermedio para graneles, de madera reconstituida</t>
  </si>
  <si>
    <t>YDK</t>
  </si>
  <si>
    <t>Yarda cuadrada</t>
  </si>
  <si>
    <t xml:space="preserve">Es una unidad anglosajona de superficie de una yarda de lado. </t>
  </si>
  <si>
    <t>ydÂ²</t>
  </si>
  <si>
    <t>YDQ</t>
  </si>
  <si>
    <t>Yarda cÃºbica</t>
  </si>
  <si>
    <t>ydÂ³</t>
  </si>
  <si>
    <t>YL</t>
  </si>
  <si>
    <t>Cien yardas lineales</t>
  </si>
  <si>
    <t>YRD</t>
  </si>
  <si>
    <t>Yarda</t>
  </si>
  <si>
    <t>Es la unidad de longitud basica en los sistemas de medida utilizados en Estados Unidos, Panama y Reino Unido.
Equivale a 91.4 centimetros.</t>
  </si>
  <si>
    <t>yd</t>
  </si>
  <si>
    <t>YT</t>
  </si>
  <si>
    <t>Diez yardas</t>
  </si>
  <si>
    <t>Z1</t>
  </si>
  <si>
    <t>Furgoneta</t>
  </si>
  <si>
    <t>Z11</t>
  </si>
  <si>
    <t xml:space="preserve">Contenedor colgante </t>
  </si>
  <si>
    <t>Unidad de conteo que define el nÃºmero de contenedores colgantes.</t>
  </si>
  <si>
    <t>Z5</t>
  </si>
  <si>
    <t>Arrastre</t>
  </si>
  <si>
    <t>Z6</t>
  </si>
  <si>
    <t>Punto de conferencia</t>
  </si>
  <si>
    <t>Z8</t>
  </si>
  <si>
    <t>Pagina de noticias</t>
  </si>
  <si>
    <t>ZP</t>
  </si>
  <si>
    <t>Paginas</t>
  </si>
  <si>
    <t>Unidad de conteo que define el nÃºmero de paginas</t>
  </si>
  <si>
    <t>ZZ</t>
  </si>
  <si>
    <t>Mutuamente definido</t>
  </si>
  <si>
    <t>Unidad de medida acordada en comÃºn entre dos o mas partes</t>
  </si>
  <si>
    <t>t_usuario</t>
  </si>
  <si>
    <t>Planeacion</t>
  </si>
  <si>
    <t>Coordinacion</t>
  </si>
  <si>
    <t>Ingenieria</t>
  </si>
  <si>
    <t>Compras</t>
  </si>
  <si>
    <t>Ventas</t>
  </si>
  <si>
    <t>Logistica</t>
  </si>
  <si>
    <t>Mantenimiento</t>
  </si>
  <si>
    <t>Calidad</t>
  </si>
  <si>
    <t>Produccion_Metalicos</t>
  </si>
  <si>
    <t>Produccion_Parrillas</t>
  </si>
  <si>
    <t>Capacitacion</t>
  </si>
  <si>
    <t>Direccion</t>
  </si>
  <si>
    <t>t_area</t>
  </si>
  <si>
    <t>PERCCO-01</t>
  </si>
  <si>
    <t>PERCCO-02</t>
  </si>
  <si>
    <t>PERCCO-03</t>
  </si>
  <si>
    <t>PERCCO-04</t>
  </si>
  <si>
    <t>PERCCO-05</t>
  </si>
  <si>
    <t>PERCCO-06</t>
  </si>
  <si>
    <t>PERCCO-07</t>
  </si>
  <si>
    <t>PERCCO-08</t>
  </si>
  <si>
    <t>PERCCO-09</t>
  </si>
  <si>
    <t>PERCCO-10</t>
  </si>
  <si>
    <t>PERCCO-11</t>
  </si>
  <si>
    <t>PERCCO-12</t>
  </si>
  <si>
    <t>PERCCO-13</t>
  </si>
  <si>
    <t>Produccion_Pintura</t>
  </si>
  <si>
    <t>Produccion_Galvanizado</t>
  </si>
  <si>
    <t>Produccion_Instalacion</t>
  </si>
  <si>
    <t>PERCCO-14</t>
  </si>
  <si>
    <t>PERCCO-15</t>
  </si>
  <si>
    <t>PERCCO-16</t>
  </si>
  <si>
    <t>descripcion_area</t>
  </si>
  <si>
    <t>CORTADORA LASER</t>
  </si>
  <si>
    <t>PUNZONADORA</t>
  </si>
  <si>
    <t>METALERA</t>
  </si>
  <si>
    <t>LINEA DE PINTURA</t>
  </si>
  <si>
    <t>TOPEADORA</t>
  </si>
  <si>
    <t>PUNTEADORA DOBLE</t>
  </si>
  <si>
    <t>PUNTEADORA SIMPLE 1</t>
  </si>
  <si>
    <t>PUNTEADORA SIMPLE 2</t>
  </si>
  <si>
    <t>PUNTEADORA SIMPLE 3</t>
  </si>
  <si>
    <t>MULTIPUNTEADORA</t>
  </si>
  <si>
    <t>ENDEREZADORA MARCO</t>
  </si>
  <si>
    <t>ENDEREZADORA FLECHAS 1</t>
  </si>
  <si>
    <t>ENDEREZADORA FLECHAS 2</t>
  </si>
  <si>
    <t>DESBARBADORA</t>
  </si>
  <si>
    <t>SOLDADORA 1</t>
  </si>
  <si>
    <t>SOLDADORA 2</t>
  </si>
  <si>
    <t>SOLDADORA 3</t>
  </si>
  <si>
    <t>SOLDADORA 4</t>
  </si>
  <si>
    <t>ROLADORA</t>
  </si>
  <si>
    <t>Produccion_Maquinado</t>
  </si>
  <si>
    <t>t_proceso</t>
  </si>
  <si>
    <t>CORTE LASER</t>
  </si>
  <si>
    <t>DOBLADO</t>
  </si>
  <si>
    <t>CIZALLADO</t>
  </si>
  <si>
    <t>PUNZONADO</t>
  </si>
  <si>
    <t>PUNTEADO</t>
  </si>
  <si>
    <t>SOLDADURA</t>
  </si>
  <si>
    <t>descripcion_proceso</t>
  </si>
  <si>
    <t>PROC-PERCCO-10</t>
  </si>
  <si>
    <t>PROC-PERCCO-12</t>
  </si>
  <si>
    <t>PROC-PERCCO-13</t>
  </si>
  <si>
    <t>PROC-PERCCO-14</t>
  </si>
  <si>
    <t>PROC-PERCCO-17</t>
  </si>
  <si>
    <t>DOBLADORA 1</t>
  </si>
  <si>
    <t>DOBLADORA 2</t>
  </si>
  <si>
    <t>TROQUELADO</t>
  </si>
  <si>
    <t>ROLADO</t>
  </si>
  <si>
    <t>ENDEREZADO</t>
  </si>
  <si>
    <t>MAQUINADO</t>
  </si>
  <si>
    <t>GALVANIZADO</t>
  </si>
  <si>
    <t>INSTALADO</t>
  </si>
  <si>
    <t>DESBARBADO</t>
  </si>
  <si>
    <t>GALVANIZADORA</t>
  </si>
  <si>
    <t>EMPAQUE_METALICOS</t>
  </si>
  <si>
    <t>EMPAQUE_PARRILLAS</t>
  </si>
  <si>
    <t>PERCCO</t>
  </si>
  <si>
    <t>id</t>
  </si>
  <si>
    <t>description</t>
  </si>
  <si>
    <t>t_tipoCliente</t>
  </si>
  <si>
    <t>t_prioridadCliente</t>
  </si>
  <si>
    <t>t_claveUnidad</t>
  </si>
  <si>
    <t>t_entryStatus</t>
  </si>
  <si>
    <t>t_producto</t>
  </si>
  <si>
    <t>t_productStatus</t>
  </si>
  <si>
    <t>PENDIENTE</t>
  </si>
  <si>
    <t>COTIZADO</t>
  </si>
  <si>
    <t>AUTORIZADO PARA VENTA</t>
  </si>
  <si>
    <t>EN ANALISIS</t>
  </si>
  <si>
    <t>DESCONTINUADO</t>
  </si>
  <si>
    <t>INACTIVO</t>
  </si>
  <si>
    <t>El producto se encuentra en analisis para su cotizacion.</t>
  </si>
  <si>
    <t>El producto ha sido cotizado.</t>
  </si>
  <si>
    <t>El producto ha sido autorizado para producirse y venderse.</t>
  </si>
  <si>
    <t>RECHAZADO PARA VENTA</t>
  </si>
  <si>
    <t>El producto ha sido rechazado para producirse y venderse.</t>
  </si>
  <si>
    <t>El producto ha sido descontinuado de la produccion.</t>
  </si>
  <si>
    <t>El producto se encuentra inactivo.</t>
  </si>
  <si>
    <t>El producto ha sido retirado de la produccion definitivamente.</t>
  </si>
  <si>
    <t>El producto esta en espera de alguna autorizacion.</t>
  </si>
  <si>
    <t>RETIRADO</t>
  </si>
  <si>
    <t>ESCUADRA POSTE VR19*26 PNT BLA</t>
  </si>
  <si>
    <t>DUCTO VRA23 POS IZQ</t>
  </si>
  <si>
    <t>DUCTO VRA23 POS DER</t>
  </si>
  <si>
    <t>CUBRE TUBOS R2 UL</t>
  </si>
  <si>
    <t>CUBIERTA MET UNIDAD SUP NG CCV376 IL2</t>
  </si>
  <si>
    <t>DUCTO VR04 UL</t>
  </si>
  <si>
    <t>CUBRE TUBOS G372 PNT BLA R2</t>
  </si>
  <si>
    <t xml:space="preserve">	2024934</t>
  </si>
  <si>
    <t>RIEL BASE NEG VRD43 UL</t>
  </si>
  <si>
    <t>REFUERZO C GL G90 C18 31X1750MM (2080890)</t>
  </si>
  <si>
    <t>REFUERZO C GL G90 C18 28X1280MM V14</t>
  </si>
  <si>
    <t>REFUERZO C</t>
  </si>
  <si>
    <t>REJILLA ALAMB TRASERA VR10*12</t>
  </si>
  <si>
    <t>PARRILLA DIVISORIA MED FVC20</t>
  </si>
  <si>
    <t>PARRILLA ROJ1795C G3Q72</t>
  </si>
  <si>
    <t>REJILLA ALAMB DUCTO CCH V7</t>
  </si>
  <si>
    <t>PERFORMANCE_91731A/25A-PREP</t>
  </si>
  <si>
    <t>PRODUCCION</t>
  </si>
  <si>
    <t>El producto se encuentra en produccion regular.</t>
  </si>
  <si>
    <t>MUESTRA</t>
  </si>
  <si>
    <t>El producto se encuentra en pre-produccion.</t>
  </si>
  <si>
    <t>PRUEBA</t>
  </si>
  <si>
    <t>El producto se encuentra en pruebas.</t>
  </si>
  <si>
    <t>t_objeto</t>
  </si>
  <si>
    <t>USUARIO</t>
  </si>
  <si>
    <t>CLIENTE</t>
  </si>
  <si>
    <t>PRODUCTO</t>
  </si>
  <si>
    <t>AREA</t>
  </si>
  <si>
    <t>PROCESO</t>
  </si>
  <si>
    <t>EQUIPO</t>
  </si>
  <si>
    <t>ORDEN_COMPRA</t>
  </si>
  <si>
    <t>ORDEN_FABRICACION</t>
  </si>
  <si>
    <t>ENSAMBLE_METALICOS</t>
  </si>
  <si>
    <t>ENSAMBLE_PARRILLAS</t>
  </si>
  <si>
    <t>PROC-PERCCO-18</t>
  </si>
  <si>
    <t>ROLADO_FLECHAS</t>
  </si>
  <si>
    <t>PROC-PERCCO-19</t>
  </si>
  <si>
    <t>CUST</t>
  </si>
  <si>
    <t>PROD</t>
  </si>
  <si>
    <t>USER</t>
  </si>
  <si>
    <t>PROC</t>
  </si>
  <si>
    <t>EQUI</t>
  </si>
  <si>
    <t>OOCC</t>
  </si>
  <si>
    <t>OOFF</t>
  </si>
  <si>
    <t>RAW_MATERIAL</t>
  </si>
  <si>
    <t>PROC_MATERIAL</t>
  </si>
  <si>
    <t>SCRAP_MATERIAL</t>
  </si>
  <si>
    <t>CALIBRE</t>
  </si>
  <si>
    <t>ESPESOR_MM</t>
  </si>
  <si>
    <t>ESPESOR_IN</t>
  </si>
  <si>
    <t>PESO Kg/m2</t>
  </si>
  <si>
    <t>VELOCIDAD_M/S</t>
  </si>
  <si>
    <t>PRESION_BARES</t>
  </si>
  <si>
    <t>ALTURA_FOCO</t>
  </si>
  <si>
    <t>ALTURA_CABEZAL</t>
  </si>
  <si>
    <t>POTENCIA</t>
  </si>
  <si>
    <t>GAS</t>
  </si>
  <si>
    <t>ANCHO_FT</t>
  </si>
  <si>
    <t>LARGO_FT</t>
  </si>
  <si>
    <t>LARGO_MM</t>
  </si>
  <si>
    <t>ANCHO_MM</t>
  </si>
  <si>
    <t>AREA_TOTAL_MM2</t>
  </si>
  <si>
    <t>AREA_TOTAL_M2</t>
  </si>
  <si>
    <t>PESO_HOJA_KG</t>
  </si>
  <si>
    <t>COSTO_MATERIAL_KG</t>
  </si>
  <si>
    <t>COSTO_HOJA_MXN</t>
  </si>
  <si>
    <t>MARGEN_NOMINAL_MM</t>
  </si>
  <si>
    <t>LARGO_MARGEN_MM</t>
  </si>
  <si>
    <t>ANCHO_MARGEN_MM</t>
  </si>
  <si>
    <t>AREA_TRABAJO_MM2</t>
  </si>
  <si>
    <t>ACERO</t>
  </si>
  <si>
    <t>GALVANIZADA</t>
  </si>
  <si>
    <t>COMERCIAL</t>
  </si>
  <si>
    <t>PINTRO</t>
  </si>
  <si>
    <t>ESPECIAL</t>
  </si>
  <si>
    <t>PLACA</t>
  </si>
  <si>
    <t>ROLADA EN CALIENTE</t>
  </si>
  <si>
    <t>1"</t>
  </si>
  <si>
    <t>7/8"</t>
  </si>
  <si>
    <t>3/4"</t>
  </si>
  <si>
    <t>11/16"</t>
  </si>
  <si>
    <t>5/8"</t>
  </si>
  <si>
    <t>9/16"</t>
  </si>
  <si>
    <t>1/2"</t>
  </si>
  <si>
    <t>7/16"</t>
  </si>
  <si>
    <t>3/8"</t>
  </si>
  <si>
    <t>5/16"</t>
  </si>
  <si>
    <t>1/4"</t>
  </si>
  <si>
    <t>3/16"</t>
  </si>
  <si>
    <t>1/8"</t>
  </si>
  <si>
    <t>ROLADA EN FRIO</t>
  </si>
  <si>
    <t>OXIGENO</t>
  </si>
  <si>
    <t>AIRE</t>
  </si>
  <si>
    <t>INOX</t>
  </si>
  <si>
    <t>304/316 L</t>
  </si>
  <si>
    <t>descripcion</t>
  </si>
  <si>
    <t>t_presentacionMaterial</t>
  </si>
  <si>
    <t>LAMINA_LISA</t>
  </si>
  <si>
    <t>t_composicionMaterial</t>
  </si>
  <si>
    <t>t_variacionMaterial</t>
  </si>
  <si>
    <t>t_disponibilidadMaterial</t>
  </si>
  <si>
    <t>POLITICA</t>
  </si>
  <si>
    <t>FESTIVO_OFICIAL</t>
  </si>
  <si>
    <t>FESTIVO_EXTENDIDO</t>
  </si>
  <si>
    <t>LABORAL</t>
  </si>
  <si>
    <t>DOMINGO</t>
  </si>
  <si>
    <t>LUNES</t>
  </si>
  <si>
    <t>MARTES</t>
  </si>
  <si>
    <t>MIERCOLES</t>
  </si>
  <si>
    <t>JUEVES</t>
  </si>
  <si>
    <t>VIERNES</t>
  </si>
  <si>
    <t>SABADO</t>
  </si>
  <si>
    <t>fecha</t>
  </si>
  <si>
    <t>year</t>
  </si>
  <si>
    <t>month</t>
  </si>
  <si>
    <t>day</t>
  </si>
  <si>
    <t>weekday</t>
  </si>
  <si>
    <t>INICIO_JORNADA_ORDINARIA</t>
  </si>
  <si>
    <t>TERMINO_JORNADA_ORDINARIA</t>
  </si>
  <si>
    <t>HORAS_JORNADA_ORDINARIA</t>
  </si>
  <si>
    <t>INICIO_JORNADA_EXTRAORDINARIA</t>
  </si>
  <si>
    <t>TERMINO_JORNADA_EXTRAORDINARIA</t>
  </si>
  <si>
    <t>HORAS_JORNADA_EXTRAORDINARIA</t>
  </si>
  <si>
    <t>CUSTOMER_MATERIAL</t>
  </si>
  <si>
    <t>t_politicaLaboral</t>
  </si>
  <si>
    <t>dia_semana</t>
  </si>
  <si>
    <t>t_materialPlano</t>
  </si>
  <si>
    <t>PROC-PERCCO-1</t>
  </si>
  <si>
    <t>PROC-PERCCO-3</t>
  </si>
  <si>
    <t>PROC-PERCCO-4</t>
  </si>
  <si>
    <t>PROC-PERCCO-5</t>
  </si>
  <si>
    <t>PROC-PERCCO-6</t>
  </si>
  <si>
    <t>ENFILMEADO</t>
  </si>
  <si>
    <t>PROC-PERCCO-7</t>
  </si>
  <si>
    <t>PINTADO</t>
  </si>
  <si>
    <t>MAQUINADORA</t>
  </si>
  <si>
    <t>TROQUELADORA 1</t>
  </si>
  <si>
    <t>TROQUELADORA 2</t>
  </si>
  <si>
    <t>CIZALLADORA</t>
  </si>
  <si>
    <t>USER-PERCCO-1</t>
  </si>
  <si>
    <t>num_parte</t>
  </si>
  <si>
    <t>descripcion_productStatus</t>
  </si>
  <si>
    <t>t_materialKit</t>
  </si>
  <si>
    <t>KIT_MATERIAL</t>
  </si>
  <si>
    <t>t_resourcesPool</t>
  </si>
  <si>
    <t>RESOURCES_POOL</t>
  </si>
  <si>
    <t>RRMM</t>
  </si>
  <si>
    <t>PPMM</t>
  </si>
  <si>
    <t>KKMM</t>
  </si>
  <si>
    <t>SSMM</t>
  </si>
  <si>
    <t>CCMM</t>
  </si>
  <si>
    <t>RRPP</t>
  </si>
  <si>
    <t>KKMM-PERCCO-1</t>
  </si>
  <si>
    <t>KKMM-PERCCO-2</t>
  </si>
  <si>
    <t>KKMM-PERCCO-3</t>
  </si>
  <si>
    <t>KKMM-PERCCO-4</t>
  </si>
  <si>
    <t>KKMM-PERCCO-5</t>
  </si>
  <si>
    <t>KKMM-PERCCO-6</t>
  </si>
  <si>
    <t>KKMM-PERCCO-7</t>
  </si>
  <si>
    <t>KKMM-PERCCO-8</t>
  </si>
  <si>
    <t>KKMM-PERCCO-9</t>
  </si>
  <si>
    <t>KKMM-PERCCO-10</t>
  </si>
  <si>
    <t>KKMM-PERCCO-11</t>
  </si>
  <si>
    <t>KKMM-PERCCO-12</t>
  </si>
  <si>
    <t>KKMM-PERCCO-13</t>
  </si>
  <si>
    <t>KKMM-PERCCO-14</t>
  </si>
  <si>
    <t>KKMM-PERCCO-15</t>
  </si>
  <si>
    <t>KKMM-PERCCO-16</t>
  </si>
  <si>
    <t>RRPP-PERCCO-1</t>
  </si>
  <si>
    <t>RRPP-PERCCO-2</t>
  </si>
  <si>
    <t>RRPP-PERCCO-3</t>
  </si>
  <si>
    <t>RRPP-PERCCO-4</t>
  </si>
  <si>
    <t>RRPP-PERCCO-5</t>
  </si>
  <si>
    <t>RRPP-PERCCO-6</t>
  </si>
  <si>
    <t>RRPP-PERCCO-7</t>
  </si>
  <si>
    <t>RRPP-PERCCO-8</t>
  </si>
  <si>
    <t>RRPP-PERCCO-9</t>
  </si>
  <si>
    <t>RRPP-PERCCO-10</t>
  </si>
  <si>
    <t>RRPP-PERCCO-11</t>
  </si>
  <si>
    <t>RRPP-PERCCO-12</t>
  </si>
  <si>
    <t>RRPP-PERCCO-13</t>
  </si>
  <si>
    <t>RRPP-PERCCO-14</t>
  </si>
  <si>
    <t>RRPP-PERCCO-15</t>
  </si>
  <si>
    <t>RRPP-PERCCO-16</t>
  </si>
  <si>
    <t>t_workOrder</t>
  </si>
  <si>
    <t>PACKAGING_INSTRUCION</t>
  </si>
  <si>
    <t>PRE_QUOTE</t>
  </si>
  <si>
    <t>QUOTE</t>
  </si>
  <si>
    <t>PPII</t>
  </si>
  <si>
    <t>PPQQ</t>
  </si>
  <si>
    <t>QUOT</t>
  </si>
  <si>
    <t>t_workgroup</t>
  </si>
  <si>
    <t>CONSUMIBLE</t>
  </si>
  <si>
    <t>CONS</t>
  </si>
  <si>
    <t>engineering_revision</t>
  </si>
  <si>
    <t>engineering_drawing</t>
  </si>
  <si>
    <t>91731A</t>
  </si>
  <si>
    <t>REFUERZO L PTR C14 160X254MM</t>
  </si>
  <si>
    <t>REFUERZO C GL G90 C18 31X1850MM V14</t>
  </si>
  <si>
    <t>VENTURY BLA VRA23</t>
  </si>
  <si>
    <t>DUCTO VRA23 SUP NEG</t>
  </si>
  <si>
    <t>DUCTO G372 BAR</t>
  </si>
  <si>
    <t>91731A/25A</t>
  </si>
  <si>
    <t>CUERPO DUCTO 10X10 CM</t>
  </si>
  <si>
    <t>PARRILLA PLANA ALM 831X430 19 BC</t>
  </si>
  <si>
    <t>PARRILLA PLANA ALM 831X450 19 BC</t>
  </si>
  <si>
    <t>PARRILLA PLANA ALM 603X430 19 BC</t>
  </si>
  <si>
    <t>PARRILLA PLANA ALM 603X530 19 BC</t>
  </si>
  <si>
    <t>REJILLA ALM COND 717X280X40 TP</t>
  </si>
  <si>
    <t>REJILLA ALM COND 433X230X86 TP</t>
  </si>
  <si>
    <t>METALICO</t>
  </si>
  <si>
    <t>PARRILLAS</t>
  </si>
  <si>
    <t>ESTRUCTURAS</t>
  </si>
  <si>
    <t>El producto se realiza mediante los procesos pertenencientes al area de metalicos.</t>
  </si>
  <si>
    <t>El producto se realiza mediante los procesos pertenencientes al area de parrillas.</t>
  </si>
  <si>
    <t>El producto se realiza mediante los procesos pertenencientes al area de estructuras.</t>
  </si>
  <si>
    <t>El producto se realiza mediante los procesos pertenencientes al area de mquinados.</t>
  </si>
  <si>
    <t>t_tipoProducto</t>
  </si>
  <si>
    <t>00350034</t>
  </si>
  <si>
    <t>00330866</t>
  </si>
  <si>
    <t>03</t>
  </si>
  <si>
    <t>00</t>
  </si>
  <si>
    <t>00330280</t>
  </si>
  <si>
    <t>02</t>
  </si>
  <si>
    <t>00320921</t>
  </si>
  <si>
    <t>04</t>
  </si>
  <si>
    <t>05</t>
  </si>
  <si>
    <t>2018154</t>
  </si>
  <si>
    <t>00310035/EP-P-MT-743</t>
  </si>
  <si>
    <t>06</t>
  </si>
  <si>
    <t>2072802</t>
  </si>
  <si>
    <t>PTR BASE 710MM CCV376PP BAR</t>
  </si>
  <si>
    <t>3074380</t>
  </si>
  <si>
    <t>ANCLA CERRADURA CP IX VMC</t>
  </si>
  <si>
    <t>3073138</t>
  </si>
  <si>
    <t>BASE GABINETE 1/2" NG VRA23</t>
  </si>
  <si>
    <t>3075729</t>
  </si>
  <si>
    <t>CAJA MET CONTROL FCA</t>
  </si>
  <si>
    <t>3072718</t>
  </si>
  <si>
    <t>COMPLEMENTO MET DUCTO DE AIRE BC EVC05</t>
  </si>
  <si>
    <t>5018854</t>
  </si>
  <si>
    <t>CONTENEDOR FAM PARRILLA</t>
  </si>
  <si>
    <t>3073773</t>
  </si>
  <si>
    <t>CUBIERTA MET SUP IX VMC05 V2</t>
  </si>
  <si>
    <t>3073139</t>
  </si>
  <si>
    <t>CUBIERTA MET SUP IX VMC17</t>
  </si>
  <si>
    <t>2062473</t>
  </si>
  <si>
    <t>2054402</t>
  </si>
  <si>
    <t>3055493</t>
  </si>
  <si>
    <t>DUCTO CCH360 R2</t>
  </si>
  <si>
    <t>2033424</t>
  </si>
  <si>
    <t>2098988</t>
  </si>
  <si>
    <t>DUCTO G3D26</t>
  </si>
  <si>
    <t>2017245</t>
  </si>
  <si>
    <t>2016001</t>
  </si>
  <si>
    <t>2016000</t>
  </si>
  <si>
    <t>DUCTO VRA23 SUP</t>
  </si>
  <si>
    <t>2033232</t>
  </si>
  <si>
    <t>3076557</t>
  </si>
  <si>
    <t>ESTRUCTURA MET BANCO DE HIELO RF12</t>
  </si>
  <si>
    <t>3076566</t>
  </si>
  <si>
    <t>ESTRUCTURA MET BATERIA RF</t>
  </si>
  <si>
    <t>3076567</t>
  </si>
  <si>
    <t>ESTRUCTURA MET UNIDAD RF12</t>
  </si>
  <si>
    <t>2016002</t>
  </si>
  <si>
    <t>LOUVER MET IIX VRA23</t>
  </si>
  <si>
    <t>2110006</t>
  </si>
  <si>
    <t>LOUVER MET IX VMC17</t>
  </si>
  <si>
    <t>2001248</t>
  </si>
  <si>
    <t>LOUVER MET NEG EH28</t>
  </si>
  <si>
    <t>2066051</t>
  </si>
  <si>
    <t>LOUVER MET NG G319 BIS IZQ/DER RAN</t>
  </si>
  <si>
    <t>2070732</t>
  </si>
  <si>
    <t>LOUVER MET NG G319 I/D RAN</t>
  </si>
  <si>
    <t>2066052</t>
  </si>
  <si>
    <t>LOUVER MET NG VR104N BIS IZQ/DER RAN</t>
  </si>
  <si>
    <t>2071277</t>
  </si>
  <si>
    <t>LOUVER MET NG VR12 BIS I/D CM</t>
  </si>
  <si>
    <t>2104515</t>
  </si>
  <si>
    <t>LOUVER MET NG VRD37 PD C/RAN</t>
  </si>
  <si>
    <t>2066050</t>
  </si>
  <si>
    <t>LOUVER MET NG VRD43 BIS IZQ/DER RAN</t>
  </si>
  <si>
    <t>2105059</t>
  </si>
  <si>
    <t>LOUVER MET NG VRD43 PD C/RAN</t>
  </si>
  <si>
    <t>3073120</t>
  </si>
  <si>
    <t>MARCO MET FRT IX VMC17</t>
  </si>
  <si>
    <t>3076406</t>
  </si>
  <si>
    <t>PARRILLA ABATIBLE CH SVC01-E1</t>
  </si>
  <si>
    <t>3078193</t>
  </si>
  <si>
    <t>PARRILLA BC GDE BVC19D1</t>
  </si>
  <si>
    <t>3028861</t>
  </si>
  <si>
    <t>PARRILLA C/SEP VRD21 UL</t>
  </si>
  <si>
    <t>3072493</t>
  </si>
  <si>
    <t>PARRILLA CH FVC19</t>
  </si>
  <si>
    <t>2049761</t>
  </si>
  <si>
    <t>PARRILLA CH VLS10 V15</t>
  </si>
  <si>
    <t>3081299</t>
  </si>
  <si>
    <t>PARRILLA CJ-PL ALM 543X451 12 NG CTP 6S</t>
  </si>
  <si>
    <t>3067726</t>
  </si>
  <si>
    <t>PARRILLA CJ-PL ALM 579X516 13 TP NG CTP</t>
  </si>
  <si>
    <t>3062681</t>
  </si>
  <si>
    <t>3076179</t>
  </si>
  <si>
    <t>PARRILLA EVC14</t>
  </si>
  <si>
    <t>3066739</t>
  </si>
  <si>
    <t>PARRILLA FVC40</t>
  </si>
  <si>
    <t>3032674</t>
  </si>
  <si>
    <t>PARRILLA G322*26 V10</t>
  </si>
  <si>
    <t>3028759</t>
  </si>
  <si>
    <t>PARRILLA G342 2TP</t>
  </si>
  <si>
    <t>3074846</t>
  </si>
  <si>
    <t>PARRILLA G3Q72</t>
  </si>
  <si>
    <t>2049760</t>
  </si>
  <si>
    <t>PARRILLA GDE VLS10 V15</t>
  </si>
  <si>
    <t>2049758</t>
  </si>
  <si>
    <t>PARRILLA MED VLS10 V15</t>
  </si>
  <si>
    <t>3032581</t>
  </si>
  <si>
    <t>PARRILLA NEG CCV320</t>
  </si>
  <si>
    <t>3081298</t>
  </si>
  <si>
    <t>PARRILLA PISO ALM 543X446 11 NG 6S</t>
  </si>
  <si>
    <t>3047102</t>
  </si>
  <si>
    <t>PARRILLA PISO C/SEP VRD21 UL V15</t>
  </si>
  <si>
    <t>2049757</t>
  </si>
  <si>
    <t>PARRILLA PISO VLS10 V15</t>
  </si>
  <si>
    <t>3079314</t>
  </si>
  <si>
    <t>PARRILLA PLANA ALM 520X410 12 TP BC</t>
  </si>
  <si>
    <t>3057150</t>
  </si>
  <si>
    <t>3039525</t>
  </si>
  <si>
    <t>PARRILLA SEP PARED TROP FRT CCH430</t>
  </si>
  <si>
    <t>3039524</t>
  </si>
  <si>
    <t>PARRILLA SEP PARED TROP LAT CCH430</t>
  </si>
  <si>
    <t>3055206</t>
  </si>
  <si>
    <t>PARRILLA SVC16</t>
  </si>
  <si>
    <t>3022973</t>
  </si>
  <si>
    <t>PARRILLA VR10 UL</t>
  </si>
  <si>
    <t>3021355</t>
  </si>
  <si>
    <t>PARRILLA VR17</t>
  </si>
  <si>
    <t>3001243</t>
  </si>
  <si>
    <t>PARRILLA VR26</t>
  </si>
  <si>
    <t>3076976</t>
  </si>
  <si>
    <t>PARRILLA VR27 NG</t>
  </si>
  <si>
    <t>3030831</t>
  </si>
  <si>
    <t>PARRILLA VRD37</t>
  </si>
  <si>
    <t>3077089</t>
  </si>
  <si>
    <t>PERFIL TUB R GL C20 3/4"X1 3/4"X734MM</t>
  </si>
  <si>
    <t>2079008</t>
  </si>
  <si>
    <t>POSTE CEN G342 BASE</t>
  </si>
  <si>
    <t>5018853</t>
  </si>
  <si>
    <t>RACK PAQUETE DE VIDRIO</t>
  </si>
  <si>
    <t>3074566</t>
  </si>
  <si>
    <t>REFUERZO OM GL G90 C20 35X130MM BAR</t>
  </si>
  <si>
    <t>3057309</t>
  </si>
  <si>
    <t>REJILLA ALAM CONTENCION CCH</t>
  </si>
  <si>
    <t>3024165</t>
  </si>
  <si>
    <t>3043577</t>
  </si>
  <si>
    <t>REJILLA MET CONTENCION VR06 CO2</t>
  </si>
  <si>
    <t>2024934</t>
  </si>
  <si>
    <t>3074378</t>
  </si>
  <si>
    <t>SOPORTE IX CERRADURA CP VMC</t>
  </si>
  <si>
    <t>3076568</t>
  </si>
  <si>
    <t>SOPORTE MET C BATERIA RF</t>
  </si>
  <si>
    <t>2039543</t>
  </si>
  <si>
    <t>SOPORTE MET L BLOQUE CERAMICO</t>
  </si>
  <si>
    <t>2109185</t>
  </si>
  <si>
    <t>SOPORTE MET MOTOR EVC05</t>
  </si>
  <si>
    <t>3068173</t>
  </si>
  <si>
    <t>SOPORTE MET MOTOR IX VMC18</t>
  </si>
  <si>
    <t>3075948</t>
  </si>
  <si>
    <t>TAPA INT IZQ CTRL RF PIN</t>
  </si>
  <si>
    <t>2015999</t>
  </si>
  <si>
    <t>3076235</t>
  </si>
  <si>
    <t>VENTURY MET GL RF PIN</t>
  </si>
  <si>
    <t>01</t>
  </si>
  <si>
    <t>00330652</t>
  </si>
  <si>
    <t>00330281</t>
  </si>
  <si>
    <t>00310253</t>
  </si>
  <si>
    <t>00330088/EP-P-MT-147R2</t>
  </si>
  <si>
    <t>2071240</t>
  </si>
  <si>
    <t>00350128</t>
  </si>
  <si>
    <t>3080765</t>
  </si>
  <si>
    <t>00350085</t>
  </si>
  <si>
    <t>66</t>
  </si>
  <si>
    <t>3081286</t>
  </si>
  <si>
    <t>00350084</t>
  </si>
  <si>
    <t>78</t>
  </si>
  <si>
    <t>00350019</t>
  </si>
  <si>
    <t>12</t>
  </si>
  <si>
    <t>3060865</t>
  </si>
  <si>
    <t>00350025</t>
  </si>
  <si>
    <t>3</t>
  </si>
  <si>
    <t>00350254</t>
  </si>
  <si>
    <t>2022872</t>
  </si>
  <si>
    <t>00321246</t>
  </si>
  <si>
    <t>2115870</t>
  </si>
  <si>
    <t>00330279</t>
  </si>
  <si>
    <t>2116288</t>
  </si>
  <si>
    <t>1021700</t>
  </si>
  <si>
    <t>1021701</t>
  </si>
  <si>
    <t>3054550</t>
  </si>
  <si>
    <t>REFUERZO L</t>
  </si>
  <si>
    <t xml:space="preserve">REFUERZO L </t>
  </si>
  <si>
    <t>JALADERA MET GRI NGD ICE</t>
  </si>
  <si>
    <t>CUST-PERCCO-5</t>
  </si>
  <si>
    <t>CUST-PERCCO-6</t>
  </si>
  <si>
    <t>CUST-PERCCO-7</t>
  </si>
  <si>
    <t>SIEMENS</t>
  </si>
  <si>
    <t>KKMM-PERCCO-17</t>
  </si>
  <si>
    <t>KKMM-PERCCO-18</t>
  </si>
  <si>
    <t>KKMM-PERCCO-19</t>
  </si>
  <si>
    <t>KKMM-PERCCO-20</t>
  </si>
  <si>
    <t>KKMM-PERCCO-21</t>
  </si>
  <si>
    <t>KKMM-PERCCO-22</t>
  </si>
  <si>
    <t>KKMM-PERCCO-23</t>
  </si>
  <si>
    <t>KKMM-PERCCO-24</t>
  </si>
  <si>
    <t>KKMM-PERCCO-25</t>
  </si>
  <si>
    <t>KKMM-PERCCO-26</t>
  </si>
  <si>
    <t>KKMM-PERCCO-27</t>
  </si>
  <si>
    <t>KKMM-PERCCO-28</t>
  </si>
  <si>
    <t>KKMM-PERCCO-29</t>
  </si>
  <si>
    <t>KKMM-PERCCO-30</t>
  </si>
  <si>
    <t>KKMM-PERCCO-31</t>
  </si>
  <si>
    <t>KKMM-PERCCO-32</t>
  </si>
  <si>
    <t>KKMM-PERCCO-33</t>
  </si>
  <si>
    <t>KKMM-PERCCO-34</t>
  </si>
  <si>
    <t>KKMM-PERCCO-35</t>
  </si>
  <si>
    <t>KKMM-PERCCO-36</t>
  </si>
  <si>
    <t>KKMM-PERCCO-37</t>
  </si>
  <si>
    <t>KKMM-PERCCO-38</t>
  </si>
  <si>
    <t>KKMM-PERCCO-39</t>
  </si>
  <si>
    <t>KKMM-PERCCO-40</t>
  </si>
  <si>
    <t>KKMM-PERCCO-41</t>
  </si>
  <si>
    <t>KKMM-PERCCO-42</t>
  </si>
  <si>
    <t>KKMM-PERCCO-43</t>
  </si>
  <si>
    <t>KKMM-PERCCO-44</t>
  </si>
  <si>
    <t>KKMM-PERCCO-45</t>
  </si>
  <si>
    <t>KKMM-PERCCO-46</t>
  </si>
  <si>
    <t>KKMM-PERCCO-47</t>
  </si>
  <si>
    <t>KKMM-PERCCO-48</t>
  </si>
  <si>
    <t>KKMM-PERCCO-49</t>
  </si>
  <si>
    <t>KKMM-PERCCO-50</t>
  </si>
  <si>
    <t>KKMM-PERCCO-51</t>
  </si>
  <si>
    <t>KKMM-PERCCO-52</t>
  </si>
  <si>
    <t>KKMM-PERCCO-53</t>
  </si>
  <si>
    <t>KKMM-PERCCO-54</t>
  </si>
  <si>
    <t>KKMM-PERCCO-55</t>
  </si>
  <si>
    <t>KKMM-PERCCO-56</t>
  </si>
  <si>
    <t>KKMM-PERCCO-57</t>
  </si>
  <si>
    <t>KKMM-PERCCO-58</t>
  </si>
  <si>
    <t>KKMM-PERCCO-59</t>
  </si>
  <si>
    <t>KKMM-PERCCO-60</t>
  </si>
  <si>
    <t>KKMM-PERCCO-61</t>
  </si>
  <si>
    <t>KKMM-PERCCO-62</t>
  </si>
  <si>
    <t>KKMM-PERCCO-63</t>
  </si>
  <si>
    <t>KKMM-PERCCO-64</t>
  </si>
  <si>
    <t>KKMM-PERCCO-65</t>
  </si>
  <si>
    <t>KKMM-PERCCO-66</t>
  </si>
  <si>
    <t>KKMM-PERCCO-67</t>
  </si>
  <si>
    <t>KKMM-PERCCO-68</t>
  </si>
  <si>
    <t>KKMM-PERCCO-69</t>
  </si>
  <si>
    <t>KKMM-PERCCO-70</t>
  </si>
  <si>
    <t>KKMM-PERCCO-71</t>
  </si>
  <si>
    <t>KKMM-PERCCO-72</t>
  </si>
  <si>
    <t>KKMM-PERCCO-73</t>
  </si>
  <si>
    <t>KKMM-PERCCO-74</t>
  </si>
  <si>
    <t>KKMM-PERCCO-75</t>
  </si>
  <si>
    <t>KKMM-PERCCO-76</t>
  </si>
  <si>
    <t>KKMM-PERCCO-77</t>
  </si>
  <si>
    <t>KKMM-PERCCO-78</t>
  </si>
  <si>
    <t>KKMM-PERCCO-79</t>
  </si>
  <si>
    <t>KKMM-PERCCO-80</t>
  </si>
  <si>
    <t>KKMM-PERCCO-81</t>
  </si>
  <si>
    <t>KKMM-PERCCO-82</t>
  </si>
  <si>
    <t>KKMM-PERCCO-83</t>
  </si>
  <si>
    <t>KKMM-PERCCO-84</t>
  </si>
  <si>
    <t>KKMM-PERCCO-85</t>
  </si>
  <si>
    <t>KKMM-PERCCO-86</t>
  </si>
  <si>
    <t>KKMM-PERCCO-87</t>
  </si>
  <si>
    <t>KKMM-PERCCO-88</t>
  </si>
  <si>
    <t>KKMM-PERCCO-89</t>
  </si>
  <si>
    <t>KKMM-PERCCO-90</t>
  </si>
  <si>
    <t>KKMM-PERCCO-91</t>
  </si>
  <si>
    <t>KKMM-PERCCO-92</t>
  </si>
  <si>
    <t>KKMM-PERCCO-93</t>
  </si>
  <si>
    <t>KKMM-PERCCO-94</t>
  </si>
  <si>
    <t>KKMM-PERCCO-95</t>
  </si>
  <si>
    <t>KKMM-PERCCO-96</t>
  </si>
  <si>
    <t>KKMM-PERCCO-97</t>
  </si>
  <si>
    <t>KKMM-PERCCO-98</t>
  </si>
  <si>
    <t>KKMM-PERCCO-99</t>
  </si>
  <si>
    <t>KKMM-PERCCO-100</t>
  </si>
  <si>
    <t>KKMM-PERCCO-101</t>
  </si>
  <si>
    <t>ANGULO</t>
  </si>
  <si>
    <t>CUADRADO</t>
  </si>
  <si>
    <t>REDONDO</t>
  </si>
  <si>
    <t>HEXAGONO</t>
  </si>
  <si>
    <t>ZETA</t>
  </si>
  <si>
    <t>TEE</t>
  </si>
  <si>
    <t>SOLERA</t>
  </si>
  <si>
    <t>SEMIFLECHA</t>
  </si>
  <si>
    <t>CANAL U</t>
  </si>
  <si>
    <t>VIGA IPS</t>
  </si>
  <si>
    <t>VIGA IPR</t>
  </si>
  <si>
    <t>PTR ESTRUCTURAL</t>
  </si>
  <si>
    <t>MONTEN</t>
  </si>
  <si>
    <t>HSS ESTRUCTURAL</t>
  </si>
  <si>
    <t>LAMINA LISA</t>
  </si>
  <si>
    <t>LAMINA ACANALADA</t>
  </si>
  <si>
    <t>PLACA ANTIDERRAPANTE</t>
  </si>
  <si>
    <t>LAMINA ANTIDERRAPANTE</t>
  </si>
  <si>
    <t>ALAMBRE</t>
  </si>
  <si>
    <t>METAL DESPLEGADO</t>
  </si>
  <si>
    <t>KKMM-PERCCO-102</t>
  </si>
  <si>
    <t>KKMM-PERCCO-103</t>
  </si>
  <si>
    <t>KKMM-PERCCO-104</t>
  </si>
  <si>
    <t>KKMM-PERCCO-105</t>
  </si>
  <si>
    <t>KKMM-PERCCO-106</t>
  </si>
  <si>
    <t>KKMM-PERCCO-107</t>
  </si>
  <si>
    <t>KKMM-PERCCO-108</t>
  </si>
  <si>
    <t>KKMM-PERCCO-109</t>
  </si>
  <si>
    <t>KKMM-PERCCO-110</t>
  </si>
  <si>
    <t>KKMM-PERCCO-111</t>
  </si>
  <si>
    <t>KKMM-PERCCO-112</t>
  </si>
  <si>
    <t>KKMM-PERCCO-113</t>
  </si>
  <si>
    <t>KKMM-PERCCO-114</t>
  </si>
  <si>
    <t>KKMM-PERCCO-115</t>
  </si>
  <si>
    <t>KKMM-PERCCO-116</t>
  </si>
  <si>
    <t>KKMM-PERCCO-117</t>
  </si>
  <si>
    <t>KKMM-PERCCO-118</t>
  </si>
  <si>
    <t>KKMM-PERCCO-119</t>
  </si>
  <si>
    <t>KKMM-PERCCO-120</t>
  </si>
  <si>
    <t>KKMM-PERCCO-121</t>
  </si>
  <si>
    <t>KKMM-PERCCO-122</t>
  </si>
  <si>
    <t>KKMM-PERCCO-123</t>
  </si>
  <si>
    <t>KKMM-PERCCO-124</t>
  </si>
  <si>
    <t>KKMM-PERCCO-125</t>
  </si>
  <si>
    <t>KKMM-PERCCO-126</t>
  </si>
  <si>
    <t>KKMM-PERCCO-127</t>
  </si>
  <si>
    <t>KKMM-PERCCO-128</t>
  </si>
  <si>
    <t>KKMM-PERCCO-129</t>
  </si>
  <si>
    <t>KKMM-PERCCO-130</t>
  </si>
  <si>
    <t>KKMM-PERCCO-131</t>
  </si>
  <si>
    <t>KKMM-PERCCO-132</t>
  </si>
  <si>
    <t>KKMM-PERCCO-133</t>
  </si>
  <si>
    <t>KKMM-PERCCO-134</t>
  </si>
  <si>
    <t>KKMM-PERCCO-135</t>
  </si>
  <si>
    <t>KKMM-PERCCO-136</t>
  </si>
  <si>
    <t>KKMM-PERCCO-137</t>
  </si>
  <si>
    <t>KKMM-PERCCO-138</t>
  </si>
  <si>
    <t>KKMM-PERCCO-139</t>
  </si>
  <si>
    <t>KKMM-PERCCO-140</t>
  </si>
  <si>
    <t>KKMM-PERCCO-141</t>
  </si>
  <si>
    <t>KKMM-PERCCO-142</t>
  </si>
  <si>
    <t>KKMM-PERCCO-143</t>
  </si>
  <si>
    <t>KKMM-PERCCO-144</t>
  </si>
  <si>
    <t>KKMM-PERCCO-145</t>
  </si>
  <si>
    <t>KKMM-PERCCO-146</t>
  </si>
  <si>
    <t>KKMM-PERCCO-147</t>
  </si>
  <si>
    <t>KKMM-PERCCO-148</t>
  </si>
  <si>
    <t>KKMM-PERCCO-149</t>
  </si>
  <si>
    <t>KKMM-PERCCO-150</t>
  </si>
  <si>
    <t>KKMM-PERCCO-151</t>
  </si>
  <si>
    <t>KKMM-PERCCO-152</t>
  </si>
  <si>
    <t>KKMM-PERCCO-153</t>
  </si>
  <si>
    <t>KKMM-PERCCO-154</t>
  </si>
  <si>
    <t>KKMM-PERCCO-155</t>
  </si>
  <si>
    <t>KKMM-PERCCO-156</t>
  </si>
  <si>
    <t>KKMM-PERCCO-157</t>
  </si>
  <si>
    <t>KKMM-PERCCO-158</t>
  </si>
  <si>
    <t>KKMM-PERCCO-159</t>
  </si>
  <si>
    <t>KKMM-PERCCO-160</t>
  </si>
  <si>
    <t>KKMM-PERCCO-161</t>
  </si>
  <si>
    <t>KKMM-PERCCO-162</t>
  </si>
  <si>
    <t>KKMM-PERCCO-163</t>
  </si>
  <si>
    <t>KKMM-PERCCO-164</t>
  </si>
  <si>
    <t>KKMM-PERCCO-165</t>
  </si>
  <si>
    <t>KKMM-PERCCO-166</t>
  </si>
  <si>
    <t>KKMM-PERCCO-167</t>
  </si>
  <si>
    <t>KKMM-PERCCO-168</t>
  </si>
  <si>
    <t>KKMM-PERCCO-169</t>
  </si>
  <si>
    <t>KKMM-PERCCO-170</t>
  </si>
  <si>
    <t>KKMM-PERCCO-171</t>
  </si>
  <si>
    <t>KKMM-PERCCO-172</t>
  </si>
  <si>
    <t>KKMM-PERCCO-173</t>
  </si>
  <si>
    <t>KKMM-PERCCO-174</t>
  </si>
  <si>
    <t>KKMM-PERCCO-175</t>
  </si>
  <si>
    <t>KKMM-PERCCO-176</t>
  </si>
  <si>
    <t>KKMM-PERCCO-177</t>
  </si>
  <si>
    <t>KKMM-PERCCO-178</t>
  </si>
  <si>
    <t>KKMM-PERCCO-179</t>
  </si>
  <si>
    <t>KKMM-PERCCO-180</t>
  </si>
  <si>
    <t>KKMM-PERCCO-181</t>
  </si>
  <si>
    <t>KKMM-PERCCO-182</t>
  </si>
  <si>
    <t>KKMM-PERCCO-183</t>
  </si>
  <si>
    <t>KKMM-PERCCO-184</t>
  </si>
  <si>
    <t>KKMM-PERCCO-185</t>
  </si>
  <si>
    <t>KKMM-PERCCO-186</t>
  </si>
  <si>
    <t>KKMM-PERCCO-187</t>
  </si>
  <si>
    <t>KKMM-PERCCO-188</t>
  </si>
  <si>
    <t>KKMM-PERCCO-189</t>
  </si>
  <si>
    <t>KKMM-PERCCO-190</t>
  </si>
  <si>
    <t>KKMM-PERCCO-191</t>
  </si>
  <si>
    <t>KKMM-PERCCO-192</t>
  </si>
  <si>
    <t>KKMM-PERCCO-193</t>
  </si>
  <si>
    <t>KKMM-PERCCO-194</t>
  </si>
  <si>
    <t>KKMM-PERCCO-195</t>
  </si>
  <si>
    <t>KKMM-PERCCO-196</t>
  </si>
  <si>
    <t>KKMM-PERCCO-197</t>
  </si>
  <si>
    <t>KKMM-PERCCO-198</t>
  </si>
  <si>
    <t>KKMM-PERCCO-199</t>
  </si>
  <si>
    <t>KKMM-PERCCO-200</t>
  </si>
  <si>
    <t>KKMM-PERCCO-201</t>
  </si>
  <si>
    <t>KKMM-PERCCO-202</t>
  </si>
  <si>
    <t>KKMM-PERCCO-203</t>
  </si>
  <si>
    <t>KKMM-PERCCO-204</t>
  </si>
  <si>
    <t>KKMM-PERCCO-205</t>
  </si>
  <si>
    <t>KKMM-PERCCO-206</t>
  </si>
  <si>
    <t>KKMM-PERCCO-207</t>
  </si>
  <si>
    <t>KKMM-PERCCO-208</t>
  </si>
  <si>
    <t>KKMM-PERCCO-209</t>
  </si>
  <si>
    <t>KKMM-PERCCO-210</t>
  </si>
  <si>
    <t>KKMM-PERCCO-211</t>
  </si>
  <si>
    <t>KKMM-PERCCO-212</t>
  </si>
  <si>
    <t>KKMM-PERCCO-213</t>
  </si>
  <si>
    <t>KKMM-PERCCO-214</t>
  </si>
  <si>
    <t>KKMM-PERCCO-215</t>
  </si>
  <si>
    <t>KKMM-PERCCO-216</t>
  </si>
  <si>
    <t>KKMM-PERCCO-217</t>
  </si>
  <si>
    <t>KKMM-PERCCO-218</t>
  </si>
  <si>
    <t>KKMM-PERCCO-219</t>
  </si>
  <si>
    <t>KKMM-PERCCO-220</t>
  </si>
  <si>
    <t>KKMM-PERCCO-221</t>
  </si>
  <si>
    <t>KKMM-PERCCO-222</t>
  </si>
  <si>
    <t>KKMM-PERCCO-223</t>
  </si>
  <si>
    <t>KKMM-PERCCO-224</t>
  </si>
  <si>
    <t>KKMM-PERCCO-225</t>
  </si>
  <si>
    <t>KKMM-PERCCO-226</t>
  </si>
  <si>
    <t>KKMM-PERCCO-227</t>
  </si>
  <si>
    <t>KKMM-PERCCO-228</t>
  </si>
  <si>
    <t>KKMM-PERCCO-229</t>
  </si>
  <si>
    <t>KKMM-PERCCO-230</t>
  </si>
  <si>
    <t>KKMM-PERCCO-231</t>
  </si>
  <si>
    <t>KKMM-PERCCO-232</t>
  </si>
  <si>
    <t>KKMM-PERCCO-233</t>
  </si>
  <si>
    <t>KKMM-PERCCO-234</t>
  </si>
  <si>
    <t>KKMM-PERCCO-235</t>
  </si>
  <si>
    <t>KKMM-PERCCO-236</t>
  </si>
  <si>
    <t>KKMM-PERCCO-237</t>
  </si>
  <si>
    <t>KKMM-PERCCO-238</t>
  </si>
  <si>
    <t>KKMM-PERCCO-239</t>
  </si>
  <si>
    <t>KKMM-PERCCO-240</t>
  </si>
  <si>
    <t>KKMM-PERCCO-241</t>
  </si>
  <si>
    <t>KKMM-PERCCO-242</t>
  </si>
  <si>
    <t>KKMM-PERCCO-243</t>
  </si>
  <si>
    <t>KKMM-PERCCO-244</t>
  </si>
  <si>
    <t>KKMM-PERCCO-245</t>
  </si>
  <si>
    <t>KKMM-PERCCO-246</t>
  </si>
  <si>
    <t>KKMM-PERCCO-247</t>
  </si>
  <si>
    <t>KKMM-PERCCO-248</t>
  </si>
  <si>
    <t>KKMM-PERCCO-249</t>
  </si>
  <si>
    <t>KKMM-PERCCO-250</t>
  </si>
  <si>
    <t>KKMM-PERCCO-251</t>
  </si>
  <si>
    <t>KKMM-PERCCO-252</t>
  </si>
  <si>
    <t>KKMM-PERCCO-253</t>
  </si>
  <si>
    <t>KKMM-PERCCO-254</t>
  </si>
  <si>
    <t>KKMM-PERCCO-255</t>
  </si>
  <si>
    <t>KKMM-PERCCO-256</t>
  </si>
  <si>
    <t>KKMM-PERCCO-257</t>
  </si>
  <si>
    <t>KKMM-PERCCO-258</t>
  </si>
  <si>
    <t>KKMM-PERCCO-259</t>
  </si>
  <si>
    <t>KKMM-PERCCO-260</t>
  </si>
  <si>
    <t>KKMM-PERCCO-261</t>
  </si>
  <si>
    <t>KKMM-PERCCO-262</t>
  </si>
  <si>
    <t>KKMM-PERCCO-263</t>
  </si>
  <si>
    <t>KKMM-PERCCO-264</t>
  </si>
  <si>
    <t>KKMM-PERCCO-265</t>
  </si>
  <si>
    <t>KKMM-PERCCO-266</t>
  </si>
  <si>
    <t>KKMM-PERCCO-267</t>
  </si>
  <si>
    <t>KKMM-PERCCO-268</t>
  </si>
  <si>
    <t>KKMM-PERCCO-269</t>
  </si>
  <si>
    <t>KKMM-PERCCO-270</t>
  </si>
  <si>
    <t>KKMM-PERCCO-271</t>
  </si>
  <si>
    <t>KKMM-PERCCO-272</t>
  </si>
  <si>
    <t>KKMM-PERCCO-273</t>
  </si>
  <si>
    <t>KKMM-PERCCO-274</t>
  </si>
  <si>
    <t>KKMM-PERCCO-275</t>
  </si>
  <si>
    <t>KKMM-PERCCO-276</t>
  </si>
  <si>
    <t>KKMM-PERCCO-277</t>
  </si>
  <si>
    <t>KKMM-PERCCO-278</t>
  </si>
  <si>
    <t>KKMM-PERCCO-279</t>
  </si>
  <si>
    <t>KKMM-PERCCO-280</t>
  </si>
  <si>
    <t>KKMM-PERCCO-281</t>
  </si>
  <si>
    <t>KKMM-PERCCO-282</t>
  </si>
  <si>
    <t>KKMM-PERCCO-283</t>
  </si>
  <si>
    <t>KKMM-PERCCO-284</t>
  </si>
  <si>
    <t>KKMM-PERCCO-285</t>
  </si>
  <si>
    <t>KKMM-PERCCO-286</t>
  </si>
  <si>
    <t>KKMM-PERCCO-287</t>
  </si>
  <si>
    <t>KKMM-PERCCO-288</t>
  </si>
  <si>
    <t>KKMM-PERCCO-289</t>
  </si>
  <si>
    <t>KKMM-PERCCO-290</t>
  </si>
  <si>
    <t>KKMM-PERCCO-291</t>
  </si>
  <si>
    <t>KKMM-PERCCO-292</t>
  </si>
  <si>
    <t>KKMM-PERCCO-293</t>
  </si>
  <si>
    <t>KKMM-PERCCO-294</t>
  </si>
  <si>
    <t>KKMM-PERCCO-295</t>
  </si>
  <si>
    <t>KKMM-PERCCO-296</t>
  </si>
  <si>
    <t>KKMM-PERCCO-297</t>
  </si>
  <si>
    <t>KKMM-PERCCO-298</t>
  </si>
  <si>
    <t>KKMM-PERCCO-299</t>
  </si>
  <si>
    <t>KKMM-PERCCO-300</t>
  </si>
  <si>
    <t>KKMM-PERCCO-301</t>
  </si>
  <si>
    <t>KKMM-PERCCO-302</t>
  </si>
  <si>
    <t>KKMM-PERCCO-303</t>
  </si>
  <si>
    <t>KKMM-PERCCO-304</t>
  </si>
  <si>
    <t>KKMM-PERCCO-305</t>
  </si>
  <si>
    <t>KKMM-PERCCO-306</t>
  </si>
  <si>
    <t>KKMM-PERCCO-307</t>
  </si>
  <si>
    <t>KKMM-PERCCO-308</t>
  </si>
  <si>
    <t>KKMM-PERCCO-309</t>
  </si>
  <si>
    <t>KKMM-PERCCO-310</t>
  </si>
  <si>
    <t>KKMM-PERCCO-311</t>
  </si>
  <si>
    <t>KKMM-PERCCO-312</t>
  </si>
  <si>
    <t>KKMM-PERCCO-313</t>
  </si>
  <si>
    <t>KKMM-PERCCO-314</t>
  </si>
  <si>
    <t>KKMM-PERCCO-315</t>
  </si>
  <si>
    <t>KKMM-PERCCO-316</t>
  </si>
  <si>
    <t>KKMM-PERCCO-317</t>
  </si>
  <si>
    <t>KKMM-PERCCO-318</t>
  </si>
  <si>
    <t>KKMM-PERCCO-319</t>
  </si>
  <si>
    <t>KKMM-PERCCO-320</t>
  </si>
  <si>
    <t>KKMM-PERCCO-321</t>
  </si>
  <si>
    <t>KKMM-PERCCO-322</t>
  </si>
  <si>
    <t>KKMM-PERCCO-323</t>
  </si>
  <si>
    <t>KKMM-PERCCO-324</t>
  </si>
  <si>
    <t>KKMM-PERCCO-325</t>
  </si>
  <si>
    <t>KKMM-PERCCO-326</t>
  </si>
  <si>
    <t>KKMM-PERCCO-327</t>
  </si>
  <si>
    <t>KKMM-PERCCO-328</t>
  </si>
  <si>
    <t>KKMM-PERCCO-329</t>
  </si>
  <si>
    <t>KKMM-PERCCO-330</t>
  </si>
  <si>
    <t>KKMM-PERCCO-331</t>
  </si>
  <si>
    <t>KKMM-PERCCO-332</t>
  </si>
  <si>
    <t>KKMM-PERCCO-333</t>
  </si>
  <si>
    <t>KKMM-PERCCO-334</t>
  </si>
  <si>
    <t>KKMM-PERCCO-335</t>
  </si>
  <si>
    <t>KKMM-PERCCO-336</t>
  </si>
  <si>
    <t>KKMM-PERCCO-337</t>
  </si>
  <si>
    <t>KKMM-PERCCO-338</t>
  </si>
  <si>
    <t>KKMM-PERCCO-339</t>
  </si>
  <si>
    <t>KKMM-PERCCO-340</t>
  </si>
  <si>
    <t>KKMM-PERCCO-341</t>
  </si>
  <si>
    <t>KKMM-PERCCO-342</t>
  </si>
  <si>
    <t>KKMM-PERCCO-343</t>
  </si>
  <si>
    <t>KKMM-PERCCO-344</t>
  </si>
  <si>
    <t>KKMM-PERCCO-345</t>
  </si>
  <si>
    <t>KKMM-PERCCO-346</t>
  </si>
  <si>
    <t>KKMM-PERCCO-347</t>
  </si>
  <si>
    <t>KKMM-PERCCO-348</t>
  </si>
  <si>
    <t>KKMM-PERCCO-349</t>
  </si>
  <si>
    <t>KKMM-PERCCO-350</t>
  </si>
  <si>
    <t>KKMM-PERCCO-351</t>
  </si>
  <si>
    <t>KKMM-PERCCO-352</t>
  </si>
  <si>
    <t>KKMM-PERCCO-353</t>
  </si>
  <si>
    <t>KKMM-PERCCO-354</t>
  </si>
  <si>
    <t>KKMM-PERCCO-355</t>
  </si>
  <si>
    <t>KKMM-PERCCO-356</t>
  </si>
  <si>
    <t>KKMM-PERCCO-357</t>
  </si>
  <si>
    <t>KKMM-PERCCO-358</t>
  </si>
  <si>
    <t>KKMM-PERCCO-359</t>
  </si>
  <si>
    <t>KKMM-PERCCO-360</t>
  </si>
  <si>
    <t>KKMM-PERCCO-361</t>
  </si>
  <si>
    <t>KKMM-PERCCO-362</t>
  </si>
  <si>
    <t>KKMM-PERCCO-363</t>
  </si>
  <si>
    <t>KKMM-PERCCO-364</t>
  </si>
  <si>
    <t>KKMM-PERCCO-365</t>
  </si>
  <si>
    <t>KKMM-PERCCO-366</t>
  </si>
  <si>
    <t>KKMM-PERCCO-367</t>
  </si>
  <si>
    <t>KKMM-PERCCO-368</t>
  </si>
  <si>
    <t>KKMM-PERCCO-369</t>
  </si>
  <si>
    <t>KKMM-PERCCO-370</t>
  </si>
  <si>
    <t>KKMM-PERCCO-371</t>
  </si>
  <si>
    <t>KKMM-PERCCO-372</t>
  </si>
  <si>
    <t>KKMM-PERCCO-373</t>
  </si>
  <si>
    <t>KKMM-PERCCO-374</t>
  </si>
  <si>
    <t>KKMM-PERCCO-375</t>
  </si>
  <si>
    <t>KKMM-PERCCO-376</t>
  </si>
  <si>
    <t>KKMM-PERCCO-377</t>
  </si>
  <si>
    <t>KKMM-PERCCO-378</t>
  </si>
  <si>
    <t>KKMM-PERCCO-379</t>
  </si>
  <si>
    <t>KKMM-PERCCO-380</t>
  </si>
  <si>
    <t>KKMM-PERCCO-381</t>
  </si>
  <si>
    <t>KKMM-PERCCO-382</t>
  </si>
  <si>
    <t>KKMM-PERCCO-383</t>
  </si>
  <si>
    <t>KKMM-PERCCO-384</t>
  </si>
  <si>
    <t>KKMM-PERCCO-385</t>
  </si>
  <si>
    <t>KKMM-PERCCO-386</t>
  </si>
  <si>
    <t>KKMM-PERCCO-387</t>
  </si>
  <si>
    <t>KKMM-PERCCO-388</t>
  </si>
  <si>
    <t>KKMM-PERCCO-389</t>
  </si>
  <si>
    <t>KKMM-PERCCO-390</t>
  </si>
  <si>
    <t>KKMM-PERCCO-391</t>
  </si>
  <si>
    <t>KKMM-PERCCO-392</t>
  </si>
  <si>
    <t>KKMM-PERCCO-393</t>
  </si>
  <si>
    <t>KKMM-PERCCO-394</t>
  </si>
  <si>
    <t>KKMM-PERCCO-395</t>
  </si>
  <si>
    <t>KKMM-PERCCO-396</t>
  </si>
  <si>
    <t>KKMM-PERCCO-397</t>
  </si>
  <si>
    <t>KKMM-PERCCO-398</t>
  </si>
  <si>
    <t>KKMM-PERCCO-399</t>
  </si>
  <si>
    <t>KKMM-PERCCO-400</t>
  </si>
  <si>
    <t>KKMM-PERCCO-401</t>
  </si>
  <si>
    <t>KKMM-PERCCO-402</t>
  </si>
  <si>
    <t>KKMM-PERCCO-403</t>
  </si>
  <si>
    <t>KKMM-PERCCO-404</t>
  </si>
  <si>
    <t>KKMM-PERCCO-405</t>
  </si>
  <si>
    <t>KKMM-PERCCO-406</t>
  </si>
  <si>
    <t>KKMM-PERCCO-407</t>
  </si>
  <si>
    <t>KKMM-PERCCO-408</t>
  </si>
  <si>
    <t>KKMM-PERCCO-409</t>
  </si>
  <si>
    <t>KKMM-PERCCO-410</t>
  </si>
  <si>
    <t>KKMM-PERCCO-411</t>
  </si>
  <si>
    <t>KKMM-PERCCO-412</t>
  </si>
  <si>
    <t>KKMM-PERCCO-413</t>
  </si>
  <si>
    <t>KKMM-PERCCO-414</t>
  </si>
  <si>
    <t>KKMM-PERCCO-415</t>
  </si>
  <si>
    <t>KKMM-PERCCO-416</t>
  </si>
  <si>
    <t>KKMM-PERCCO-417</t>
  </si>
  <si>
    <t>KKMM-PERCCO-418</t>
  </si>
  <si>
    <t>KKMM-PERCCO-419</t>
  </si>
  <si>
    <t>KKMM-PERCCO-420</t>
  </si>
  <si>
    <t>KKMM-PERCCO-421</t>
  </si>
  <si>
    <t>KKMM-PERCCO-422</t>
  </si>
  <si>
    <t>KKMM-PERCCO-423</t>
  </si>
  <si>
    <t>KKMM-PERCCO-424</t>
  </si>
  <si>
    <t>KKMM-PERCCO-425</t>
  </si>
  <si>
    <t>KKMM-PERCCO-426</t>
  </si>
  <si>
    <t>KKMM-PERCCO-427</t>
  </si>
  <si>
    <t>KKMM-PERCCO-428</t>
  </si>
  <si>
    <t>KKMM-PERCCO-429</t>
  </si>
  <si>
    <t>KKMM-PERCCO-430</t>
  </si>
  <si>
    <t>KKMM-PERCCO-431</t>
  </si>
  <si>
    <t>KKMM-PERCCO-432</t>
  </si>
  <si>
    <t>KKMM-PERCCO-433</t>
  </si>
  <si>
    <t>KKMM-PERCCO-434</t>
  </si>
  <si>
    <t>KKMM-PERCCO-435</t>
  </si>
  <si>
    <t>KKMM-PERCCO-436</t>
  </si>
  <si>
    <t>KKMM-PERCCO-437</t>
  </si>
  <si>
    <t>KKMM-PERCCO-438</t>
  </si>
  <si>
    <t>KKMM-PERCCO-439</t>
  </si>
  <si>
    <t>KKMM-PERCCO-440</t>
  </si>
  <si>
    <t>KKMM-PERCCO-441</t>
  </si>
  <si>
    <t>KKMM-PERCCO-442</t>
  </si>
  <si>
    <t>KKMM-PERCCO-443</t>
  </si>
  <si>
    <t>KKMM-PERCCO-444</t>
  </si>
  <si>
    <t>KKMM-PERCCO-445</t>
  </si>
  <si>
    <t>KKMM-PERCCO-446</t>
  </si>
  <si>
    <t>KKMM-PERCCO-447</t>
  </si>
  <si>
    <t>KKMM-PERCCO-448</t>
  </si>
  <si>
    <t>KKMM-PERCCO-449</t>
  </si>
  <si>
    <t>KKMM-PERCCO-450</t>
  </si>
  <si>
    <t>KKMM-PERCCO-451</t>
  </si>
  <si>
    <t>KKMM-PERCCO-452</t>
  </si>
  <si>
    <t>KKMM-PERCCO-453</t>
  </si>
  <si>
    <t>KKMM-PERCCO-454</t>
  </si>
  <si>
    <t>KKMM-PERCCO-455</t>
  </si>
  <si>
    <t>KKMM-PERCCO-456</t>
  </si>
  <si>
    <t>KKMM-PERCCO-457</t>
  </si>
  <si>
    <t>KKMM-PERCCO-458</t>
  </si>
  <si>
    <t>KKMM-PERCCO-459</t>
  </si>
  <si>
    <t>KKMM-PERCCO-460</t>
  </si>
  <si>
    <t>KKMM-PERCCO-461</t>
  </si>
  <si>
    <t>KKMM-PERCCO-462</t>
  </si>
  <si>
    <t>KKMM-PERCCO-463</t>
  </si>
  <si>
    <t>KKMM-PERCCO-464</t>
  </si>
  <si>
    <t>KKMM-PERCCO-465</t>
  </si>
  <si>
    <t>KKMM-PERCCO-466</t>
  </si>
  <si>
    <t>KKMM-PERCCO-467</t>
  </si>
  <si>
    <t>KKMM-PERCCO-468</t>
  </si>
  <si>
    <t>KKMM-PERCCO-469</t>
  </si>
  <si>
    <t>KKMM-PERCCO-470</t>
  </si>
  <si>
    <t>KKMM-PERCCO-471</t>
  </si>
  <si>
    <t>KKMM-PERCCO-472</t>
  </si>
  <si>
    <t>KKMM-PERCCO-473</t>
  </si>
  <si>
    <t>KKMM-PERCCO-474</t>
  </si>
  <si>
    <t>KKMM-PERCCO-475</t>
  </si>
  <si>
    <t>KKMM-PERCCO-476</t>
  </si>
  <si>
    <t>KKMM-PERCCO-477</t>
  </si>
  <si>
    <t>KKMM-PERCCO-478</t>
  </si>
  <si>
    <t>KKMM-PERCCO-479</t>
  </si>
  <si>
    <t>KKMM-PERCCO-480</t>
  </si>
  <si>
    <t>KKMM-PERCCO-481</t>
  </si>
  <si>
    <t>KKMM-PERCCO-482</t>
  </si>
  <si>
    <t>KKMM-PERCCO-483</t>
  </si>
  <si>
    <t>KKMM-PERCCO-484</t>
  </si>
  <si>
    <t>KKMM-PERCCO-485</t>
  </si>
  <si>
    <t>KKMM-PERCCO-486</t>
  </si>
  <si>
    <t>KKMM-PERCCO-487</t>
  </si>
  <si>
    <t>KKMM-PERCCO-488</t>
  </si>
  <si>
    <t>KKMM-PERCCO-489</t>
  </si>
  <si>
    <t>KKMM-PERCCO-490</t>
  </si>
  <si>
    <t>KKMM-PERCCO-491</t>
  </si>
  <si>
    <t>KKMM-PERCCO-492</t>
  </si>
  <si>
    <t>KKMM-PERCCO-493</t>
  </si>
  <si>
    <t>KKMM-PERCCO-494</t>
  </si>
  <si>
    <t>KKMM-PERCCO-495</t>
  </si>
  <si>
    <t>KKMM-PERCCO-496</t>
  </si>
  <si>
    <t>KKMM-PERCCO-497</t>
  </si>
  <si>
    <t>KKMM-PERCCO-498</t>
  </si>
  <si>
    <t>KKMM-PERCCO-499</t>
  </si>
  <si>
    <t>KKMM-PERCCO-500</t>
  </si>
  <si>
    <t>KKMM-PERCCO-501</t>
  </si>
  <si>
    <t>KKMM-PERCCO-502</t>
  </si>
  <si>
    <t>KKMM-PERCCO-503</t>
  </si>
  <si>
    <t>KKMM-PERCCO-504</t>
  </si>
  <si>
    <t>KKMM-PERCCO-505</t>
  </si>
  <si>
    <t>KKMM-PERCCO-506</t>
  </si>
  <si>
    <t>KKMM-PERCCO-507</t>
  </si>
  <si>
    <t>KKMM-PERCCO-508</t>
  </si>
  <si>
    <t>KKMM-PERCCO-509</t>
  </si>
  <si>
    <t>KKMM-PERCCO-510</t>
  </si>
  <si>
    <t>KKMM-PERCCO-511</t>
  </si>
  <si>
    <t>KKMM-PERCCO-512</t>
  </si>
  <si>
    <t>KKMM-PERCCO-513</t>
  </si>
  <si>
    <t>KKMM-PERCCO-514</t>
  </si>
  <si>
    <t>KKMM-PERCCO-515</t>
  </si>
  <si>
    <t>KKMM-PERCCO-516</t>
  </si>
  <si>
    <t>KKMM-PERCCO-517</t>
  </si>
  <si>
    <t>KKMM-PERCCO-518</t>
  </si>
  <si>
    <t>KKMM-PERCCO-519</t>
  </si>
  <si>
    <t>KKMM-PERCCO-520</t>
  </si>
  <si>
    <t>KKMM-PERCCO-521</t>
  </si>
  <si>
    <t>KKMM-PERCCO-522</t>
  </si>
  <si>
    <t>KKMM-PERCCO-523</t>
  </si>
  <si>
    <t>KKMM-PERCCO-524</t>
  </si>
  <si>
    <t>KKMM-PERCCO-525</t>
  </si>
  <si>
    <t>KKMM-PERCCO-526</t>
  </si>
  <si>
    <t>KKMM-PERCCO-527</t>
  </si>
  <si>
    <t>KKMM-PERCCO-528</t>
  </si>
  <si>
    <t>KKMM-PERCCO-529</t>
  </si>
  <si>
    <t>KKMM-PERCCO-530</t>
  </si>
  <si>
    <t>KKMM-PERCCO-531</t>
  </si>
  <si>
    <t>KKMM-PERCCO-532</t>
  </si>
  <si>
    <t>KKMM-PERCCO-533</t>
  </si>
  <si>
    <t>KKMM-PERCCO-534</t>
  </si>
  <si>
    <t>KKMM-PERCCO-535</t>
  </si>
  <si>
    <t>KKMM-PERCCO-536</t>
  </si>
  <si>
    <t>KKMM-PERCCO-537</t>
  </si>
  <si>
    <t>KKMM-PERCCO-538</t>
  </si>
  <si>
    <t>KKMM-PERCCO-539</t>
  </si>
  <si>
    <t>KKMM-PERCCO-540</t>
  </si>
  <si>
    <t>KKMM-PERCCO-541</t>
  </si>
  <si>
    <t>KKMM-PERCCO-542</t>
  </si>
  <si>
    <t>KKMM-PERCCO-543</t>
  </si>
  <si>
    <t>KKMM-PERCCO-544</t>
  </si>
  <si>
    <t>KKMM-PERCCO-545</t>
  </si>
  <si>
    <t>RRPP-PERCCO-17</t>
  </si>
  <si>
    <t>RRPP-PERCCO-18</t>
  </si>
  <si>
    <t>RRPP-PERCCO-19</t>
  </si>
  <si>
    <t>RRPP-PERCCO-20</t>
  </si>
  <si>
    <t>RRPP-PERCCO-21</t>
  </si>
  <si>
    <t>RRPP-PERCCO-22</t>
  </si>
  <si>
    <t>RRPP-PERCCO-23</t>
  </si>
  <si>
    <t>RRPP-PERCCO-24</t>
  </si>
  <si>
    <t>RRPP-PERCCO-25</t>
  </si>
  <si>
    <t>RRPP-PERCCO-26</t>
  </si>
  <si>
    <t>RRPP-PERCCO-27</t>
  </si>
  <si>
    <t>RRPP-PERCCO-28</t>
  </si>
  <si>
    <t>RRPP-PERCCO-29</t>
  </si>
  <si>
    <t>RRPP-PERCCO-30</t>
  </si>
  <si>
    <t>RRPP-PERCCO-31</t>
  </si>
  <si>
    <t>RRPP-PERCCO-32</t>
  </si>
  <si>
    <t>RRPP-PERCCO-33</t>
  </si>
  <si>
    <t>RRPP-PERCCO-34</t>
  </si>
  <si>
    <t>RRPP-PERCCO-35</t>
  </si>
  <si>
    <t>RRPP-PERCCO-36</t>
  </si>
  <si>
    <t>RRPP-PERCCO-37</t>
  </si>
  <si>
    <t>RRPP-PERCCO-38</t>
  </si>
  <si>
    <t>RRPP-PERCCO-39</t>
  </si>
  <si>
    <t>RRPP-PERCCO-40</t>
  </si>
  <si>
    <t>RRPP-PERCCO-41</t>
  </si>
  <si>
    <t>RRPP-PERCCO-42</t>
  </si>
  <si>
    <t>RRPP-PERCCO-43</t>
  </si>
  <si>
    <t>RRPP-PERCCO-44</t>
  </si>
  <si>
    <t>RRPP-PERCCO-45</t>
  </si>
  <si>
    <t>RRPP-PERCCO-46</t>
  </si>
  <si>
    <t>RRPP-PERCCO-47</t>
  </si>
  <si>
    <t>RRPP-PERCCO-48</t>
  </si>
  <si>
    <t>RRPP-PERCCO-49</t>
  </si>
  <si>
    <t>RRPP-PERCCO-50</t>
  </si>
  <si>
    <t>RRPP-PERCCO-51</t>
  </si>
  <si>
    <t>RRPP-PERCCO-52</t>
  </si>
  <si>
    <t>RRPP-PERCCO-53</t>
  </si>
  <si>
    <t>RRPP-PERCCO-54</t>
  </si>
  <si>
    <t>RRPP-PERCCO-55</t>
  </si>
  <si>
    <t>RRPP-PERCCO-56</t>
  </si>
  <si>
    <t>RRPP-PERCCO-57</t>
  </si>
  <si>
    <t>RRPP-PERCCO-58</t>
  </si>
  <si>
    <t>RRPP-PERCCO-59</t>
  </si>
  <si>
    <t>RRPP-PERCCO-60</t>
  </si>
  <si>
    <t>RRPP-PERCCO-61</t>
  </si>
  <si>
    <t>RRPP-PERCCO-62</t>
  </si>
  <si>
    <t>RRPP-PERCCO-63</t>
  </si>
  <si>
    <t>RRPP-PERCCO-64</t>
  </si>
  <si>
    <t>RRPP-PERCCO-65</t>
  </si>
  <si>
    <t>RRPP-PERCCO-66</t>
  </si>
  <si>
    <t>RRPP-PERCCO-67</t>
  </si>
  <si>
    <t>RRPP-PERCCO-68</t>
  </si>
  <si>
    <t>RRPP-PERCCO-69</t>
  </si>
  <si>
    <t>RRPP-PERCCO-70</t>
  </si>
  <si>
    <t>RRPP-PERCCO-71</t>
  </si>
  <si>
    <t>RRPP-PERCCO-72</t>
  </si>
  <si>
    <t>RRPP-PERCCO-73</t>
  </si>
  <si>
    <t>RRPP-PERCCO-74</t>
  </si>
  <si>
    <t>RRPP-PERCCO-75</t>
  </si>
  <si>
    <t>RRPP-PERCCO-76</t>
  </si>
  <si>
    <t>RRPP-PERCCO-77</t>
  </si>
  <si>
    <t>RRPP-PERCCO-78</t>
  </si>
  <si>
    <t>RRPP-PERCCO-79</t>
  </si>
  <si>
    <t>RRPP-PERCCO-80</t>
  </si>
  <si>
    <t>RRPP-PERCCO-81</t>
  </si>
  <si>
    <t>RRPP-PERCCO-82</t>
  </si>
  <si>
    <t>RRPP-PERCCO-83</t>
  </si>
  <si>
    <t>RRPP-PERCCO-84</t>
  </si>
  <si>
    <t>RRPP-PERCCO-85</t>
  </si>
  <si>
    <t>RRPP-PERCCO-86</t>
  </si>
  <si>
    <t>RRPP-PERCCO-87</t>
  </si>
  <si>
    <t>RRPP-PERCCO-88</t>
  </si>
  <si>
    <t>RRPP-PERCCO-89</t>
  </si>
  <si>
    <t>RRPP-PERCCO-90</t>
  </si>
  <si>
    <t>RRPP-PERCCO-91</t>
  </si>
  <si>
    <t>RRPP-PERCCO-92</t>
  </si>
  <si>
    <t>RRPP-PERCCO-93</t>
  </si>
  <si>
    <t>RRPP-PERCCO-94</t>
  </si>
  <si>
    <t>RRPP-PERCCO-95</t>
  </si>
  <si>
    <t>RRPP-PERCCO-96</t>
  </si>
  <si>
    <t>RRPP-PERCCO-97</t>
  </si>
  <si>
    <t>RRPP-PERCCO-98</t>
  </si>
  <si>
    <t>RRPP-PERCCO-99</t>
  </si>
  <si>
    <t>RRPP-PERCCO-100</t>
  </si>
  <si>
    <t>RRPP-PERCCO-101</t>
  </si>
  <si>
    <t>t_methodInstruction</t>
  </si>
  <si>
    <t>t_machinery</t>
  </si>
  <si>
    <t>METHOD_INSTRUCTION</t>
  </si>
  <si>
    <t>MMII</t>
  </si>
  <si>
    <t>MMII-PERCCO-1</t>
  </si>
  <si>
    <t>MMII-PERCCO-2</t>
  </si>
  <si>
    <t>MMII-PERCCO-3</t>
  </si>
  <si>
    <t>MMII-PERCCO-4</t>
  </si>
  <si>
    <t>MMII-PERCCO-5</t>
  </si>
  <si>
    <t>MMII-PERCCO-6</t>
  </si>
  <si>
    <t>MMII-PERCCO-7</t>
  </si>
  <si>
    <t>MMII-PERCCO-8</t>
  </si>
  <si>
    <t>MMII-PERCCO-9</t>
  </si>
  <si>
    <t>MMII-PERCCO-10</t>
  </si>
  <si>
    <t>MMII-PERCCO-11</t>
  </si>
  <si>
    <t>MMII-PERCCO-12</t>
  </si>
  <si>
    <t>MMII-PERCCO-13</t>
  </si>
  <si>
    <t>MMII-PERCCO-14</t>
  </si>
  <si>
    <t>MMII-PERCCO-15</t>
  </si>
  <si>
    <t>MMII-PERCCO-16</t>
  </si>
  <si>
    <t>MMII-PERCCO-17</t>
  </si>
  <si>
    <t>MMII-PERCCO-18</t>
  </si>
  <si>
    <t>MMII-PERCCO-19</t>
  </si>
  <si>
    <t>MMII-PERCCO-20</t>
  </si>
  <si>
    <t>MMII-PERCCO-21</t>
  </si>
  <si>
    <t>MMII-PERCCO-22</t>
  </si>
  <si>
    <t>MMII-PERCCO-23</t>
  </si>
  <si>
    <t>MMII-PERCCO-24</t>
  </si>
  <si>
    <t>MMII-PERCCO-25</t>
  </si>
  <si>
    <t>MMII-PERCCO-26</t>
  </si>
  <si>
    <t>MMII-PERCCO-27</t>
  </si>
  <si>
    <t>MMII-PERCCO-28</t>
  </si>
  <si>
    <t>MMII-PERCCO-29</t>
  </si>
  <si>
    <t>MMII-PERCCO-30</t>
  </si>
  <si>
    <t>MMII-PERCCO-31</t>
  </si>
  <si>
    <t>MMII-PERCCO-32</t>
  </si>
  <si>
    <t>MMII-PERCCO-33</t>
  </si>
  <si>
    <t>MMII-PERCCO-34</t>
  </si>
  <si>
    <t>MMII-PERCCO-35</t>
  </si>
  <si>
    <t>MMII-PERCCO-36</t>
  </si>
  <si>
    <t>MMII-PERCCO-37</t>
  </si>
  <si>
    <t>MMII-PERCCO-38</t>
  </si>
  <si>
    <t>MMII-PERCCO-39</t>
  </si>
  <si>
    <t>MMII-PERCCO-40</t>
  </si>
  <si>
    <t>MMII-PERCCO-41</t>
  </si>
  <si>
    <t>MMII-PERCCO-42</t>
  </si>
  <si>
    <t>MMII-PERCCO-43</t>
  </si>
  <si>
    <t>MMII-PERCCO-44</t>
  </si>
  <si>
    <t>MMII-PERCCO-45</t>
  </si>
  <si>
    <t>MMII-PERCCO-46</t>
  </si>
  <si>
    <t>MMII-PERCCO-47</t>
  </si>
  <si>
    <t>MMII-PERCCO-48</t>
  </si>
  <si>
    <t>MMII-PERCCO-49</t>
  </si>
  <si>
    <t>MMII-PERCCO-50</t>
  </si>
  <si>
    <t>MMII-PERCCO-51</t>
  </si>
  <si>
    <t>MMII-PERCCO-52</t>
  </si>
  <si>
    <t>MMII-PERCCO-53</t>
  </si>
  <si>
    <t>MMII-PERCCO-54</t>
  </si>
  <si>
    <t>MMII-PERCCO-55</t>
  </si>
  <si>
    <t>MMII-PERCCO-56</t>
  </si>
  <si>
    <t>MMII-PERCCO-57</t>
  </si>
  <si>
    <t>MMII-PERCCO-58</t>
  </si>
  <si>
    <t>MMII-PERCCO-59</t>
  </si>
  <si>
    <t>MMII-PERCCO-60</t>
  </si>
  <si>
    <t>MMII-PERCCO-61</t>
  </si>
  <si>
    <t>MMII-PERCCO-62</t>
  </si>
  <si>
    <t>MMII-PERCCO-63</t>
  </si>
  <si>
    <t>MMII-PERCCO-64</t>
  </si>
  <si>
    <t>MMII-PERCCO-65</t>
  </si>
  <si>
    <t>MMII-PERCCO-66</t>
  </si>
  <si>
    <t>MMII-PERCCO-67</t>
  </si>
  <si>
    <t>MMII-PERCCO-68</t>
  </si>
  <si>
    <t>MMII-PERCCO-69</t>
  </si>
  <si>
    <t>MMII-PERCCO-70</t>
  </si>
  <si>
    <t>MMII-PERCCO-71</t>
  </si>
  <si>
    <t>MMII-PERCCO-72</t>
  </si>
  <si>
    <t>MMII-PERCCO-73</t>
  </si>
  <si>
    <t>MMII-PERCCO-74</t>
  </si>
  <si>
    <t>MMII-PERCCO-75</t>
  </si>
  <si>
    <t>MMII-PERCCO-76</t>
  </si>
  <si>
    <t>MMII-PERCCO-77</t>
  </si>
  <si>
    <t>MMII-PERCCO-78</t>
  </si>
  <si>
    <t>MMII-PERCCO-79</t>
  </si>
  <si>
    <t>MMII-PERCCO-80</t>
  </si>
  <si>
    <t>MMII-PERCCO-81</t>
  </si>
  <si>
    <t>MMII-PERCCO-82</t>
  </si>
  <si>
    <t>MMII-PERCCO-83</t>
  </si>
  <si>
    <t>MMII-PERCCO-84</t>
  </si>
  <si>
    <t>MMII-PERCCO-85</t>
  </si>
  <si>
    <t>MMII-PERCCO-86</t>
  </si>
  <si>
    <t>MMII-PERCCO-87</t>
  </si>
  <si>
    <t>MMII-PERCCO-88</t>
  </si>
  <si>
    <t>MMII-PERCCO-89</t>
  </si>
  <si>
    <t>MMII-PERCCO-90</t>
  </si>
  <si>
    <t>MMII-PERCCO-91</t>
  </si>
  <si>
    <t>MMII-PERCCO-92</t>
  </si>
  <si>
    <t>MMII-PERCCO-93</t>
  </si>
  <si>
    <t>MMII-PERCCO-94</t>
  </si>
  <si>
    <t>MMII-PERCCO-95</t>
  </si>
  <si>
    <t>MMII-PERCCO-96</t>
  </si>
  <si>
    <t>MMII-PERCCO-97</t>
  </si>
  <si>
    <t>MMII-PERCCO-98</t>
  </si>
  <si>
    <t>MMII-PERCCO-99</t>
  </si>
  <si>
    <t>MMII-PERCCO-100</t>
  </si>
  <si>
    <t>MMII-PERCCO-101</t>
  </si>
  <si>
    <t>MMII-PERCCO-102</t>
  </si>
  <si>
    <t>MMII-PERCCO-103</t>
  </si>
  <si>
    <t>MMII-PERCCO-104</t>
  </si>
  <si>
    <t>MMII-PERCCO-105</t>
  </si>
  <si>
    <t>MMII-PERCCO-106</t>
  </si>
  <si>
    <t>MMII-PERCCO-107</t>
  </si>
  <si>
    <t>MMII-PERCCO-108</t>
  </si>
  <si>
    <t>MMII-PERCCO-109</t>
  </si>
  <si>
    <t>MMII-PERCCO-110</t>
  </si>
  <si>
    <t>MMII-PERCCO-111</t>
  </si>
  <si>
    <t>MMII-PERCCO-112</t>
  </si>
  <si>
    <t>MMII-PERCCO-113</t>
  </si>
  <si>
    <t>MMII-PERCCO-114</t>
  </si>
  <si>
    <t>MMII-PERCCO-115</t>
  </si>
  <si>
    <t>MMII-PERCCO-116</t>
  </si>
  <si>
    <t>MMII-PERCCO-117</t>
  </si>
  <si>
    <t>MMII-PERCCO-118</t>
  </si>
  <si>
    <t>MMII-PERCCO-119</t>
  </si>
  <si>
    <t>MMII-PERCCO-120</t>
  </si>
  <si>
    <t>MMII-PERCCO-121</t>
  </si>
  <si>
    <t>MMII-PERCCO-122</t>
  </si>
  <si>
    <t>MMII-PERCCO-123</t>
  </si>
  <si>
    <t>MMII-PERCCO-124</t>
  </si>
  <si>
    <t>MMII-PERCCO-125</t>
  </si>
  <si>
    <t>MMII-PERCCO-126</t>
  </si>
  <si>
    <t>MMII-PERCCO-127</t>
  </si>
  <si>
    <t>MMII-PERCCO-128</t>
  </si>
  <si>
    <t>MMII-PERCCO-129</t>
  </si>
  <si>
    <t>MMII-PERCCO-130</t>
  </si>
  <si>
    <t>MMII-PERCCO-131</t>
  </si>
  <si>
    <t>MMII-PERCCO-132</t>
  </si>
  <si>
    <t>MMII-PERCCO-133</t>
  </si>
  <si>
    <t>MMII-PERCCO-134</t>
  </si>
  <si>
    <t>MMII-PERCCO-135</t>
  </si>
  <si>
    <t>MMII-PERCCO-136</t>
  </si>
  <si>
    <t>MMII-PERCCO-137</t>
  </si>
  <si>
    <t>MMII-PERCCO-138</t>
  </si>
  <si>
    <t>MMII-PERCCO-139</t>
  </si>
  <si>
    <t>MMII-PERCCO-140</t>
  </si>
  <si>
    <t>MMII-PERCCO-141</t>
  </si>
  <si>
    <t>MMII-PERCCO-142</t>
  </si>
  <si>
    <t>MMII-PERCCO-143</t>
  </si>
  <si>
    <t>MMII-PERCCO-144</t>
  </si>
  <si>
    <t>MMII-PERCCO-145</t>
  </si>
  <si>
    <t>MMII-PERCCO-146</t>
  </si>
  <si>
    <t>MMII-PERCCO-147</t>
  </si>
  <si>
    <t>MMII-PERCCO-148</t>
  </si>
  <si>
    <t>MMII-PERCCO-149</t>
  </si>
  <si>
    <t>MMII-PERCCO-150</t>
  </si>
  <si>
    <t>MMII-PERCCO-151</t>
  </si>
  <si>
    <t>MMII-PERCCO-152</t>
  </si>
  <si>
    <t>MMII-PERCCO-153</t>
  </si>
  <si>
    <t>MMII-PERCCO-154</t>
  </si>
  <si>
    <t>MMII-PERCCO-155</t>
  </si>
  <si>
    <t>MMII-PERCCO-156</t>
  </si>
  <si>
    <t>MMII-PERCCO-157</t>
  </si>
  <si>
    <t>MMII-PERCCO-158</t>
  </si>
  <si>
    <t>MMII-PERCCO-159</t>
  </si>
  <si>
    <t>MMII-PERCCO-160</t>
  </si>
  <si>
    <t>MMII-PERCCO-161</t>
  </si>
  <si>
    <t>MMII-PERCCO-162</t>
  </si>
  <si>
    <t>MMII-PERCCO-163</t>
  </si>
  <si>
    <t>MMII-PERCCO-164</t>
  </si>
  <si>
    <t>MMII-PERCCO-165</t>
  </si>
  <si>
    <t>MMII-PERCCO-166</t>
  </si>
  <si>
    <t>MMII-PERCCO-167</t>
  </si>
  <si>
    <t>MMII-PERCCO-168</t>
  </si>
  <si>
    <t>MMII-PERCCO-169</t>
  </si>
  <si>
    <t>MMII-PERCCO-170</t>
  </si>
  <si>
    <t>MMII-PERCCO-171</t>
  </si>
  <si>
    <t>MMII-PERCCO-172</t>
  </si>
  <si>
    <t>MMII-PERCCO-173</t>
  </si>
  <si>
    <t>MMII-PERCCO-174</t>
  </si>
  <si>
    <t>MMII-PERCCO-175</t>
  </si>
  <si>
    <t>MMII-PERCCO-176</t>
  </si>
  <si>
    <t>MMII-PERCCO-177</t>
  </si>
  <si>
    <t>MMII-PERCCO-178</t>
  </si>
  <si>
    <t>MMII-PERCCO-179</t>
  </si>
  <si>
    <t>MMII-PERCCO-180</t>
  </si>
  <si>
    <t>MMII-PERCCO-181</t>
  </si>
  <si>
    <t>MMII-PERCCO-182</t>
  </si>
  <si>
    <t>MMII-PERCCO-183</t>
  </si>
  <si>
    <t>MMII-PERCCO-184</t>
  </si>
  <si>
    <t>MMII-PERCCO-185</t>
  </si>
  <si>
    <t>MMII-PERCCO-186</t>
  </si>
  <si>
    <t>MMII-PERCCO-187</t>
  </si>
  <si>
    <t>MMII-PERCCO-188</t>
  </si>
  <si>
    <t>MMII-PERCCO-189</t>
  </si>
  <si>
    <t>MMII-PERCCO-190</t>
  </si>
  <si>
    <t>MMII-PERCCO-191</t>
  </si>
  <si>
    <t>MMII-PERCCO-192</t>
  </si>
  <si>
    <t>MMII-PERCCO-193</t>
  </si>
  <si>
    <t>MMII-PERCCO-194</t>
  </si>
  <si>
    <t>MMII-PERCCO-195</t>
  </si>
  <si>
    <t>MMII-PERCCO-196</t>
  </si>
  <si>
    <t>MMII-PERCCO-197</t>
  </si>
  <si>
    <t>MMII-PERCCO-198</t>
  </si>
  <si>
    <t>MMII-PERCCO-199</t>
  </si>
  <si>
    <t>MMII-PERCCO-200</t>
  </si>
  <si>
    <t>MMII-PERCCO-201</t>
  </si>
  <si>
    <t>MMII-PERCCO-202</t>
  </si>
  <si>
    <t>MMII-PERCCO-203</t>
  </si>
  <si>
    <t>MMII-PERCCO-204</t>
  </si>
  <si>
    <t>MMII-PERCCO-205</t>
  </si>
  <si>
    <t>MMII-PERCCO-206</t>
  </si>
  <si>
    <t>MMII-PERCCO-207</t>
  </si>
  <si>
    <t>MMII-PERCCO-208</t>
  </si>
  <si>
    <t>MMII-PERCCO-209</t>
  </si>
  <si>
    <t>MMII-PERCCO-210</t>
  </si>
  <si>
    <t>MMII-PERCCO-211</t>
  </si>
  <si>
    <t>MMII-PERCCO-212</t>
  </si>
  <si>
    <t>MMII-PERCCO-213</t>
  </si>
  <si>
    <t>MMII-PERCCO-214</t>
  </si>
  <si>
    <t>MMII-PERCCO-215</t>
  </si>
  <si>
    <t>MMII-PERCCO-216</t>
  </si>
  <si>
    <t>MMII-PERCCO-217</t>
  </si>
  <si>
    <t>MMII-PERCCO-218</t>
  </si>
  <si>
    <t>MMII-PERCCO-219</t>
  </si>
  <si>
    <t>MMII-PERCCO-220</t>
  </si>
  <si>
    <t>MMII-PERCCO-221</t>
  </si>
  <si>
    <t>MMII-PERCCO-222</t>
  </si>
  <si>
    <t>MMII-PERCCO-223</t>
  </si>
  <si>
    <t>MMII-PERCCO-224</t>
  </si>
  <si>
    <t>MMII-PERCCO-225</t>
  </si>
  <si>
    <t>MMII-PERCCO-226</t>
  </si>
  <si>
    <t>MMII-PERCCO-227</t>
  </si>
  <si>
    <t>MMII-PERCCO-228</t>
  </si>
  <si>
    <t>MMII-PERCCO-229</t>
  </si>
  <si>
    <t>MMII-PERCCO-230</t>
  </si>
  <si>
    <t>MMII-PERCCO-231</t>
  </si>
  <si>
    <t>MMII-PERCCO-232</t>
  </si>
  <si>
    <t>MMII-PERCCO-233</t>
  </si>
  <si>
    <t>MMII-PERCCO-234</t>
  </si>
  <si>
    <t>MMII-PERCCO-235</t>
  </si>
  <si>
    <t>MMII-PERCCO-236</t>
  </si>
  <si>
    <t>MMII-PERCCO-237</t>
  </si>
  <si>
    <t>MMII-PERCCO-238</t>
  </si>
  <si>
    <t>MMII-PERCCO-239</t>
  </si>
  <si>
    <t>MMII-PERCCO-240</t>
  </si>
  <si>
    <t>MMII-PERCCO-241</t>
  </si>
  <si>
    <t>MMII-PERCCO-242</t>
  </si>
  <si>
    <t>MMII-PERCCO-243</t>
  </si>
  <si>
    <t>MMII-PERCCO-244</t>
  </si>
  <si>
    <t>MMII-PERCCO-245</t>
  </si>
  <si>
    <t>MMII-PERCCO-246</t>
  </si>
  <si>
    <t>MMII-PERCCO-247</t>
  </si>
  <si>
    <t>MMII-PERCCO-248</t>
  </si>
  <si>
    <t>MMII-PERCCO-249</t>
  </si>
  <si>
    <t>MMII-PERCCO-250</t>
  </si>
  <si>
    <t>MMII-PERCCO-251</t>
  </si>
  <si>
    <t>MMII-PERCCO-252</t>
  </si>
  <si>
    <t>MMII-PERCCO-253</t>
  </si>
  <si>
    <t>MMII-PERCCO-254</t>
  </si>
  <si>
    <t>MMII-PERCCO-255</t>
  </si>
  <si>
    <t>MMII-PERCCO-256</t>
  </si>
  <si>
    <t>MMII-PERCCO-257</t>
  </si>
  <si>
    <t>MMII-PERCCO-258</t>
  </si>
  <si>
    <t>MMII-PERCCO-259</t>
  </si>
  <si>
    <t>MMII-PERCCO-260</t>
  </si>
  <si>
    <t>MMII-PERCCO-261</t>
  </si>
  <si>
    <t>MMII-PERCCO-262</t>
  </si>
  <si>
    <t>MMII-PERCCO-263</t>
  </si>
  <si>
    <t>MMII-PERCCO-264</t>
  </si>
  <si>
    <t>MMII-PERCCO-265</t>
  </si>
  <si>
    <t>MMII-PERCCO-266</t>
  </si>
  <si>
    <t>MMII-PERCCO-267</t>
  </si>
  <si>
    <t>MMII-PERCCO-268</t>
  </si>
  <si>
    <t>MMII-PERCCO-269</t>
  </si>
  <si>
    <t>MMII-PERCCO-270</t>
  </si>
  <si>
    <t>MMII-PERCCO-271</t>
  </si>
  <si>
    <t>MMII-PERCCO-272</t>
  </si>
  <si>
    <t>MMII-PERCCO-273</t>
  </si>
  <si>
    <t>MMII-PERCCO-274</t>
  </si>
  <si>
    <t>MMII-PERCCO-275</t>
  </si>
  <si>
    <t>MMII-PERCCO-276</t>
  </si>
  <si>
    <t>MMII-PERCCO-277</t>
  </si>
  <si>
    <t>MMII-PERCCO-278</t>
  </si>
  <si>
    <t>MMII-PERCCO-279</t>
  </si>
  <si>
    <t>MMII-PERCCO-280</t>
  </si>
  <si>
    <t>MMII-PERCCO-281</t>
  </si>
  <si>
    <t>MMII-PERCCO-282</t>
  </si>
  <si>
    <t>MMII-PERCCO-283</t>
  </si>
  <si>
    <t>MMII-PERCCO-284</t>
  </si>
  <si>
    <t>MMII-PERCCO-285</t>
  </si>
  <si>
    <t>MMII-PERCCO-286</t>
  </si>
  <si>
    <t>MMII-PERCCO-287</t>
  </si>
  <si>
    <t>MMII-PERCCO-288</t>
  </si>
  <si>
    <t>MMII-PERCCO-289</t>
  </si>
  <si>
    <t>MMII-PERCCO-290</t>
  </si>
  <si>
    <t>MMII-PERCCO-291</t>
  </si>
  <si>
    <t>MMII-PERCCO-292</t>
  </si>
  <si>
    <t>MMII-PERCCO-293</t>
  </si>
  <si>
    <t>MMII-PERCCO-294</t>
  </si>
  <si>
    <t>MMII-PERCCO-295</t>
  </si>
  <si>
    <t>MMII-PERCCO-296</t>
  </si>
  <si>
    <t>MMII-PERCCO-297</t>
  </si>
  <si>
    <t>MMII-PERCCO-298</t>
  </si>
  <si>
    <t>MMII-PERCCO-299</t>
  </si>
  <si>
    <t>MMII-PERCCO-300</t>
  </si>
  <si>
    <t>MMII-PERCCO-301</t>
  </si>
  <si>
    <t>MMII-PERCCO-302</t>
  </si>
  <si>
    <t>MMII-PERCCO-303</t>
  </si>
  <si>
    <t>MMII-PERCCO-304</t>
  </si>
  <si>
    <t>MMII-PERCCO-305</t>
  </si>
  <si>
    <t>MMII-PERCCO-306</t>
  </si>
  <si>
    <t>MMII-PERCCO-307</t>
  </si>
  <si>
    <t>MMII-PERCCO-308</t>
  </si>
  <si>
    <t>MMII-PERCCO-309</t>
  </si>
  <si>
    <t>MMII-PERCCO-310</t>
  </si>
  <si>
    <t>MMII-PERCCO-311</t>
  </si>
  <si>
    <t>MMII-PERCCO-312</t>
  </si>
  <si>
    <t>MMII-PERCCO-313</t>
  </si>
  <si>
    <t>MMII-PERCCO-314</t>
  </si>
  <si>
    <t>MMII-PERCCO-315</t>
  </si>
  <si>
    <t>MMII-PERCCO-316</t>
  </si>
  <si>
    <t>MMII-PERCCO-317</t>
  </si>
  <si>
    <t>MMII-PERCCO-318</t>
  </si>
  <si>
    <t>MMII-PERCCO-319</t>
  </si>
  <si>
    <t>MMII-PERCCO-320</t>
  </si>
  <si>
    <t>MMII-PERCCO-321</t>
  </si>
  <si>
    <t>MMII-PERCCO-322</t>
  </si>
  <si>
    <t>MMII-PERCCO-323</t>
  </si>
  <si>
    <t>MMII-PERCCO-324</t>
  </si>
  <si>
    <t>MMII-PERCCO-325</t>
  </si>
  <si>
    <t>MMII-PERCCO-326</t>
  </si>
  <si>
    <t>MMII-PERCCO-327</t>
  </si>
  <si>
    <t>MMII-PERCCO-328</t>
  </si>
  <si>
    <t>MMII-PERCCO-329</t>
  </si>
  <si>
    <t>MMII-PERCCO-330</t>
  </si>
  <si>
    <t>MMII-PERCCO-331</t>
  </si>
  <si>
    <t>MMII-PERCCO-332</t>
  </si>
  <si>
    <t>MMII-PERCCO-333</t>
  </si>
  <si>
    <t>MMII-PERCCO-334</t>
  </si>
  <si>
    <t>MMII-PERCCO-335</t>
  </si>
  <si>
    <t>MMII-PERCCO-336</t>
  </si>
  <si>
    <t>MMII-PERCCO-337</t>
  </si>
  <si>
    <t>MMII-PERCCO-338</t>
  </si>
  <si>
    <t>MMII-PERCCO-339</t>
  </si>
  <si>
    <t>MMII-PERCCO-340</t>
  </si>
  <si>
    <t>MMII-PERCCO-341</t>
  </si>
  <si>
    <t>MMII-PERCCO-342</t>
  </si>
  <si>
    <t>MMII-PERCCO-343</t>
  </si>
  <si>
    <t>MMII-PERCCO-344</t>
  </si>
  <si>
    <t>MMII-PERCCO-345</t>
  </si>
  <si>
    <t>MMII-PERCCO-346</t>
  </si>
  <si>
    <t>MMII-PERCCO-347</t>
  </si>
  <si>
    <t>MMII-PERCCO-348</t>
  </si>
  <si>
    <t>MMII-PERCCO-349</t>
  </si>
  <si>
    <t>MMII-PERCCO-350</t>
  </si>
  <si>
    <t>MMII-PERCCO-351</t>
  </si>
  <si>
    <t>MMII-PERCCO-352</t>
  </si>
  <si>
    <t>MMII-PERCCO-353</t>
  </si>
  <si>
    <t>MMII-PERCCO-354</t>
  </si>
  <si>
    <t>MMII-PERCCO-355</t>
  </si>
  <si>
    <t>MMII-PERCCO-356</t>
  </si>
  <si>
    <t>MMII-PERCCO-357</t>
  </si>
  <si>
    <t>MMII-PERCCO-358</t>
  </si>
  <si>
    <t>MMII-PERCCO-359</t>
  </si>
  <si>
    <t>MMII-PERCCO-360</t>
  </si>
  <si>
    <t>MMII-PERCCO-361</t>
  </si>
  <si>
    <t>MMII-PERCCO-362</t>
  </si>
  <si>
    <t>MMII-PERCCO-363</t>
  </si>
  <si>
    <t>MMII-PERCCO-364</t>
  </si>
  <si>
    <t>MMII-PERCCO-365</t>
  </si>
  <si>
    <t>MMII-PERCCO-366</t>
  </si>
  <si>
    <t>MMII-PERCCO-367</t>
  </si>
  <si>
    <t>MMII-PERCCO-368</t>
  </si>
  <si>
    <t>MMII-PERCCO-369</t>
  </si>
  <si>
    <t>MMII-PERCCO-370</t>
  </si>
  <si>
    <t>MMII-PERCCO-371</t>
  </si>
  <si>
    <t>MMII-PERCCO-372</t>
  </si>
  <si>
    <t>MMII-PERCCO-373</t>
  </si>
  <si>
    <t>MMII-PERCCO-374</t>
  </si>
  <si>
    <t>MMII-PERCCO-375</t>
  </si>
  <si>
    <t>MMII-PERCCO-376</t>
  </si>
  <si>
    <t>MMII-PERCCO-377</t>
  </si>
  <si>
    <t>MMII-PERCCO-378</t>
  </si>
  <si>
    <t>MMII-PERCCO-379</t>
  </si>
  <si>
    <t>MMII-PERCCO-380</t>
  </si>
  <si>
    <t>MMII-PERCCO-381</t>
  </si>
  <si>
    <t>MMII-PERCCO-382</t>
  </si>
  <si>
    <t>MMII-PERCCO-383</t>
  </si>
  <si>
    <t>MMII-PERCCO-384</t>
  </si>
  <si>
    <t>MMII-PERCCO-385</t>
  </si>
  <si>
    <t>MMII-PERCCO-386</t>
  </si>
  <si>
    <t>MMII-PERCCO-387</t>
  </si>
  <si>
    <t>MMII-PERCCO-388</t>
  </si>
  <si>
    <t>MMII-PERCCO-389</t>
  </si>
  <si>
    <t>MMII-PERCCO-390</t>
  </si>
  <si>
    <t>MMII-PERCCO-391</t>
  </si>
  <si>
    <t>MMII-PERCCO-392</t>
  </si>
  <si>
    <t>MMII-PERCCO-393</t>
  </si>
  <si>
    <t>MMII-PERCCO-394</t>
  </si>
  <si>
    <t>MMII-PERCCO-395</t>
  </si>
  <si>
    <t>MMII-PERCCO-396</t>
  </si>
  <si>
    <t>MMII-PERCCO-397</t>
  </si>
  <si>
    <t>MMII-PERCCO-398</t>
  </si>
  <si>
    <t>MMII-PERCCO-399</t>
  </si>
  <si>
    <t>MMII-PERCCO-400</t>
  </si>
  <si>
    <t>MMII-PERCCO-401</t>
  </si>
  <si>
    <t>MMII-PERCCO-402</t>
  </si>
  <si>
    <t>MMII-PERCCO-403</t>
  </si>
  <si>
    <t>MMII-PERCCO-404</t>
  </si>
  <si>
    <t>MMII-PERCCO-405</t>
  </si>
  <si>
    <t>MMII-PERCCO-406</t>
  </si>
  <si>
    <t>MMII-PERCCO-407</t>
  </si>
  <si>
    <t>MMII-PERCCO-408</t>
  </si>
  <si>
    <t>MMII-PERCCO-409</t>
  </si>
  <si>
    <t>MMII-PERCCO-410</t>
  </si>
  <si>
    <t>MMII-PERCCO-411</t>
  </si>
  <si>
    <t>MMII-PERCCO-412</t>
  </si>
  <si>
    <t>MMII-PERCCO-413</t>
  </si>
  <si>
    <t>MMII-PERCCO-414</t>
  </si>
  <si>
    <t>MMII-PERCCO-415</t>
  </si>
  <si>
    <t>MMII-PERCCO-416</t>
  </si>
  <si>
    <t>MMII-PERCCO-417</t>
  </si>
  <si>
    <t>MMII-PERCCO-418</t>
  </si>
  <si>
    <t>MMII-PERCCO-419</t>
  </si>
  <si>
    <t>MMII-PERCCO-420</t>
  </si>
  <si>
    <t>MMII-PERCCO-421</t>
  </si>
  <si>
    <t>MMII-PERCCO-422</t>
  </si>
  <si>
    <t>MMII-PERCCO-423</t>
  </si>
  <si>
    <t>MMII-PERCCO-424</t>
  </si>
  <si>
    <t>MMII-PERCCO-425</t>
  </si>
  <si>
    <t>MMII-PERCCO-426</t>
  </si>
  <si>
    <t>MMII-PERCCO-427</t>
  </si>
  <si>
    <t>MMII-PERCCO-428</t>
  </si>
  <si>
    <t>MMII-PERCCO-429</t>
  </si>
  <si>
    <t>MMII-PERCCO-430</t>
  </si>
  <si>
    <t>MMII-PERCCO-431</t>
  </si>
  <si>
    <t>MMII-PERCCO-432</t>
  </si>
  <si>
    <t>MMII-PERCCO-433</t>
  </si>
  <si>
    <t>MMII-PERCCO-434</t>
  </si>
  <si>
    <t>MMII-PERCCO-435</t>
  </si>
  <si>
    <t>MMII-PERCCO-436</t>
  </si>
  <si>
    <t>MMII-PERCCO-437</t>
  </si>
  <si>
    <t>MMII-PERCCO-438</t>
  </si>
  <si>
    <t>MMII-PERCCO-439</t>
  </si>
  <si>
    <t>MMII-PERCCO-440</t>
  </si>
  <si>
    <t>MMII-PERCCO-441</t>
  </si>
  <si>
    <t>MMII-PERCCO-442</t>
  </si>
  <si>
    <t>MMII-PERCCO-443</t>
  </si>
  <si>
    <t>MMII-PERCCO-444</t>
  </si>
  <si>
    <t>MMII-PERCCO-445</t>
  </si>
  <si>
    <t>MMII-PERCCO-446</t>
  </si>
  <si>
    <t>MMII-PERCCO-447</t>
  </si>
  <si>
    <t>MMII-PERCCO-448</t>
  </si>
  <si>
    <t>MMII-PERCCO-449</t>
  </si>
  <si>
    <t>MMII-PERCCO-450</t>
  </si>
  <si>
    <t>MMII-PERCCO-451</t>
  </si>
  <si>
    <t>MMII-PERCCO-452</t>
  </si>
  <si>
    <t>MMII-PERCCO-453</t>
  </si>
  <si>
    <t>MMII-PERCCO-454</t>
  </si>
  <si>
    <t>MMII-PERCCO-455</t>
  </si>
  <si>
    <t>MMII-PERCCO-456</t>
  </si>
  <si>
    <t>MMII-PERCCO-457</t>
  </si>
  <si>
    <t>MMII-PERCCO-458</t>
  </si>
  <si>
    <t>MMII-PERCCO-459</t>
  </si>
  <si>
    <t>MMII-PERCCO-460</t>
  </si>
  <si>
    <t>MMII-PERCCO-461</t>
  </si>
  <si>
    <t>MMII-PERCCO-462</t>
  </si>
  <si>
    <t>MMII-PERCCO-463</t>
  </si>
  <si>
    <t>MMII-PERCCO-464</t>
  </si>
  <si>
    <t>MMII-PERCCO-465</t>
  </si>
  <si>
    <t>MMII-PERCCO-466</t>
  </si>
  <si>
    <t>MMII-PERCCO-467</t>
  </si>
  <si>
    <t>MMII-PERCCO-468</t>
  </si>
  <si>
    <t>MMII-PERCCO-469</t>
  </si>
  <si>
    <t>MMII-PERCCO-470</t>
  </si>
  <si>
    <t>MMII-PERCCO-471</t>
  </si>
  <si>
    <t>MMII-PERCCO-472</t>
  </si>
  <si>
    <t>MMII-PERCCO-473</t>
  </si>
  <si>
    <t>MMII-PERCCO-474</t>
  </si>
  <si>
    <t>MMII-PERCCO-475</t>
  </si>
  <si>
    <t>MMII-PERCCO-476</t>
  </si>
  <si>
    <t>MMII-PERCCO-477</t>
  </si>
  <si>
    <t>MMII-PERCCO-478</t>
  </si>
  <si>
    <t>MMII-PERCCO-479</t>
  </si>
  <si>
    <t>MMII-PERCCO-480</t>
  </si>
  <si>
    <t>MMII-PERCCO-481</t>
  </si>
  <si>
    <t>MMII-PERCCO-482</t>
  </si>
  <si>
    <t>MMII-PERCCO-483</t>
  </si>
  <si>
    <t>MMII-PERCCO-484</t>
  </si>
  <si>
    <t>MMII-PERCCO-485</t>
  </si>
  <si>
    <t>MMII-PERCCO-486</t>
  </si>
  <si>
    <t>MMII-PERCCO-487</t>
  </si>
  <si>
    <t>MMII-PERCCO-488</t>
  </si>
  <si>
    <t>MMII-PERCCO-489</t>
  </si>
  <si>
    <t>MMII-PERCCO-490</t>
  </si>
  <si>
    <t>MMII-PERCCO-491</t>
  </si>
  <si>
    <t>MMII-PERCCO-492</t>
  </si>
  <si>
    <t>MMII-PERCCO-493</t>
  </si>
  <si>
    <t>MMII-PERCCO-494</t>
  </si>
  <si>
    <t>MMII-PERCCO-495</t>
  </si>
  <si>
    <t>MMII-PERCCO-496</t>
  </si>
  <si>
    <t>MMII-PERCCO-497</t>
  </si>
  <si>
    <t>MMII-PERCCO-498</t>
  </si>
  <si>
    <t>MMII-PERCCO-499</t>
  </si>
  <si>
    <t>MMII-PERCCO-500</t>
  </si>
  <si>
    <t>MMII-PERCCO-501</t>
  </si>
  <si>
    <t>MMII-PERCCO-502</t>
  </si>
  <si>
    <t>MMII-PERCCO-503</t>
  </si>
  <si>
    <t>MMII-PERCCO-504</t>
  </si>
  <si>
    <t>MMII-PERCCO-505</t>
  </si>
  <si>
    <t>MMII-PERCCO-506</t>
  </si>
  <si>
    <t>MMII-PERCCO-507</t>
  </si>
  <si>
    <t>MMII-PERCCO-508</t>
  </si>
  <si>
    <t>MMII-PERCCO-509</t>
  </si>
  <si>
    <t>MMII-PERCCO-510</t>
  </si>
  <si>
    <t>MMII-PERCCO-511</t>
  </si>
  <si>
    <t>MMII-PERCCO-512</t>
  </si>
  <si>
    <t>MMII-PERCCO-513</t>
  </si>
  <si>
    <t>MMII-PERCCO-514</t>
  </si>
  <si>
    <t>MMII-PERCCO-515</t>
  </si>
  <si>
    <t>MMII-PERCCO-516</t>
  </si>
  <si>
    <t>MMII-PERCCO-517</t>
  </si>
  <si>
    <t>MMII-PERCCO-518</t>
  </si>
  <si>
    <t>MMII-PERCCO-519</t>
  </si>
  <si>
    <t>MMII-PERCCO-520</t>
  </si>
  <si>
    <t>MMII-PERCCO-521</t>
  </si>
  <si>
    <t>MMII-PERCCO-522</t>
  </si>
  <si>
    <t>MMII-PERCCO-523</t>
  </si>
  <si>
    <t>MMII-PERCCO-524</t>
  </si>
  <si>
    <t>MMII-PERCCO-525</t>
  </si>
  <si>
    <t>MMII-PERCCO-526</t>
  </si>
  <si>
    <t>MMII-PERCCO-527</t>
  </si>
  <si>
    <t>MMII-PERCCO-528</t>
  </si>
  <si>
    <t>MMII-PERCCO-529</t>
  </si>
  <si>
    <t>MMII-PERCCO-530</t>
  </si>
  <si>
    <t>MMII-PERCCO-531</t>
  </si>
  <si>
    <t>MMII-PERCCO-532</t>
  </si>
  <si>
    <t>MMII-PERCCO-533</t>
  </si>
  <si>
    <t>MMII-PERCCO-534</t>
  </si>
  <si>
    <t>MMII-PERCCO-535</t>
  </si>
  <si>
    <t>MMII-PERCCO-536</t>
  </si>
  <si>
    <t>MMII-PERCCO-537</t>
  </si>
  <si>
    <t>MMII-PERCCO-538</t>
  </si>
  <si>
    <t>MMII-PERCCO-539</t>
  </si>
  <si>
    <t>MMII-PERCCO-540</t>
  </si>
  <si>
    <t>MMII-PERCCO-541</t>
  </si>
  <si>
    <t>MMII-PERCCO-542</t>
  </si>
  <si>
    <t>MMII-PERCCO-543</t>
  </si>
  <si>
    <t>MMII-PERCCO-544</t>
  </si>
  <si>
    <t>MMII-PERCCO-545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</si>
</sst>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0.000"/>
  </numFmts>
  <fonts count="13" x14ac:knownFonts="1">
    <font>
      <sz val="11"/>
      <color theme="1"/>
      <name val="Calibri"/>
      <family val="2"/>
      <scheme val="minor"/>
    </font>
    <font>
      <b/>
      <sz val="11"/>
      <color theme="0"/>
      <name val="Calibri"/>
      <family val="2"/>
      <scheme val="minor"/>
    </font>
    <font>
      <sz val="11"/>
      <color theme="0"/>
      <name val="Calibri"/>
      <family val="2"/>
      <scheme val="minor"/>
    </font>
    <font>
      <sz val="10"/>
      <color theme="0"/>
      <name val="Segoe UI"/>
      <family val="2"/>
    </font>
    <font>
      <sz val="11"/>
      <color theme="0"/>
      <name val="Arial"/>
      <family val="2"/>
    </font>
    <font>
      <sz val="8"/>
      <name val="Calibri"/>
      <family val="2"/>
      <scheme val="minor"/>
    </font>
    <font>
      <u/>
      <sz val="11"/>
      <color theme="0"/>
      <name val="Calibri"/>
      <family val="2"/>
      <scheme val="minor"/>
    </font>
    <font>
      <sz val="10"/>
      <name val="Arial"/>
      <family val="2"/>
    </font>
    <font>
      <sz val="8"/>
      <color theme="0"/>
      <name val="Arial"/>
      <family val="2"/>
    </font>
    <font>
      <sz val="10"/>
      <color theme="0"/>
      <name val="Arial"/>
      <family val="2"/>
    </font>
    <font>
      <b/>
      <sz val="8"/>
      <color theme="0"/>
      <name val="Arial"/>
      <family val="2"/>
    </font>
    <font>
      <sz val="7"/>
      <color theme="0"/>
      <name val="Calibri"/>
      <family val="2"/>
      <scheme val="minor"/>
    </font>
    <font>
      <sz val="14"/>
      <color theme="0"/>
      <name val="Miriam"/>
      <family val="2"/>
    </font>
  </fonts>
  <fills count="4">
    <fill>
      <patternFill patternType="none"/>
    </fill>
    <fill>
      <patternFill patternType="gray125"/>
    </fill>
    <fill>
      <patternFill patternType="solid">
        <fgColor theme="1" tint="4.9989318521683403E-2"/>
        <bgColor indexed="64"/>
      </patternFill>
    </fill>
    <fill>
      <patternFill patternType="solid">
        <fgColor rgb="FF0070C0"/>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3">
    <xf numFmtId="0" fontId="0" fillId="0" borderId="0"/>
    <xf numFmtId="0" fontId="7" fillId="0" borderId="0"/>
    <xf numFmtId="44" fontId="7" fillId="0" borderId="0" applyFont="0" applyFill="0" applyBorder="0" applyAlignment="0" applyProtection="0"/>
  </cellStyleXfs>
  <cellXfs count="31">
    <xf numFmtId="0" fontId="0" fillId="0" borderId="0" xfId="0"/>
    <xf numFmtId="0" fontId="2" fillId="2" borderId="1" xfId="0" applyFont="1" applyFill="1" applyBorder="1"/>
    <xf numFmtId="0" fontId="2" fillId="2" borderId="1" xfId="0" applyFont="1" applyFill="1" applyBorder="1" applyAlignment="1">
      <alignment horizontal="center"/>
    </xf>
    <xf numFmtId="0" fontId="3" fillId="2" borderId="1" xfId="0" applyFont="1" applyFill="1" applyBorder="1"/>
    <xf numFmtId="0" fontId="4" fillId="2" borderId="1" xfId="0" applyFont="1" applyFill="1" applyBorder="1"/>
    <xf numFmtId="0" fontId="1" fillId="3" borderId="1" xfId="0" applyFont="1" applyFill="1" applyBorder="1" applyAlignment="1">
      <alignment horizontal="center" vertical="center"/>
    </xf>
    <xf numFmtId="0" fontId="2" fillId="3" borderId="1" xfId="0" applyFont="1" applyFill="1" applyBorder="1"/>
    <xf numFmtId="22" fontId="2" fillId="2" borderId="1" xfId="0" applyNumberFormat="1" applyFont="1" applyFill="1" applyBorder="1"/>
    <xf numFmtId="0" fontId="2" fillId="2" borderId="1" xfId="0" applyFont="1" applyFill="1" applyBorder="1" applyAlignment="1">
      <alignment wrapText="1"/>
    </xf>
    <xf numFmtId="16" fontId="2" fillId="2" borderId="1" xfId="0" applyNumberFormat="1" applyFont="1" applyFill="1" applyBorder="1"/>
    <xf numFmtId="0" fontId="6" fillId="2" borderId="1" xfId="0" applyFont="1" applyFill="1" applyBorder="1"/>
    <xf numFmtId="49" fontId="1" fillId="3" borderId="1" xfId="0" applyNumberFormat="1" applyFont="1" applyFill="1" applyBorder="1" applyAlignment="1">
      <alignment horizontal="center" vertical="center"/>
    </xf>
    <xf numFmtId="49" fontId="2" fillId="2" borderId="1" xfId="0" applyNumberFormat="1" applyFont="1" applyFill="1" applyBorder="1"/>
    <xf numFmtId="0" fontId="2" fillId="2" borderId="1" xfId="0" applyFont="1" applyFill="1" applyBorder="1" applyAlignment="1">
      <alignment horizontal="left"/>
    </xf>
    <xf numFmtId="0" fontId="8" fillId="2" borderId="1" xfId="1" applyFont="1" applyFill="1" applyBorder="1" applyAlignment="1">
      <alignment horizontal="center"/>
    </xf>
    <xf numFmtId="0" fontId="9" fillId="2" borderId="1" xfId="1" applyFont="1" applyFill="1" applyBorder="1" applyAlignment="1">
      <alignment horizontal="center"/>
    </xf>
    <xf numFmtId="164" fontId="8" fillId="2" borderId="1" xfId="1" applyNumberFormat="1" applyFont="1" applyFill="1" applyBorder="1" applyAlignment="1">
      <alignment horizontal="center"/>
    </xf>
    <xf numFmtId="1" fontId="8" fillId="2" borderId="1" xfId="1" applyNumberFormat="1" applyFont="1" applyFill="1" applyBorder="1" applyAlignment="1">
      <alignment horizontal="center"/>
    </xf>
    <xf numFmtId="164" fontId="9" fillId="2" borderId="1" xfId="1" applyNumberFormat="1" applyFont="1" applyFill="1" applyBorder="1" applyAlignment="1">
      <alignment horizontal="center"/>
    </xf>
    <xf numFmtId="0" fontId="9" fillId="2" borderId="1" xfId="1" applyFont="1" applyFill="1" applyBorder="1"/>
    <xf numFmtId="164" fontId="9" fillId="2" borderId="1" xfId="1" applyNumberFormat="1" applyFont="1" applyFill="1" applyBorder="1"/>
    <xf numFmtId="0" fontId="10" fillId="2" borderId="1" xfId="1" applyFont="1" applyFill="1" applyBorder="1" applyAlignment="1">
      <alignment horizontal="left"/>
    </xf>
    <xf numFmtId="0" fontId="8" fillId="2" borderId="1" xfId="1" applyFont="1" applyFill="1" applyBorder="1" applyAlignment="1">
      <alignment horizontal="left"/>
    </xf>
    <xf numFmtId="0" fontId="11" fillId="2" borderId="1" xfId="1" applyFont="1" applyFill="1" applyBorder="1"/>
    <xf numFmtId="44" fontId="2" fillId="2" borderId="1" xfId="2" applyFont="1" applyFill="1" applyBorder="1" applyAlignment="1">
      <alignment horizontal="center"/>
    </xf>
    <xf numFmtId="0" fontId="12" fillId="2" borderId="1" xfId="2" applyNumberFormat="1" applyFont="1" applyFill="1" applyBorder="1" applyAlignment="1">
      <alignment horizontal="center"/>
    </xf>
    <xf numFmtId="14" fontId="2" fillId="2" borderId="1" xfId="0" applyNumberFormat="1" applyFont="1" applyFill="1" applyBorder="1"/>
    <xf numFmtId="1" fontId="2" fillId="2" borderId="1" xfId="0" applyNumberFormat="1" applyFont="1" applyFill="1" applyBorder="1"/>
    <xf numFmtId="20" fontId="2" fillId="2" borderId="1" xfId="0" applyNumberFormat="1" applyFont="1" applyFill="1" applyBorder="1"/>
    <xf numFmtId="2" fontId="2" fillId="2" borderId="1" xfId="0" applyNumberFormat="1" applyFont="1" applyFill="1" applyBorder="1"/>
    <xf numFmtId="0" fontId="2" fillId="2" borderId="1" xfId="0" quotePrefix="1" applyFont="1" applyFill="1" applyBorder="1"/>
  </cellXfs>
  <cellStyles count="3">
    <cellStyle name="Moneda 2" xfId="2" xr:uid="{2C3A7A6F-5E14-4B40-A2D5-72CA2B3D7C3F}"/>
    <cellStyle name="Normal" xfId="0" builtinId="0"/>
    <cellStyle name="Normal 2" xfId="1" xr:uid="{076807E7-744A-4DA6-8328-70C8097B1FF6}"/>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DESKTOP-IJJQEP3\Proyectos\ENTREGAS%20GENERALES%20SEP-OCT%202024%20(5).xlsx" TargetMode="External"/><Relationship Id="rId1" Type="http://schemas.openxmlformats.org/officeDocument/2006/relationships/externalLinkPath" Target="file:///\\DESKTOP-IJJQEP3\Proyectos\ENTREGAS%20GENERALES%20SEP-OCT%202024%20(5).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Percco\Documents\Proyectos\PLANEADOR_v1.0\tablas\t_calendario.xlsx" TargetMode="External"/><Relationship Id="rId1" Type="http://schemas.openxmlformats.org/officeDocument/2006/relationships/externalLinkPath" Target="tablas/t_calendar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7.09.2024.perc"/>
    </sheetNames>
    <sheetDataSet>
      <sheetData sheetId="0">
        <row r="2">
          <cell r="A2" t="str">
            <v>CODIGO</v>
          </cell>
          <cell r="B2" t="str">
            <v>DESCRIPCION</v>
          </cell>
          <cell r="C2" t="str">
            <v>CLIENTE</v>
          </cell>
        </row>
        <row r="3">
          <cell r="A3">
            <v>3056125</v>
          </cell>
          <cell r="B3" t="str">
            <v>ESCUADRA POSTE VR19*26 PNT BLA</v>
          </cell>
          <cell r="C3" t="str">
            <v>IMBERA</v>
          </cell>
        </row>
        <row r="4">
          <cell r="A4">
            <v>2106718</v>
          </cell>
          <cell r="B4" t="str">
            <v>CUBIERTA MET UNIDAD SUP NG CCV376 IL2</v>
          </cell>
          <cell r="C4" t="str">
            <v>IMBERA</v>
          </cell>
        </row>
        <row r="5">
          <cell r="A5">
            <v>2042088</v>
          </cell>
          <cell r="B5" t="str">
            <v>DUCTO VR04 UL</v>
          </cell>
          <cell r="C5" t="str">
            <v>IMBERA</v>
          </cell>
        </row>
        <row r="6">
          <cell r="A6">
            <v>3018154</v>
          </cell>
          <cell r="B6" t="str">
            <v>REFUERZO L PTR C14 160X254MM</v>
          </cell>
          <cell r="C6" t="str">
            <v>IMBERA</v>
          </cell>
        </row>
        <row r="7">
          <cell r="A7">
            <v>1021723</v>
          </cell>
          <cell r="B7" t="str">
            <v>REFUERZO C GL G90 C18 31X1750MM (2080890)</v>
          </cell>
          <cell r="C7" t="str">
            <v>PERFICOM</v>
          </cell>
        </row>
        <row r="8">
          <cell r="A8">
            <v>1021742</v>
          </cell>
          <cell r="B8" t="str">
            <v>REFUERZO C GL G90 C18 31X1850MM V14</v>
          </cell>
          <cell r="C8" t="str">
            <v>PERFICOM</v>
          </cell>
        </row>
        <row r="9">
          <cell r="A9">
            <v>3001608</v>
          </cell>
          <cell r="B9" t="str">
            <v>REJILLA ALAMB TRASERA VR10*12</v>
          </cell>
          <cell r="C9" t="str">
            <v>IMBERA</v>
          </cell>
        </row>
        <row r="10">
          <cell r="A10">
            <v>3062681</v>
          </cell>
          <cell r="B10" t="str">
            <v>PARRILLA DIVISORIA MED FVC20</v>
          </cell>
          <cell r="C10" t="str">
            <v>IMBERA</v>
          </cell>
        </row>
        <row r="11">
          <cell r="A11">
            <v>3057150</v>
          </cell>
          <cell r="B11" t="str">
            <v>PARRILLA ROJ1795C G3Q72</v>
          </cell>
          <cell r="C11" t="str">
            <v>IMBERA</v>
          </cell>
        </row>
        <row r="12">
          <cell r="A12">
            <v>3024165</v>
          </cell>
          <cell r="B12" t="str">
            <v>REJILLA ALAMB DUCTO CCH V7</v>
          </cell>
          <cell r="C12" t="str">
            <v>IMBERA</v>
          </cell>
        </row>
        <row r="13">
          <cell r="A13">
            <v>3038163</v>
          </cell>
          <cell r="B13" t="str">
            <v>RIEL BASE NEG VRD43 UL</v>
          </cell>
          <cell r="C13" t="str">
            <v>IMBERA</v>
          </cell>
        </row>
        <row r="14">
          <cell r="A14">
            <v>2015999</v>
          </cell>
          <cell r="B14" t="str">
            <v>VENTURY BLA VRA23</v>
          </cell>
          <cell r="C14" t="str">
            <v>IMBERA</v>
          </cell>
        </row>
        <row r="15">
          <cell r="A15">
            <v>2033232</v>
          </cell>
          <cell r="B15" t="str">
            <v>DUCTO VRA23 SUP NEG</v>
          </cell>
          <cell r="C15" t="str">
            <v>IMBERA</v>
          </cell>
        </row>
        <row r="16">
          <cell r="A16">
            <v>2033424</v>
          </cell>
          <cell r="B16" t="str">
            <v>DUCTO G372 BAR</v>
          </cell>
          <cell r="C16" t="str">
            <v>IMBERA</v>
          </cell>
        </row>
        <row r="17">
          <cell r="A17">
            <v>2062473</v>
          </cell>
          <cell r="B17" t="str">
            <v>CUBRE TUBOS G372 PNT BLA R2</v>
          </cell>
          <cell r="C17" t="str">
            <v>IMBERA</v>
          </cell>
        </row>
        <row r="18">
          <cell r="A18" t="str">
            <v>91731A/25A</v>
          </cell>
          <cell r="B18" t="str">
            <v>CUERPO DUCTO 10X10 CM</v>
          </cell>
          <cell r="C18" t="str">
            <v>BTICINO</v>
          </cell>
        </row>
        <row r="19">
          <cell r="A19">
            <v>3080804</v>
          </cell>
          <cell r="B19" t="str">
            <v>PARRILLA PLANA ALM 831X430 19 BC</v>
          </cell>
          <cell r="C19" t="str">
            <v>IMBERA</v>
          </cell>
        </row>
        <row r="20">
          <cell r="A20">
            <v>3080810</v>
          </cell>
          <cell r="B20" t="str">
            <v>PARRILLA PLANA ALM 831X450 19 BC</v>
          </cell>
          <cell r="C20" t="str">
            <v>IMBERA</v>
          </cell>
        </row>
        <row r="21">
          <cell r="A21">
            <v>3081041</v>
          </cell>
          <cell r="B21" t="str">
            <v>PARRILLA PLANA ALM 603X430 19 BC</v>
          </cell>
          <cell r="C21" t="str">
            <v>IMBERA</v>
          </cell>
        </row>
        <row r="22">
          <cell r="A22">
            <v>3081043</v>
          </cell>
          <cell r="B22" t="str">
            <v>PARRILLA PLANA ALM 603X530 19 BC</v>
          </cell>
          <cell r="C22" t="str">
            <v>IMBERA</v>
          </cell>
        </row>
        <row r="23">
          <cell r="A23">
            <v>3082328</v>
          </cell>
          <cell r="B23" t="str">
            <v>REJILLA ALM COND 717X280X40 TP</v>
          </cell>
          <cell r="C23" t="str">
            <v>IMBERA</v>
          </cell>
        </row>
        <row r="24">
          <cell r="A24">
            <v>3082296</v>
          </cell>
          <cell r="B24" t="str">
            <v>REJILLA ALM COND 433X230X86 TP</v>
          </cell>
          <cell r="C24" t="str">
            <v>IMBERA</v>
          </cell>
        </row>
        <row r="26">
          <cell r="B26" t="str">
            <v>MUESTRAS</v>
          </cell>
        </row>
        <row r="28">
          <cell r="B28" t="str">
            <v>incremento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_calendario"/>
      <sheetName val="t_calendarioPolitica"/>
    </sheetNames>
    <sheetDataSet>
      <sheetData sheetId="0"/>
      <sheetData sheetId="1">
        <row r="1">
          <cell r="A1" t="str">
            <v>DIASEM</v>
          </cell>
          <cell r="B1" t="str">
            <v>NOMBRE_DIA</v>
          </cell>
          <cell r="C1" t="str">
            <v>POLITICA</v>
          </cell>
        </row>
        <row r="2">
          <cell r="A2">
            <v>1</v>
          </cell>
          <cell r="B2" t="str">
            <v>DOMINGO</v>
          </cell>
          <cell r="C2">
            <v>0</v>
          </cell>
        </row>
        <row r="3">
          <cell r="A3">
            <v>2</v>
          </cell>
          <cell r="B3" t="str">
            <v>LUNES</v>
          </cell>
          <cell r="C3">
            <v>1</v>
          </cell>
        </row>
        <row r="4">
          <cell r="A4">
            <v>3</v>
          </cell>
          <cell r="B4" t="str">
            <v>MARTES</v>
          </cell>
          <cell r="C4">
            <v>1</v>
          </cell>
        </row>
        <row r="5">
          <cell r="A5">
            <v>4</v>
          </cell>
          <cell r="B5" t="str">
            <v>MIERCOLES</v>
          </cell>
          <cell r="C5">
            <v>1</v>
          </cell>
        </row>
        <row r="6">
          <cell r="A6">
            <v>5</v>
          </cell>
          <cell r="B6" t="str">
            <v>JUEVES</v>
          </cell>
          <cell r="C6">
            <v>1</v>
          </cell>
        </row>
        <row r="7">
          <cell r="A7">
            <v>6</v>
          </cell>
          <cell r="B7" t="str">
            <v>VIERNES</v>
          </cell>
          <cell r="C7">
            <v>1</v>
          </cell>
        </row>
        <row r="8">
          <cell r="A8">
            <v>7</v>
          </cell>
          <cell r="B8" t="str">
            <v>SABADO</v>
          </cell>
          <cell r="C8">
            <v>2</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349DD-2187-4B87-986F-93D2F050C4F0}">
  <dimension ref="A1"/>
  <sheetViews>
    <sheetView workbookViewId="0"/>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2C1C-8BB3-4813-A443-9C7596E95C3F}">
  <dimension ref="A1:I2"/>
  <sheetViews>
    <sheetView workbookViewId="0">
      <selection activeCell="B1" sqref="B1"/>
    </sheetView>
  </sheetViews>
  <sheetFormatPr baseColWidth="10" defaultColWidth="8.85546875" defaultRowHeight="15" x14ac:dyDescent="0.25"/>
  <cols>
    <col min="1" max="1" width="12.7109375" style="1" bestFit="1" customWidth="1"/>
    <col min="2" max="2" width="21.7109375" style="1" bestFit="1" customWidth="1"/>
    <col min="3" max="3" width="21.7109375" style="1" customWidth="1"/>
    <col min="4" max="4" width="12.7109375" style="1" bestFit="1" customWidth="1"/>
    <col min="5" max="5" width="21.5703125" style="1" bestFit="1" customWidth="1"/>
    <col min="6" max="6" width="15.42578125" style="1" bestFit="1" customWidth="1"/>
    <col min="7" max="7" width="14" style="1" bestFit="1" customWidth="1"/>
    <col min="8" max="8" width="16.28515625" style="1" bestFit="1" customWidth="1"/>
    <col min="9" max="9" width="14.5703125" style="1" bestFit="1" customWidth="1"/>
    <col min="10" max="16384" width="8.85546875" style="1"/>
  </cols>
  <sheetData>
    <row r="1" spans="1:9" s="6" customFormat="1" x14ac:dyDescent="0.25">
      <c r="A1" s="5" t="s">
        <v>7286</v>
      </c>
      <c r="B1" s="5" t="s">
        <v>7501</v>
      </c>
      <c r="C1" s="5" t="s">
        <v>7287</v>
      </c>
      <c r="D1" s="5" t="s">
        <v>24</v>
      </c>
      <c r="E1" s="5" t="s">
        <v>43</v>
      </c>
      <c r="F1" s="5" t="s">
        <v>44</v>
      </c>
      <c r="G1" s="5" t="s">
        <v>45</v>
      </c>
      <c r="H1" s="5" t="s">
        <v>46</v>
      </c>
      <c r="I1" s="5" t="s">
        <v>47</v>
      </c>
    </row>
    <row r="2" spans="1:9" x14ac:dyDescent="0.25">
      <c r="A2" s="1">
        <v>1</v>
      </c>
      <c r="B2" s="2" t="s">
        <v>7285</v>
      </c>
      <c r="C2" s="2" t="s">
        <v>7285</v>
      </c>
      <c r="D2" s="1">
        <v>8</v>
      </c>
      <c r="E2" s="1" t="str">
        <f>VLOOKUP(D2,t_entry_status!A:C,2,FALSE)</f>
        <v>PENDING</v>
      </c>
      <c r="F2" s="7">
        <v>45560</v>
      </c>
      <c r="G2" s="1" t="s">
        <v>7449</v>
      </c>
      <c r="H2" s="7">
        <v>45560</v>
      </c>
      <c r="I2" s="1" t="s">
        <v>7449</v>
      </c>
    </row>
  </sheetData>
  <autoFilter ref="A1:I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8491BEF-1231-45DC-8BCE-3155C2084592}">
          <x14:formula1>
            <xm:f>t_entry_status!$A:$A</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A5ECE-A004-4FA8-A31B-335F506A88EF}">
  <dimension ref="A1:J20"/>
  <sheetViews>
    <sheetView workbookViewId="0">
      <selection activeCell="B17" sqref="B17"/>
    </sheetView>
  </sheetViews>
  <sheetFormatPr baseColWidth="10" defaultColWidth="8.85546875" defaultRowHeight="15" x14ac:dyDescent="0.25"/>
  <cols>
    <col min="1" max="1" width="3" style="1" bestFit="1" customWidth="1"/>
    <col min="2" max="2" width="8.28515625" style="1" bestFit="1" customWidth="1"/>
    <col min="3" max="3" width="23.85546875" style="1" bestFit="1" customWidth="1"/>
    <col min="4" max="4" width="12.28515625" style="1" bestFit="1" customWidth="1"/>
    <col min="5" max="5" width="13.140625" style="1" bestFit="1" customWidth="1"/>
    <col min="6" max="6" width="22.28515625" style="1" bestFit="1" customWidth="1"/>
    <col min="7" max="7" width="15.5703125" style="1" bestFit="1" customWidth="1"/>
    <col min="8" max="8" width="14" style="1" bestFit="1" customWidth="1"/>
    <col min="9" max="9" width="15.5703125" style="1" bestFit="1" customWidth="1"/>
    <col min="10" max="10" width="14.85546875" style="1" bestFit="1" customWidth="1"/>
    <col min="11" max="16384" width="8.85546875" style="1"/>
  </cols>
  <sheetData>
    <row r="1" spans="1:10" x14ac:dyDescent="0.25">
      <c r="A1" s="5" t="s">
        <v>7286</v>
      </c>
      <c r="B1" s="5" t="s">
        <v>7333</v>
      </c>
      <c r="C1" s="5" t="s">
        <v>7287</v>
      </c>
      <c r="D1" s="5" t="s">
        <v>7501</v>
      </c>
      <c r="E1" s="5" t="s">
        <v>24</v>
      </c>
      <c r="F1" s="5" t="s">
        <v>43</v>
      </c>
      <c r="G1" s="5" t="s">
        <v>44</v>
      </c>
      <c r="H1" s="5" t="s">
        <v>45</v>
      </c>
      <c r="I1" s="5" t="s">
        <v>46</v>
      </c>
      <c r="J1" s="5" t="s">
        <v>47</v>
      </c>
    </row>
    <row r="2" spans="1:10" x14ac:dyDescent="0.25">
      <c r="A2" s="1">
        <v>1</v>
      </c>
      <c r="B2" s="1" t="s">
        <v>7347</v>
      </c>
      <c r="C2" s="1" t="s">
        <v>7335</v>
      </c>
      <c r="D2" s="2" t="s">
        <v>7285</v>
      </c>
      <c r="E2" s="1">
        <v>8</v>
      </c>
      <c r="F2" s="1" t="str">
        <f>VLOOKUP(E2,t_entry_status!A:B,2,FALSE)</f>
        <v>PENDING</v>
      </c>
      <c r="G2" s="7">
        <v>45560</v>
      </c>
      <c r="H2" s="1" t="s">
        <v>7449</v>
      </c>
      <c r="I2" s="7">
        <v>45560</v>
      </c>
      <c r="J2" s="1" t="s">
        <v>7449</v>
      </c>
    </row>
    <row r="3" spans="1:10" x14ac:dyDescent="0.25">
      <c r="A3" s="1">
        <v>2</v>
      </c>
      <c r="B3" s="1" t="s">
        <v>7348</v>
      </c>
      <c r="C3" s="1" t="s">
        <v>7336</v>
      </c>
      <c r="D3" s="2" t="s">
        <v>7285</v>
      </c>
      <c r="E3" s="1">
        <v>8</v>
      </c>
      <c r="F3" s="1" t="str">
        <f>VLOOKUP(E3,t_entry_status!A:B,2,FALSE)</f>
        <v>PENDING</v>
      </c>
      <c r="G3" s="7">
        <v>45560</v>
      </c>
      <c r="H3" s="1" t="s">
        <v>7449</v>
      </c>
      <c r="I3" s="7">
        <v>45560</v>
      </c>
      <c r="J3" s="1" t="s">
        <v>7449</v>
      </c>
    </row>
    <row r="4" spans="1:10" x14ac:dyDescent="0.25">
      <c r="A4" s="1">
        <v>3</v>
      </c>
      <c r="B4" s="1" t="s">
        <v>7349</v>
      </c>
      <c r="C4" s="1" t="s">
        <v>7334</v>
      </c>
      <c r="D4" s="2" t="s">
        <v>7285</v>
      </c>
      <c r="E4" s="1">
        <v>8</v>
      </c>
      <c r="F4" s="1" t="str">
        <f>VLOOKUP(E4,t_entry_status!A:B,2,FALSE)</f>
        <v>PENDING</v>
      </c>
      <c r="G4" s="7">
        <v>45560</v>
      </c>
      <c r="H4" s="1" t="s">
        <v>7449</v>
      </c>
      <c r="I4" s="7">
        <v>45560</v>
      </c>
      <c r="J4" s="1" t="s">
        <v>7449</v>
      </c>
    </row>
    <row r="5" spans="1:10" x14ac:dyDescent="0.25">
      <c r="A5" s="1">
        <v>4</v>
      </c>
      <c r="B5" s="1" t="s">
        <v>7337</v>
      </c>
      <c r="C5" s="1" t="s">
        <v>7337</v>
      </c>
      <c r="D5" s="2" t="s">
        <v>7285</v>
      </c>
      <c r="E5" s="1">
        <v>8</v>
      </c>
      <c r="F5" s="1" t="str">
        <f>VLOOKUP(E5,t_entry_status!A:B,2,FALSE)</f>
        <v>PENDING</v>
      </c>
      <c r="G5" s="7">
        <v>45560</v>
      </c>
      <c r="H5" s="1" t="s">
        <v>7449</v>
      </c>
      <c r="I5" s="7">
        <v>45560</v>
      </c>
      <c r="J5" s="1" t="s">
        <v>7449</v>
      </c>
    </row>
    <row r="6" spans="1:10" x14ac:dyDescent="0.25">
      <c r="A6" s="1">
        <v>5</v>
      </c>
      <c r="B6" s="1" t="s">
        <v>7350</v>
      </c>
      <c r="C6" s="1" t="s">
        <v>7338</v>
      </c>
      <c r="D6" s="2" t="s">
        <v>7285</v>
      </c>
      <c r="E6" s="1">
        <v>8</v>
      </c>
      <c r="F6" s="1" t="str">
        <f>VLOOKUP(E6,t_entry_status!A:B,2,FALSE)</f>
        <v>PENDING</v>
      </c>
      <c r="G6" s="7">
        <v>45560</v>
      </c>
      <c r="H6" s="1" t="s">
        <v>7449</v>
      </c>
      <c r="I6" s="7">
        <v>45560</v>
      </c>
      <c r="J6" s="1" t="s">
        <v>7449</v>
      </c>
    </row>
    <row r="7" spans="1:10" x14ac:dyDescent="0.25">
      <c r="A7" s="1">
        <v>6</v>
      </c>
      <c r="B7" s="1" t="s">
        <v>7351</v>
      </c>
      <c r="C7" s="1" t="s">
        <v>7339</v>
      </c>
      <c r="D7" s="2" t="s">
        <v>7285</v>
      </c>
      <c r="E7" s="1">
        <v>8</v>
      </c>
      <c r="F7" s="1" t="str">
        <f>VLOOKUP(E7,t_entry_status!A:B,2,FALSE)</f>
        <v>PENDING</v>
      </c>
      <c r="G7" s="7">
        <v>45560</v>
      </c>
      <c r="H7" s="1" t="s">
        <v>7449</v>
      </c>
      <c r="I7" s="7">
        <v>45560</v>
      </c>
      <c r="J7" s="1" t="s">
        <v>7449</v>
      </c>
    </row>
    <row r="8" spans="1:10" x14ac:dyDescent="0.25">
      <c r="A8" s="1">
        <v>7</v>
      </c>
      <c r="B8" s="1" t="s">
        <v>7352</v>
      </c>
      <c r="C8" s="1" t="s">
        <v>7340</v>
      </c>
      <c r="D8" s="2" t="s">
        <v>7285</v>
      </c>
      <c r="E8" s="1">
        <v>8</v>
      </c>
      <c r="F8" s="1" t="str">
        <f>VLOOKUP(E8,t_entry_status!A:B,2,FALSE)</f>
        <v>PENDING</v>
      </c>
      <c r="G8" s="7">
        <v>45560</v>
      </c>
      <c r="H8" s="1" t="s">
        <v>7449</v>
      </c>
      <c r="I8" s="7">
        <v>45560</v>
      </c>
      <c r="J8" s="1" t="s">
        <v>7449</v>
      </c>
    </row>
    <row r="9" spans="1:10" x14ac:dyDescent="0.25">
      <c r="A9" s="1">
        <v>8</v>
      </c>
      <c r="B9" s="1" t="s">
        <v>7353</v>
      </c>
      <c r="C9" s="1" t="s">
        <v>7341</v>
      </c>
      <c r="D9" s="2" t="s">
        <v>7285</v>
      </c>
      <c r="E9" s="1">
        <v>8</v>
      </c>
      <c r="F9" s="1" t="str">
        <f>VLOOKUP(E9,t_entry_status!A:B,2,FALSE)</f>
        <v>PENDING</v>
      </c>
      <c r="G9" s="7">
        <v>45560</v>
      </c>
      <c r="H9" s="1" t="s">
        <v>7449</v>
      </c>
      <c r="I9" s="7">
        <v>45560</v>
      </c>
      <c r="J9" s="1" t="s">
        <v>7449</v>
      </c>
    </row>
    <row r="10" spans="1:10" x14ac:dyDescent="0.25">
      <c r="A10" s="1">
        <v>9</v>
      </c>
      <c r="B10" s="1" t="s">
        <v>7456</v>
      </c>
      <c r="C10" s="1" t="s">
        <v>7354</v>
      </c>
      <c r="D10" s="2" t="s">
        <v>7285</v>
      </c>
      <c r="E10" s="1">
        <v>8</v>
      </c>
      <c r="F10" s="1" t="str">
        <f>VLOOKUP(E10,t_entry_status!A:B,2,FALSE)</f>
        <v>PENDING</v>
      </c>
      <c r="G10" s="7">
        <v>45560</v>
      </c>
      <c r="H10" s="1" t="s">
        <v>7449</v>
      </c>
      <c r="I10" s="7">
        <v>45560</v>
      </c>
      <c r="J10" s="1" t="s">
        <v>7449</v>
      </c>
    </row>
    <row r="11" spans="1:10" x14ac:dyDescent="0.25">
      <c r="A11" s="1">
        <v>10</v>
      </c>
      <c r="B11" s="1" t="s">
        <v>7457</v>
      </c>
      <c r="C11" s="1" t="s">
        <v>7355</v>
      </c>
      <c r="D11" s="2" t="s">
        <v>7285</v>
      </c>
      <c r="E11" s="1">
        <v>8</v>
      </c>
      <c r="F11" s="1" t="str">
        <f>VLOOKUP(E11,t_entry_status!A:B,2,FALSE)</f>
        <v>PENDING</v>
      </c>
      <c r="G11" s="7">
        <v>45560</v>
      </c>
      <c r="H11" s="1" t="s">
        <v>7449</v>
      </c>
      <c r="I11" s="7">
        <v>45560</v>
      </c>
      <c r="J11" s="1" t="s">
        <v>7449</v>
      </c>
    </row>
    <row r="12" spans="1:10" x14ac:dyDescent="0.25">
      <c r="A12" s="1">
        <v>10</v>
      </c>
      <c r="B12" s="1" t="s">
        <v>7458</v>
      </c>
      <c r="C12" s="1" t="s">
        <v>7453</v>
      </c>
      <c r="D12" s="2" t="s">
        <v>7285</v>
      </c>
      <c r="E12" s="1">
        <v>8</v>
      </c>
      <c r="F12" s="1" t="str">
        <f>VLOOKUP(E12,t_entry_status!A:B,2,FALSE)</f>
        <v>PENDING</v>
      </c>
      <c r="G12" s="7">
        <v>45560</v>
      </c>
      <c r="H12" s="1" t="s">
        <v>7449</v>
      </c>
      <c r="I12" s="7">
        <v>45560</v>
      </c>
      <c r="J12" s="1" t="s">
        <v>7449</v>
      </c>
    </row>
    <row r="13" spans="1:10" x14ac:dyDescent="0.25">
      <c r="A13" s="1">
        <v>11</v>
      </c>
      <c r="B13" s="1" t="s">
        <v>7459</v>
      </c>
      <c r="C13" s="1" t="s">
        <v>7356</v>
      </c>
      <c r="D13" s="2" t="s">
        <v>7285</v>
      </c>
      <c r="E13" s="1">
        <v>8</v>
      </c>
      <c r="F13" s="1" t="str">
        <f>VLOOKUP(E13,t_entry_status!A:B,2,FALSE)</f>
        <v>PENDING</v>
      </c>
      <c r="G13" s="7">
        <v>45560</v>
      </c>
      <c r="H13" s="1" t="s">
        <v>7449</v>
      </c>
      <c r="I13" s="7">
        <v>45560</v>
      </c>
      <c r="J13" s="1" t="s">
        <v>7449</v>
      </c>
    </row>
    <row r="14" spans="1:10" x14ac:dyDescent="0.25">
      <c r="A14" s="1">
        <v>12</v>
      </c>
      <c r="B14" s="1" t="s">
        <v>7460</v>
      </c>
      <c r="C14" s="1" t="s">
        <v>7433</v>
      </c>
      <c r="D14" s="2" t="s">
        <v>7285</v>
      </c>
      <c r="E14" s="1">
        <v>8</v>
      </c>
      <c r="F14" s="1" t="str">
        <f>VLOOKUP(E14,t_entry_status!A:B,2,FALSE)</f>
        <v>PENDING</v>
      </c>
      <c r="G14" s="7">
        <v>45560</v>
      </c>
      <c r="H14" s="1" t="s">
        <v>7449</v>
      </c>
      <c r="I14" s="7">
        <v>45560</v>
      </c>
      <c r="J14" s="1" t="s">
        <v>7449</v>
      </c>
    </row>
    <row r="15" spans="1:10" x14ac:dyDescent="0.25">
      <c r="A15" s="1">
        <v>13</v>
      </c>
      <c r="B15" s="1" t="s">
        <v>7461</v>
      </c>
      <c r="C15" s="1" t="s">
        <v>7455</v>
      </c>
      <c r="D15" s="2" t="s">
        <v>7285</v>
      </c>
      <c r="E15" s="1">
        <v>8</v>
      </c>
      <c r="F15" s="1" t="str">
        <f>VLOOKUP(E15,t_entry_status!A:B,2,FALSE)</f>
        <v>PENDING</v>
      </c>
      <c r="G15" s="7">
        <v>45560</v>
      </c>
      <c r="H15" s="1" t="s">
        <v>7449</v>
      </c>
      <c r="I15" s="7">
        <v>45560</v>
      </c>
      <c r="J15" s="1" t="s">
        <v>7449</v>
      </c>
    </row>
    <row r="16" spans="1:10" x14ac:dyDescent="0.25">
      <c r="A16" s="1">
        <v>14</v>
      </c>
      <c r="B16" s="1" t="s">
        <v>8352</v>
      </c>
      <c r="C16" s="1" t="s">
        <v>8351</v>
      </c>
      <c r="D16" s="2" t="s">
        <v>7285</v>
      </c>
      <c r="E16" s="1">
        <v>8</v>
      </c>
      <c r="F16" s="1" t="str">
        <f>VLOOKUP(E16,t_entry_status!A:B,2,FALSE)</f>
        <v>PENDING</v>
      </c>
      <c r="G16" s="7">
        <v>45560</v>
      </c>
      <c r="H16" s="1" t="s">
        <v>7449</v>
      </c>
      <c r="I16" s="7">
        <v>45560</v>
      </c>
      <c r="J16" s="1" t="s">
        <v>7449</v>
      </c>
    </row>
    <row r="17" spans="1:10" x14ac:dyDescent="0.25">
      <c r="A17" s="1">
        <v>15</v>
      </c>
      <c r="B17" s="1" t="s">
        <v>7498</v>
      </c>
      <c r="C17" s="1" t="s">
        <v>7495</v>
      </c>
      <c r="D17" s="2" t="s">
        <v>7285</v>
      </c>
      <c r="E17" s="1">
        <v>8</v>
      </c>
      <c r="F17" s="1" t="str">
        <f>VLOOKUP(E17,t_entry_status!A:B,2,FALSE)</f>
        <v>PENDING</v>
      </c>
      <c r="G17" s="7">
        <v>45560</v>
      </c>
      <c r="H17" s="1" t="s">
        <v>7449</v>
      </c>
      <c r="I17" s="7">
        <v>45560</v>
      </c>
      <c r="J17" s="1" t="s">
        <v>7449</v>
      </c>
    </row>
    <row r="18" spans="1:10" x14ac:dyDescent="0.25">
      <c r="A18" s="1">
        <v>16</v>
      </c>
      <c r="B18" s="1" t="s">
        <v>7499</v>
      </c>
      <c r="C18" s="1" t="s">
        <v>7496</v>
      </c>
      <c r="D18" s="2" t="s">
        <v>7285</v>
      </c>
      <c r="E18" s="1">
        <v>8</v>
      </c>
      <c r="F18" s="1" t="str">
        <f>VLOOKUP(E18,t_entry_status!A:B,2,FALSE)</f>
        <v>PENDING</v>
      </c>
      <c r="G18" s="7">
        <v>45560</v>
      </c>
      <c r="H18" s="1" t="s">
        <v>7449</v>
      </c>
      <c r="I18" s="7">
        <v>45560</v>
      </c>
      <c r="J18" s="1" t="s">
        <v>7449</v>
      </c>
    </row>
    <row r="19" spans="1:10" x14ac:dyDescent="0.25">
      <c r="A19" s="1">
        <v>17</v>
      </c>
      <c r="B19" s="1" t="s">
        <v>7500</v>
      </c>
      <c r="C19" s="1" t="s">
        <v>7497</v>
      </c>
      <c r="D19" s="2" t="s">
        <v>7285</v>
      </c>
      <c r="E19" s="1">
        <v>8</v>
      </c>
      <c r="F19" s="1" t="str">
        <f>VLOOKUP(E19,t_entry_status!A:B,2,FALSE)</f>
        <v>PENDING</v>
      </c>
      <c r="G19" s="7">
        <v>45560</v>
      </c>
      <c r="H19" s="1" t="s">
        <v>7449</v>
      </c>
      <c r="I19" s="7">
        <v>45560</v>
      </c>
      <c r="J19" s="1" t="s">
        <v>7449</v>
      </c>
    </row>
    <row r="20" spans="1:10" x14ac:dyDescent="0.25">
      <c r="A20" s="1">
        <v>18</v>
      </c>
      <c r="B20" s="1" t="s">
        <v>7503</v>
      </c>
      <c r="C20" s="1" t="s">
        <v>7502</v>
      </c>
      <c r="D20" s="2" t="s">
        <v>7285</v>
      </c>
      <c r="E20" s="1">
        <v>8</v>
      </c>
      <c r="F20" s="1" t="str">
        <f>VLOOKUP(E20,t_entry_status!A:B,2,FALSE)</f>
        <v>PENDING</v>
      </c>
      <c r="G20" s="7">
        <v>45560</v>
      </c>
      <c r="H20" s="1" t="s">
        <v>7449</v>
      </c>
      <c r="I20" s="7">
        <v>45560</v>
      </c>
      <c r="J20" s="1" t="s">
        <v>7449</v>
      </c>
    </row>
  </sheetData>
  <phoneticPr fontId="5" type="noConversion"/>
  <conditionalFormatting sqref="B1:B1048576">
    <cfRule type="duplicateValues" dxfId="1" priority="1"/>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C8F2EC4-4175-4F6C-940B-E1E287D1868B}">
          <x14:formula1>
            <xm:f>t_entry_status!$A:$A</xm:f>
          </x14:formula1>
          <xm:sqref>E2:E20</xm:sqref>
        </x14:dataValidation>
        <x14:dataValidation type="list" allowBlank="1" showInputMessage="1" showErrorMessage="1" xr:uid="{3219AE60-9C8D-42F5-B7D0-700E98C7DB6F}">
          <x14:formula1>
            <xm:f>t_empresa!$B:$B</xm:f>
          </x14:formula1>
          <xm:sqref>D2:D20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D16A4-EEB5-4859-A8CD-BD227D3296B0}">
  <dimension ref="A1:U117"/>
  <sheetViews>
    <sheetView zoomScale="85" zoomScaleNormal="85" workbookViewId="0">
      <selection activeCell="L10" sqref="L10"/>
    </sheetView>
  </sheetViews>
  <sheetFormatPr baseColWidth="10" defaultColWidth="8.85546875" defaultRowHeight="15" x14ac:dyDescent="0.25"/>
  <cols>
    <col min="1" max="1" width="12.7109375" style="1" bestFit="1" customWidth="1"/>
    <col min="2" max="2" width="19.85546875" style="1" customWidth="1"/>
    <col min="3" max="3" width="14.85546875" style="12" bestFit="1" customWidth="1"/>
    <col min="4" max="4" width="40.85546875" style="1" bestFit="1" customWidth="1"/>
    <col min="5" max="5" width="18.85546875" style="1" bestFit="1" customWidth="1"/>
    <col min="6" max="6" width="15.5703125" style="1" bestFit="1" customWidth="1"/>
    <col min="7" max="8" width="24.5703125" style="1" bestFit="1" customWidth="1"/>
    <col min="9" max="9" width="17.28515625" style="1" customWidth="1"/>
    <col min="10" max="11" width="21.7109375" style="1" customWidth="1"/>
    <col min="12" max="12" width="19" style="1" bestFit="1" customWidth="1"/>
    <col min="13" max="13" width="21.7109375" style="1" customWidth="1"/>
    <col min="14" max="14" width="12.42578125" style="1" customWidth="1"/>
    <col min="15" max="15" width="14.7109375" style="1" bestFit="1" customWidth="1"/>
    <col min="16" max="16" width="12.7109375" style="1" bestFit="1" customWidth="1"/>
    <col min="17" max="17" width="21.5703125" style="1" bestFit="1" customWidth="1"/>
    <col min="18" max="18" width="15.42578125" style="1" bestFit="1" customWidth="1"/>
    <col min="19" max="19" width="14" style="1" bestFit="1" customWidth="1"/>
    <col min="20" max="20" width="16.28515625" style="1" bestFit="1" customWidth="1"/>
    <col min="21" max="21" width="14.5703125" style="1" bestFit="1" customWidth="1"/>
    <col min="22" max="16384" width="8.85546875" style="1"/>
  </cols>
  <sheetData>
    <row r="1" spans="1:21" s="6" customFormat="1" x14ac:dyDescent="0.25">
      <c r="A1" s="5" t="s">
        <v>7286</v>
      </c>
      <c r="B1" s="11" t="s">
        <v>7292</v>
      </c>
      <c r="C1" s="11" t="s">
        <v>7450</v>
      </c>
      <c r="D1" s="5" t="s">
        <v>7287</v>
      </c>
      <c r="E1" s="5" t="s">
        <v>7527</v>
      </c>
      <c r="F1" s="5" t="s">
        <v>7287</v>
      </c>
      <c r="G1" s="5" t="s">
        <v>7505</v>
      </c>
      <c r="H1" s="5" t="s">
        <v>7504</v>
      </c>
      <c r="I1" s="5" t="s">
        <v>0</v>
      </c>
      <c r="J1" s="5" t="s">
        <v>7287</v>
      </c>
      <c r="K1" s="5" t="s">
        <v>7454</v>
      </c>
      <c r="L1" s="5" t="s">
        <v>7293</v>
      </c>
      <c r="M1" s="5" t="s">
        <v>7451</v>
      </c>
      <c r="N1" s="5" t="s">
        <v>7333</v>
      </c>
      <c r="O1" s="5" t="s">
        <v>7287</v>
      </c>
      <c r="P1" s="5" t="s">
        <v>24</v>
      </c>
      <c r="Q1" s="5" t="s">
        <v>43</v>
      </c>
      <c r="R1" s="5" t="s">
        <v>44</v>
      </c>
      <c r="S1" s="5" t="s">
        <v>45</v>
      </c>
      <c r="T1" s="5" t="s">
        <v>46</v>
      </c>
      <c r="U1" s="5" t="s">
        <v>47</v>
      </c>
    </row>
    <row r="2" spans="1:21" x14ac:dyDescent="0.25">
      <c r="A2" s="1">
        <v>1</v>
      </c>
      <c r="B2" s="1" t="str">
        <f>_xlfn.CONCAT(N2,"-",VLOOKUP(N2,t_objeto!B:D,3,FALSE),"-",A2)</f>
        <v>PROD-PERCCO-1</v>
      </c>
      <c r="C2" s="12">
        <v>3056125</v>
      </c>
      <c r="D2" s="1" t="s">
        <v>7310</v>
      </c>
      <c r="E2" s="1">
        <v>1</v>
      </c>
      <c r="F2" s="1" t="str">
        <f>VLOOKUP(E2,t_tipoProducto!A:B,2,FALSE)</f>
        <v>METALICO</v>
      </c>
      <c r="G2" s="1">
        <v>3056125</v>
      </c>
      <c r="H2" s="30" t="s">
        <v>7531</v>
      </c>
      <c r="I2" s="13" t="s">
        <v>7711</v>
      </c>
      <c r="J2" s="2" t="str">
        <f>VLOOKUP(I2,t_cliente!B:C,2,FALSE)</f>
        <v>IMBERA</v>
      </c>
      <c r="K2" s="2" t="s">
        <v>7478</v>
      </c>
      <c r="L2" s="2">
        <v>7</v>
      </c>
      <c r="M2" s="2" t="str">
        <f>VLOOKUP(L2,t_productStatus!A:B,2,FALSE)</f>
        <v>PRODUCCION</v>
      </c>
      <c r="N2" s="1" t="s">
        <v>7348</v>
      </c>
      <c r="O2" s="1" t="str">
        <f>VLOOKUP(N2,t_objeto!B:C,2,FALSE)</f>
        <v>PRODUCTO</v>
      </c>
      <c r="P2" s="1">
        <v>8</v>
      </c>
      <c r="Q2" s="1" t="str">
        <f>VLOOKUP(P2,t_entry_status!A:C,2,FALSE)</f>
        <v>PENDING</v>
      </c>
      <c r="R2" s="7">
        <v>45560</v>
      </c>
      <c r="S2" s="1" t="s">
        <v>7449</v>
      </c>
      <c r="T2" s="7">
        <v>45560</v>
      </c>
      <c r="U2" s="1" t="s">
        <v>7449</v>
      </c>
    </row>
    <row r="3" spans="1:21" x14ac:dyDescent="0.25">
      <c r="A3" s="1">
        <v>2</v>
      </c>
      <c r="B3" s="1" t="str">
        <f>_xlfn.CONCAT(N3,"-",VLOOKUP(N3,t_objeto!B:D,3,FALSE),"-",A3)</f>
        <v>PROD-PERCCO-2</v>
      </c>
      <c r="C3" s="12">
        <v>2106718</v>
      </c>
      <c r="D3" s="1" t="s">
        <v>7314</v>
      </c>
      <c r="E3" s="1">
        <v>1</v>
      </c>
      <c r="F3" s="1" t="str">
        <f>VLOOKUP(E3,t_tipoProducto!A:B,2,FALSE)</f>
        <v>METALICO</v>
      </c>
      <c r="G3" s="1">
        <v>2106718</v>
      </c>
      <c r="H3" s="30" t="s">
        <v>7533</v>
      </c>
      <c r="I3" s="13" t="s">
        <v>7711</v>
      </c>
      <c r="J3" s="2" t="str">
        <f>VLOOKUP(I3,t_cliente!B:C,2,FALSE)</f>
        <v>IMBERA</v>
      </c>
      <c r="K3" s="2" t="s">
        <v>7479</v>
      </c>
      <c r="L3" s="2">
        <v>7</v>
      </c>
      <c r="M3" s="2" t="str">
        <f>VLOOKUP(L3,t_productStatus!A:B,2,FALSE)</f>
        <v>PRODUCCION</v>
      </c>
      <c r="N3" s="1" t="s">
        <v>7348</v>
      </c>
      <c r="O3" s="1" t="str">
        <f>VLOOKUP(N3,t_objeto!B:C,2,FALSE)</f>
        <v>PRODUCTO</v>
      </c>
      <c r="P3" s="1">
        <v>8</v>
      </c>
      <c r="Q3" s="1" t="str">
        <f>VLOOKUP(P3,t_entry_status!A:C,2,FALSE)</f>
        <v>PENDING</v>
      </c>
      <c r="R3" s="7">
        <v>45560</v>
      </c>
      <c r="S3" s="1" t="s">
        <v>7449</v>
      </c>
      <c r="T3" s="7">
        <v>45560</v>
      </c>
      <c r="U3" s="1" t="s">
        <v>7449</v>
      </c>
    </row>
    <row r="4" spans="1:21" x14ac:dyDescent="0.25">
      <c r="A4" s="1">
        <v>3</v>
      </c>
      <c r="B4" s="1" t="str">
        <f>_xlfn.CONCAT(N4,"-",VLOOKUP(N4,t_objeto!B:D,3,FALSE),"-",A4)</f>
        <v>PROD-PERCCO-3</v>
      </c>
      <c r="C4" s="12">
        <v>2042088</v>
      </c>
      <c r="D4" s="1" t="s">
        <v>7315</v>
      </c>
      <c r="E4" s="1">
        <v>1</v>
      </c>
      <c r="F4" s="1" t="str">
        <f>VLOOKUP(E4,t_tipoProducto!A:B,2,FALSE)</f>
        <v>METALICO</v>
      </c>
      <c r="G4" s="30" t="s">
        <v>7529</v>
      </c>
      <c r="H4" s="30" t="s">
        <v>7530</v>
      </c>
      <c r="I4" s="13" t="s">
        <v>7711</v>
      </c>
      <c r="J4" s="2" t="str">
        <f>VLOOKUP(I4,t_cliente!B:C,2,FALSE)</f>
        <v>IMBERA</v>
      </c>
      <c r="K4" s="2" t="s">
        <v>7480</v>
      </c>
      <c r="L4" s="2">
        <v>7</v>
      </c>
      <c r="M4" s="2" t="str">
        <f>VLOOKUP(L4,t_productStatus!A:B,2,FALSE)</f>
        <v>PRODUCCION</v>
      </c>
      <c r="N4" s="1" t="s">
        <v>7348</v>
      </c>
      <c r="O4" s="1" t="str">
        <f>VLOOKUP(N4,t_objeto!B:C,2,FALSE)</f>
        <v>PRODUCTO</v>
      </c>
      <c r="P4" s="1">
        <v>8</v>
      </c>
      <c r="Q4" s="1" t="str">
        <f>VLOOKUP(P4,t_entry_status!A:C,2,FALSE)</f>
        <v>PENDING</v>
      </c>
      <c r="R4" s="7">
        <v>45560</v>
      </c>
      <c r="S4" s="1" t="s">
        <v>7449</v>
      </c>
      <c r="T4" s="7">
        <v>45560</v>
      </c>
      <c r="U4" s="1" t="s">
        <v>7449</v>
      </c>
    </row>
    <row r="5" spans="1:21" x14ac:dyDescent="0.25">
      <c r="A5" s="1">
        <v>4</v>
      </c>
      <c r="B5" s="1" t="str">
        <f>_xlfn.CONCAT(N5,"-",VLOOKUP(N5,t_objeto!B:D,3,FALSE),"-",A5)</f>
        <v>PROD-PERCCO-4</v>
      </c>
      <c r="C5" s="12" t="s">
        <v>7317</v>
      </c>
      <c r="D5" s="1" t="s">
        <v>7318</v>
      </c>
      <c r="E5" s="1">
        <v>1</v>
      </c>
      <c r="F5" s="1" t="str">
        <f>VLOOKUP(E5,t_tipoProducto!A:B,2,FALSE)</f>
        <v>METALICO</v>
      </c>
      <c r="H5" s="1" t="e">
        <f>VLOOKUP(C5,'[1]17.09.2024.perc'!$A:$C,3,FALSE)</f>
        <v>#N/A</v>
      </c>
      <c r="I5" s="13" t="s">
        <v>7711</v>
      </c>
      <c r="J5" s="2" t="str">
        <f>VLOOKUP(I5,t_cliente!B:C,2,FALSE)</f>
        <v>IMBERA</v>
      </c>
      <c r="K5" s="2" t="s">
        <v>7481</v>
      </c>
      <c r="L5" s="2">
        <v>7</v>
      </c>
      <c r="M5" s="2" t="str">
        <f>VLOOKUP(L5,t_productStatus!A:B,2,FALSE)</f>
        <v>PRODUCCION</v>
      </c>
      <c r="N5" s="1" t="s">
        <v>7348</v>
      </c>
      <c r="O5" s="1" t="str">
        <f>VLOOKUP(N5,t_objeto!B:C,2,FALSE)</f>
        <v>PRODUCTO</v>
      </c>
      <c r="P5" s="1">
        <v>8</v>
      </c>
      <c r="Q5" s="1" t="str">
        <f>VLOOKUP(P5,t_entry_status!A:C,2,FALSE)</f>
        <v>PENDING</v>
      </c>
      <c r="R5" s="7">
        <v>45560</v>
      </c>
      <c r="S5" s="1" t="s">
        <v>7449</v>
      </c>
      <c r="T5" s="7">
        <v>45560</v>
      </c>
      <c r="U5" s="1" t="s">
        <v>7449</v>
      </c>
    </row>
    <row r="6" spans="1:21" x14ac:dyDescent="0.25">
      <c r="A6" s="1">
        <v>5</v>
      </c>
      <c r="B6" s="1" t="str">
        <f>_xlfn.CONCAT(N6,"-",VLOOKUP(N6,t_objeto!B:D,3,FALSE),"-",A6)</f>
        <v>PROD-PERCCO-5</v>
      </c>
      <c r="C6" s="12">
        <v>1020919</v>
      </c>
      <c r="D6" s="1" t="s">
        <v>7321</v>
      </c>
      <c r="E6" s="1">
        <v>1</v>
      </c>
      <c r="F6" s="1" t="str">
        <f>VLOOKUP(E6,t_tipoProducto!A:B,2,FALSE)</f>
        <v>METALICO</v>
      </c>
      <c r="H6" s="1" t="e">
        <f>VLOOKUP(C6,'[1]17.09.2024.perc'!$A:$C,3,FALSE)</f>
        <v>#N/A</v>
      </c>
      <c r="I6" s="13" t="s">
        <v>7711</v>
      </c>
      <c r="J6" s="2" t="str">
        <f>VLOOKUP(I6,t_cliente!B:C,2,FALSE)</f>
        <v>IMBERA</v>
      </c>
      <c r="K6" s="2" t="s">
        <v>7482</v>
      </c>
      <c r="L6" s="2">
        <v>7</v>
      </c>
      <c r="M6" s="2" t="str">
        <f>VLOOKUP(L6,t_productStatus!A:B,2,FALSE)</f>
        <v>PRODUCCION</v>
      </c>
      <c r="N6" s="1" t="s">
        <v>7348</v>
      </c>
      <c r="O6" s="1" t="str">
        <f>VLOOKUP(N6,t_objeto!B:C,2,FALSE)</f>
        <v>PRODUCTO</v>
      </c>
      <c r="P6" s="1">
        <v>8</v>
      </c>
      <c r="Q6" s="1" t="str">
        <f>VLOOKUP(P6,t_entry_status!A:C,2,FALSE)</f>
        <v>PENDING</v>
      </c>
      <c r="R6" s="7">
        <v>45560</v>
      </c>
      <c r="S6" s="1" t="s">
        <v>7449</v>
      </c>
      <c r="T6" s="7">
        <v>45560</v>
      </c>
      <c r="U6" s="1" t="s">
        <v>7449</v>
      </c>
    </row>
    <row r="7" spans="1:21" x14ac:dyDescent="0.25">
      <c r="A7" s="1">
        <v>6</v>
      </c>
      <c r="B7" s="1" t="str">
        <f>_xlfn.CONCAT(N7,"-",VLOOKUP(N7,t_objeto!B:D,3,FALSE),"-",A7)</f>
        <v>PROD-PERCCO-6</v>
      </c>
      <c r="C7" s="12">
        <v>3001608</v>
      </c>
      <c r="D7" s="1" t="s">
        <v>7322</v>
      </c>
      <c r="E7" s="1">
        <v>2</v>
      </c>
      <c r="F7" s="1" t="str">
        <f>VLOOKUP(E7,t_tipoProducto!A:B,2,FALSE)</f>
        <v>PARRILLAS</v>
      </c>
      <c r="G7" s="30" t="s">
        <v>7528</v>
      </c>
      <c r="H7" s="1">
        <v>9</v>
      </c>
      <c r="I7" s="13" t="s">
        <v>7711</v>
      </c>
      <c r="J7" s="2" t="str">
        <f>VLOOKUP(I7,t_cliente!B:C,2,FALSE)</f>
        <v>IMBERA</v>
      </c>
      <c r="K7" s="2" t="s">
        <v>7483</v>
      </c>
      <c r="L7" s="2">
        <v>7</v>
      </c>
      <c r="M7" s="2" t="str">
        <f>VLOOKUP(L7,t_productStatus!A:B,2,FALSE)</f>
        <v>PRODUCCION</v>
      </c>
      <c r="N7" s="1" t="s">
        <v>7348</v>
      </c>
      <c r="O7" s="1" t="str">
        <f>VLOOKUP(N7,t_objeto!B:C,2,FALSE)</f>
        <v>PRODUCTO</v>
      </c>
      <c r="P7" s="1">
        <v>8</v>
      </c>
      <c r="Q7" s="1" t="str">
        <f>VLOOKUP(P7,t_entry_status!A:C,2,FALSE)</f>
        <v>PENDING</v>
      </c>
      <c r="R7" s="7">
        <v>45560</v>
      </c>
      <c r="S7" s="1" t="s">
        <v>7449</v>
      </c>
      <c r="T7" s="7">
        <v>45560</v>
      </c>
      <c r="U7" s="1" t="s">
        <v>7449</v>
      </c>
    </row>
    <row r="8" spans="1:21" x14ac:dyDescent="0.25">
      <c r="A8" s="1">
        <v>7</v>
      </c>
      <c r="B8" s="1" t="str">
        <f>_xlfn.CONCAT(N8,"-",VLOOKUP(N8,t_objeto!B:D,3,FALSE),"-",A8)</f>
        <v>PROD-PERCCO-7</v>
      </c>
      <c r="C8" s="12">
        <v>3057150</v>
      </c>
      <c r="D8" s="1" t="s">
        <v>7324</v>
      </c>
      <c r="E8" s="1">
        <v>2</v>
      </c>
      <c r="F8" s="1" t="str">
        <f>VLOOKUP(E8,t_tipoProducto!A:B,2,FALSE)</f>
        <v>PARRILLAS</v>
      </c>
      <c r="G8" s="1">
        <v>3057150</v>
      </c>
      <c r="H8" s="30" t="s">
        <v>7531</v>
      </c>
      <c r="I8" s="13" t="s">
        <v>7711</v>
      </c>
      <c r="J8" s="2" t="str">
        <f>VLOOKUP(I8,t_cliente!B:C,2,FALSE)</f>
        <v>IMBERA</v>
      </c>
      <c r="K8" s="2" t="s">
        <v>7484</v>
      </c>
      <c r="L8" s="2">
        <v>7</v>
      </c>
      <c r="M8" s="2" t="str">
        <f>VLOOKUP(L8,t_productStatus!A:B,2,FALSE)</f>
        <v>PRODUCCION</v>
      </c>
      <c r="N8" s="1" t="s">
        <v>7348</v>
      </c>
      <c r="O8" s="1" t="str">
        <f>VLOOKUP(N8,t_objeto!B:C,2,FALSE)</f>
        <v>PRODUCTO</v>
      </c>
      <c r="P8" s="1">
        <v>8</v>
      </c>
      <c r="Q8" s="1" t="str">
        <f>VLOOKUP(P8,t_entry_status!A:C,2,FALSE)</f>
        <v>PENDING</v>
      </c>
      <c r="R8" s="7">
        <v>45560</v>
      </c>
      <c r="S8" s="1" t="s">
        <v>7449</v>
      </c>
      <c r="T8" s="7">
        <v>45560</v>
      </c>
      <c r="U8" s="1" t="s">
        <v>7449</v>
      </c>
    </row>
    <row r="9" spans="1:21" x14ac:dyDescent="0.25">
      <c r="A9" s="1">
        <v>8</v>
      </c>
      <c r="B9" s="1" t="str">
        <f>_xlfn.CONCAT(N9,"-",VLOOKUP(N9,t_objeto!B:D,3,FALSE),"-",A9)</f>
        <v>PROD-PERCCO-8</v>
      </c>
      <c r="C9" s="12">
        <v>3018154</v>
      </c>
      <c r="D9" s="1" t="s">
        <v>7507</v>
      </c>
      <c r="E9" s="1">
        <v>1</v>
      </c>
      <c r="F9" s="1" t="str">
        <f>VLOOKUP(E9,t_tipoProducto!A:B,2,FALSE)</f>
        <v>METALICO</v>
      </c>
      <c r="I9" s="13" t="s">
        <v>7711</v>
      </c>
      <c r="J9" s="2" t="str">
        <f>VLOOKUP(I9,t_cliente!B:C,2,FALSE)</f>
        <v>IMBERA</v>
      </c>
      <c r="K9" s="2" t="s">
        <v>7485</v>
      </c>
      <c r="L9" s="2">
        <v>7</v>
      </c>
      <c r="M9" s="2" t="str">
        <f>VLOOKUP(L9,t_productStatus!A:B,2,FALSE)</f>
        <v>PRODUCCION</v>
      </c>
      <c r="N9" s="1" t="s">
        <v>7348</v>
      </c>
      <c r="O9" s="1" t="str">
        <f>VLOOKUP(N9,t_objeto!B:C,2,FALSE)</f>
        <v>PRODUCTO</v>
      </c>
      <c r="P9" s="1">
        <v>8</v>
      </c>
      <c r="Q9" s="1" t="str">
        <f>VLOOKUP(P9,t_entry_status!A:C,2,FALSE)</f>
        <v>PENDING</v>
      </c>
      <c r="R9" s="7">
        <v>45560</v>
      </c>
      <c r="S9" s="1" t="s">
        <v>7449</v>
      </c>
      <c r="T9" s="7">
        <v>45560</v>
      </c>
      <c r="U9" s="1" t="s">
        <v>7449</v>
      </c>
    </row>
    <row r="10" spans="1:21" x14ac:dyDescent="0.25">
      <c r="A10" s="1">
        <v>9</v>
      </c>
      <c r="B10" s="1" t="str">
        <f>_xlfn.CONCAT(N10,"-",VLOOKUP(N10,t_objeto!B:D,3,FALSE),"-",A10)</f>
        <v>PROD-PERCCO-9</v>
      </c>
      <c r="C10" s="12">
        <v>3038163</v>
      </c>
      <c r="D10" s="1" t="s">
        <v>7318</v>
      </c>
      <c r="E10" s="1">
        <v>1</v>
      </c>
      <c r="F10" s="1" t="str">
        <f>VLOOKUP(E10,t_tipoProducto!A:B,2,FALSE)</f>
        <v>METALICO</v>
      </c>
      <c r="G10" s="30" t="s">
        <v>7534</v>
      </c>
      <c r="H10" s="30" t="s">
        <v>7535</v>
      </c>
      <c r="I10" s="13" t="s">
        <v>7711</v>
      </c>
      <c r="J10" s="2" t="str">
        <f>VLOOKUP(I10,t_cliente!B:C,2,FALSE)</f>
        <v>IMBERA</v>
      </c>
      <c r="K10" s="2" t="s">
        <v>7486</v>
      </c>
      <c r="L10" s="2">
        <v>7</v>
      </c>
      <c r="M10" s="2" t="str">
        <f>VLOOKUP(L10,t_productStatus!A:B,2,FALSE)</f>
        <v>PRODUCCION</v>
      </c>
      <c r="N10" s="1" t="s">
        <v>7348</v>
      </c>
      <c r="O10" s="1" t="str">
        <f>VLOOKUP(N10,t_objeto!B:C,2,FALSE)</f>
        <v>PRODUCTO</v>
      </c>
      <c r="P10" s="1">
        <v>8</v>
      </c>
      <c r="Q10" s="1" t="str">
        <f>VLOOKUP(P10,t_entry_status!A:C,2,FALSE)</f>
        <v>PENDING</v>
      </c>
      <c r="R10" s="7">
        <v>45560</v>
      </c>
      <c r="S10" s="1" t="s">
        <v>7449</v>
      </c>
      <c r="T10" s="7">
        <v>45560</v>
      </c>
      <c r="U10" s="1" t="s">
        <v>7449</v>
      </c>
    </row>
    <row r="11" spans="1:21" x14ac:dyDescent="0.25">
      <c r="A11" s="1">
        <v>10</v>
      </c>
      <c r="B11" s="1" t="str">
        <f>_xlfn.CONCAT(N11,"-",VLOOKUP(N11,t_objeto!B:D,3,FALSE),"-",A11)</f>
        <v>PROD-PERCCO-10</v>
      </c>
      <c r="C11" s="12">
        <v>2033232</v>
      </c>
      <c r="D11" s="1" t="s">
        <v>7510</v>
      </c>
      <c r="E11" s="1">
        <v>1</v>
      </c>
      <c r="F11" s="1" t="str">
        <f>VLOOKUP(E11,t_tipoProducto!A:B,2,FALSE)</f>
        <v>METALICO</v>
      </c>
      <c r="G11" s="30" t="s">
        <v>7532</v>
      </c>
      <c r="H11" s="30" t="s">
        <v>7531</v>
      </c>
      <c r="I11" s="13" t="s">
        <v>7711</v>
      </c>
      <c r="J11" s="2" t="str">
        <f>VLOOKUP(I11,t_cliente!B:C,2,FALSE)</f>
        <v>IMBERA</v>
      </c>
      <c r="K11" s="2" t="s">
        <v>7487</v>
      </c>
      <c r="L11" s="2">
        <v>7</v>
      </c>
      <c r="M11" s="2" t="str">
        <f>VLOOKUP(L11,t_productStatus!A:B,2,FALSE)</f>
        <v>PRODUCCION</v>
      </c>
      <c r="N11" s="1" t="s">
        <v>7348</v>
      </c>
      <c r="O11" s="1" t="str">
        <f>VLOOKUP(N11,t_objeto!B:C,2,FALSE)</f>
        <v>PRODUCTO</v>
      </c>
      <c r="P11" s="1">
        <v>8</v>
      </c>
      <c r="Q11" s="1" t="str">
        <f>VLOOKUP(P11,t_entry_status!A:C,2,FALSE)</f>
        <v>PENDING</v>
      </c>
      <c r="R11" s="7">
        <v>45560</v>
      </c>
      <c r="S11" s="1" t="s">
        <v>7449</v>
      </c>
      <c r="T11" s="7">
        <v>45560</v>
      </c>
      <c r="U11" s="1" t="s">
        <v>7449</v>
      </c>
    </row>
    <row r="12" spans="1:21" x14ac:dyDescent="0.25">
      <c r="A12" s="1">
        <v>11</v>
      </c>
      <c r="B12" s="1" t="str">
        <f>_xlfn.CONCAT(N12,"-",VLOOKUP(N12,t_objeto!B:D,3,FALSE),"-",A12)</f>
        <v>PROD-PERCCO-11</v>
      </c>
      <c r="C12" s="12">
        <v>2033424</v>
      </c>
      <c r="D12" s="1" t="s">
        <v>7511</v>
      </c>
      <c r="E12" s="1">
        <v>1</v>
      </c>
      <c r="F12" s="1" t="str">
        <f>VLOOKUP(E12,t_tipoProducto!A:B,2,FALSE)</f>
        <v>METALICO</v>
      </c>
      <c r="G12" s="1">
        <v>2062473</v>
      </c>
      <c r="H12" s="30" t="s">
        <v>7530</v>
      </c>
      <c r="I12" s="13" t="s">
        <v>7711</v>
      </c>
      <c r="J12" s="2" t="str">
        <f>VLOOKUP(I12,t_cliente!B:C,2,FALSE)</f>
        <v>IMBERA</v>
      </c>
      <c r="K12" s="2" t="s">
        <v>7488</v>
      </c>
      <c r="L12" s="2">
        <v>7</v>
      </c>
      <c r="M12" s="2" t="str">
        <f>VLOOKUP(L12,t_productStatus!A:B,2,FALSE)</f>
        <v>PRODUCCION</v>
      </c>
      <c r="N12" s="1" t="s">
        <v>7348</v>
      </c>
      <c r="O12" s="1" t="str">
        <f>VLOOKUP(N12,t_objeto!B:C,2,FALSE)</f>
        <v>PRODUCTO</v>
      </c>
      <c r="P12" s="1">
        <v>8</v>
      </c>
      <c r="Q12" s="1" t="str">
        <f>VLOOKUP(P12,t_entry_status!A:C,2,FALSE)</f>
        <v>PENDING</v>
      </c>
      <c r="R12" s="7">
        <v>45560</v>
      </c>
      <c r="S12" s="1" t="s">
        <v>7449</v>
      </c>
      <c r="T12" s="7">
        <v>45560</v>
      </c>
      <c r="U12" s="1" t="s">
        <v>7449</v>
      </c>
    </row>
    <row r="13" spans="1:21" x14ac:dyDescent="0.25">
      <c r="A13" s="1">
        <v>12</v>
      </c>
      <c r="B13" s="1" t="str">
        <f>_xlfn.CONCAT(N13,"-",VLOOKUP(N13,t_objeto!B:D,3,FALSE),"-",A13)</f>
        <v>PROD-PERCCO-12</v>
      </c>
      <c r="C13" s="12">
        <v>3080804</v>
      </c>
      <c r="D13" s="1" t="s">
        <v>7514</v>
      </c>
      <c r="E13" s="1">
        <v>2</v>
      </c>
      <c r="F13" s="1" t="str">
        <f>VLOOKUP(E13,t_tipoProducto!A:B,2,FALSE)</f>
        <v>PARRILLAS</v>
      </c>
      <c r="I13" s="13" t="s">
        <v>7711</v>
      </c>
      <c r="J13" s="2" t="str">
        <f>VLOOKUP(I13,t_cliente!B:C,2,FALSE)</f>
        <v>IMBERA</v>
      </c>
      <c r="K13" s="2" t="s">
        <v>7489</v>
      </c>
      <c r="L13" s="2">
        <v>6</v>
      </c>
      <c r="M13" s="2" t="str">
        <f>VLOOKUP(L13,t_productStatus!A:B,2,FALSE)</f>
        <v>MUESTRA</v>
      </c>
      <c r="N13" s="1" t="s">
        <v>7348</v>
      </c>
      <c r="O13" s="1" t="str">
        <f>VLOOKUP(N13,t_objeto!B:C,2,FALSE)</f>
        <v>PRODUCTO</v>
      </c>
      <c r="P13" s="1">
        <v>8</v>
      </c>
      <c r="Q13" s="1" t="str">
        <f>VLOOKUP(P13,t_entry_status!A:C,2,FALSE)</f>
        <v>PENDING</v>
      </c>
      <c r="R13" s="7">
        <v>45560</v>
      </c>
      <c r="S13" s="1" t="s">
        <v>7449</v>
      </c>
      <c r="T13" s="7">
        <v>45560</v>
      </c>
      <c r="U13" s="1" t="s">
        <v>7449</v>
      </c>
    </row>
    <row r="14" spans="1:21" x14ac:dyDescent="0.25">
      <c r="A14" s="1">
        <v>13</v>
      </c>
      <c r="B14" s="1" t="str">
        <f>_xlfn.CONCAT(N14,"-",VLOOKUP(N14,t_objeto!B:D,3,FALSE),"-",A14)</f>
        <v>PROD-PERCCO-13</v>
      </c>
      <c r="C14" s="12">
        <v>3080810</v>
      </c>
      <c r="D14" s="1" t="s">
        <v>7515</v>
      </c>
      <c r="E14" s="1">
        <v>2</v>
      </c>
      <c r="F14" s="1" t="str">
        <f>VLOOKUP(E14,t_tipoProducto!A:B,2,FALSE)</f>
        <v>PARRILLAS</v>
      </c>
      <c r="I14" s="13" t="s">
        <v>7711</v>
      </c>
      <c r="J14" s="2" t="str">
        <f>VLOOKUP(I14,t_cliente!B:C,2,FALSE)</f>
        <v>IMBERA</v>
      </c>
      <c r="K14" s="2" t="s">
        <v>7490</v>
      </c>
      <c r="L14" s="2">
        <v>6</v>
      </c>
      <c r="M14" s="2" t="str">
        <f>VLOOKUP(L14,t_productStatus!A:B,2,FALSE)</f>
        <v>MUESTRA</v>
      </c>
      <c r="N14" s="1" t="s">
        <v>7348</v>
      </c>
      <c r="O14" s="1" t="str">
        <f>VLOOKUP(N14,t_objeto!B:C,2,FALSE)</f>
        <v>PRODUCTO</v>
      </c>
      <c r="P14" s="1">
        <v>8</v>
      </c>
      <c r="Q14" s="1" t="str">
        <f>VLOOKUP(P14,t_entry_status!A:C,2,FALSE)</f>
        <v>PENDING</v>
      </c>
      <c r="R14" s="7">
        <v>45560</v>
      </c>
      <c r="S14" s="1" t="s">
        <v>7449</v>
      </c>
      <c r="T14" s="7">
        <v>45560</v>
      </c>
      <c r="U14" s="1" t="s">
        <v>7449</v>
      </c>
    </row>
    <row r="15" spans="1:21" x14ac:dyDescent="0.25">
      <c r="A15" s="1">
        <v>14</v>
      </c>
      <c r="B15" s="1" t="str">
        <f>_xlfn.CONCAT(N15,"-",VLOOKUP(N15,t_objeto!B:D,3,FALSE),"-",A15)</f>
        <v>PROD-PERCCO-14</v>
      </c>
      <c r="C15" s="12">
        <v>3081041</v>
      </c>
      <c r="D15" s="1" t="s">
        <v>7516</v>
      </c>
      <c r="E15" s="1">
        <v>2</v>
      </c>
      <c r="F15" s="1" t="str">
        <f>VLOOKUP(E15,t_tipoProducto!A:B,2,FALSE)</f>
        <v>PARRILLAS</v>
      </c>
      <c r="I15" s="13" t="s">
        <v>7711</v>
      </c>
      <c r="J15" s="2" t="str">
        <f>VLOOKUP(I15,t_cliente!B:C,2,FALSE)</f>
        <v>IMBERA</v>
      </c>
      <c r="K15" s="2" t="s">
        <v>7491</v>
      </c>
      <c r="L15" s="2">
        <v>6</v>
      </c>
      <c r="M15" s="2" t="str">
        <f>VLOOKUP(L15,t_productStatus!A:B,2,FALSE)</f>
        <v>MUESTRA</v>
      </c>
      <c r="N15" s="1" t="s">
        <v>7348</v>
      </c>
      <c r="O15" s="1" t="str">
        <f>VLOOKUP(N15,t_objeto!B:C,2,FALSE)</f>
        <v>PRODUCTO</v>
      </c>
      <c r="P15" s="1">
        <v>8</v>
      </c>
      <c r="Q15" s="1" t="str">
        <f>VLOOKUP(P15,t_entry_status!A:C,2,FALSE)</f>
        <v>PENDING</v>
      </c>
      <c r="R15" s="7">
        <v>45560</v>
      </c>
      <c r="S15" s="1" t="s">
        <v>7449</v>
      </c>
      <c r="T15" s="7">
        <v>45560</v>
      </c>
      <c r="U15" s="1" t="s">
        <v>7449</v>
      </c>
    </row>
    <row r="16" spans="1:21" x14ac:dyDescent="0.25">
      <c r="A16" s="1">
        <v>15</v>
      </c>
      <c r="B16" s="1" t="str">
        <f>_xlfn.CONCAT(N16,"-",VLOOKUP(N16,t_objeto!B:D,3,FALSE),"-",A16)</f>
        <v>PROD-PERCCO-15</v>
      </c>
      <c r="C16" s="12">
        <v>3081043</v>
      </c>
      <c r="D16" s="1" t="s">
        <v>7517</v>
      </c>
      <c r="E16" s="1">
        <v>2</v>
      </c>
      <c r="F16" s="1" t="str">
        <f>VLOOKUP(E16,t_tipoProducto!A:B,2,FALSE)</f>
        <v>PARRILLAS</v>
      </c>
      <c r="I16" s="13" t="s">
        <v>7711</v>
      </c>
      <c r="J16" s="2" t="str">
        <f>VLOOKUP(I16,t_cliente!B:C,2,FALSE)</f>
        <v>IMBERA</v>
      </c>
      <c r="K16" s="2" t="s">
        <v>7492</v>
      </c>
      <c r="L16" s="2">
        <v>6</v>
      </c>
      <c r="M16" s="2" t="str">
        <f>VLOOKUP(L16,t_productStatus!A:B,2,FALSE)</f>
        <v>MUESTRA</v>
      </c>
      <c r="N16" s="1" t="s">
        <v>7348</v>
      </c>
      <c r="O16" s="1" t="str">
        <f>VLOOKUP(N16,t_objeto!B:C,2,FALSE)</f>
        <v>PRODUCTO</v>
      </c>
      <c r="P16" s="1">
        <v>8</v>
      </c>
      <c r="Q16" s="1" t="str">
        <f>VLOOKUP(P16,t_entry_status!A:C,2,FALSE)</f>
        <v>PENDING</v>
      </c>
      <c r="R16" s="7">
        <v>45560</v>
      </c>
      <c r="S16" s="1" t="s">
        <v>7449</v>
      </c>
      <c r="T16" s="7">
        <v>45560</v>
      </c>
      <c r="U16" s="1" t="s">
        <v>7449</v>
      </c>
    </row>
    <row r="17" spans="1:21" x14ac:dyDescent="0.25">
      <c r="A17" s="1">
        <v>16</v>
      </c>
      <c r="B17" s="1" t="str">
        <f>_xlfn.CONCAT(N17,"-",VLOOKUP(N17,t_objeto!B:D,3,FALSE),"-",A17)</f>
        <v>PROD-PERCCO-16</v>
      </c>
      <c r="C17" s="12">
        <v>3082328</v>
      </c>
      <c r="D17" s="1" t="s">
        <v>7518</v>
      </c>
      <c r="E17" s="1">
        <v>2</v>
      </c>
      <c r="F17" s="1" t="str">
        <f>VLOOKUP(E17,t_tipoProducto!A:B,2,FALSE)</f>
        <v>PARRILLAS</v>
      </c>
      <c r="I17" s="13" t="s">
        <v>7711</v>
      </c>
      <c r="J17" s="2" t="str">
        <f>VLOOKUP(I17,t_cliente!B:C,2,FALSE)</f>
        <v>IMBERA</v>
      </c>
      <c r="K17" s="2" t="s">
        <v>7493</v>
      </c>
      <c r="L17" s="2">
        <v>6</v>
      </c>
      <c r="M17" s="2" t="str">
        <f>VLOOKUP(L17,t_productStatus!A:B,2,FALSE)</f>
        <v>MUESTRA</v>
      </c>
      <c r="N17" s="1" t="s">
        <v>7348</v>
      </c>
      <c r="O17" s="1" t="str">
        <f>VLOOKUP(N17,t_objeto!B:C,2,FALSE)</f>
        <v>PRODUCTO</v>
      </c>
      <c r="P17" s="1">
        <v>8</v>
      </c>
      <c r="Q17" s="1" t="str">
        <f>VLOOKUP(P17,t_entry_status!A:C,2,FALSE)</f>
        <v>PENDING</v>
      </c>
      <c r="R17" s="7">
        <v>45560</v>
      </c>
      <c r="S17" s="1" t="s">
        <v>7449</v>
      </c>
      <c r="T17" s="7">
        <v>45560</v>
      </c>
      <c r="U17" s="1" t="s">
        <v>7449</v>
      </c>
    </row>
    <row r="18" spans="1:21" x14ac:dyDescent="0.25">
      <c r="A18" s="1">
        <v>17</v>
      </c>
      <c r="B18" s="1" t="str">
        <f>_xlfn.CONCAT(N18,"-",VLOOKUP(N18,t_objeto!B:D,3,FALSE),"-",A18)</f>
        <v>PROD-PERCCO-17</v>
      </c>
      <c r="C18" s="12">
        <v>3082296</v>
      </c>
      <c r="D18" s="1" t="s">
        <v>7519</v>
      </c>
      <c r="E18" s="1">
        <v>2</v>
      </c>
      <c r="F18" s="1" t="str">
        <f>VLOOKUP(E18,t_tipoProducto!A:B,2,FALSE)</f>
        <v>PARRILLAS</v>
      </c>
      <c r="I18" s="13" t="s">
        <v>7711</v>
      </c>
      <c r="J18" s="2" t="str">
        <f>VLOOKUP(I18,t_cliente!B:C,2,FALSE)</f>
        <v>IMBERA</v>
      </c>
      <c r="K18" s="2" t="s">
        <v>8264</v>
      </c>
      <c r="L18" s="2">
        <v>6</v>
      </c>
      <c r="M18" s="2" t="str">
        <f>VLOOKUP(L18,t_productStatus!A:B,2,FALSE)</f>
        <v>MUESTRA</v>
      </c>
      <c r="N18" s="1" t="s">
        <v>7348</v>
      </c>
      <c r="O18" s="1" t="str">
        <f>VLOOKUP(N18,t_objeto!B:C,2,FALSE)</f>
        <v>PRODUCTO</v>
      </c>
      <c r="P18" s="1">
        <v>8</v>
      </c>
      <c r="Q18" s="1" t="str">
        <f>VLOOKUP(P18,t_entry_status!A:C,2,FALSE)</f>
        <v>PENDING</v>
      </c>
      <c r="R18" s="7">
        <v>45560</v>
      </c>
      <c r="S18" s="1" t="s">
        <v>7449</v>
      </c>
      <c r="T18" s="7">
        <v>45560</v>
      </c>
      <c r="U18" s="1" t="s">
        <v>7449</v>
      </c>
    </row>
    <row r="19" spans="1:21" x14ac:dyDescent="0.25">
      <c r="A19" s="1">
        <v>18</v>
      </c>
      <c r="B19" s="1" t="str">
        <f>_xlfn.CONCAT(N19,"-",VLOOKUP(N19,t_objeto!B:D,3,FALSE),"-",A19)</f>
        <v>PROD-PERCCO-18</v>
      </c>
      <c r="C19" s="12" t="s">
        <v>7537</v>
      </c>
      <c r="D19" s="1" t="s">
        <v>7507</v>
      </c>
      <c r="E19" s="1">
        <v>1</v>
      </c>
      <c r="F19" s="1" t="str">
        <f>VLOOKUP(E19,t_tipoProducto!A:B,2,FALSE)</f>
        <v>METALICO</v>
      </c>
      <c r="G19" s="1" t="s">
        <v>7538</v>
      </c>
      <c r="H19" s="30" t="s">
        <v>7539</v>
      </c>
      <c r="I19" s="13" t="s">
        <v>7711</v>
      </c>
      <c r="J19" s="2" t="str">
        <f>VLOOKUP(I19,t_cliente!B:C,2,FALSE)</f>
        <v>IMBERA</v>
      </c>
      <c r="K19" s="2" t="s">
        <v>8265</v>
      </c>
      <c r="L19" s="2">
        <v>7</v>
      </c>
      <c r="M19" s="2" t="str">
        <f>VLOOKUP(L19,t_productStatus!A:B,2,FALSE)</f>
        <v>PRODUCCION</v>
      </c>
      <c r="N19" s="1" t="s">
        <v>7348</v>
      </c>
      <c r="O19" s="1" t="str">
        <f>VLOOKUP(N19,t_objeto!B:C,2,FALSE)</f>
        <v>PRODUCTO</v>
      </c>
      <c r="P19" s="1">
        <v>8</v>
      </c>
      <c r="Q19" s="1" t="str">
        <f>VLOOKUP(P19,t_entry_status!A:C,2,FALSE)</f>
        <v>PENDING</v>
      </c>
      <c r="R19" s="7">
        <v>45560</v>
      </c>
      <c r="S19" s="1" t="s">
        <v>7449</v>
      </c>
      <c r="T19" s="7">
        <v>45560</v>
      </c>
      <c r="U19" s="1" t="s">
        <v>7449</v>
      </c>
    </row>
    <row r="20" spans="1:21" x14ac:dyDescent="0.25">
      <c r="A20" s="1">
        <v>19</v>
      </c>
      <c r="B20" s="1" t="str">
        <f>_xlfn.CONCAT(N20,"-",VLOOKUP(N20,t_objeto!B:D,3,FALSE),"-",A20)</f>
        <v>PROD-PERCCO-19</v>
      </c>
      <c r="C20" s="12" t="s">
        <v>7540</v>
      </c>
      <c r="D20" s="1" t="s">
        <v>7541</v>
      </c>
      <c r="E20" s="1">
        <v>1</v>
      </c>
      <c r="F20" s="1" t="str">
        <f>VLOOKUP(E20,t_tipoProducto!A:B,2,FALSE)</f>
        <v>METALICO</v>
      </c>
      <c r="G20" s="1">
        <v>2072802</v>
      </c>
      <c r="H20" s="30" t="s">
        <v>7531</v>
      </c>
      <c r="I20" s="13" t="s">
        <v>7711</v>
      </c>
      <c r="J20" s="2" t="str">
        <f>VLOOKUP(I20,t_cliente!B:C,2,FALSE)</f>
        <v>IMBERA</v>
      </c>
      <c r="K20" s="2" t="s">
        <v>8266</v>
      </c>
      <c r="L20" s="2">
        <v>7</v>
      </c>
      <c r="M20" s="2" t="str">
        <f>VLOOKUP(L20,t_productStatus!A:B,2,FALSE)</f>
        <v>PRODUCCION</v>
      </c>
      <c r="N20" s="1" t="s">
        <v>7348</v>
      </c>
      <c r="O20" s="1" t="str">
        <f>VLOOKUP(N20,t_objeto!B:C,2,FALSE)</f>
        <v>PRODUCTO</v>
      </c>
      <c r="P20" s="1">
        <v>8</v>
      </c>
      <c r="Q20" s="1" t="str">
        <f>VLOOKUP(P20,t_entry_status!A:C,2,FALSE)</f>
        <v>PENDING</v>
      </c>
      <c r="R20" s="7">
        <v>45560</v>
      </c>
      <c r="S20" s="1" t="s">
        <v>7449</v>
      </c>
      <c r="T20" s="7">
        <v>45560</v>
      </c>
      <c r="U20" s="1" t="s">
        <v>7449</v>
      </c>
    </row>
    <row r="21" spans="1:21" x14ac:dyDescent="0.25">
      <c r="A21" s="1">
        <v>20</v>
      </c>
      <c r="B21" s="1" t="str">
        <f>_xlfn.CONCAT(N21,"-",VLOOKUP(N21,t_objeto!B:D,3,FALSE),"-",A21)</f>
        <v>PROD-PERCCO-20</v>
      </c>
      <c r="C21" s="12" t="s">
        <v>7578</v>
      </c>
      <c r="D21" s="1" t="s">
        <v>7579</v>
      </c>
      <c r="E21" s="1">
        <v>1</v>
      </c>
      <c r="F21" s="1" t="str">
        <f>VLOOKUP(E21,t_tipoProducto!A:B,2,FALSE)</f>
        <v>METALICO</v>
      </c>
      <c r="G21" s="1" t="s">
        <v>7685</v>
      </c>
      <c r="H21" s="1" t="s">
        <v>7539</v>
      </c>
      <c r="I21" s="13" t="s">
        <v>7711</v>
      </c>
      <c r="J21" s="2" t="str">
        <f>VLOOKUP(I21,t_cliente!B:C,2,FALSE)</f>
        <v>IMBERA</v>
      </c>
      <c r="K21" s="2" t="s">
        <v>8267</v>
      </c>
      <c r="L21" s="2">
        <v>7</v>
      </c>
      <c r="M21" s="2" t="str">
        <f>VLOOKUP(L21,t_productStatus!A:B,2,FALSE)</f>
        <v>PRODUCCION</v>
      </c>
      <c r="N21" s="1" t="s">
        <v>7348</v>
      </c>
      <c r="O21" s="1" t="str">
        <f>VLOOKUP(N21,t_objeto!B:C,2,FALSE)</f>
        <v>PRODUCTO</v>
      </c>
      <c r="P21" s="1">
        <v>8</v>
      </c>
      <c r="Q21" s="1" t="str">
        <f>VLOOKUP(P21,t_entry_status!A:C,2,FALSE)</f>
        <v>PENDING</v>
      </c>
      <c r="R21" s="7">
        <v>45560</v>
      </c>
      <c r="S21" s="1" t="s">
        <v>7449</v>
      </c>
      <c r="T21" s="7">
        <v>45560</v>
      </c>
      <c r="U21" s="1" t="s">
        <v>7449</v>
      </c>
    </row>
    <row r="22" spans="1:21" x14ac:dyDescent="0.25">
      <c r="A22" s="1">
        <v>21</v>
      </c>
      <c r="B22" s="1" t="str">
        <f>_xlfn.CONCAT(N22,"-",VLOOKUP(N22,t_objeto!B:D,3,FALSE),"-",A22)</f>
        <v>PROD-PERCCO-21</v>
      </c>
      <c r="C22" s="12" t="s">
        <v>7678</v>
      </c>
      <c r="D22" s="1" t="s">
        <v>7509</v>
      </c>
      <c r="F22" s="1" t="e">
        <f>VLOOKUP(E22,t_tipoProducto!A:B,2,FALSE)</f>
        <v>#N/A</v>
      </c>
      <c r="G22" s="1" t="s">
        <v>7703</v>
      </c>
      <c r="H22" s="1" t="s">
        <v>7536</v>
      </c>
      <c r="I22" s="13" t="s">
        <v>7711</v>
      </c>
      <c r="J22" s="2" t="str">
        <f>VLOOKUP(I22,t_cliente!B:C,2,FALSE)</f>
        <v>IMBERA</v>
      </c>
      <c r="K22" s="2" t="s">
        <v>8268</v>
      </c>
      <c r="L22" s="2">
        <v>7</v>
      </c>
      <c r="M22" s="2" t="str">
        <f>VLOOKUP(L22,t_productStatus!A:B,2,FALSE)</f>
        <v>PRODUCCION</v>
      </c>
      <c r="N22" s="1" t="s">
        <v>7348</v>
      </c>
      <c r="O22" s="1" t="str">
        <f>VLOOKUP(N22,t_objeto!B:C,2,FALSE)</f>
        <v>PRODUCTO</v>
      </c>
      <c r="P22" s="1">
        <v>8</v>
      </c>
      <c r="Q22" s="1" t="str">
        <f>VLOOKUP(P22,t_entry_status!A:C,2,FALSE)</f>
        <v>PENDING</v>
      </c>
      <c r="R22" s="7">
        <v>45560</v>
      </c>
      <c r="S22" s="1" t="s">
        <v>7449</v>
      </c>
      <c r="T22" s="7">
        <v>45560</v>
      </c>
      <c r="U22" s="1" t="s">
        <v>7449</v>
      </c>
    </row>
    <row r="23" spans="1:21" x14ac:dyDescent="0.25">
      <c r="A23" s="1">
        <v>22</v>
      </c>
      <c r="B23" s="1" t="str">
        <f>_xlfn.CONCAT(N23,"-",VLOOKUP(N23,t_objeto!B:D,3,FALSE),"-",A23)</f>
        <v>PROD-PERCCO-22</v>
      </c>
      <c r="C23" s="12" t="s">
        <v>7565</v>
      </c>
      <c r="D23" s="1" t="s">
        <v>7566</v>
      </c>
      <c r="E23" s="1">
        <v>1</v>
      </c>
      <c r="F23" s="1" t="str">
        <f>VLOOKUP(E23,t_tipoProducto!A:B,2,FALSE)</f>
        <v>METALICO</v>
      </c>
      <c r="G23" s="1" t="s">
        <v>7532</v>
      </c>
      <c r="H23" s="1" t="s">
        <v>7536</v>
      </c>
      <c r="I23" s="13" t="s">
        <v>7711</v>
      </c>
      <c r="J23" s="2" t="str">
        <f>VLOOKUP(I23,t_cliente!B:C,2,FALSE)</f>
        <v>IMBERA</v>
      </c>
      <c r="K23" s="2" t="s">
        <v>8269</v>
      </c>
      <c r="L23" s="2">
        <v>7</v>
      </c>
      <c r="M23" s="2" t="str">
        <f>VLOOKUP(L23,t_productStatus!A:B,2,FALSE)</f>
        <v>PRODUCCION</v>
      </c>
      <c r="N23" s="1" t="s">
        <v>7348</v>
      </c>
      <c r="O23" s="1" t="str">
        <f>VLOOKUP(N23,t_objeto!B:C,2,FALSE)</f>
        <v>PRODUCTO</v>
      </c>
      <c r="P23" s="1">
        <v>8</v>
      </c>
      <c r="Q23" s="1" t="str">
        <f>VLOOKUP(P23,t_entry_status!A:C,2,FALSE)</f>
        <v>PENDING</v>
      </c>
      <c r="R23" s="7">
        <v>45560</v>
      </c>
      <c r="S23" s="1" t="s">
        <v>7449</v>
      </c>
      <c r="T23" s="7">
        <v>45560</v>
      </c>
      <c r="U23" s="1" t="s">
        <v>7449</v>
      </c>
    </row>
    <row r="24" spans="1:21" x14ac:dyDescent="0.25">
      <c r="A24" s="1">
        <v>23</v>
      </c>
      <c r="B24" s="1" t="str">
        <f>_xlfn.CONCAT(N24,"-",VLOOKUP(N24,t_objeto!B:D,3,FALSE),"-",A24)</f>
        <v>PROD-PERCCO-23</v>
      </c>
      <c r="C24" s="12" t="s">
        <v>7564</v>
      </c>
      <c r="D24" s="1" t="s">
        <v>7311</v>
      </c>
      <c r="E24" s="1">
        <v>1</v>
      </c>
      <c r="F24" s="1" t="str">
        <f>VLOOKUP(E24,t_tipoProducto!A:B,2,FALSE)</f>
        <v>METALICO</v>
      </c>
      <c r="G24" s="1" t="s">
        <v>7683</v>
      </c>
      <c r="H24" s="1" t="s">
        <v>7536</v>
      </c>
      <c r="I24" s="13" t="s">
        <v>7711</v>
      </c>
      <c r="J24" s="2" t="str">
        <f>VLOOKUP(I24,t_cliente!B:C,2,FALSE)</f>
        <v>IMBERA</v>
      </c>
      <c r="K24" s="2" t="s">
        <v>8270</v>
      </c>
      <c r="L24" s="2">
        <v>7</v>
      </c>
      <c r="M24" s="2" t="str">
        <f>VLOOKUP(L24,t_productStatus!A:B,2,FALSE)</f>
        <v>PRODUCCION</v>
      </c>
      <c r="N24" s="1" t="s">
        <v>7348</v>
      </c>
      <c r="O24" s="1" t="str">
        <f>VLOOKUP(N24,t_objeto!B:C,2,FALSE)</f>
        <v>PRODUCTO</v>
      </c>
      <c r="P24" s="1">
        <v>8</v>
      </c>
      <c r="Q24" s="1" t="str">
        <f>VLOOKUP(P24,t_entry_status!A:C,2,FALSE)</f>
        <v>PENDING</v>
      </c>
      <c r="R24" s="7">
        <v>45560</v>
      </c>
      <c r="S24" s="1" t="s">
        <v>7449</v>
      </c>
      <c r="T24" s="7">
        <v>45560</v>
      </c>
      <c r="U24" s="1" t="s">
        <v>7449</v>
      </c>
    </row>
    <row r="25" spans="1:21" x14ac:dyDescent="0.25">
      <c r="A25" s="1">
        <v>24</v>
      </c>
      <c r="B25" s="1" t="str">
        <f>_xlfn.CONCAT(N25,"-",VLOOKUP(N25,t_objeto!B:D,3,FALSE),"-",A25)</f>
        <v>PROD-PERCCO-24</v>
      </c>
      <c r="C25" s="12" t="s">
        <v>7574</v>
      </c>
      <c r="D25" s="1" t="s">
        <v>7575</v>
      </c>
      <c r="E25" s="1">
        <v>1</v>
      </c>
      <c r="F25" s="1" t="str">
        <f>VLOOKUP(E25,t_tipoProducto!A:B,2,FALSE)</f>
        <v>METALICO</v>
      </c>
      <c r="G25" s="1" t="s">
        <v>7684</v>
      </c>
      <c r="H25" s="1" t="s">
        <v>7539</v>
      </c>
      <c r="I25" s="13" t="s">
        <v>7711</v>
      </c>
      <c r="J25" s="2" t="str">
        <f>VLOOKUP(I25,t_cliente!B:C,2,FALSE)</f>
        <v>IMBERA</v>
      </c>
      <c r="K25" s="2" t="s">
        <v>8271</v>
      </c>
      <c r="L25" s="2">
        <v>7</v>
      </c>
      <c r="M25" s="2" t="str">
        <f>VLOOKUP(L25,t_productStatus!A:B,2,FALSE)</f>
        <v>PRODUCCION</v>
      </c>
      <c r="N25" s="1" t="s">
        <v>7348</v>
      </c>
      <c r="O25" s="1" t="str">
        <f>VLOOKUP(N25,t_objeto!B:C,2,FALSE)</f>
        <v>PRODUCTO</v>
      </c>
      <c r="P25" s="1">
        <v>8</v>
      </c>
      <c r="Q25" s="1" t="str">
        <f>VLOOKUP(P25,t_entry_status!A:C,2,FALSE)</f>
        <v>PENDING</v>
      </c>
      <c r="R25" s="7">
        <v>45560</v>
      </c>
      <c r="S25" s="1" t="s">
        <v>7449</v>
      </c>
      <c r="T25" s="7">
        <v>45560</v>
      </c>
      <c r="U25" s="1" t="s">
        <v>7449</v>
      </c>
    </row>
    <row r="26" spans="1:21" x14ac:dyDescent="0.25">
      <c r="A26" s="1">
        <v>25</v>
      </c>
      <c r="B26" s="1" t="str">
        <f>_xlfn.CONCAT(N26,"-",VLOOKUP(N26,t_objeto!B:D,3,FALSE),"-",A26)</f>
        <v>PROD-PERCCO-25</v>
      </c>
      <c r="C26" s="12" t="s">
        <v>7563</v>
      </c>
      <c r="D26" s="1" t="s">
        <v>7312</v>
      </c>
      <c r="E26" s="1">
        <v>1</v>
      </c>
      <c r="F26" s="1" t="str">
        <f>VLOOKUP(E26,t_tipoProducto!A:B,2,FALSE)</f>
        <v>METALICO</v>
      </c>
      <c r="G26" s="1" t="s">
        <v>7683</v>
      </c>
      <c r="H26" s="1" t="s">
        <v>7536</v>
      </c>
      <c r="I26" s="13" t="s">
        <v>7711</v>
      </c>
      <c r="J26" s="2" t="str">
        <f>VLOOKUP(I26,t_cliente!B:C,2,FALSE)</f>
        <v>IMBERA</v>
      </c>
      <c r="K26" s="2" t="s">
        <v>8272</v>
      </c>
      <c r="L26" s="2">
        <v>7</v>
      </c>
      <c r="M26" s="2" t="str">
        <f>VLOOKUP(L26,t_productStatus!A:B,2,FALSE)</f>
        <v>PRODUCCION</v>
      </c>
      <c r="N26" s="1" t="s">
        <v>7348</v>
      </c>
      <c r="O26" s="1" t="str">
        <f>VLOOKUP(N26,t_objeto!B:C,2,FALSE)</f>
        <v>PRODUCTO</v>
      </c>
      <c r="P26" s="1">
        <v>8</v>
      </c>
      <c r="Q26" s="1" t="str">
        <f>VLOOKUP(P26,t_entry_status!A:C,2,FALSE)</f>
        <v>PENDING</v>
      </c>
      <c r="R26" s="7">
        <v>45560</v>
      </c>
      <c r="S26" s="1" t="s">
        <v>7449</v>
      </c>
      <c r="T26" s="7">
        <v>45560</v>
      </c>
      <c r="U26" s="1" t="s">
        <v>7449</v>
      </c>
    </row>
    <row r="27" spans="1:21" x14ac:dyDescent="0.25">
      <c r="A27" s="1">
        <v>26</v>
      </c>
      <c r="B27" s="1" t="str">
        <f>_xlfn.CONCAT(N27,"-",VLOOKUP(N27,t_objeto!B:D,3,FALSE),"-",A27)</f>
        <v>PROD-PERCCO-26</v>
      </c>
      <c r="C27" s="12" t="s">
        <v>7665</v>
      </c>
      <c r="D27" s="1" t="s">
        <v>7318</v>
      </c>
      <c r="E27" s="1">
        <v>1</v>
      </c>
      <c r="F27" s="1" t="str">
        <f>VLOOKUP(E27,t_tipoProducto!A:B,2,FALSE)</f>
        <v>METALICO</v>
      </c>
      <c r="G27" s="1" t="s">
        <v>7700</v>
      </c>
      <c r="H27" s="1" t="s">
        <v>7681</v>
      </c>
      <c r="I27" s="13" t="s">
        <v>7711</v>
      </c>
      <c r="J27" s="2" t="str">
        <f>VLOOKUP(I27,t_cliente!B:C,2,FALSE)</f>
        <v>IMBERA</v>
      </c>
      <c r="K27" s="2" t="s">
        <v>8273</v>
      </c>
      <c r="L27" s="2">
        <v>7</v>
      </c>
      <c r="M27" s="2" t="str">
        <f>VLOOKUP(L27,t_productStatus!A:B,2,FALSE)</f>
        <v>PRODUCCION</v>
      </c>
      <c r="N27" s="1" t="s">
        <v>7348</v>
      </c>
      <c r="O27" s="1" t="str">
        <f>VLOOKUP(N27,t_objeto!B:C,2,FALSE)</f>
        <v>PRODUCTO</v>
      </c>
      <c r="P27" s="1">
        <v>8</v>
      </c>
      <c r="Q27" s="1" t="str">
        <f>VLOOKUP(P27,t_entry_status!A:C,2,FALSE)</f>
        <v>PENDING</v>
      </c>
      <c r="R27" s="7">
        <v>45560</v>
      </c>
      <c r="S27" s="1" t="s">
        <v>7449</v>
      </c>
      <c r="T27" s="7">
        <v>45560</v>
      </c>
      <c r="U27" s="1" t="s">
        <v>7449</v>
      </c>
    </row>
    <row r="28" spans="1:21" x14ac:dyDescent="0.25">
      <c r="A28" s="1">
        <v>27</v>
      </c>
      <c r="B28" s="1" t="str">
        <f>_xlfn.CONCAT(N28,"-",VLOOKUP(N28,t_objeto!B:D,3,FALSE),"-",A28)</f>
        <v>PROD-PERCCO-27</v>
      </c>
      <c r="C28" s="12" t="s">
        <v>7567</v>
      </c>
      <c r="D28" s="1" t="s">
        <v>7510</v>
      </c>
      <c r="E28" s="1">
        <v>1</v>
      </c>
      <c r="F28" s="1" t="str">
        <f>VLOOKUP(E28,t_tipoProducto!A:B,2,FALSE)</f>
        <v>METALICO</v>
      </c>
      <c r="G28" s="1" t="s">
        <v>7532</v>
      </c>
      <c r="H28" s="1" t="s">
        <v>7539</v>
      </c>
      <c r="I28" s="13" t="s">
        <v>7711</v>
      </c>
      <c r="J28" s="2" t="str">
        <f>VLOOKUP(I28,t_cliente!B:C,2,FALSE)</f>
        <v>IMBERA</v>
      </c>
      <c r="K28" s="2" t="s">
        <v>8274</v>
      </c>
      <c r="L28" s="2">
        <v>7</v>
      </c>
      <c r="M28" s="2" t="str">
        <f>VLOOKUP(L28,t_productStatus!A:B,2,FALSE)</f>
        <v>PRODUCCION</v>
      </c>
      <c r="N28" s="1" t="s">
        <v>7348</v>
      </c>
      <c r="O28" s="1" t="str">
        <f>VLOOKUP(N28,t_objeto!B:C,2,FALSE)</f>
        <v>PRODUCTO</v>
      </c>
      <c r="P28" s="1">
        <v>8</v>
      </c>
      <c r="Q28" s="1" t="str">
        <f>VLOOKUP(P28,t_entry_status!A:C,2,FALSE)</f>
        <v>PENDING</v>
      </c>
      <c r="R28" s="7">
        <v>45560</v>
      </c>
      <c r="S28" s="1" t="s">
        <v>7449</v>
      </c>
      <c r="T28" s="7">
        <v>45560</v>
      </c>
      <c r="U28" s="1" t="s">
        <v>7449</v>
      </c>
    </row>
    <row r="29" spans="1:21" x14ac:dyDescent="0.25">
      <c r="A29" s="1">
        <v>28</v>
      </c>
      <c r="B29" s="1" t="str">
        <f>_xlfn.CONCAT(N29,"-",VLOOKUP(N29,t_objeto!B:D,3,FALSE),"-",A29)</f>
        <v>PROD-PERCCO-28</v>
      </c>
      <c r="C29" s="12" t="s">
        <v>7560</v>
      </c>
      <c r="D29" s="1" t="s">
        <v>7511</v>
      </c>
      <c r="E29" s="1">
        <v>1</v>
      </c>
      <c r="F29" s="1" t="str">
        <f>VLOOKUP(E29,t_tipoProducto!A:B,2,FALSE)</f>
        <v>METALICO</v>
      </c>
      <c r="G29" s="1" t="s">
        <v>7682</v>
      </c>
      <c r="H29" s="1" t="s">
        <v>7533</v>
      </c>
      <c r="I29" s="13" t="s">
        <v>7711</v>
      </c>
      <c r="J29" s="2" t="str">
        <f>VLOOKUP(I29,t_cliente!B:C,2,FALSE)</f>
        <v>IMBERA</v>
      </c>
      <c r="K29" s="2" t="s">
        <v>8275</v>
      </c>
      <c r="L29" s="2">
        <v>7</v>
      </c>
      <c r="M29" s="2" t="str">
        <f>VLOOKUP(L29,t_productStatus!A:B,2,FALSE)</f>
        <v>PRODUCCION</v>
      </c>
      <c r="N29" s="1" t="s">
        <v>7348</v>
      </c>
      <c r="O29" s="1" t="str">
        <f>VLOOKUP(N29,t_objeto!B:C,2,FALSE)</f>
        <v>PRODUCTO</v>
      </c>
      <c r="P29" s="1">
        <v>8</v>
      </c>
      <c r="Q29" s="1" t="str">
        <f>VLOOKUP(P29,t_entry_status!A:C,2,FALSE)</f>
        <v>PENDING</v>
      </c>
      <c r="R29" s="7">
        <v>45560</v>
      </c>
      <c r="S29" s="1" t="s">
        <v>7449</v>
      </c>
      <c r="T29" s="7">
        <v>45560</v>
      </c>
      <c r="U29" s="1" t="s">
        <v>7449</v>
      </c>
    </row>
    <row r="30" spans="1:21" x14ac:dyDescent="0.25">
      <c r="A30" s="1">
        <v>29</v>
      </c>
      <c r="B30" s="1" t="str">
        <f>_xlfn.CONCAT(N30,"-",VLOOKUP(N30,t_objeto!B:D,3,FALSE),"-",A30)</f>
        <v>PROD-PERCCO-29</v>
      </c>
      <c r="C30" s="12" t="s">
        <v>7670</v>
      </c>
      <c r="D30" s="1" t="s">
        <v>7671</v>
      </c>
      <c r="F30" s="1" t="e">
        <f>VLOOKUP(E30,t_tipoProducto!A:B,2,FALSE)</f>
        <v>#N/A</v>
      </c>
      <c r="G30" s="1" t="s">
        <v>7701</v>
      </c>
      <c r="H30" s="1" t="s">
        <v>7533</v>
      </c>
      <c r="I30" s="13" t="s">
        <v>7711</v>
      </c>
      <c r="J30" s="2" t="str">
        <f>VLOOKUP(I30,t_cliente!B:C,2,FALSE)</f>
        <v>IMBERA</v>
      </c>
      <c r="K30" s="2" t="s">
        <v>8276</v>
      </c>
      <c r="L30" s="2">
        <v>7</v>
      </c>
      <c r="M30" s="2" t="str">
        <f>VLOOKUP(L30,t_productStatus!A:B,2,FALSE)</f>
        <v>PRODUCCION</v>
      </c>
      <c r="N30" s="1" t="s">
        <v>7348</v>
      </c>
      <c r="O30" s="1" t="str">
        <f>VLOOKUP(N30,t_objeto!B:C,2,FALSE)</f>
        <v>PRODUCTO</v>
      </c>
      <c r="P30" s="1">
        <v>8</v>
      </c>
      <c r="Q30" s="1" t="str">
        <f>VLOOKUP(P30,t_entry_status!A:C,2,FALSE)</f>
        <v>PENDING</v>
      </c>
      <c r="R30" s="7">
        <v>45560</v>
      </c>
      <c r="S30" s="1" t="s">
        <v>7449</v>
      </c>
      <c r="T30" s="7">
        <v>45560</v>
      </c>
      <c r="U30" s="1" t="s">
        <v>7449</v>
      </c>
    </row>
    <row r="31" spans="1:21" x14ac:dyDescent="0.25">
      <c r="A31" s="1">
        <v>30</v>
      </c>
      <c r="B31" s="1" t="str">
        <f>_xlfn.CONCAT(N31,"-",VLOOKUP(N31,t_objeto!B:D,3,FALSE),"-",A31)</f>
        <v>PROD-PERCCO-30</v>
      </c>
      <c r="C31" s="12" t="s">
        <v>7631</v>
      </c>
      <c r="D31" s="1" t="s">
        <v>7632</v>
      </c>
      <c r="E31" s="1">
        <v>2</v>
      </c>
      <c r="F31" s="1" t="str">
        <f>VLOOKUP(E31,t_tipoProducto!A:B,2,FALSE)</f>
        <v>PARRILLAS</v>
      </c>
      <c r="G31" s="1" t="s">
        <v>7631</v>
      </c>
      <c r="H31" s="1" t="s">
        <v>7681</v>
      </c>
      <c r="I31" s="13" t="s">
        <v>7711</v>
      </c>
      <c r="J31" s="2" t="str">
        <f>VLOOKUP(I31,t_cliente!B:C,2,FALSE)</f>
        <v>IMBERA</v>
      </c>
      <c r="K31" s="2" t="s">
        <v>8277</v>
      </c>
      <c r="L31" s="2">
        <v>7</v>
      </c>
      <c r="M31" s="2" t="str">
        <f>VLOOKUP(L31,t_productStatus!A:B,2,FALSE)</f>
        <v>PRODUCCION</v>
      </c>
      <c r="N31" s="1" t="s">
        <v>7348</v>
      </c>
      <c r="O31" s="1" t="str">
        <f>VLOOKUP(N31,t_objeto!B:C,2,FALSE)</f>
        <v>PRODUCTO</v>
      </c>
      <c r="P31" s="1">
        <v>8</v>
      </c>
      <c r="Q31" s="1" t="str">
        <f>VLOOKUP(P31,t_entry_status!A:C,2,FALSE)</f>
        <v>PENDING</v>
      </c>
      <c r="R31" s="7">
        <v>45560</v>
      </c>
      <c r="S31" s="1" t="s">
        <v>7449</v>
      </c>
      <c r="T31" s="7">
        <v>45560</v>
      </c>
      <c r="U31" s="1" t="s">
        <v>7449</v>
      </c>
    </row>
    <row r="32" spans="1:21" x14ac:dyDescent="0.25">
      <c r="A32" s="1">
        <v>31</v>
      </c>
      <c r="B32" s="1" t="str">
        <f>_xlfn.CONCAT(N32,"-",VLOOKUP(N32,t_objeto!B:D,3,FALSE),"-",A32)</f>
        <v>PROD-PERCCO-31</v>
      </c>
      <c r="C32" s="12" t="s">
        <v>7623</v>
      </c>
      <c r="D32" s="1" t="s">
        <v>7624</v>
      </c>
      <c r="E32" s="1">
        <v>2</v>
      </c>
      <c r="F32" s="1" t="str">
        <f>VLOOKUP(E32,t_tipoProducto!A:B,2,FALSE)</f>
        <v>PARRILLAS</v>
      </c>
      <c r="G32" s="1" t="s">
        <v>7623</v>
      </c>
      <c r="H32" s="1" t="s">
        <v>7681</v>
      </c>
      <c r="I32" s="13" t="s">
        <v>7711</v>
      </c>
      <c r="J32" s="2" t="str">
        <f>VLOOKUP(I32,t_cliente!B:C,2,FALSE)</f>
        <v>IMBERA</v>
      </c>
      <c r="K32" s="2" t="s">
        <v>8278</v>
      </c>
      <c r="L32" s="2">
        <v>7</v>
      </c>
      <c r="M32" s="2" t="str">
        <f>VLOOKUP(L32,t_productStatus!A:B,2,FALSE)</f>
        <v>PRODUCCION</v>
      </c>
      <c r="N32" s="1" t="s">
        <v>7348</v>
      </c>
      <c r="O32" s="1" t="str">
        <f>VLOOKUP(N32,t_objeto!B:C,2,FALSE)</f>
        <v>PRODUCTO</v>
      </c>
      <c r="P32" s="1">
        <v>8</v>
      </c>
      <c r="Q32" s="1" t="str">
        <f>VLOOKUP(P32,t_entry_status!A:C,2,FALSE)</f>
        <v>PENDING</v>
      </c>
      <c r="R32" s="7">
        <v>45560</v>
      </c>
      <c r="S32" s="1" t="s">
        <v>7449</v>
      </c>
      <c r="T32" s="7">
        <v>45560</v>
      </c>
      <c r="U32" s="1" t="s">
        <v>7449</v>
      </c>
    </row>
    <row r="33" spans="1:21" x14ac:dyDescent="0.25">
      <c r="A33" s="1">
        <v>32</v>
      </c>
      <c r="B33" s="1" t="str">
        <f>_xlfn.CONCAT(N33,"-",VLOOKUP(N33,t_objeto!B:D,3,FALSE),"-",A33)</f>
        <v>PROD-PERCCO-32</v>
      </c>
      <c r="C33" s="12" t="s">
        <v>7621</v>
      </c>
      <c r="D33" s="1" t="s">
        <v>7622</v>
      </c>
      <c r="E33" s="1">
        <v>2</v>
      </c>
      <c r="F33" s="1" t="str">
        <f>VLOOKUP(E33,t_tipoProducto!A:B,2,FALSE)</f>
        <v>PARRILLAS</v>
      </c>
      <c r="G33" s="1" t="s">
        <v>7621</v>
      </c>
      <c r="H33" s="1" t="s">
        <v>7681</v>
      </c>
      <c r="I33" s="13" t="s">
        <v>7711</v>
      </c>
      <c r="J33" s="2" t="str">
        <f>VLOOKUP(I33,t_cliente!B:C,2,FALSE)</f>
        <v>IMBERA</v>
      </c>
      <c r="K33" s="2" t="s">
        <v>8279</v>
      </c>
      <c r="L33" s="2">
        <v>7</v>
      </c>
      <c r="M33" s="2" t="str">
        <f>VLOOKUP(L33,t_productStatus!A:B,2,FALSE)</f>
        <v>PRODUCCION</v>
      </c>
      <c r="N33" s="1" t="s">
        <v>7348</v>
      </c>
      <c r="O33" s="1" t="str">
        <f>VLOOKUP(N33,t_objeto!B:C,2,FALSE)</f>
        <v>PRODUCTO</v>
      </c>
      <c r="P33" s="1">
        <v>8</v>
      </c>
      <c r="Q33" s="1" t="str">
        <f>VLOOKUP(P33,t_entry_status!A:C,2,FALSE)</f>
        <v>PENDING</v>
      </c>
      <c r="R33" s="7">
        <v>45560</v>
      </c>
      <c r="S33" s="1" t="s">
        <v>7449</v>
      </c>
      <c r="T33" s="7">
        <v>45560</v>
      </c>
      <c r="U33" s="1" t="s">
        <v>7449</v>
      </c>
    </row>
    <row r="34" spans="1:21" x14ac:dyDescent="0.25">
      <c r="A34" s="1">
        <v>33</v>
      </c>
      <c r="B34" s="1" t="str">
        <f>_xlfn.CONCAT(N34,"-",VLOOKUP(N34,t_objeto!B:D,3,FALSE),"-",A34)</f>
        <v>PROD-PERCCO-33</v>
      </c>
      <c r="C34" s="12" t="s">
        <v>7604</v>
      </c>
      <c r="D34" s="1" t="s">
        <v>7605</v>
      </c>
      <c r="E34" s="1">
        <v>2</v>
      </c>
      <c r="F34" s="1" t="str">
        <f>VLOOKUP(E34,t_tipoProducto!A:B,2,FALSE)</f>
        <v>PARRILLAS</v>
      </c>
      <c r="G34" s="1" t="s">
        <v>7604</v>
      </c>
      <c r="H34" s="1" t="s">
        <v>7533</v>
      </c>
      <c r="I34" s="13" t="s">
        <v>7711</v>
      </c>
      <c r="J34" s="2" t="str">
        <f>VLOOKUP(I34,t_cliente!B:C,2,FALSE)</f>
        <v>IMBERA</v>
      </c>
      <c r="K34" s="2" t="s">
        <v>8280</v>
      </c>
      <c r="L34" s="2">
        <v>7</v>
      </c>
      <c r="M34" s="2" t="str">
        <f>VLOOKUP(L34,t_productStatus!A:B,2,FALSE)</f>
        <v>PRODUCCION</v>
      </c>
      <c r="N34" s="1" t="s">
        <v>7348</v>
      </c>
      <c r="O34" s="1" t="str">
        <f>VLOOKUP(N34,t_objeto!B:C,2,FALSE)</f>
        <v>PRODUCTO</v>
      </c>
      <c r="P34" s="1">
        <v>8</v>
      </c>
      <c r="Q34" s="1" t="str">
        <f>VLOOKUP(P34,t_entry_status!A:C,2,FALSE)</f>
        <v>PENDING</v>
      </c>
      <c r="R34" s="7">
        <v>45560</v>
      </c>
      <c r="S34" s="1" t="s">
        <v>7449</v>
      </c>
      <c r="T34" s="7">
        <v>45560</v>
      </c>
      <c r="U34" s="1" t="s">
        <v>7449</v>
      </c>
    </row>
    <row r="35" spans="1:21" x14ac:dyDescent="0.25">
      <c r="A35" s="1">
        <v>34</v>
      </c>
      <c r="B35" s="1" t="str">
        <f>_xlfn.CONCAT(N35,"-",VLOOKUP(N35,t_objeto!B:D,3,FALSE),"-",A35)</f>
        <v>PROD-PERCCO-34</v>
      </c>
      <c r="C35" s="12" t="s">
        <v>7557</v>
      </c>
      <c r="D35" s="1" t="s">
        <v>7313</v>
      </c>
      <c r="E35" s="1">
        <v>1</v>
      </c>
      <c r="F35" s="1" t="str">
        <f>VLOOKUP(E35,t_tipoProducto!A:B,2,FALSE)</f>
        <v>METALICO</v>
      </c>
      <c r="G35" s="1" t="s">
        <v>7557</v>
      </c>
      <c r="H35" s="1" t="s">
        <v>7536</v>
      </c>
      <c r="I35" s="13" t="s">
        <v>7711</v>
      </c>
      <c r="J35" s="2" t="str">
        <f>VLOOKUP(I35,t_cliente!B:C,2,FALSE)</f>
        <v>IMBERA</v>
      </c>
      <c r="K35" s="2" t="s">
        <v>8281</v>
      </c>
      <c r="L35" s="2">
        <v>7</v>
      </c>
      <c r="M35" s="2" t="str">
        <f>VLOOKUP(L35,t_productStatus!A:B,2,FALSE)</f>
        <v>PRODUCCION</v>
      </c>
      <c r="N35" s="1" t="s">
        <v>7348</v>
      </c>
      <c r="O35" s="1" t="str">
        <f>VLOOKUP(N35,t_objeto!B:C,2,FALSE)</f>
        <v>PRODUCTO</v>
      </c>
      <c r="P35" s="1">
        <v>8</v>
      </c>
      <c r="Q35" s="1" t="str">
        <f>VLOOKUP(P35,t_entry_status!A:C,2,FALSE)</f>
        <v>PENDING</v>
      </c>
      <c r="R35" s="7">
        <v>45560</v>
      </c>
      <c r="S35" s="1" t="s">
        <v>7449</v>
      </c>
      <c r="T35" s="7">
        <v>45560</v>
      </c>
      <c r="U35" s="1" t="s">
        <v>7449</v>
      </c>
    </row>
    <row r="36" spans="1:21" x14ac:dyDescent="0.25">
      <c r="A36" s="1">
        <v>35</v>
      </c>
      <c r="B36" s="1" t="str">
        <f>_xlfn.CONCAT(N36,"-",VLOOKUP(N36,t_objeto!B:D,3,FALSE),"-",A36)</f>
        <v>PROD-PERCCO-35</v>
      </c>
      <c r="C36" s="12" t="s">
        <v>7556</v>
      </c>
      <c r="D36" s="1" t="s">
        <v>7316</v>
      </c>
      <c r="E36" s="1">
        <v>1</v>
      </c>
      <c r="F36" s="1" t="str">
        <f>VLOOKUP(E36,t_tipoProducto!A:B,2,FALSE)</f>
        <v>METALICO</v>
      </c>
      <c r="G36" s="1" t="s">
        <v>7556</v>
      </c>
      <c r="H36" s="1" t="s">
        <v>7530</v>
      </c>
      <c r="I36" s="13" t="s">
        <v>7711</v>
      </c>
      <c r="J36" s="2" t="str">
        <f>VLOOKUP(I36,t_cliente!B:C,2,FALSE)</f>
        <v>IMBERA</v>
      </c>
      <c r="K36" s="2" t="s">
        <v>8282</v>
      </c>
      <c r="L36" s="2">
        <v>7</v>
      </c>
      <c r="M36" s="2" t="str">
        <f>VLOOKUP(L36,t_productStatus!A:B,2,FALSE)</f>
        <v>PRODUCCION</v>
      </c>
      <c r="N36" s="1" t="s">
        <v>7348</v>
      </c>
      <c r="O36" s="1" t="str">
        <f>VLOOKUP(N36,t_objeto!B:C,2,FALSE)</f>
        <v>PRODUCTO</v>
      </c>
      <c r="P36" s="1">
        <v>8</v>
      </c>
      <c r="Q36" s="1" t="str">
        <f>VLOOKUP(P36,t_entry_status!A:C,2,FALSE)</f>
        <v>PENDING</v>
      </c>
      <c r="R36" s="7">
        <v>45560</v>
      </c>
      <c r="S36" s="1" t="s">
        <v>7449</v>
      </c>
      <c r="T36" s="7">
        <v>45560</v>
      </c>
      <c r="U36" s="1" t="s">
        <v>7449</v>
      </c>
    </row>
    <row r="37" spans="1:21" x14ac:dyDescent="0.25">
      <c r="A37" s="1">
        <v>36</v>
      </c>
      <c r="B37" s="1" t="str">
        <f>_xlfn.CONCAT(N37,"-",VLOOKUP(N37,t_objeto!B:D,3,FALSE),"-",A37)</f>
        <v>PROD-PERCCO-36</v>
      </c>
      <c r="C37" s="12" t="s">
        <v>7590</v>
      </c>
      <c r="D37" s="1" t="s">
        <v>7591</v>
      </c>
      <c r="E37" s="1">
        <v>1</v>
      </c>
      <c r="F37" s="1" t="str">
        <f>VLOOKUP(E37,t_tipoProducto!A:B,2,FALSE)</f>
        <v>METALICO</v>
      </c>
      <c r="G37" s="1" t="s">
        <v>7590</v>
      </c>
      <c r="H37" s="1" t="s">
        <v>7531</v>
      </c>
      <c r="I37" s="13" t="s">
        <v>7711</v>
      </c>
      <c r="J37" s="2" t="str">
        <f>VLOOKUP(I37,t_cliente!B:C,2,FALSE)</f>
        <v>IMBERA</v>
      </c>
      <c r="K37" s="2" t="s">
        <v>8283</v>
      </c>
      <c r="L37" s="2">
        <v>7</v>
      </c>
      <c r="M37" s="2" t="str">
        <f>VLOOKUP(L37,t_productStatus!A:B,2,FALSE)</f>
        <v>PRODUCCION</v>
      </c>
      <c r="N37" s="1" t="s">
        <v>7348</v>
      </c>
      <c r="O37" s="1" t="str">
        <f>VLOOKUP(N37,t_objeto!B:C,2,FALSE)</f>
        <v>PRODUCTO</v>
      </c>
      <c r="P37" s="1">
        <v>8</v>
      </c>
      <c r="Q37" s="1" t="str">
        <f>VLOOKUP(P37,t_entry_status!A:C,2,FALSE)</f>
        <v>PENDING</v>
      </c>
      <c r="R37" s="7">
        <v>45560</v>
      </c>
      <c r="S37" s="1" t="s">
        <v>7449</v>
      </c>
      <c r="T37" s="7">
        <v>45560</v>
      </c>
      <c r="U37" s="1" t="s">
        <v>7449</v>
      </c>
    </row>
    <row r="38" spans="1:21" x14ac:dyDescent="0.25">
      <c r="A38" s="1">
        <v>37</v>
      </c>
      <c r="B38" s="1" t="str">
        <f>_xlfn.CONCAT(N38,"-",VLOOKUP(N38,t_objeto!B:D,3,FALSE),"-",A38)</f>
        <v>PROD-PERCCO-37</v>
      </c>
      <c r="C38" s="12" t="s">
        <v>7580</v>
      </c>
      <c r="D38" s="1" t="s">
        <v>7581</v>
      </c>
      <c r="E38" s="1">
        <v>1</v>
      </c>
      <c r="F38" s="1" t="str">
        <f>VLOOKUP(E38,t_tipoProducto!A:B,2,FALSE)</f>
        <v>METALICO</v>
      </c>
      <c r="G38" s="1" t="s">
        <v>7580</v>
      </c>
      <c r="H38" s="1" t="s">
        <v>7531</v>
      </c>
      <c r="I38" s="13" t="s">
        <v>7711</v>
      </c>
      <c r="J38" s="2" t="str">
        <f>VLOOKUP(I38,t_cliente!B:C,2,FALSE)</f>
        <v>IMBERA</v>
      </c>
      <c r="K38" s="2" t="s">
        <v>8284</v>
      </c>
      <c r="L38" s="2">
        <v>7</v>
      </c>
      <c r="M38" s="2" t="str">
        <f>VLOOKUP(L38,t_productStatus!A:B,2,FALSE)</f>
        <v>PRODUCCION</v>
      </c>
      <c r="N38" s="1" t="s">
        <v>7348</v>
      </c>
      <c r="O38" s="1" t="str">
        <f>VLOOKUP(N38,t_objeto!B:C,2,FALSE)</f>
        <v>PRODUCTO</v>
      </c>
      <c r="P38" s="1">
        <v>8</v>
      </c>
      <c r="Q38" s="1" t="str">
        <f>VLOOKUP(P38,t_entry_status!A:C,2,FALSE)</f>
        <v>PENDING</v>
      </c>
      <c r="R38" s="7">
        <v>45560</v>
      </c>
      <c r="S38" s="1" t="s">
        <v>7449</v>
      </c>
      <c r="T38" s="7">
        <v>45560</v>
      </c>
      <c r="U38" s="1" t="s">
        <v>7449</v>
      </c>
    </row>
    <row r="39" spans="1:21" x14ac:dyDescent="0.25">
      <c r="A39" s="1">
        <v>38</v>
      </c>
      <c r="B39" s="1" t="str">
        <f>_xlfn.CONCAT(N39,"-",VLOOKUP(N39,t_objeto!B:D,3,FALSE),"-",A39)</f>
        <v>PROD-PERCCO-38</v>
      </c>
      <c r="C39" s="12" t="s">
        <v>7584</v>
      </c>
      <c r="D39" s="1" t="s">
        <v>7585</v>
      </c>
      <c r="E39" s="1">
        <v>1</v>
      </c>
      <c r="F39" s="1" t="str">
        <f>VLOOKUP(E39,t_tipoProducto!A:B,2,FALSE)</f>
        <v>METALICO</v>
      </c>
      <c r="G39" s="1" t="s">
        <v>7584</v>
      </c>
      <c r="H39" s="1" t="s">
        <v>7531</v>
      </c>
      <c r="I39" s="13" t="s">
        <v>7711</v>
      </c>
      <c r="J39" s="2" t="str">
        <f>VLOOKUP(I39,t_cliente!B:C,2,FALSE)</f>
        <v>IMBERA</v>
      </c>
      <c r="K39" s="2" t="s">
        <v>8285</v>
      </c>
      <c r="L39" s="2">
        <v>7</v>
      </c>
      <c r="M39" s="2" t="str">
        <f>VLOOKUP(L39,t_productStatus!A:B,2,FALSE)</f>
        <v>PRODUCCION</v>
      </c>
      <c r="N39" s="1" t="s">
        <v>7348</v>
      </c>
      <c r="O39" s="1" t="str">
        <f>VLOOKUP(N39,t_objeto!B:C,2,FALSE)</f>
        <v>PRODUCTO</v>
      </c>
      <c r="P39" s="1">
        <v>8</v>
      </c>
      <c r="Q39" s="1" t="str">
        <f>VLOOKUP(P39,t_entry_status!A:C,2,FALSE)</f>
        <v>PENDING</v>
      </c>
      <c r="R39" s="7">
        <v>45560</v>
      </c>
      <c r="S39" s="1" t="s">
        <v>7449</v>
      </c>
      <c r="T39" s="7">
        <v>45560</v>
      </c>
      <c r="U39" s="1" t="s">
        <v>7449</v>
      </c>
    </row>
    <row r="40" spans="1:21" x14ac:dyDescent="0.25">
      <c r="A40" s="1">
        <v>39</v>
      </c>
      <c r="B40" s="1" t="str">
        <f>_xlfn.CONCAT(N40,"-",VLOOKUP(N40,t_objeto!B:D,3,FALSE),"-",A40)</f>
        <v>PROD-PERCCO-39</v>
      </c>
      <c r="C40" s="12" t="s">
        <v>7582</v>
      </c>
      <c r="D40" s="1" t="s">
        <v>7583</v>
      </c>
      <c r="E40" s="1">
        <v>1</v>
      </c>
      <c r="F40" s="1" t="str">
        <f>VLOOKUP(E40,t_tipoProducto!A:B,2,FALSE)</f>
        <v>METALICO</v>
      </c>
      <c r="G40" s="1" t="s">
        <v>7582</v>
      </c>
      <c r="H40" s="1" t="s">
        <v>7681</v>
      </c>
      <c r="I40" s="13" t="s">
        <v>7711</v>
      </c>
      <c r="J40" s="2" t="str">
        <f>VLOOKUP(I40,t_cliente!B:C,2,FALSE)</f>
        <v>IMBERA</v>
      </c>
      <c r="K40" s="2" t="s">
        <v>8286</v>
      </c>
      <c r="L40" s="2">
        <v>7</v>
      </c>
      <c r="M40" s="2" t="str">
        <f>VLOOKUP(L40,t_productStatus!A:B,2,FALSE)</f>
        <v>PRODUCCION</v>
      </c>
      <c r="N40" s="1" t="s">
        <v>7348</v>
      </c>
      <c r="O40" s="1" t="str">
        <f>VLOOKUP(N40,t_objeto!B:C,2,FALSE)</f>
        <v>PRODUCTO</v>
      </c>
      <c r="P40" s="1">
        <v>8</v>
      </c>
      <c r="Q40" s="1" t="str">
        <f>VLOOKUP(P40,t_entry_status!A:C,2,FALSE)</f>
        <v>PENDING</v>
      </c>
      <c r="R40" s="7">
        <v>45560</v>
      </c>
      <c r="S40" s="1" t="s">
        <v>7449</v>
      </c>
      <c r="T40" s="7">
        <v>45560</v>
      </c>
      <c r="U40" s="1" t="s">
        <v>7449</v>
      </c>
    </row>
    <row r="41" spans="1:21" x14ac:dyDescent="0.25">
      <c r="A41" s="1">
        <v>40</v>
      </c>
      <c r="B41" s="1" t="str">
        <f>_xlfn.CONCAT(N41,"-",VLOOKUP(N41,t_objeto!B:D,3,FALSE),"-",A41)</f>
        <v>PROD-PERCCO-40</v>
      </c>
      <c r="C41" s="12" t="s">
        <v>7586</v>
      </c>
      <c r="D41" s="1" t="s">
        <v>7587</v>
      </c>
      <c r="E41" s="1">
        <v>1</v>
      </c>
      <c r="F41" s="1" t="str">
        <f>VLOOKUP(E41,t_tipoProducto!A:B,2,FALSE)</f>
        <v>METALICO</v>
      </c>
      <c r="G41" s="1" t="s">
        <v>7686</v>
      </c>
      <c r="H41" s="1" t="s">
        <v>7531</v>
      </c>
      <c r="I41" s="13" t="s">
        <v>7711</v>
      </c>
      <c r="J41" s="2" t="str">
        <f>VLOOKUP(I41,t_cliente!B:C,2,FALSE)</f>
        <v>IMBERA</v>
      </c>
      <c r="K41" s="2" t="s">
        <v>8287</v>
      </c>
      <c r="L41" s="2">
        <v>7</v>
      </c>
      <c r="M41" s="2" t="str">
        <f>VLOOKUP(L41,t_productStatus!A:B,2,FALSE)</f>
        <v>PRODUCCION</v>
      </c>
      <c r="N41" s="1" t="s">
        <v>7348</v>
      </c>
      <c r="O41" s="1" t="str">
        <f>VLOOKUP(N41,t_objeto!B:C,2,FALSE)</f>
        <v>PRODUCTO</v>
      </c>
      <c r="P41" s="1">
        <v>8</v>
      </c>
      <c r="Q41" s="1" t="str">
        <f>VLOOKUP(P41,t_entry_status!A:C,2,FALSE)</f>
        <v>PENDING</v>
      </c>
      <c r="R41" s="7">
        <v>45560</v>
      </c>
      <c r="S41" s="1" t="s">
        <v>7449</v>
      </c>
      <c r="T41" s="7">
        <v>45560</v>
      </c>
      <c r="U41" s="1" t="s">
        <v>7449</v>
      </c>
    </row>
    <row r="42" spans="1:21" x14ac:dyDescent="0.25">
      <c r="A42" s="1">
        <v>41</v>
      </c>
      <c r="B42" s="1" t="str">
        <f>_xlfn.CONCAT(N42,"-",VLOOKUP(N42,t_objeto!B:D,3,FALSE),"-",A42)</f>
        <v>PROD-PERCCO-41</v>
      </c>
      <c r="C42" s="12" t="s">
        <v>7654</v>
      </c>
      <c r="D42" s="1" t="s">
        <v>7655</v>
      </c>
      <c r="E42" s="1">
        <v>1</v>
      </c>
      <c r="F42" s="1" t="str">
        <f>VLOOKUP(E42,t_tipoProducto!A:B,2,FALSE)</f>
        <v>METALICO</v>
      </c>
      <c r="G42" s="1" t="s">
        <v>7654</v>
      </c>
      <c r="H42" s="1" t="s">
        <v>7681</v>
      </c>
      <c r="I42" s="13" t="s">
        <v>7711</v>
      </c>
      <c r="J42" s="2" t="str">
        <f>VLOOKUP(I42,t_cliente!B:C,2,FALSE)</f>
        <v>IMBERA</v>
      </c>
      <c r="K42" s="2" t="s">
        <v>8288</v>
      </c>
      <c r="L42" s="2">
        <v>7</v>
      </c>
      <c r="M42" s="2" t="str">
        <f>VLOOKUP(L42,t_productStatus!A:B,2,FALSE)</f>
        <v>PRODUCCION</v>
      </c>
      <c r="N42" s="1" t="s">
        <v>7348</v>
      </c>
      <c r="O42" s="1" t="str">
        <f>VLOOKUP(N42,t_objeto!B:C,2,FALSE)</f>
        <v>PRODUCTO</v>
      </c>
      <c r="P42" s="1">
        <v>8</v>
      </c>
      <c r="Q42" s="1" t="str">
        <f>VLOOKUP(P42,t_entry_status!A:C,2,FALSE)</f>
        <v>PENDING</v>
      </c>
      <c r="R42" s="7">
        <v>45560</v>
      </c>
      <c r="S42" s="1" t="s">
        <v>7449</v>
      </c>
      <c r="T42" s="7">
        <v>45560</v>
      </c>
      <c r="U42" s="1" t="s">
        <v>7449</v>
      </c>
    </row>
    <row r="43" spans="1:21" x14ac:dyDescent="0.25">
      <c r="A43" s="1">
        <v>42</v>
      </c>
      <c r="B43" s="1" t="str">
        <f>_xlfn.CONCAT(N43,"-",VLOOKUP(N43,t_objeto!B:D,3,FALSE),"-",A43)</f>
        <v>PROD-PERCCO-42</v>
      </c>
      <c r="C43" s="12" t="s">
        <v>7561</v>
      </c>
      <c r="D43" s="1" t="s">
        <v>7562</v>
      </c>
      <c r="E43" s="1">
        <v>1</v>
      </c>
      <c r="F43" s="1" t="str">
        <f>VLOOKUP(E43,t_tipoProducto!A:B,2,FALSE)</f>
        <v>METALICO</v>
      </c>
      <c r="G43" s="1" t="s">
        <v>7561</v>
      </c>
      <c r="H43" s="1" t="s">
        <v>7531</v>
      </c>
      <c r="I43" s="13" t="s">
        <v>7711</v>
      </c>
      <c r="J43" s="2" t="str">
        <f>VLOOKUP(I43,t_cliente!B:C,2,FALSE)</f>
        <v>IMBERA</v>
      </c>
      <c r="K43" s="2" t="s">
        <v>8289</v>
      </c>
      <c r="L43" s="2">
        <v>7</v>
      </c>
      <c r="M43" s="2" t="str">
        <f>VLOOKUP(L43,t_productStatus!A:B,2,FALSE)</f>
        <v>PRODUCCION</v>
      </c>
      <c r="N43" s="1" t="s">
        <v>7348</v>
      </c>
      <c r="O43" s="1" t="str">
        <f>VLOOKUP(N43,t_objeto!B:C,2,FALSE)</f>
        <v>PRODUCTO</v>
      </c>
      <c r="P43" s="1">
        <v>8</v>
      </c>
      <c r="Q43" s="1" t="str">
        <f>VLOOKUP(P43,t_entry_status!A:C,2,FALSE)</f>
        <v>PENDING</v>
      </c>
      <c r="R43" s="7">
        <v>45560</v>
      </c>
      <c r="S43" s="1" t="s">
        <v>7449</v>
      </c>
      <c r="T43" s="7">
        <v>45560</v>
      </c>
      <c r="U43" s="1" t="s">
        <v>7449</v>
      </c>
    </row>
    <row r="44" spans="1:21" x14ac:dyDescent="0.25">
      <c r="A44" s="1">
        <v>43</v>
      </c>
      <c r="B44" s="1" t="str">
        <f>_xlfn.CONCAT(N44,"-",VLOOKUP(N44,t_objeto!B:D,3,FALSE),"-",A44)</f>
        <v>PROD-PERCCO-43</v>
      </c>
      <c r="C44" s="12" t="s">
        <v>7588</v>
      </c>
      <c r="D44" s="1" t="s">
        <v>7589</v>
      </c>
      <c r="E44" s="1">
        <v>1</v>
      </c>
      <c r="F44" s="1" t="str">
        <f>VLOOKUP(E44,t_tipoProducto!A:B,2,FALSE)</f>
        <v>METALICO</v>
      </c>
      <c r="G44" s="1" t="s">
        <v>7588</v>
      </c>
      <c r="H44" s="1" t="s">
        <v>7681</v>
      </c>
      <c r="I44" s="13" t="s">
        <v>7711</v>
      </c>
      <c r="J44" s="2" t="str">
        <f>VLOOKUP(I44,t_cliente!B:C,2,FALSE)</f>
        <v>IMBERA</v>
      </c>
      <c r="K44" s="2" t="s">
        <v>8290</v>
      </c>
      <c r="L44" s="2">
        <v>7</v>
      </c>
      <c r="M44" s="2" t="str">
        <f>VLOOKUP(L44,t_productStatus!A:B,2,FALSE)</f>
        <v>PRODUCCION</v>
      </c>
      <c r="N44" s="1" t="s">
        <v>7348</v>
      </c>
      <c r="O44" s="1" t="str">
        <f>VLOOKUP(N44,t_objeto!B:C,2,FALSE)</f>
        <v>PRODUCTO</v>
      </c>
      <c r="P44" s="1">
        <v>8</v>
      </c>
      <c r="Q44" s="1" t="str">
        <f>VLOOKUP(P44,t_entry_status!A:C,2,FALSE)</f>
        <v>PENDING</v>
      </c>
      <c r="R44" s="7">
        <v>45560</v>
      </c>
      <c r="S44" s="1" t="s">
        <v>7449</v>
      </c>
      <c r="T44" s="7">
        <v>45560</v>
      </c>
      <c r="U44" s="1" t="s">
        <v>7449</v>
      </c>
    </row>
    <row r="45" spans="1:21" x14ac:dyDescent="0.25">
      <c r="A45" s="1">
        <v>44</v>
      </c>
      <c r="B45" s="1" t="str">
        <f>_xlfn.CONCAT(N45,"-",VLOOKUP(N45,t_objeto!B:D,3,FALSE),"-",A45)</f>
        <v>PROD-PERCCO-44</v>
      </c>
      <c r="C45" s="12" t="s">
        <v>7592</v>
      </c>
      <c r="D45" s="1" t="s">
        <v>7593</v>
      </c>
      <c r="E45" s="1">
        <v>1</v>
      </c>
      <c r="F45" s="1" t="str">
        <f>VLOOKUP(E45,t_tipoProducto!A:B,2,FALSE)</f>
        <v>METALICO</v>
      </c>
      <c r="G45" s="1" t="s">
        <v>7592</v>
      </c>
      <c r="H45" s="1" t="s">
        <v>7531</v>
      </c>
      <c r="I45" s="13" t="s">
        <v>7711</v>
      </c>
      <c r="J45" s="2" t="str">
        <f>VLOOKUP(I45,t_cliente!B:C,2,FALSE)</f>
        <v>IMBERA</v>
      </c>
      <c r="K45" s="2" t="s">
        <v>8291</v>
      </c>
      <c r="L45" s="2">
        <v>7</v>
      </c>
      <c r="M45" s="2" t="str">
        <f>VLOOKUP(L45,t_productStatus!A:B,2,FALSE)</f>
        <v>PRODUCCION</v>
      </c>
      <c r="N45" s="1" t="s">
        <v>7348</v>
      </c>
      <c r="O45" s="1" t="str">
        <f>VLOOKUP(N45,t_objeto!B:C,2,FALSE)</f>
        <v>PRODUCTO</v>
      </c>
      <c r="P45" s="1">
        <v>8</v>
      </c>
      <c r="Q45" s="1" t="str">
        <f>VLOOKUP(P45,t_entry_status!A:C,2,FALSE)</f>
        <v>PENDING</v>
      </c>
      <c r="R45" s="7">
        <v>45560</v>
      </c>
      <c r="S45" s="1" t="s">
        <v>7449</v>
      </c>
      <c r="T45" s="7">
        <v>45560</v>
      </c>
      <c r="U45" s="1" t="s">
        <v>7449</v>
      </c>
    </row>
    <row r="46" spans="1:21" x14ac:dyDescent="0.25">
      <c r="A46" s="1">
        <v>45</v>
      </c>
      <c r="B46" s="1" t="str">
        <f>_xlfn.CONCAT(N46,"-",VLOOKUP(N46,t_objeto!B:D,3,FALSE),"-",A46)</f>
        <v>PROD-PERCCO-45</v>
      </c>
      <c r="C46" s="12" t="s">
        <v>7672</v>
      </c>
      <c r="D46" s="1" t="s">
        <v>7673</v>
      </c>
      <c r="E46" s="1">
        <v>1</v>
      </c>
      <c r="F46" s="1" t="str">
        <f>VLOOKUP(E46,t_tipoProducto!A:B,2,FALSE)</f>
        <v>METALICO</v>
      </c>
      <c r="G46" s="1" t="s">
        <v>7672</v>
      </c>
      <c r="H46" s="1" t="s">
        <v>7681</v>
      </c>
      <c r="I46" s="13" t="s">
        <v>7711</v>
      </c>
      <c r="J46" s="2" t="str">
        <f>VLOOKUP(I46,t_cliente!B:C,2,FALSE)</f>
        <v>IMBERA</v>
      </c>
      <c r="K46" s="2" t="s">
        <v>8292</v>
      </c>
      <c r="L46" s="2">
        <v>7</v>
      </c>
      <c r="M46" s="2" t="str">
        <f>VLOOKUP(L46,t_productStatus!A:B,2,FALSE)</f>
        <v>PRODUCCION</v>
      </c>
      <c r="N46" s="1" t="s">
        <v>7348</v>
      </c>
      <c r="O46" s="1" t="str">
        <f>VLOOKUP(N46,t_objeto!B:C,2,FALSE)</f>
        <v>PRODUCTO</v>
      </c>
      <c r="P46" s="1">
        <v>8</v>
      </c>
      <c r="Q46" s="1" t="str">
        <f>VLOOKUP(P46,t_entry_status!A:C,2,FALSE)</f>
        <v>PENDING</v>
      </c>
      <c r="R46" s="7">
        <v>45560</v>
      </c>
      <c r="S46" s="1" t="s">
        <v>7449</v>
      </c>
      <c r="T46" s="7">
        <v>45560</v>
      </c>
      <c r="U46" s="1" t="s">
        <v>7449</v>
      </c>
    </row>
    <row r="47" spans="1:21" x14ac:dyDescent="0.25">
      <c r="A47" s="1">
        <v>46</v>
      </c>
      <c r="B47" s="1" t="str">
        <f>_xlfn.CONCAT(N47,"-",VLOOKUP(N47,t_objeto!B:D,3,FALSE),"-",A47)</f>
        <v>PROD-PERCCO-46</v>
      </c>
      <c r="C47" s="12" t="s">
        <v>7576</v>
      </c>
      <c r="D47" s="1" t="s">
        <v>7577</v>
      </c>
      <c r="E47" s="1">
        <v>1</v>
      </c>
      <c r="F47" s="1" t="str">
        <f>VLOOKUP(E47,t_tipoProducto!A:B,2,FALSE)</f>
        <v>METALICO</v>
      </c>
      <c r="G47" s="1" t="s">
        <v>7576</v>
      </c>
      <c r="H47" s="1" t="s">
        <v>7681</v>
      </c>
      <c r="I47" s="13" t="s">
        <v>7711</v>
      </c>
      <c r="J47" s="2" t="str">
        <f>VLOOKUP(I47,t_cliente!B:C,2,FALSE)</f>
        <v>IMBERA</v>
      </c>
      <c r="K47" s="2" t="s">
        <v>8293</v>
      </c>
      <c r="L47" s="2">
        <v>7</v>
      </c>
      <c r="M47" s="2" t="str">
        <f>VLOOKUP(L47,t_productStatus!A:B,2,FALSE)</f>
        <v>PRODUCCION</v>
      </c>
      <c r="N47" s="1" t="s">
        <v>7348</v>
      </c>
      <c r="O47" s="1" t="str">
        <f>VLOOKUP(N47,t_objeto!B:C,2,FALSE)</f>
        <v>PRODUCTO</v>
      </c>
      <c r="P47" s="1">
        <v>8</v>
      </c>
      <c r="Q47" s="1" t="str">
        <f>VLOOKUP(P47,t_entry_status!A:C,2,FALSE)</f>
        <v>PENDING</v>
      </c>
      <c r="R47" s="7">
        <v>45560</v>
      </c>
      <c r="S47" s="1" t="s">
        <v>7449</v>
      </c>
      <c r="T47" s="7">
        <v>45560</v>
      </c>
      <c r="U47" s="1" t="s">
        <v>7449</v>
      </c>
    </row>
    <row r="48" spans="1:21" x14ac:dyDescent="0.25">
      <c r="A48" s="1">
        <v>47</v>
      </c>
      <c r="B48" s="1" t="str">
        <f>_xlfn.CONCAT(N48,"-",VLOOKUP(N48,t_objeto!B:D,3,FALSE),"-",A48)</f>
        <v>PROD-PERCCO-47</v>
      </c>
      <c r="C48" s="12" t="s">
        <v>7646</v>
      </c>
      <c r="D48" s="1" t="s">
        <v>7647</v>
      </c>
      <c r="E48" s="1">
        <v>2</v>
      </c>
      <c r="F48" s="1" t="str">
        <f>VLOOKUP(E48,t_tipoProducto!A:B,2,FALSE)</f>
        <v>PARRILLAS</v>
      </c>
      <c r="G48" s="1" t="s">
        <v>7694</v>
      </c>
      <c r="H48" s="1" t="s">
        <v>7695</v>
      </c>
      <c r="I48" s="13" t="s">
        <v>7711</v>
      </c>
      <c r="J48" s="2" t="str">
        <f>VLOOKUP(I48,t_cliente!B:C,2,FALSE)</f>
        <v>IMBERA</v>
      </c>
      <c r="K48" s="2" t="s">
        <v>8294</v>
      </c>
      <c r="L48" s="2">
        <v>7</v>
      </c>
      <c r="M48" s="2" t="str">
        <f>VLOOKUP(L48,t_productStatus!A:B,2,FALSE)</f>
        <v>PRODUCCION</v>
      </c>
      <c r="N48" s="1" t="s">
        <v>7348</v>
      </c>
      <c r="O48" s="1" t="str">
        <f>VLOOKUP(N48,t_objeto!B:C,2,FALSE)</f>
        <v>PRODUCTO</v>
      </c>
      <c r="P48" s="1">
        <v>8</v>
      </c>
      <c r="Q48" s="1" t="str">
        <f>VLOOKUP(P48,t_entry_status!A:C,2,FALSE)</f>
        <v>PENDING</v>
      </c>
      <c r="R48" s="7">
        <v>45560</v>
      </c>
      <c r="S48" s="1" t="s">
        <v>7449</v>
      </c>
      <c r="T48" s="7">
        <v>45560</v>
      </c>
      <c r="U48" s="1" t="s">
        <v>7449</v>
      </c>
    </row>
    <row r="49" spans="1:21" x14ac:dyDescent="0.25">
      <c r="A49" s="1">
        <v>48</v>
      </c>
      <c r="B49" s="1" t="str">
        <f>_xlfn.CONCAT(N49,"-",VLOOKUP(N49,t_objeto!B:D,3,FALSE),"-",A49)</f>
        <v>PROD-PERCCO-48</v>
      </c>
      <c r="C49" s="12" t="s">
        <v>7644</v>
      </c>
      <c r="D49" s="1" t="s">
        <v>7645</v>
      </c>
      <c r="E49" s="1">
        <v>2</v>
      </c>
      <c r="F49" s="1" t="str">
        <f>VLOOKUP(E49,t_tipoProducto!A:B,2,FALSE)</f>
        <v>PARRILLAS</v>
      </c>
      <c r="G49" s="1" t="s">
        <v>7689</v>
      </c>
      <c r="H49" s="1" t="s">
        <v>7693</v>
      </c>
      <c r="I49" s="13" t="s">
        <v>7711</v>
      </c>
      <c r="J49" s="2" t="str">
        <f>VLOOKUP(I49,t_cliente!B:C,2,FALSE)</f>
        <v>IMBERA</v>
      </c>
      <c r="K49" s="2" t="s">
        <v>8295</v>
      </c>
      <c r="L49" s="2">
        <v>7</v>
      </c>
      <c r="M49" s="2" t="str">
        <f>VLOOKUP(L49,t_productStatus!A:B,2,FALSE)</f>
        <v>PRODUCCION</v>
      </c>
      <c r="N49" s="1" t="s">
        <v>7348</v>
      </c>
      <c r="O49" s="1" t="str">
        <f>VLOOKUP(N49,t_objeto!B:C,2,FALSE)</f>
        <v>PRODUCTO</v>
      </c>
      <c r="P49" s="1">
        <v>8</v>
      </c>
      <c r="Q49" s="1" t="str">
        <f>VLOOKUP(P49,t_entry_status!A:C,2,FALSE)</f>
        <v>PENDING</v>
      </c>
      <c r="R49" s="7">
        <v>45560</v>
      </c>
      <c r="S49" s="1" t="s">
        <v>7449</v>
      </c>
      <c r="T49" s="7">
        <v>45560</v>
      </c>
      <c r="U49" s="1" t="s">
        <v>7449</v>
      </c>
    </row>
    <row r="50" spans="1:21" x14ac:dyDescent="0.25">
      <c r="A50" s="1">
        <v>49</v>
      </c>
      <c r="B50" s="1" t="str">
        <f>_xlfn.CONCAT(N50,"-",VLOOKUP(N50,t_objeto!B:D,3,FALSE),"-",A50)</f>
        <v>PROD-PERCCO-49</v>
      </c>
      <c r="C50" s="12" t="s">
        <v>7642</v>
      </c>
      <c r="D50" s="1" t="s">
        <v>7643</v>
      </c>
      <c r="E50" s="1">
        <v>2</v>
      </c>
      <c r="F50" s="1" t="str">
        <f>VLOOKUP(E50,t_tipoProducto!A:B,2,FALSE)</f>
        <v>PARRILLAS</v>
      </c>
      <c r="G50" s="1" t="s">
        <v>7642</v>
      </c>
      <c r="H50" s="1" t="s">
        <v>7681</v>
      </c>
      <c r="I50" s="13" t="s">
        <v>7711</v>
      </c>
      <c r="J50" s="2" t="str">
        <f>VLOOKUP(I50,t_cliente!B:C,2,FALSE)</f>
        <v>IMBERA</v>
      </c>
      <c r="K50" s="2" t="s">
        <v>8296</v>
      </c>
      <c r="L50" s="2">
        <v>7</v>
      </c>
      <c r="M50" s="2" t="str">
        <f>VLOOKUP(L50,t_productStatus!A:B,2,FALSE)</f>
        <v>PRODUCCION</v>
      </c>
      <c r="N50" s="1" t="s">
        <v>7348</v>
      </c>
      <c r="O50" s="1" t="str">
        <f>VLOOKUP(N50,t_objeto!B:C,2,FALSE)</f>
        <v>PRODUCTO</v>
      </c>
      <c r="P50" s="1">
        <v>8</v>
      </c>
      <c r="Q50" s="1" t="str">
        <f>VLOOKUP(P50,t_entry_status!A:C,2,FALSE)</f>
        <v>PENDING</v>
      </c>
      <c r="R50" s="7">
        <v>45560</v>
      </c>
      <c r="S50" s="1" t="s">
        <v>7449</v>
      </c>
      <c r="T50" s="7">
        <v>45560</v>
      </c>
      <c r="U50" s="1" t="s">
        <v>7449</v>
      </c>
    </row>
    <row r="51" spans="1:21" x14ac:dyDescent="0.25">
      <c r="A51" s="1">
        <v>50</v>
      </c>
      <c r="B51" s="1" t="str">
        <f>_xlfn.CONCAT(N51,"-",VLOOKUP(N51,t_objeto!B:D,3,FALSE),"-",A51)</f>
        <v>PROD-PERCCO-50</v>
      </c>
      <c r="C51" s="12" t="s">
        <v>7662</v>
      </c>
      <c r="D51" s="1" t="s">
        <v>7325</v>
      </c>
      <c r="E51" s="1">
        <v>2</v>
      </c>
      <c r="F51" s="1" t="str">
        <f>VLOOKUP(E51,t_tipoProducto!A:B,2,FALSE)</f>
        <v>PARRILLAS</v>
      </c>
      <c r="G51" s="1" t="s">
        <v>7697</v>
      </c>
      <c r="H51" s="1" t="s">
        <v>7698</v>
      </c>
      <c r="I51" s="13" t="s">
        <v>7711</v>
      </c>
      <c r="J51" s="2" t="str">
        <f>VLOOKUP(I51,t_cliente!B:C,2,FALSE)</f>
        <v>IMBERA</v>
      </c>
      <c r="K51" s="2" t="s">
        <v>8297</v>
      </c>
      <c r="L51" s="2">
        <v>7</v>
      </c>
      <c r="M51" s="2" t="str">
        <f>VLOOKUP(L51,t_productStatus!A:B,2,FALSE)</f>
        <v>PRODUCCION</v>
      </c>
      <c r="N51" s="1" t="s">
        <v>7348</v>
      </c>
      <c r="O51" s="1" t="str">
        <f>VLOOKUP(N51,t_objeto!B:C,2,FALSE)</f>
        <v>PRODUCTO</v>
      </c>
      <c r="P51" s="1">
        <v>8</v>
      </c>
      <c r="Q51" s="1" t="str">
        <f>VLOOKUP(P51,t_entry_status!A:C,2,FALSE)</f>
        <v>PENDING</v>
      </c>
      <c r="R51" s="7">
        <v>45560</v>
      </c>
      <c r="S51" s="1" t="s">
        <v>7449</v>
      </c>
      <c r="T51" s="7">
        <v>45560</v>
      </c>
      <c r="U51" s="1" t="s">
        <v>7449</v>
      </c>
    </row>
    <row r="52" spans="1:21" x14ac:dyDescent="0.25">
      <c r="A52" s="1">
        <v>51</v>
      </c>
      <c r="B52" s="1" t="str">
        <f>_xlfn.CONCAT(N52,"-",VLOOKUP(N52,t_objeto!B:D,3,FALSE),"-",A52)</f>
        <v>PROD-PERCCO-51</v>
      </c>
      <c r="C52" s="12" t="s">
        <v>7617</v>
      </c>
      <c r="D52" s="1" t="s">
        <v>7618</v>
      </c>
      <c r="E52" s="1">
        <v>2</v>
      </c>
      <c r="F52" s="1" t="str">
        <f>VLOOKUP(E52,t_tipoProducto!A:B,2,FALSE)</f>
        <v>PARRILLAS</v>
      </c>
      <c r="G52" s="1" t="s">
        <v>7617</v>
      </c>
      <c r="H52" s="1" t="s">
        <v>7531</v>
      </c>
      <c r="I52" s="13" t="s">
        <v>7711</v>
      </c>
      <c r="J52" s="2" t="str">
        <f>VLOOKUP(I52,t_cliente!B:C,2,FALSE)</f>
        <v>IMBERA</v>
      </c>
      <c r="K52" s="2" t="s">
        <v>8298</v>
      </c>
      <c r="L52" s="2">
        <v>7</v>
      </c>
      <c r="M52" s="2" t="str">
        <f>VLOOKUP(L52,t_productStatus!A:B,2,FALSE)</f>
        <v>PRODUCCION</v>
      </c>
      <c r="N52" s="1" t="s">
        <v>7348</v>
      </c>
      <c r="O52" s="1" t="str">
        <f>VLOOKUP(N52,t_objeto!B:C,2,FALSE)</f>
        <v>PRODUCTO</v>
      </c>
      <c r="P52" s="1">
        <v>8</v>
      </c>
      <c r="Q52" s="1" t="str">
        <f>VLOOKUP(P52,t_entry_status!A:C,2,FALSE)</f>
        <v>PENDING</v>
      </c>
      <c r="R52" s="7">
        <v>45560</v>
      </c>
      <c r="S52" s="1" t="s">
        <v>7449</v>
      </c>
      <c r="T52" s="7">
        <v>45560</v>
      </c>
      <c r="U52" s="1" t="s">
        <v>7449</v>
      </c>
    </row>
    <row r="53" spans="1:21" x14ac:dyDescent="0.25">
      <c r="A53" s="1">
        <v>52</v>
      </c>
      <c r="B53" s="1" t="str">
        <f>_xlfn.CONCAT(N53,"-",VLOOKUP(N53,t_objeto!B:D,3,FALSE),"-",A53)</f>
        <v>PROD-PERCCO-52</v>
      </c>
      <c r="C53" s="12" t="s">
        <v>7600</v>
      </c>
      <c r="D53" s="1" t="s">
        <v>7601</v>
      </c>
      <c r="E53" s="1">
        <v>2</v>
      </c>
      <c r="F53" s="1" t="str">
        <f>VLOOKUP(E53,t_tipoProducto!A:B,2,FALSE)</f>
        <v>PARRILLAS</v>
      </c>
      <c r="G53" s="1" t="s">
        <v>7687</v>
      </c>
      <c r="H53" s="1" t="s">
        <v>7535</v>
      </c>
      <c r="I53" s="13" t="s">
        <v>7711</v>
      </c>
      <c r="J53" s="2" t="str">
        <f>VLOOKUP(I53,t_cliente!B:C,2,FALSE)</f>
        <v>IMBERA</v>
      </c>
      <c r="K53" s="2" t="s">
        <v>8299</v>
      </c>
      <c r="L53" s="2">
        <v>7</v>
      </c>
      <c r="M53" s="2" t="str">
        <f>VLOOKUP(L53,t_productStatus!A:B,2,FALSE)</f>
        <v>PRODUCCION</v>
      </c>
      <c r="N53" s="1" t="s">
        <v>7348</v>
      </c>
      <c r="O53" s="1" t="str">
        <f>VLOOKUP(N53,t_objeto!B:C,2,FALSE)</f>
        <v>PRODUCTO</v>
      </c>
      <c r="P53" s="1">
        <v>8</v>
      </c>
      <c r="Q53" s="1" t="str">
        <f>VLOOKUP(P53,t_entry_status!A:C,2,FALSE)</f>
        <v>PENDING</v>
      </c>
      <c r="R53" s="7">
        <v>45560</v>
      </c>
      <c r="S53" s="1" t="s">
        <v>7449</v>
      </c>
      <c r="T53" s="7">
        <v>45560</v>
      </c>
      <c r="U53" s="1" t="s">
        <v>7449</v>
      </c>
    </row>
    <row r="54" spans="1:21" x14ac:dyDescent="0.25">
      <c r="A54" s="1">
        <v>53</v>
      </c>
      <c r="B54" s="1" t="str">
        <f>_xlfn.CONCAT(N54,"-",VLOOKUP(N54,t_objeto!B:D,3,FALSE),"-",A54)</f>
        <v>PROD-PERCCO-53</v>
      </c>
      <c r="C54" s="12" t="s">
        <v>7650</v>
      </c>
      <c r="D54" s="1" t="s">
        <v>7651</v>
      </c>
      <c r="E54" s="1">
        <v>2</v>
      </c>
      <c r="F54" s="1" t="str">
        <f>VLOOKUP(E54,t_tipoProducto!A:B,2,FALSE)</f>
        <v>PARRILLAS</v>
      </c>
      <c r="G54" s="1" t="s">
        <v>7650</v>
      </c>
      <c r="H54" s="1" t="s">
        <v>7681</v>
      </c>
      <c r="I54" s="13" t="s">
        <v>7711</v>
      </c>
      <c r="J54" s="2" t="str">
        <f>VLOOKUP(I54,t_cliente!B:C,2,FALSE)</f>
        <v>IMBERA</v>
      </c>
      <c r="K54" s="2" t="s">
        <v>8300</v>
      </c>
      <c r="L54" s="2">
        <v>7</v>
      </c>
      <c r="M54" s="2" t="str">
        <f>VLOOKUP(L54,t_productStatus!A:B,2,FALSE)</f>
        <v>PRODUCCION</v>
      </c>
      <c r="N54" s="1" t="s">
        <v>7348</v>
      </c>
      <c r="O54" s="1" t="str">
        <f>VLOOKUP(N54,t_objeto!B:C,2,FALSE)</f>
        <v>PRODUCTO</v>
      </c>
      <c r="P54" s="1">
        <v>8</v>
      </c>
      <c r="Q54" s="1" t="str">
        <f>VLOOKUP(P54,t_entry_status!A:C,2,FALSE)</f>
        <v>PENDING</v>
      </c>
      <c r="R54" s="7">
        <v>45560</v>
      </c>
      <c r="S54" s="1" t="s">
        <v>7449</v>
      </c>
      <c r="T54" s="7">
        <v>45560</v>
      </c>
      <c r="U54" s="1" t="s">
        <v>7449</v>
      </c>
    </row>
    <row r="55" spans="1:21" x14ac:dyDescent="0.25">
      <c r="A55" s="1">
        <v>54</v>
      </c>
      <c r="B55" s="1" t="str">
        <f>_xlfn.CONCAT(N55,"-",VLOOKUP(N55,t_objeto!B:D,3,FALSE),"-",A55)</f>
        <v>PROD-PERCCO-54</v>
      </c>
      <c r="C55" s="12" t="s">
        <v>7625</v>
      </c>
      <c r="D55" s="1" t="s">
        <v>7626</v>
      </c>
      <c r="E55" s="1">
        <v>2</v>
      </c>
      <c r="F55" s="1" t="str">
        <f>VLOOKUP(E55,t_tipoProducto!A:B,2,FALSE)</f>
        <v>PARRILLAS</v>
      </c>
      <c r="G55" s="1" t="s">
        <v>7689</v>
      </c>
      <c r="H55" s="1" t="s">
        <v>7690</v>
      </c>
      <c r="I55" s="13" t="s">
        <v>7711</v>
      </c>
      <c r="J55" s="2" t="str">
        <f>VLOOKUP(I55,t_cliente!B:C,2,FALSE)</f>
        <v>IMBERA</v>
      </c>
      <c r="K55" s="2" t="s">
        <v>8301</v>
      </c>
      <c r="L55" s="2">
        <v>7</v>
      </c>
      <c r="M55" s="2" t="str">
        <f>VLOOKUP(L55,t_productStatus!A:B,2,FALSE)</f>
        <v>PRODUCCION</v>
      </c>
      <c r="N55" s="1" t="s">
        <v>7348</v>
      </c>
      <c r="O55" s="1" t="str">
        <f>VLOOKUP(N55,t_objeto!B:C,2,FALSE)</f>
        <v>PRODUCTO</v>
      </c>
      <c r="P55" s="1">
        <v>8</v>
      </c>
      <c r="Q55" s="1" t="str">
        <f>VLOOKUP(P55,t_entry_status!A:C,2,FALSE)</f>
        <v>PENDING</v>
      </c>
      <c r="R55" s="7">
        <v>45560</v>
      </c>
      <c r="S55" s="1" t="s">
        <v>7449</v>
      </c>
      <c r="T55" s="7">
        <v>45560</v>
      </c>
      <c r="U55" s="1" t="s">
        <v>7449</v>
      </c>
    </row>
    <row r="56" spans="1:21" x14ac:dyDescent="0.25">
      <c r="A56" s="1">
        <v>55</v>
      </c>
      <c r="B56" s="1" t="str">
        <f>_xlfn.CONCAT(N56,"-",VLOOKUP(N56,t_objeto!B:D,3,FALSE),"-",A56)</f>
        <v>PROD-PERCCO-55</v>
      </c>
      <c r="C56" s="12" t="s">
        <v>7615</v>
      </c>
      <c r="D56" s="1" t="s">
        <v>7616</v>
      </c>
      <c r="E56" s="1">
        <v>2</v>
      </c>
      <c r="F56" s="1" t="str">
        <f>VLOOKUP(E56,t_tipoProducto!A:B,2,FALSE)</f>
        <v>PARRILLAS</v>
      </c>
      <c r="G56" s="1" t="s">
        <v>7615</v>
      </c>
      <c r="H56" s="1" t="s">
        <v>7535</v>
      </c>
      <c r="I56" s="13" t="s">
        <v>7711</v>
      </c>
      <c r="J56" s="2" t="str">
        <f>VLOOKUP(I56,t_cliente!B:C,2,FALSE)</f>
        <v>IMBERA</v>
      </c>
      <c r="K56" s="2" t="s">
        <v>8302</v>
      </c>
      <c r="L56" s="2">
        <v>7</v>
      </c>
      <c r="M56" s="2" t="str">
        <f>VLOOKUP(L56,t_productStatus!A:B,2,FALSE)</f>
        <v>PRODUCCION</v>
      </c>
      <c r="N56" s="1" t="s">
        <v>7348</v>
      </c>
      <c r="O56" s="1" t="str">
        <f>VLOOKUP(N56,t_objeto!B:C,2,FALSE)</f>
        <v>PRODUCTO</v>
      </c>
      <c r="P56" s="1">
        <v>8</v>
      </c>
      <c r="Q56" s="1" t="str">
        <f>VLOOKUP(P56,t_entry_status!A:C,2,FALSE)</f>
        <v>PENDING</v>
      </c>
      <c r="R56" s="7">
        <v>45560</v>
      </c>
      <c r="S56" s="1" t="s">
        <v>7449</v>
      </c>
      <c r="T56" s="7">
        <v>45560</v>
      </c>
      <c r="U56" s="1" t="s">
        <v>7449</v>
      </c>
    </row>
    <row r="57" spans="1:21" x14ac:dyDescent="0.25">
      <c r="A57" s="1">
        <v>56</v>
      </c>
      <c r="B57" s="1" t="str">
        <f>_xlfn.CONCAT(N57,"-",VLOOKUP(N57,t_objeto!B:D,3,FALSE),"-",A57)</f>
        <v>PROD-PERCCO-56</v>
      </c>
      <c r="C57" s="12" t="s">
        <v>7638</v>
      </c>
      <c r="D57" s="1" t="s">
        <v>7639</v>
      </c>
      <c r="E57" s="1">
        <v>2</v>
      </c>
      <c r="F57" s="1" t="str">
        <f>VLOOKUP(E57,t_tipoProducto!A:B,2,FALSE)</f>
        <v>PARRILLAS</v>
      </c>
      <c r="G57" s="1" t="s">
        <v>7692</v>
      </c>
      <c r="H57" s="1" t="s">
        <v>7539</v>
      </c>
      <c r="I57" s="13" t="s">
        <v>7711</v>
      </c>
      <c r="J57" s="2" t="str">
        <f>VLOOKUP(I57,t_cliente!B:C,2,FALSE)</f>
        <v>IMBERA</v>
      </c>
      <c r="K57" s="2" t="s">
        <v>8303</v>
      </c>
      <c r="L57" s="2">
        <v>7</v>
      </c>
      <c r="M57" s="2" t="str">
        <f>VLOOKUP(L57,t_productStatus!A:B,2,FALSE)</f>
        <v>PRODUCCION</v>
      </c>
      <c r="N57" s="1" t="s">
        <v>7348</v>
      </c>
      <c r="O57" s="1" t="str">
        <f>VLOOKUP(N57,t_objeto!B:C,2,FALSE)</f>
        <v>PRODUCTO</v>
      </c>
      <c r="P57" s="1">
        <v>8</v>
      </c>
      <c r="Q57" s="1" t="str">
        <f>VLOOKUP(P57,t_entry_status!A:C,2,FALSE)</f>
        <v>PENDING</v>
      </c>
      <c r="R57" s="7">
        <v>45560</v>
      </c>
      <c r="S57" s="1" t="s">
        <v>7449</v>
      </c>
      <c r="T57" s="7">
        <v>45560</v>
      </c>
      <c r="U57" s="1" t="s">
        <v>7449</v>
      </c>
    </row>
    <row r="58" spans="1:21" x14ac:dyDescent="0.25">
      <c r="A58" s="1">
        <v>57</v>
      </c>
      <c r="B58" s="1" t="str">
        <f>_xlfn.CONCAT(N58,"-",VLOOKUP(N58,t_objeto!B:D,3,FALSE),"-",A58)</f>
        <v>PROD-PERCCO-57</v>
      </c>
      <c r="C58" s="12" t="s">
        <v>7636</v>
      </c>
      <c r="D58" s="1" t="s">
        <v>7637</v>
      </c>
      <c r="E58" s="1">
        <v>2</v>
      </c>
      <c r="F58" s="1" t="str">
        <f>VLOOKUP(E58,t_tipoProducto!A:B,2,FALSE)</f>
        <v>PARRILLAS</v>
      </c>
      <c r="G58" s="1" t="s">
        <v>7692</v>
      </c>
      <c r="H58" s="1" t="s">
        <v>7539</v>
      </c>
      <c r="I58" s="13" t="s">
        <v>7711</v>
      </c>
      <c r="J58" s="2" t="str">
        <f>VLOOKUP(I58,t_cliente!B:C,2,FALSE)</f>
        <v>IMBERA</v>
      </c>
      <c r="K58" s="2" t="s">
        <v>8304</v>
      </c>
      <c r="L58" s="2">
        <v>7</v>
      </c>
      <c r="M58" s="2" t="str">
        <f>VLOOKUP(L58,t_productStatus!A:B,2,FALSE)</f>
        <v>PRODUCCION</v>
      </c>
      <c r="N58" s="1" t="s">
        <v>7348</v>
      </c>
      <c r="O58" s="1" t="str">
        <f>VLOOKUP(N58,t_objeto!B:C,2,FALSE)</f>
        <v>PRODUCTO</v>
      </c>
      <c r="P58" s="1">
        <v>8</v>
      </c>
      <c r="Q58" s="1" t="str">
        <f>VLOOKUP(P58,t_entry_status!A:C,2,FALSE)</f>
        <v>PENDING</v>
      </c>
      <c r="R58" s="7">
        <v>45560</v>
      </c>
      <c r="S58" s="1" t="s">
        <v>7449</v>
      </c>
      <c r="T58" s="7">
        <v>45560</v>
      </c>
      <c r="U58" s="1" t="s">
        <v>7449</v>
      </c>
    </row>
    <row r="59" spans="1:21" x14ac:dyDescent="0.25">
      <c r="A59" s="1">
        <v>58</v>
      </c>
      <c r="B59" s="1" t="str">
        <f>_xlfn.CONCAT(N59,"-",VLOOKUP(N59,t_objeto!B:D,3,FALSE),"-",A59)</f>
        <v>PROD-PERCCO-58</v>
      </c>
      <c r="C59" s="12" t="s">
        <v>7663</v>
      </c>
      <c r="D59" s="1" t="s">
        <v>7664</v>
      </c>
      <c r="E59" s="1">
        <v>2</v>
      </c>
      <c r="F59" s="1" t="str">
        <f>VLOOKUP(E59,t_tipoProducto!A:B,2,FALSE)</f>
        <v>PARRILLAS</v>
      </c>
      <c r="G59" s="1" t="s">
        <v>7699</v>
      </c>
      <c r="H59" s="1" t="s">
        <v>7681</v>
      </c>
      <c r="I59" s="13" t="s">
        <v>7711</v>
      </c>
      <c r="J59" s="2" t="str">
        <f>VLOOKUP(I59,t_cliente!B:C,2,FALSE)</f>
        <v>IMBERA</v>
      </c>
      <c r="K59" s="2" t="s">
        <v>8305</v>
      </c>
      <c r="L59" s="2">
        <v>7</v>
      </c>
      <c r="M59" s="2" t="str">
        <f>VLOOKUP(L59,t_productStatus!A:B,2,FALSE)</f>
        <v>PRODUCCION</v>
      </c>
      <c r="N59" s="1" t="s">
        <v>7348</v>
      </c>
      <c r="O59" s="1" t="str">
        <f>VLOOKUP(N59,t_objeto!B:C,2,FALSE)</f>
        <v>PRODUCTO</v>
      </c>
      <c r="P59" s="1">
        <v>8</v>
      </c>
      <c r="Q59" s="1" t="str">
        <f>VLOOKUP(P59,t_entry_status!A:C,2,FALSE)</f>
        <v>PENDING</v>
      </c>
      <c r="R59" s="7">
        <v>45560</v>
      </c>
      <c r="S59" s="1" t="s">
        <v>7449</v>
      </c>
      <c r="T59" s="7">
        <v>45560</v>
      </c>
      <c r="U59" s="1" t="s">
        <v>7449</v>
      </c>
    </row>
    <row r="60" spans="1:21" x14ac:dyDescent="0.25">
      <c r="A60" s="1">
        <v>59</v>
      </c>
      <c r="B60" s="1" t="str">
        <f>_xlfn.CONCAT(N60,"-",VLOOKUP(N60,t_objeto!B:D,3,FALSE),"-",A60)</f>
        <v>PROD-PERCCO-59</v>
      </c>
      <c r="C60" s="12" t="s">
        <v>7629</v>
      </c>
      <c r="D60" s="1" t="s">
        <v>7630</v>
      </c>
      <c r="E60" s="1">
        <v>2</v>
      </c>
      <c r="F60" s="1" t="str">
        <f>VLOOKUP(E60,t_tipoProducto!A:B,2,FALSE)</f>
        <v>PARRILLAS</v>
      </c>
      <c r="G60" s="1" t="s">
        <v>7629</v>
      </c>
      <c r="H60" s="1" t="s">
        <v>7531</v>
      </c>
      <c r="I60" s="13" t="s">
        <v>7711</v>
      </c>
      <c r="J60" s="2" t="str">
        <f>VLOOKUP(I60,t_cliente!B:C,2,FALSE)</f>
        <v>IMBERA</v>
      </c>
      <c r="K60" s="2" t="s">
        <v>8306</v>
      </c>
      <c r="L60" s="2">
        <v>7</v>
      </c>
      <c r="M60" s="2" t="str">
        <f>VLOOKUP(L60,t_productStatus!A:B,2,FALSE)</f>
        <v>PRODUCCION</v>
      </c>
      <c r="N60" s="1" t="s">
        <v>7348</v>
      </c>
      <c r="O60" s="1" t="str">
        <f>VLOOKUP(N60,t_objeto!B:C,2,FALSE)</f>
        <v>PRODUCTO</v>
      </c>
      <c r="P60" s="1">
        <v>8</v>
      </c>
      <c r="Q60" s="1" t="str">
        <f>VLOOKUP(P60,t_entry_status!A:C,2,FALSE)</f>
        <v>PENDING</v>
      </c>
      <c r="R60" s="7">
        <v>45560</v>
      </c>
      <c r="S60" s="1" t="s">
        <v>7449</v>
      </c>
      <c r="T60" s="7">
        <v>45560</v>
      </c>
      <c r="U60" s="1" t="s">
        <v>7449</v>
      </c>
    </row>
    <row r="61" spans="1:21" x14ac:dyDescent="0.25">
      <c r="A61" s="1">
        <v>60</v>
      </c>
      <c r="B61" s="1" t="str">
        <f>_xlfn.CONCAT(N61,"-",VLOOKUP(N61,t_objeto!B:D,3,FALSE),"-",A61)</f>
        <v>PROD-PERCCO-60</v>
      </c>
      <c r="C61" s="12" t="s">
        <v>7640</v>
      </c>
      <c r="D61" s="1" t="s">
        <v>7641</v>
      </c>
      <c r="E61" s="1">
        <v>2</v>
      </c>
      <c r="F61" s="1" t="str">
        <f>VLOOKUP(E61,t_tipoProducto!A:B,2,FALSE)</f>
        <v>PARRILLAS</v>
      </c>
      <c r="G61" s="1" t="s">
        <v>7640</v>
      </c>
      <c r="H61" s="1" t="s">
        <v>7536</v>
      </c>
      <c r="I61" s="13" t="s">
        <v>7711</v>
      </c>
      <c r="J61" s="2" t="str">
        <f>VLOOKUP(I61,t_cliente!B:C,2,FALSE)</f>
        <v>IMBERA</v>
      </c>
      <c r="K61" s="2" t="s">
        <v>8307</v>
      </c>
      <c r="L61" s="2">
        <v>7</v>
      </c>
      <c r="M61" s="2" t="str">
        <f>VLOOKUP(L61,t_productStatus!A:B,2,FALSE)</f>
        <v>PRODUCCION</v>
      </c>
      <c r="N61" s="1" t="s">
        <v>7348</v>
      </c>
      <c r="O61" s="1" t="str">
        <f>VLOOKUP(N61,t_objeto!B:C,2,FALSE)</f>
        <v>PRODUCTO</v>
      </c>
      <c r="P61" s="1">
        <v>8</v>
      </c>
      <c r="Q61" s="1" t="str">
        <f>VLOOKUP(P61,t_entry_status!A:C,2,FALSE)</f>
        <v>PENDING</v>
      </c>
      <c r="R61" s="7">
        <v>45560</v>
      </c>
      <c r="S61" s="1" t="s">
        <v>7449</v>
      </c>
      <c r="T61" s="7">
        <v>45560</v>
      </c>
      <c r="U61" s="1" t="s">
        <v>7449</v>
      </c>
    </row>
    <row r="62" spans="1:21" x14ac:dyDescent="0.25">
      <c r="A62" s="1">
        <v>61</v>
      </c>
      <c r="B62" s="1" t="str">
        <f>_xlfn.CONCAT(N62,"-",VLOOKUP(N62,t_objeto!B:D,3,FALSE),"-",A62)</f>
        <v>PROD-PERCCO-61</v>
      </c>
      <c r="C62" s="12" t="s">
        <v>7558</v>
      </c>
      <c r="D62" s="1" t="s">
        <v>7559</v>
      </c>
      <c r="E62" s="1">
        <v>1</v>
      </c>
      <c r="F62" s="1" t="str">
        <f>VLOOKUP(E62,t_tipoProducto!A:B,2,FALSE)</f>
        <v>METALICO</v>
      </c>
      <c r="G62" s="1" t="s">
        <v>7558</v>
      </c>
      <c r="H62" s="1" t="s">
        <v>7530</v>
      </c>
      <c r="I62" s="13" t="s">
        <v>7711</v>
      </c>
      <c r="J62" s="2" t="str">
        <f>VLOOKUP(I62,t_cliente!B:C,2,FALSE)</f>
        <v>IMBERA</v>
      </c>
      <c r="K62" s="2" t="s">
        <v>8308</v>
      </c>
      <c r="L62" s="2">
        <v>7</v>
      </c>
      <c r="M62" s="2" t="str">
        <f>VLOOKUP(L62,t_productStatus!A:B,2,FALSE)</f>
        <v>PRODUCCION</v>
      </c>
      <c r="N62" s="1" t="s">
        <v>7348</v>
      </c>
      <c r="O62" s="1" t="str">
        <f>VLOOKUP(N62,t_objeto!B:C,2,FALSE)</f>
        <v>PRODUCTO</v>
      </c>
      <c r="P62" s="1">
        <v>8</v>
      </c>
      <c r="Q62" s="1" t="str">
        <f>VLOOKUP(P62,t_entry_status!A:C,2,FALSE)</f>
        <v>PENDING</v>
      </c>
      <c r="R62" s="7">
        <v>45560</v>
      </c>
      <c r="S62" s="1" t="s">
        <v>7449</v>
      </c>
      <c r="T62" s="7">
        <v>45560</v>
      </c>
      <c r="U62" s="1" t="s">
        <v>7449</v>
      </c>
    </row>
    <row r="63" spans="1:21" x14ac:dyDescent="0.25">
      <c r="A63" s="1">
        <v>62</v>
      </c>
      <c r="B63" s="1" t="str">
        <f>_xlfn.CONCAT(N63,"-",VLOOKUP(N63,t_objeto!B:D,3,FALSE),"-",A63)</f>
        <v>PROD-PERCCO-62</v>
      </c>
      <c r="C63" s="12" t="s">
        <v>7660</v>
      </c>
      <c r="D63" s="1" t="s">
        <v>7661</v>
      </c>
      <c r="E63" s="1">
        <v>2</v>
      </c>
      <c r="F63" s="1" t="str">
        <f>VLOOKUP(E63,t_tipoProducto!A:B,2,FALSE)</f>
        <v>PARRILLAS</v>
      </c>
      <c r="G63" s="1" t="s">
        <v>7660</v>
      </c>
      <c r="H63" s="1" t="s">
        <v>7681</v>
      </c>
      <c r="I63" s="13" t="s">
        <v>7711</v>
      </c>
      <c r="J63" s="2" t="str">
        <f>VLOOKUP(I63,t_cliente!B:C,2,FALSE)</f>
        <v>IMBERA</v>
      </c>
      <c r="K63" s="2" t="s">
        <v>8309</v>
      </c>
      <c r="L63" s="2">
        <v>7</v>
      </c>
      <c r="M63" s="2" t="str">
        <f>VLOOKUP(L63,t_productStatus!A:B,2,FALSE)</f>
        <v>PRODUCCION</v>
      </c>
      <c r="N63" s="1" t="s">
        <v>7348</v>
      </c>
      <c r="O63" s="1" t="str">
        <f>VLOOKUP(N63,t_objeto!B:C,2,FALSE)</f>
        <v>PRODUCTO</v>
      </c>
      <c r="P63" s="1">
        <v>8</v>
      </c>
      <c r="Q63" s="1" t="str">
        <f>VLOOKUP(P63,t_entry_status!A:C,2,FALSE)</f>
        <v>PENDING</v>
      </c>
      <c r="R63" s="7">
        <v>45560</v>
      </c>
      <c r="S63" s="1" t="s">
        <v>7449</v>
      </c>
      <c r="T63" s="7">
        <v>45560</v>
      </c>
      <c r="U63" s="1" t="s">
        <v>7449</v>
      </c>
    </row>
    <row r="64" spans="1:21" x14ac:dyDescent="0.25">
      <c r="A64" s="1">
        <v>63</v>
      </c>
      <c r="B64" s="1" t="str">
        <f>_xlfn.CONCAT(N64,"-",VLOOKUP(N64,t_objeto!B:D,3,FALSE),"-",A64)</f>
        <v>PROD-PERCCO-63</v>
      </c>
      <c r="C64" s="12" t="s">
        <v>7610</v>
      </c>
      <c r="D64" s="1" t="s">
        <v>7323</v>
      </c>
      <c r="E64" s="1">
        <v>2</v>
      </c>
      <c r="F64" s="1" t="str">
        <f>VLOOKUP(E64,t_tipoProducto!A:B,2,FALSE)</f>
        <v>PARRILLAS</v>
      </c>
      <c r="G64" s="1" t="s">
        <v>7610</v>
      </c>
      <c r="H64" s="1" t="s">
        <v>7531</v>
      </c>
      <c r="I64" s="13" t="s">
        <v>7711</v>
      </c>
      <c r="J64" s="2" t="str">
        <f>VLOOKUP(I64,t_cliente!B:C,2,FALSE)</f>
        <v>IMBERA</v>
      </c>
      <c r="K64" s="2" t="s">
        <v>8310</v>
      </c>
      <c r="L64" s="2">
        <v>7</v>
      </c>
      <c r="M64" s="2" t="str">
        <f>VLOOKUP(L64,t_productStatus!A:B,2,FALSE)</f>
        <v>PRODUCCION</v>
      </c>
      <c r="N64" s="1" t="s">
        <v>7348</v>
      </c>
      <c r="O64" s="1" t="str">
        <f>VLOOKUP(N64,t_objeto!B:C,2,FALSE)</f>
        <v>PRODUCTO</v>
      </c>
      <c r="P64" s="1">
        <v>8</v>
      </c>
      <c r="Q64" s="1" t="str">
        <f>VLOOKUP(P64,t_entry_status!A:C,2,FALSE)</f>
        <v>PENDING</v>
      </c>
      <c r="R64" s="7">
        <v>45560</v>
      </c>
      <c r="S64" s="1" t="s">
        <v>7449</v>
      </c>
      <c r="T64" s="7">
        <v>45560</v>
      </c>
      <c r="U64" s="1" t="s">
        <v>7449</v>
      </c>
    </row>
    <row r="65" spans="1:21" x14ac:dyDescent="0.25">
      <c r="A65" s="1">
        <v>64</v>
      </c>
      <c r="B65" s="1" t="str">
        <f>_xlfn.CONCAT(N65,"-",VLOOKUP(N65,t_objeto!B:D,3,FALSE),"-",A65)</f>
        <v>PROD-PERCCO-64</v>
      </c>
      <c r="C65" s="12" t="s">
        <v>7613</v>
      </c>
      <c r="D65" s="1" t="s">
        <v>7614</v>
      </c>
      <c r="E65" s="1">
        <v>2</v>
      </c>
      <c r="F65" s="1" t="str">
        <f>VLOOKUP(E65,t_tipoProducto!A:B,2,FALSE)</f>
        <v>PARRILLAS</v>
      </c>
      <c r="G65" s="1" t="s">
        <v>7613</v>
      </c>
      <c r="H65" s="1" t="s">
        <v>7531</v>
      </c>
      <c r="I65" s="13" t="s">
        <v>7711</v>
      </c>
      <c r="J65" s="2" t="str">
        <f>VLOOKUP(I65,t_cliente!B:C,2,FALSE)</f>
        <v>IMBERA</v>
      </c>
      <c r="K65" s="2" t="s">
        <v>8311</v>
      </c>
      <c r="L65" s="2">
        <v>7</v>
      </c>
      <c r="M65" s="2" t="str">
        <f>VLOOKUP(L65,t_productStatus!A:B,2,FALSE)</f>
        <v>PRODUCCION</v>
      </c>
      <c r="N65" s="1" t="s">
        <v>7348</v>
      </c>
      <c r="O65" s="1" t="str">
        <f>VLOOKUP(N65,t_objeto!B:C,2,FALSE)</f>
        <v>PRODUCTO</v>
      </c>
      <c r="P65" s="1">
        <v>8</v>
      </c>
      <c r="Q65" s="1" t="str">
        <f>VLOOKUP(P65,t_entry_status!A:C,2,FALSE)</f>
        <v>PENDING</v>
      </c>
      <c r="R65" s="7">
        <v>45560</v>
      </c>
      <c r="S65" s="1" t="s">
        <v>7449</v>
      </c>
      <c r="T65" s="7">
        <v>45560</v>
      </c>
      <c r="U65" s="1" t="s">
        <v>7449</v>
      </c>
    </row>
    <row r="66" spans="1:21" x14ac:dyDescent="0.25">
      <c r="A66" s="1">
        <v>65</v>
      </c>
      <c r="B66" s="1" t="str">
        <f>_xlfn.CONCAT(N66,"-",VLOOKUP(N66,t_objeto!B:D,3,FALSE),"-",A66)</f>
        <v>PROD-PERCCO-65</v>
      </c>
      <c r="C66" s="12" t="s">
        <v>7608</v>
      </c>
      <c r="D66" s="1" t="s">
        <v>7609</v>
      </c>
      <c r="E66" s="1">
        <v>2</v>
      </c>
      <c r="F66" s="1" t="str">
        <f>VLOOKUP(E66,t_tipoProducto!A:B,2,FALSE)</f>
        <v>PARRILLAS</v>
      </c>
      <c r="G66" s="1" t="s">
        <v>7608</v>
      </c>
      <c r="H66" s="1" t="s">
        <v>7531</v>
      </c>
      <c r="I66" s="13" t="s">
        <v>7711</v>
      </c>
      <c r="J66" s="2" t="str">
        <f>VLOOKUP(I66,t_cliente!B:C,2,FALSE)</f>
        <v>IMBERA</v>
      </c>
      <c r="K66" s="2" t="s">
        <v>8312</v>
      </c>
      <c r="L66" s="2">
        <v>7</v>
      </c>
      <c r="M66" s="2" t="str">
        <f>VLOOKUP(L66,t_productStatus!A:B,2,FALSE)</f>
        <v>PRODUCCION</v>
      </c>
      <c r="N66" s="1" t="s">
        <v>7348</v>
      </c>
      <c r="O66" s="1" t="str">
        <f>VLOOKUP(N66,t_objeto!B:C,2,FALSE)</f>
        <v>PRODUCTO</v>
      </c>
      <c r="P66" s="1">
        <v>8</v>
      </c>
      <c r="Q66" s="1" t="str">
        <f>VLOOKUP(P66,t_entry_status!A:C,2,FALSE)</f>
        <v>PENDING</v>
      </c>
      <c r="R66" s="7">
        <v>45560</v>
      </c>
      <c r="S66" s="1" t="s">
        <v>7449</v>
      </c>
      <c r="T66" s="7">
        <v>45560</v>
      </c>
      <c r="U66" s="1" t="s">
        <v>7449</v>
      </c>
    </row>
    <row r="67" spans="1:21" x14ac:dyDescent="0.25">
      <c r="A67" s="1">
        <v>66</v>
      </c>
      <c r="B67" s="1" t="str">
        <f>_xlfn.CONCAT(N67,"-",VLOOKUP(N67,t_objeto!B:D,3,FALSE),"-",A67)</f>
        <v>PROD-PERCCO-66</v>
      </c>
      <c r="C67" s="12" t="s">
        <v>7674</v>
      </c>
      <c r="D67" s="1" t="s">
        <v>7675</v>
      </c>
      <c r="F67" s="1" t="e">
        <f>VLOOKUP(E67,t_tipoProducto!A:B,2,FALSE)</f>
        <v>#N/A</v>
      </c>
      <c r="G67" s="1" t="s">
        <v>7674</v>
      </c>
      <c r="H67" s="1" t="s">
        <v>7681</v>
      </c>
      <c r="I67" s="13" t="s">
        <v>7711</v>
      </c>
      <c r="J67" s="2" t="str">
        <f>VLOOKUP(I67,t_cliente!B:C,2,FALSE)</f>
        <v>IMBERA</v>
      </c>
      <c r="K67" s="2" t="s">
        <v>8313</v>
      </c>
      <c r="L67" s="2">
        <v>7</v>
      </c>
      <c r="M67" s="2" t="str">
        <f>VLOOKUP(L67,t_productStatus!A:B,2,FALSE)</f>
        <v>PRODUCCION</v>
      </c>
      <c r="N67" s="1" t="s">
        <v>7348</v>
      </c>
      <c r="O67" s="1" t="str">
        <f>VLOOKUP(N67,t_objeto!B:C,2,FALSE)</f>
        <v>PRODUCTO</v>
      </c>
      <c r="P67" s="1">
        <v>8</v>
      </c>
      <c r="Q67" s="1" t="str">
        <f>VLOOKUP(P67,t_entry_status!A:C,2,FALSE)</f>
        <v>PENDING</v>
      </c>
      <c r="R67" s="7">
        <v>45560</v>
      </c>
      <c r="S67" s="1" t="s">
        <v>7449</v>
      </c>
      <c r="T67" s="7">
        <v>45560</v>
      </c>
      <c r="U67" s="1" t="s">
        <v>7449</v>
      </c>
    </row>
    <row r="68" spans="1:21" x14ac:dyDescent="0.25">
      <c r="A68" s="1">
        <v>67</v>
      </c>
      <c r="B68" s="1" t="str">
        <f>_xlfn.CONCAT(N68,"-",VLOOKUP(N68,t_objeto!B:D,3,FALSE),"-",A68)</f>
        <v>PROD-PERCCO-67</v>
      </c>
      <c r="C68" s="12" t="s">
        <v>7602</v>
      </c>
      <c r="D68" s="1" t="s">
        <v>7603</v>
      </c>
      <c r="E68" s="1">
        <v>2</v>
      </c>
      <c r="F68" s="1" t="str">
        <f>VLOOKUP(E68,t_tipoProducto!A:B,2,FALSE)</f>
        <v>PARRILLAS</v>
      </c>
      <c r="G68" s="1" t="s">
        <v>7602</v>
      </c>
      <c r="H68" s="1" t="s">
        <v>7531</v>
      </c>
      <c r="I68" s="13" t="s">
        <v>7711</v>
      </c>
      <c r="J68" s="2" t="str">
        <f>VLOOKUP(I68,t_cliente!B:C,2,FALSE)</f>
        <v>IMBERA</v>
      </c>
      <c r="K68" s="2" t="s">
        <v>8314</v>
      </c>
      <c r="L68" s="2">
        <v>7</v>
      </c>
      <c r="M68" s="2" t="str">
        <f>VLOOKUP(L68,t_productStatus!A:B,2,FALSE)</f>
        <v>PRODUCCION</v>
      </c>
      <c r="N68" s="1" t="s">
        <v>7348</v>
      </c>
      <c r="O68" s="1" t="str">
        <f>VLOOKUP(N68,t_objeto!B:C,2,FALSE)</f>
        <v>PRODUCTO</v>
      </c>
      <c r="P68" s="1">
        <v>8</v>
      </c>
      <c r="Q68" s="1" t="str">
        <f>VLOOKUP(P68,t_entry_status!A:C,2,FALSE)</f>
        <v>PENDING</v>
      </c>
      <c r="R68" s="7">
        <v>45560</v>
      </c>
      <c r="S68" s="1" t="s">
        <v>7449</v>
      </c>
      <c r="T68" s="7">
        <v>45560</v>
      </c>
      <c r="U68" s="1" t="s">
        <v>7449</v>
      </c>
    </row>
    <row r="69" spans="1:21" x14ac:dyDescent="0.25">
      <c r="A69" s="1">
        <v>68</v>
      </c>
      <c r="B69" s="1" t="str">
        <f>_xlfn.CONCAT(N69,"-",VLOOKUP(N69,t_objeto!B:D,3,FALSE),"-",A69)</f>
        <v>PROD-PERCCO-68</v>
      </c>
      <c r="C69" s="12" t="s">
        <v>7548</v>
      </c>
      <c r="D69" s="1" t="s">
        <v>7549</v>
      </c>
      <c r="F69" s="1" t="e">
        <f>VLOOKUP(E69,t_tipoProducto!A:B,2,FALSE)</f>
        <v>#N/A</v>
      </c>
      <c r="G69" s="1" t="s">
        <v>7548</v>
      </c>
      <c r="H69" s="1" t="s">
        <v>7531</v>
      </c>
      <c r="I69" s="13" t="s">
        <v>7711</v>
      </c>
      <c r="J69" s="2" t="str">
        <f>VLOOKUP(I69,t_cliente!B:C,2,FALSE)</f>
        <v>IMBERA</v>
      </c>
      <c r="K69" s="2" t="s">
        <v>8315</v>
      </c>
      <c r="L69" s="2">
        <v>7</v>
      </c>
      <c r="M69" s="2" t="str">
        <f>VLOOKUP(L69,t_productStatus!A:B,2,FALSE)</f>
        <v>PRODUCCION</v>
      </c>
      <c r="N69" s="1" t="s">
        <v>7348</v>
      </c>
      <c r="O69" s="1" t="str">
        <f>VLOOKUP(N69,t_objeto!B:C,2,FALSE)</f>
        <v>PRODUCTO</v>
      </c>
      <c r="P69" s="1">
        <v>8</v>
      </c>
      <c r="Q69" s="1" t="str">
        <f>VLOOKUP(P69,t_entry_status!A:C,2,FALSE)</f>
        <v>PENDING</v>
      </c>
      <c r="R69" s="7">
        <v>45560</v>
      </c>
      <c r="S69" s="1" t="s">
        <v>7449</v>
      </c>
      <c r="T69" s="7">
        <v>45560</v>
      </c>
      <c r="U69" s="1" t="s">
        <v>7449</v>
      </c>
    </row>
    <row r="70" spans="1:21" x14ac:dyDescent="0.25">
      <c r="A70" s="1">
        <v>69</v>
      </c>
      <c r="B70" s="1" t="str">
        <f>_xlfn.CONCAT(N70,"-",VLOOKUP(N70,t_objeto!B:D,3,FALSE),"-",A70)</f>
        <v>PROD-PERCCO-69</v>
      </c>
      <c r="C70" s="12" t="s">
        <v>7594</v>
      </c>
      <c r="D70" s="1" t="s">
        <v>7595</v>
      </c>
      <c r="F70" s="1" t="e">
        <f>VLOOKUP(E70,t_tipoProducto!A:B,2,FALSE)</f>
        <v>#N/A</v>
      </c>
      <c r="G70" s="1" t="s">
        <v>7594</v>
      </c>
      <c r="H70" s="1" t="s">
        <v>7681</v>
      </c>
      <c r="I70" s="13" t="s">
        <v>7711</v>
      </c>
      <c r="J70" s="2" t="str">
        <f>VLOOKUP(I70,t_cliente!B:C,2,FALSE)</f>
        <v>IMBERA</v>
      </c>
      <c r="K70" s="2" t="s">
        <v>8316</v>
      </c>
      <c r="L70" s="2">
        <v>7</v>
      </c>
      <c r="M70" s="2" t="str">
        <f>VLOOKUP(L70,t_productStatus!A:B,2,FALSE)</f>
        <v>PRODUCCION</v>
      </c>
      <c r="N70" s="1" t="s">
        <v>7348</v>
      </c>
      <c r="O70" s="1" t="str">
        <f>VLOOKUP(N70,t_objeto!B:C,2,FALSE)</f>
        <v>PRODUCTO</v>
      </c>
      <c r="P70" s="1">
        <v>8</v>
      </c>
      <c r="Q70" s="1" t="str">
        <f>VLOOKUP(P70,t_entry_status!A:C,2,FALSE)</f>
        <v>PENDING</v>
      </c>
      <c r="R70" s="7">
        <v>45560</v>
      </c>
      <c r="S70" s="1" t="s">
        <v>7449</v>
      </c>
      <c r="T70" s="7">
        <v>45560</v>
      </c>
      <c r="U70" s="1" t="s">
        <v>7449</v>
      </c>
    </row>
    <row r="71" spans="1:21" x14ac:dyDescent="0.25">
      <c r="A71" s="1">
        <v>70</v>
      </c>
      <c r="B71" s="1" t="str">
        <f>_xlfn.CONCAT(N71,"-",VLOOKUP(N71,t_objeto!B:D,3,FALSE),"-",A71)</f>
        <v>PROD-PERCCO-70</v>
      </c>
      <c r="C71" s="12" t="s">
        <v>7544</v>
      </c>
      <c r="D71" s="1" t="s">
        <v>7545</v>
      </c>
      <c r="F71" s="1" t="e">
        <f>VLOOKUP(E71,t_tipoProducto!A:B,2,FALSE)</f>
        <v>#N/A</v>
      </c>
      <c r="G71" s="1" t="s">
        <v>7544</v>
      </c>
      <c r="H71" s="1" t="s">
        <v>7681</v>
      </c>
      <c r="I71" s="13" t="s">
        <v>7711</v>
      </c>
      <c r="J71" s="2" t="str">
        <f>VLOOKUP(I71,t_cliente!B:C,2,FALSE)</f>
        <v>IMBERA</v>
      </c>
      <c r="K71" s="2" t="s">
        <v>8317</v>
      </c>
      <c r="L71" s="2">
        <v>7</v>
      </c>
      <c r="M71" s="2" t="str">
        <f>VLOOKUP(L71,t_productStatus!A:B,2,FALSE)</f>
        <v>PRODUCCION</v>
      </c>
      <c r="N71" s="1" t="s">
        <v>7348</v>
      </c>
      <c r="O71" s="1" t="str">
        <f>VLOOKUP(N71,t_objeto!B:C,2,FALSE)</f>
        <v>PRODUCTO</v>
      </c>
      <c r="P71" s="1">
        <v>8</v>
      </c>
      <c r="Q71" s="1" t="str">
        <f>VLOOKUP(P71,t_entry_status!A:C,2,FALSE)</f>
        <v>PENDING</v>
      </c>
      <c r="R71" s="7">
        <v>45560</v>
      </c>
      <c r="S71" s="1" t="s">
        <v>7449</v>
      </c>
      <c r="T71" s="7">
        <v>45560</v>
      </c>
      <c r="U71" s="1" t="s">
        <v>7449</v>
      </c>
    </row>
    <row r="72" spans="1:21" x14ac:dyDescent="0.25">
      <c r="A72" s="1">
        <v>71</v>
      </c>
      <c r="B72" s="1" t="str">
        <f>_xlfn.CONCAT(N72,"-",VLOOKUP(N72,t_objeto!B:D,3,FALSE),"-",A72)</f>
        <v>PROD-PERCCO-71</v>
      </c>
      <c r="C72" s="12" t="s">
        <v>7554</v>
      </c>
      <c r="D72" s="1" t="s">
        <v>7555</v>
      </c>
      <c r="F72" s="1" t="e">
        <f>VLOOKUP(E72,t_tipoProducto!A:B,2,FALSE)</f>
        <v>#N/A</v>
      </c>
      <c r="G72" s="1" t="s">
        <v>7554</v>
      </c>
      <c r="H72" s="1" t="s">
        <v>7531</v>
      </c>
      <c r="I72" s="13" t="s">
        <v>7711</v>
      </c>
      <c r="J72" s="2" t="str">
        <f>VLOOKUP(I72,t_cliente!B:C,2,FALSE)</f>
        <v>IMBERA</v>
      </c>
      <c r="K72" s="2" t="s">
        <v>8318</v>
      </c>
      <c r="L72" s="2">
        <v>7</v>
      </c>
      <c r="M72" s="2" t="str">
        <f>VLOOKUP(L72,t_productStatus!A:B,2,FALSE)</f>
        <v>PRODUCCION</v>
      </c>
      <c r="N72" s="1" t="s">
        <v>7348</v>
      </c>
      <c r="O72" s="1" t="str">
        <f>VLOOKUP(N72,t_objeto!B:C,2,FALSE)</f>
        <v>PRODUCTO</v>
      </c>
      <c r="P72" s="1">
        <v>8</v>
      </c>
      <c r="Q72" s="1" t="str">
        <f>VLOOKUP(P72,t_entry_status!A:C,2,FALSE)</f>
        <v>PENDING</v>
      </c>
      <c r="R72" s="7">
        <v>45560</v>
      </c>
      <c r="S72" s="1" t="s">
        <v>7449</v>
      </c>
      <c r="T72" s="7">
        <v>45560</v>
      </c>
      <c r="U72" s="1" t="s">
        <v>7449</v>
      </c>
    </row>
    <row r="73" spans="1:21" x14ac:dyDescent="0.25">
      <c r="A73" s="1">
        <v>72</v>
      </c>
      <c r="B73" s="1" t="str">
        <f>_xlfn.CONCAT(N73,"-",VLOOKUP(N73,t_objeto!B:D,3,FALSE),"-",A73)</f>
        <v>PROD-PERCCO-72</v>
      </c>
      <c r="C73" s="12" t="s">
        <v>7552</v>
      </c>
      <c r="D73" s="1" t="s">
        <v>7553</v>
      </c>
      <c r="F73" s="1" t="e">
        <f>VLOOKUP(E73,t_tipoProducto!A:B,2,FALSE)</f>
        <v>#N/A</v>
      </c>
      <c r="G73" s="1" t="s">
        <v>7552</v>
      </c>
      <c r="H73" s="1" t="s">
        <v>7681</v>
      </c>
      <c r="I73" s="13" t="s">
        <v>7711</v>
      </c>
      <c r="J73" s="2" t="str">
        <f>VLOOKUP(I73,t_cliente!B:C,2,FALSE)</f>
        <v>IMBERA</v>
      </c>
      <c r="K73" s="2" t="s">
        <v>8319</v>
      </c>
      <c r="L73" s="2">
        <v>7</v>
      </c>
      <c r="M73" s="2" t="str">
        <f>VLOOKUP(L73,t_productStatus!A:B,2,FALSE)</f>
        <v>PRODUCCION</v>
      </c>
      <c r="N73" s="1" t="s">
        <v>7348</v>
      </c>
      <c r="O73" s="1" t="str">
        <f>VLOOKUP(N73,t_objeto!B:C,2,FALSE)</f>
        <v>PRODUCTO</v>
      </c>
      <c r="P73" s="1">
        <v>8</v>
      </c>
      <c r="Q73" s="1" t="str">
        <f>VLOOKUP(P73,t_entry_status!A:C,2,FALSE)</f>
        <v>PENDING</v>
      </c>
      <c r="R73" s="7">
        <v>45560</v>
      </c>
      <c r="S73" s="1" t="s">
        <v>7449</v>
      </c>
      <c r="T73" s="7">
        <v>45560</v>
      </c>
      <c r="U73" s="1" t="s">
        <v>7449</v>
      </c>
    </row>
    <row r="74" spans="1:21" x14ac:dyDescent="0.25">
      <c r="A74" s="1">
        <v>73</v>
      </c>
      <c r="B74" s="1" t="str">
        <f>_xlfn.CONCAT(N74,"-",VLOOKUP(N74,t_objeto!B:D,3,FALSE),"-",A74)</f>
        <v>PROD-PERCCO-73</v>
      </c>
      <c r="C74" s="12" t="s">
        <v>7666</v>
      </c>
      <c r="D74" s="1" t="s">
        <v>7667</v>
      </c>
      <c r="F74" s="1" t="e">
        <f>VLOOKUP(E74,t_tipoProducto!A:B,2,FALSE)</f>
        <v>#N/A</v>
      </c>
      <c r="G74" s="1" t="s">
        <v>7666</v>
      </c>
      <c r="H74" s="1" t="s">
        <v>7531</v>
      </c>
      <c r="I74" s="13" t="s">
        <v>7711</v>
      </c>
      <c r="J74" s="2" t="str">
        <f>VLOOKUP(I74,t_cliente!B:C,2,FALSE)</f>
        <v>IMBERA</v>
      </c>
      <c r="K74" s="2" t="s">
        <v>8320</v>
      </c>
      <c r="L74" s="2">
        <v>7</v>
      </c>
      <c r="M74" s="2" t="str">
        <f>VLOOKUP(L74,t_productStatus!A:B,2,FALSE)</f>
        <v>PRODUCCION</v>
      </c>
      <c r="N74" s="1" t="s">
        <v>7348</v>
      </c>
      <c r="O74" s="1" t="str">
        <f>VLOOKUP(N74,t_objeto!B:C,2,FALSE)</f>
        <v>PRODUCTO</v>
      </c>
      <c r="P74" s="1">
        <v>8</v>
      </c>
      <c r="Q74" s="1" t="str">
        <f>VLOOKUP(P74,t_entry_status!A:C,2,FALSE)</f>
        <v>PENDING</v>
      </c>
      <c r="R74" s="7">
        <v>45560</v>
      </c>
      <c r="S74" s="1" t="s">
        <v>7449</v>
      </c>
      <c r="T74" s="7">
        <v>45560</v>
      </c>
      <c r="U74" s="1" t="s">
        <v>7449</v>
      </c>
    </row>
    <row r="75" spans="1:21" x14ac:dyDescent="0.25">
      <c r="A75" s="1">
        <v>74</v>
      </c>
      <c r="B75" s="1" t="str">
        <f>_xlfn.CONCAT(N75,"-",VLOOKUP(N75,t_objeto!B:D,3,FALSE),"-",A75)</f>
        <v>PROD-PERCCO-74</v>
      </c>
      <c r="C75" s="12" t="s">
        <v>7542</v>
      </c>
      <c r="D75" s="1" t="s">
        <v>7543</v>
      </c>
      <c r="F75" s="1" t="e">
        <f>VLOOKUP(E75,t_tipoProducto!A:B,2,FALSE)</f>
        <v>#N/A</v>
      </c>
      <c r="G75" s="1" t="s">
        <v>7542</v>
      </c>
      <c r="H75" s="1" t="s">
        <v>7531</v>
      </c>
      <c r="I75" s="13" t="s">
        <v>7711</v>
      </c>
      <c r="J75" s="2" t="str">
        <f>VLOOKUP(I75,t_cliente!B:C,2,FALSE)</f>
        <v>IMBERA</v>
      </c>
      <c r="K75" s="2" t="s">
        <v>8321</v>
      </c>
      <c r="L75" s="2">
        <v>7</v>
      </c>
      <c r="M75" s="2" t="str">
        <f>VLOOKUP(L75,t_productStatus!A:B,2,FALSE)</f>
        <v>PRODUCCION</v>
      </c>
      <c r="N75" s="1" t="s">
        <v>7348</v>
      </c>
      <c r="O75" s="1" t="str">
        <f>VLOOKUP(N75,t_objeto!B:C,2,FALSE)</f>
        <v>PRODUCTO</v>
      </c>
      <c r="P75" s="1">
        <v>8</v>
      </c>
      <c r="Q75" s="1" t="str">
        <f>VLOOKUP(P75,t_entry_status!A:C,2,FALSE)</f>
        <v>PENDING</v>
      </c>
      <c r="R75" s="7">
        <v>45560</v>
      </c>
      <c r="S75" s="1" t="s">
        <v>7449</v>
      </c>
      <c r="T75" s="7">
        <v>45560</v>
      </c>
      <c r="U75" s="1" t="s">
        <v>7449</v>
      </c>
    </row>
    <row r="76" spans="1:21" x14ac:dyDescent="0.25">
      <c r="A76" s="1">
        <v>75</v>
      </c>
      <c r="B76" s="1" t="str">
        <f>_xlfn.CONCAT(N76,"-",VLOOKUP(N76,t_objeto!B:D,3,FALSE),"-",A76)</f>
        <v>PROD-PERCCO-75</v>
      </c>
      <c r="C76" s="12" t="s">
        <v>7658</v>
      </c>
      <c r="D76" s="1" t="s">
        <v>7659</v>
      </c>
      <c r="F76" s="1" t="e">
        <f>VLOOKUP(E76,t_tipoProducto!A:B,2,FALSE)</f>
        <v>#N/A</v>
      </c>
      <c r="G76" s="1" t="s">
        <v>7658</v>
      </c>
      <c r="H76" s="1" t="s">
        <v>7681</v>
      </c>
      <c r="I76" s="13" t="s">
        <v>7711</v>
      </c>
      <c r="J76" s="2" t="str">
        <f>VLOOKUP(I76,t_cliente!B:C,2,FALSE)</f>
        <v>IMBERA</v>
      </c>
      <c r="K76" s="2" t="s">
        <v>8322</v>
      </c>
      <c r="L76" s="2">
        <v>7</v>
      </c>
      <c r="M76" s="2" t="str">
        <f>VLOOKUP(L76,t_productStatus!A:B,2,FALSE)</f>
        <v>PRODUCCION</v>
      </c>
      <c r="N76" s="1" t="s">
        <v>7348</v>
      </c>
      <c r="O76" s="1" t="str">
        <f>VLOOKUP(N76,t_objeto!B:C,2,FALSE)</f>
        <v>PRODUCTO</v>
      </c>
      <c r="P76" s="1">
        <v>8</v>
      </c>
      <c r="Q76" s="1" t="str">
        <f>VLOOKUP(P76,t_entry_status!A:C,2,FALSE)</f>
        <v>PENDING</v>
      </c>
      <c r="R76" s="7">
        <v>45560</v>
      </c>
      <c r="S76" s="1" t="s">
        <v>7449</v>
      </c>
      <c r="T76" s="7">
        <v>45560</v>
      </c>
      <c r="U76" s="1" t="s">
        <v>7449</v>
      </c>
    </row>
    <row r="77" spans="1:21" x14ac:dyDescent="0.25">
      <c r="A77" s="1">
        <v>76</v>
      </c>
      <c r="B77" s="1" t="str">
        <f>_xlfn.CONCAT(N77,"-",VLOOKUP(N77,t_objeto!B:D,3,FALSE),"-",A77)</f>
        <v>PROD-PERCCO-76</v>
      </c>
      <c r="C77" s="12" t="s">
        <v>7619</v>
      </c>
      <c r="D77" s="1" t="s">
        <v>7620</v>
      </c>
      <c r="E77" s="1">
        <v>2</v>
      </c>
      <c r="F77" s="1" t="str">
        <f>VLOOKUP(E77,t_tipoProducto!A:B,2,FALSE)</f>
        <v>PARRILLAS</v>
      </c>
      <c r="G77" s="1" t="s">
        <v>7635</v>
      </c>
      <c r="H77" s="1" t="s">
        <v>7681</v>
      </c>
      <c r="I77" s="13" t="s">
        <v>7711</v>
      </c>
      <c r="J77" s="2" t="str">
        <f>VLOOKUP(I77,t_cliente!B:C,2,FALSE)</f>
        <v>IMBERA</v>
      </c>
      <c r="K77" s="2" t="s">
        <v>8323</v>
      </c>
      <c r="L77" s="2">
        <v>7</v>
      </c>
      <c r="M77" s="2" t="str">
        <f>VLOOKUP(L77,t_productStatus!A:B,2,FALSE)</f>
        <v>PRODUCCION</v>
      </c>
      <c r="N77" s="1" t="s">
        <v>7348</v>
      </c>
      <c r="O77" s="1" t="str">
        <f>VLOOKUP(N77,t_objeto!B:C,2,FALSE)</f>
        <v>PRODUCTO</v>
      </c>
      <c r="P77" s="1">
        <v>8</v>
      </c>
      <c r="Q77" s="1" t="str">
        <f>VLOOKUP(P77,t_entry_status!A:C,2,FALSE)</f>
        <v>PENDING</v>
      </c>
      <c r="R77" s="7">
        <v>45560</v>
      </c>
      <c r="S77" s="1" t="s">
        <v>7449</v>
      </c>
      <c r="T77" s="7">
        <v>45560</v>
      </c>
      <c r="U77" s="1" t="s">
        <v>7449</v>
      </c>
    </row>
    <row r="78" spans="1:21" x14ac:dyDescent="0.25">
      <c r="A78" s="1">
        <v>77</v>
      </c>
      <c r="B78" s="1" t="str">
        <f>_xlfn.CONCAT(N78,"-",VLOOKUP(N78,t_objeto!B:D,3,FALSE),"-",A78)</f>
        <v>PROD-PERCCO-77</v>
      </c>
      <c r="C78" s="12" t="s">
        <v>7546</v>
      </c>
      <c r="D78" s="1" t="s">
        <v>7547</v>
      </c>
      <c r="F78" s="1" t="e">
        <f>VLOOKUP(E78,t_tipoProducto!A:B,2,FALSE)</f>
        <v>#N/A</v>
      </c>
      <c r="G78" s="1" t="s">
        <v>7546</v>
      </c>
      <c r="H78" s="1" t="s">
        <v>7531</v>
      </c>
      <c r="I78" s="13" t="s">
        <v>7711</v>
      </c>
      <c r="J78" s="2" t="str">
        <f>VLOOKUP(I78,t_cliente!B:C,2,FALSE)</f>
        <v>IMBERA</v>
      </c>
      <c r="K78" s="2" t="s">
        <v>8324</v>
      </c>
      <c r="L78" s="2">
        <v>7</v>
      </c>
      <c r="M78" s="2" t="str">
        <f>VLOOKUP(L78,t_productStatus!A:B,2,FALSE)</f>
        <v>PRODUCCION</v>
      </c>
      <c r="N78" s="1" t="s">
        <v>7348</v>
      </c>
      <c r="O78" s="1" t="str">
        <f>VLOOKUP(N78,t_objeto!B:C,2,FALSE)</f>
        <v>PRODUCTO</v>
      </c>
      <c r="P78" s="1">
        <v>8</v>
      </c>
      <c r="Q78" s="1" t="str">
        <f>VLOOKUP(P78,t_entry_status!A:C,2,FALSE)</f>
        <v>PENDING</v>
      </c>
      <c r="R78" s="7">
        <v>45560</v>
      </c>
      <c r="S78" s="1" t="s">
        <v>7449</v>
      </c>
      <c r="T78" s="7">
        <v>45560</v>
      </c>
      <c r="U78" s="1" t="s">
        <v>7449</v>
      </c>
    </row>
    <row r="79" spans="1:21" x14ac:dyDescent="0.25">
      <c r="A79" s="1">
        <v>78</v>
      </c>
      <c r="B79" s="1" t="str">
        <f>_xlfn.CONCAT(N79,"-",VLOOKUP(N79,t_objeto!B:D,3,FALSE),"-",A79)</f>
        <v>PROD-PERCCO-78</v>
      </c>
      <c r="C79" s="12" t="s">
        <v>7676</v>
      </c>
      <c r="D79" s="1" t="s">
        <v>7677</v>
      </c>
      <c r="F79" s="1" t="e">
        <f>VLOOKUP(E79,t_tipoProducto!A:B,2,FALSE)</f>
        <v>#N/A</v>
      </c>
      <c r="G79" s="1" t="s">
        <v>7702</v>
      </c>
      <c r="H79" s="1" t="s">
        <v>7531</v>
      </c>
      <c r="I79" s="13" t="s">
        <v>7711</v>
      </c>
      <c r="J79" s="2" t="str">
        <f>VLOOKUP(I79,t_cliente!B:C,2,FALSE)</f>
        <v>IMBERA</v>
      </c>
      <c r="K79" s="2" t="s">
        <v>8325</v>
      </c>
      <c r="L79" s="2">
        <v>7</v>
      </c>
      <c r="M79" s="2" t="str">
        <f>VLOOKUP(L79,t_productStatus!A:B,2,FALSE)</f>
        <v>PRODUCCION</v>
      </c>
      <c r="N79" s="1" t="s">
        <v>7348</v>
      </c>
      <c r="O79" s="1" t="str">
        <f>VLOOKUP(N79,t_objeto!B:C,2,FALSE)</f>
        <v>PRODUCTO</v>
      </c>
      <c r="P79" s="1">
        <v>8</v>
      </c>
      <c r="Q79" s="1" t="str">
        <f>VLOOKUP(P79,t_entry_status!A:C,2,FALSE)</f>
        <v>PENDING</v>
      </c>
      <c r="R79" s="7">
        <v>45560</v>
      </c>
      <c r="S79" s="1" t="s">
        <v>7449</v>
      </c>
      <c r="T79" s="7">
        <v>45560</v>
      </c>
      <c r="U79" s="1" t="s">
        <v>7449</v>
      </c>
    </row>
    <row r="80" spans="1:21" x14ac:dyDescent="0.25">
      <c r="A80" s="1">
        <v>79</v>
      </c>
      <c r="B80" s="1" t="str">
        <f>_xlfn.CONCAT(N80,"-",VLOOKUP(N80,t_objeto!B:D,3,FALSE),"-",A80)</f>
        <v>PROD-PERCCO-79</v>
      </c>
      <c r="C80" s="12" t="s">
        <v>7611</v>
      </c>
      <c r="D80" s="1" t="s">
        <v>7612</v>
      </c>
      <c r="E80" s="1">
        <v>2</v>
      </c>
      <c r="F80" s="1" t="str">
        <f>VLOOKUP(E80,t_tipoProducto!A:B,2,FALSE)</f>
        <v>PARRILLAS</v>
      </c>
      <c r="G80" s="1" t="s">
        <v>7611</v>
      </c>
      <c r="H80" s="1" t="s">
        <v>7533</v>
      </c>
      <c r="I80" s="13" t="s">
        <v>7711</v>
      </c>
      <c r="J80" s="2" t="str">
        <f>VLOOKUP(I80,t_cliente!B:C,2,FALSE)</f>
        <v>IMBERA</v>
      </c>
      <c r="K80" s="2" t="s">
        <v>8326</v>
      </c>
      <c r="L80" s="2">
        <v>7</v>
      </c>
      <c r="M80" s="2" t="str">
        <f>VLOOKUP(L80,t_productStatus!A:B,2,FALSE)</f>
        <v>PRODUCCION</v>
      </c>
      <c r="N80" s="1" t="s">
        <v>7348</v>
      </c>
      <c r="O80" s="1" t="str">
        <f>VLOOKUP(N80,t_objeto!B:C,2,FALSE)</f>
        <v>PRODUCTO</v>
      </c>
      <c r="P80" s="1">
        <v>8</v>
      </c>
      <c r="Q80" s="1" t="str">
        <f>VLOOKUP(P80,t_entry_status!A:C,2,FALSE)</f>
        <v>PENDING</v>
      </c>
      <c r="R80" s="7">
        <v>45560</v>
      </c>
      <c r="S80" s="1" t="s">
        <v>7449</v>
      </c>
      <c r="T80" s="7">
        <v>45560</v>
      </c>
      <c r="U80" s="1" t="s">
        <v>7449</v>
      </c>
    </row>
    <row r="81" spans="1:21" x14ac:dyDescent="0.25">
      <c r="A81" s="1">
        <v>80</v>
      </c>
      <c r="B81" s="1" t="str">
        <f>_xlfn.CONCAT(N81,"-",VLOOKUP(N81,t_objeto!B:D,3,FALSE),"-",A81)</f>
        <v>PROD-PERCCO-80</v>
      </c>
      <c r="C81" s="12" t="s">
        <v>7679</v>
      </c>
      <c r="D81" s="1" t="s">
        <v>7680</v>
      </c>
      <c r="F81" s="1" t="e">
        <f>VLOOKUP(E81,t_tipoProducto!A:B,2,FALSE)</f>
        <v>#N/A</v>
      </c>
      <c r="G81" s="1" t="s">
        <v>7704</v>
      </c>
      <c r="H81" s="1" t="s">
        <v>7531</v>
      </c>
      <c r="I81" s="13" t="s">
        <v>7711</v>
      </c>
      <c r="J81" s="2" t="str">
        <f>VLOOKUP(I81,t_cliente!B:C,2,FALSE)</f>
        <v>IMBERA</v>
      </c>
      <c r="K81" s="2" t="s">
        <v>8327</v>
      </c>
      <c r="L81" s="2">
        <v>7</v>
      </c>
      <c r="M81" s="2" t="str">
        <f>VLOOKUP(L81,t_productStatus!A:B,2,FALSE)</f>
        <v>PRODUCCION</v>
      </c>
      <c r="N81" s="1" t="s">
        <v>7348</v>
      </c>
      <c r="O81" s="1" t="str">
        <f>VLOOKUP(N81,t_objeto!B:C,2,FALSE)</f>
        <v>PRODUCTO</v>
      </c>
      <c r="P81" s="1">
        <v>8</v>
      </c>
      <c r="Q81" s="1" t="str">
        <f>VLOOKUP(P81,t_entry_status!A:C,2,FALSE)</f>
        <v>PENDING</v>
      </c>
      <c r="R81" s="7">
        <v>45560</v>
      </c>
      <c r="S81" s="1" t="s">
        <v>7449</v>
      </c>
      <c r="T81" s="7">
        <v>45560</v>
      </c>
      <c r="U81" s="1" t="s">
        <v>7449</v>
      </c>
    </row>
    <row r="82" spans="1:21" x14ac:dyDescent="0.25">
      <c r="A82" s="1">
        <v>81</v>
      </c>
      <c r="B82" s="1" t="str">
        <f>_xlfn.CONCAT(N82,"-",VLOOKUP(N82,t_objeto!B:D,3,FALSE),"-",A82)</f>
        <v>PROD-PERCCO-81</v>
      </c>
      <c r="C82" s="12" t="s">
        <v>7596</v>
      </c>
      <c r="D82" s="1" t="s">
        <v>7597</v>
      </c>
      <c r="E82" s="1">
        <v>2</v>
      </c>
      <c r="F82" s="1" t="str">
        <f>VLOOKUP(E82,t_tipoProducto!A:B,2,FALSE)</f>
        <v>PARRILLAS</v>
      </c>
      <c r="G82" s="1" t="s">
        <v>7596</v>
      </c>
      <c r="H82" s="1" t="s">
        <v>7531</v>
      </c>
      <c r="I82" s="13" t="s">
        <v>7711</v>
      </c>
      <c r="J82" s="2" t="str">
        <f>VLOOKUP(I82,t_cliente!B:C,2,FALSE)</f>
        <v>IMBERA</v>
      </c>
      <c r="K82" s="2" t="s">
        <v>8328</v>
      </c>
      <c r="L82" s="2">
        <v>7</v>
      </c>
      <c r="M82" s="2" t="str">
        <f>VLOOKUP(L82,t_productStatus!A:B,2,FALSE)</f>
        <v>PRODUCCION</v>
      </c>
      <c r="N82" s="1" t="s">
        <v>7348</v>
      </c>
      <c r="O82" s="1" t="str">
        <f>VLOOKUP(N82,t_objeto!B:C,2,FALSE)</f>
        <v>PRODUCTO</v>
      </c>
      <c r="P82" s="1">
        <v>8</v>
      </c>
      <c r="Q82" s="1" t="str">
        <f>VLOOKUP(P82,t_entry_status!A:C,2,FALSE)</f>
        <v>PENDING</v>
      </c>
      <c r="R82" s="7">
        <v>45560</v>
      </c>
      <c r="S82" s="1" t="s">
        <v>7449</v>
      </c>
      <c r="T82" s="7">
        <v>45560</v>
      </c>
      <c r="U82" s="1" t="s">
        <v>7449</v>
      </c>
    </row>
    <row r="83" spans="1:21" x14ac:dyDescent="0.25">
      <c r="A83" s="1">
        <v>82</v>
      </c>
      <c r="B83" s="1" t="str">
        <f>_xlfn.CONCAT(N83,"-",VLOOKUP(N83,t_objeto!B:D,3,FALSE),"-",A83)</f>
        <v>PROD-PERCCO-82</v>
      </c>
      <c r="C83" s="12" t="s">
        <v>7568</v>
      </c>
      <c r="D83" s="1" t="s">
        <v>7569</v>
      </c>
      <c r="F83" s="1" t="e">
        <f>VLOOKUP(E83,t_tipoProducto!A:B,2,FALSE)</f>
        <v>#N/A</v>
      </c>
      <c r="G83" s="1" t="s">
        <v>7568</v>
      </c>
      <c r="H83" s="1" t="s">
        <v>7531</v>
      </c>
      <c r="I83" s="13" t="s">
        <v>7711</v>
      </c>
      <c r="J83" s="2" t="str">
        <f>VLOOKUP(I83,t_cliente!B:C,2,FALSE)</f>
        <v>IMBERA</v>
      </c>
      <c r="K83" s="2" t="s">
        <v>8329</v>
      </c>
      <c r="L83" s="2">
        <v>7</v>
      </c>
      <c r="M83" s="2" t="str">
        <f>VLOOKUP(L83,t_productStatus!A:B,2,FALSE)</f>
        <v>PRODUCCION</v>
      </c>
      <c r="N83" s="1" t="s">
        <v>7348</v>
      </c>
      <c r="O83" s="1" t="str">
        <f>VLOOKUP(N83,t_objeto!B:C,2,FALSE)</f>
        <v>PRODUCTO</v>
      </c>
      <c r="P83" s="1">
        <v>8</v>
      </c>
      <c r="Q83" s="1" t="str">
        <f>VLOOKUP(P83,t_entry_status!A:C,2,FALSE)</f>
        <v>PENDING</v>
      </c>
      <c r="R83" s="7">
        <v>45560</v>
      </c>
      <c r="S83" s="1" t="s">
        <v>7449</v>
      </c>
      <c r="T83" s="7">
        <v>45560</v>
      </c>
      <c r="U83" s="1" t="s">
        <v>7449</v>
      </c>
    </row>
    <row r="84" spans="1:21" x14ac:dyDescent="0.25">
      <c r="A84" s="1">
        <v>83</v>
      </c>
      <c r="B84" s="1" t="str">
        <f>_xlfn.CONCAT(N84,"-",VLOOKUP(N84,t_objeto!B:D,3,FALSE),"-",A84)</f>
        <v>PROD-PERCCO-83</v>
      </c>
      <c r="C84" s="12" t="s">
        <v>7570</v>
      </c>
      <c r="D84" s="1" t="s">
        <v>7571</v>
      </c>
      <c r="F84" s="1" t="e">
        <f>VLOOKUP(E84,t_tipoProducto!A:B,2,FALSE)</f>
        <v>#N/A</v>
      </c>
      <c r="G84" s="1" t="s">
        <v>7570</v>
      </c>
      <c r="H84" s="1" t="s">
        <v>7531</v>
      </c>
      <c r="I84" s="13" t="s">
        <v>7711</v>
      </c>
      <c r="J84" s="2" t="str">
        <f>VLOOKUP(I84,t_cliente!B:C,2,FALSE)</f>
        <v>IMBERA</v>
      </c>
      <c r="K84" s="2" t="s">
        <v>8330</v>
      </c>
      <c r="L84" s="2">
        <v>7</v>
      </c>
      <c r="M84" s="2" t="str">
        <f>VLOOKUP(L84,t_productStatus!A:B,2,FALSE)</f>
        <v>PRODUCCION</v>
      </c>
      <c r="N84" s="1" t="s">
        <v>7348</v>
      </c>
      <c r="O84" s="1" t="str">
        <f>VLOOKUP(N84,t_objeto!B:C,2,FALSE)</f>
        <v>PRODUCTO</v>
      </c>
      <c r="P84" s="1">
        <v>8</v>
      </c>
      <c r="Q84" s="1" t="str">
        <f>VLOOKUP(P84,t_entry_status!A:C,2,FALSE)</f>
        <v>PENDING</v>
      </c>
      <c r="R84" s="7">
        <v>45560</v>
      </c>
      <c r="S84" s="1" t="s">
        <v>7449</v>
      </c>
      <c r="T84" s="7">
        <v>45560</v>
      </c>
      <c r="U84" s="1" t="s">
        <v>7449</v>
      </c>
    </row>
    <row r="85" spans="1:21" x14ac:dyDescent="0.25">
      <c r="A85" s="1">
        <v>84</v>
      </c>
      <c r="B85" s="1" t="str">
        <f>_xlfn.CONCAT(N85,"-",VLOOKUP(N85,t_objeto!B:D,3,FALSE),"-",A85)</f>
        <v>PROD-PERCCO-84</v>
      </c>
      <c r="C85" s="12" t="s">
        <v>7572</v>
      </c>
      <c r="D85" s="1" t="s">
        <v>7573</v>
      </c>
      <c r="F85" s="1" t="e">
        <f>VLOOKUP(E85,t_tipoProducto!A:B,2,FALSE)</f>
        <v>#N/A</v>
      </c>
      <c r="G85" s="1" t="s">
        <v>7572</v>
      </c>
      <c r="H85" s="1" t="s">
        <v>7531</v>
      </c>
      <c r="I85" s="13" t="s">
        <v>7711</v>
      </c>
      <c r="J85" s="2" t="str">
        <f>VLOOKUP(I85,t_cliente!B:C,2,FALSE)</f>
        <v>IMBERA</v>
      </c>
      <c r="K85" s="2" t="s">
        <v>8331</v>
      </c>
      <c r="L85" s="2">
        <v>7</v>
      </c>
      <c r="M85" s="2" t="str">
        <f>VLOOKUP(L85,t_productStatus!A:B,2,FALSE)</f>
        <v>PRODUCCION</v>
      </c>
      <c r="N85" s="1" t="s">
        <v>7348</v>
      </c>
      <c r="O85" s="1" t="str">
        <f>VLOOKUP(N85,t_objeto!B:C,2,FALSE)</f>
        <v>PRODUCTO</v>
      </c>
      <c r="P85" s="1">
        <v>8</v>
      </c>
      <c r="Q85" s="1" t="str">
        <f>VLOOKUP(P85,t_entry_status!A:C,2,FALSE)</f>
        <v>PENDING</v>
      </c>
      <c r="R85" s="7">
        <v>45560</v>
      </c>
      <c r="S85" s="1" t="s">
        <v>7449</v>
      </c>
      <c r="T85" s="7">
        <v>45560</v>
      </c>
      <c r="U85" s="1" t="s">
        <v>7449</v>
      </c>
    </row>
    <row r="86" spans="1:21" x14ac:dyDescent="0.25">
      <c r="A86" s="1">
        <v>85</v>
      </c>
      <c r="B86" s="1" t="str">
        <f>_xlfn.CONCAT(N86,"-",VLOOKUP(N86,t_objeto!B:D,3,FALSE),"-",A86)</f>
        <v>PROD-PERCCO-85</v>
      </c>
      <c r="C86" s="12" t="s">
        <v>7668</v>
      </c>
      <c r="D86" s="1" t="s">
        <v>7669</v>
      </c>
      <c r="F86" s="1" t="e">
        <f>VLOOKUP(E86,t_tipoProducto!A:B,2,FALSE)</f>
        <v>#N/A</v>
      </c>
      <c r="G86" s="1" t="s">
        <v>7668</v>
      </c>
      <c r="H86" s="1" t="s">
        <v>7531</v>
      </c>
      <c r="I86" s="13" t="s">
        <v>7711</v>
      </c>
      <c r="J86" s="2" t="str">
        <f>VLOOKUP(I86,t_cliente!B:C,2,FALSE)</f>
        <v>IMBERA</v>
      </c>
      <c r="K86" s="2" t="s">
        <v>8332</v>
      </c>
      <c r="L86" s="2">
        <v>7</v>
      </c>
      <c r="M86" s="2" t="str">
        <f>VLOOKUP(L86,t_productStatus!A:B,2,FALSE)</f>
        <v>PRODUCCION</v>
      </c>
      <c r="N86" s="1" t="s">
        <v>7348</v>
      </c>
      <c r="O86" s="1" t="str">
        <f>VLOOKUP(N86,t_objeto!B:C,2,FALSE)</f>
        <v>PRODUCTO</v>
      </c>
      <c r="P86" s="1">
        <v>8</v>
      </c>
      <c r="Q86" s="1" t="str">
        <f>VLOOKUP(P86,t_entry_status!A:C,2,FALSE)</f>
        <v>PENDING</v>
      </c>
      <c r="R86" s="7">
        <v>45560</v>
      </c>
      <c r="S86" s="1" t="s">
        <v>7449</v>
      </c>
      <c r="T86" s="7">
        <v>45560</v>
      </c>
      <c r="U86" s="1" t="s">
        <v>7449</v>
      </c>
    </row>
    <row r="87" spans="1:21" x14ac:dyDescent="0.25">
      <c r="A87" s="1">
        <v>86</v>
      </c>
      <c r="B87" s="1" t="str">
        <f>_xlfn.CONCAT(N87,"-",VLOOKUP(N87,t_objeto!B:D,3,FALSE),"-",A87)</f>
        <v>PROD-PERCCO-86</v>
      </c>
      <c r="C87" s="12" t="s">
        <v>7648</v>
      </c>
      <c r="D87" s="1" t="s">
        <v>7649</v>
      </c>
      <c r="E87" s="1">
        <v>2</v>
      </c>
      <c r="F87" s="1" t="str">
        <f>VLOOKUP(E87,t_tipoProducto!A:B,2,FALSE)</f>
        <v>PARRILLAS</v>
      </c>
      <c r="G87" s="1" t="s">
        <v>7696</v>
      </c>
      <c r="H87" s="1" t="s">
        <v>7530</v>
      </c>
      <c r="I87" s="13" t="s">
        <v>7711</v>
      </c>
      <c r="J87" s="2" t="str">
        <f>VLOOKUP(I87,t_cliente!B:C,2,FALSE)</f>
        <v>IMBERA</v>
      </c>
      <c r="K87" s="2" t="s">
        <v>8333</v>
      </c>
      <c r="L87" s="2">
        <v>7</v>
      </c>
      <c r="M87" s="2" t="str">
        <f>VLOOKUP(L87,t_productStatus!A:B,2,FALSE)</f>
        <v>PRODUCCION</v>
      </c>
      <c r="N87" s="1" t="s">
        <v>7348</v>
      </c>
      <c r="O87" s="1" t="str">
        <f>VLOOKUP(N87,t_objeto!B:C,2,FALSE)</f>
        <v>PRODUCTO</v>
      </c>
      <c r="P87" s="1">
        <v>8</v>
      </c>
      <c r="Q87" s="1" t="str">
        <f>VLOOKUP(P87,t_entry_status!A:C,2,FALSE)</f>
        <v>PENDING</v>
      </c>
      <c r="R87" s="7">
        <v>45560</v>
      </c>
      <c r="S87" s="1" t="s">
        <v>7449</v>
      </c>
      <c r="T87" s="7">
        <v>45560</v>
      </c>
      <c r="U87" s="1" t="s">
        <v>7449</v>
      </c>
    </row>
    <row r="88" spans="1:21" x14ac:dyDescent="0.25">
      <c r="A88" s="1">
        <v>87</v>
      </c>
      <c r="B88" s="1" t="str">
        <f>_xlfn.CONCAT(N88,"-",VLOOKUP(N88,t_objeto!B:D,3,FALSE),"-",A88)</f>
        <v>PROD-PERCCO-87</v>
      </c>
      <c r="C88" s="12" t="s">
        <v>7652</v>
      </c>
      <c r="D88" s="1" t="s">
        <v>7653</v>
      </c>
      <c r="E88" s="1">
        <v>1</v>
      </c>
      <c r="F88" s="1" t="str">
        <f>VLOOKUP(E88,t_tipoProducto!A:B,2,FALSE)</f>
        <v>METALICO</v>
      </c>
      <c r="G88" s="1" t="s">
        <v>7652</v>
      </c>
      <c r="H88" s="1" t="s">
        <v>7533</v>
      </c>
      <c r="I88" s="13" t="s">
        <v>7711</v>
      </c>
      <c r="J88" s="2" t="str">
        <f>VLOOKUP(I88,t_cliente!B:C,2,FALSE)</f>
        <v>IMBERA</v>
      </c>
      <c r="K88" s="2" t="s">
        <v>8334</v>
      </c>
      <c r="L88" s="2">
        <v>7</v>
      </c>
      <c r="M88" s="2" t="str">
        <f>VLOOKUP(L88,t_productStatus!A:B,2,FALSE)</f>
        <v>PRODUCCION</v>
      </c>
      <c r="N88" s="1" t="s">
        <v>7348</v>
      </c>
      <c r="O88" s="1" t="str">
        <f>VLOOKUP(N88,t_objeto!B:C,2,FALSE)</f>
        <v>PRODUCTO</v>
      </c>
      <c r="P88" s="1">
        <v>8</v>
      </c>
      <c r="Q88" s="1" t="str">
        <f>VLOOKUP(P88,t_entry_status!A:C,2,FALSE)</f>
        <v>PENDING</v>
      </c>
      <c r="R88" s="7">
        <v>45560</v>
      </c>
      <c r="S88" s="1" t="s">
        <v>7449</v>
      </c>
      <c r="T88" s="7">
        <v>45560</v>
      </c>
      <c r="U88" s="1" t="s">
        <v>7449</v>
      </c>
    </row>
    <row r="89" spans="1:21" x14ac:dyDescent="0.25">
      <c r="A89" s="1">
        <v>88</v>
      </c>
      <c r="B89" s="1" t="str">
        <f>_xlfn.CONCAT(N89,"-",VLOOKUP(N89,t_objeto!B:D,3,FALSE),"-",A89)</f>
        <v>PROD-PERCCO-88</v>
      </c>
      <c r="C89" s="12" t="s">
        <v>7598</v>
      </c>
      <c r="D89" s="1" t="s">
        <v>7599</v>
      </c>
      <c r="E89" s="1">
        <v>2</v>
      </c>
      <c r="F89" s="1" t="str">
        <f>VLOOKUP(E89,t_tipoProducto!A:B,2,FALSE)</f>
        <v>PARRILLAS</v>
      </c>
      <c r="G89" s="1" t="s">
        <v>7598</v>
      </c>
      <c r="H89" s="1" t="s">
        <v>7681</v>
      </c>
      <c r="I89" s="13" t="s">
        <v>7711</v>
      </c>
      <c r="J89" s="2" t="str">
        <f>VLOOKUP(I89,t_cliente!B:C,2,FALSE)</f>
        <v>IMBERA</v>
      </c>
      <c r="K89" s="2" t="s">
        <v>8335</v>
      </c>
      <c r="L89" s="2">
        <v>7</v>
      </c>
      <c r="M89" s="2" t="str">
        <f>VLOOKUP(L89,t_productStatus!A:B,2,FALSE)</f>
        <v>PRODUCCION</v>
      </c>
      <c r="N89" s="1" t="s">
        <v>7348</v>
      </c>
      <c r="O89" s="1" t="str">
        <f>VLOOKUP(N89,t_objeto!B:C,2,FALSE)</f>
        <v>PRODUCTO</v>
      </c>
      <c r="P89" s="1">
        <v>8</v>
      </c>
      <c r="Q89" s="1" t="str">
        <f>VLOOKUP(P89,t_entry_status!A:C,2,FALSE)</f>
        <v>PENDING</v>
      </c>
      <c r="R89" s="7">
        <v>45560</v>
      </c>
      <c r="S89" s="1" t="s">
        <v>7449</v>
      </c>
      <c r="T89" s="7">
        <v>45560</v>
      </c>
      <c r="U89" s="1" t="s">
        <v>7449</v>
      </c>
    </row>
    <row r="90" spans="1:21" x14ac:dyDescent="0.25">
      <c r="A90" s="1">
        <v>89</v>
      </c>
      <c r="B90" s="1" t="str">
        <f>_xlfn.CONCAT(N90,"-",VLOOKUP(N90,t_objeto!B:D,3,FALSE),"-",A90)</f>
        <v>PROD-PERCCO-89</v>
      </c>
      <c r="C90" s="12" t="s">
        <v>7633</v>
      </c>
      <c r="D90" s="1" t="s">
        <v>7634</v>
      </c>
      <c r="E90" s="1">
        <v>2</v>
      </c>
      <c r="F90" s="1" t="str">
        <f>VLOOKUP(E90,t_tipoProducto!A:B,2,FALSE)</f>
        <v>PARRILLAS</v>
      </c>
      <c r="G90" s="1" t="s">
        <v>7633</v>
      </c>
      <c r="H90" s="1" t="s">
        <v>7531</v>
      </c>
      <c r="I90" s="13" t="s">
        <v>7711</v>
      </c>
      <c r="J90" s="2" t="str">
        <f>VLOOKUP(I90,t_cliente!B:C,2,FALSE)</f>
        <v>IMBERA</v>
      </c>
      <c r="K90" s="2" t="s">
        <v>8336</v>
      </c>
      <c r="L90" s="2">
        <v>7</v>
      </c>
      <c r="M90" s="2" t="str">
        <f>VLOOKUP(L90,t_productStatus!A:B,2,FALSE)</f>
        <v>PRODUCCION</v>
      </c>
      <c r="N90" s="1" t="s">
        <v>7348</v>
      </c>
      <c r="O90" s="1" t="str">
        <f>VLOOKUP(N90,t_objeto!B:C,2,FALSE)</f>
        <v>PRODUCTO</v>
      </c>
      <c r="P90" s="1">
        <v>8</v>
      </c>
      <c r="Q90" s="1" t="str">
        <f>VLOOKUP(P90,t_entry_status!A:C,2,FALSE)</f>
        <v>PENDING</v>
      </c>
      <c r="R90" s="7">
        <v>45560</v>
      </c>
      <c r="S90" s="1" t="s">
        <v>7449</v>
      </c>
      <c r="T90" s="7">
        <v>45560</v>
      </c>
      <c r="U90" s="1" t="s">
        <v>7449</v>
      </c>
    </row>
    <row r="91" spans="1:21" x14ac:dyDescent="0.25">
      <c r="A91" s="1">
        <v>90</v>
      </c>
      <c r="B91" s="1" t="str">
        <f>_xlfn.CONCAT(N91,"-",VLOOKUP(N91,t_objeto!B:D,3,FALSE),"-",A91)</f>
        <v>PROD-PERCCO-90</v>
      </c>
      <c r="C91" s="12" t="s">
        <v>7627</v>
      </c>
      <c r="D91" s="1" t="s">
        <v>7628</v>
      </c>
      <c r="E91" s="1">
        <v>2</v>
      </c>
      <c r="F91" s="1" t="str">
        <f>VLOOKUP(E91,t_tipoProducto!A:B,2,FALSE)</f>
        <v>PARRILLAS</v>
      </c>
      <c r="G91" s="1" t="s">
        <v>7691</v>
      </c>
      <c r="H91" s="1" t="s">
        <v>7681</v>
      </c>
      <c r="I91" s="13" t="s">
        <v>7711</v>
      </c>
      <c r="J91" s="2" t="str">
        <f>VLOOKUP(I91,t_cliente!B:C,2,FALSE)</f>
        <v>IMBERA</v>
      </c>
      <c r="K91" s="2" t="s">
        <v>8337</v>
      </c>
      <c r="L91" s="2">
        <v>7</v>
      </c>
      <c r="M91" s="2" t="str">
        <f>VLOOKUP(L91,t_productStatus!A:B,2,FALSE)</f>
        <v>PRODUCCION</v>
      </c>
      <c r="N91" s="1" t="s">
        <v>7348</v>
      </c>
      <c r="O91" s="1" t="str">
        <f>VLOOKUP(N91,t_objeto!B:C,2,FALSE)</f>
        <v>PRODUCTO</v>
      </c>
      <c r="P91" s="1">
        <v>8</v>
      </c>
      <c r="Q91" s="1" t="str">
        <f>VLOOKUP(P91,t_entry_status!A:C,2,FALSE)</f>
        <v>PENDING</v>
      </c>
      <c r="R91" s="7">
        <v>45560</v>
      </c>
      <c r="S91" s="1" t="s">
        <v>7449</v>
      </c>
      <c r="T91" s="7">
        <v>45560</v>
      </c>
      <c r="U91" s="1" t="s">
        <v>7449</v>
      </c>
    </row>
    <row r="92" spans="1:21" x14ac:dyDescent="0.25">
      <c r="A92" s="1">
        <v>91</v>
      </c>
      <c r="B92" s="1" t="str">
        <f>_xlfn.CONCAT(N92,"-",VLOOKUP(N92,t_objeto!B:D,3,FALSE),"-",A92)</f>
        <v>PROD-PERCCO-91</v>
      </c>
      <c r="C92" s="12" t="s">
        <v>7606</v>
      </c>
      <c r="D92" s="1" t="s">
        <v>7607</v>
      </c>
      <c r="E92" s="1">
        <v>2</v>
      </c>
      <c r="F92" s="1" t="str">
        <f>VLOOKUP(E92,t_tipoProducto!A:B,2,FALSE)</f>
        <v>PARRILLAS</v>
      </c>
      <c r="G92" s="1" t="s">
        <v>7688</v>
      </c>
      <c r="H92" s="1" t="s">
        <v>7530</v>
      </c>
      <c r="I92" s="13" t="s">
        <v>7711</v>
      </c>
      <c r="J92" s="2" t="str">
        <f>VLOOKUP(I92,t_cliente!B:C,2,FALSE)</f>
        <v>IMBERA</v>
      </c>
      <c r="K92" s="2" t="s">
        <v>8338</v>
      </c>
      <c r="L92" s="2">
        <v>7</v>
      </c>
      <c r="M92" s="2" t="str">
        <f>VLOOKUP(L92,t_productStatus!A:B,2,FALSE)</f>
        <v>PRODUCCION</v>
      </c>
      <c r="N92" s="1" t="s">
        <v>7348</v>
      </c>
      <c r="O92" s="1" t="str">
        <f>VLOOKUP(N92,t_objeto!B:C,2,FALSE)</f>
        <v>PRODUCTO</v>
      </c>
      <c r="P92" s="1">
        <v>8</v>
      </c>
      <c r="Q92" s="1" t="str">
        <f>VLOOKUP(P92,t_entry_status!A:C,2,FALSE)</f>
        <v>PENDING</v>
      </c>
      <c r="R92" s="7">
        <v>45560</v>
      </c>
      <c r="S92" s="1" t="s">
        <v>7449</v>
      </c>
      <c r="T92" s="7">
        <v>45560</v>
      </c>
      <c r="U92" s="1" t="s">
        <v>7449</v>
      </c>
    </row>
    <row r="93" spans="1:21" x14ac:dyDescent="0.25">
      <c r="A93" s="1">
        <v>92</v>
      </c>
      <c r="B93" s="1" t="str">
        <f>_xlfn.CONCAT(N93,"-",VLOOKUP(N93,t_objeto!B:D,3,FALSE),"-",A93)</f>
        <v>PROD-PERCCO-92</v>
      </c>
      <c r="C93" s="12" t="s">
        <v>7656</v>
      </c>
      <c r="D93" s="1" t="s">
        <v>7657</v>
      </c>
      <c r="F93" s="1" t="e">
        <f>VLOOKUP(E93,t_tipoProducto!A:B,2,FALSE)</f>
        <v>#N/A</v>
      </c>
      <c r="I93" s="13" t="s">
        <v>7711</v>
      </c>
      <c r="J93" s="2" t="str">
        <f>VLOOKUP(I93,t_cliente!B:C,2,FALSE)</f>
        <v>IMBERA</v>
      </c>
      <c r="K93" s="2" t="s">
        <v>8339</v>
      </c>
      <c r="L93" s="2">
        <v>7</v>
      </c>
      <c r="M93" s="2" t="str">
        <f>VLOOKUP(L93,t_productStatus!A:B,2,FALSE)</f>
        <v>PRODUCCION</v>
      </c>
      <c r="N93" s="1" t="s">
        <v>7348</v>
      </c>
      <c r="O93" s="1" t="str">
        <f>VLOOKUP(N93,t_objeto!B:C,2,FALSE)</f>
        <v>PRODUCTO</v>
      </c>
      <c r="P93" s="1">
        <v>8</v>
      </c>
      <c r="Q93" s="1" t="str">
        <f>VLOOKUP(P93,t_entry_status!A:C,2,FALSE)</f>
        <v>PENDING</v>
      </c>
      <c r="R93" s="7">
        <v>45560</v>
      </c>
      <c r="S93" s="1" t="s">
        <v>7449</v>
      </c>
      <c r="T93" s="7">
        <v>45560</v>
      </c>
      <c r="U93" s="1" t="s">
        <v>7449</v>
      </c>
    </row>
    <row r="94" spans="1:21" x14ac:dyDescent="0.25">
      <c r="A94" s="1">
        <v>93</v>
      </c>
      <c r="B94" s="1" t="str">
        <f>_xlfn.CONCAT(N94,"-",VLOOKUP(N94,t_objeto!B:D,3,FALSE),"-",A94)</f>
        <v>PROD-PERCCO-93</v>
      </c>
      <c r="C94" s="12" t="s">
        <v>7550</v>
      </c>
      <c r="D94" s="1" t="s">
        <v>7551</v>
      </c>
      <c r="F94" s="1" t="e">
        <f>VLOOKUP(E94,t_tipoProducto!A:B,2,FALSE)</f>
        <v>#N/A</v>
      </c>
      <c r="I94" s="13" t="s">
        <v>7711</v>
      </c>
      <c r="J94" s="2" t="str">
        <f>VLOOKUP(I94,t_cliente!B:C,2,FALSE)</f>
        <v>IMBERA</v>
      </c>
      <c r="K94" s="2" t="s">
        <v>8340</v>
      </c>
      <c r="L94" s="2">
        <v>7</v>
      </c>
      <c r="M94" s="2" t="str">
        <f>VLOOKUP(L94,t_productStatus!A:B,2,FALSE)</f>
        <v>PRODUCCION</v>
      </c>
      <c r="N94" s="1" t="s">
        <v>7348</v>
      </c>
      <c r="O94" s="1" t="str">
        <f>VLOOKUP(N94,t_objeto!B:C,2,FALSE)</f>
        <v>PRODUCTO</v>
      </c>
      <c r="P94" s="1">
        <v>8</v>
      </c>
      <c r="Q94" s="1" t="str">
        <f>VLOOKUP(P94,t_entry_status!A:C,2,FALSE)</f>
        <v>PENDING</v>
      </c>
      <c r="R94" s="7">
        <v>45560</v>
      </c>
      <c r="S94" s="1" t="s">
        <v>7449</v>
      </c>
      <c r="T94" s="7">
        <v>45560</v>
      </c>
      <c r="U94" s="1" t="s">
        <v>7449</v>
      </c>
    </row>
    <row r="95" spans="1:21" x14ac:dyDescent="0.25">
      <c r="A95" s="1">
        <v>94</v>
      </c>
      <c r="B95" s="1" t="str">
        <f>_xlfn.CONCAT(N95,"-",VLOOKUP(N95,t_objeto!B:D,3,FALSE),"-",A95)</f>
        <v>PROD-PERCCO-94</v>
      </c>
      <c r="C95" s="12" t="s">
        <v>7512</v>
      </c>
      <c r="D95" s="1" t="s">
        <v>7513</v>
      </c>
      <c r="E95" s="1">
        <v>2</v>
      </c>
      <c r="F95" s="1" t="str">
        <f>VLOOKUP(E95,t_tipoProducto!A:B,2,FALSE)</f>
        <v>PARRILLAS</v>
      </c>
      <c r="I95" s="13" t="s">
        <v>7713</v>
      </c>
      <c r="J95" s="2" t="str">
        <f>VLOOKUP(I95,t_cliente!B:C,2,FALSE)</f>
        <v>BTICINO</v>
      </c>
      <c r="K95" s="2" t="s">
        <v>8341</v>
      </c>
      <c r="L95" s="2">
        <v>7</v>
      </c>
      <c r="M95" s="2" t="str">
        <f>VLOOKUP(L95,t_productStatus!A:B,2,FALSE)</f>
        <v>PRODUCCION</v>
      </c>
      <c r="N95" s="1" t="s">
        <v>7348</v>
      </c>
      <c r="O95" s="1" t="str">
        <f>VLOOKUP(N95,t_objeto!B:C,2,FALSE)</f>
        <v>PRODUCTO</v>
      </c>
      <c r="P95" s="1">
        <v>8</v>
      </c>
      <c r="Q95" s="1" t="str">
        <f>VLOOKUP(P95,t_entry_status!A:C,2,FALSE)</f>
        <v>PENDING</v>
      </c>
      <c r="R95" s="7">
        <v>45560</v>
      </c>
      <c r="S95" s="1" t="s">
        <v>7449</v>
      </c>
      <c r="T95" s="7">
        <v>45560</v>
      </c>
      <c r="U95" s="1" t="s">
        <v>7449</v>
      </c>
    </row>
    <row r="96" spans="1:21" x14ac:dyDescent="0.25">
      <c r="A96" s="1">
        <v>95</v>
      </c>
      <c r="B96" s="1" t="str">
        <f>_xlfn.CONCAT(N96,"-",VLOOKUP(N96,t_objeto!B:D,3,FALSE),"-",A96)</f>
        <v>PROD-PERCCO-95</v>
      </c>
      <c r="C96" s="12" t="s">
        <v>7506</v>
      </c>
      <c r="D96" s="1" t="s">
        <v>7326</v>
      </c>
      <c r="E96" s="1">
        <v>1</v>
      </c>
      <c r="F96" s="1" t="str">
        <f>VLOOKUP(E96,t_tipoProducto!A:B,2,FALSE)</f>
        <v>METALICO</v>
      </c>
      <c r="H96" s="1" t="e">
        <f>VLOOKUP(C96,'[1]17.09.2024.perc'!$A:$C,3,FALSE)</f>
        <v>#N/A</v>
      </c>
      <c r="I96" s="13" t="s">
        <v>7713</v>
      </c>
      <c r="J96" s="2" t="str">
        <f>VLOOKUP(I96,t_cliente!B:C,2,FALSE)</f>
        <v>BTICINO</v>
      </c>
      <c r="K96" s="2" t="s">
        <v>8342</v>
      </c>
      <c r="L96" s="2">
        <v>7</v>
      </c>
      <c r="M96" s="2" t="str">
        <f>VLOOKUP(L96,t_productStatus!A:B,2,FALSE)</f>
        <v>PRODUCCION</v>
      </c>
      <c r="N96" s="1" t="s">
        <v>7348</v>
      </c>
      <c r="O96" s="1" t="str">
        <f>VLOOKUP(N96,t_objeto!B:C,2,FALSE)</f>
        <v>PRODUCTO</v>
      </c>
      <c r="P96" s="1">
        <v>8</v>
      </c>
      <c r="Q96" s="1" t="str">
        <f>VLOOKUP(P96,t_entry_status!A:C,2,FALSE)</f>
        <v>PENDING</v>
      </c>
      <c r="R96" s="7">
        <v>45560</v>
      </c>
      <c r="S96" s="1" t="s">
        <v>7449</v>
      </c>
      <c r="T96" s="7">
        <v>45560</v>
      </c>
      <c r="U96" s="1" t="s">
        <v>7449</v>
      </c>
    </row>
    <row r="97" spans="1:21" x14ac:dyDescent="0.25">
      <c r="A97" s="1">
        <v>96</v>
      </c>
      <c r="B97" s="1" t="str">
        <f>_xlfn.CONCAT(N97,"-",VLOOKUP(N97,t_objeto!B:D,3,FALSE),"-",A97)</f>
        <v>PROD-PERCCO-96</v>
      </c>
      <c r="C97" s="12">
        <v>1021723</v>
      </c>
      <c r="D97" s="1" t="s">
        <v>7319</v>
      </c>
      <c r="E97" s="1">
        <v>1</v>
      </c>
      <c r="F97" s="1" t="str">
        <f>VLOOKUP(E97,t_tipoProducto!A:B,2,FALSE)</f>
        <v>METALICO</v>
      </c>
      <c r="I97" s="13" t="s">
        <v>7712</v>
      </c>
      <c r="J97" s="2" t="str">
        <f>VLOOKUP(I97,t_cliente!B:C,2,FALSE)</f>
        <v>PERFICOM</v>
      </c>
      <c r="K97" s="2" t="s">
        <v>8343</v>
      </c>
      <c r="L97" s="2">
        <v>7</v>
      </c>
      <c r="M97" s="2" t="str">
        <f>VLOOKUP(L97,t_productStatus!A:B,2,FALSE)</f>
        <v>PRODUCCION</v>
      </c>
      <c r="N97" s="1" t="s">
        <v>7348</v>
      </c>
      <c r="O97" s="1" t="str">
        <f>VLOOKUP(N97,t_objeto!B:C,2,FALSE)</f>
        <v>PRODUCTO</v>
      </c>
      <c r="P97" s="1">
        <v>8</v>
      </c>
      <c r="Q97" s="1" t="str">
        <f>VLOOKUP(P97,t_entry_status!A:C,2,FALSE)</f>
        <v>PENDING</v>
      </c>
      <c r="R97" s="7">
        <v>45560</v>
      </c>
      <c r="S97" s="1" t="s">
        <v>7449</v>
      </c>
      <c r="T97" s="7">
        <v>45560</v>
      </c>
      <c r="U97" s="1" t="s">
        <v>7449</v>
      </c>
    </row>
    <row r="98" spans="1:21" x14ac:dyDescent="0.25">
      <c r="A98" s="1">
        <v>97</v>
      </c>
      <c r="B98" s="1" t="str">
        <f>_xlfn.CONCAT(N98,"-",VLOOKUP(N98,t_objeto!B:D,3,FALSE),"-",A98)</f>
        <v>PROD-PERCCO-97</v>
      </c>
      <c r="C98" s="12">
        <v>1021771</v>
      </c>
      <c r="D98" s="1" t="s">
        <v>7320</v>
      </c>
      <c r="E98" s="1">
        <v>1</v>
      </c>
      <c r="F98" s="1" t="str">
        <f>VLOOKUP(E98,t_tipoProducto!A:B,2,FALSE)</f>
        <v>METALICO</v>
      </c>
      <c r="H98" s="1" t="e">
        <f>VLOOKUP(C98,'[1]17.09.2024.perc'!$A:$C,3,FALSE)</f>
        <v>#N/A</v>
      </c>
      <c r="I98" s="13" t="s">
        <v>7712</v>
      </c>
      <c r="J98" s="2" t="str">
        <f>VLOOKUP(I98,t_cliente!B:C,2,FALSE)</f>
        <v>PERFICOM</v>
      </c>
      <c r="K98" s="2" t="s">
        <v>8344</v>
      </c>
      <c r="L98" s="2">
        <v>7</v>
      </c>
      <c r="M98" s="2" t="str">
        <f>VLOOKUP(L98,t_productStatus!A:B,2,FALSE)</f>
        <v>PRODUCCION</v>
      </c>
      <c r="N98" s="1" t="s">
        <v>7348</v>
      </c>
      <c r="O98" s="1" t="str">
        <f>VLOOKUP(N98,t_objeto!B:C,2,FALSE)</f>
        <v>PRODUCTO</v>
      </c>
      <c r="P98" s="1">
        <v>8</v>
      </c>
      <c r="Q98" s="1" t="str">
        <f>VLOOKUP(P98,t_entry_status!A:C,2,FALSE)</f>
        <v>PENDING</v>
      </c>
      <c r="R98" s="7">
        <v>45560</v>
      </c>
      <c r="S98" s="1" t="s">
        <v>7449</v>
      </c>
      <c r="T98" s="7">
        <v>45560</v>
      </c>
      <c r="U98" s="1" t="s">
        <v>7449</v>
      </c>
    </row>
    <row r="99" spans="1:21" x14ac:dyDescent="0.25">
      <c r="A99" s="1">
        <v>98</v>
      </c>
      <c r="B99" s="1" t="str">
        <f>_xlfn.CONCAT(N99,"-",VLOOKUP(N99,t_objeto!B:D,3,FALSE),"-",A99)</f>
        <v>PROD-PERCCO-98</v>
      </c>
      <c r="C99" s="12">
        <v>1021742</v>
      </c>
      <c r="D99" s="1" t="s">
        <v>7508</v>
      </c>
      <c r="E99" s="1">
        <v>1</v>
      </c>
      <c r="F99" s="1" t="str">
        <f>VLOOKUP(E99,t_tipoProducto!A:B,2,FALSE)</f>
        <v>METALICO</v>
      </c>
      <c r="I99" s="13" t="s">
        <v>7712</v>
      </c>
      <c r="J99" s="2" t="str">
        <f>VLOOKUP(I99,t_cliente!B:C,2,FALSE)</f>
        <v>PERFICOM</v>
      </c>
      <c r="K99" s="2" t="s">
        <v>8345</v>
      </c>
      <c r="L99" s="2">
        <v>7</v>
      </c>
      <c r="M99" s="2" t="str">
        <f>VLOOKUP(L99,t_productStatus!A:B,2,FALSE)</f>
        <v>PRODUCCION</v>
      </c>
      <c r="N99" s="1" t="s">
        <v>7348</v>
      </c>
      <c r="O99" s="1" t="str">
        <f>VLOOKUP(N99,t_objeto!B:C,2,FALSE)</f>
        <v>PRODUCTO</v>
      </c>
      <c r="P99" s="1">
        <v>8</v>
      </c>
      <c r="Q99" s="1" t="str">
        <f>VLOOKUP(P99,t_entry_status!A:C,2,FALSE)</f>
        <v>PENDING</v>
      </c>
      <c r="R99" s="7">
        <v>45560</v>
      </c>
      <c r="S99" s="1" t="s">
        <v>7449</v>
      </c>
      <c r="T99" s="7">
        <v>45560</v>
      </c>
      <c r="U99" s="1" t="s">
        <v>7449</v>
      </c>
    </row>
    <row r="100" spans="1:21" x14ac:dyDescent="0.25">
      <c r="A100" s="1">
        <v>99</v>
      </c>
      <c r="B100" s="1" t="str">
        <f>_xlfn.CONCAT(N100,"-",VLOOKUP(N100,t_objeto!B:D,3,FALSE),"-",A100)</f>
        <v>PROD-PERCCO-99</v>
      </c>
      <c r="C100" s="12" t="s">
        <v>7705</v>
      </c>
      <c r="D100" s="1" t="s">
        <v>7708</v>
      </c>
      <c r="E100" s="1">
        <v>1</v>
      </c>
      <c r="F100" s="1" t="str">
        <f>VLOOKUP(E100,t_tipoProducto!A:B,2,FALSE)</f>
        <v>METALICO</v>
      </c>
      <c r="I100" s="13" t="s">
        <v>7712</v>
      </c>
      <c r="J100" s="2" t="str">
        <f>VLOOKUP(I100,t_cliente!B:C,2,FALSE)</f>
        <v>PERFICOM</v>
      </c>
      <c r="K100" s="2" t="s">
        <v>8346</v>
      </c>
      <c r="L100" s="2">
        <v>6</v>
      </c>
      <c r="M100" s="2" t="str">
        <f>VLOOKUP(L100,t_productStatus!A:B,2,FALSE)</f>
        <v>MUESTRA</v>
      </c>
      <c r="N100" s="1" t="s">
        <v>7348</v>
      </c>
      <c r="O100" s="1" t="str">
        <f>VLOOKUP(N100,t_objeto!B:C,2,FALSE)</f>
        <v>PRODUCTO</v>
      </c>
      <c r="P100" s="1">
        <v>8</v>
      </c>
      <c r="Q100" s="1" t="str">
        <f>VLOOKUP(P100,t_entry_status!A:C,2,FALSE)</f>
        <v>PENDING</v>
      </c>
      <c r="R100" s="7">
        <v>45560</v>
      </c>
      <c r="S100" s="1" t="s">
        <v>7449</v>
      </c>
      <c r="T100" s="7">
        <v>45560</v>
      </c>
      <c r="U100" s="1" t="s">
        <v>7449</v>
      </c>
    </row>
    <row r="101" spans="1:21" x14ac:dyDescent="0.25">
      <c r="A101" s="1">
        <v>100</v>
      </c>
      <c r="B101" s="1" t="str">
        <f>_xlfn.CONCAT(N101,"-",VLOOKUP(N101,t_objeto!B:D,3,FALSE),"-",A101)</f>
        <v>PROD-PERCCO-100</v>
      </c>
      <c r="C101" s="12" t="s">
        <v>7706</v>
      </c>
      <c r="D101" s="1" t="s">
        <v>7709</v>
      </c>
      <c r="E101" s="1">
        <v>1</v>
      </c>
      <c r="F101" s="1" t="str">
        <f>VLOOKUP(E101,t_tipoProducto!A:B,2,FALSE)</f>
        <v>METALICO</v>
      </c>
      <c r="I101" s="13" t="s">
        <v>7712</v>
      </c>
      <c r="J101" s="2" t="str">
        <f>VLOOKUP(I101,t_cliente!B:C,2,FALSE)</f>
        <v>PERFICOM</v>
      </c>
      <c r="K101" s="2" t="s">
        <v>8347</v>
      </c>
      <c r="L101" s="2">
        <v>6</v>
      </c>
      <c r="M101" s="2" t="str">
        <f>VLOOKUP(L101,t_productStatus!A:B,2,FALSE)</f>
        <v>MUESTRA</v>
      </c>
      <c r="N101" s="1" t="s">
        <v>7348</v>
      </c>
      <c r="O101" s="1" t="str">
        <f>VLOOKUP(N101,t_objeto!B:C,2,FALSE)</f>
        <v>PRODUCTO</v>
      </c>
      <c r="P101" s="1">
        <v>8</v>
      </c>
      <c r="Q101" s="1" t="str">
        <f>VLOOKUP(P101,t_entry_status!A:C,2,FALSE)</f>
        <v>PENDING</v>
      </c>
      <c r="R101" s="7">
        <v>45560</v>
      </c>
      <c r="S101" s="1" t="s">
        <v>7449</v>
      </c>
      <c r="T101" s="7">
        <v>45560</v>
      </c>
      <c r="U101" s="1" t="s">
        <v>7449</v>
      </c>
    </row>
    <row r="102" spans="1:21" x14ac:dyDescent="0.25">
      <c r="A102" s="1">
        <v>101</v>
      </c>
      <c r="B102" s="1" t="str">
        <f>_xlfn.CONCAT(N102,"-",VLOOKUP(N102,t_objeto!B:D,3,FALSE),"-",A102)</f>
        <v>PROD-PERCCO-101</v>
      </c>
      <c r="C102" s="12" t="s">
        <v>7707</v>
      </c>
      <c r="D102" s="1" t="s">
        <v>7710</v>
      </c>
      <c r="E102" s="1">
        <v>1</v>
      </c>
      <c r="F102" s="1" t="str">
        <f>VLOOKUP(E102,t_tipoProducto!A:B,2,FALSE)</f>
        <v>METALICO</v>
      </c>
      <c r="I102" s="13" t="s">
        <v>7712</v>
      </c>
      <c r="J102" s="2" t="str">
        <f>VLOOKUP(I102,t_cliente!B:C,2,FALSE)</f>
        <v>PERFICOM</v>
      </c>
      <c r="K102" s="2" t="s">
        <v>8348</v>
      </c>
      <c r="L102" s="2">
        <v>6</v>
      </c>
      <c r="M102" s="2" t="str">
        <f>VLOOKUP(L102,t_productStatus!A:B,2,FALSE)</f>
        <v>MUESTRA</v>
      </c>
      <c r="N102" s="1" t="s">
        <v>7348</v>
      </c>
      <c r="O102" s="1" t="str">
        <f>VLOOKUP(N102,t_objeto!B:C,2,FALSE)</f>
        <v>PRODUCTO</v>
      </c>
      <c r="P102" s="1">
        <v>8</v>
      </c>
      <c r="Q102" s="1" t="str">
        <f>VLOOKUP(P102,t_entry_status!A:C,2,FALSE)</f>
        <v>PENDING</v>
      </c>
      <c r="R102" s="7">
        <v>45560</v>
      </c>
      <c r="S102" s="1" t="s">
        <v>7449</v>
      </c>
      <c r="T102" s="7">
        <v>45560</v>
      </c>
      <c r="U102" s="1" t="s">
        <v>7449</v>
      </c>
    </row>
    <row r="103" spans="1:21" x14ac:dyDescent="0.25">
      <c r="K103" s="2"/>
    </row>
    <row r="104" spans="1:21" x14ac:dyDescent="0.25">
      <c r="K104" s="2"/>
    </row>
    <row r="105" spans="1:21" x14ac:dyDescent="0.25">
      <c r="K105" s="2"/>
    </row>
    <row r="106" spans="1:21" x14ac:dyDescent="0.25">
      <c r="K106" s="2"/>
    </row>
    <row r="107" spans="1:21" x14ac:dyDescent="0.25">
      <c r="K107" s="2"/>
    </row>
    <row r="108" spans="1:21" x14ac:dyDescent="0.25">
      <c r="K108" s="2"/>
    </row>
    <row r="109" spans="1:21" x14ac:dyDescent="0.25">
      <c r="K109" s="2"/>
    </row>
    <row r="110" spans="1:21" x14ac:dyDescent="0.25">
      <c r="K110" s="2"/>
    </row>
    <row r="111" spans="1:21" x14ac:dyDescent="0.25">
      <c r="K111" s="2"/>
    </row>
    <row r="112" spans="1:21" x14ac:dyDescent="0.25">
      <c r="K112" s="2"/>
    </row>
    <row r="113" spans="11:11" x14ac:dyDescent="0.25">
      <c r="K113" s="2"/>
    </row>
    <row r="114" spans="11:11" x14ac:dyDescent="0.25">
      <c r="K114" s="2"/>
    </row>
    <row r="115" spans="11:11" x14ac:dyDescent="0.25">
      <c r="K115" s="2"/>
    </row>
    <row r="116" spans="11:11" x14ac:dyDescent="0.25">
      <c r="K116" s="2"/>
    </row>
    <row r="117" spans="11:11" x14ac:dyDescent="0.25">
      <c r="K117" s="2"/>
    </row>
  </sheetData>
  <autoFilter ref="A1:U94" xr:uid="{25B80F12-6EB6-48C8-B2A8-D8804361E3DC}"/>
  <phoneticPr fontId="5" type="noConversion"/>
  <conditionalFormatting sqref="C1:C1048576">
    <cfRule type="duplicateValues" dxfId="0" priority="1"/>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r:uid="{3D881D97-6348-4960-AA35-1FF6149D4326}">
          <x14:formula1>
            <xm:f>t_tipoProducto!$A:$A</xm:f>
          </x14:formula1>
          <xm:sqref>E2:E102</xm:sqref>
        </x14:dataValidation>
        <x14:dataValidation type="list" allowBlank="1" showInputMessage="1" showErrorMessage="1" xr:uid="{7CFCF856-6798-4DF8-820A-1F2DA2AD0FEC}">
          <x14:formula1>
            <xm:f>t_entry_status!$A:$A</xm:f>
          </x14:formula1>
          <xm:sqref>P2:P102</xm:sqref>
        </x14:dataValidation>
        <x14:dataValidation type="list" allowBlank="1" showInputMessage="1" showErrorMessage="1" xr:uid="{87A61023-7F35-4D6E-9BDF-04EFCC8971F7}">
          <x14:formula1>
            <xm:f>t_productStatus!$A:$A</xm:f>
          </x14:formula1>
          <xm:sqref>L2:L102</xm:sqref>
        </x14:dataValidation>
        <x14:dataValidation type="list" allowBlank="1" showInputMessage="1" showErrorMessage="1" xr:uid="{26766F82-6B60-4228-9DDC-BA461841ECBC}">
          <x14:formula1>
            <xm:f>t_objeto!$B:$B</xm:f>
          </x14:formula1>
          <xm:sqref>N2:N102</xm:sqref>
        </x14:dataValidation>
        <x14:dataValidation type="list" allowBlank="1" showInputMessage="1" showErrorMessage="1" xr:uid="{88461494-4A3C-49A3-B8D1-4BB0E682B403}">
          <x14:formula1>
            <xm:f>t_cliente!$B:$B</xm:f>
          </x14:formula1>
          <xm:sqref>I2:I102</xm:sqref>
        </x14:dataValidation>
        <x14:dataValidation type="list" allowBlank="1" showInputMessage="1" showErrorMessage="1" xr:uid="{2E9B81A8-3914-4495-BB6D-746141235DD4}">
          <x14:formula1>
            <xm:f>t_resourcesPool!$B:$B</xm:f>
          </x14:formula1>
          <xm:sqref>K2:K102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E35D1-3420-4C48-B45F-276E19CDFA15}">
  <dimension ref="A1:I5"/>
  <sheetViews>
    <sheetView workbookViewId="0">
      <selection activeCell="G10" sqref="G10"/>
    </sheetView>
  </sheetViews>
  <sheetFormatPr baseColWidth="10" defaultColWidth="8.85546875" defaultRowHeight="15" x14ac:dyDescent="0.25"/>
  <cols>
    <col min="1" max="1" width="12.7109375" style="1" bestFit="1" customWidth="1"/>
    <col min="2" max="2" width="22.7109375" style="1" bestFit="1" customWidth="1"/>
    <col min="3" max="3" width="75.42578125" style="1" bestFit="1" customWidth="1"/>
    <col min="4" max="4" width="12.7109375" style="1" bestFit="1" customWidth="1"/>
    <col min="5" max="5" width="21.5703125" style="1" bestFit="1" customWidth="1"/>
    <col min="6" max="6" width="15.42578125" style="1" bestFit="1" customWidth="1"/>
    <col min="7" max="7" width="8.85546875" style="1"/>
    <col min="8" max="8" width="16.28515625" style="1" bestFit="1" customWidth="1"/>
    <col min="9" max="9" width="14.5703125" style="1" bestFit="1" customWidth="1"/>
    <col min="10" max="16384" width="8.85546875" style="1"/>
  </cols>
  <sheetData>
    <row r="1" spans="1:9" s="6" customFormat="1" x14ac:dyDescent="0.25">
      <c r="A1" s="5" t="s">
        <v>7286</v>
      </c>
      <c r="B1" s="5" t="s">
        <v>7527</v>
      </c>
      <c r="C1" s="5" t="s">
        <v>7287</v>
      </c>
      <c r="D1" s="5" t="s">
        <v>24</v>
      </c>
      <c r="E1" s="5" t="s">
        <v>43</v>
      </c>
      <c r="F1" s="5" t="s">
        <v>44</v>
      </c>
      <c r="G1" s="5" t="s">
        <v>45</v>
      </c>
      <c r="H1" s="5" t="s">
        <v>46</v>
      </c>
      <c r="I1" s="5" t="s">
        <v>47</v>
      </c>
    </row>
    <row r="2" spans="1:9" x14ac:dyDescent="0.25">
      <c r="A2" s="1">
        <v>1</v>
      </c>
      <c r="B2" s="1" t="s">
        <v>7520</v>
      </c>
      <c r="C2" s="1" t="s">
        <v>7523</v>
      </c>
      <c r="D2" s="1">
        <v>8</v>
      </c>
      <c r="E2" s="1" t="str">
        <f>VLOOKUP(D2,t_entry_status!A:B,2,FALSE)</f>
        <v>PENDING</v>
      </c>
      <c r="F2" s="7">
        <v>45560</v>
      </c>
      <c r="G2" s="1" t="s">
        <v>7449</v>
      </c>
      <c r="H2" s="7">
        <v>45560</v>
      </c>
      <c r="I2" s="1" t="s">
        <v>7449</v>
      </c>
    </row>
    <row r="3" spans="1:9" x14ac:dyDescent="0.25">
      <c r="A3" s="1">
        <v>2</v>
      </c>
      <c r="B3" s="1" t="s">
        <v>7521</v>
      </c>
      <c r="C3" s="1" t="s">
        <v>7524</v>
      </c>
      <c r="D3" s="1">
        <v>8</v>
      </c>
      <c r="E3" s="1" t="str">
        <f>VLOOKUP(D3,t_entry_status!A:B,2,FALSE)</f>
        <v>PENDING</v>
      </c>
      <c r="F3" s="7">
        <v>45560</v>
      </c>
      <c r="G3" s="1" t="s">
        <v>7449</v>
      </c>
      <c r="H3" s="7">
        <v>45560</v>
      </c>
      <c r="I3" s="1" t="s">
        <v>7449</v>
      </c>
    </row>
    <row r="4" spans="1:9" x14ac:dyDescent="0.25">
      <c r="A4" s="1">
        <v>3</v>
      </c>
      <c r="B4" s="1" t="s">
        <v>7522</v>
      </c>
      <c r="C4" s="1" t="s">
        <v>7525</v>
      </c>
      <c r="D4" s="1">
        <v>8</v>
      </c>
      <c r="E4" s="1" t="str">
        <f>VLOOKUP(D4,t_entry_status!A:B,2,FALSE)</f>
        <v>PENDING</v>
      </c>
      <c r="F4" s="7">
        <v>45560</v>
      </c>
      <c r="G4" s="1" t="s">
        <v>7449</v>
      </c>
      <c r="H4" s="7">
        <v>45560</v>
      </c>
      <c r="I4" s="1" t="s">
        <v>7449</v>
      </c>
    </row>
    <row r="5" spans="1:9" x14ac:dyDescent="0.25">
      <c r="A5" s="1">
        <v>4</v>
      </c>
      <c r="B5" s="1" t="s">
        <v>7278</v>
      </c>
      <c r="C5" s="1" t="s">
        <v>7526</v>
      </c>
      <c r="D5" s="1">
        <v>8</v>
      </c>
      <c r="E5" s="1" t="str">
        <f>VLOOKUP(D5,t_entry_status!A:B,2,FALSE)</f>
        <v>PENDING</v>
      </c>
      <c r="F5" s="7">
        <v>45560</v>
      </c>
      <c r="G5" s="1" t="s">
        <v>7449</v>
      </c>
      <c r="H5" s="7">
        <v>45560</v>
      </c>
      <c r="I5" s="1" t="s">
        <v>7449</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ACD039F-FB35-4BA5-A5CE-5B2D69375EA8}">
          <x14:formula1>
            <xm:f>t_entry_status!$A:$A</xm:f>
          </x14:formula1>
          <xm:sqref>D2:D5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2E349-5119-4B9B-9C28-3CDFA6CAC4BE}">
  <dimension ref="A1:I12"/>
  <sheetViews>
    <sheetView workbookViewId="0">
      <selection activeCell="H19" sqref="H19"/>
    </sheetView>
  </sheetViews>
  <sheetFormatPr baseColWidth="10" defaultColWidth="8.85546875" defaultRowHeight="15" x14ac:dyDescent="0.25"/>
  <cols>
    <col min="1" max="1" width="12.7109375" style="1" bestFit="1" customWidth="1"/>
    <col min="2" max="2" width="22.7109375" style="1" bestFit="1" customWidth="1"/>
    <col min="3" max="3" width="86.7109375" style="1" bestFit="1" customWidth="1"/>
    <col min="4" max="4" width="12.7109375" style="1" bestFit="1" customWidth="1"/>
    <col min="5" max="5" width="21.5703125" style="1" bestFit="1" customWidth="1"/>
    <col min="6" max="6" width="15.42578125" style="1" bestFit="1" customWidth="1"/>
    <col min="7" max="7" width="8.85546875" style="1"/>
    <col min="8" max="8" width="16.28515625" style="1" bestFit="1" customWidth="1"/>
    <col min="9" max="9" width="14.5703125" style="1" bestFit="1" customWidth="1"/>
    <col min="10" max="16384" width="8.85546875" style="1"/>
  </cols>
  <sheetData>
    <row r="1" spans="1:9" s="6" customFormat="1" x14ac:dyDescent="0.25">
      <c r="A1" s="5" t="s">
        <v>7286</v>
      </c>
      <c r="B1" s="5" t="s">
        <v>7293</v>
      </c>
      <c r="C1" s="5" t="s">
        <v>7287</v>
      </c>
      <c r="D1" s="5" t="s">
        <v>24</v>
      </c>
      <c r="E1" s="5" t="s">
        <v>43</v>
      </c>
      <c r="F1" s="5" t="s">
        <v>44</v>
      </c>
      <c r="G1" s="5" t="s">
        <v>45</v>
      </c>
      <c r="H1" s="5" t="s">
        <v>46</v>
      </c>
      <c r="I1" s="5" t="s">
        <v>47</v>
      </c>
    </row>
    <row r="2" spans="1:9" x14ac:dyDescent="0.25">
      <c r="A2" s="1">
        <v>1</v>
      </c>
      <c r="B2" s="1" t="s">
        <v>7297</v>
      </c>
      <c r="C2" s="1" t="s">
        <v>7300</v>
      </c>
      <c r="D2" s="1">
        <v>8</v>
      </c>
      <c r="E2" s="1" t="str">
        <f>VLOOKUP(D2,t_entry_status!A:B,2,FALSE)</f>
        <v>PENDING</v>
      </c>
      <c r="F2" s="7">
        <v>45560</v>
      </c>
      <c r="G2" s="1" t="s">
        <v>7449</v>
      </c>
      <c r="H2" s="7">
        <v>45560</v>
      </c>
      <c r="I2" s="1" t="s">
        <v>7449</v>
      </c>
    </row>
    <row r="3" spans="1:9" x14ac:dyDescent="0.25">
      <c r="A3" s="1">
        <v>2</v>
      </c>
      <c r="B3" s="1" t="s">
        <v>7331</v>
      </c>
      <c r="C3" s="1" t="s">
        <v>7332</v>
      </c>
      <c r="D3" s="1">
        <v>8</v>
      </c>
      <c r="E3" s="1" t="str">
        <f>VLOOKUP(D3,t_entry_status!A:B,2,FALSE)</f>
        <v>PENDING</v>
      </c>
      <c r="F3" s="7">
        <v>45560</v>
      </c>
      <c r="G3" s="1" t="s">
        <v>7449</v>
      </c>
      <c r="H3" s="7">
        <v>45560</v>
      </c>
      <c r="I3" s="1" t="s">
        <v>7449</v>
      </c>
    </row>
    <row r="4" spans="1:9" x14ac:dyDescent="0.25">
      <c r="A4" s="1">
        <v>3</v>
      </c>
      <c r="B4" s="1" t="s">
        <v>7295</v>
      </c>
      <c r="C4" s="1" t="s">
        <v>7301</v>
      </c>
      <c r="D4" s="1">
        <v>8</v>
      </c>
      <c r="E4" s="1" t="str">
        <f>VLOOKUP(D4,t_entry_status!A:B,2,FALSE)</f>
        <v>PENDING</v>
      </c>
      <c r="F4" s="7">
        <v>45560</v>
      </c>
      <c r="G4" s="1" t="s">
        <v>7449</v>
      </c>
      <c r="H4" s="7">
        <v>45560</v>
      </c>
      <c r="I4" s="1" t="s">
        <v>7449</v>
      </c>
    </row>
    <row r="5" spans="1:9" x14ac:dyDescent="0.25">
      <c r="A5" s="1">
        <v>4</v>
      </c>
      <c r="B5" s="1" t="s">
        <v>7296</v>
      </c>
      <c r="C5" s="1" t="s">
        <v>7302</v>
      </c>
      <c r="D5" s="1">
        <v>8</v>
      </c>
      <c r="E5" s="1" t="str">
        <f>VLOOKUP(D5,t_entry_status!A:B,2,FALSE)</f>
        <v>PENDING</v>
      </c>
      <c r="F5" s="7">
        <v>45560</v>
      </c>
      <c r="G5" s="1" t="s">
        <v>7449</v>
      </c>
      <c r="H5" s="7">
        <v>45560</v>
      </c>
      <c r="I5" s="1" t="s">
        <v>7449</v>
      </c>
    </row>
    <row r="6" spans="1:9" x14ac:dyDescent="0.25">
      <c r="A6" s="1">
        <v>5</v>
      </c>
      <c r="B6" s="1" t="s">
        <v>7303</v>
      </c>
      <c r="C6" s="1" t="s">
        <v>7304</v>
      </c>
      <c r="D6" s="1">
        <v>8</v>
      </c>
      <c r="E6" s="1" t="str">
        <f>VLOOKUP(D6,t_entry_status!A:B,2,FALSE)</f>
        <v>PENDING</v>
      </c>
      <c r="F6" s="7">
        <v>45560</v>
      </c>
      <c r="G6" s="1" t="s">
        <v>7449</v>
      </c>
      <c r="H6" s="7">
        <v>45560</v>
      </c>
      <c r="I6" s="1" t="s">
        <v>7449</v>
      </c>
    </row>
    <row r="7" spans="1:9" x14ac:dyDescent="0.25">
      <c r="A7" s="1">
        <v>6</v>
      </c>
      <c r="B7" s="1" t="s">
        <v>7329</v>
      </c>
      <c r="C7" s="1" t="s">
        <v>7330</v>
      </c>
      <c r="D7" s="1">
        <v>8</v>
      </c>
      <c r="E7" s="1" t="str">
        <f>VLOOKUP(D7,t_entry_status!A:B,2,FALSE)</f>
        <v>PENDING</v>
      </c>
      <c r="F7" s="7">
        <v>45560</v>
      </c>
      <c r="G7" s="1" t="s">
        <v>7449</v>
      </c>
      <c r="H7" s="7">
        <v>45560</v>
      </c>
      <c r="I7" s="1" t="s">
        <v>7449</v>
      </c>
    </row>
    <row r="8" spans="1:9" x14ac:dyDescent="0.25">
      <c r="A8" s="1">
        <v>7</v>
      </c>
      <c r="B8" s="1" t="s">
        <v>7327</v>
      </c>
      <c r="C8" s="1" t="s">
        <v>7328</v>
      </c>
      <c r="D8" s="1">
        <v>8</v>
      </c>
      <c r="E8" s="1" t="str">
        <f>VLOOKUP(D8,t_entry_status!A:B,2,FALSE)</f>
        <v>PENDING</v>
      </c>
      <c r="F8" s="7">
        <v>45560</v>
      </c>
      <c r="G8" s="1" t="s">
        <v>7449</v>
      </c>
      <c r="H8" s="7">
        <v>45560</v>
      </c>
      <c r="I8" s="1" t="s">
        <v>7449</v>
      </c>
    </row>
    <row r="9" spans="1:9" x14ac:dyDescent="0.25">
      <c r="A9" s="1">
        <v>8</v>
      </c>
      <c r="B9" s="1" t="s">
        <v>7298</v>
      </c>
      <c r="C9" s="1" t="s">
        <v>7305</v>
      </c>
      <c r="D9" s="1">
        <v>8</v>
      </c>
      <c r="E9" s="1" t="str">
        <f>VLOOKUP(D9,t_entry_status!A:B,2,FALSE)</f>
        <v>PENDING</v>
      </c>
      <c r="F9" s="7">
        <v>45560</v>
      </c>
      <c r="G9" s="1" t="s">
        <v>7449</v>
      </c>
      <c r="H9" s="7">
        <v>45560</v>
      </c>
      <c r="I9" s="1" t="s">
        <v>7449</v>
      </c>
    </row>
    <row r="10" spans="1:9" x14ac:dyDescent="0.25">
      <c r="A10" s="1">
        <v>9</v>
      </c>
      <c r="B10" s="1" t="s">
        <v>7299</v>
      </c>
      <c r="C10" s="1" t="s">
        <v>7306</v>
      </c>
      <c r="D10" s="1">
        <v>8</v>
      </c>
      <c r="E10" s="1" t="str">
        <f>VLOOKUP(D10,t_entry_status!A:B,2,FALSE)</f>
        <v>PENDING</v>
      </c>
      <c r="F10" s="7">
        <v>45560</v>
      </c>
      <c r="G10" s="1" t="s">
        <v>7449</v>
      </c>
      <c r="H10" s="7">
        <v>45560</v>
      </c>
      <c r="I10" s="1" t="s">
        <v>7449</v>
      </c>
    </row>
    <row r="11" spans="1:9" x14ac:dyDescent="0.25">
      <c r="A11" s="1">
        <v>10</v>
      </c>
      <c r="B11" s="1" t="s">
        <v>7309</v>
      </c>
      <c r="C11" s="1" t="s">
        <v>7307</v>
      </c>
      <c r="D11" s="1">
        <v>8</v>
      </c>
      <c r="E11" s="1" t="str">
        <f>VLOOKUP(D11,t_entry_status!A:B,2,FALSE)</f>
        <v>PENDING</v>
      </c>
      <c r="F11" s="7">
        <v>45560</v>
      </c>
      <c r="G11" s="1" t="s">
        <v>7449</v>
      </c>
      <c r="H11" s="7">
        <v>45560</v>
      </c>
      <c r="I11" s="1" t="s">
        <v>7449</v>
      </c>
    </row>
    <row r="12" spans="1:9" x14ac:dyDescent="0.25">
      <c r="A12" s="1">
        <v>11</v>
      </c>
      <c r="B12" s="1" t="s">
        <v>7294</v>
      </c>
      <c r="C12" s="1" t="s">
        <v>7308</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B5483AD-E08E-4B84-AFC1-36E4946CDAEE}">
          <x14:formula1>
            <xm:f>t_entry_status!$A:$A</xm:f>
          </x14:formula1>
          <xm:sqref>D2:D11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80F12-6EB6-48C8-B2A8-D8804361E3DC}">
  <dimension ref="A1:O9"/>
  <sheetViews>
    <sheetView workbookViewId="0">
      <selection activeCell="E14" sqref="E14"/>
    </sheetView>
  </sheetViews>
  <sheetFormatPr baseColWidth="10" defaultColWidth="8.85546875" defaultRowHeight="15" x14ac:dyDescent="0.25"/>
  <cols>
    <col min="1" max="1" width="12.7109375" style="1" bestFit="1" customWidth="1"/>
    <col min="2" max="2" width="14.28515625" style="1" bestFit="1" customWidth="1"/>
    <col min="3" max="3" width="21.7109375" style="1" bestFit="1" customWidth="1"/>
    <col min="4" max="4" width="17" style="1" bestFit="1" customWidth="1"/>
    <col min="5" max="5" width="26.140625" style="1" bestFit="1" customWidth="1"/>
    <col min="6" max="6" width="21.42578125" style="1" bestFit="1" customWidth="1"/>
    <col min="7" max="7" width="30.42578125" style="1" bestFit="1" customWidth="1"/>
    <col min="8" max="8" width="8.28515625" style="1" bestFit="1" customWidth="1"/>
    <col min="9" max="9" width="19.42578125" style="1" bestFit="1" customWidth="1"/>
    <col min="10" max="10" width="12.7109375" style="1" bestFit="1" customWidth="1"/>
    <col min="11" max="11" width="21.5703125" style="1" bestFit="1" customWidth="1"/>
    <col min="12" max="12" width="15.42578125" style="1" bestFit="1" customWidth="1"/>
    <col min="13" max="13" width="8.85546875" style="1"/>
    <col min="14" max="14" width="16.28515625" style="1" bestFit="1" customWidth="1"/>
    <col min="15" max="15" width="14.5703125" style="1" bestFit="1" customWidth="1"/>
    <col min="16" max="16384" width="8.85546875" style="1"/>
  </cols>
  <sheetData>
    <row r="1" spans="1:15" s="6" customFormat="1" x14ac:dyDescent="0.25">
      <c r="A1" s="5" t="s">
        <v>7286</v>
      </c>
      <c r="B1" s="5" t="s">
        <v>0</v>
      </c>
      <c r="C1" s="5" t="s">
        <v>7405</v>
      </c>
      <c r="D1" s="5" t="s">
        <v>1</v>
      </c>
      <c r="E1" s="5" t="s">
        <v>2</v>
      </c>
      <c r="F1" s="5" t="s">
        <v>3</v>
      </c>
      <c r="G1" s="5" t="s">
        <v>4</v>
      </c>
      <c r="H1" s="5" t="s">
        <v>7333</v>
      </c>
      <c r="I1" s="5" t="s">
        <v>7287</v>
      </c>
      <c r="J1" s="5" t="s">
        <v>24</v>
      </c>
      <c r="K1" s="5" t="s">
        <v>43</v>
      </c>
      <c r="L1" s="5" t="s">
        <v>44</v>
      </c>
      <c r="M1" s="5" t="s">
        <v>45</v>
      </c>
      <c r="N1" s="5" t="s">
        <v>46</v>
      </c>
      <c r="O1" s="5" t="s">
        <v>47</v>
      </c>
    </row>
    <row r="2" spans="1:15" x14ac:dyDescent="0.25">
      <c r="A2" s="1">
        <v>1</v>
      </c>
      <c r="B2" s="1" t="str">
        <f>_xlfn.CONCAT(H2,"-",VLOOKUP(H2,t_objeto!B:D,3,FALSE),"-",A2)</f>
        <v>CUST-PERCCO-1</v>
      </c>
      <c r="C2" s="13" t="s">
        <v>8</v>
      </c>
      <c r="D2" s="1">
        <v>1</v>
      </c>
      <c r="E2" s="1" t="str">
        <f>VLOOKUP(D2,t_tipo_cliente!A:C,2,FALSE)</f>
        <v>INTERNO</v>
      </c>
      <c r="F2" s="1">
        <v>1</v>
      </c>
      <c r="G2" s="1" t="str">
        <f>VLOOKUP(F2,t_prioridad_cliente!A:B,2,)</f>
        <v>BAJA</v>
      </c>
      <c r="H2" s="1" t="s">
        <v>7347</v>
      </c>
      <c r="I2" s="1" t="str">
        <f>VLOOKUP(H2,t_objeto!B:C,2,FALSE)</f>
        <v>CLIENTE</v>
      </c>
      <c r="J2" s="1">
        <v>8</v>
      </c>
      <c r="K2" s="1" t="str">
        <f>VLOOKUP(J2,t_entry_status!A:C,2,FALSE)</f>
        <v>PENDING</v>
      </c>
      <c r="L2" s="7">
        <v>45560</v>
      </c>
      <c r="M2" s="1" t="s">
        <v>7449</v>
      </c>
      <c r="N2" s="7">
        <v>45560</v>
      </c>
      <c r="O2" s="1" t="s">
        <v>7449</v>
      </c>
    </row>
    <row r="3" spans="1:15" x14ac:dyDescent="0.25">
      <c r="A3" s="1">
        <v>2</v>
      </c>
      <c r="B3" s="1" t="str">
        <f>_xlfn.CONCAT(H3,"-",VLOOKUP(H3,t_objeto!B:D,3,FALSE),"-",A3)</f>
        <v>CUST-PERCCO-2</v>
      </c>
      <c r="C3" s="13" t="s">
        <v>9</v>
      </c>
      <c r="D3" s="1">
        <v>1</v>
      </c>
      <c r="E3" s="1" t="str">
        <f>VLOOKUP(D3,t_tipo_cliente!A:C,2,FALSE)</f>
        <v>INTERNO</v>
      </c>
      <c r="F3" s="1">
        <v>4</v>
      </c>
      <c r="G3" s="1" t="str">
        <f>VLOOKUP(F3,t_prioridad_cliente!A:B,2,)</f>
        <v>URGENTE</v>
      </c>
      <c r="H3" s="1" t="s">
        <v>7347</v>
      </c>
      <c r="I3" s="1" t="str">
        <f>VLOOKUP(H3,t_objeto!B:C,2,FALSE)</f>
        <v>CLIENTE</v>
      </c>
      <c r="J3" s="1">
        <v>8</v>
      </c>
      <c r="K3" s="1" t="str">
        <f>VLOOKUP(J3,t_entry_status!A:C,2,FALSE)</f>
        <v>PENDING</v>
      </c>
      <c r="L3" s="7">
        <v>45560</v>
      </c>
      <c r="M3" s="1" t="s">
        <v>7449</v>
      </c>
      <c r="N3" s="7">
        <v>45560</v>
      </c>
      <c r="O3" s="1" t="s">
        <v>7449</v>
      </c>
    </row>
    <row r="4" spans="1:15" x14ac:dyDescent="0.25">
      <c r="A4" s="1">
        <v>3</v>
      </c>
      <c r="B4" s="1" t="str">
        <f>_xlfn.CONCAT(H4,"-",VLOOKUP(H4,t_objeto!B:D,3,FALSE),"-",A4)</f>
        <v>CUST-PERCCO-3</v>
      </c>
      <c r="C4" s="13" t="s">
        <v>10</v>
      </c>
      <c r="D4" s="1">
        <v>1</v>
      </c>
      <c r="E4" s="1" t="str">
        <f>VLOOKUP(D4,t_tipo_cliente!A:C,2,FALSE)</f>
        <v>INTERNO</v>
      </c>
      <c r="F4" s="1">
        <v>3</v>
      </c>
      <c r="G4" s="1" t="str">
        <f>VLOOKUP(F4,t_prioridad_cliente!A:B,2,)</f>
        <v>ALTA</v>
      </c>
      <c r="H4" s="1" t="s">
        <v>7347</v>
      </c>
      <c r="I4" s="1" t="str">
        <f>VLOOKUP(H4,t_objeto!B:C,2,FALSE)</f>
        <v>CLIENTE</v>
      </c>
      <c r="J4" s="1">
        <v>8</v>
      </c>
      <c r="K4" s="1" t="str">
        <f>VLOOKUP(J4,t_entry_status!A:C,2,FALSE)</f>
        <v>PENDING</v>
      </c>
      <c r="L4" s="7">
        <v>45560</v>
      </c>
      <c r="M4" s="1" t="s">
        <v>7449</v>
      </c>
      <c r="N4" s="7">
        <v>45560</v>
      </c>
      <c r="O4" s="1" t="s">
        <v>7449</v>
      </c>
    </row>
    <row r="5" spans="1:15" x14ac:dyDescent="0.25">
      <c r="A5" s="1">
        <v>4</v>
      </c>
      <c r="B5" s="1" t="str">
        <f>_xlfn.CONCAT(H5,"-",VLOOKUP(H5,t_objeto!B:D,3,FALSE),"-",A5)</f>
        <v>CUST-PERCCO-4</v>
      </c>
      <c r="C5" s="13" t="s">
        <v>11</v>
      </c>
      <c r="D5" s="1">
        <v>1</v>
      </c>
      <c r="E5" s="1" t="str">
        <f>VLOOKUP(D5,t_tipo_cliente!A:C,2,FALSE)</f>
        <v>INTERNO</v>
      </c>
      <c r="F5" s="1">
        <v>1</v>
      </c>
      <c r="G5" s="1" t="str">
        <f>VLOOKUP(F5,t_prioridad_cliente!A:B,2,)</f>
        <v>BAJA</v>
      </c>
      <c r="H5" s="1" t="s">
        <v>7347</v>
      </c>
      <c r="I5" s="1" t="str">
        <f>VLOOKUP(H5,t_objeto!B:C,2,FALSE)</f>
        <v>CLIENTE</v>
      </c>
      <c r="J5" s="1">
        <v>8</v>
      </c>
      <c r="K5" s="1" t="str">
        <f>VLOOKUP(J5,t_entry_status!A:C,2,FALSE)</f>
        <v>PENDING</v>
      </c>
      <c r="L5" s="7">
        <v>45560</v>
      </c>
      <c r="M5" s="1" t="s">
        <v>7449</v>
      </c>
      <c r="N5" s="7">
        <v>45560</v>
      </c>
      <c r="O5" s="1" t="s">
        <v>7449</v>
      </c>
    </row>
    <row r="6" spans="1:15" x14ac:dyDescent="0.25">
      <c r="A6" s="1">
        <v>5</v>
      </c>
      <c r="B6" s="1" t="str">
        <f>_xlfn.CONCAT(H6,"-",VLOOKUP(H6,t_objeto!B:D,3,FALSE),"-",A6)</f>
        <v>CUST-PERCCO-5</v>
      </c>
      <c r="C6" s="13" t="s">
        <v>5</v>
      </c>
      <c r="D6" s="1">
        <v>2</v>
      </c>
      <c r="E6" s="1" t="str">
        <f>VLOOKUP(D6,t_tipo_cliente!A:C,2,FALSE)</f>
        <v>EXTERNO</v>
      </c>
      <c r="F6" s="1">
        <v>2</v>
      </c>
      <c r="G6" s="1" t="str">
        <f>VLOOKUP(F6,t_prioridad_cliente!A:B,2,)</f>
        <v>MEDIA</v>
      </c>
      <c r="H6" s="1" t="s">
        <v>7347</v>
      </c>
      <c r="I6" s="1" t="str">
        <f>VLOOKUP(H6,t_objeto!B:C,2,FALSE)</f>
        <v>CLIENTE</v>
      </c>
      <c r="J6" s="1">
        <v>8</v>
      </c>
      <c r="K6" s="1" t="str">
        <f>VLOOKUP(J6,t_entry_status!A:C,2,FALSE)</f>
        <v>PENDING</v>
      </c>
      <c r="L6" s="7">
        <v>45560</v>
      </c>
      <c r="M6" s="1" t="s">
        <v>7449</v>
      </c>
      <c r="N6" s="7">
        <v>45560</v>
      </c>
      <c r="O6" s="1" t="s">
        <v>7449</v>
      </c>
    </row>
    <row r="7" spans="1:15" x14ac:dyDescent="0.25">
      <c r="A7" s="1">
        <v>6</v>
      </c>
      <c r="B7" s="1" t="str">
        <f>_xlfn.CONCAT(H7,"-",VLOOKUP(H7,t_objeto!B:D,3,FALSE),"-",A7)</f>
        <v>CUST-PERCCO-6</v>
      </c>
      <c r="C7" s="13" t="s">
        <v>6</v>
      </c>
      <c r="D7" s="1">
        <v>2</v>
      </c>
      <c r="E7" s="1" t="str">
        <f>VLOOKUP(D7,t_tipo_cliente!A:C,2,FALSE)</f>
        <v>EXTERNO</v>
      </c>
      <c r="F7" s="1">
        <v>2</v>
      </c>
      <c r="G7" s="1" t="str">
        <f>VLOOKUP(F7,t_prioridad_cliente!A:B,2,)</f>
        <v>MEDIA</v>
      </c>
      <c r="H7" s="1" t="s">
        <v>7347</v>
      </c>
      <c r="I7" s="1" t="str">
        <f>VLOOKUP(H7,t_objeto!B:C,2,FALSE)</f>
        <v>CLIENTE</v>
      </c>
      <c r="J7" s="1">
        <v>8</v>
      </c>
      <c r="K7" s="1" t="str">
        <f>VLOOKUP(J7,t_entry_status!A:C,2,FALSE)</f>
        <v>PENDING</v>
      </c>
      <c r="L7" s="7">
        <v>45560</v>
      </c>
      <c r="M7" s="1" t="s">
        <v>7449</v>
      </c>
      <c r="N7" s="7">
        <v>45560</v>
      </c>
      <c r="O7" s="1" t="s">
        <v>7449</v>
      </c>
    </row>
    <row r="8" spans="1:15" x14ac:dyDescent="0.25">
      <c r="A8" s="1">
        <v>7</v>
      </c>
      <c r="B8" s="1" t="str">
        <f>_xlfn.CONCAT(H8,"-",VLOOKUP(H8,t_objeto!B:D,3,FALSE),"-",A8)</f>
        <v>CUST-PERCCO-7</v>
      </c>
      <c r="C8" s="13" t="s">
        <v>7</v>
      </c>
      <c r="D8" s="1">
        <v>2</v>
      </c>
      <c r="E8" s="1" t="str">
        <f>VLOOKUP(D8,t_tipo_cliente!A:C,2,FALSE)</f>
        <v>EXTERNO</v>
      </c>
      <c r="F8" s="1">
        <v>2</v>
      </c>
      <c r="G8" s="1" t="str">
        <f>VLOOKUP(F8,t_prioridad_cliente!A:B,2,)</f>
        <v>MEDIA</v>
      </c>
      <c r="H8" s="1" t="s">
        <v>7347</v>
      </c>
      <c r="I8" s="1" t="str">
        <f>VLOOKUP(H8,t_objeto!B:C,2,FALSE)</f>
        <v>CLIENTE</v>
      </c>
      <c r="J8" s="1">
        <v>8</v>
      </c>
      <c r="K8" s="1" t="str">
        <f>VLOOKUP(J8,t_entry_status!A:C,2,FALSE)</f>
        <v>PENDING</v>
      </c>
      <c r="L8" s="7">
        <v>45560</v>
      </c>
      <c r="M8" s="1" t="s">
        <v>7449</v>
      </c>
      <c r="N8" s="7">
        <v>45560</v>
      </c>
      <c r="O8" s="1" t="s">
        <v>7449</v>
      </c>
    </row>
    <row r="9" spans="1:15" x14ac:dyDescent="0.25">
      <c r="A9" s="1">
        <v>8</v>
      </c>
      <c r="B9" s="1" t="str">
        <f>_xlfn.CONCAT(H9,"-",VLOOKUP(H9,t_objeto!B:D,3,FALSE),"-",A9)</f>
        <v>CUST-PERCCO-8</v>
      </c>
      <c r="C9" s="13" t="s">
        <v>7714</v>
      </c>
      <c r="D9" s="1">
        <v>2</v>
      </c>
      <c r="E9" s="1" t="str">
        <f>VLOOKUP(D9,t_tipo_cliente!A:C,2,FALSE)</f>
        <v>EXTERNO</v>
      </c>
      <c r="F9" s="1">
        <v>2</v>
      </c>
      <c r="G9" s="1" t="str">
        <f>VLOOKUP(F9,t_prioridad_cliente!A:B,2,)</f>
        <v>MEDIA</v>
      </c>
      <c r="H9" s="1" t="s">
        <v>7347</v>
      </c>
      <c r="I9" s="1" t="str">
        <f>VLOOKUP(H9,t_objeto!B:C,2,FALSE)</f>
        <v>CLIENTE</v>
      </c>
      <c r="J9" s="1">
        <v>8</v>
      </c>
      <c r="K9" s="1" t="str">
        <f>VLOOKUP(J9,t_entry_status!A:C,2,FALSE)</f>
        <v>PENDING</v>
      </c>
      <c r="L9" s="7">
        <v>45560</v>
      </c>
      <c r="M9" s="1" t="s">
        <v>7449</v>
      </c>
      <c r="N9" s="7">
        <v>45560</v>
      </c>
      <c r="O9" s="1" t="s">
        <v>7449</v>
      </c>
    </row>
  </sheetData>
  <autoFilter ref="A1:O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EA35AE79-531D-413C-81AD-5CE753543427}">
          <x14:formula1>
            <xm:f>t_tipo_cliente!$A:$A</xm:f>
          </x14:formula1>
          <xm:sqref>D2:D9</xm:sqref>
        </x14:dataValidation>
        <x14:dataValidation type="list" allowBlank="1" showInputMessage="1" showErrorMessage="1" xr:uid="{89BCCF65-3FD2-4E52-85D9-F3A1F2458C28}">
          <x14:formula1>
            <xm:f>t_prioridad_cliente!$A:$A</xm:f>
          </x14:formula1>
          <xm:sqref>F2:F9</xm:sqref>
        </x14:dataValidation>
        <x14:dataValidation type="list" allowBlank="1" showInputMessage="1" showErrorMessage="1" xr:uid="{5C7DFCFA-4382-4591-9579-FC45AD7C3270}">
          <x14:formula1>
            <xm:f>t_entry_status!$A:$A</xm:f>
          </x14:formula1>
          <xm:sqref>J2:J9</xm:sqref>
        </x14:dataValidation>
        <x14:dataValidation type="list" allowBlank="1" showInputMessage="1" showErrorMessage="1" xr:uid="{0387B7E2-E89F-4E01-9321-98035BBB3096}">
          <x14:formula1>
            <xm:f>t_objeto!$B:$B</xm:f>
          </x14:formula1>
          <xm:sqref>H2:H20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0720C-FD55-4E7F-8060-4A2309810C0B}">
  <dimension ref="A1:I3"/>
  <sheetViews>
    <sheetView workbookViewId="0">
      <selection activeCell="I2" sqref="I2:I3"/>
    </sheetView>
  </sheetViews>
  <sheetFormatPr baseColWidth="10" defaultColWidth="8.85546875" defaultRowHeight="15" x14ac:dyDescent="0.25"/>
  <cols>
    <col min="1" max="1" width="17" style="1" bestFit="1" customWidth="1"/>
    <col min="2" max="2" width="20.140625" style="1" bestFit="1" customWidth="1"/>
    <col min="3" max="3" width="19.42578125" style="1" bestFit="1" customWidth="1"/>
    <col min="4" max="5" width="8.85546875" style="1"/>
    <col min="6" max="6" width="15.5703125" style="1" bestFit="1" customWidth="1"/>
    <col min="7" max="7" width="8.85546875" style="1"/>
    <col min="8" max="8" width="15.5703125" style="1" bestFit="1" customWidth="1"/>
    <col min="9" max="16384" width="8.85546875" style="1"/>
  </cols>
  <sheetData>
    <row r="1" spans="1:9" s="6" customFormat="1" x14ac:dyDescent="0.25">
      <c r="A1" s="5" t="s">
        <v>7286</v>
      </c>
      <c r="B1" s="5" t="s">
        <v>7288</v>
      </c>
      <c r="C1" s="5" t="s">
        <v>7287</v>
      </c>
      <c r="D1" s="5" t="s">
        <v>24</v>
      </c>
      <c r="E1" s="5" t="s">
        <v>43</v>
      </c>
      <c r="F1" s="5" t="s">
        <v>44</v>
      </c>
      <c r="G1" s="5" t="s">
        <v>45</v>
      </c>
      <c r="H1" s="5" t="s">
        <v>46</v>
      </c>
      <c r="I1" s="5" t="s">
        <v>47</v>
      </c>
    </row>
    <row r="2" spans="1:9" x14ac:dyDescent="0.25">
      <c r="A2" s="1">
        <v>1</v>
      </c>
      <c r="B2" s="1" t="s">
        <v>12</v>
      </c>
      <c r="C2" s="1" t="s">
        <v>13</v>
      </c>
      <c r="D2" s="1">
        <v>8</v>
      </c>
      <c r="E2" s="1" t="str">
        <f>VLOOKUP(D2,t_entry_status!A:B,2,FALSE)</f>
        <v>PENDING</v>
      </c>
      <c r="F2" s="7">
        <v>45560</v>
      </c>
      <c r="G2" s="1" t="s">
        <v>7449</v>
      </c>
      <c r="H2" s="7">
        <v>45560</v>
      </c>
      <c r="I2" s="1" t="s">
        <v>7449</v>
      </c>
    </row>
    <row r="3" spans="1:9" x14ac:dyDescent="0.25">
      <c r="A3" s="1">
        <v>2</v>
      </c>
      <c r="B3" s="1" t="s">
        <v>14</v>
      </c>
      <c r="C3" s="1" t="s">
        <v>15</v>
      </c>
      <c r="D3" s="1">
        <v>8</v>
      </c>
      <c r="E3" s="1" t="str">
        <f>VLOOKUP(D3,t_entry_status!A:B,2,FALSE)</f>
        <v>PENDING</v>
      </c>
      <c r="F3" s="7">
        <v>45560</v>
      </c>
      <c r="G3" s="1" t="s">
        <v>7449</v>
      </c>
      <c r="H3" s="7">
        <v>45560</v>
      </c>
      <c r="I3" s="1" t="s">
        <v>7449</v>
      </c>
    </row>
  </sheetData>
  <autoFilter ref="A1:C1" xr:uid="{53C0720C-FD55-4E7F-8060-4A2309810C0B}"/>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012904-B660-4A78-9B72-0C43CE6DB4A1}">
          <x14:formula1>
            <xm:f>t_entry_status!$A:$A</xm:f>
          </x14:formula1>
          <xm:sqref>D2:D3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9D1A-049E-4D3A-A391-557D80DD611E}">
  <dimension ref="A1:I6"/>
  <sheetViews>
    <sheetView topLeftCell="B1" workbookViewId="0">
      <selection activeCell="I2" sqref="I2:I3"/>
    </sheetView>
  </sheetViews>
  <sheetFormatPr baseColWidth="10" defaultColWidth="8.85546875" defaultRowHeight="15" x14ac:dyDescent="0.25"/>
  <cols>
    <col min="1" max="1" width="21.42578125" style="1" bestFit="1" customWidth="1"/>
    <col min="2" max="2" width="20.140625" style="1" bestFit="1" customWidth="1"/>
    <col min="3" max="3" width="120.85546875" style="1" bestFit="1" customWidth="1"/>
    <col min="4" max="4" width="13.140625" style="1" bestFit="1" customWidth="1"/>
    <col min="5" max="5" width="22.28515625" style="1" bestFit="1" customWidth="1"/>
    <col min="6" max="6" width="15.5703125" style="1" bestFit="1" customWidth="1"/>
    <col min="7" max="7" width="9.28515625" style="1" bestFit="1" customWidth="1"/>
    <col min="8" max="8" width="15.5703125" style="1" bestFit="1" customWidth="1"/>
    <col min="9" max="16384" width="8.85546875" style="1"/>
  </cols>
  <sheetData>
    <row r="1" spans="1:9" s="6" customFormat="1" x14ac:dyDescent="0.25">
      <c r="A1" s="5" t="s">
        <v>7286</v>
      </c>
      <c r="B1" s="5" t="s">
        <v>7289</v>
      </c>
      <c r="C1" s="5" t="s">
        <v>7287</v>
      </c>
      <c r="D1" s="5" t="s">
        <v>24</v>
      </c>
      <c r="E1" s="5" t="s">
        <v>43</v>
      </c>
      <c r="F1" s="5" t="s">
        <v>44</v>
      </c>
      <c r="G1" s="5" t="s">
        <v>45</v>
      </c>
      <c r="H1" s="5" t="s">
        <v>46</v>
      </c>
      <c r="I1" s="5" t="s">
        <v>47</v>
      </c>
    </row>
    <row r="2" spans="1:9" x14ac:dyDescent="0.25">
      <c r="A2" s="1">
        <v>1</v>
      </c>
      <c r="B2" s="3" t="s">
        <v>16</v>
      </c>
      <c r="C2" s="4" t="s">
        <v>17</v>
      </c>
      <c r="D2" s="1">
        <v>8</v>
      </c>
      <c r="E2" s="1" t="str">
        <f>VLOOKUP(D2,t_entry_status!A:B,2,FALSE)</f>
        <v>PENDING</v>
      </c>
      <c r="F2" s="7">
        <v>45560</v>
      </c>
      <c r="G2" s="1" t="s">
        <v>7449</v>
      </c>
      <c r="H2" s="7">
        <v>45560</v>
      </c>
      <c r="I2" s="1" t="s">
        <v>7449</v>
      </c>
    </row>
    <row r="3" spans="1:9" x14ac:dyDescent="0.25">
      <c r="A3" s="1">
        <v>2</v>
      </c>
      <c r="B3" s="3" t="s">
        <v>18</v>
      </c>
      <c r="C3" s="4" t="s">
        <v>19</v>
      </c>
      <c r="D3" s="1">
        <v>8</v>
      </c>
      <c r="E3" s="1" t="str">
        <f>VLOOKUP(D3,t_entry_status!A:B,2,FALSE)</f>
        <v>PENDING</v>
      </c>
      <c r="F3" s="7">
        <v>45560</v>
      </c>
      <c r="G3" s="1" t="s">
        <v>7449</v>
      </c>
      <c r="H3" s="7">
        <v>45560</v>
      </c>
      <c r="I3" s="1" t="s">
        <v>7449</v>
      </c>
    </row>
    <row r="4" spans="1:9" x14ac:dyDescent="0.25">
      <c r="A4" s="1">
        <v>3</v>
      </c>
      <c r="B4" s="1" t="s">
        <v>20</v>
      </c>
      <c r="C4" s="4" t="s">
        <v>21</v>
      </c>
      <c r="D4" s="1">
        <v>8</v>
      </c>
      <c r="E4" s="1" t="str">
        <f>VLOOKUP(D4,t_entry_status!A:B,2,FALSE)</f>
        <v>PENDING</v>
      </c>
      <c r="F4" s="7">
        <v>45560</v>
      </c>
      <c r="G4" s="1" t="s">
        <v>7449</v>
      </c>
      <c r="H4" s="7">
        <v>45560</v>
      </c>
      <c r="I4" s="1" t="s">
        <v>7449</v>
      </c>
    </row>
    <row r="5" spans="1:9" x14ac:dyDescent="0.25">
      <c r="A5" s="1">
        <v>4</v>
      </c>
      <c r="B5" s="3" t="s">
        <v>22</v>
      </c>
      <c r="C5" s="4" t="s">
        <v>23</v>
      </c>
      <c r="D5" s="1">
        <v>8</v>
      </c>
      <c r="E5" s="1" t="str">
        <f>VLOOKUP(D5,t_entry_status!A:B,2,FALSE)</f>
        <v>PENDING</v>
      </c>
      <c r="F5" s="7">
        <v>45560</v>
      </c>
      <c r="G5" s="1" t="s">
        <v>7449</v>
      </c>
      <c r="H5" s="7">
        <v>45560</v>
      </c>
      <c r="I5" s="1" t="s">
        <v>7449</v>
      </c>
    </row>
    <row r="6" spans="1:9" x14ac:dyDescent="0.25">
      <c r="B6" s="3"/>
    </row>
  </sheetData>
  <autoFilter ref="A1:C1" xr:uid="{BFC29D1A-049E-4D3A-A391-557D80DD611E}"/>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9515DE-7A43-4F4D-8A71-1E2833A71C21}">
          <x14:formula1>
            <xm:f>t_entry_status!$A:$A</xm:f>
          </x14:formula1>
          <xm:sqref>D2:D5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DEC0-35D5-4CF8-90F0-80394F3D2D2C}">
  <dimension ref="A1:K2419"/>
  <sheetViews>
    <sheetView topLeftCell="E1" workbookViewId="0">
      <pane ySplit="1" topLeftCell="A2" activePane="bottomLeft" state="frozen"/>
      <selection pane="bottomLeft" activeCell="I2" sqref="I2:I3"/>
    </sheetView>
  </sheetViews>
  <sheetFormatPr baseColWidth="10" defaultColWidth="11.5703125" defaultRowHeight="15" x14ac:dyDescent="0.25"/>
  <cols>
    <col min="1" max="1" width="13.85546875" style="1" bestFit="1" customWidth="1"/>
    <col min="2" max="2" width="15.7109375" style="1" bestFit="1" customWidth="1"/>
    <col min="3" max="3" width="93.7109375" style="1" bestFit="1" customWidth="1"/>
    <col min="4" max="4" width="255.7109375" style="1" bestFit="1" customWidth="1"/>
    <col min="5" max="5" width="187.28515625" style="1" bestFit="1" customWidth="1"/>
    <col min="6" max="6" width="22.140625" style="1" bestFit="1" customWidth="1"/>
    <col min="7" max="7" width="13.140625" style="1" bestFit="1" customWidth="1"/>
    <col min="8" max="8" width="15.5703125" style="1" bestFit="1" customWidth="1"/>
    <col min="9" max="9" width="11" style="1" bestFit="1" customWidth="1"/>
    <col min="10" max="10" width="15.5703125" style="1" bestFit="1" customWidth="1"/>
    <col min="11" max="11" width="11" style="1" bestFit="1" customWidth="1"/>
    <col min="12" max="16384" width="11.5703125" style="1"/>
  </cols>
  <sheetData>
    <row r="1" spans="1:11" s="6" customFormat="1" x14ac:dyDescent="0.25">
      <c r="A1" s="5" t="s">
        <v>7286</v>
      </c>
      <c r="B1" s="5" t="s">
        <v>7290</v>
      </c>
      <c r="C1" s="5" t="s">
        <v>7287</v>
      </c>
      <c r="D1" s="5" t="s">
        <v>48</v>
      </c>
      <c r="E1" s="5" t="s">
        <v>49</v>
      </c>
      <c r="F1" s="5" t="s">
        <v>50</v>
      </c>
      <c r="G1" s="5" t="s">
        <v>24</v>
      </c>
      <c r="H1" s="5" t="s">
        <v>44</v>
      </c>
      <c r="I1" s="5" t="s">
        <v>45</v>
      </c>
      <c r="J1" s="5" t="s">
        <v>46</v>
      </c>
      <c r="K1" s="6" t="s">
        <v>47</v>
      </c>
    </row>
    <row r="2" spans="1:11" x14ac:dyDescent="0.25">
      <c r="A2" s="1">
        <v>1</v>
      </c>
      <c r="B2" s="1">
        <v>18</v>
      </c>
      <c r="C2" s="1" t="s">
        <v>51</v>
      </c>
      <c r="E2" s="1" t="s">
        <v>52</v>
      </c>
      <c r="G2" s="1">
        <v>1</v>
      </c>
      <c r="H2" s="7">
        <v>45560</v>
      </c>
      <c r="I2" s="1" t="s">
        <v>7449</v>
      </c>
      <c r="J2" s="7">
        <v>45560</v>
      </c>
      <c r="K2" s="1" t="s">
        <v>7449</v>
      </c>
    </row>
    <row r="3" spans="1:11" x14ac:dyDescent="0.25">
      <c r="A3" s="1">
        <v>2</v>
      </c>
      <c r="B3" s="1">
        <v>19</v>
      </c>
      <c r="C3" s="1" t="s">
        <v>53</v>
      </c>
      <c r="E3" s="1" t="s">
        <v>52</v>
      </c>
      <c r="G3" s="1">
        <v>1</v>
      </c>
      <c r="H3" s="7">
        <v>45560</v>
      </c>
      <c r="I3" s="1" t="s">
        <v>7449</v>
      </c>
      <c r="J3" s="7">
        <v>45560</v>
      </c>
      <c r="K3" s="1" t="s">
        <v>7449</v>
      </c>
    </row>
    <row r="4" spans="1:11" x14ac:dyDescent="0.25">
      <c r="A4" s="1">
        <v>3</v>
      </c>
      <c r="B4" s="1">
        <v>26</v>
      </c>
      <c r="C4" s="1" t="s">
        <v>54</v>
      </c>
      <c r="E4" s="1" t="s">
        <v>52</v>
      </c>
      <c r="G4" s="1">
        <v>1</v>
      </c>
      <c r="H4" s="7">
        <v>45560</v>
      </c>
      <c r="I4" s="1" t="s">
        <v>7449</v>
      </c>
      <c r="J4" s="7">
        <v>45560</v>
      </c>
      <c r="K4" s="1" t="s">
        <v>7449</v>
      </c>
    </row>
    <row r="5" spans="1:11" x14ac:dyDescent="0.25">
      <c r="A5" s="1">
        <v>4</v>
      </c>
      <c r="B5" s="1">
        <v>29</v>
      </c>
      <c r="C5" s="1" t="s">
        <v>55</v>
      </c>
      <c r="E5" s="1" t="s">
        <v>52</v>
      </c>
      <c r="F5" s="1" t="s">
        <v>56</v>
      </c>
      <c r="G5" s="1">
        <v>1</v>
      </c>
      <c r="H5" s="7">
        <v>45560</v>
      </c>
      <c r="I5" s="1" t="s">
        <v>7449</v>
      </c>
      <c r="J5" s="7">
        <v>45560</v>
      </c>
      <c r="K5" s="1" t="s">
        <v>7449</v>
      </c>
    </row>
    <row r="6" spans="1:11" x14ac:dyDescent="0.25">
      <c r="A6" s="1">
        <v>5</v>
      </c>
      <c r="B6" s="1">
        <v>30</v>
      </c>
      <c r="C6" s="1" t="s">
        <v>57</v>
      </c>
      <c r="E6" s="1" t="s">
        <v>52</v>
      </c>
      <c r="G6" s="1">
        <v>1</v>
      </c>
      <c r="H6" s="7">
        <v>45560</v>
      </c>
      <c r="I6" s="1" t="s">
        <v>7449</v>
      </c>
      <c r="J6" s="7">
        <v>45560</v>
      </c>
      <c r="K6" s="1" t="s">
        <v>7449</v>
      </c>
    </row>
    <row r="7" spans="1:11" x14ac:dyDescent="0.25">
      <c r="A7" s="1">
        <v>6</v>
      </c>
      <c r="B7" s="1">
        <v>31</v>
      </c>
      <c r="C7" s="1" t="s">
        <v>58</v>
      </c>
      <c r="E7" s="1" t="s">
        <v>52</v>
      </c>
      <c r="G7" s="1">
        <v>1</v>
      </c>
      <c r="H7" s="7">
        <v>45560</v>
      </c>
      <c r="I7" s="1" t="s">
        <v>7449</v>
      </c>
      <c r="J7" s="7">
        <v>45560</v>
      </c>
      <c r="K7" s="1" t="s">
        <v>7449</v>
      </c>
    </row>
    <row r="8" spans="1:11" x14ac:dyDescent="0.25">
      <c r="A8" s="1">
        <v>7</v>
      </c>
      <c r="B8" s="1">
        <v>32</v>
      </c>
      <c r="C8" s="1" t="s">
        <v>59</v>
      </c>
      <c r="E8" s="1" t="s">
        <v>52</v>
      </c>
      <c r="G8" s="1">
        <v>1</v>
      </c>
      <c r="H8" s="7">
        <v>45560</v>
      </c>
      <c r="I8" s="1" t="s">
        <v>7449</v>
      </c>
      <c r="J8" s="7">
        <v>45560</v>
      </c>
      <c r="K8" s="1" t="s">
        <v>7449</v>
      </c>
    </row>
    <row r="9" spans="1:11" x14ac:dyDescent="0.25">
      <c r="A9" s="1">
        <v>8</v>
      </c>
      <c r="B9" s="1">
        <v>36</v>
      </c>
      <c r="C9" s="1" t="s">
        <v>60</v>
      </c>
      <c r="D9" s="1" t="s">
        <v>61</v>
      </c>
      <c r="E9" s="1" t="s">
        <v>52</v>
      </c>
      <c r="F9" s="1" t="s">
        <v>62</v>
      </c>
      <c r="G9" s="1">
        <v>1</v>
      </c>
      <c r="H9" s="7">
        <v>45560</v>
      </c>
      <c r="I9" s="1" t="s">
        <v>7449</v>
      </c>
      <c r="J9" s="7">
        <v>45560</v>
      </c>
      <c r="K9" s="1" t="s">
        <v>7449</v>
      </c>
    </row>
    <row r="10" spans="1:11" x14ac:dyDescent="0.25">
      <c r="A10" s="1">
        <v>9</v>
      </c>
      <c r="B10" s="1">
        <v>44</v>
      </c>
      <c r="C10" s="1" t="s">
        <v>63</v>
      </c>
      <c r="E10" s="1" t="s">
        <v>52</v>
      </c>
      <c r="G10" s="1">
        <v>1</v>
      </c>
      <c r="H10" s="7">
        <v>45560</v>
      </c>
      <c r="I10" s="1" t="s">
        <v>7449</v>
      </c>
      <c r="J10" s="7">
        <v>45560</v>
      </c>
      <c r="K10" s="1" t="s">
        <v>7449</v>
      </c>
    </row>
    <row r="11" spans="1:11" x14ac:dyDescent="0.25">
      <c r="A11" s="1">
        <v>10</v>
      </c>
      <c r="B11" s="1">
        <v>45</v>
      </c>
      <c r="C11" s="1" t="s">
        <v>64</v>
      </c>
      <c r="E11" s="1" t="s">
        <v>52</v>
      </c>
      <c r="G11" s="1">
        <v>1</v>
      </c>
      <c r="H11" s="7">
        <v>45560</v>
      </c>
      <c r="I11" s="1" t="s">
        <v>7449</v>
      </c>
      <c r="J11" s="7">
        <v>45560</v>
      </c>
      <c r="K11" s="1" t="s">
        <v>7449</v>
      </c>
    </row>
    <row r="12" spans="1:11" x14ac:dyDescent="0.25">
      <c r="A12" s="1">
        <v>11</v>
      </c>
      <c r="B12" s="1">
        <v>46</v>
      </c>
      <c r="C12" s="1" t="s">
        <v>65</v>
      </c>
      <c r="E12" s="1" t="s">
        <v>52</v>
      </c>
      <c r="G12" s="1">
        <v>1</v>
      </c>
      <c r="H12" s="7">
        <v>45560</v>
      </c>
      <c r="I12" s="1" t="s">
        <v>7449</v>
      </c>
      <c r="J12" s="7">
        <v>45560</v>
      </c>
      <c r="K12" s="1" t="s">
        <v>7449</v>
      </c>
    </row>
    <row r="13" spans="1:11" x14ac:dyDescent="0.25">
      <c r="A13" s="1">
        <v>12</v>
      </c>
      <c r="B13" s="1">
        <v>47</v>
      </c>
      <c r="C13" s="1" t="s">
        <v>66</v>
      </c>
      <c r="E13" s="1" t="s">
        <v>52</v>
      </c>
      <c r="G13" s="1">
        <v>1</v>
      </c>
      <c r="H13" s="7">
        <v>45560</v>
      </c>
      <c r="I13" s="1" t="s">
        <v>7449</v>
      </c>
      <c r="J13" s="7">
        <v>45560</v>
      </c>
      <c r="K13" s="1" t="s">
        <v>7449</v>
      </c>
    </row>
    <row r="14" spans="1:11" x14ac:dyDescent="0.25">
      <c r="A14" s="1">
        <v>13</v>
      </c>
      <c r="B14" s="1">
        <v>48</v>
      </c>
      <c r="C14" s="1" t="s">
        <v>67</v>
      </c>
      <c r="E14" s="1" t="s">
        <v>52</v>
      </c>
      <c r="G14" s="1">
        <v>1</v>
      </c>
      <c r="H14" s="7">
        <v>45560</v>
      </c>
      <c r="I14" s="1" t="s">
        <v>7449</v>
      </c>
      <c r="J14" s="7">
        <v>45560</v>
      </c>
      <c r="K14" s="1" t="s">
        <v>7449</v>
      </c>
    </row>
    <row r="15" spans="1:11" x14ac:dyDescent="0.25">
      <c r="A15" s="1">
        <v>14</v>
      </c>
      <c r="B15" s="1">
        <v>53</v>
      </c>
      <c r="C15" s="1" t="s">
        <v>68</v>
      </c>
      <c r="E15" s="1" t="s">
        <v>52</v>
      </c>
      <c r="G15" s="1">
        <v>1</v>
      </c>
      <c r="H15" s="7">
        <v>45560</v>
      </c>
      <c r="I15" s="1" t="s">
        <v>7449</v>
      </c>
      <c r="J15" s="7">
        <v>45560</v>
      </c>
      <c r="K15" s="1" t="s">
        <v>7449</v>
      </c>
    </row>
    <row r="16" spans="1:11" x14ac:dyDescent="0.25">
      <c r="A16" s="1">
        <v>15</v>
      </c>
      <c r="B16" s="1">
        <v>54</v>
      </c>
      <c r="C16" s="1" t="s">
        <v>69</v>
      </c>
      <c r="E16" s="1" t="s">
        <v>52</v>
      </c>
      <c r="G16" s="1">
        <v>1</v>
      </c>
      <c r="H16" s="7">
        <v>45560</v>
      </c>
      <c r="I16" s="1" t="s">
        <v>7449</v>
      </c>
      <c r="J16" s="7">
        <v>45560</v>
      </c>
      <c r="K16" s="1" t="s">
        <v>7449</v>
      </c>
    </row>
    <row r="17" spans="1:11" x14ac:dyDescent="0.25">
      <c r="A17" s="1">
        <v>16</v>
      </c>
      <c r="B17" s="1">
        <v>62</v>
      </c>
      <c r="C17" s="1" t="s">
        <v>70</v>
      </c>
      <c r="E17" s="1" t="s">
        <v>52</v>
      </c>
      <c r="G17" s="1">
        <v>1</v>
      </c>
      <c r="H17" s="7">
        <v>45560</v>
      </c>
      <c r="I17" s="1" t="s">
        <v>7449</v>
      </c>
      <c r="J17" s="7">
        <v>45560</v>
      </c>
      <c r="K17" s="1" t="s">
        <v>7449</v>
      </c>
    </row>
    <row r="18" spans="1:11" x14ac:dyDescent="0.25">
      <c r="A18" s="1">
        <v>17</v>
      </c>
      <c r="B18" s="1">
        <v>63</v>
      </c>
      <c r="C18" s="1" t="s">
        <v>71</v>
      </c>
      <c r="E18" s="1" t="s">
        <v>52</v>
      </c>
      <c r="G18" s="1">
        <v>1</v>
      </c>
      <c r="H18" s="7">
        <v>45560</v>
      </c>
      <c r="I18" s="1" t="s">
        <v>7449</v>
      </c>
      <c r="J18" s="7">
        <v>45560</v>
      </c>
      <c r="K18" s="1" t="s">
        <v>7449</v>
      </c>
    </row>
    <row r="19" spans="1:11" x14ac:dyDescent="0.25">
      <c r="A19" s="1">
        <v>18</v>
      </c>
      <c r="B19" s="1">
        <v>64</v>
      </c>
      <c r="C19" s="1" t="s">
        <v>72</v>
      </c>
      <c r="E19" s="1" t="s">
        <v>73</v>
      </c>
      <c r="G19" s="1">
        <v>1</v>
      </c>
      <c r="H19" s="7">
        <v>45560</v>
      </c>
      <c r="I19" s="1" t="s">
        <v>7449</v>
      </c>
      <c r="J19" s="7">
        <v>45560</v>
      </c>
      <c r="K19" s="1" t="s">
        <v>7449</v>
      </c>
    </row>
    <row r="20" spans="1:11" x14ac:dyDescent="0.25">
      <c r="A20" s="1">
        <v>19</v>
      </c>
      <c r="B20" s="1">
        <v>66</v>
      </c>
      <c r="C20" s="1" t="s">
        <v>74</v>
      </c>
      <c r="E20" s="1" t="s">
        <v>73</v>
      </c>
      <c r="F20" s="1" t="s">
        <v>75</v>
      </c>
      <c r="G20" s="1">
        <v>1</v>
      </c>
      <c r="H20" s="7">
        <v>45560</v>
      </c>
      <c r="I20" s="1" t="s">
        <v>7449</v>
      </c>
      <c r="J20" s="7">
        <v>45560</v>
      </c>
      <c r="K20" s="1" t="s">
        <v>7449</v>
      </c>
    </row>
    <row r="21" spans="1:11" x14ac:dyDescent="0.25">
      <c r="A21" s="1">
        <v>20</v>
      </c>
      <c r="B21" s="1">
        <v>69</v>
      </c>
      <c r="C21" s="1" t="s">
        <v>76</v>
      </c>
      <c r="E21" s="1" t="s">
        <v>52</v>
      </c>
      <c r="G21" s="1">
        <v>1</v>
      </c>
      <c r="H21" s="7">
        <v>45560</v>
      </c>
      <c r="I21" s="1" t="s">
        <v>7449</v>
      </c>
      <c r="J21" s="7">
        <v>45560</v>
      </c>
      <c r="K21" s="1" t="s">
        <v>7449</v>
      </c>
    </row>
    <row r="22" spans="1:11" x14ac:dyDescent="0.25">
      <c r="A22" s="1">
        <v>21</v>
      </c>
      <c r="B22" s="1">
        <v>71</v>
      </c>
      <c r="C22" s="1" t="s">
        <v>77</v>
      </c>
      <c r="E22" s="1" t="s">
        <v>52</v>
      </c>
      <c r="G22" s="1">
        <v>1</v>
      </c>
      <c r="H22" s="7">
        <v>45560</v>
      </c>
      <c r="I22" s="1" t="s">
        <v>7449</v>
      </c>
      <c r="J22" s="7">
        <v>45560</v>
      </c>
      <c r="K22" s="1" t="s">
        <v>7449</v>
      </c>
    </row>
    <row r="23" spans="1:11" x14ac:dyDescent="0.25">
      <c r="A23" s="1">
        <v>22</v>
      </c>
      <c r="B23" s="1">
        <v>72</v>
      </c>
      <c r="C23" s="1" t="s">
        <v>78</v>
      </c>
      <c r="E23" s="1" t="s">
        <v>52</v>
      </c>
      <c r="G23" s="1">
        <v>1</v>
      </c>
      <c r="H23" s="7">
        <v>45560</v>
      </c>
      <c r="I23" s="1" t="s">
        <v>7449</v>
      </c>
      <c r="J23" s="7">
        <v>45560</v>
      </c>
      <c r="K23" s="1" t="s">
        <v>7449</v>
      </c>
    </row>
    <row r="24" spans="1:11" x14ac:dyDescent="0.25">
      <c r="A24" s="1">
        <v>23</v>
      </c>
      <c r="B24" s="1">
        <v>73</v>
      </c>
      <c r="C24" s="1" t="s">
        <v>79</v>
      </c>
      <c r="E24" s="1" t="s">
        <v>52</v>
      </c>
      <c r="G24" s="1">
        <v>1</v>
      </c>
      <c r="H24" s="7">
        <v>45560</v>
      </c>
      <c r="I24" s="1" t="s">
        <v>7449</v>
      </c>
      <c r="J24" s="7">
        <v>45560</v>
      </c>
      <c r="K24" s="1" t="s">
        <v>7449</v>
      </c>
    </row>
    <row r="25" spans="1:11" x14ac:dyDescent="0.25">
      <c r="A25" s="1">
        <v>24</v>
      </c>
      <c r="B25" s="1">
        <v>76</v>
      </c>
      <c r="C25" s="1" t="s">
        <v>80</v>
      </c>
      <c r="E25" s="1" t="s">
        <v>73</v>
      </c>
      <c r="F25" s="1" t="s">
        <v>81</v>
      </c>
      <c r="G25" s="1">
        <v>1</v>
      </c>
      <c r="H25" s="7">
        <v>45560</v>
      </c>
      <c r="I25" s="1" t="s">
        <v>7449</v>
      </c>
      <c r="J25" s="7">
        <v>45560</v>
      </c>
      <c r="K25" s="1" t="s">
        <v>7449</v>
      </c>
    </row>
    <row r="26" spans="1:11" ht="15" customHeight="1" x14ac:dyDescent="0.25">
      <c r="A26" s="1">
        <v>25</v>
      </c>
      <c r="B26" s="1">
        <v>78</v>
      </c>
      <c r="C26" s="1" t="s">
        <v>82</v>
      </c>
      <c r="E26" s="1" t="s">
        <v>73</v>
      </c>
      <c r="F26" s="1" t="s">
        <v>83</v>
      </c>
      <c r="G26" s="1">
        <v>1</v>
      </c>
      <c r="H26" s="7">
        <v>45560</v>
      </c>
      <c r="I26" s="1" t="s">
        <v>7449</v>
      </c>
      <c r="J26" s="7">
        <v>45560</v>
      </c>
      <c r="K26" s="1" t="s">
        <v>7449</v>
      </c>
    </row>
    <row r="27" spans="1:11" ht="45" x14ac:dyDescent="0.25">
      <c r="A27" s="1">
        <v>26</v>
      </c>
      <c r="B27" s="1">
        <v>84</v>
      </c>
      <c r="C27" s="1" t="s">
        <v>84</v>
      </c>
      <c r="D27" s="8" t="s">
        <v>85</v>
      </c>
      <c r="E27" s="1" t="s">
        <v>73</v>
      </c>
      <c r="F27" s="1" t="s">
        <v>86</v>
      </c>
      <c r="G27" s="1">
        <v>1</v>
      </c>
      <c r="H27" s="7">
        <v>45560</v>
      </c>
      <c r="I27" s="1" t="s">
        <v>7449</v>
      </c>
      <c r="J27" s="7">
        <v>45560</v>
      </c>
      <c r="K27" s="1" t="s">
        <v>7449</v>
      </c>
    </row>
    <row r="28" spans="1:11" x14ac:dyDescent="0.25">
      <c r="A28" s="1">
        <v>27</v>
      </c>
      <c r="B28" s="1">
        <v>90</v>
      </c>
      <c r="C28" s="1" t="s">
        <v>87</v>
      </c>
      <c r="E28" s="1" t="s">
        <v>52</v>
      </c>
      <c r="G28" s="1">
        <v>1</v>
      </c>
      <c r="H28" s="7">
        <v>45560</v>
      </c>
      <c r="I28" s="1" t="s">
        <v>7449</v>
      </c>
      <c r="J28" s="7">
        <v>45560</v>
      </c>
      <c r="K28" s="1" t="s">
        <v>7449</v>
      </c>
    </row>
    <row r="29" spans="1:11" x14ac:dyDescent="0.25">
      <c r="A29" s="1">
        <v>28</v>
      </c>
      <c r="B29" s="1">
        <v>92</v>
      </c>
      <c r="C29" s="1" t="s">
        <v>88</v>
      </c>
      <c r="E29" s="1" t="s">
        <v>52</v>
      </c>
      <c r="G29" s="1">
        <v>1</v>
      </c>
      <c r="H29" s="7">
        <v>45560</v>
      </c>
      <c r="I29" s="1" t="s">
        <v>7449</v>
      </c>
      <c r="J29" s="7">
        <v>45560</v>
      </c>
      <c r="K29" s="1" t="s">
        <v>7449</v>
      </c>
    </row>
    <row r="30" spans="1:11" x14ac:dyDescent="0.25">
      <c r="A30" s="1">
        <v>29</v>
      </c>
      <c r="B30" s="1">
        <v>93</v>
      </c>
      <c r="C30" s="1" t="s">
        <v>89</v>
      </c>
      <c r="D30" s="1" t="s">
        <v>90</v>
      </c>
      <c r="E30" s="1" t="s">
        <v>52</v>
      </c>
      <c r="F30" s="1" t="s">
        <v>91</v>
      </c>
      <c r="G30" s="1">
        <v>1</v>
      </c>
      <c r="H30" s="7">
        <v>45560</v>
      </c>
      <c r="I30" s="1" t="s">
        <v>7449</v>
      </c>
      <c r="J30" s="7">
        <v>45560</v>
      </c>
      <c r="K30" s="1" t="s">
        <v>7449</v>
      </c>
    </row>
    <row r="31" spans="1:11" x14ac:dyDescent="0.25">
      <c r="A31" s="1">
        <v>30</v>
      </c>
      <c r="B31" s="1">
        <v>94</v>
      </c>
      <c r="C31" s="1" t="s">
        <v>92</v>
      </c>
      <c r="E31" s="1" t="s">
        <v>52</v>
      </c>
      <c r="G31" s="1">
        <v>1</v>
      </c>
      <c r="H31" s="7">
        <v>45560</v>
      </c>
      <c r="I31" s="1" t="s">
        <v>7449</v>
      </c>
      <c r="J31" s="7">
        <v>45560</v>
      </c>
      <c r="K31" s="1" t="s">
        <v>7449</v>
      </c>
    </row>
    <row r="32" spans="1:11" x14ac:dyDescent="0.25">
      <c r="A32" s="1">
        <v>31</v>
      </c>
      <c r="B32" s="1">
        <v>95</v>
      </c>
      <c r="C32" s="1" t="s">
        <v>93</v>
      </c>
      <c r="E32" s="1" t="s">
        <v>52</v>
      </c>
      <c r="G32" s="1">
        <v>1</v>
      </c>
      <c r="H32" s="7">
        <v>45560</v>
      </c>
      <c r="I32" s="1" t="s">
        <v>7449</v>
      </c>
      <c r="J32" s="7">
        <v>45560</v>
      </c>
      <c r="K32" s="1" t="s">
        <v>7449</v>
      </c>
    </row>
    <row r="33" spans="1:11" x14ac:dyDescent="0.25">
      <c r="A33" s="1">
        <v>32</v>
      </c>
      <c r="B33" s="1">
        <v>96</v>
      </c>
      <c r="C33" s="1" t="s">
        <v>94</v>
      </c>
      <c r="E33" s="1" t="s">
        <v>52</v>
      </c>
      <c r="G33" s="1">
        <v>1</v>
      </c>
      <c r="H33" s="7">
        <v>45560</v>
      </c>
      <c r="I33" s="1" t="s">
        <v>7449</v>
      </c>
      <c r="J33" s="7">
        <v>45560</v>
      </c>
      <c r="K33" s="1" t="s">
        <v>7449</v>
      </c>
    </row>
    <row r="34" spans="1:11" x14ac:dyDescent="0.25">
      <c r="A34" s="1">
        <v>33</v>
      </c>
      <c r="B34" s="1">
        <v>97</v>
      </c>
      <c r="C34" s="1" t="s">
        <v>95</v>
      </c>
      <c r="E34" s="1" t="s">
        <v>52</v>
      </c>
      <c r="G34" s="1">
        <v>1</v>
      </c>
      <c r="H34" s="7">
        <v>45560</v>
      </c>
      <c r="I34" s="1" t="s">
        <v>7449</v>
      </c>
      <c r="J34" s="7">
        <v>45560</v>
      </c>
      <c r="K34" s="1" t="s">
        <v>7449</v>
      </c>
    </row>
    <row r="35" spans="1:11" x14ac:dyDescent="0.25">
      <c r="A35" s="1">
        <v>34</v>
      </c>
      <c r="B35" s="1">
        <v>98</v>
      </c>
      <c r="C35" s="1" t="s">
        <v>96</v>
      </c>
      <c r="E35" s="1" t="s">
        <v>52</v>
      </c>
      <c r="G35" s="1">
        <v>1</v>
      </c>
      <c r="H35" s="7">
        <v>45560</v>
      </c>
      <c r="I35" s="1" t="s">
        <v>7449</v>
      </c>
      <c r="J35" s="7">
        <v>45560</v>
      </c>
      <c r="K35" s="1" t="s">
        <v>7449</v>
      </c>
    </row>
    <row r="36" spans="1:11" x14ac:dyDescent="0.25">
      <c r="A36" s="1">
        <v>35</v>
      </c>
      <c r="B36" s="1">
        <v>5</v>
      </c>
      <c r="C36" s="1" t="s">
        <v>97</v>
      </c>
      <c r="E36" s="1" t="s">
        <v>52</v>
      </c>
      <c r="G36" s="1">
        <v>1</v>
      </c>
      <c r="H36" s="7">
        <v>45560</v>
      </c>
      <c r="I36" s="1" t="s">
        <v>7449</v>
      </c>
      <c r="J36" s="7">
        <v>45560</v>
      </c>
      <c r="K36" s="1" t="s">
        <v>7449</v>
      </c>
    </row>
    <row r="37" spans="1:11" x14ac:dyDescent="0.25">
      <c r="A37" s="1">
        <v>36</v>
      </c>
      <c r="B37" s="1">
        <v>6</v>
      </c>
      <c r="C37" s="1" t="s">
        <v>98</v>
      </c>
      <c r="E37" s="1" t="s">
        <v>52</v>
      </c>
      <c r="G37" s="1">
        <v>1</v>
      </c>
      <c r="H37" s="7">
        <v>45560</v>
      </c>
      <c r="I37" s="1" t="s">
        <v>7449</v>
      </c>
      <c r="J37" s="7">
        <v>45560</v>
      </c>
      <c r="K37" s="1" t="s">
        <v>7449</v>
      </c>
    </row>
    <row r="38" spans="1:11" x14ac:dyDescent="0.25">
      <c r="A38" s="1">
        <v>37</v>
      </c>
      <c r="B38" s="1">
        <v>8</v>
      </c>
      <c r="C38" s="1" t="s">
        <v>99</v>
      </c>
      <c r="E38" s="1" t="s">
        <v>52</v>
      </c>
      <c r="G38" s="1">
        <v>1</v>
      </c>
      <c r="H38" s="7">
        <v>45560</v>
      </c>
      <c r="I38" s="1" t="s">
        <v>7449</v>
      </c>
      <c r="J38" s="7">
        <v>45560</v>
      </c>
      <c r="K38" s="1" t="s">
        <v>7449</v>
      </c>
    </row>
    <row r="39" spans="1:11" x14ac:dyDescent="0.25">
      <c r="A39" s="1">
        <v>38</v>
      </c>
      <c r="B39" s="1">
        <v>10</v>
      </c>
      <c r="C39" s="1" t="s">
        <v>100</v>
      </c>
      <c r="D39" s="1" t="s">
        <v>101</v>
      </c>
      <c r="G39" s="1">
        <v>1</v>
      </c>
      <c r="H39" s="7">
        <v>45560</v>
      </c>
      <c r="I39" s="1" t="s">
        <v>7449</v>
      </c>
      <c r="J39" s="7">
        <v>45560</v>
      </c>
      <c r="K39" s="1" t="s">
        <v>7449</v>
      </c>
    </row>
    <row r="40" spans="1:11" x14ac:dyDescent="0.25">
      <c r="A40" s="1">
        <v>39</v>
      </c>
      <c r="B40" s="1">
        <v>11</v>
      </c>
      <c r="C40" s="1" t="s">
        <v>102</v>
      </c>
      <c r="D40" s="1" t="s">
        <v>103</v>
      </c>
      <c r="G40" s="1">
        <v>1</v>
      </c>
      <c r="H40" s="7">
        <v>45560</v>
      </c>
      <c r="I40" s="1" t="s">
        <v>7449</v>
      </c>
      <c r="J40" s="7">
        <v>45560</v>
      </c>
      <c r="K40" s="1" t="s">
        <v>7449</v>
      </c>
    </row>
    <row r="41" spans="1:11" x14ac:dyDescent="0.25">
      <c r="A41" s="1">
        <v>40</v>
      </c>
      <c r="B41" s="1">
        <v>13</v>
      </c>
      <c r="C41" s="1" t="s">
        <v>104</v>
      </c>
      <c r="D41" s="1" t="s">
        <v>105</v>
      </c>
      <c r="G41" s="1">
        <v>1</v>
      </c>
      <c r="H41" s="7">
        <v>45560</v>
      </c>
      <c r="I41" s="1" t="s">
        <v>7449</v>
      </c>
      <c r="J41" s="7">
        <v>45560</v>
      </c>
      <c r="K41" s="1" t="s">
        <v>7449</v>
      </c>
    </row>
    <row r="42" spans="1:11" x14ac:dyDescent="0.25">
      <c r="A42" s="1">
        <v>41</v>
      </c>
      <c r="B42" s="1">
        <v>14</v>
      </c>
      <c r="C42" s="1" t="s">
        <v>106</v>
      </c>
      <c r="D42" s="1" t="s">
        <v>107</v>
      </c>
      <c r="G42" s="1">
        <v>1</v>
      </c>
      <c r="H42" s="7">
        <v>45560</v>
      </c>
      <c r="I42" s="1" t="s">
        <v>7449</v>
      </c>
      <c r="J42" s="7">
        <v>45560</v>
      </c>
      <c r="K42" s="1" t="s">
        <v>7449</v>
      </c>
    </row>
    <row r="43" spans="1:11" x14ac:dyDescent="0.25">
      <c r="A43" s="1">
        <v>42</v>
      </c>
      <c r="B43" s="1">
        <v>15</v>
      </c>
      <c r="C43" s="1" t="s">
        <v>108</v>
      </c>
      <c r="D43" s="1" t="s">
        <v>109</v>
      </c>
      <c r="G43" s="1">
        <v>1</v>
      </c>
      <c r="H43" s="7">
        <v>45560</v>
      </c>
      <c r="I43" s="1" t="s">
        <v>7449</v>
      </c>
      <c r="J43" s="7">
        <v>45560</v>
      </c>
      <c r="K43" s="1" t="s">
        <v>7449</v>
      </c>
    </row>
    <row r="44" spans="1:11" x14ac:dyDescent="0.25">
      <c r="A44" s="1">
        <v>43</v>
      </c>
      <c r="B44" s="1">
        <v>16</v>
      </c>
      <c r="C44" s="1" t="s">
        <v>110</v>
      </c>
      <c r="E44" s="1" t="s">
        <v>52</v>
      </c>
      <c r="G44" s="1">
        <v>1</v>
      </c>
      <c r="H44" s="7">
        <v>45560</v>
      </c>
      <c r="I44" s="1" t="s">
        <v>7449</v>
      </c>
      <c r="J44" s="7">
        <v>45560</v>
      </c>
      <c r="K44" s="1" t="s">
        <v>7449</v>
      </c>
    </row>
    <row r="45" spans="1:11" x14ac:dyDescent="0.25">
      <c r="A45" s="1">
        <v>44</v>
      </c>
      <c r="B45" s="1">
        <v>17</v>
      </c>
      <c r="C45" s="1" t="s">
        <v>111</v>
      </c>
      <c r="E45" s="1" t="s">
        <v>52</v>
      </c>
      <c r="G45" s="1">
        <v>1</v>
      </c>
      <c r="H45" s="7">
        <v>45560</v>
      </c>
      <c r="I45" s="1" t="s">
        <v>7449</v>
      </c>
      <c r="J45" s="7">
        <v>45560</v>
      </c>
      <c r="K45" s="1" t="s">
        <v>7449</v>
      </c>
    </row>
    <row r="46" spans="1:11" x14ac:dyDescent="0.25">
      <c r="A46" s="1">
        <v>45</v>
      </c>
      <c r="B46" s="1" t="s">
        <v>112</v>
      </c>
      <c r="C46" s="1" t="s">
        <v>113</v>
      </c>
      <c r="E46" s="1" t="s">
        <v>52</v>
      </c>
      <c r="G46" s="1">
        <v>1</v>
      </c>
      <c r="H46" s="7">
        <v>45560</v>
      </c>
      <c r="I46" s="1" t="s">
        <v>7449</v>
      </c>
      <c r="J46" s="7">
        <v>45560</v>
      </c>
      <c r="K46" s="1" t="s">
        <v>7449</v>
      </c>
    </row>
    <row r="47" spans="1:11" x14ac:dyDescent="0.25">
      <c r="A47" s="1">
        <v>46</v>
      </c>
      <c r="B47" s="1" t="s">
        <v>114</v>
      </c>
      <c r="C47" s="1" t="s">
        <v>115</v>
      </c>
      <c r="E47" s="1" t="s">
        <v>52</v>
      </c>
      <c r="G47" s="1">
        <v>1</v>
      </c>
      <c r="H47" s="7">
        <v>45560</v>
      </c>
      <c r="I47" s="1" t="s">
        <v>7449</v>
      </c>
      <c r="J47" s="7">
        <v>45560</v>
      </c>
      <c r="K47" s="1" t="s">
        <v>7449</v>
      </c>
    </row>
    <row r="48" spans="1:11" x14ac:dyDescent="0.25">
      <c r="A48" s="1">
        <v>47</v>
      </c>
      <c r="B48" s="1" t="s">
        <v>116</v>
      </c>
      <c r="C48" s="1" t="s">
        <v>117</v>
      </c>
      <c r="E48" s="1" t="s">
        <v>52</v>
      </c>
      <c r="G48" s="1">
        <v>1</v>
      </c>
      <c r="H48" s="7">
        <v>45560</v>
      </c>
      <c r="I48" s="1" t="s">
        <v>7449</v>
      </c>
      <c r="J48" s="7">
        <v>45560</v>
      </c>
      <c r="K48" s="1" t="s">
        <v>7449</v>
      </c>
    </row>
    <row r="49" spans="1:11" x14ac:dyDescent="0.25">
      <c r="A49" s="1">
        <v>48</v>
      </c>
      <c r="B49" s="1" t="s">
        <v>118</v>
      </c>
      <c r="C49" s="1" t="s">
        <v>119</v>
      </c>
      <c r="E49" s="1" t="s">
        <v>52</v>
      </c>
      <c r="G49" s="1">
        <v>1</v>
      </c>
      <c r="H49" s="7">
        <v>45560</v>
      </c>
      <c r="I49" s="1" t="s">
        <v>7449</v>
      </c>
      <c r="J49" s="7">
        <v>45560</v>
      </c>
      <c r="K49" s="1" t="s">
        <v>7449</v>
      </c>
    </row>
    <row r="50" spans="1:11" x14ac:dyDescent="0.25">
      <c r="A50" s="1">
        <v>49</v>
      </c>
      <c r="B50" s="1" t="s">
        <v>120</v>
      </c>
      <c r="C50" s="1" t="s">
        <v>121</v>
      </c>
      <c r="E50" s="1" t="s">
        <v>52</v>
      </c>
      <c r="G50" s="1">
        <v>1</v>
      </c>
      <c r="H50" s="7">
        <v>45560</v>
      </c>
      <c r="I50" s="1" t="s">
        <v>7449</v>
      </c>
      <c r="J50" s="7">
        <v>45560</v>
      </c>
      <c r="K50" s="1" t="s">
        <v>7449</v>
      </c>
    </row>
    <row r="51" spans="1:11" x14ac:dyDescent="0.25">
      <c r="A51" s="1">
        <v>50</v>
      </c>
      <c r="B51" s="1" t="s">
        <v>122</v>
      </c>
      <c r="C51" s="1" t="s">
        <v>123</v>
      </c>
      <c r="E51" s="1" t="s">
        <v>52</v>
      </c>
      <c r="G51" s="1">
        <v>1</v>
      </c>
      <c r="H51" s="7">
        <v>45560</v>
      </c>
      <c r="I51" s="1" t="s">
        <v>7449</v>
      </c>
      <c r="J51" s="7">
        <v>45560</v>
      </c>
      <c r="K51" s="1" t="s">
        <v>7449</v>
      </c>
    </row>
    <row r="52" spans="1:11" x14ac:dyDescent="0.25">
      <c r="A52" s="1">
        <v>51</v>
      </c>
      <c r="B52" s="1" t="s">
        <v>124</v>
      </c>
      <c r="C52" s="1" t="s">
        <v>125</v>
      </c>
      <c r="E52" s="1" t="s">
        <v>52</v>
      </c>
      <c r="G52" s="1">
        <v>1</v>
      </c>
      <c r="H52" s="7">
        <v>45560</v>
      </c>
      <c r="I52" s="1" t="s">
        <v>7449</v>
      </c>
      <c r="J52" s="7">
        <v>45560</v>
      </c>
      <c r="K52" s="1" t="s">
        <v>7449</v>
      </c>
    </row>
    <row r="53" spans="1:11" x14ac:dyDescent="0.25">
      <c r="A53" s="1">
        <v>52</v>
      </c>
      <c r="B53" s="1" t="s">
        <v>126</v>
      </c>
      <c r="C53" s="1" t="s">
        <v>127</v>
      </c>
      <c r="E53" s="1" t="s">
        <v>52</v>
      </c>
      <c r="G53" s="1">
        <v>1</v>
      </c>
      <c r="H53" s="7">
        <v>45560</v>
      </c>
      <c r="I53" s="1" t="s">
        <v>7449</v>
      </c>
      <c r="J53" s="7">
        <v>45560</v>
      </c>
      <c r="K53" s="1" t="s">
        <v>7449</v>
      </c>
    </row>
    <row r="54" spans="1:11" x14ac:dyDescent="0.25">
      <c r="A54" s="1">
        <v>53</v>
      </c>
      <c r="B54" s="1" t="s">
        <v>128</v>
      </c>
      <c r="C54" s="1" t="s">
        <v>129</v>
      </c>
      <c r="D54" s="1" t="s">
        <v>130</v>
      </c>
      <c r="G54" s="1">
        <v>1</v>
      </c>
      <c r="H54" s="7">
        <v>45560</v>
      </c>
      <c r="I54" s="1" t="s">
        <v>7449</v>
      </c>
      <c r="J54" s="7">
        <v>45560</v>
      </c>
      <c r="K54" s="1" t="s">
        <v>7449</v>
      </c>
    </row>
    <row r="55" spans="1:11" x14ac:dyDescent="0.25">
      <c r="A55" s="1">
        <v>54</v>
      </c>
      <c r="B55" s="1" t="s">
        <v>131</v>
      </c>
      <c r="C55" s="1" t="s">
        <v>132</v>
      </c>
      <c r="E55" s="1" t="s">
        <v>52</v>
      </c>
      <c r="G55" s="1">
        <v>1</v>
      </c>
      <c r="H55" s="7">
        <v>45560</v>
      </c>
      <c r="I55" s="1" t="s">
        <v>7449</v>
      </c>
      <c r="J55" s="7">
        <v>45560</v>
      </c>
      <c r="K55" s="1" t="s">
        <v>7449</v>
      </c>
    </row>
    <row r="56" spans="1:11" x14ac:dyDescent="0.25">
      <c r="A56" s="1">
        <v>55</v>
      </c>
      <c r="B56" s="1" t="s">
        <v>133</v>
      </c>
      <c r="C56" s="1" t="s">
        <v>134</v>
      </c>
      <c r="E56" s="1" t="s">
        <v>52</v>
      </c>
      <c r="G56" s="1">
        <v>1</v>
      </c>
      <c r="H56" s="7">
        <v>45560</v>
      </c>
      <c r="I56" s="1" t="s">
        <v>7449</v>
      </c>
      <c r="J56" s="7">
        <v>45560</v>
      </c>
      <c r="K56" s="1" t="s">
        <v>7449</v>
      </c>
    </row>
    <row r="57" spans="1:11" x14ac:dyDescent="0.25">
      <c r="A57" s="1">
        <v>56</v>
      </c>
      <c r="B57" s="1" t="s">
        <v>135</v>
      </c>
      <c r="C57" s="1" t="s">
        <v>136</v>
      </c>
      <c r="E57" s="1" t="s">
        <v>52</v>
      </c>
      <c r="G57" s="1">
        <v>1</v>
      </c>
      <c r="H57" s="7">
        <v>45560</v>
      </c>
      <c r="I57" s="1" t="s">
        <v>7449</v>
      </c>
      <c r="J57" s="7">
        <v>45560</v>
      </c>
      <c r="K57" s="1" t="s">
        <v>7449</v>
      </c>
    </row>
    <row r="58" spans="1:11" x14ac:dyDescent="0.25">
      <c r="A58" s="1">
        <v>57</v>
      </c>
      <c r="B58" s="1" t="s">
        <v>137</v>
      </c>
      <c r="C58" s="1" t="s">
        <v>138</v>
      </c>
      <c r="E58" s="1" t="s">
        <v>52</v>
      </c>
      <c r="G58" s="1">
        <v>1</v>
      </c>
      <c r="H58" s="7">
        <v>45560</v>
      </c>
      <c r="I58" s="1" t="s">
        <v>7449</v>
      </c>
      <c r="J58" s="7">
        <v>45560</v>
      </c>
      <c r="K58" s="1" t="s">
        <v>7449</v>
      </c>
    </row>
    <row r="59" spans="1:11" x14ac:dyDescent="0.25">
      <c r="A59" s="1">
        <v>58</v>
      </c>
      <c r="B59" s="1" t="s">
        <v>139</v>
      </c>
      <c r="C59" s="1" t="s">
        <v>140</v>
      </c>
      <c r="E59" s="1" t="s">
        <v>52</v>
      </c>
      <c r="G59" s="1">
        <v>1</v>
      </c>
      <c r="H59" s="7">
        <v>45560</v>
      </c>
      <c r="I59" s="1" t="s">
        <v>7449</v>
      </c>
      <c r="J59" s="7">
        <v>45560</v>
      </c>
      <c r="K59" s="1" t="s">
        <v>7449</v>
      </c>
    </row>
    <row r="60" spans="1:11" x14ac:dyDescent="0.25">
      <c r="A60" s="1">
        <v>59</v>
      </c>
      <c r="B60" s="1">
        <v>20</v>
      </c>
      <c r="C60" s="1" t="s">
        <v>141</v>
      </c>
      <c r="D60" s="1" t="s">
        <v>142</v>
      </c>
      <c r="G60" s="1">
        <v>1</v>
      </c>
      <c r="H60" s="7">
        <v>45560</v>
      </c>
      <c r="I60" s="1" t="s">
        <v>7449</v>
      </c>
      <c r="J60" s="7">
        <v>45560</v>
      </c>
      <c r="K60" s="1" t="s">
        <v>7449</v>
      </c>
    </row>
    <row r="61" spans="1:11" x14ac:dyDescent="0.25">
      <c r="A61" s="1">
        <v>60</v>
      </c>
      <c r="B61" s="1">
        <v>21</v>
      </c>
      <c r="C61" s="1" t="s">
        <v>143</v>
      </c>
      <c r="D61" s="1" t="s">
        <v>144</v>
      </c>
      <c r="G61" s="1">
        <v>1</v>
      </c>
      <c r="H61" s="7">
        <v>45560</v>
      </c>
      <c r="I61" s="1" t="s">
        <v>7449</v>
      </c>
      <c r="J61" s="7">
        <v>45560</v>
      </c>
      <c r="K61" s="1" t="s">
        <v>7449</v>
      </c>
    </row>
    <row r="62" spans="1:11" x14ac:dyDescent="0.25">
      <c r="A62" s="1">
        <v>61</v>
      </c>
      <c r="B62" s="1">
        <v>22</v>
      </c>
      <c r="C62" s="1" t="s">
        <v>145</v>
      </c>
      <c r="F62" s="1" t="s">
        <v>146</v>
      </c>
      <c r="G62" s="1">
        <v>1</v>
      </c>
      <c r="H62" s="7">
        <v>45560</v>
      </c>
      <c r="I62" s="1" t="s">
        <v>7449</v>
      </c>
      <c r="J62" s="7">
        <v>45560</v>
      </c>
      <c r="K62" s="1" t="s">
        <v>7449</v>
      </c>
    </row>
    <row r="63" spans="1:11" x14ac:dyDescent="0.25">
      <c r="A63" s="1">
        <v>62</v>
      </c>
      <c r="B63" s="1">
        <v>23</v>
      </c>
      <c r="C63" s="1" t="s">
        <v>147</v>
      </c>
      <c r="F63" s="1" t="s">
        <v>148</v>
      </c>
      <c r="G63" s="1">
        <v>1</v>
      </c>
      <c r="H63" s="7">
        <v>45560</v>
      </c>
      <c r="I63" s="1" t="s">
        <v>7449</v>
      </c>
      <c r="J63" s="7">
        <v>45560</v>
      </c>
      <c r="K63" s="1" t="s">
        <v>7449</v>
      </c>
    </row>
    <row r="64" spans="1:11" x14ac:dyDescent="0.25">
      <c r="A64" s="1">
        <v>63</v>
      </c>
      <c r="B64" s="1">
        <v>24</v>
      </c>
      <c r="C64" s="1" t="s">
        <v>149</v>
      </c>
      <c r="D64" s="1" t="s">
        <v>150</v>
      </c>
      <c r="G64" s="1">
        <v>1</v>
      </c>
      <c r="H64" s="7">
        <v>45560</v>
      </c>
      <c r="I64" s="1" t="s">
        <v>7449</v>
      </c>
      <c r="J64" s="7">
        <v>45560</v>
      </c>
      <c r="K64" s="1" t="s">
        <v>7449</v>
      </c>
    </row>
    <row r="65" spans="1:11" x14ac:dyDescent="0.25">
      <c r="A65" s="1">
        <v>64</v>
      </c>
      <c r="B65" s="1">
        <v>25</v>
      </c>
      <c r="C65" s="1" t="s">
        <v>151</v>
      </c>
      <c r="F65" s="1" t="s">
        <v>152</v>
      </c>
      <c r="G65" s="1">
        <v>1</v>
      </c>
      <c r="H65" s="7">
        <v>45560</v>
      </c>
      <c r="I65" s="1" t="s">
        <v>7449</v>
      </c>
      <c r="J65" s="7">
        <v>45560</v>
      </c>
      <c r="K65" s="1" t="s">
        <v>7449</v>
      </c>
    </row>
    <row r="66" spans="1:11" x14ac:dyDescent="0.25">
      <c r="A66" s="1">
        <v>65</v>
      </c>
      <c r="B66" s="1">
        <v>27</v>
      </c>
      <c r="C66" s="1" t="s">
        <v>153</v>
      </c>
      <c r="D66" s="1" t="s">
        <v>154</v>
      </c>
      <c r="G66" s="1">
        <v>1</v>
      </c>
      <c r="H66" s="7">
        <v>45560</v>
      </c>
      <c r="I66" s="1" t="s">
        <v>7449</v>
      </c>
      <c r="J66" s="7">
        <v>45560</v>
      </c>
      <c r="K66" s="1" t="s">
        <v>7449</v>
      </c>
    </row>
    <row r="67" spans="1:11" x14ac:dyDescent="0.25">
      <c r="A67" s="1">
        <v>66</v>
      </c>
      <c r="B67" s="1">
        <v>28</v>
      </c>
      <c r="C67" s="1" t="s">
        <v>155</v>
      </c>
      <c r="F67" s="1" t="s">
        <v>156</v>
      </c>
      <c r="G67" s="1">
        <v>1</v>
      </c>
      <c r="H67" s="7">
        <v>45560</v>
      </c>
      <c r="I67" s="1" t="s">
        <v>7449</v>
      </c>
      <c r="J67" s="7">
        <v>45560</v>
      </c>
      <c r="K67" s="1" t="s">
        <v>7449</v>
      </c>
    </row>
    <row r="68" spans="1:11" x14ac:dyDescent="0.25">
      <c r="A68" s="1">
        <v>67</v>
      </c>
      <c r="B68" s="1" t="s">
        <v>157</v>
      </c>
      <c r="C68" s="1" t="s">
        <v>158</v>
      </c>
      <c r="D68" s="1" t="s">
        <v>159</v>
      </c>
      <c r="F68" s="1" t="s">
        <v>160</v>
      </c>
      <c r="G68" s="1">
        <v>1</v>
      </c>
      <c r="H68" s="7">
        <v>45560</v>
      </c>
      <c r="I68" s="1" t="s">
        <v>7449</v>
      </c>
      <c r="J68" s="7">
        <v>45560</v>
      </c>
      <c r="K68" s="1" t="s">
        <v>7449</v>
      </c>
    </row>
    <row r="69" spans="1:11" x14ac:dyDescent="0.25">
      <c r="A69" s="1">
        <v>68</v>
      </c>
      <c r="B69" s="1" t="s">
        <v>161</v>
      </c>
      <c r="C69" s="1" t="s">
        <v>162</v>
      </c>
      <c r="D69" s="1" t="s">
        <v>163</v>
      </c>
      <c r="F69" s="1" t="s">
        <v>164</v>
      </c>
      <c r="G69" s="1">
        <v>1</v>
      </c>
      <c r="H69" s="7">
        <v>45560</v>
      </c>
      <c r="I69" s="1" t="s">
        <v>7449</v>
      </c>
      <c r="J69" s="7">
        <v>45560</v>
      </c>
      <c r="K69" s="1" t="s">
        <v>7449</v>
      </c>
    </row>
    <row r="70" spans="1:11" x14ac:dyDescent="0.25">
      <c r="A70" s="1">
        <v>69</v>
      </c>
      <c r="B70" s="1" t="s">
        <v>165</v>
      </c>
      <c r="C70" s="1" t="s">
        <v>166</v>
      </c>
      <c r="F70" s="1" t="s">
        <v>167</v>
      </c>
      <c r="G70" s="1">
        <v>1</v>
      </c>
      <c r="H70" s="7">
        <v>45560</v>
      </c>
      <c r="I70" s="1" t="s">
        <v>7449</v>
      </c>
      <c r="J70" s="7">
        <v>45560</v>
      </c>
      <c r="K70" s="1" t="s">
        <v>7449</v>
      </c>
    </row>
    <row r="71" spans="1:11" x14ac:dyDescent="0.25">
      <c r="A71" s="1">
        <v>70</v>
      </c>
      <c r="B71" s="1" t="s">
        <v>168</v>
      </c>
      <c r="C71" s="1" t="s">
        <v>169</v>
      </c>
      <c r="D71" s="1" t="s">
        <v>170</v>
      </c>
      <c r="F71" s="1" t="s">
        <v>171</v>
      </c>
      <c r="G71" s="1">
        <v>1</v>
      </c>
      <c r="H71" s="7">
        <v>45560</v>
      </c>
      <c r="I71" s="1" t="s">
        <v>7449</v>
      </c>
      <c r="J71" s="7">
        <v>45560</v>
      </c>
      <c r="K71" s="1" t="s">
        <v>7449</v>
      </c>
    </row>
    <row r="72" spans="1:11" x14ac:dyDescent="0.25">
      <c r="A72" s="1">
        <v>71</v>
      </c>
      <c r="B72" s="1" t="s">
        <v>172</v>
      </c>
      <c r="C72" s="1" t="s">
        <v>173</v>
      </c>
      <c r="D72" s="1" t="s">
        <v>174</v>
      </c>
      <c r="F72" s="1" t="s">
        <v>171</v>
      </c>
      <c r="G72" s="1">
        <v>1</v>
      </c>
      <c r="H72" s="7">
        <v>45560</v>
      </c>
      <c r="I72" s="1" t="s">
        <v>7449</v>
      </c>
      <c r="J72" s="7">
        <v>45560</v>
      </c>
      <c r="K72" s="1" t="s">
        <v>7449</v>
      </c>
    </row>
    <row r="73" spans="1:11" x14ac:dyDescent="0.25">
      <c r="A73" s="1">
        <v>72</v>
      </c>
      <c r="B73" s="1" t="s">
        <v>175</v>
      </c>
      <c r="C73" s="1" t="s">
        <v>176</v>
      </c>
      <c r="F73" s="1" t="s">
        <v>177</v>
      </c>
      <c r="G73" s="1">
        <v>1</v>
      </c>
      <c r="H73" s="7">
        <v>45560</v>
      </c>
      <c r="I73" s="1" t="s">
        <v>7449</v>
      </c>
      <c r="J73" s="7">
        <v>45560</v>
      </c>
      <c r="K73" s="1" t="s">
        <v>7449</v>
      </c>
    </row>
    <row r="74" spans="1:11" x14ac:dyDescent="0.25">
      <c r="A74" s="1">
        <v>73</v>
      </c>
      <c r="B74" s="1" t="s">
        <v>178</v>
      </c>
      <c r="C74" s="1" t="s">
        <v>179</v>
      </c>
      <c r="F74" s="1" t="s">
        <v>180</v>
      </c>
      <c r="G74" s="1">
        <v>1</v>
      </c>
      <c r="H74" s="7">
        <v>45560</v>
      </c>
      <c r="I74" s="1" t="s">
        <v>7449</v>
      </c>
      <c r="J74" s="7">
        <v>45560</v>
      </c>
      <c r="K74" s="1" t="s">
        <v>7449</v>
      </c>
    </row>
    <row r="75" spans="1:11" x14ac:dyDescent="0.25">
      <c r="A75" s="1">
        <v>74</v>
      </c>
      <c r="B75" s="1" t="s">
        <v>181</v>
      </c>
      <c r="C75" s="1" t="s">
        <v>182</v>
      </c>
      <c r="F75" s="1" t="s">
        <v>183</v>
      </c>
      <c r="G75" s="1">
        <v>1</v>
      </c>
      <c r="H75" s="7">
        <v>45560</v>
      </c>
      <c r="I75" s="1" t="s">
        <v>7449</v>
      </c>
      <c r="J75" s="7">
        <v>45560</v>
      </c>
      <c r="K75" s="1" t="s">
        <v>7449</v>
      </c>
    </row>
    <row r="76" spans="1:11" x14ac:dyDescent="0.25">
      <c r="A76" s="1">
        <v>75</v>
      </c>
      <c r="B76" s="1" t="s">
        <v>184</v>
      </c>
      <c r="C76" s="1" t="s">
        <v>185</v>
      </c>
      <c r="F76" s="1" t="s">
        <v>186</v>
      </c>
      <c r="G76" s="1">
        <v>1</v>
      </c>
      <c r="H76" s="7">
        <v>45560</v>
      </c>
      <c r="I76" s="1" t="s">
        <v>7449</v>
      </c>
      <c r="J76" s="7">
        <v>45560</v>
      </c>
      <c r="K76" s="1" t="s">
        <v>7449</v>
      </c>
    </row>
    <row r="77" spans="1:11" x14ac:dyDescent="0.25">
      <c r="A77" s="1">
        <v>76</v>
      </c>
      <c r="B77" s="1" t="s">
        <v>187</v>
      </c>
      <c r="C77" s="1" t="s">
        <v>188</v>
      </c>
      <c r="F77" s="1" t="s">
        <v>189</v>
      </c>
      <c r="G77" s="1">
        <v>1</v>
      </c>
      <c r="H77" s="7">
        <v>45560</v>
      </c>
      <c r="I77" s="1" t="s">
        <v>7449</v>
      </c>
      <c r="J77" s="7">
        <v>45560</v>
      </c>
      <c r="K77" s="1" t="s">
        <v>7449</v>
      </c>
    </row>
    <row r="78" spans="1:11" x14ac:dyDescent="0.25">
      <c r="A78" s="1">
        <v>77</v>
      </c>
      <c r="B78" s="1" t="s">
        <v>190</v>
      </c>
      <c r="C78" s="1" t="s">
        <v>191</v>
      </c>
      <c r="D78" s="1" t="s">
        <v>192</v>
      </c>
      <c r="F78" s="1" t="s">
        <v>193</v>
      </c>
      <c r="G78" s="1">
        <v>1</v>
      </c>
      <c r="H78" s="7">
        <v>45560</v>
      </c>
      <c r="I78" s="1" t="s">
        <v>7449</v>
      </c>
      <c r="J78" s="7">
        <v>45560</v>
      </c>
      <c r="K78" s="1" t="s">
        <v>7449</v>
      </c>
    </row>
    <row r="79" spans="1:11" x14ac:dyDescent="0.25">
      <c r="A79" s="1">
        <v>78</v>
      </c>
      <c r="B79" s="1" t="s">
        <v>194</v>
      </c>
      <c r="C79" s="1" t="s">
        <v>195</v>
      </c>
      <c r="D79" s="1" t="s">
        <v>196</v>
      </c>
      <c r="F79" s="1" t="s">
        <v>197</v>
      </c>
      <c r="G79" s="1">
        <v>1</v>
      </c>
      <c r="H79" s="7">
        <v>45560</v>
      </c>
      <c r="I79" s="1" t="s">
        <v>7449</v>
      </c>
      <c r="J79" s="7">
        <v>45560</v>
      </c>
      <c r="K79" s="1" t="s">
        <v>7449</v>
      </c>
    </row>
    <row r="80" spans="1:11" x14ac:dyDescent="0.25">
      <c r="A80" s="1">
        <v>79</v>
      </c>
      <c r="B80" s="1" t="s">
        <v>198</v>
      </c>
      <c r="C80" s="1" t="s">
        <v>199</v>
      </c>
      <c r="F80" s="1" t="s">
        <v>200</v>
      </c>
      <c r="G80" s="1">
        <v>1</v>
      </c>
      <c r="H80" s="7">
        <v>45560</v>
      </c>
      <c r="I80" s="1" t="s">
        <v>7449</v>
      </c>
      <c r="J80" s="7">
        <v>45560</v>
      </c>
      <c r="K80" s="1" t="s">
        <v>7449</v>
      </c>
    </row>
    <row r="81" spans="1:11" x14ac:dyDescent="0.25">
      <c r="A81" s="1">
        <v>80</v>
      </c>
      <c r="B81" s="1" t="s">
        <v>201</v>
      </c>
      <c r="C81" s="1" t="s">
        <v>202</v>
      </c>
      <c r="F81" s="1" t="s">
        <v>203</v>
      </c>
      <c r="G81" s="1">
        <v>1</v>
      </c>
      <c r="H81" s="7">
        <v>45560</v>
      </c>
      <c r="I81" s="1" t="s">
        <v>7449</v>
      </c>
      <c r="J81" s="7">
        <v>45560</v>
      </c>
      <c r="K81" s="1" t="s">
        <v>7449</v>
      </c>
    </row>
    <row r="82" spans="1:11" x14ac:dyDescent="0.25">
      <c r="A82" s="1">
        <v>81</v>
      </c>
      <c r="B82" s="1" t="s">
        <v>204</v>
      </c>
      <c r="C82" s="1" t="s">
        <v>205</v>
      </c>
      <c r="F82" s="1" t="s">
        <v>206</v>
      </c>
      <c r="G82" s="1">
        <v>1</v>
      </c>
      <c r="H82" s="7">
        <v>45560</v>
      </c>
      <c r="I82" s="1" t="s">
        <v>7449</v>
      </c>
      <c r="J82" s="7">
        <v>45560</v>
      </c>
      <c r="K82" s="1" t="s">
        <v>7449</v>
      </c>
    </row>
    <row r="83" spans="1:11" x14ac:dyDescent="0.25">
      <c r="A83" s="1">
        <v>82</v>
      </c>
      <c r="B83" s="1" t="s">
        <v>207</v>
      </c>
      <c r="C83" s="1" t="s">
        <v>208</v>
      </c>
      <c r="E83" s="1" t="s">
        <v>52</v>
      </c>
      <c r="F83" s="1" t="s">
        <v>209</v>
      </c>
      <c r="G83" s="1">
        <v>1</v>
      </c>
      <c r="H83" s="7">
        <v>45560</v>
      </c>
      <c r="I83" s="1" t="s">
        <v>7449</v>
      </c>
      <c r="J83" s="7">
        <v>45560</v>
      </c>
      <c r="K83" s="1" t="s">
        <v>7449</v>
      </c>
    </row>
    <row r="84" spans="1:11" x14ac:dyDescent="0.25">
      <c r="A84" s="1">
        <v>83</v>
      </c>
      <c r="B84" s="1" t="s">
        <v>210</v>
      </c>
      <c r="C84" s="1" t="s">
        <v>211</v>
      </c>
      <c r="F84" s="1" t="s">
        <v>212</v>
      </c>
      <c r="G84" s="1">
        <v>1</v>
      </c>
      <c r="H84" s="7">
        <v>45560</v>
      </c>
      <c r="I84" s="1" t="s">
        <v>7449</v>
      </c>
      <c r="J84" s="7">
        <v>45560</v>
      </c>
      <c r="K84" s="1" t="s">
        <v>7449</v>
      </c>
    </row>
    <row r="85" spans="1:11" x14ac:dyDescent="0.25">
      <c r="A85" s="1">
        <v>84</v>
      </c>
      <c r="B85" s="1" t="s">
        <v>213</v>
      </c>
      <c r="C85" s="1" t="s">
        <v>214</v>
      </c>
      <c r="F85" s="1" t="s">
        <v>215</v>
      </c>
      <c r="G85" s="1">
        <v>1</v>
      </c>
      <c r="H85" s="7">
        <v>45560</v>
      </c>
      <c r="I85" s="1" t="s">
        <v>7449</v>
      </c>
      <c r="J85" s="7">
        <v>45560</v>
      </c>
      <c r="K85" s="1" t="s">
        <v>7449</v>
      </c>
    </row>
    <row r="86" spans="1:11" x14ac:dyDescent="0.25">
      <c r="A86" s="1">
        <v>85</v>
      </c>
      <c r="B86" s="1" t="s">
        <v>216</v>
      </c>
      <c r="C86" s="1" t="s">
        <v>217</v>
      </c>
      <c r="F86" s="1" t="s">
        <v>218</v>
      </c>
      <c r="G86" s="1">
        <v>1</v>
      </c>
      <c r="H86" s="7">
        <v>45560</v>
      </c>
      <c r="I86" s="1" t="s">
        <v>7449</v>
      </c>
      <c r="J86" s="7">
        <v>45560</v>
      </c>
      <c r="K86" s="1" t="s">
        <v>7449</v>
      </c>
    </row>
    <row r="87" spans="1:11" x14ac:dyDescent="0.25">
      <c r="A87" s="1">
        <v>86</v>
      </c>
      <c r="B87" s="1">
        <v>33</v>
      </c>
      <c r="C87" s="1" t="s">
        <v>219</v>
      </c>
      <c r="F87" s="1" t="s">
        <v>220</v>
      </c>
      <c r="G87" s="1">
        <v>1</v>
      </c>
      <c r="H87" s="7">
        <v>45560</v>
      </c>
      <c r="I87" s="1" t="s">
        <v>7449</v>
      </c>
      <c r="J87" s="7">
        <v>45560</v>
      </c>
      <c r="K87" s="1" t="s">
        <v>7449</v>
      </c>
    </row>
    <row r="88" spans="1:11" x14ac:dyDescent="0.25">
      <c r="A88" s="1">
        <v>87</v>
      </c>
      <c r="B88" s="1">
        <v>34</v>
      </c>
      <c r="C88" s="1" t="s">
        <v>221</v>
      </c>
      <c r="F88" s="1" t="s">
        <v>222</v>
      </c>
      <c r="G88" s="1">
        <v>1</v>
      </c>
      <c r="H88" s="7">
        <v>45560</v>
      </c>
      <c r="I88" s="1" t="s">
        <v>7449</v>
      </c>
      <c r="J88" s="7">
        <v>45560</v>
      </c>
      <c r="K88" s="1" t="s">
        <v>7449</v>
      </c>
    </row>
    <row r="89" spans="1:11" x14ac:dyDescent="0.25">
      <c r="A89" s="1">
        <v>88</v>
      </c>
      <c r="B89" s="1">
        <v>35</v>
      </c>
      <c r="C89" s="1" t="s">
        <v>223</v>
      </c>
      <c r="F89" s="1" t="s">
        <v>224</v>
      </c>
      <c r="G89" s="1">
        <v>1</v>
      </c>
      <c r="H89" s="7">
        <v>45560</v>
      </c>
      <c r="I89" s="1" t="s">
        <v>7449</v>
      </c>
      <c r="J89" s="7">
        <v>45560</v>
      </c>
      <c r="K89" s="1" t="s">
        <v>7449</v>
      </c>
    </row>
    <row r="90" spans="1:11" x14ac:dyDescent="0.25">
      <c r="A90" s="1">
        <v>89</v>
      </c>
      <c r="B90" s="1">
        <v>37</v>
      </c>
      <c r="C90" s="1" t="s">
        <v>225</v>
      </c>
      <c r="F90" s="1" t="s">
        <v>226</v>
      </c>
      <c r="G90" s="1">
        <v>1</v>
      </c>
      <c r="H90" s="7">
        <v>45560</v>
      </c>
      <c r="I90" s="1" t="s">
        <v>7449</v>
      </c>
      <c r="J90" s="7">
        <v>45560</v>
      </c>
      <c r="K90" s="1" t="s">
        <v>7449</v>
      </c>
    </row>
    <row r="91" spans="1:11" x14ac:dyDescent="0.25">
      <c r="A91" s="1">
        <v>90</v>
      </c>
      <c r="B91" s="1">
        <v>38</v>
      </c>
      <c r="C91" s="1" t="s">
        <v>227</v>
      </c>
      <c r="F91" s="1" t="s">
        <v>228</v>
      </c>
      <c r="G91" s="1">
        <v>1</v>
      </c>
      <c r="H91" s="7">
        <v>45560</v>
      </c>
      <c r="I91" s="1" t="s">
        <v>7449</v>
      </c>
      <c r="J91" s="7">
        <v>45560</v>
      </c>
      <c r="K91" s="1" t="s">
        <v>7449</v>
      </c>
    </row>
    <row r="92" spans="1:11" x14ac:dyDescent="0.25">
      <c r="A92" s="1">
        <v>91</v>
      </c>
      <c r="B92" s="1" t="s">
        <v>229</v>
      </c>
      <c r="C92" s="1" t="s">
        <v>230</v>
      </c>
      <c r="F92" s="1" t="s">
        <v>231</v>
      </c>
      <c r="G92" s="1">
        <v>1</v>
      </c>
      <c r="H92" s="7">
        <v>45560</v>
      </c>
      <c r="I92" s="1" t="s">
        <v>7449</v>
      </c>
      <c r="J92" s="7">
        <v>45560</v>
      </c>
      <c r="K92" s="1" t="s">
        <v>7449</v>
      </c>
    </row>
    <row r="93" spans="1:11" x14ac:dyDescent="0.25">
      <c r="A93" s="1">
        <v>92</v>
      </c>
      <c r="B93" s="1" t="s">
        <v>232</v>
      </c>
      <c r="C93" s="1" t="s">
        <v>233</v>
      </c>
      <c r="D93" s="1" t="s">
        <v>234</v>
      </c>
      <c r="G93" s="1">
        <v>1</v>
      </c>
      <c r="H93" s="7">
        <v>45560</v>
      </c>
      <c r="I93" s="1" t="s">
        <v>7449</v>
      </c>
      <c r="J93" s="7">
        <v>45560</v>
      </c>
      <c r="K93" s="1" t="s">
        <v>7449</v>
      </c>
    </row>
    <row r="94" spans="1:11" x14ac:dyDescent="0.25">
      <c r="A94" s="1">
        <v>93</v>
      </c>
      <c r="B94" s="1" t="s">
        <v>235</v>
      </c>
      <c r="C94" s="1" t="s">
        <v>236</v>
      </c>
      <c r="E94" s="1" t="s">
        <v>52</v>
      </c>
      <c r="G94" s="1">
        <v>1</v>
      </c>
      <c r="H94" s="7">
        <v>45560</v>
      </c>
      <c r="I94" s="1" t="s">
        <v>7449</v>
      </c>
      <c r="J94" s="7">
        <v>45560</v>
      </c>
      <c r="K94" s="1" t="s">
        <v>7449</v>
      </c>
    </row>
    <row r="95" spans="1:11" x14ac:dyDescent="0.25">
      <c r="A95" s="1">
        <v>94</v>
      </c>
      <c r="B95" s="1" t="s">
        <v>237</v>
      </c>
      <c r="C95" s="1" t="s">
        <v>238</v>
      </c>
      <c r="E95" s="1" t="s">
        <v>52</v>
      </c>
      <c r="G95" s="1">
        <v>1</v>
      </c>
      <c r="H95" s="7">
        <v>45560</v>
      </c>
      <c r="I95" s="1" t="s">
        <v>7449</v>
      </c>
      <c r="J95" s="7">
        <v>45560</v>
      </c>
      <c r="K95" s="1" t="s">
        <v>7449</v>
      </c>
    </row>
    <row r="96" spans="1:11" x14ac:dyDescent="0.25">
      <c r="A96" s="1">
        <v>95</v>
      </c>
      <c r="B96" s="1" t="s">
        <v>239</v>
      </c>
      <c r="C96" s="1" t="s">
        <v>240</v>
      </c>
      <c r="E96" s="1" t="s">
        <v>52</v>
      </c>
      <c r="G96" s="1">
        <v>1</v>
      </c>
      <c r="H96" s="7">
        <v>45560</v>
      </c>
      <c r="I96" s="1" t="s">
        <v>7449</v>
      </c>
      <c r="J96" s="7">
        <v>45560</v>
      </c>
      <c r="K96" s="1" t="s">
        <v>7449</v>
      </c>
    </row>
    <row r="97" spans="1:11" x14ac:dyDescent="0.25">
      <c r="A97" s="1">
        <v>96</v>
      </c>
      <c r="B97" s="1" t="s">
        <v>241</v>
      </c>
      <c r="C97" s="1" t="s">
        <v>242</v>
      </c>
      <c r="E97" s="1" t="s">
        <v>52</v>
      </c>
      <c r="G97" s="1">
        <v>1</v>
      </c>
      <c r="H97" s="7">
        <v>45560</v>
      </c>
      <c r="I97" s="1" t="s">
        <v>7449</v>
      </c>
      <c r="J97" s="7">
        <v>45560</v>
      </c>
      <c r="K97" s="1" t="s">
        <v>7449</v>
      </c>
    </row>
    <row r="98" spans="1:11" x14ac:dyDescent="0.25">
      <c r="A98" s="1">
        <v>97</v>
      </c>
      <c r="B98" s="1">
        <v>40</v>
      </c>
      <c r="C98" s="1" t="s">
        <v>243</v>
      </c>
      <c r="F98" s="1" t="s">
        <v>244</v>
      </c>
      <c r="G98" s="1">
        <v>1</v>
      </c>
      <c r="H98" s="7">
        <v>45560</v>
      </c>
      <c r="I98" s="1" t="s">
        <v>7449</v>
      </c>
      <c r="J98" s="7">
        <v>45560</v>
      </c>
      <c r="K98" s="1" t="s">
        <v>7449</v>
      </c>
    </row>
    <row r="99" spans="1:11" x14ac:dyDescent="0.25">
      <c r="A99" s="1">
        <v>98</v>
      </c>
      <c r="B99" s="1">
        <v>41</v>
      </c>
      <c r="C99" s="1" t="s">
        <v>245</v>
      </c>
      <c r="F99" s="1" t="s">
        <v>246</v>
      </c>
      <c r="G99" s="1">
        <v>1</v>
      </c>
      <c r="H99" s="7">
        <v>45560</v>
      </c>
      <c r="I99" s="1" t="s">
        <v>7449</v>
      </c>
      <c r="J99" s="7">
        <v>45560</v>
      </c>
      <c r="K99" s="1" t="s">
        <v>7449</v>
      </c>
    </row>
    <row r="100" spans="1:11" x14ac:dyDescent="0.25">
      <c r="A100" s="1">
        <v>99</v>
      </c>
      <c r="B100" s="1" t="s">
        <v>247</v>
      </c>
      <c r="C100" s="1" t="s">
        <v>248</v>
      </c>
      <c r="E100" s="1" t="s">
        <v>52</v>
      </c>
      <c r="G100" s="1">
        <v>1</v>
      </c>
      <c r="H100" s="7">
        <v>45560</v>
      </c>
      <c r="I100" s="1" t="s">
        <v>7449</v>
      </c>
      <c r="J100" s="7">
        <v>45560</v>
      </c>
      <c r="K100" s="1" t="s">
        <v>7449</v>
      </c>
    </row>
    <row r="101" spans="1:11" x14ac:dyDescent="0.25">
      <c r="A101" s="1">
        <v>100</v>
      </c>
      <c r="B101" s="1" t="s">
        <v>249</v>
      </c>
      <c r="C101" s="1" t="s">
        <v>250</v>
      </c>
      <c r="F101" s="1" t="s">
        <v>251</v>
      </c>
      <c r="G101" s="1">
        <v>1</v>
      </c>
      <c r="H101" s="7">
        <v>45560</v>
      </c>
      <c r="I101" s="1" t="s">
        <v>7449</v>
      </c>
      <c r="J101" s="7">
        <v>45560</v>
      </c>
      <c r="K101" s="1" t="s">
        <v>7449</v>
      </c>
    </row>
    <row r="102" spans="1:11" x14ac:dyDescent="0.25">
      <c r="A102" s="1">
        <v>101</v>
      </c>
      <c r="B102" s="1" t="s">
        <v>252</v>
      </c>
      <c r="C102" s="1" t="s">
        <v>253</v>
      </c>
      <c r="E102" s="1" t="s">
        <v>52</v>
      </c>
      <c r="G102" s="1">
        <v>1</v>
      </c>
      <c r="H102" s="7">
        <v>45560</v>
      </c>
      <c r="I102" s="1" t="s">
        <v>7449</v>
      </c>
      <c r="J102" s="7">
        <v>45560</v>
      </c>
      <c r="K102" s="1" t="s">
        <v>7449</v>
      </c>
    </row>
    <row r="103" spans="1:11" x14ac:dyDescent="0.25">
      <c r="A103" s="1">
        <v>102</v>
      </c>
      <c r="B103" s="1" t="s">
        <v>254</v>
      </c>
      <c r="C103" s="1" t="s">
        <v>255</v>
      </c>
      <c r="F103" s="1" t="s">
        <v>256</v>
      </c>
      <c r="G103" s="1">
        <v>1</v>
      </c>
      <c r="H103" s="7">
        <v>45560</v>
      </c>
      <c r="I103" s="1" t="s">
        <v>7449</v>
      </c>
      <c r="J103" s="7">
        <v>45560</v>
      </c>
      <c r="K103" s="1" t="s">
        <v>7449</v>
      </c>
    </row>
    <row r="104" spans="1:11" x14ac:dyDescent="0.25">
      <c r="A104" s="1">
        <v>103</v>
      </c>
      <c r="B104" s="1" t="s">
        <v>257</v>
      </c>
      <c r="C104" s="1" t="s">
        <v>258</v>
      </c>
      <c r="D104" s="1" t="s">
        <v>259</v>
      </c>
      <c r="F104" s="1" t="s">
        <v>260</v>
      </c>
      <c r="G104" s="1">
        <v>1</v>
      </c>
      <c r="H104" s="7">
        <v>45560</v>
      </c>
      <c r="I104" s="1" t="s">
        <v>7449</v>
      </c>
      <c r="J104" s="7">
        <v>45560</v>
      </c>
      <c r="K104" s="1" t="s">
        <v>7449</v>
      </c>
    </row>
    <row r="105" spans="1:11" x14ac:dyDescent="0.25">
      <c r="A105" s="1">
        <v>104</v>
      </c>
      <c r="B105" s="1" t="s">
        <v>261</v>
      </c>
      <c r="C105" s="1" t="s">
        <v>262</v>
      </c>
      <c r="F105" s="1" t="s">
        <v>263</v>
      </c>
      <c r="G105" s="1">
        <v>1</v>
      </c>
      <c r="H105" s="7">
        <v>45560</v>
      </c>
      <c r="I105" s="1" t="s">
        <v>7449</v>
      </c>
      <c r="J105" s="7">
        <v>45560</v>
      </c>
      <c r="K105" s="1" t="s">
        <v>7449</v>
      </c>
    </row>
    <row r="106" spans="1:11" x14ac:dyDescent="0.25">
      <c r="A106" s="1">
        <v>105</v>
      </c>
      <c r="B106" s="1" t="s">
        <v>264</v>
      </c>
      <c r="C106" s="1" t="s">
        <v>265</v>
      </c>
      <c r="D106" s="1" t="s">
        <v>266</v>
      </c>
      <c r="F106" s="1" t="s">
        <v>267</v>
      </c>
      <c r="G106" s="1">
        <v>1</v>
      </c>
      <c r="H106" s="7">
        <v>45560</v>
      </c>
      <c r="I106" s="1" t="s">
        <v>7449</v>
      </c>
      <c r="J106" s="7">
        <v>45560</v>
      </c>
      <c r="K106" s="1" t="s">
        <v>7449</v>
      </c>
    </row>
    <row r="107" spans="1:11" x14ac:dyDescent="0.25">
      <c r="A107" s="1">
        <v>106</v>
      </c>
      <c r="B107" s="1" t="s">
        <v>268</v>
      </c>
      <c r="C107" s="1" t="s">
        <v>269</v>
      </c>
      <c r="F107" s="1" t="s">
        <v>270</v>
      </c>
      <c r="G107" s="1">
        <v>1</v>
      </c>
      <c r="H107" s="7">
        <v>45560</v>
      </c>
      <c r="I107" s="1" t="s">
        <v>7449</v>
      </c>
      <c r="J107" s="7">
        <v>45560</v>
      </c>
      <c r="K107" s="1" t="s">
        <v>7449</v>
      </c>
    </row>
    <row r="108" spans="1:11" x14ac:dyDescent="0.25">
      <c r="A108" s="1">
        <v>107</v>
      </c>
      <c r="B108" s="1" t="s">
        <v>271</v>
      </c>
      <c r="C108" s="1" t="s">
        <v>272</v>
      </c>
      <c r="F108" s="1" t="s">
        <v>273</v>
      </c>
      <c r="G108" s="1">
        <v>1</v>
      </c>
      <c r="H108" s="7">
        <v>45560</v>
      </c>
      <c r="I108" s="1" t="s">
        <v>7449</v>
      </c>
      <c r="J108" s="7">
        <v>45560</v>
      </c>
      <c r="K108" s="1" t="s">
        <v>7449</v>
      </c>
    </row>
    <row r="109" spans="1:11" x14ac:dyDescent="0.25">
      <c r="A109" s="1">
        <v>108</v>
      </c>
      <c r="B109" s="1" t="s">
        <v>274</v>
      </c>
      <c r="C109" s="1" t="s">
        <v>275</v>
      </c>
      <c r="F109" s="1" t="s">
        <v>276</v>
      </c>
      <c r="G109" s="1">
        <v>1</v>
      </c>
      <c r="H109" s="7">
        <v>45560</v>
      </c>
      <c r="I109" s="1" t="s">
        <v>7449</v>
      </c>
      <c r="J109" s="7">
        <v>45560</v>
      </c>
      <c r="K109" s="1" t="s">
        <v>7449</v>
      </c>
    </row>
    <row r="110" spans="1:11" x14ac:dyDescent="0.25">
      <c r="A110" s="1">
        <v>109</v>
      </c>
      <c r="B110" s="1" t="s">
        <v>277</v>
      </c>
      <c r="C110" s="1" t="s">
        <v>278</v>
      </c>
      <c r="F110" s="1" t="s">
        <v>279</v>
      </c>
      <c r="G110" s="1">
        <v>1</v>
      </c>
      <c r="H110" s="7">
        <v>45560</v>
      </c>
      <c r="I110" s="1" t="s">
        <v>7449</v>
      </c>
      <c r="J110" s="7">
        <v>45560</v>
      </c>
      <c r="K110" s="1" t="s">
        <v>7449</v>
      </c>
    </row>
    <row r="111" spans="1:11" x14ac:dyDescent="0.25">
      <c r="A111" s="1">
        <v>110</v>
      </c>
      <c r="B111" s="1" t="s">
        <v>280</v>
      </c>
      <c r="C111" s="1" t="s">
        <v>281</v>
      </c>
      <c r="F111" s="1" t="s">
        <v>282</v>
      </c>
      <c r="G111" s="1">
        <v>1</v>
      </c>
      <c r="H111" s="7">
        <v>45560</v>
      </c>
      <c r="I111" s="1" t="s">
        <v>7449</v>
      </c>
      <c r="J111" s="7">
        <v>45560</v>
      </c>
      <c r="K111" s="1" t="s">
        <v>7449</v>
      </c>
    </row>
    <row r="112" spans="1:11" x14ac:dyDescent="0.25">
      <c r="A112" s="1">
        <v>111</v>
      </c>
      <c r="B112" s="1" t="s">
        <v>283</v>
      </c>
      <c r="C112" s="1" t="s">
        <v>284</v>
      </c>
      <c r="F112" s="1" t="s">
        <v>285</v>
      </c>
      <c r="G112" s="1">
        <v>1</v>
      </c>
      <c r="H112" s="7">
        <v>45560</v>
      </c>
      <c r="I112" s="1" t="s">
        <v>7449</v>
      </c>
      <c r="J112" s="7">
        <v>45560</v>
      </c>
      <c r="K112" s="1" t="s">
        <v>7449</v>
      </c>
    </row>
    <row r="113" spans="1:11" x14ac:dyDescent="0.25">
      <c r="A113" s="1">
        <v>112</v>
      </c>
      <c r="B113" s="1" t="s">
        <v>286</v>
      </c>
      <c r="C113" s="1" t="s">
        <v>287</v>
      </c>
      <c r="F113" s="1" t="s">
        <v>288</v>
      </c>
      <c r="G113" s="1">
        <v>1</v>
      </c>
      <c r="H113" s="7">
        <v>45560</v>
      </c>
      <c r="I113" s="1" t="s">
        <v>7449</v>
      </c>
      <c r="J113" s="7">
        <v>45560</v>
      </c>
      <c r="K113" s="1" t="s">
        <v>7449</v>
      </c>
    </row>
    <row r="114" spans="1:11" x14ac:dyDescent="0.25">
      <c r="A114" s="1">
        <v>113</v>
      </c>
      <c r="B114" s="1" t="s">
        <v>289</v>
      </c>
      <c r="C114" s="1" t="s">
        <v>290</v>
      </c>
      <c r="F114" s="1" t="s">
        <v>291</v>
      </c>
      <c r="G114" s="1">
        <v>1</v>
      </c>
      <c r="H114" s="7">
        <v>45560</v>
      </c>
      <c r="I114" s="1" t="s">
        <v>7449</v>
      </c>
      <c r="J114" s="7">
        <v>45560</v>
      </c>
      <c r="K114" s="1" t="s">
        <v>7449</v>
      </c>
    </row>
    <row r="115" spans="1:11" x14ac:dyDescent="0.25">
      <c r="A115" s="1">
        <v>114</v>
      </c>
      <c r="B115" s="1" t="s">
        <v>292</v>
      </c>
      <c r="C115" s="1" t="s">
        <v>293</v>
      </c>
      <c r="F115" s="1" t="s">
        <v>294</v>
      </c>
      <c r="G115" s="1">
        <v>1</v>
      </c>
      <c r="H115" s="7">
        <v>45560</v>
      </c>
      <c r="I115" s="1" t="s">
        <v>7449</v>
      </c>
      <c r="J115" s="7">
        <v>45560</v>
      </c>
      <c r="K115" s="1" t="s">
        <v>7449</v>
      </c>
    </row>
    <row r="116" spans="1:11" x14ac:dyDescent="0.25">
      <c r="A116" s="1">
        <v>115</v>
      </c>
      <c r="B116" s="1" t="s">
        <v>295</v>
      </c>
      <c r="C116" s="1" t="s">
        <v>296</v>
      </c>
      <c r="F116" s="1" t="s">
        <v>297</v>
      </c>
      <c r="G116" s="1">
        <v>1</v>
      </c>
      <c r="H116" s="7">
        <v>45560</v>
      </c>
      <c r="I116" s="1" t="s">
        <v>7449</v>
      </c>
      <c r="J116" s="7">
        <v>45560</v>
      </c>
      <c r="K116" s="1" t="s">
        <v>7449</v>
      </c>
    </row>
    <row r="117" spans="1:11" x14ac:dyDescent="0.25">
      <c r="A117" s="1">
        <v>116</v>
      </c>
      <c r="B117" s="1">
        <v>56</v>
      </c>
      <c r="C117" s="1" t="s">
        <v>298</v>
      </c>
      <c r="D117" s="1" t="s">
        <v>299</v>
      </c>
      <c r="G117" s="1">
        <v>1</v>
      </c>
      <c r="H117" s="7">
        <v>45560</v>
      </c>
      <c r="I117" s="1" t="s">
        <v>7449</v>
      </c>
      <c r="J117" s="7">
        <v>45560</v>
      </c>
      <c r="K117" s="1" t="s">
        <v>7449</v>
      </c>
    </row>
    <row r="118" spans="1:11" x14ac:dyDescent="0.25">
      <c r="A118" s="1">
        <v>117</v>
      </c>
      <c r="B118" s="1">
        <v>57</v>
      </c>
      <c r="C118" s="1" t="s">
        <v>300</v>
      </c>
      <c r="D118" s="1" t="s">
        <v>301</v>
      </c>
      <c r="G118" s="1">
        <v>1</v>
      </c>
      <c r="H118" s="7">
        <v>45560</v>
      </c>
      <c r="I118" s="1" t="s">
        <v>7449</v>
      </c>
      <c r="J118" s="7">
        <v>45560</v>
      </c>
      <c r="K118" s="1" t="s">
        <v>7449</v>
      </c>
    </row>
    <row r="119" spans="1:11" x14ac:dyDescent="0.25">
      <c r="A119" s="1">
        <v>118</v>
      </c>
      <c r="B119" s="1">
        <v>58</v>
      </c>
      <c r="C119" s="1" t="s">
        <v>302</v>
      </c>
      <c r="D119" s="1" t="s">
        <v>303</v>
      </c>
      <c r="G119" s="1">
        <v>1</v>
      </c>
      <c r="H119" s="7">
        <v>45560</v>
      </c>
      <c r="I119" s="1" t="s">
        <v>7449</v>
      </c>
      <c r="J119" s="7">
        <v>45560</v>
      </c>
      <c r="K119" s="1" t="s">
        <v>7449</v>
      </c>
    </row>
    <row r="120" spans="1:11" x14ac:dyDescent="0.25">
      <c r="A120" s="1">
        <v>119</v>
      </c>
      <c r="B120" s="1">
        <v>59</v>
      </c>
      <c r="C120" s="1" t="s">
        <v>304</v>
      </c>
      <c r="D120" s="1" t="s">
        <v>305</v>
      </c>
      <c r="F120" s="1" t="s">
        <v>306</v>
      </c>
      <c r="G120" s="1">
        <v>1</v>
      </c>
      <c r="H120" s="7">
        <v>45560</v>
      </c>
      <c r="I120" s="1" t="s">
        <v>7449</v>
      </c>
      <c r="J120" s="7">
        <v>45560</v>
      </c>
      <c r="K120" s="1" t="s">
        <v>7449</v>
      </c>
    </row>
    <row r="121" spans="1:11" x14ac:dyDescent="0.25">
      <c r="A121" s="1">
        <v>120</v>
      </c>
      <c r="B121" s="1" t="s">
        <v>307</v>
      </c>
      <c r="C121" s="1" t="s">
        <v>308</v>
      </c>
      <c r="F121" s="1" t="s">
        <v>309</v>
      </c>
      <c r="G121" s="1">
        <v>1</v>
      </c>
      <c r="H121" s="7">
        <v>45560</v>
      </c>
      <c r="I121" s="1" t="s">
        <v>7449</v>
      </c>
      <c r="J121" s="7">
        <v>45560</v>
      </c>
      <c r="K121" s="1" t="s">
        <v>7449</v>
      </c>
    </row>
    <row r="122" spans="1:11" x14ac:dyDescent="0.25">
      <c r="A122" s="1">
        <v>121</v>
      </c>
      <c r="B122" s="1" t="s">
        <v>310</v>
      </c>
      <c r="C122" s="1" t="s">
        <v>311</v>
      </c>
      <c r="D122" s="1" t="s">
        <v>312</v>
      </c>
      <c r="G122" s="1">
        <v>1</v>
      </c>
      <c r="H122" s="7">
        <v>45560</v>
      </c>
      <c r="I122" s="1" t="s">
        <v>7449</v>
      </c>
      <c r="J122" s="7">
        <v>45560</v>
      </c>
      <c r="K122" s="1" t="s">
        <v>7449</v>
      </c>
    </row>
    <row r="123" spans="1:11" x14ac:dyDescent="0.25">
      <c r="A123" s="1">
        <v>122</v>
      </c>
      <c r="B123" s="1" t="s">
        <v>313</v>
      </c>
      <c r="C123" s="1" t="s">
        <v>314</v>
      </c>
      <c r="E123" s="1" t="s">
        <v>52</v>
      </c>
      <c r="G123" s="1">
        <v>1</v>
      </c>
      <c r="H123" s="7">
        <v>45560</v>
      </c>
      <c r="I123" s="1" t="s">
        <v>7449</v>
      </c>
      <c r="J123" s="7">
        <v>45560</v>
      </c>
      <c r="K123" s="1" t="s">
        <v>7449</v>
      </c>
    </row>
    <row r="124" spans="1:11" x14ac:dyDescent="0.25">
      <c r="A124" s="1">
        <v>123</v>
      </c>
      <c r="B124" s="1" t="s">
        <v>315</v>
      </c>
      <c r="C124" s="1" t="s">
        <v>316</v>
      </c>
      <c r="D124" s="1" t="s">
        <v>317</v>
      </c>
      <c r="G124" s="1">
        <v>1</v>
      </c>
      <c r="H124" s="7">
        <v>45560</v>
      </c>
      <c r="I124" s="1" t="s">
        <v>7449</v>
      </c>
      <c r="J124" s="7">
        <v>45560</v>
      </c>
      <c r="K124" s="1" t="s">
        <v>7449</v>
      </c>
    </row>
    <row r="125" spans="1:11" x14ac:dyDescent="0.25">
      <c r="A125" s="1">
        <v>124</v>
      </c>
      <c r="B125" s="1" t="s">
        <v>318</v>
      </c>
      <c r="C125" s="1" t="s">
        <v>319</v>
      </c>
      <c r="E125" s="1" t="s">
        <v>52</v>
      </c>
      <c r="G125" s="1">
        <v>1</v>
      </c>
      <c r="H125" s="7">
        <v>45560</v>
      </c>
      <c r="I125" s="1" t="s">
        <v>7449</v>
      </c>
      <c r="J125" s="7">
        <v>45560</v>
      </c>
      <c r="K125" s="1" t="s">
        <v>7449</v>
      </c>
    </row>
    <row r="126" spans="1:11" x14ac:dyDescent="0.25">
      <c r="A126" s="1">
        <v>125</v>
      </c>
      <c r="B126" s="1" t="s">
        <v>320</v>
      </c>
      <c r="C126" s="1" t="s">
        <v>321</v>
      </c>
      <c r="E126" s="1" t="s">
        <v>52</v>
      </c>
      <c r="G126" s="1">
        <v>1</v>
      </c>
      <c r="H126" s="7">
        <v>45560</v>
      </c>
      <c r="I126" s="1" t="s">
        <v>7449</v>
      </c>
      <c r="J126" s="7">
        <v>45560</v>
      </c>
      <c r="K126" s="1" t="s">
        <v>7449</v>
      </c>
    </row>
    <row r="127" spans="1:11" x14ac:dyDescent="0.25">
      <c r="A127" s="1">
        <v>126</v>
      </c>
      <c r="B127" s="1" t="s">
        <v>322</v>
      </c>
      <c r="C127" s="1" t="s">
        <v>323</v>
      </c>
      <c r="E127" s="1" t="s">
        <v>52</v>
      </c>
      <c r="G127" s="1">
        <v>1</v>
      </c>
      <c r="H127" s="7">
        <v>45560</v>
      </c>
      <c r="I127" s="1" t="s">
        <v>7449</v>
      </c>
      <c r="J127" s="7">
        <v>45560</v>
      </c>
      <c r="K127" s="1" t="s">
        <v>7449</v>
      </c>
    </row>
    <row r="128" spans="1:11" x14ac:dyDescent="0.25">
      <c r="A128" s="1">
        <v>127</v>
      </c>
      <c r="B128" s="1" t="s">
        <v>324</v>
      </c>
      <c r="C128" s="1" t="s">
        <v>325</v>
      </c>
      <c r="D128" s="1" t="s">
        <v>326</v>
      </c>
      <c r="E128" s="1" t="s">
        <v>52</v>
      </c>
      <c r="F128" s="1" t="s">
        <v>327</v>
      </c>
      <c r="G128" s="1">
        <v>1</v>
      </c>
      <c r="H128" s="7">
        <v>45560</v>
      </c>
      <c r="I128" s="1" t="s">
        <v>7449</v>
      </c>
      <c r="J128" s="7">
        <v>45560</v>
      </c>
      <c r="K128" s="1" t="s">
        <v>7449</v>
      </c>
    </row>
    <row r="129" spans="1:11" x14ac:dyDescent="0.25">
      <c r="A129" s="1">
        <v>128</v>
      </c>
      <c r="B129" s="1" t="s">
        <v>328</v>
      </c>
      <c r="C129" s="1" t="s">
        <v>329</v>
      </c>
      <c r="D129" s="1" t="s">
        <v>330</v>
      </c>
      <c r="G129" s="1">
        <v>1</v>
      </c>
      <c r="H129" s="7">
        <v>45560</v>
      </c>
      <c r="I129" s="1" t="s">
        <v>7449</v>
      </c>
      <c r="J129" s="7">
        <v>45560</v>
      </c>
      <c r="K129" s="1" t="s">
        <v>7449</v>
      </c>
    </row>
    <row r="130" spans="1:11" x14ac:dyDescent="0.25">
      <c r="A130" s="1">
        <v>129</v>
      </c>
      <c r="B130" s="1" t="s">
        <v>331</v>
      </c>
      <c r="C130" s="1" t="s">
        <v>332</v>
      </c>
      <c r="E130" s="1" t="s">
        <v>52</v>
      </c>
      <c r="G130" s="1">
        <v>1</v>
      </c>
      <c r="H130" s="7">
        <v>45560</v>
      </c>
      <c r="I130" s="1" t="s">
        <v>7449</v>
      </c>
      <c r="J130" s="7">
        <v>45560</v>
      </c>
      <c r="K130" s="1" t="s">
        <v>7449</v>
      </c>
    </row>
    <row r="131" spans="1:11" x14ac:dyDescent="0.25">
      <c r="A131" s="1">
        <v>130</v>
      </c>
      <c r="B131" s="1" t="s">
        <v>333</v>
      </c>
      <c r="C131" s="1" t="s">
        <v>334</v>
      </c>
      <c r="E131" s="1" t="s">
        <v>52</v>
      </c>
      <c r="G131" s="1">
        <v>1</v>
      </c>
      <c r="H131" s="7">
        <v>45560</v>
      </c>
      <c r="I131" s="1" t="s">
        <v>7449</v>
      </c>
      <c r="J131" s="7">
        <v>45560</v>
      </c>
      <c r="K131" s="1" t="s">
        <v>7449</v>
      </c>
    </row>
    <row r="132" spans="1:11" x14ac:dyDescent="0.25">
      <c r="A132" s="1">
        <v>131</v>
      </c>
      <c r="B132" s="1" t="s">
        <v>335</v>
      </c>
      <c r="C132" s="1" t="s">
        <v>336</v>
      </c>
      <c r="E132" s="1" t="s">
        <v>52</v>
      </c>
      <c r="G132" s="1">
        <v>1</v>
      </c>
      <c r="H132" s="7">
        <v>45560</v>
      </c>
      <c r="I132" s="1" t="s">
        <v>7449</v>
      </c>
      <c r="J132" s="7">
        <v>45560</v>
      </c>
      <c r="K132" s="1" t="s">
        <v>7449</v>
      </c>
    </row>
    <row r="133" spans="1:11" x14ac:dyDescent="0.25">
      <c r="A133" s="1">
        <v>132</v>
      </c>
      <c r="B133" s="1">
        <v>60</v>
      </c>
      <c r="C133" s="1" t="s">
        <v>337</v>
      </c>
      <c r="D133" s="1" t="s">
        <v>338</v>
      </c>
      <c r="G133" s="1">
        <v>1</v>
      </c>
      <c r="H133" s="7">
        <v>45560</v>
      </c>
      <c r="I133" s="1" t="s">
        <v>7449</v>
      </c>
      <c r="J133" s="7">
        <v>45560</v>
      </c>
      <c r="K133" s="1" t="s">
        <v>7449</v>
      </c>
    </row>
    <row r="134" spans="1:11" x14ac:dyDescent="0.25">
      <c r="A134" s="1">
        <v>133</v>
      </c>
      <c r="B134" s="1">
        <v>61</v>
      </c>
      <c r="C134" s="1" t="s">
        <v>339</v>
      </c>
      <c r="D134" s="1" t="s">
        <v>340</v>
      </c>
      <c r="F134" s="1" t="s">
        <v>341</v>
      </c>
      <c r="G134" s="1">
        <v>1</v>
      </c>
      <c r="H134" s="7">
        <v>45560</v>
      </c>
      <c r="I134" s="1" t="s">
        <v>7449</v>
      </c>
      <c r="J134" s="7">
        <v>45560</v>
      </c>
      <c r="K134" s="1" t="s">
        <v>7449</v>
      </c>
    </row>
    <row r="135" spans="1:11" x14ac:dyDescent="0.25">
      <c r="A135" s="1">
        <v>134</v>
      </c>
      <c r="B135" s="1">
        <v>74</v>
      </c>
      <c r="C135" s="1" t="s">
        <v>342</v>
      </c>
      <c r="F135" s="1" t="s">
        <v>343</v>
      </c>
      <c r="G135" s="1">
        <v>1</v>
      </c>
      <c r="H135" s="7">
        <v>45560</v>
      </c>
      <c r="I135" s="1" t="s">
        <v>7449</v>
      </c>
      <c r="J135" s="7">
        <v>45560</v>
      </c>
      <c r="K135" s="1" t="s">
        <v>7449</v>
      </c>
    </row>
    <row r="136" spans="1:11" x14ac:dyDescent="0.25">
      <c r="A136" s="1">
        <v>135</v>
      </c>
      <c r="B136" s="1">
        <v>77</v>
      </c>
      <c r="C136" s="1" t="s">
        <v>344</v>
      </c>
      <c r="F136" s="1" t="s">
        <v>345</v>
      </c>
      <c r="G136" s="1">
        <v>1</v>
      </c>
      <c r="H136" s="7">
        <v>45560</v>
      </c>
      <c r="I136" s="1" t="s">
        <v>7449</v>
      </c>
      <c r="J136" s="7">
        <v>45560</v>
      </c>
      <c r="K136" s="1" t="s">
        <v>7449</v>
      </c>
    </row>
    <row r="137" spans="1:11" x14ac:dyDescent="0.25">
      <c r="A137" s="1">
        <v>136</v>
      </c>
      <c r="B137" s="1">
        <v>80</v>
      </c>
      <c r="C137" s="1" t="s">
        <v>346</v>
      </c>
      <c r="F137" s="1" t="s">
        <v>347</v>
      </c>
      <c r="G137" s="1">
        <v>1</v>
      </c>
      <c r="H137" s="7">
        <v>45560</v>
      </c>
      <c r="I137" s="1" t="s">
        <v>7449</v>
      </c>
      <c r="J137" s="7">
        <v>45560</v>
      </c>
      <c r="K137" s="1" t="s">
        <v>7449</v>
      </c>
    </row>
    <row r="138" spans="1:11" x14ac:dyDescent="0.25">
      <c r="A138" s="1">
        <v>137</v>
      </c>
      <c r="B138" s="1">
        <v>81</v>
      </c>
      <c r="C138" s="1" t="s">
        <v>348</v>
      </c>
      <c r="D138" s="1" t="s">
        <v>349</v>
      </c>
      <c r="F138" s="1" t="s">
        <v>350</v>
      </c>
      <c r="G138" s="1">
        <v>1</v>
      </c>
      <c r="H138" s="7">
        <v>45560</v>
      </c>
      <c r="I138" s="1" t="s">
        <v>7449</v>
      </c>
      <c r="J138" s="7">
        <v>45560</v>
      </c>
      <c r="K138" s="1" t="s">
        <v>7449</v>
      </c>
    </row>
    <row r="139" spans="1:11" x14ac:dyDescent="0.25">
      <c r="A139" s="1">
        <v>138</v>
      </c>
      <c r="B139" s="1">
        <v>85</v>
      </c>
      <c r="C139" s="1" t="s">
        <v>351</v>
      </c>
      <c r="F139" s="1" t="s">
        <v>352</v>
      </c>
      <c r="G139" s="1">
        <v>1</v>
      </c>
      <c r="H139" s="7">
        <v>45560</v>
      </c>
      <c r="I139" s="1" t="s">
        <v>7449</v>
      </c>
      <c r="J139" s="7">
        <v>45560</v>
      </c>
      <c r="K139" s="1" t="s">
        <v>7449</v>
      </c>
    </row>
    <row r="140" spans="1:11" x14ac:dyDescent="0.25">
      <c r="A140" s="1">
        <v>139</v>
      </c>
      <c r="B140" s="1">
        <v>87</v>
      </c>
      <c r="C140" s="1" t="s">
        <v>353</v>
      </c>
      <c r="F140" s="1" t="s">
        <v>354</v>
      </c>
      <c r="G140" s="1">
        <v>1</v>
      </c>
      <c r="H140" s="7">
        <v>45560</v>
      </c>
      <c r="I140" s="1" t="s">
        <v>7449</v>
      </c>
      <c r="J140" s="7">
        <v>45560</v>
      </c>
      <c r="K140" s="1" t="s">
        <v>7449</v>
      </c>
    </row>
    <row r="141" spans="1:11" x14ac:dyDescent="0.25">
      <c r="A141" s="1">
        <v>140</v>
      </c>
      <c r="B141" s="1">
        <v>89</v>
      </c>
      <c r="C141" s="1" t="s">
        <v>355</v>
      </c>
      <c r="D141" s="1" t="s">
        <v>356</v>
      </c>
      <c r="F141" s="1" t="s">
        <v>357</v>
      </c>
      <c r="G141" s="1">
        <v>1</v>
      </c>
      <c r="H141" s="7">
        <v>45560</v>
      </c>
      <c r="I141" s="1" t="s">
        <v>7449</v>
      </c>
      <c r="J141" s="7">
        <v>45560</v>
      </c>
      <c r="K141" s="1" t="s">
        <v>7449</v>
      </c>
    </row>
    <row r="142" spans="1:11" x14ac:dyDescent="0.25">
      <c r="A142" s="1">
        <v>141</v>
      </c>
      <c r="B142" s="1">
        <v>91</v>
      </c>
      <c r="C142" s="1" t="s">
        <v>358</v>
      </c>
      <c r="D142" s="1" t="s">
        <v>359</v>
      </c>
      <c r="F142" s="1" t="s">
        <v>360</v>
      </c>
      <c r="G142" s="1">
        <v>1</v>
      </c>
      <c r="H142" s="7">
        <v>45560</v>
      </c>
      <c r="I142" s="1" t="s">
        <v>7449</v>
      </c>
      <c r="J142" s="7">
        <v>45560</v>
      </c>
      <c r="K142" s="1" t="s">
        <v>7449</v>
      </c>
    </row>
    <row r="143" spans="1:11" x14ac:dyDescent="0.25">
      <c r="A143" s="1">
        <v>142</v>
      </c>
      <c r="B143" s="1" t="s">
        <v>361</v>
      </c>
      <c r="C143" s="1" t="s">
        <v>362</v>
      </c>
      <c r="E143" s="1" t="s">
        <v>73</v>
      </c>
      <c r="F143" s="1" t="s">
        <v>363</v>
      </c>
      <c r="G143" s="1">
        <v>1</v>
      </c>
      <c r="H143" s="7">
        <v>45560</v>
      </c>
      <c r="I143" s="1" t="s">
        <v>7449</v>
      </c>
      <c r="J143" s="7">
        <v>45560</v>
      </c>
      <c r="K143" s="1" t="s">
        <v>7449</v>
      </c>
    </row>
    <row r="144" spans="1:11" x14ac:dyDescent="0.25">
      <c r="A144" s="1">
        <v>143</v>
      </c>
      <c r="B144" s="1" t="s">
        <v>364</v>
      </c>
      <c r="C144" s="1" t="s">
        <v>365</v>
      </c>
      <c r="F144" s="1" t="s">
        <v>366</v>
      </c>
      <c r="G144" s="1">
        <v>1</v>
      </c>
      <c r="H144" s="7">
        <v>45560</v>
      </c>
      <c r="I144" s="1" t="s">
        <v>7449</v>
      </c>
      <c r="J144" s="7">
        <v>45560</v>
      </c>
      <c r="K144" s="1" t="s">
        <v>7449</v>
      </c>
    </row>
    <row r="145" spans="1:11" x14ac:dyDescent="0.25">
      <c r="A145" s="1">
        <v>144</v>
      </c>
      <c r="B145" s="1" t="s">
        <v>367</v>
      </c>
      <c r="C145" s="1" t="s">
        <v>368</v>
      </c>
      <c r="D145" s="1" t="s">
        <v>369</v>
      </c>
      <c r="F145" s="1" t="s">
        <v>370</v>
      </c>
      <c r="G145" s="1">
        <v>1</v>
      </c>
      <c r="H145" s="7">
        <v>45560</v>
      </c>
      <c r="I145" s="1" t="s">
        <v>7449</v>
      </c>
      <c r="J145" s="7">
        <v>45560</v>
      </c>
      <c r="K145" s="1" t="s">
        <v>7449</v>
      </c>
    </row>
    <row r="146" spans="1:11" x14ac:dyDescent="0.25">
      <c r="A146" s="1">
        <v>145</v>
      </c>
      <c r="B146" s="1" t="s">
        <v>371</v>
      </c>
      <c r="C146" s="1" t="s">
        <v>372</v>
      </c>
      <c r="D146" s="1" t="s">
        <v>373</v>
      </c>
      <c r="F146" s="1" t="s">
        <v>374</v>
      </c>
      <c r="G146" s="1">
        <v>1</v>
      </c>
      <c r="H146" s="7">
        <v>45560</v>
      </c>
      <c r="I146" s="1" t="s">
        <v>7449</v>
      </c>
      <c r="J146" s="7">
        <v>45560</v>
      </c>
      <c r="K146" s="1" t="s">
        <v>7449</v>
      </c>
    </row>
    <row r="147" spans="1:11" x14ac:dyDescent="0.25">
      <c r="A147" s="1">
        <v>146</v>
      </c>
      <c r="B147" s="1" t="s">
        <v>375</v>
      </c>
      <c r="C147" s="1" t="s">
        <v>376</v>
      </c>
      <c r="D147" s="1" t="s">
        <v>377</v>
      </c>
      <c r="F147" s="1" t="s">
        <v>378</v>
      </c>
      <c r="G147" s="1">
        <v>1</v>
      </c>
      <c r="H147" s="7">
        <v>45560</v>
      </c>
      <c r="I147" s="1" t="s">
        <v>7449</v>
      </c>
      <c r="J147" s="7">
        <v>45560</v>
      </c>
      <c r="K147" s="1" t="s">
        <v>7449</v>
      </c>
    </row>
    <row r="148" spans="1:11" x14ac:dyDescent="0.25">
      <c r="A148" s="1">
        <v>147</v>
      </c>
      <c r="B148" s="1" t="s">
        <v>379</v>
      </c>
      <c r="C148" s="1" t="s">
        <v>380</v>
      </c>
      <c r="D148" s="1" t="s">
        <v>381</v>
      </c>
      <c r="F148" s="1" t="s">
        <v>382</v>
      </c>
      <c r="G148" s="1">
        <v>1</v>
      </c>
      <c r="H148" s="7">
        <v>45560</v>
      </c>
      <c r="I148" s="1" t="s">
        <v>7449</v>
      </c>
      <c r="J148" s="7">
        <v>45560</v>
      </c>
      <c r="K148" s="1" t="s">
        <v>7449</v>
      </c>
    </row>
    <row r="149" spans="1:11" x14ac:dyDescent="0.25">
      <c r="A149" s="1">
        <v>148</v>
      </c>
      <c r="B149" s="1" t="s">
        <v>383</v>
      </c>
      <c r="C149" s="1" t="s">
        <v>384</v>
      </c>
      <c r="F149" s="1" t="s">
        <v>385</v>
      </c>
      <c r="G149" s="1">
        <v>1</v>
      </c>
      <c r="H149" s="7">
        <v>45560</v>
      </c>
      <c r="I149" s="1" t="s">
        <v>7449</v>
      </c>
      <c r="J149" s="7">
        <v>45560</v>
      </c>
      <c r="K149" s="1" t="s">
        <v>7449</v>
      </c>
    </row>
    <row r="150" spans="1:11" x14ac:dyDescent="0.25">
      <c r="A150" s="1">
        <v>149</v>
      </c>
      <c r="B150" s="1" t="s">
        <v>386</v>
      </c>
      <c r="C150" s="1" t="s">
        <v>387</v>
      </c>
      <c r="F150" s="1" t="s">
        <v>388</v>
      </c>
      <c r="G150" s="1">
        <v>1</v>
      </c>
      <c r="H150" s="7">
        <v>45560</v>
      </c>
      <c r="I150" s="1" t="s">
        <v>7449</v>
      </c>
      <c r="J150" s="7">
        <v>45560</v>
      </c>
      <c r="K150" s="1" t="s">
        <v>7449</v>
      </c>
    </row>
    <row r="151" spans="1:11" x14ac:dyDescent="0.25">
      <c r="A151" s="1">
        <v>150</v>
      </c>
      <c r="B151" s="1" t="s">
        <v>389</v>
      </c>
      <c r="C151" s="1" t="s">
        <v>390</v>
      </c>
      <c r="F151" s="1" t="s">
        <v>391</v>
      </c>
      <c r="G151" s="1">
        <v>1</v>
      </c>
      <c r="H151" s="7">
        <v>45560</v>
      </c>
      <c r="I151" s="1" t="s">
        <v>7449</v>
      </c>
      <c r="J151" s="7">
        <v>45560</v>
      </c>
      <c r="K151" s="1" t="s">
        <v>7449</v>
      </c>
    </row>
    <row r="152" spans="1:11" x14ac:dyDescent="0.25">
      <c r="A152" s="1">
        <v>151</v>
      </c>
      <c r="B152" s="1" t="s">
        <v>392</v>
      </c>
      <c r="C152" s="1" t="s">
        <v>393</v>
      </c>
      <c r="F152" s="1" t="s">
        <v>394</v>
      </c>
      <c r="G152" s="1">
        <v>1</v>
      </c>
      <c r="H152" s="7">
        <v>45560</v>
      </c>
      <c r="I152" s="1" t="s">
        <v>7449</v>
      </c>
      <c r="J152" s="7">
        <v>45560</v>
      </c>
      <c r="K152" s="1" t="s">
        <v>7449</v>
      </c>
    </row>
    <row r="153" spans="1:11" x14ac:dyDescent="0.25">
      <c r="A153" s="1">
        <v>152</v>
      </c>
      <c r="B153" s="1" t="s">
        <v>395</v>
      </c>
      <c r="C153" s="1" t="s">
        <v>396</v>
      </c>
      <c r="F153" s="1" t="s">
        <v>397</v>
      </c>
      <c r="G153" s="1">
        <v>1</v>
      </c>
      <c r="H153" s="7">
        <v>45560</v>
      </c>
      <c r="I153" s="1" t="s">
        <v>7449</v>
      </c>
      <c r="J153" s="7">
        <v>45560</v>
      </c>
      <c r="K153" s="1" t="s">
        <v>7449</v>
      </c>
    </row>
    <row r="154" spans="1:11" x14ac:dyDescent="0.25">
      <c r="A154" s="1">
        <v>153</v>
      </c>
      <c r="B154" s="1" t="s">
        <v>398</v>
      </c>
      <c r="C154" s="1" t="s">
        <v>399</v>
      </c>
      <c r="F154" s="1" t="s">
        <v>400</v>
      </c>
      <c r="G154" s="1">
        <v>1</v>
      </c>
      <c r="H154" s="7">
        <v>45560</v>
      </c>
      <c r="I154" s="1" t="s">
        <v>7449</v>
      </c>
      <c r="J154" s="7">
        <v>45560</v>
      </c>
      <c r="K154" s="1" t="s">
        <v>7449</v>
      </c>
    </row>
    <row r="155" spans="1:11" x14ac:dyDescent="0.25">
      <c r="A155" s="1">
        <v>154</v>
      </c>
      <c r="B155" s="1" t="s">
        <v>401</v>
      </c>
      <c r="C155" s="1" t="s">
        <v>402</v>
      </c>
      <c r="F155" s="1" t="s">
        <v>403</v>
      </c>
      <c r="G155" s="1">
        <v>1</v>
      </c>
      <c r="H155" s="7">
        <v>45560</v>
      </c>
      <c r="I155" s="1" t="s">
        <v>7449</v>
      </c>
      <c r="J155" s="7">
        <v>45560</v>
      </c>
      <c r="K155" s="1" t="s">
        <v>7449</v>
      </c>
    </row>
    <row r="156" spans="1:11" x14ac:dyDescent="0.25">
      <c r="A156" s="1">
        <v>155</v>
      </c>
      <c r="B156" s="1" t="s">
        <v>404</v>
      </c>
      <c r="C156" s="1" t="s">
        <v>405</v>
      </c>
      <c r="F156" s="1" t="s">
        <v>406</v>
      </c>
      <c r="G156" s="1">
        <v>1</v>
      </c>
      <c r="H156" s="7">
        <v>45560</v>
      </c>
      <c r="I156" s="1" t="s">
        <v>7449</v>
      </c>
      <c r="J156" s="7">
        <v>45560</v>
      </c>
      <c r="K156" s="1" t="s">
        <v>7449</v>
      </c>
    </row>
    <row r="157" spans="1:11" x14ac:dyDescent="0.25">
      <c r="A157" s="1">
        <v>156</v>
      </c>
      <c r="B157" s="1" t="s">
        <v>407</v>
      </c>
      <c r="C157" s="1" t="s">
        <v>408</v>
      </c>
      <c r="F157" s="1" t="s">
        <v>409</v>
      </c>
      <c r="G157" s="1">
        <v>1</v>
      </c>
      <c r="H157" s="7">
        <v>45560</v>
      </c>
      <c r="I157" s="1" t="s">
        <v>7449</v>
      </c>
      <c r="J157" s="7">
        <v>45560</v>
      </c>
      <c r="K157" s="1" t="s">
        <v>7449</v>
      </c>
    </row>
    <row r="158" spans="1:11" x14ac:dyDescent="0.25">
      <c r="A158" s="1">
        <v>157</v>
      </c>
      <c r="B158" s="1" t="s">
        <v>410</v>
      </c>
      <c r="C158" s="1" t="s">
        <v>411</v>
      </c>
      <c r="F158" s="1" t="s">
        <v>412</v>
      </c>
      <c r="G158" s="1">
        <v>1</v>
      </c>
      <c r="H158" s="7">
        <v>45560</v>
      </c>
      <c r="I158" s="1" t="s">
        <v>7449</v>
      </c>
      <c r="J158" s="7">
        <v>45560</v>
      </c>
      <c r="K158" s="1" t="s">
        <v>7449</v>
      </c>
    </row>
    <row r="159" spans="1:11" x14ac:dyDescent="0.25">
      <c r="A159" s="1">
        <v>158</v>
      </c>
      <c r="B159" s="1" t="s">
        <v>413</v>
      </c>
      <c r="C159" s="1" t="s">
        <v>414</v>
      </c>
      <c r="F159" s="1" t="s">
        <v>415</v>
      </c>
      <c r="G159" s="1">
        <v>1</v>
      </c>
      <c r="H159" s="7">
        <v>45560</v>
      </c>
      <c r="I159" s="1" t="s">
        <v>7449</v>
      </c>
      <c r="J159" s="7">
        <v>45560</v>
      </c>
      <c r="K159" s="1" t="s">
        <v>7449</v>
      </c>
    </row>
    <row r="160" spans="1:11" x14ac:dyDescent="0.25">
      <c r="A160" s="1">
        <v>159</v>
      </c>
      <c r="B160" s="1" t="s">
        <v>416</v>
      </c>
      <c r="C160" s="1" t="s">
        <v>417</v>
      </c>
      <c r="D160" s="1" t="s">
        <v>418</v>
      </c>
      <c r="E160" s="1" t="s">
        <v>73</v>
      </c>
      <c r="F160" s="1" t="s">
        <v>419</v>
      </c>
      <c r="G160" s="1">
        <v>1</v>
      </c>
      <c r="H160" s="7">
        <v>45560</v>
      </c>
      <c r="I160" s="1" t="s">
        <v>7449</v>
      </c>
      <c r="J160" s="7">
        <v>45560</v>
      </c>
      <c r="K160" s="1" t="s">
        <v>7449</v>
      </c>
    </row>
    <row r="161" spans="1:11" x14ac:dyDescent="0.25">
      <c r="A161" s="1">
        <v>160</v>
      </c>
      <c r="B161" s="1" t="s">
        <v>420</v>
      </c>
      <c r="C161" s="1" t="s">
        <v>421</v>
      </c>
      <c r="F161" s="1" t="s">
        <v>422</v>
      </c>
      <c r="G161" s="1">
        <v>1</v>
      </c>
      <c r="H161" s="7">
        <v>45560</v>
      </c>
      <c r="I161" s="1" t="s">
        <v>7449</v>
      </c>
      <c r="J161" s="7">
        <v>45560</v>
      </c>
      <c r="K161" s="1" t="s">
        <v>7449</v>
      </c>
    </row>
    <row r="162" spans="1:11" x14ac:dyDescent="0.25">
      <c r="A162" s="1">
        <v>161</v>
      </c>
      <c r="B162" s="1" t="s">
        <v>423</v>
      </c>
      <c r="C162" s="1" t="s">
        <v>424</v>
      </c>
      <c r="F162" s="1" t="s">
        <v>425</v>
      </c>
      <c r="G162" s="1">
        <v>1</v>
      </c>
      <c r="H162" s="7">
        <v>45560</v>
      </c>
      <c r="I162" s="1" t="s">
        <v>7449</v>
      </c>
      <c r="J162" s="7">
        <v>45560</v>
      </c>
      <c r="K162" s="1" t="s">
        <v>7449</v>
      </c>
    </row>
    <row r="163" spans="1:11" x14ac:dyDescent="0.25">
      <c r="A163" s="1">
        <v>162</v>
      </c>
      <c r="B163" s="1" t="s">
        <v>426</v>
      </c>
      <c r="C163" s="1" t="s">
        <v>427</v>
      </c>
      <c r="F163" s="1" t="s">
        <v>428</v>
      </c>
      <c r="G163" s="1">
        <v>1</v>
      </c>
      <c r="H163" s="7">
        <v>45560</v>
      </c>
      <c r="I163" s="1" t="s">
        <v>7449</v>
      </c>
      <c r="J163" s="7">
        <v>45560</v>
      </c>
      <c r="K163" s="1" t="s">
        <v>7449</v>
      </c>
    </row>
    <row r="164" spans="1:11" x14ac:dyDescent="0.25">
      <c r="A164" s="1">
        <v>163</v>
      </c>
      <c r="B164" s="1" t="s">
        <v>429</v>
      </c>
      <c r="C164" s="1" t="s">
        <v>430</v>
      </c>
      <c r="F164" s="1" t="s">
        <v>431</v>
      </c>
      <c r="G164" s="1">
        <v>1</v>
      </c>
      <c r="H164" s="7">
        <v>45560</v>
      </c>
      <c r="I164" s="1" t="s">
        <v>7449</v>
      </c>
      <c r="J164" s="7">
        <v>45560</v>
      </c>
      <c r="K164" s="1" t="s">
        <v>7449</v>
      </c>
    </row>
    <row r="165" spans="1:11" x14ac:dyDescent="0.25">
      <c r="A165" s="1">
        <v>164</v>
      </c>
      <c r="B165" s="1" t="s">
        <v>432</v>
      </c>
      <c r="C165" s="1" t="s">
        <v>433</v>
      </c>
      <c r="F165" s="1" t="s">
        <v>434</v>
      </c>
      <c r="G165" s="1">
        <v>1</v>
      </c>
      <c r="H165" s="7">
        <v>45560</v>
      </c>
      <c r="I165" s="1" t="s">
        <v>7449</v>
      </c>
      <c r="J165" s="7">
        <v>45560</v>
      </c>
      <c r="K165" s="1" t="s">
        <v>7449</v>
      </c>
    </row>
    <row r="166" spans="1:11" x14ac:dyDescent="0.25">
      <c r="A166" s="1">
        <v>165</v>
      </c>
      <c r="B166" s="1" t="s">
        <v>435</v>
      </c>
      <c r="C166" s="1" t="s">
        <v>436</v>
      </c>
      <c r="F166" s="1" t="s">
        <v>437</v>
      </c>
      <c r="G166" s="1">
        <v>1</v>
      </c>
      <c r="H166" s="7">
        <v>45560</v>
      </c>
      <c r="I166" s="1" t="s">
        <v>7449</v>
      </c>
      <c r="J166" s="7">
        <v>45560</v>
      </c>
      <c r="K166" s="1" t="s">
        <v>7449</v>
      </c>
    </row>
    <row r="167" spans="1:11" x14ac:dyDescent="0.25">
      <c r="A167" s="1">
        <v>166</v>
      </c>
      <c r="B167" s="1" t="s">
        <v>438</v>
      </c>
      <c r="C167" s="1" t="s">
        <v>439</v>
      </c>
      <c r="F167" s="1" t="s">
        <v>440</v>
      </c>
      <c r="G167" s="1">
        <v>1</v>
      </c>
      <c r="H167" s="7">
        <v>45560</v>
      </c>
      <c r="I167" s="1" t="s">
        <v>7449</v>
      </c>
      <c r="J167" s="7">
        <v>45560</v>
      </c>
      <c r="K167" s="1" t="s">
        <v>7449</v>
      </c>
    </row>
    <row r="168" spans="1:11" x14ac:dyDescent="0.25">
      <c r="A168" s="1">
        <v>167</v>
      </c>
      <c r="B168" s="1" t="s">
        <v>441</v>
      </c>
      <c r="C168" s="1" t="s">
        <v>442</v>
      </c>
      <c r="F168" s="1" t="s">
        <v>443</v>
      </c>
      <c r="G168" s="1">
        <v>1</v>
      </c>
      <c r="H168" s="7">
        <v>45560</v>
      </c>
      <c r="I168" s="1" t="s">
        <v>7449</v>
      </c>
      <c r="J168" s="7">
        <v>45560</v>
      </c>
      <c r="K168" s="1" t="s">
        <v>7449</v>
      </c>
    </row>
    <row r="169" spans="1:11" x14ac:dyDescent="0.25">
      <c r="A169" s="1">
        <v>168</v>
      </c>
      <c r="B169" s="1" t="s">
        <v>444</v>
      </c>
      <c r="C169" s="1" t="s">
        <v>445</v>
      </c>
      <c r="F169" s="1" t="s">
        <v>446</v>
      </c>
      <c r="G169" s="1">
        <v>1</v>
      </c>
      <c r="H169" s="7">
        <v>45560</v>
      </c>
      <c r="I169" s="1" t="s">
        <v>7449</v>
      </c>
      <c r="J169" s="7">
        <v>45560</v>
      </c>
      <c r="K169" s="1" t="s">
        <v>7449</v>
      </c>
    </row>
    <row r="170" spans="1:11" x14ac:dyDescent="0.25">
      <c r="A170" s="1">
        <v>169</v>
      </c>
      <c r="B170" s="1" t="s">
        <v>447</v>
      </c>
      <c r="C170" s="1" t="s">
        <v>448</v>
      </c>
      <c r="F170" s="1" t="s">
        <v>449</v>
      </c>
      <c r="G170" s="1">
        <v>1</v>
      </c>
      <c r="H170" s="7">
        <v>45560</v>
      </c>
      <c r="I170" s="1" t="s">
        <v>7449</v>
      </c>
      <c r="J170" s="7">
        <v>45560</v>
      </c>
      <c r="K170" s="1" t="s">
        <v>7449</v>
      </c>
    </row>
    <row r="171" spans="1:11" x14ac:dyDescent="0.25">
      <c r="A171" s="1">
        <v>170</v>
      </c>
      <c r="B171" s="1" t="s">
        <v>450</v>
      </c>
      <c r="C171" s="1" t="s">
        <v>451</v>
      </c>
      <c r="F171" s="1" t="s">
        <v>452</v>
      </c>
      <c r="G171" s="1">
        <v>1</v>
      </c>
      <c r="H171" s="7">
        <v>45560</v>
      </c>
      <c r="I171" s="1" t="s">
        <v>7449</v>
      </c>
      <c r="J171" s="7">
        <v>45560</v>
      </c>
      <c r="K171" s="1" t="s">
        <v>7449</v>
      </c>
    </row>
    <row r="172" spans="1:11" x14ac:dyDescent="0.25">
      <c r="A172" s="1">
        <v>171</v>
      </c>
      <c r="B172" s="1" t="s">
        <v>453</v>
      </c>
      <c r="C172" s="1" t="s">
        <v>454</v>
      </c>
      <c r="F172" s="1" t="s">
        <v>455</v>
      </c>
      <c r="G172" s="1">
        <v>1</v>
      </c>
      <c r="H172" s="7">
        <v>45560</v>
      </c>
      <c r="I172" s="1" t="s">
        <v>7449</v>
      </c>
      <c r="J172" s="7">
        <v>45560</v>
      </c>
      <c r="K172" s="1" t="s">
        <v>7449</v>
      </c>
    </row>
    <row r="173" spans="1:11" x14ac:dyDescent="0.25">
      <c r="A173" s="1">
        <v>172</v>
      </c>
      <c r="B173" s="1" t="s">
        <v>456</v>
      </c>
      <c r="C173" s="1" t="s">
        <v>457</v>
      </c>
      <c r="F173" s="1" t="s">
        <v>458</v>
      </c>
      <c r="G173" s="1">
        <v>1</v>
      </c>
      <c r="H173" s="7">
        <v>45560</v>
      </c>
      <c r="I173" s="1" t="s">
        <v>7449</v>
      </c>
      <c r="J173" s="7">
        <v>45560</v>
      </c>
      <c r="K173" s="1" t="s">
        <v>7449</v>
      </c>
    </row>
    <row r="174" spans="1:11" x14ac:dyDescent="0.25">
      <c r="A174" s="1">
        <v>173</v>
      </c>
      <c r="B174" s="1" t="s">
        <v>459</v>
      </c>
      <c r="C174" s="1" t="s">
        <v>460</v>
      </c>
      <c r="F174" s="1" t="s">
        <v>461</v>
      </c>
      <c r="G174" s="1">
        <v>1</v>
      </c>
      <c r="H174" s="7">
        <v>45560</v>
      </c>
      <c r="I174" s="1" t="s">
        <v>7449</v>
      </c>
      <c r="J174" s="7">
        <v>45560</v>
      </c>
      <c r="K174" s="1" t="s">
        <v>7449</v>
      </c>
    </row>
    <row r="175" spans="1:11" x14ac:dyDescent="0.25">
      <c r="A175" s="1">
        <v>174</v>
      </c>
      <c r="B175" s="1" t="s">
        <v>462</v>
      </c>
      <c r="C175" s="1" t="s">
        <v>463</v>
      </c>
      <c r="F175" s="1" t="s">
        <v>464</v>
      </c>
      <c r="G175" s="1">
        <v>1</v>
      </c>
      <c r="H175" s="7">
        <v>45560</v>
      </c>
      <c r="I175" s="1" t="s">
        <v>7449</v>
      </c>
      <c r="J175" s="7">
        <v>45560</v>
      </c>
      <c r="K175" s="1" t="s">
        <v>7449</v>
      </c>
    </row>
    <row r="176" spans="1:11" x14ac:dyDescent="0.25">
      <c r="A176" s="1">
        <v>175</v>
      </c>
      <c r="B176" s="1" t="s">
        <v>465</v>
      </c>
      <c r="C176" s="1" t="s">
        <v>466</v>
      </c>
      <c r="F176" s="1" t="s">
        <v>467</v>
      </c>
      <c r="G176" s="1">
        <v>1</v>
      </c>
      <c r="H176" s="7">
        <v>45560</v>
      </c>
      <c r="I176" s="1" t="s">
        <v>7449</v>
      </c>
      <c r="J176" s="7">
        <v>45560</v>
      </c>
      <c r="K176" s="1" t="s">
        <v>7449</v>
      </c>
    </row>
    <row r="177" spans="1:11" x14ac:dyDescent="0.25">
      <c r="A177" s="1">
        <v>176</v>
      </c>
      <c r="B177" s="1" t="s">
        <v>468</v>
      </c>
      <c r="C177" s="1" t="s">
        <v>469</v>
      </c>
      <c r="F177" s="1" t="s">
        <v>470</v>
      </c>
      <c r="G177" s="1">
        <v>1</v>
      </c>
      <c r="H177" s="7">
        <v>45560</v>
      </c>
      <c r="I177" s="1" t="s">
        <v>7449</v>
      </c>
      <c r="J177" s="7">
        <v>45560</v>
      </c>
      <c r="K177" s="1" t="s">
        <v>7449</v>
      </c>
    </row>
    <row r="178" spans="1:11" x14ac:dyDescent="0.25">
      <c r="A178" s="1">
        <v>177</v>
      </c>
      <c r="B178" s="1" t="s">
        <v>471</v>
      </c>
      <c r="C178" s="1" t="s">
        <v>472</v>
      </c>
      <c r="F178" s="1" t="s">
        <v>473</v>
      </c>
      <c r="G178" s="1">
        <v>1</v>
      </c>
      <c r="H178" s="7">
        <v>45560</v>
      </c>
      <c r="I178" s="1" t="s">
        <v>7449</v>
      </c>
      <c r="J178" s="7">
        <v>45560</v>
      </c>
      <c r="K178" s="1" t="s">
        <v>7449</v>
      </c>
    </row>
    <row r="179" spans="1:11" x14ac:dyDescent="0.25">
      <c r="A179" s="1">
        <v>178</v>
      </c>
      <c r="B179" s="1" t="s">
        <v>474</v>
      </c>
      <c r="C179" s="1" t="s">
        <v>475</v>
      </c>
      <c r="F179" s="1" t="s">
        <v>476</v>
      </c>
      <c r="G179" s="1">
        <v>1</v>
      </c>
      <c r="H179" s="7">
        <v>45560</v>
      </c>
      <c r="I179" s="1" t="s">
        <v>7449</v>
      </c>
      <c r="J179" s="7">
        <v>45560</v>
      </c>
      <c r="K179" s="1" t="s">
        <v>7449</v>
      </c>
    </row>
    <row r="180" spans="1:11" x14ac:dyDescent="0.25">
      <c r="A180" s="1">
        <v>179</v>
      </c>
      <c r="B180" s="1" t="s">
        <v>477</v>
      </c>
      <c r="C180" s="1" t="s">
        <v>478</v>
      </c>
      <c r="D180" s="1" t="s">
        <v>479</v>
      </c>
      <c r="F180" s="1" t="s">
        <v>480</v>
      </c>
      <c r="G180" s="1">
        <v>1</v>
      </c>
      <c r="H180" s="7">
        <v>45560</v>
      </c>
      <c r="I180" s="1" t="s">
        <v>7449</v>
      </c>
      <c r="J180" s="7">
        <v>45560</v>
      </c>
      <c r="K180" s="1" t="s">
        <v>7449</v>
      </c>
    </row>
    <row r="181" spans="1:11" x14ac:dyDescent="0.25">
      <c r="A181" s="1">
        <v>180</v>
      </c>
      <c r="B181" s="1" t="s">
        <v>481</v>
      </c>
      <c r="C181" s="1" t="s">
        <v>482</v>
      </c>
      <c r="F181" s="1" t="s">
        <v>483</v>
      </c>
      <c r="G181" s="1">
        <v>1</v>
      </c>
      <c r="H181" s="7">
        <v>45560</v>
      </c>
      <c r="I181" s="1" t="s">
        <v>7449</v>
      </c>
      <c r="J181" s="7">
        <v>45560</v>
      </c>
      <c r="K181" s="1" t="s">
        <v>7449</v>
      </c>
    </row>
    <row r="182" spans="1:11" x14ac:dyDescent="0.25">
      <c r="A182" s="1">
        <v>181</v>
      </c>
      <c r="B182" s="1" t="s">
        <v>484</v>
      </c>
      <c r="C182" s="1" t="s">
        <v>485</v>
      </c>
      <c r="D182" s="1" t="s">
        <v>486</v>
      </c>
      <c r="F182" s="1" t="s">
        <v>487</v>
      </c>
      <c r="G182" s="1">
        <v>1</v>
      </c>
      <c r="H182" s="7">
        <v>45560</v>
      </c>
      <c r="I182" s="1" t="s">
        <v>7449</v>
      </c>
      <c r="J182" s="7">
        <v>45560</v>
      </c>
      <c r="K182" s="1" t="s">
        <v>7449</v>
      </c>
    </row>
    <row r="183" spans="1:11" x14ac:dyDescent="0.25">
      <c r="A183" s="1">
        <v>182</v>
      </c>
      <c r="B183" s="1" t="s">
        <v>488</v>
      </c>
      <c r="C183" s="1" t="s">
        <v>489</v>
      </c>
      <c r="D183" s="1" t="s">
        <v>490</v>
      </c>
      <c r="F183" s="1" t="s">
        <v>491</v>
      </c>
      <c r="G183" s="1">
        <v>1</v>
      </c>
      <c r="H183" s="7">
        <v>45560</v>
      </c>
      <c r="I183" s="1" t="s">
        <v>7449</v>
      </c>
      <c r="J183" s="7">
        <v>45560</v>
      </c>
      <c r="K183" s="1" t="s">
        <v>7449</v>
      </c>
    </row>
    <row r="184" spans="1:11" x14ac:dyDescent="0.25">
      <c r="A184" s="1">
        <v>183</v>
      </c>
      <c r="B184" s="1" t="s">
        <v>492</v>
      </c>
      <c r="C184" s="1" t="s">
        <v>493</v>
      </c>
      <c r="D184" s="1" t="s">
        <v>494</v>
      </c>
      <c r="F184" s="1" t="s">
        <v>495</v>
      </c>
      <c r="G184" s="1">
        <v>1</v>
      </c>
      <c r="H184" s="7">
        <v>45560</v>
      </c>
      <c r="I184" s="1" t="s">
        <v>7449</v>
      </c>
      <c r="J184" s="7">
        <v>45560</v>
      </c>
      <c r="K184" s="1" t="s">
        <v>7449</v>
      </c>
    </row>
    <row r="185" spans="1:11" x14ac:dyDescent="0.25">
      <c r="A185" s="1">
        <v>184</v>
      </c>
      <c r="B185" s="1" t="s">
        <v>496</v>
      </c>
      <c r="C185" s="1" t="s">
        <v>497</v>
      </c>
      <c r="D185" s="1" t="s">
        <v>498</v>
      </c>
      <c r="F185" s="1" t="s">
        <v>499</v>
      </c>
      <c r="G185" s="1">
        <v>1</v>
      </c>
      <c r="H185" s="7">
        <v>45560</v>
      </c>
      <c r="I185" s="1" t="s">
        <v>7449</v>
      </c>
      <c r="J185" s="7">
        <v>45560</v>
      </c>
      <c r="K185" s="1" t="s">
        <v>7449</v>
      </c>
    </row>
    <row r="186" spans="1:11" x14ac:dyDescent="0.25">
      <c r="A186" s="1">
        <v>185</v>
      </c>
      <c r="B186" s="1" t="s">
        <v>500</v>
      </c>
      <c r="C186" s="1" t="s">
        <v>501</v>
      </c>
      <c r="F186" s="1" t="s">
        <v>502</v>
      </c>
      <c r="G186" s="1">
        <v>1</v>
      </c>
      <c r="H186" s="7">
        <v>45560</v>
      </c>
      <c r="I186" s="1" t="s">
        <v>7449</v>
      </c>
      <c r="J186" s="7">
        <v>45560</v>
      </c>
      <c r="K186" s="1" t="s">
        <v>7449</v>
      </c>
    </row>
    <row r="187" spans="1:11" x14ac:dyDescent="0.25">
      <c r="A187" s="1">
        <v>186</v>
      </c>
      <c r="B187" s="1" t="s">
        <v>503</v>
      </c>
      <c r="C187" s="1" t="s">
        <v>504</v>
      </c>
      <c r="E187" s="1" t="s">
        <v>73</v>
      </c>
      <c r="F187" s="1" t="s">
        <v>505</v>
      </c>
      <c r="G187" s="1">
        <v>1</v>
      </c>
      <c r="H187" s="7">
        <v>45560</v>
      </c>
      <c r="I187" s="1" t="s">
        <v>7449</v>
      </c>
      <c r="J187" s="7">
        <v>45560</v>
      </c>
      <c r="K187" s="1" t="s">
        <v>7449</v>
      </c>
    </row>
    <row r="188" spans="1:11" x14ac:dyDescent="0.25">
      <c r="A188" s="1">
        <v>187</v>
      </c>
      <c r="B188" s="1" t="s">
        <v>506</v>
      </c>
      <c r="C188" s="1" t="s">
        <v>507</v>
      </c>
      <c r="E188" s="1" t="s">
        <v>73</v>
      </c>
      <c r="F188" s="1" t="s">
        <v>508</v>
      </c>
      <c r="G188" s="1">
        <v>1</v>
      </c>
      <c r="H188" s="7">
        <v>45560</v>
      </c>
      <c r="I188" s="1" t="s">
        <v>7449</v>
      </c>
      <c r="J188" s="7">
        <v>45560</v>
      </c>
      <c r="K188" s="1" t="s">
        <v>7449</v>
      </c>
    </row>
    <row r="189" spans="1:11" x14ac:dyDescent="0.25">
      <c r="A189" s="1">
        <v>188</v>
      </c>
      <c r="B189" s="1" t="s">
        <v>509</v>
      </c>
      <c r="C189" s="1" t="s">
        <v>510</v>
      </c>
      <c r="E189" s="1" t="s">
        <v>73</v>
      </c>
      <c r="F189" s="1" t="s">
        <v>511</v>
      </c>
      <c r="G189" s="1">
        <v>1</v>
      </c>
      <c r="H189" s="7">
        <v>45560</v>
      </c>
      <c r="I189" s="1" t="s">
        <v>7449</v>
      </c>
      <c r="J189" s="7">
        <v>45560</v>
      </c>
      <c r="K189" s="1" t="s">
        <v>7449</v>
      </c>
    </row>
    <row r="190" spans="1:11" x14ac:dyDescent="0.25">
      <c r="A190" s="1">
        <v>189</v>
      </c>
      <c r="B190" s="1" t="s">
        <v>512</v>
      </c>
      <c r="C190" s="1" t="s">
        <v>513</v>
      </c>
      <c r="F190" s="1" t="s">
        <v>514</v>
      </c>
      <c r="G190" s="1">
        <v>1</v>
      </c>
      <c r="H190" s="7">
        <v>45560</v>
      </c>
      <c r="I190" s="1" t="s">
        <v>7449</v>
      </c>
      <c r="J190" s="7">
        <v>45560</v>
      </c>
      <c r="K190" s="1" t="s">
        <v>7449</v>
      </c>
    </row>
    <row r="191" spans="1:11" x14ac:dyDescent="0.25">
      <c r="A191" s="1">
        <v>190</v>
      </c>
      <c r="B191" s="1" t="s">
        <v>515</v>
      </c>
      <c r="C191" s="1" t="s">
        <v>516</v>
      </c>
      <c r="F191" s="1" t="s">
        <v>517</v>
      </c>
      <c r="G191" s="1">
        <v>1</v>
      </c>
      <c r="H191" s="7">
        <v>45560</v>
      </c>
      <c r="I191" s="1" t="s">
        <v>7449</v>
      </c>
      <c r="J191" s="7">
        <v>45560</v>
      </c>
      <c r="K191" s="1" t="s">
        <v>7449</v>
      </c>
    </row>
    <row r="192" spans="1:11" x14ac:dyDescent="0.25">
      <c r="A192" s="1">
        <v>191</v>
      </c>
      <c r="B192" s="1" t="s">
        <v>518</v>
      </c>
      <c r="C192" s="1" t="s">
        <v>519</v>
      </c>
      <c r="F192" s="1" t="s">
        <v>520</v>
      </c>
      <c r="G192" s="1">
        <v>1</v>
      </c>
      <c r="H192" s="7">
        <v>45560</v>
      </c>
      <c r="I192" s="1" t="s">
        <v>7449</v>
      </c>
      <c r="J192" s="7">
        <v>45560</v>
      </c>
      <c r="K192" s="1" t="s">
        <v>7449</v>
      </c>
    </row>
    <row r="193" spans="1:11" x14ac:dyDescent="0.25">
      <c r="A193" s="1">
        <v>192</v>
      </c>
      <c r="B193" s="1" t="s">
        <v>521</v>
      </c>
      <c r="C193" s="1" t="s">
        <v>522</v>
      </c>
      <c r="F193" s="1" t="s">
        <v>523</v>
      </c>
      <c r="G193" s="1">
        <v>1</v>
      </c>
      <c r="H193" s="7">
        <v>45560</v>
      </c>
      <c r="I193" s="1" t="s">
        <v>7449</v>
      </c>
      <c r="J193" s="7">
        <v>45560</v>
      </c>
      <c r="K193" s="1" t="s">
        <v>7449</v>
      </c>
    </row>
    <row r="194" spans="1:11" x14ac:dyDescent="0.25">
      <c r="A194" s="1">
        <v>193</v>
      </c>
      <c r="B194" s="1" t="s">
        <v>524</v>
      </c>
      <c r="C194" s="1" t="s">
        <v>525</v>
      </c>
      <c r="E194" s="1" t="s">
        <v>73</v>
      </c>
      <c r="F194" s="1" t="s">
        <v>526</v>
      </c>
      <c r="G194" s="1">
        <v>1</v>
      </c>
      <c r="H194" s="7">
        <v>45560</v>
      </c>
      <c r="I194" s="1" t="s">
        <v>7449</v>
      </c>
      <c r="J194" s="7">
        <v>45560</v>
      </c>
      <c r="K194" s="1" t="s">
        <v>7449</v>
      </c>
    </row>
    <row r="195" spans="1:11" x14ac:dyDescent="0.25">
      <c r="A195" s="1">
        <v>194</v>
      </c>
      <c r="B195" s="1" t="s">
        <v>527</v>
      </c>
      <c r="C195" s="1" t="s">
        <v>528</v>
      </c>
      <c r="E195" s="1" t="s">
        <v>73</v>
      </c>
      <c r="F195" s="1" t="s">
        <v>529</v>
      </c>
      <c r="G195" s="1">
        <v>1</v>
      </c>
      <c r="H195" s="7">
        <v>45560</v>
      </c>
      <c r="I195" s="1" t="s">
        <v>7449</v>
      </c>
      <c r="J195" s="7">
        <v>45560</v>
      </c>
      <c r="K195" s="1" t="s">
        <v>7449</v>
      </c>
    </row>
    <row r="196" spans="1:11" ht="45" x14ac:dyDescent="0.25">
      <c r="A196" s="1">
        <v>195</v>
      </c>
      <c r="B196" s="1" t="s">
        <v>530</v>
      </c>
      <c r="C196" s="1" t="s">
        <v>531</v>
      </c>
      <c r="D196" s="8" t="s">
        <v>532</v>
      </c>
      <c r="G196" s="1">
        <v>1</v>
      </c>
      <c r="H196" s="7">
        <v>45560</v>
      </c>
      <c r="I196" s="1" t="s">
        <v>7449</v>
      </c>
      <c r="J196" s="7">
        <v>45560</v>
      </c>
      <c r="K196" s="1" t="s">
        <v>7449</v>
      </c>
    </row>
    <row r="197" spans="1:11" x14ac:dyDescent="0.25">
      <c r="A197" s="1">
        <v>196</v>
      </c>
      <c r="B197" s="1" t="s">
        <v>533</v>
      </c>
      <c r="C197" s="1" t="s">
        <v>534</v>
      </c>
      <c r="F197" s="1" t="s">
        <v>535</v>
      </c>
      <c r="G197" s="1">
        <v>1</v>
      </c>
      <c r="H197" s="7">
        <v>45560</v>
      </c>
      <c r="I197" s="1" t="s">
        <v>7449</v>
      </c>
      <c r="J197" s="7">
        <v>45560</v>
      </c>
      <c r="K197" s="1" t="s">
        <v>7449</v>
      </c>
    </row>
    <row r="198" spans="1:11" x14ac:dyDescent="0.25">
      <c r="A198" s="1">
        <v>197</v>
      </c>
      <c r="B198" s="1" t="s">
        <v>536</v>
      </c>
      <c r="C198" s="1" t="s">
        <v>537</v>
      </c>
      <c r="E198" s="1" t="s">
        <v>73</v>
      </c>
      <c r="F198" s="1" t="s">
        <v>538</v>
      </c>
      <c r="G198" s="1">
        <v>1</v>
      </c>
      <c r="H198" s="7">
        <v>45560</v>
      </c>
      <c r="I198" s="1" t="s">
        <v>7449</v>
      </c>
      <c r="J198" s="7">
        <v>45560</v>
      </c>
      <c r="K198" s="1" t="s">
        <v>7449</v>
      </c>
    </row>
    <row r="199" spans="1:11" x14ac:dyDescent="0.25">
      <c r="A199" s="1">
        <v>198</v>
      </c>
      <c r="B199" s="1" t="s">
        <v>539</v>
      </c>
      <c r="C199" s="1" t="s">
        <v>540</v>
      </c>
      <c r="E199" s="1" t="s">
        <v>73</v>
      </c>
      <c r="F199" s="1" t="s">
        <v>541</v>
      </c>
      <c r="G199" s="1">
        <v>1</v>
      </c>
      <c r="H199" s="7">
        <v>45560</v>
      </c>
      <c r="I199" s="1" t="s">
        <v>7449</v>
      </c>
      <c r="J199" s="7">
        <v>45560</v>
      </c>
      <c r="K199" s="1" t="s">
        <v>7449</v>
      </c>
    </row>
    <row r="200" spans="1:11" x14ac:dyDescent="0.25">
      <c r="A200" s="1">
        <v>199</v>
      </c>
      <c r="B200" s="1" t="s">
        <v>542</v>
      </c>
      <c r="C200" s="1" t="s">
        <v>543</v>
      </c>
      <c r="E200" s="1" t="s">
        <v>73</v>
      </c>
      <c r="F200" s="1" t="s">
        <v>544</v>
      </c>
      <c r="G200" s="1">
        <v>1</v>
      </c>
      <c r="H200" s="7">
        <v>45560</v>
      </c>
      <c r="I200" s="1" t="s">
        <v>7449</v>
      </c>
      <c r="J200" s="7">
        <v>45560</v>
      </c>
      <c r="K200" s="1" t="s">
        <v>7449</v>
      </c>
    </row>
    <row r="201" spans="1:11" x14ac:dyDescent="0.25">
      <c r="A201" s="1">
        <v>200</v>
      </c>
      <c r="B201" s="1" t="s">
        <v>545</v>
      </c>
      <c r="C201" s="1" t="s">
        <v>546</v>
      </c>
      <c r="E201" s="1" t="s">
        <v>73</v>
      </c>
      <c r="F201" s="1" t="s">
        <v>547</v>
      </c>
      <c r="G201" s="1">
        <v>1</v>
      </c>
      <c r="H201" s="7">
        <v>45560</v>
      </c>
      <c r="I201" s="1" t="s">
        <v>7449</v>
      </c>
      <c r="J201" s="7">
        <v>45560</v>
      </c>
      <c r="K201" s="1" t="s">
        <v>7449</v>
      </c>
    </row>
    <row r="202" spans="1:11" x14ac:dyDescent="0.25">
      <c r="A202" s="1">
        <v>201</v>
      </c>
      <c r="B202" s="1" t="s">
        <v>548</v>
      </c>
      <c r="C202" s="1" t="s">
        <v>549</v>
      </c>
      <c r="E202" s="1" t="s">
        <v>73</v>
      </c>
      <c r="F202" s="1" t="s">
        <v>550</v>
      </c>
      <c r="G202" s="1">
        <v>1</v>
      </c>
      <c r="H202" s="7">
        <v>45560</v>
      </c>
      <c r="I202" s="1" t="s">
        <v>7449</v>
      </c>
      <c r="J202" s="7">
        <v>45560</v>
      </c>
      <c r="K202" s="1" t="s">
        <v>7449</v>
      </c>
    </row>
    <row r="203" spans="1:11" x14ac:dyDescent="0.25">
      <c r="A203" s="1">
        <v>202</v>
      </c>
      <c r="B203" s="1" t="s">
        <v>551</v>
      </c>
      <c r="C203" s="1" t="s">
        <v>552</v>
      </c>
      <c r="E203" s="1" t="s">
        <v>73</v>
      </c>
      <c r="F203" s="1" t="s">
        <v>553</v>
      </c>
      <c r="G203" s="1">
        <v>1</v>
      </c>
      <c r="H203" s="7">
        <v>45560</v>
      </c>
      <c r="I203" s="1" t="s">
        <v>7449</v>
      </c>
      <c r="J203" s="7">
        <v>45560</v>
      </c>
      <c r="K203" s="1" t="s">
        <v>7449</v>
      </c>
    </row>
    <row r="204" spans="1:11" x14ac:dyDescent="0.25">
      <c r="A204" s="1">
        <v>203</v>
      </c>
      <c r="B204" s="1" t="s">
        <v>554</v>
      </c>
      <c r="C204" s="1" t="s">
        <v>555</v>
      </c>
      <c r="E204" s="1" t="s">
        <v>73</v>
      </c>
      <c r="F204" s="1" t="s">
        <v>556</v>
      </c>
      <c r="G204" s="1">
        <v>1</v>
      </c>
      <c r="H204" s="7">
        <v>45560</v>
      </c>
      <c r="I204" s="1" t="s">
        <v>7449</v>
      </c>
      <c r="J204" s="7">
        <v>45560</v>
      </c>
      <c r="K204" s="1" t="s">
        <v>7449</v>
      </c>
    </row>
    <row r="205" spans="1:11" x14ac:dyDescent="0.25">
      <c r="A205" s="1">
        <v>204</v>
      </c>
      <c r="B205" s="1" t="s">
        <v>557</v>
      </c>
      <c r="C205" s="1" t="s">
        <v>558</v>
      </c>
      <c r="E205" s="1" t="s">
        <v>73</v>
      </c>
      <c r="F205" s="1" t="s">
        <v>559</v>
      </c>
      <c r="G205" s="1">
        <v>1</v>
      </c>
      <c r="H205" s="7">
        <v>45560</v>
      </c>
      <c r="I205" s="1" t="s">
        <v>7449</v>
      </c>
      <c r="J205" s="7">
        <v>45560</v>
      </c>
      <c r="K205" s="1" t="s">
        <v>7449</v>
      </c>
    </row>
    <row r="206" spans="1:11" x14ac:dyDescent="0.25">
      <c r="A206" s="1">
        <v>205</v>
      </c>
      <c r="B206" s="1" t="s">
        <v>560</v>
      </c>
      <c r="C206" s="1" t="s">
        <v>561</v>
      </c>
      <c r="F206" s="1" t="s">
        <v>562</v>
      </c>
      <c r="G206" s="1">
        <v>1</v>
      </c>
      <c r="H206" s="7">
        <v>45560</v>
      </c>
      <c r="I206" s="1" t="s">
        <v>7449</v>
      </c>
      <c r="J206" s="7">
        <v>45560</v>
      </c>
      <c r="K206" s="1" t="s">
        <v>7449</v>
      </c>
    </row>
    <row r="207" spans="1:11" x14ac:dyDescent="0.25">
      <c r="A207" s="1">
        <v>206</v>
      </c>
      <c r="B207" s="1" t="s">
        <v>563</v>
      </c>
      <c r="C207" s="1" t="s">
        <v>564</v>
      </c>
      <c r="F207" s="1" t="s">
        <v>565</v>
      </c>
      <c r="G207" s="1">
        <v>1</v>
      </c>
      <c r="H207" s="7">
        <v>45560</v>
      </c>
      <c r="I207" s="1" t="s">
        <v>7449</v>
      </c>
      <c r="J207" s="7">
        <v>45560</v>
      </c>
      <c r="K207" s="1" t="s">
        <v>7449</v>
      </c>
    </row>
    <row r="208" spans="1:11" x14ac:dyDescent="0.25">
      <c r="A208" s="1">
        <v>207</v>
      </c>
      <c r="B208" s="1" t="s">
        <v>566</v>
      </c>
      <c r="C208" s="1" t="s">
        <v>567</v>
      </c>
      <c r="F208" s="1" t="s">
        <v>568</v>
      </c>
      <c r="G208" s="1">
        <v>1</v>
      </c>
      <c r="H208" s="7">
        <v>45560</v>
      </c>
      <c r="I208" s="1" t="s">
        <v>7449</v>
      </c>
      <c r="J208" s="7">
        <v>45560</v>
      </c>
      <c r="K208" s="1" t="s">
        <v>7449</v>
      </c>
    </row>
    <row r="209" spans="1:11" x14ac:dyDescent="0.25">
      <c r="A209" s="1">
        <v>208</v>
      </c>
      <c r="B209" s="1" t="s">
        <v>569</v>
      </c>
      <c r="C209" s="1" t="s">
        <v>570</v>
      </c>
      <c r="F209" s="1" t="s">
        <v>571</v>
      </c>
      <c r="G209" s="1">
        <v>1</v>
      </c>
      <c r="H209" s="7">
        <v>45560</v>
      </c>
      <c r="I209" s="1" t="s">
        <v>7449</v>
      </c>
      <c r="J209" s="7">
        <v>45560</v>
      </c>
      <c r="K209" s="1" t="s">
        <v>7449</v>
      </c>
    </row>
    <row r="210" spans="1:11" x14ac:dyDescent="0.25">
      <c r="A210" s="1">
        <v>209</v>
      </c>
      <c r="B210" s="1" t="s">
        <v>572</v>
      </c>
      <c r="C210" s="1" t="s">
        <v>573</v>
      </c>
      <c r="D210" s="1" t="s">
        <v>574</v>
      </c>
      <c r="F210" s="1" t="s">
        <v>575</v>
      </c>
      <c r="G210" s="1">
        <v>1</v>
      </c>
      <c r="H210" s="7">
        <v>45560</v>
      </c>
      <c r="I210" s="1" t="s">
        <v>7449</v>
      </c>
      <c r="J210" s="7">
        <v>45560</v>
      </c>
      <c r="K210" s="1" t="s">
        <v>7449</v>
      </c>
    </row>
    <row r="211" spans="1:11" x14ac:dyDescent="0.25">
      <c r="A211" s="1">
        <v>210</v>
      </c>
      <c r="B211" s="1" t="s">
        <v>576</v>
      </c>
      <c r="C211" s="1" t="s">
        <v>577</v>
      </c>
      <c r="F211" s="1" t="s">
        <v>578</v>
      </c>
      <c r="G211" s="1">
        <v>1</v>
      </c>
      <c r="H211" s="7">
        <v>45560</v>
      </c>
      <c r="I211" s="1" t="s">
        <v>7449</v>
      </c>
      <c r="J211" s="7">
        <v>45560</v>
      </c>
      <c r="K211" s="1" t="s">
        <v>7449</v>
      </c>
    </row>
    <row r="212" spans="1:11" x14ac:dyDescent="0.25">
      <c r="A212" s="1">
        <v>211</v>
      </c>
      <c r="B212" s="1" t="s">
        <v>579</v>
      </c>
      <c r="C212" s="1" t="s">
        <v>580</v>
      </c>
      <c r="F212" s="1" t="s">
        <v>581</v>
      </c>
      <c r="G212" s="1">
        <v>1</v>
      </c>
      <c r="H212" s="7">
        <v>45560</v>
      </c>
      <c r="I212" s="1" t="s">
        <v>7449</v>
      </c>
      <c r="J212" s="7">
        <v>45560</v>
      </c>
      <c r="K212" s="1" t="s">
        <v>7449</v>
      </c>
    </row>
    <row r="213" spans="1:11" x14ac:dyDescent="0.25">
      <c r="A213" s="1">
        <v>212</v>
      </c>
      <c r="B213" s="1" t="s">
        <v>582</v>
      </c>
      <c r="C213" s="1" t="s">
        <v>583</v>
      </c>
      <c r="D213" s="1" t="s">
        <v>584</v>
      </c>
      <c r="G213" s="1">
        <v>1</v>
      </c>
      <c r="H213" s="7">
        <v>45560</v>
      </c>
      <c r="I213" s="1" t="s">
        <v>7449</v>
      </c>
      <c r="J213" s="7">
        <v>45560</v>
      </c>
      <c r="K213" s="1" t="s">
        <v>7449</v>
      </c>
    </row>
    <row r="214" spans="1:11" x14ac:dyDescent="0.25">
      <c r="A214" s="1">
        <v>213</v>
      </c>
      <c r="B214" s="1" t="s">
        <v>585</v>
      </c>
      <c r="C214" s="1" t="s">
        <v>586</v>
      </c>
      <c r="D214" s="1" t="s">
        <v>587</v>
      </c>
      <c r="F214" s="1" t="s">
        <v>588</v>
      </c>
      <c r="G214" s="1">
        <v>1</v>
      </c>
      <c r="H214" s="7">
        <v>45560</v>
      </c>
      <c r="I214" s="1" t="s">
        <v>7449</v>
      </c>
      <c r="J214" s="7">
        <v>45560</v>
      </c>
      <c r="K214" s="1" t="s">
        <v>7449</v>
      </c>
    </row>
    <row r="215" spans="1:11" x14ac:dyDescent="0.25">
      <c r="A215" s="1">
        <v>214</v>
      </c>
      <c r="B215" s="1" t="s">
        <v>589</v>
      </c>
      <c r="C215" s="1" t="s">
        <v>590</v>
      </c>
      <c r="E215" s="1" t="s">
        <v>73</v>
      </c>
      <c r="G215" s="1">
        <v>1</v>
      </c>
      <c r="H215" s="7">
        <v>45560</v>
      </c>
      <c r="I215" s="1" t="s">
        <v>7449</v>
      </c>
      <c r="J215" s="7">
        <v>45560</v>
      </c>
      <c r="K215" s="1" t="s">
        <v>7449</v>
      </c>
    </row>
    <row r="216" spans="1:11" x14ac:dyDescent="0.25">
      <c r="A216" s="1">
        <v>215</v>
      </c>
      <c r="B216" s="1" t="s">
        <v>591</v>
      </c>
      <c r="C216" s="1" t="s">
        <v>592</v>
      </c>
      <c r="E216" s="1" t="s">
        <v>73</v>
      </c>
      <c r="G216" s="1">
        <v>1</v>
      </c>
      <c r="H216" s="7">
        <v>45560</v>
      </c>
      <c r="I216" s="1" t="s">
        <v>7449</v>
      </c>
      <c r="J216" s="7">
        <v>45560</v>
      </c>
      <c r="K216" s="1" t="s">
        <v>7449</v>
      </c>
    </row>
    <row r="217" spans="1:11" x14ac:dyDescent="0.25">
      <c r="A217" s="1">
        <v>216</v>
      </c>
      <c r="B217" s="1" t="s">
        <v>593</v>
      </c>
      <c r="C217" s="1" t="s">
        <v>594</v>
      </c>
      <c r="E217" s="1" t="s">
        <v>73</v>
      </c>
      <c r="G217" s="1">
        <v>1</v>
      </c>
      <c r="H217" s="7">
        <v>45560</v>
      </c>
      <c r="I217" s="1" t="s">
        <v>7449</v>
      </c>
      <c r="J217" s="7">
        <v>45560</v>
      </c>
      <c r="K217" s="1" t="s">
        <v>7449</v>
      </c>
    </row>
    <row r="218" spans="1:11" x14ac:dyDescent="0.25">
      <c r="A218" s="1">
        <v>217</v>
      </c>
      <c r="B218" s="1" t="s">
        <v>595</v>
      </c>
      <c r="C218" s="1" t="s">
        <v>596</v>
      </c>
      <c r="F218" s="1" t="s">
        <v>597</v>
      </c>
      <c r="G218" s="1">
        <v>1</v>
      </c>
      <c r="H218" s="7">
        <v>45560</v>
      </c>
      <c r="I218" s="1" t="s">
        <v>7449</v>
      </c>
      <c r="J218" s="7">
        <v>45560</v>
      </c>
      <c r="K218" s="1" t="s">
        <v>7449</v>
      </c>
    </row>
    <row r="219" spans="1:11" x14ac:dyDescent="0.25">
      <c r="A219" s="1">
        <v>218</v>
      </c>
      <c r="B219" s="1" t="s">
        <v>598</v>
      </c>
      <c r="C219" s="1" t="s">
        <v>599</v>
      </c>
      <c r="E219" s="1" t="s">
        <v>73</v>
      </c>
      <c r="G219" s="1">
        <v>1</v>
      </c>
      <c r="H219" s="7">
        <v>45560</v>
      </c>
      <c r="I219" s="1" t="s">
        <v>7449</v>
      </c>
      <c r="J219" s="7">
        <v>45560</v>
      </c>
      <c r="K219" s="1" t="s">
        <v>7449</v>
      </c>
    </row>
    <row r="220" spans="1:11" x14ac:dyDescent="0.25">
      <c r="A220" s="1">
        <v>219</v>
      </c>
      <c r="B220" s="1" t="s">
        <v>600</v>
      </c>
      <c r="C220" s="1" t="s">
        <v>601</v>
      </c>
      <c r="E220" s="1" t="s">
        <v>73</v>
      </c>
      <c r="G220" s="1">
        <v>1</v>
      </c>
      <c r="H220" s="7">
        <v>45560</v>
      </c>
      <c r="I220" s="1" t="s">
        <v>7449</v>
      </c>
      <c r="J220" s="7">
        <v>45560</v>
      </c>
      <c r="K220" s="1" t="s">
        <v>7449</v>
      </c>
    </row>
    <row r="221" spans="1:11" x14ac:dyDescent="0.25">
      <c r="A221" s="1">
        <v>220</v>
      </c>
      <c r="B221" s="1" t="s">
        <v>602</v>
      </c>
      <c r="C221" s="1" t="s">
        <v>603</v>
      </c>
      <c r="E221" s="1" t="s">
        <v>73</v>
      </c>
      <c r="G221" s="1">
        <v>1</v>
      </c>
      <c r="H221" s="7">
        <v>45560</v>
      </c>
      <c r="I221" s="1" t="s">
        <v>7449</v>
      </c>
      <c r="J221" s="7">
        <v>45560</v>
      </c>
      <c r="K221" s="1" t="s">
        <v>7449</v>
      </c>
    </row>
    <row r="222" spans="1:11" x14ac:dyDescent="0.25">
      <c r="A222" s="1">
        <v>221</v>
      </c>
      <c r="B222" s="1" t="s">
        <v>604</v>
      </c>
      <c r="C222" s="1" t="s">
        <v>605</v>
      </c>
      <c r="E222" s="1" t="s">
        <v>73</v>
      </c>
      <c r="G222" s="1">
        <v>1</v>
      </c>
      <c r="H222" s="7">
        <v>45560</v>
      </c>
      <c r="I222" s="1" t="s">
        <v>7449</v>
      </c>
      <c r="J222" s="7">
        <v>45560</v>
      </c>
      <c r="K222" s="1" t="s">
        <v>7449</v>
      </c>
    </row>
    <row r="223" spans="1:11" x14ac:dyDescent="0.25">
      <c r="A223" s="1">
        <v>222</v>
      </c>
      <c r="B223" s="1" t="s">
        <v>606</v>
      </c>
      <c r="C223" s="1" t="s">
        <v>607</v>
      </c>
      <c r="F223" s="1" t="s">
        <v>608</v>
      </c>
      <c r="G223" s="1">
        <v>1</v>
      </c>
      <c r="H223" s="7">
        <v>45560</v>
      </c>
      <c r="I223" s="1" t="s">
        <v>7449</v>
      </c>
      <c r="J223" s="7">
        <v>45560</v>
      </c>
      <c r="K223" s="1" t="s">
        <v>7449</v>
      </c>
    </row>
    <row r="224" spans="1:11" x14ac:dyDescent="0.25">
      <c r="A224" s="1">
        <v>223</v>
      </c>
      <c r="B224" s="1" t="s">
        <v>609</v>
      </c>
      <c r="C224" s="1" t="s">
        <v>610</v>
      </c>
      <c r="F224" s="1" t="s">
        <v>611</v>
      </c>
      <c r="G224" s="1">
        <v>1</v>
      </c>
      <c r="H224" s="7">
        <v>45560</v>
      </c>
      <c r="I224" s="1" t="s">
        <v>7449</v>
      </c>
      <c r="J224" s="7">
        <v>45560</v>
      </c>
      <c r="K224" s="1" t="s">
        <v>7449</v>
      </c>
    </row>
    <row r="225" spans="1:11" x14ac:dyDescent="0.25">
      <c r="A225" s="1">
        <v>224</v>
      </c>
      <c r="B225" s="1" t="s">
        <v>612</v>
      </c>
      <c r="C225" s="1" t="s">
        <v>613</v>
      </c>
      <c r="D225" s="1" t="s">
        <v>614</v>
      </c>
      <c r="F225" s="1" t="s">
        <v>615</v>
      </c>
      <c r="G225" s="1">
        <v>1</v>
      </c>
      <c r="H225" s="7">
        <v>45560</v>
      </c>
      <c r="I225" s="1" t="s">
        <v>7449</v>
      </c>
      <c r="J225" s="7">
        <v>45560</v>
      </c>
      <c r="K225" s="1" t="s">
        <v>7449</v>
      </c>
    </row>
    <row r="226" spans="1:11" x14ac:dyDescent="0.25">
      <c r="A226" s="1">
        <v>225</v>
      </c>
      <c r="B226" s="1" t="s">
        <v>616</v>
      </c>
      <c r="C226" s="1" t="s">
        <v>617</v>
      </c>
      <c r="F226" s="1" t="s">
        <v>618</v>
      </c>
      <c r="G226" s="1">
        <v>1</v>
      </c>
      <c r="H226" s="7">
        <v>45560</v>
      </c>
      <c r="I226" s="1" t="s">
        <v>7449</v>
      </c>
      <c r="J226" s="7">
        <v>45560</v>
      </c>
      <c r="K226" s="1" t="s">
        <v>7449</v>
      </c>
    </row>
    <row r="227" spans="1:11" x14ac:dyDescent="0.25">
      <c r="A227" s="1">
        <v>226</v>
      </c>
      <c r="B227" s="1" t="s">
        <v>619</v>
      </c>
      <c r="C227" s="1" t="s">
        <v>620</v>
      </c>
      <c r="F227" s="1" t="s">
        <v>621</v>
      </c>
      <c r="G227" s="1">
        <v>1</v>
      </c>
      <c r="H227" s="7">
        <v>45560</v>
      </c>
      <c r="I227" s="1" t="s">
        <v>7449</v>
      </c>
      <c r="J227" s="7">
        <v>45560</v>
      </c>
      <c r="K227" s="1" t="s">
        <v>7449</v>
      </c>
    </row>
    <row r="228" spans="1:11" x14ac:dyDescent="0.25">
      <c r="A228" s="1">
        <v>227</v>
      </c>
      <c r="B228" s="1" t="s">
        <v>622</v>
      </c>
      <c r="C228" s="1" t="s">
        <v>623</v>
      </c>
      <c r="F228" s="1" t="s">
        <v>624</v>
      </c>
      <c r="G228" s="1">
        <v>1</v>
      </c>
      <c r="H228" s="7">
        <v>45560</v>
      </c>
      <c r="I228" s="1" t="s">
        <v>7449</v>
      </c>
      <c r="J228" s="7">
        <v>45560</v>
      </c>
      <c r="K228" s="1" t="s">
        <v>7449</v>
      </c>
    </row>
    <row r="229" spans="1:11" x14ac:dyDescent="0.25">
      <c r="A229" s="1">
        <v>228</v>
      </c>
      <c r="B229" s="1" t="s">
        <v>625</v>
      </c>
      <c r="C229" s="1" t="s">
        <v>626</v>
      </c>
      <c r="D229" s="1" t="s">
        <v>627</v>
      </c>
      <c r="G229" s="1">
        <v>1</v>
      </c>
      <c r="H229" s="7">
        <v>45560</v>
      </c>
      <c r="I229" s="1" t="s">
        <v>7449</v>
      </c>
      <c r="J229" s="7">
        <v>45560</v>
      </c>
      <c r="K229" s="1" t="s">
        <v>7449</v>
      </c>
    </row>
    <row r="230" spans="1:11" x14ac:dyDescent="0.25">
      <c r="A230" s="1">
        <v>229</v>
      </c>
      <c r="B230" s="1" t="s">
        <v>628</v>
      </c>
      <c r="C230" s="1" t="s">
        <v>629</v>
      </c>
      <c r="F230" s="1" t="s">
        <v>630</v>
      </c>
      <c r="G230" s="1">
        <v>1</v>
      </c>
      <c r="H230" s="7">
        <v>45560</v>
      </c>
      <c r="I230" s="1" t="s">
        <v>7449</v>
      </c>
      <c r="J230" s="7">
        <v>45560</v>
      </c>
      <c r="K230" s="1" t="s">
        <v>7449</v>
      </c>
    </row>
    <row r="231" spans="1:11" ht="30" x14ac:dyDescent="0.25">
      <c r="A231" s="1">
        <v>230</v>
      </c>
      <c r="B231" s="1" t="s">
        <v>631</v>
      </c>
      <c r="C231" s="1" t="s">
        <v>632</v>
      </c>
      <c r="D231" s="8" t="s">
        <v>633</v>
      </c>
      <c r="E231" s="1" t="s">
        <v>73</v>
      </c>
      <c r="F231" s="1" t="s">
        <v>634</v>
      </c>
      <c r="G231" s="1">
        <v>1</v>
      </c>
      <c r="H231" s="7">
        <v>45560</v>
      </c>
      <c r="I231" s="1" t="s">
        <v>7449</v>
      </c>
      <c r="J231" s="7">
        <v>45560</v>
      </c>
      <c r="K231" s="1" t="s">
        <v>7449</v>
      </c>
    </row>
    <row r="232" spans="1:11" x14ac:dyDescent="0.25">
      <c r="A232" s="1">
        <v>231</v>
      </c>
      <c r="B232" s="1" t="s">
        <v>635</v>
      </c>
      <c r="C232" s="1" t="s">
        <v>636</v>
      </c>
      <c r="F232" s="1" t="s">
        <v>637</v>
      </c>
      <c r="G232" s="1">
        <v>1</v>
      </c>
      <c r="H232" s="7">
        <v>45560</v>
      </c>
      <c r="I232" s="1" t="s">
        <v>7449</v>
      </c>
      <c r="J232" s="7">
        <v>45560</v>
      </c>
      <c r="K232" s="1" t="s">
        <v>7449</v>
      </c>
    </row>
    <row r="233" spans="1:11" x14ac:dyDescent="0.25">
      <c r="A233" s="1">
        <v>232</v>
      </c>
      <c r="B233" s="1" t="s">
        <v>638</v>
      </c>
      <c r="C233" s="1" t="s">
        <v>639</v>
      </c>
      <c r="F233" s="1" t="s">
        <v>640</v>
      </c>
      <c r="G233" s="1">
        <v>1</v>
      </c>
      <c r="H233" s="7">
        <v>45560</v>
      </c>
      <c r="I233" s="1" t="s">
        <v>7449</v>
      </c>
      <c r="J233" s="7">
        <v>45560</v>
      </c>
      <c r="K233" s="1" t="s">
        <v>7449</v>
      </c>
    </row>
    <row r="234" spans="1:11" x14ac:dyDescent="0.25">
      <c r="A234" s="1">
        <v>233</v>
      </c>
      <c r="B234" s="1" t="s">
        <v>641</v>
      </c>
      <c r="C234" s="1" t="s">
        <v>642</v>
      </c>
      <c r="D234" s="1" t="s">
        <v>643</v>
      </c>
      <c r="F234" s="1" t="s">
        <v>644</v>
      </c>
      <c r="G234" s="1">
        <v>1</v>
      </c>
      <c r="H234" s="7">
        <v>45560</v>
      </c>
      <c r="I234" s="1" t="s">
        <v>7449</v>
      </c>
      <c r="J234" s="7">
        <v>45560</v>
      </c>
      <c r="K234" s="1" t="s">
        <v>7449</v>
      </c>
    </row>
    <row r="235" spans="1:11" x14ac:dyDescent="0.25">
      <c r="A235" s="1">
        <v>234</v>
      </c>
      <c r="B235" s="1" t="s">
        <v>645</v>
      </c>
      <c r="C235" s="1" t="s">
        <v>646</v>
      </c>
      <c r="F235" s="1" t="s">
        <v>647</v>
      </c>
      <c r="G235" s="1">
        <v>1</v>
      </c>
      <c r="H235" s="7">
        <v>45560</v>
      </c>
      <c r="I235" s="1" t="s">
        <v>7449</v>
      </c>
      <c r="J235" s="7">
        <v>45560</v>
      </c>
      <c r="K235" s="1" t="s">
        <v>7449</v>
      </c>
    </row>
    <row r="236" spans="1:11" x14ac:dyDescent="0.25">
      <c r="A236" s="1">
        <v>235</v>
      </c>
      <c r="B236" s="1" t="s">
        <v>648</v>
      </c>
      <c r="C236" s="1" t="s">
        <v>649</v>
      </c>
      <c r="F236" s="1" t="s">
        <v>650</v>
      </c>
      <c r="G236" s="1">
        <v>1</v>
      </c>
      <c r="H236" s="7">
        <v>45560</v>
      </c>
      <c r="I236" s="1" t="s">
        <v>7449</v>
      </c>
      <c r="J236" s="7">
        <v>45560</v>
      </c>
      <c r="K236" s="1" t="s">
        <v>7449</v>
      </c>
    </row>
    <row r="237" spans="1:11" x14ac:dyDescent="0.25">
      <c r="A237" s="1">
        <v>236</v>
      </c>
      <c r="B237" s="1" t="s">
        <v>651</v>
      </c>
      <c r="C237" s="1" t="s">
        <v>652</v>
      </c>
      <c r="F237" s="1" t="s">
        <v>653</v>
      </c>
      <c r="G237" s="1">
        <v>1</v>
      </c>
      <c r="H237" s="7">
        <v>45560</v>
      </c>
      <c r="I237" s="1" t="s">
        <v>7449</v>
      </c>
      <c r="J237" s="7">
        <v>45560</v>
      </c>
      <c r="K237" s="1" t="s">
        <v>7449</v>
      </c>
    </row>
    <row r="238" spans="1:11" x14ac:dyDescent="0.25">
      <c r="A238" s="1">
        <v>237</v>
      </c>
      <c r="B238" s="1" t="s">
        <v>654</v>
      </c>
      <c r="C238" s="1" t="s">
        <v>655</v>
      </c>
      <c r="D238" s="1" t="s">
        <v>656</v>
      </c>
      <c r="F238" s="1" t="s">
        <v>657</v>
      </c>
      <c r="G238" s="1">
        <v>1</v>
      </c>
      <c r="H238" s="7">
        <v>45560</v>
      </c>
      <c r="I238" s="1" t="s">
        <v>7449</v>
      </c>
      <c r="J238" s="7">
        <v>45560</v>
      </c>
      <c r="K238" s="1" t="s">
        <v>7449</v>
      </c>
    </row>
    <row r="239" spans="1:11" x14ac:dyDescent="0.25">
      <c r="A239" s="1">
        <v>238</v>
      </c>
      <c r="B239" s="1" t="s">
        <v>658</v>
      </c>
      <c r="C239" s="1" t="s">
        <v>659</v>
      </c>
      <c r="D239" s="1" t="s">
        <v>660</v>
      </c>
      <c r="G239" s="1">
        <v>1</v>
      </c>
      <c r="H239" s="7">
        <v>45560</v>
      </c>
      <c r="I239" s="1" t="s">
        <v>7449</v>
      </c>
      <c r="J239" s="7">
        <v>45560</v>
      </c>
      <c r="K239" s="1" t="s">
        <v>7449</v>
      </c>
    </row>
    <row r="240" spans="1:11" x14ac:dyDescent="0.25">
      <c r="A240" s="1">
        <v>239</v>
      </c>
      <c r="B240" s="1" t="s">
        <v>661</v>
      </c>
      <c r="C240" s="1" t="s">
        <v>662</v>
      </c>
      <c r="D240" s="1" t="s">
        <v>663</v>
      </c>
      <c r="F240" s="1" t="s">
        <v>664</v>
      </c>
      <c r="G240" s="1">
        <v>1</v>
      </c>
      <c r="H240" s="7">
        <v>45560</v>
      </c>
      <c r="I240" s="1" t="s">
        <v>7449</v>
      </c>
      <c r="J240" s="7">
        <v>45560</v>
      </c>
      <c r="K240" s="1" t="s">
        <v>7449</v>
      </c>
    </row>
    <row r="241" spans="1:11" x14ac:dyDescent="0.25">
      <c r="A241" s="1">
        <v>240</v>
      </c>
      <c r="B241" s="1" t="s">
        <v>665</v>
      </c>
      <c r="C241" s="1" t="s">
        <v>666</v>
      </c>
      <c r="D241" s="1" t="s">
        <v>667</v>
      </c>
      <c r="F241" s="1" t="s">
        <v>668</v>
      </c>
      <c r="G241" s="1">
        <v>1</v>
      </c>
      <c r="H241" s="7">
        <v>45560</v>
      </c>
      <c r="I241" s="1" t="s">
        <v>7449</v>
      </c>
      <c r="J241" s="7">
        <v>45560</v>
      </c>
      <c r="K241" s="1" t="s">
        <v>7449</v>
      </c>
    </row>
    <row r="242" spans="1:11" x14ac:dyDescent="0.25">
      <c r="A242" s="1">
        <v>241</v>
      </c>
      <c r="B242" s="1" t="s">
        <v>669</v>
      </c>
      <c r="C242" s="1" t="s">
        <v>670</v>
      </c>
      <c r="D242" s="1" t="s">
        <v>671</v>
      </c>
      <c r="G242" s="1">
        <v>1</v>
      </c>
      <c r="H242" s="7">
        <v>45560</v>
      </c>
      <c r="I242" s="1" t="s">
        <v>7449</v>
      </c>
      <c r="J242" s="7">
        <v>45560</v>
      </c>
      <c r="K242" s="1" t="s">
        <v>7449</v>
      </c>
    </row>
    <row r="243" spans="1:11" x14ac:dyDescent="0.25">
      <c r="A243" s="1">
        <v>242</v>
      </c>
      <c r="B243" s="1" t="s">
        <v>672</v>
      </c>
      <c r="C243" s="1" t="s">
        <v>673</v>
      </c>
      <c r="D243" s="1" t="s">
        <v>674</v>
      </c>
      <c r="F243" s="1" t="s">
        <v>675</v>
      </c>
      <c r="G243" s="1">
        <v>1</v>
      </c>
      <c r="H243" s="7">
        <v>45560</v>
      </c>
      <c r="I243" s="1" t="s">
        <v>7449</v>
      </c>
      <c r="J243" s="7">
        <v>45560</v>
      </c>
      <c r="K243" s="1" t="s">
        <v>7449</v>
      </c>
    </row>
    <row r="244" spans="1:11" x14ac:dyDescent="0.25">
      <c r="A244" s="1">
        <v>243</v>
      </c>
      <c r="B244" s="1" t="s">
        <v>676</v>
      </c>
      <c r="C244" s="1" t="s">
        <v>677</v>
      </c>
      <c r="D244" s="1" t="s">
        <v>678</v>
      </c>
      <c r="F244" s="1" t="s">
        <v>679</v>
      </c>
      <c r="G244" s="1">
        <v>1</v>
      </c>
      <c r="H244" s="7">
        <v>45560</v>
      </c>
      <c r="I244" s="1" t="s">
        <v>7449</v>
      </c>
      <c r="J244" s="7">
        <v>45560</v>
      </c>
      <c r="K244" s="1" t="s">
        <v>7449</v>
      </c>
    </row>
    <row r="245" spans="1:11" x14ac:dyDescent="0.25">
      <c r="A245" s="1">
        <v>244</v>
      </c>
      <c r="B245" s="1" t="s">
        <v>680</v>
      </c>
      <c r="C245" s="1" t="s">
        <v>681</v>
      </c>
      <c r="D245" s="1" t="s">
        <v>682</v>
      </c>
      <c r="G245" s="1">
        <v>1</v>
      </c>
      <c r="H245" s="7">
        <v>45560</v>
      </c>
      <c r="I245" s="1" t="s">
        <v>7449</v>
      </c>
      <c r="J245" s="7">
        <v>45560</v>
      </c>
      <c r="K245" s="1" t="s">
        <v>7449</v>
      </c>
    </row>
    <row r="246" spans="1:11" x14ac:dyDescent="0.25">
      <c r="A246" s="1">
        <v>245</v>
      </c>
      <c r="B246" s="1" t="s">
        <v>683</v>
      </c>
      <c r="C246" s="1" t="s">
        <v>684</v>
      </c>
      <c r="D246" s="1" t="s">
        <v>685</v>
      </c>
      <c r="G246" s="1">
        <v>1</v>
      </c>
      <c r="H246" s="7">
        <v>45560</v>
      </c>
      <c r="I246" s="1" t="s">
        <v>7449</v>
      </c>
      <c r="J246" s="7">
        <v>45560</v>
      </c>
      <c r="K246" s="1" t="s">
        <v>7449</v>
      </c>
    </row>
    <row r="247" spans="1:11" x14ac:dyDescent="0.25">
      <c r="A247" s="1">
        <v>246</v>
      </c>
      <c r="B247" s="1" t="s">
        <v>686</v>
      </c>
      <c r="C247" s="1" t="s">
        <v>687</v>
      </c>
      <c r="E247" s="1" t="s">
        <v>52</v>
      </c>
      <c r="G247" s="1">
        <v>1</v>
      </c>
      <c r="H247" s="7">
        <v>45560</v>
      </c>
      <c r="I247" s="1" t="s">
        <v>7449</v>
      </c>
      <c r="J247" s="7">
        <v>45560</v>
      </c>
      <c r="K247" s="1" t="s">
        <v>7449</v>
      </c>
    </row>
    <row r="248" spans="1:11" x14ac:dyDescent="0.25">
      <c r="A248" s="1">
        <v>247</v>
      </c>
      <c r="B248" s="1" t="s">
        <v>688</v>
      </c>
      <c r="C248" s="1" t="s">
        <v>689</v>
      </c>
      <c r="D248" s="1" t="s">
        <v>690</v>
      </c>
      <c r="F248" s="1" t="s">
        <v>691</v>
      </c>
      <c r="G248" s="1">
        <v>1</v>
      </c>
      <c r="H248" s="7">
        <v>45560</v>
      </c>
      <c r="I248" s="1" t="s">
        <v>7449</v>
      </c>
      <c r="J248" s="7">
        <v>45560</v>
      </c>
      <c r="K248" s="1" t="s">
        <v>7449</v>
      </c>
    </row>
    <row r="249" spans="1:11" x14ac:dyDescent="0.25">
      <c r="A249" s="1">
        <v>248</v>
      </c>
      <c r="B249" s="1" t="s">
        <v>692</v>
      </c>
      <c r="C249" s="1" t="s">
        <v>693</v>
      </c>
      <c r="D249" s="1" t="s">
        <v>694</v>
      </c>
      <c r="G249" s="1">
        <v>1</v>
      </c>
      <c r="H249" s="7">
        <v>45560</v>
      </c>
      <c r="I249" s="1" t="s">
        <v>7449</v>
      </c>
      <c r="J249" s="7">
        <v>45560</v>
      </c>
      <c r="K249" s="1" t="s">
        <v>7449</v>
      </c>
    </row>
    <row r="250" spans="1:11" x14ac:dyDescent="0.25">
      <c r="A250" s="1">
        <v>249</v>
      </c>
      <c r="B250" s="1" t="s">
        <v>695</v>
      </c>
      <c r="C250" s="1" t="s">
        <v>696</v>
      </c>
      <c r="D250" s="1" t="s">
        <v>697</v>
      </c>
      <c r="F250" s="1" t="s">
        <v>698</v>
      </c>
      <c r="G250" s="1">
        <v>1</v>
      </c>
      <c r="H250" s="7">
        <v>45560</v>
      </c>
      <c r="I250" s="1" t="s">
        <v>7449</v>
      </c>
      <c r="J250" s="7">
        <v>45560</v>
      </c>
      <c r="K250" s="1" t="s">
        <v>7449</v>
      </c>
    </row>
    <row r="251" spans="1:11" x14ac:dyDescent="0.25">
      <c r="A251" s="1">
        <v>250</v>
      </c>
      <c r="B251" s="1" t="s">
        <v>699</v>
      </c>
      <c r="C251" s="1" t="s">
        <v>700</v>
      </c>
      <c r="D251" s="1" t="s">
        <v>701</v>
      </c>
      <c r="F251" s="1" t="s">
        <v>702</v>
      </c>
      <c r="G251" s="1">
        <v>1</v>
      </c>
      <c r="H251" s="7">
        <v>45560</v>
      </c>
      <c r="I251" s="1" t="s">
        <v>7449</v>
      </c>
      <c r="J251" s="7">
        <v>45560</v>
      </c>
      <c r="K251" s="1" t="s">
        <v>7449</v>
      </c>
    </row>
    <row r="252" spans="1:11" x14ac:dyDescent="0.25">
      <c r="A252" s="1">
        <v>251</v>
      </c>
      <c r="B252" s="1" t="s">
        <v>703</v>
      </c>
      <c r="C252" s="1" t="s">
        <v>704</v>
      </c>
      <c r="D252" s="1" t="s">
        <v>705</v>
      </c>
      <c r="F252" s="1" t="s">
        <v>706</v>
      </c>
      <c r="G252" s="1">
        <v>1</v>
      </c>
      <c r="H252" s="7">
        <v>45560</v>
      </c>
      <c r="I252" s="1" t="s">
        <v>7449</v>
      </c>
      <c r="J252" s="7">
        <v>45560</v>
      </c>
      <c r="K252" s="1" t="s">
        <v>7449</v>
      </c>
    </row>
    <row r="253" spans="1:11" x14ac:dyDescent="0.25">
      <c r="A253" s="1">
        <v>252</v>
      </c>
      <c r="B253" s="1" t="s">
        <v>707</v>
      </c>
      <c r="C253" s="1" t="s">
        <v>708</v>
      </c>
      <c r="E253" s="1" t="s">
        <v>52</v>
      </c>
      <c r="G253" s="1">
        <v>1</v>
      </c>
      <c r="H253" s="7">
        <v>45560</v>
      </c>
      <c r="I253" s="1" t="s">
        <v>7449</v>
      </c>
      <c r="J253" s="7">
        <v>45560</v>
      </c>
      <c r="K253" s="1" t="s">
        <v>7449</v>
      </c>
    </row>
    <row r="254" spans="1:11" x14ac:dyDescent="0.25">
      <c r="A254" s="1">
        <v>253</v>
      </c>
      <c r="B254" s="1" t="s">
        <v>709</v>
      </c>
      <c r="C254" s="1" t="s">
        <v>710</v>
      </c>
      <c r="F254" s="1" t="s">
        <v>711</v>
      </c>
      <c r="G254" s="1">
        <v>1</v>
      </c>
      <c r="H254" s="7">
        <v>45560</v>
      </c>
      <c r="I254" s="1" t="s">
        <v>7449</v>
      </c>
      <c r="J254" s="7">
        <v>45560</v>
      </c>
      <c r="K254" s="1" t="s">
        <v>7449</v>
      </c>
    </row>
    <row r="255" spans="1:11" x14ac:dyDescent="0.25">
      <c r="A255" s="1">
        <v>254</v>
      </c>
      <c r="B255" s="1" t="s">
        <v>712</v>
      </c>
      <c r="C255" s="1" t="s">
        <v>713</v>
      </c>
      <c r="D255" s="1" t="s">
        <v>714</v>
      </c>
      <c r="G255" s="1">
        <v>1</v>
      </c>
      <c r="H255" s="7">
        <v>45560</v>
      </c>
      <c r="I255" s="1" t="s">
        <v>7449</v>
      </c>
      <c r="J255" s="7">
        <v>45560</v>
      </c>
      <c r="K255" s="1" t="s">
        <v>7449</v>
      </c>
    </row>
    <row r="256" spans="1:11" x14ac:dyDescent="0.25">
      <c r="A256" s="1">
        <v>255</v>
      </c>
      <c r="B256" s="1" t="s">
        <v>715</v>
      </c>
      <c r="C256" s="1" t="s">
        <v>716</v>
      </c>
      <c r="E256" s="1" t="s">
        <v>52</v>
      </c>
      <c r="G256" s="1">
        <v>1</v>
      </c>
      <c r="H256" s="7">
        <v>45560</v>
      </c>
      <c r="I256" s="1" t="s">
        <v>7449</v>
      </c>
      <c r="J256" s="7">
        <v>45560</v>
      </c>
      <c r="K256" s="1" t="s">
        <v>7449</v>
      </c>
    </row>
    <row r="257" spans="1:11" x14ac:dyDescent="0.25">
      <c r="A257" s="1">
        <v>256</v>
      </c>
      <c r="B257" s="1" t="s">
        <v>717</v>
      </c>
      <c r="C257" s="1" t="s">
        <v>718</v>
      </c>
      <c r="D257" s="1" t="s">
        <v>719</v>
      </c>
      <c r="E257" s="1" t="s">
        <v>73</v>
      </c>
      <c r="F257" s="1" t="s">
        <v>720</v>
      </c>
      <c r="G257" s="1">
        <v>1</v>
      </c>
      <c r="H257" s="7">
        <v>45560</v>
      </c>
      <c r="I257" s="1" t="s">
        <v>7449</v>
      </c>
      <c r="J257" s="7">
        <v>45560</v>
      </c>
      <c r="K257" s="1" t="s">
        <v>7449</v>
      </c>
    </row>
    <row r="258" spans="1:11" x14ac:dyDescent="0.25">
      <c r="A258" s="1">
        <v>257</v>
      </c>
      <c r="B258" s="1" t="s">
        <v>721</v>
      </c>
      <c r="C258" s="1" t="s">
        <v>722</v>
      </c>
      <c r="D258" s="1" t="s">
        <v>723</v>
      </c>
      <c r="G258" s="1">
        <v>1</v>
      </c>
      <c r="H258" s="7">
        <v>45560</v>
      </c>
      <c r="I258" s="1" t="s">
        <v>7449</v>
      </c>
      <c r="J258" s="7">
        <v>45560</v>
      </c>
      <c r="K258" s="1" t="s">
        <v>7449</v>
      </c>
    </row>
    <row r="259" spans="1:11" x14ac:dyDescent="0.25">
      <c r="A259" s="1">
        <v>258</v>
      </c>
      <c r="B259" s="1" t="s">
        <v>724</v>
      </c>
      <c r="C259" s="1" t="s">
        <v>725</v>
      </c>
      <c r="D259" s="1" t="s">
        <v>726</v>
      </c>
      <c r="G259" s="1">
        <v>1</v>
      </c>
      <c r="H259" s="7">
        <v>45560</v>
      </c>
      <c r="I259" s="1" t="s">
        <v>7449</v>
      </c>
      <c r="J259" s="7">
        <v>45560</v>
      </c>
      <c r="K259" s="1" t="s">
        <v>7449</v>
      </c>
    </row>
    <row r="260" spans="1:11" x14ac:dyDescent="0.25">
      <c r="A260" s="1">
        <v>259</v>
      </c>
      <c r="B260" s="1" t="s">
        <v>727</v>
      </c>
      <c r="C260" s="1" t="s">
        <v>728</v>
      </c>
      <c r="D260" s="1" t="s">
        <v>729</v>
      </c>
      <c r="G260" s="1">
        <v>1</v>
      </c>
      <c r="H260" s="7">
        <v>45560</v>
      </c>
      <c r="I260" s="1" t="s">
        <v>7449</v>
      </c>
      <c r="J260" s="7">
        <v>45560</v>
      </c>
      <c r="K260" s="1" t="s">
        <v>7449</v>
      </c>
    </row>
    <row r="261" spans="1:11" x14ac:dyDescent="0.25">
      <c r="A261" s="1">
        <v>260</v>
      </c>
      <c r="B261" s="1" t="s">
        <v>730</v>
      </c>
      <c r="C261" s="1" t="s">
        <v>731</v>
      </c>
      <c r="D261" s="1" t="s">
        <v>732</v>
      </c>
      <c r="F261" s="1" t="s">
        <v>733</v>
      </c>
      <c r="G261" s="1">
        <v>1</v>
      </c>
      <c r="H261" s="7">
        <v>45560</v>
      </c>
      <c r="I261" s="1" t="s">
        <v>7449</v>
      </c>
      <c r="J261" s="7">
        <v>45560</v>
      </c>
      <c r="K261" s="1" t="s">
        <v>7449</v>
      </c>
    </row>
    <row r="262" spans="1:11" x14ac:dyDescent="0.25">
      <c r="A262" s="1">
        <v>261</v>
      </c>
      <c r="B262" s="1" t="s">
        <v>734</v>
      </c>
      <c r="C262" s="1" t="s">
        <v>735</v>
      </c>
      <c r="E262" s="1" t="s">
        <v>73</v>
      </c>
      <c r="F262" s="1" t="s">
        <v>736</v>
      </c>
      <c r="G262" s="1">
        <v>1</v>
      </c>
      <c r="H262" s="7">
        <v>45560</v>
      </c>
      <c r="I262" s="1" t="s">
        <v>7449</v>
      </c>
      <c r="J262" s="7">
        <v>45560</v>
      </c>
      <c r="K262" s="1" t="s">
        <v>7449</v>
      </c>
    </row>
    <row r="263" spans="1:11" x14ac:dyDescent="0.25">
      <c r="A263" s="1">
        <v>262</v>
      </c>
      <c r="B263" s="1" t="s">
        <v>737</v>
      </c>
      <c r="C263" s="1" t="s">
        <v>738</v>
      </c>
      <c r="E263" s="1" t="s">
        <v>52</v>
      </c>
      <c r="G263" s="1">
        <v>1</v>
      </c>
      <c r="H263" s="7">
        <v>45560</v>
      </c>
      <c r="I263" s="1" t="s">
        <v>7449</v>
      </c>
      <c r="J263" s="7">
        <v>45560</v>
      </c>
      <c r="K263" s="1" t="s">
        <v>7449</v>
      </c>
    </row>
    <row r="264" spans="1:11" x14ac:dyDescent="0.25">
      <c r="A264" s="1">
        <v>263</v>
      </c>
      <c r="B264" s="1" t="s">
        <v>739</v>
      </c>
      <c r="C264" s="1" t="s">
        <v>740</v>
      </c>
      <c r="D264" s="1" t="s">
        <v>741</v>
      </c>
      <c r="F264" s="1" t="s">
        <v>739</v>
      </c>
      <c r="G264" s="1">
        <v>1</v>
      </c>
      <c r="H264" s="7">
        <v>45560</v>
      </c>
      <c r="I264" s="1" t="s">
        <v>7449</v>
      </c>
      <c r="J264" s="7">
        <v>45560</v>
      </c>
      <c r="K264" s="1" t="s">
        <v>7449</v>
      </c>
    </row>
    <row r="265" spans="1:11" x14ac:dyDescent="0.25">
      <c r="A265" s="1">
        <v>264</v>
      </c>
      <c r="B265" s="1" t="s">
        <v>742</v>
      </c>
      <c r="C265" s="1" t="s">
        <v>743</v>
      </c>
      <c r="D265" s="1" t="s">
        <v>744</v>
      </c>
      <c r="G265" s="1">
        <v>1</v>
      </c>
      <c r="H265" s="7">
        <v>45560</v>
      </c>
      <c r="I265" s="1" t="s">
        <v>7449</v>
      </c>
      <c r="J265" s="7">
        <v>45560</v>
      </c>
      <c r="K265" s="1" t="s">
        <v>7449</v>
      </c>
    </row>
    <row r="266" spans="1:11" x14ac:dyDescent="0.25">
      <c r="A266" s="1">
        <v>265</v>
      </c>
      <c r="B266" s="1" t="s">
        <v>745</v>
      </c>
      <c r="C266" s="1" t="s">
        <v>746</v>
      </c>
      <c r="F266" s="1" t="s">
        <v>747</v>
      </c>
      <c r="G266" s="1">
        <v>1</v>
      </c>
      <c r="H266" s="7">
        <v>45560</v>
      </c>
      <c r="I266" s="1" t="s">
        <v>7449</v>
      </c>
      <c r="J266" s="7">
        <v>45560</v>
      </c>
      <c r="K266" s="1" t="s">
        <v>7449</v>
      </c>
    </row>
    <row r="267" spans="1:11" x14ac:dyDescent="0.25">
      <c r="A267" s="1">
        <v>266</v>
      </c>
      <c r="B267" s="1" t="s">
        <v>748</v>
      </c>
      <c r="C267" s="1" t="s">
        <v>749</v>
      </c>
      <c r="E267" s="1" t="s">
        <v>52</v>
      </c>
      <c r="F267" s="1" t="s">
        <v>750</v>
      </c>
      <c r="G267" s="1">
        <v>1</v>
      </c>
      <c r="H267" s="7">
        <v>45560</v>
      </c>
      <c r="I267" s="1" t="s">
        <v>7449</v>
      </c>
      <c r="J267" s="7">
        <v>45560</v>
      </c>
      <c r="K267" s="1" t="s">
        <v>7449</v>
      </c>
    </row>
    <row r="268" spans="1:11" x14ac:dyDescent="0.25">
      <c r="A268" s="1">
        <v>267</v>
      </c>
      <c r="B268" s="1" t="s">
        <v>751</v>
      </c>
      <c r="C268" s="1" t="s">
        <v>752</v>
      </c>
      <c r="F268" s="1" t="s">
        <v>753</v>
      </c>
      <c r="G268" s="1">
        <v>1</v>
      </c>
      <c r="H268" s="7">
        <v>45560</v>
      </c>
      <c r="I268" s="1" t="s">
        <v>7449</v>
      </c>
      <c r="J268" s="7">
        <v>45560</v>
      </c>
      <c r="K268" s="1" t="s">
        <v>7449</v>
      </c>
    </row>
    <row r="269" spans="1:11" x14ac:dyDescent="0.25">
      <c r="A269" s="1">
        <v>268</v>
      </c>
      <c r="B269" s="1" t="s">
        <v>754</v>
      </c>
      <c r="C269" s="1" t="s">
        <v>755</v>
      </c>
      <c r="D269" s="1" t="s">
        <v>756</v>
      </c>
      <c r="F269" s="1" t="s">
        <v>757</v>
      </c>
      <c r="G269" s="1">
        <v>1</v>
      </c>
      <c r="H269" s="7">
        <v>45560</v>
      </c>
      <c r="I269" s="1" t="s">
        <v>7449</v>
      </c>
      <c r="J269" s="7">
        <v>45560</v>
      </c>
      <c r="K269" s="1" t="s">
        <v>7449</v>
      </c>
    </row>
    <row r="270" spans="1:11" x14ac:dyDescent="0.25">
      <c r="A270" s="1">
        <v>269</v>
      </c>
      <c r="B270" s="1" t="s">
        <v>758</v>
      </c>
      <c r="C270" s="1" t="s">
        <v>759</v>
      </c>
      <c r="D270" s="1" t="s">
        <v>760</v>
      </c>
      <c r="F270" s="1" t="s">
        <v>761</v>
      </c>
      <c r="G270" s="1">
        <v>1</v>
      </c>
      <c r="H270" s="7">
        <v>45560</v>
      </c>
      <c r="I270" s="1" t="s">
        <v>7449</v>
      </c>
      <c r="J270" s="7">
        <v>45560</v>
      </c>
      <c r="K270" s="1" t="s">
        <v>7449</v>
      </c>
    </row>
    <row r="271" spans="1:11" x14ac:dyDescent="0.25">
      <c r="A271" s="1">
        <v>270</v>
      </c>
      <c r="B271" s="1" t="s">
        <v>762</v>
      </c>
      <c r="C271" s="1" t="s">
        <v>763</v>
      </c>
      <c r="F271" s="1" t="s">
        <v>764</v>
      </c>
      <c r="G271" s="1">
        <v>1</v>
      </c>
      <c r="H271" s="7">
        <v>45560</v>
      </c>
      <c r="I271" s="1" t="s">
        <v>7449</v>
      </c>
      <c r="J271" s="7">
        <v>45560</v>
      </c>
      <c r="K271" s="1" t="s">
        <v>7449</v>
      </c>
    </row>
    <row r="272" spans="1:11" x14ac:dyDescent="0.25">
      <c r="A272" s="1">
        <v>271</v>
      </c>
      <c r="B272" s="1" t="s">
        <v>765</v>
      </c>
      <c r="C272" s="1" t="s">
        <v>766</v>
      </c>
      <c r="D272" s="1" t="s">
        <v>767</v>
      </c>
      <c r="F272" s="1" t="s">
        <v>768</v>
      </c>
      <c r="G272" s="1">
        <v>1</v>
      </c>
      <c r="H272" s="7">
        <v>45560</v>
      </c>
      <c r="I272" s="1" t="s">
        <v>7449</v>
      </c>
      <c r="J272" s="7">
        <v>45560</v>
      </c>
      <c r="K272" s="1" t="s">
        <v>7449</v>
      </c>
    </row>
    <row r="273" spans="1:11" x14ac:dyDescent="0.25">
      <c r="A273" s="1">
        <v>272</v>
      </c>
      <c r="B273" s="1" t="s">
        <v>769</v>
      </c>
      <c r="C273" s="1" t="s">
        <v>770</v>
      </c>
      <c r="F273" s="1" t="s">
        <v>771</v>
      </c>
      <c r="G273" s="1">
        <v>1</v>
      </c>
      <c r="H273" s="7">
        <v>45560</v>
      </c>
      <c r="I273" s="1" t="s">
        <v>7449</v>
      </c>
      <c r="J273" s="7">
        <v>45560</v>
      </c>
      <c r="K273" s="1" t="s">
        <v>7449</v>
      </c>
    </row>
    <row r="274" spans="1:11" x14ac:dyDescent="0.25">
      <c r="A274" s="1">
        <v>273</v>
      </c>
      <c r="B274" s="1" t="s">
        <v>772</v>
      </c>
      <c r="C274" s="1" t="s">
        <v>773</v>
      </c>
      <c r="F274" s="1" t="s">
        <v>774</v>
      </c>
      <c r="G274" s="1">
        <v>1</v>
      </c>
      <c r="H274" s="7">
        <v>45560</v>
      </c>
      <c r="I274" s="1" t="s">
        <v>7449</v>
      </c>
      <c r="J274" s="7">
        <v>45560</v>
      </c>
      <c r="K274" s="1" t="s">
        <v>7449</v>
      </c>
    </row>
    <row r="275" spans="1:11" x14ac:dyDescent="0.25">
      <c r="A275" s="1">
        <v>274</v>
      </c>
      <c r="B275" s="1" t="s">
        <v>775</v>
      </c>
      <c r="C275" s="1" t="s">
        <v>776</v>
      </c>
      <c r="F275" s="1" t="s">
        <v>777</v>
      </c>
      <c r="G275" s="1">
        <v>1</v>
      </c>
      <c r="H275" s="7">
        <v>45560</v>
      </c>
      <c r="I275" s="1" t="s">
        <v>7449</v>
      </c>
      <c r="J275" s="7">
        <v>45560</v>
      </c>
      <c r="K275" s="1" t="s">
        <v>7449</v>
      </c>
    </row>
    <row r="276" spans="1:11" x14ac:dyDescent="0.25">
      <c r="A276" s="1">
        <v>275</v>
      </c>
      <c r="B276" s="1" t="s">
        <v>778</v>
      </c>
      <c r="C276" s="1" t="s">
        <v>779</v>
      </c>
      <c r="D276" s="1" t="s">
        <v>780</v>
      </c>
      <c r="G276" s="1">
        <v>1</v>
      </c>
      <c r="H276" s="7">
        <v>45560</v>
      </c>
      <c r="I276" s="1" t="s">
        <v>7449</v>
      </c>
      <c r="J276" s="7">
        <v>45560</v>
      </c>
      <c r="K276" s="1" t="s">
        <v>7449</v>
      </c>
    </row>
    <row r="277" spans="1:11" x14ac:dyDescent="0.25">
      <c r="A277" s="1">
        <v>276</v>
      </c>
      <c r="B277" s="1" t="s">
        <v>781</v>
      </c>
      <c r="C277" s="1" t="s">
        <v>782</v>
      </c>
      <c r="F277" s="1" t="s">
        <v>783</v>
      </c>
      <c r="G277" s="1">
        <v>1</v>
      </c>
      <c r="H277" s="7">
        <v>45560</v>
      </c>
      <c r="I277" s="1" t="s">
        <v>7449</v>
      </c>
      <c r="J277" s="7">
        <v>45560</v>
      </c>
      <c r="K277" s="1" t="s">
        <v>7449</v>
      </c>
    </row>
    <row r="278" spans="1:11" x14ac:dyDescent="0.25">
      <c r="A278" s="1">
        <v>277</v>
      </c>
      <c r="B278" s="1" t="s">
        <v>784</v>
      </c>
      <c r="C278" s="1" t="s">
        <v>785</v>
      </c>
      <c r="D278" s="1" t="s">
        <v>786</v>
      </c>
      <c r="G278" s="1">
        <v>1</v>
      </c>
      <c r="H278" s="7">
        <v>45560</v>
      </c>
      <c r="I278" s="1" t="s">
        <v>7449</v>
      </c>
      <c r="J278" s="7">
        <v>45560</v>
      </c>
      <c r="K278" s="1" t="s">
        <v>7449</v>
      </c>
    </row>
    <row r="279" spans="1:11" x14ac:dyDescent="0.25">
      <c r="A279" s="1">
        <v>278</v>
      </c>
      <c r="B279" s="1" t="s">
        <v>787</v>
      </c>
      <c r="C279" s="1" t="s">
        <v>788</v>
      </c>
      <c r="E279" s="1" t="s">
        <v>52</v>
      </c>
      <c r="G279" s="1">
        <v>1</v>
      </c>
      <c r="H279" s="7">
        <v>45560</v>
      </c>
      <c r="I279" s="1" t="s">
        <v>7449</v>
      </c>
      <c r="J279" s="7">
        <v>45560</v>
      </c>
      <c r="K279" s="1" t="s">
        <v>7449</v>
      </c>
    </row>
    <row r="280" spans="1:11" x14ac:dyDescent="0.25">
      <c r="A280" s="1">
        <v>279</v>
      </c>
      <c r="B280" s="1" t="s">
        <v>789</v>
      </c>
      <c r="C280" s="1" t="s">
        <v>790</v>
      </c>
      <c r="F280" s="1" t="s">
        <v>791</v>
      </c>
      <c r="G280" s="1">
        <v>1</v>
      </c>
      <c r="H280" s="7">
        <v>45560</v>
      </c>
      <c r="I280" s="1" t="s">
        <v>7449</v>
      </c>
      <c r="J280" s="7">
        <v>45560</v>
      </c>
      <c r="K280" s="1" t="s">
        <v>7449</v>
      </c>
    </row>
    <row r="281" spans="1:11" x14ac:dyDescent="0.25">
      <c r="A281" s="1">
        <v>280</v>
      </c>
      <c r="B281" s="1" t="s">
        <v>792</v>
      </c>
      <c r="C281" s="1" t="s">
        <v>793</v>
      </c>
      <c r="F281" s="1" t="s">
        <v>794</v>
      </c>
      <c r="G281" s="1">
        <v>1</v>
      </c>
      <c r="H281" s="7">
        <v>45560</v>
      </c>
      <c r="I281" s="1" t="s">
        <v>7449</v>
      </c>
      <c r="J281" s="7">
        <v>45560</v>
      </c>
      <c r="K281" s="1" t="s">
        <v>7449</v>
      </c>
    </row>
    <row r="282" spans="1:11" x14ac:dyDescent="0.25">
      <c r="A282" s="1">
        <v>281</v>
      </c>
      <c r="B282" s="1" t="s">
        <v>795</v>
      </c>
      <c r="C282" s="1" t="s">
        <v>796</v>
      </c>
      <c r="F282" s="1" t="s">
        <v>797</v>
      </c>
      <c r="G282" s="1">
        <v>1</v>
      </c>
      <c r="H282" s="7">
        <v>45560</v>
      </c>
      <c r="I282" s="1" t="s">
        <v>7449</v>
      </c>
      <c r="J282" s="7">
        <v>45560</v>
      </c>
      <c r="K282" s="1" t="s">
        <v>7449</v>
      </c>
    </row>
    <row r="283" spans="1:11" x14ac:dyDescent="0.25">
      <c r="A283" s="1">
        <v>282</v>
      </c>
      <c r="B283" s="1" t="s">
        <v>798</v>
      </c>
      <c r="C283" s="1" t="s">
        <v>799</v>
      </c>
      <c r="F283" s="1" t="s">
        <v>800</v>
      </c>
      <c r="G283" s="1">
        <v>1</v>
      </c>
      <c r="H283" s="7">
        <v>45560</v>
      </c>
      <c r="I283" s="1" t="s">
        <v>7449</v>
      </c>
      <c r="J283" s="7">
        <v>45560</v>
      </c>
      <c r="K283" s="1" t="s">
        <v>7449</v>
      </c>
    </row>
    <row r="284" spans="1:11" x14ac:dyDescent="0.25">
      <c r="A284" s="1">
        <v>283</v>
      </c>
      <c r="B284" s="1" t="s">
        <v>801</v>
      </c>
      <c r="C284" s="1" t="s">
        <v>802</v>
      </c>
      <c r="F284" s="1" t="s">
        <v>803</v>
      </c>
      <c r="G284" s="1">
        <v>1</v>
      </c>
      <c r="H284" s="7">
        <v>45560</v>
      </c>
      <c r="I284" s="1" t="s">
        <v>7449</v>
      </c>
      <c r="J284" s="7">
        <v>45560</v>
      </c>
      <c r="K284" s="1" t="s">
        <v>7449</v>
      </c>
    </row>
    <row r="285" spans="1:11" x14ac:dyDescent="0.25">
      <c r="A285" s="1">
        <v>284</v>
      </c>
      <c r="B285" s="1" t="s">
        <v>804</v>
      </c>
      <c r="C285" s="1" t="s">
        <v>805</v>
      </c>
      <c r="F285" s="1" t="s">
        <v>806</v>
      </c>
      <c r="G285" s="1">
        <v>1</v>
      </c>
      <c r="H285" s="7">
        <v>45560</v>
      </c>
      <c r="I285" s="1" t="s">
        <v>7449</v>
      </c>
      <c r="J285" s="7">
        <v>45560</v>
      </c>
      <c r="K285" s="1" t="s">
        <v>7449</v>
      </c>
    </row>
    <row r="286" spans="1:11" x14ac:dyDescent="0.25">
      <c r="A286" s="1">
        <v>285</v>
      </c>
      <c r="B286" s="1" t="s">
        <v>807</v>
      </c>
      <c r="C286" s="1" t="s">
        <v>808</v>
      </c>
      <c r="F286" s="1" t="s">
        <v>809</v>
      </c>
      <c r="G286" s="1">
        <v>1</v>
      </c>
      <c r="H286" s="7">
        <v>45560</v>
      </c>
      <c r="I286" s="1" t="s">
        <v>7449</v>
      </c>
      <c r="J286" s="7">
        <v>45560</v>
      </c>
      <c r="K286" s="1" t="s">
        <v>7449</v>
      </c>
    </row>
    <row r="287" spans="1:11" x14ac:dyDescent="0.25">
      <c r="A287" s="1">
        <v>286</v>
      </c>
      <c r="B287" s="1" t="s">
        <v>810</v>
      </c>
      <c r="C287" s="1" t="s">
        <v>811</v>
      </c>
      <c r="F287" s="1" t="s">
        <v>812</v>
      </c>
      <c r="G287" s="1">
        <v>1</v>
      </c>
      <c r="H287" s="7">
        <v>45560</v>
      </c>
      <c r="I287" s="1" t="s">
        <v>7449</v>
      </c>
      <c r="J287" s="7">
        <v>45560</v>
      </c>
      <c r="K287" s="1" t="s">
        <v>7449</v>
      </c>
    </row>
    <row r="288" spans="1:11" x14ac:dyDescent="0.25">
      <c r="A288" s="1">
        <v>287</v>
      </c>
      <c r="B288" s="1" t="s">
        <v>813</v>
      </c>
      <c r="C288" s="1" t="s">
        <v>814</v>
      </c>
      <c r="F288" s="1" t="s">
        <v>815</v>
      </c>
      <c r="G288" s="1">
        <v>1</v>
      </c>
      <c r="H288" s="7">
        <v>45560</v>
      </c>
      <c r="I288" s="1" t="s">
        <v>7449</v>
      </c>
      <c r="J288" s="7">
        <v>45560</v>
      </c>
      <c r="K288" s="1" t="s">
        <v>7449</v>
      </c>
    </row>
    <row r="289" spans="1:11" x14ac:dyDescent="0.25">
      <c r="A289" s="1">
        <v>288</v>
      </c>
      <c r="B289" s="1" t="s">
        <v>816</v>
      </c>
      <c r="C289" s="1" t="s">
        <v>817</v>
      </c>
      <c r="F289" s="1" t="s">
        <v>818</v>
      </c>
      <c r="G289" s="1">
        <v>1</v>
      </c>
      <c r="H289" s="7">
        <v>45560</v>
      </c>
      <c r="I289" s="1" t="s">
        <v>7449</v>
      </c>
      <c r="J289" s="7">
        <v>45560</v>
      </c>
      <c r="K289" s="1" t="s">
        <v>7449</v>
      </c>
    </row>
    <row r="290" spans="1:11" x14ac:dyDescent="0.25">
      <c r="A290" s="1">
        <v>289</v>
      </c>
      <c r="B290" s="1" t="s">
        <v>819</v>
      </c>
      <c r="C290" s="1" t="s">
        <v>820</v>
      </c>
      <c r="D290" s="1" t="s">
        <v>821</v>
      </c>
      <c r="G290" s="1">
        <v>1</v>
      </c>
      <c r="H290" s="7">
        <v>45560</v>
      </c>
      <c r="I290" s="1" t="s">
        <v>7449</v>
      </c>
      <c r="J290" s="7">
        <v>45560</v>
      </c>
      <c r="K290" s="1" t="s">
        <v>7449</v>
      </c>
    </row>
    <row r="291" spans="1:11" x14ac:dyDescent="0.25">
      <c r="A291" s="1">
        <v>290</v>
      </c>
      <c r="B291" s="1" t="s">
        <v>822</v>
      </c>
      <c r="C291" s="1" t="s">
        <v>823</v>
      </c>
      <c r="D291" s="1" t="s">
        <v>824</v>
      </c>
      <c r="F291" s="1" t="s">
        <v>825</v>
      </c>
      <c r="G291" s="1">
        <v>1</v>
      </c>
      <c r="H291" s="7">
        <v>45560</v>
      </c>
      <c r="I291" s="1" t="s">
        <v>7449</v>
      </c>
      <c r="J291" s="7">
        <v>45560</v>
      </c>
      <c r="K291" s="1" t="s">
        <v>7449</v>
      </c>
    </row>
    <row r="292" spans="1:11" x14ac:dyDescent="0.25">
      <c r="A292" s="1">
        <v>291</v>
      </c>
      <c r="B292" s="1" t="s">
        <v>826</v>
      </c>
      <c r="C292" s="1" t="s">
        <v>827</v>
      </c>
      <c r="F292" s="1" t="s">
        <v>828</v>
      </c>
      <c r="G292" s="1">
        <v>1</v>
      </c>
      <c r="H292" s="7">
        <v>45560</v>
      </c>
      <c r="I292" s="1" t="s">
        <v>7449</v>
      </c>
      <c r="J292" s="7">
        <v>45560</v>
      </c>
      <c r="K292" s="1" t="s">
        <v>7449</v>
      </c>
    </row>
    <row r="293" spans="1:11" x14ac:dyDescent="0.25">
      <c r="A293" s="1">
        <v>292</v>
      </c>
      <c r="B293" s="1" t="s">
        <v>829</v>
      </c>
      <c r="C293" s="1" t="s">
        <v>830</v>
      </c>
      <c r="F293" s="1" t="s">
        <v>831</v>
      </c>
      <c r="G293" s="1">
        <v>1</v>
      </c>
      <c r="H293" s="7">
        <v>45560</v>
      </c>
      <c r="I293" s="1" t="s">
        <v>7449</v>
      </c>
      <c r="J293" s="7">
        <v>45560</v>
      </c>
      <c r="K293" s="1" t="s">
        <v>7449</v>
      </c>
    </row>
    <row r="294" spans="1:11" x14ac:dyDescent="0.25">
      <c r="A294" s="1">
        <v>293</v>
      </c>
      <c r="B294" s="1" t="s">
        <v>832</v>
      </c>
      <c r="C294" s="1" t="s">
        <v>833</v>
      </c>
      <c r="F294" s="1" t="s">
        <v>834</v>
      </c>
      <c r="G294" s="1">
        <v>1</v>
      </c>
      <c r="H294" s="7">
        <v>45560</v>
      </c>
      <c r="I294" s="1" t="s">
        <v>7449</v>
      </c>
      <c r="J294" s="7">
        <v>45560</v>
      </c>
      <c r="K294" s="1" t="s">
        <v>7449</v>
      </c>
    </row>
    <row r="295" spans="1:11" x14ac:dyDescent="0.25">
      <c r="A295" s="1">
        <v>294</v>
      </c>
      <c r="B295" s="1" t="s">
        <v>835</v>
      </c>
      <c r="C295" s="1" t="s">
        <v>836</v>
      </c>
      <c r="F295" s="1" t="s">
        <v>837</v>
      </c>
      <c r="G295" s="1">
        <v>1</v>
      </c>
      <c r="H295" s="7">
        <v>45560</v>
      </c>
      <c r="I295" s="1" t="s">
        <v>7449</v>
      </c>
      <c r="J295" s="7">
        <v>45560</v>
      </c>
      <c r="K295" s="1" t="s">
        <v>7449</v>
      </c>
    </row>
    <row r="296" spans="1:11" x14ac:dyDescent="0.25">
      <c r="A296" s="1">
        <v>295</v>
      </c>
      <c r="B296" s="1" t="s">
        <v>838</v>
      </c>
      <c r="C296" s="1" t="s">
        <v>839</v>
      </c>
      <c r="F296" s="1" t="s">
        <v>840</v>
      </c>
      <c r="G296" s="1">
        <v>1</v>
      </c>
      <c r="H296" s="7">
        <v>45560</v>
      </c>
      <c r="I296" s="1" t="s">
        <v>7449</v>
      </c>
      <c r="J296" s="7">
        <v>45560</v>
      </c>
      <c r="K296" s="1" t="s">
        <v>7449</v>
      </c>
    </row>
    <row r="297" spans="1:11" x14ac:dyDescent="0.25">
      <c r="A297" s="1">
        <v>296</v>
      </c>
      <c r="B297" s="1" t="s">
        <v>841</v>
      </c>
      <c r="C297" s="1" t="s">
        <v>842</v>
      </c>
      <c r="E297" s="1" t="s">
        <v>73</v>
      </c>
      <c r="F297" s="1" t="s">
        <v>843</v>
      </c>
      <c r="G297" s="1">
        <v>1</v>
      </c>
      <c r="H297" s="7">
        <v>45560</v>
      </c>
      <c r="I297" s="1" t="s">
        <v>7449</v>
      </c>
      <c r="J297" s="7">
        <v>45560</v>
      </c>
      <c r="K297" s="1" t="s">
        <v>7449</v>
      </c>
    </row>
    <row r="298" spans="1:11" x14ac:dyDescent="0.25">
      <c r="A298" s="1">
        <v>297</v>
      </c>
      <c r="B298" s="1" t="s">
        <v>844</v>
      </c>
      <c r="C298" s="1" t="s">
        <v>845</v>
      </c>
      <c r="E298" s="1" t="s">
        <v>73</v>
      </c>
      <c r="F298" s="1" t="s">
        <v>846</v>
      </c>
      <c r="G298" s="1">
        <v>1</v>
      </c>
      <c r="H298" s="7">
        <v>45560</v>
      </c>
      <c r="I298" s="1" t="s">
        <v>7449</v>
      </c>
      <c r="J298" s="7">
        <v>45560</v>
      </c>
      <c r="K298" s="1" t="s">
        <v>7449</v>
      </c>
    </row>
    <row r="299" spans="1:11" x14ac:dyDescent="0.25">
      <c r="A299" s="1">
        <v>298</v>
      </c>
      <c r="B299" s="1" t="s">
        <v>847</v>
      </c>
      <c r="C299" s="1" t="s">
        <v>848</v>
      </c>
      <c r="E299" s="1" t="s">
        <v>73</v>
      </c>
      <c r="F299" s="1" t="s">
        <v>849</v>
      </c>
      <c r="G299" s="1">
        <v>1</v>
      </c>
      <c r="H299" s="7">
        <v>45560</v>
      </c>
      <c r="I299" s="1" t="s">
        <v>7449</v>
      </c>
      <c r="J299" s="7">
        <v>45560</v>
      </c>
      <c r="K299" s="1" t="s">
        <v>7449</v>
      </c>
    </row>
    <row r="300" spans="1:11" x14ac:dyDescent="0.25">
      <c r="A300" s="1">
        <v>299</v>
      </c>
      <c r="B300" s="1" t="s">
        <v>850</v>
      </c>
      <c r="C300" s="1" t="s">
        <v>851</v>
      </c>
      <c r="E300" s="1" t="s">
        <v>73</v>
      </c>
      <c r="F300" s="1" t="s">
        <v>852</v>
      </c>
      <c r="G300" s="1">
        <v>1</v>
      </c>
      <c r="H300" s="7">
        <v>45560</v>
      </c>
      <c r="I300" s="1" t="s">
        <v>7449</v>
      </c>
      <c r="J300" s="7">
        <v>45560</v>
      </c>
      <c r="K300" s="1" t="s">
        <v>7449</v>
      </c>
    </row>
    <row r="301" spans="1:11" x14ac:dyDescent="0.25">
      <c r="A301" s="1">
        <v>300</v>
      </c>
      <c r="B301" s="1" t="s">
        <v>853</v>
      </c>
      <c r="C301" s="1" t="s">
        <v>854</v>
      </c>
      <c r="D301" s="1" t="s">
        <v>855</v>
      </c>
      <c r="G301" s="1">
        <v>1</v>
      </c>
      <c r="H301" s="7">
        <v>45560</v>
      </c>
      <c r="I301" s="1" t="s">
        <v>7449</v>
      </c>
      <c r="J301" s="7">
        <v>45560</v>
      </c>
      <c r="K301" s="1" t="s">
        <v>7449</v>
      </c>
    </row>
    <row r="302" spans="1:11" x14ac:dyDescent="0.25">
      <c r="A302" s="1">
        <v>301</v>
      </c>
      <c r="B302" s="1" t="s">
        <v>856</v>
      </c>
      <c r="C302" s="1" t="s">
        <v>857</v>
      </c>
      <c r="E302" s="1" t="s">
        <v>73</v>
      </c>
      <c r="F302" s="1" t="s">
        <v>858</v>
      </c>
      <c r="G302" s="1">
        <v>1</v>
      </c>
      <c r="H302" s="7">
        <v>45560</v>
      </c>
      <c r="I302" s="1" t="s">
        <v>7449</v>
      </c>
      <c r="J302" s="7">
        <v>45560</v>
      </c>
      <c r="K302" s="1" t="s">
        <v>7449</v>
      </c>
    </row>
    <row r="303" spans="1:11" x14ac:dyDescent="0.25">
      <c r="A303" s="1">
        <v>302</v>
      </c>
      <c r="B303" s="1" t="s">
        <v>859</v>
      </c>
      <c r="C303" s="1" t="s">
        <v>860</v>
      </c>
      <c r="F303" s="1" t="s">
        <v>861</v>
      </c>
      <c r="G303" s="1">
        <v>1</v>
      </c>
      <c r="H303" s="7">
        <v>45560</v>
      </c>
      <c r="I303" s="1" t="s">
        <v>7449</v>
      </c>
      <c r="J303" s="7">
        <v>45560</v>
      </c>
      <c r="K303" s="1" t="s">
        <v>7449</v>
      </c>
    </row>
    <row r="304" spans="1:11" x14ac:dyDescent="0.25">
      <c r="A304" s="1">
        <v>303</v>
      </c>
      <c r="B304" s="1" t="s">
        <v>862</v>
      </c>
      <c r="C304" s="1" t="s">
        <v>863</v>
      </c>
      <c r="F304" s="1" t="s">
        <v>864</v>
      </c>
      <c r="G304" s="1">
        <v>1</v>
      </c>
      <c r="H304" s="7">
        <v>45560</v>
      </c>
      <c r="I304" s="1" t="s">
        <v>7449</v>
      </c>
      <c r="J304" s="7">
        <v>45560</v>
      </c>
      <c r="K304" s="1" t="s">
        <v>7449</v>
      </c>
    </row>
    <row r="305" spans="1:11" x14ac:dyDescent="0.25">
      <c r="A305" s="1">
        <v>304</v>
      </c>
      <c r="B305" s="1" t="s">
        <v>865</v>
      </c>
      <c r="C305" s="1" t="s">
        <v>866</v>
      </c>
      <c r="F305" s="1" t="s">
        <v>867</v>
      </c>
      <c r="G305" s="1">
        <v>1</v>
      </c>
      <c r="H305" s="7">
        <v>45560</v>
      </c>
      <c r="I305" s="1" t="s">
        <v>7449</v>
      </c>
      <c r="J305" s="7">
        <v>45560</v>
      </c>
      <c r="K305" s="1" t="s">
        <v>7449</v>
      </c>
    </row>
    <row r="306" spans="1:11" x14ac:dyDescent="0.25">
      <c r="A306" s="1">
        <v>305</v>
      </c>
      <c r="B306" s="1" t="s">
        <v>868</v>
      </c>
      <c r="C306" s="1" t="s">
        <v>869</v>
      </c>
      <c r="F306" s="1" t="s">
        <v>870</v>
      </c>
      <c r="G306" s="1">
        <v>1</v>
      </c>
      <c r="H306" s="7">
        <v>45560</v>
      </c>
      <c r="I306" s="1" t="s">
        <v>7449</v>
      </c>
      <c r="J306" s="7">
        <v>45560</v>
      </c>
      <c r="K306" s="1" t="s">
        <v>7449</v>
      </c>
    </row>
    <row r="307" spans="1:11" x14ac:dyDescent="0.25">
      <c r="A307" s="1">
        <v>306</v>
      </c>
      <c r="B307" s="1" t="s">
        <v>871</v>
      </c>
      <c r="C307" s="1" t="s">
        <v>872</v>
      </c>
      <c r="F307" s="1" t="s">
        <v>873</v>
      </c>
      <c r="G307" s="1">
        <v>1</v>
      </c>
      <c r="H307" s="7">
        <v>45560</v>
      </c>
      <c r="I307" s="1" t="s">
        <v>7449</v>
      </c>
      <c r="J307" s="7">
        <v>45560</v>
      </c>
      <c r="K307" s="1" t="s">
        <v>7449</v>
      </c>
    </row>
    <row r="308" spans="1:11" x14ac:dyDescent="0.25">
      <c r="A308" s="1">
        <v>307</v>
      </c>
      <c r="B308" s="1" t="s">
        <v>874</v>
      </c>
      <c r="C308" s="1" t="s">
        <v>875</v>
      </c>
      <c r="F308" s="1" t="s">
        <v>876</v>
      </c>
      <c r="G308" s="1">
        <v>1</v>
      </c>
      <c r="H308" s="7">
        <v>45560</v>
      </c>
      <c r="I308" s="1" t="s">
        <v>7449</v>
      </c>
      <c r="J308" s="7">
        <v>45560</v>
      </c>
      <c r="K308" s="1" t="s">
        <v>7449</v>
      </c>
    </row>
    <row r="309" spans="1:11" x14ac:dyDescent="0.25">
      <c r="A309" s="1">
        <v>308</v>
      </c>
      <c r="B309" s="1" t="s">
        <v>877</v>
      </c>
      <c r="C309" s="1" t="s">
        <v>878</v>
      </c>
      <c r="F309" s="1" t="s">
        <v>879</v>
      </c>
      <c r="G309" s="1">
        <v>1</v>
      </c>
      <c r="H309" s="7">
        <v>45560</v>
      </c>
      <c r="I309" s="1" t="s">
        <v>7449</v>
      </c>
      <c r="J309" s="7">
        <v>45560</v>
      </c>
      <c r="K309" s="1" t="s">
        <v>7449</v>
      </c>
    </row>
    <row r="310" spans="1:11" x14ac:dyDescent="0.25">
      <c r="A310" s="1">
        <v>309</v>
      </c>
      <c r="B310" s="1" t="s">
        <v>880</v>
      </c>
      <c r="C310" s="1" t="s">
        <v>881</v>
      </c>
      <c r="F310" s="1" t="s">
        <v>882</v>
      </c>
      <c r="G310" s="1">
        <v>1</v>
      </c>
      <c r="H310" s="7">
        <v>45560</v>
      </c>
      <c r="I310" s="1" t="s">
        <v>7449</v>
      </c>
      <c r="J310" s="7">
        <v>45560</v>
      </c>
      <c r="K310" s="1" t="s">
        <v>7449</v>
      </c>
    </row>
    <row r="311" spans="1:11" x14ac:dyDescent="0.25">
      <c r="A311" s="1">
        <v>310</v>
      </c>
      <c r="B311" s="1" t="s">
        <v>883</v>
      </c>
      <c r="C311" s="1" t="s">
        <v>884</v>
      </c>
      <c r="F311" s="1" t="s">
        <v>885</v>
      </c>
      <c r="G311" s="1">
        <v>1</v>
      </c>
      <c r="H311" s="7">
        <v>45560</v>
      </c>
      <c r="I311" s="1" t="s">
        <v>7449</v>
      </c>
      <c r="J311" s="7">
        <v>45560</v>
      </c>
      <c r="K311" s="1" t="s">
        <v>7449</v>
      </c>
    </row>
    <row r="312" spans="1:11" x14ac:dyDescent="0.25">
      <c r="A312" s="1">
        <v>311</v>
      </c>
      <c r="B312" s="1" t="s">
        <v>886</v>
      </c>
      <c r="C312" s="1" t="s">
        <v>887</v>
      </c>
      <c r="E312" s="1" t="s">
        <v>52</v>
      </c>
      <c r="G312" s="1">
        <v>1</v>
      </c>
      <c r="H312" s="7">
        <v>45560</v>
      </c>
      <c r="I312" s="1" t="s">
        <v>7449</v>
      </c>
      <c r="J312" s="7">
        <v>45560</v>
      </c>
      <c r="K312" s="1" t="s">
        <v>7449</v>
      </c>
    </row>
    <row r="313" spans="1:11" x14ac:dyDescent="0.25">
      <c r="A313" s="1">
        <v>312</v>
      </c>
      <c r="B313" s="1" t="s">
        <v>888</v>
      </c>
      <c r="C313" s="1" t="s">
        <v>889</v>
      </c>
      <c r="F313" s="1" t="s">
        <v>890</v>
      </c>
      <c r="G313" s="1">
        <v>1</v>
      </c>
      <c r="H313" s="7">
        <v>45560</v>
      </c>
      <c r="I313" s="1" t="s">
        <v>7449</v>
      </c>
      <c r="J313" s="7">
        <v>45560</v>
      </c>
      <c r="K313" s="1" t="s">
        <v>7449</v>
      </c>
    </row>
    <row r="314" spans="1:11" x14ac:dyDescent="0.25">
      <c r="A314" s="1">
        <v>313</v>
      </c>
      <c r="B314" s="1" t="s">
        <v>891</v>
      </c>
      <c r="C314" s="1" t="s">
        <v>892</v>
      </c>
      <c r="D314" s="1" t="s">
        <v>893</v>
      </c>
      <c r="E314" s="1" t="s">
        <v>73</v>
      </c>
      <c r="F314" s="1" t="s">
        <v>894</v>
      </c>
      <c r="G314" s="1">
        <v>1</v>
      </c>
      <c r="H314" s="7">
        <v>45560</v>
      </c>
      <c r="I314" s="1" t="s">
        <v>7449</v>
      </c>
      <c r="J314" s="7">
        <v>45560</v>
      </c>
      <c r="K314" s="1" t="s">
        <v>7449</v>
      </c>
    </row>
    <row r="315" spans="1:11" x14ac:dyDescent="0.25">
      <c r="A315" s="1">
        <v>314</v>
      </c>
      <c r="B315" s="1" t="s">
        <v>895</v>
      </c>
      <c r="C315" s="1" t="s">
        <v>896</v>
      </c>
      <c r="F315" s="1" t="s">
        <v>897</v>
      </c>
      <c r="G315" s="1">
        <v>1</v>
      </c>
      <c r="H315" s="7">
        <v>45560</v>
      </c>
      <c r="I315" s="1" t="s">
        <v>7449</v>
      </c>
      <c r="J315" s="7">
        <v>45560</v>
      </c>
      <c r="K315" s="1" t="s">
        <v>7449</v>
      </c>
    </row>
    <row r="316" spans="1:11" x14ac:dyDescent="0.25">
      <c r="A316" s="1">
        <v>315</v>
      </c>
      <c r="B316" s="1" t="s">
        <v>898</v>
      </c>
      <c r="C316" s="1" t="s">
        <v>899</v>
      </c>
      <c r="F316" s="1" t="s">
        <v>900</v>
      </c>
      <c r="G316" s="1">
        <v>1</v>
      </c>
      <c r="H316" s="7">
        <v>45560</v>
      </c>
      <c r="I316" s="1" t="s">
        <v>7449</v>
      </c>
      <c r="J316" s="7">
        <v>45560</v>
      </c>
      <c r="K316" s="1" t="s">
        <v>7449</v>
      </c>
    </row>
    <row r="317" spans="1:11" x14ac:dyDescent="0.25">
      <c r="A317" s="1">
        <v>316</v>
      </c>
      <c r="B317" s="1" t="s">
        <v>901</v>
      </c>
      <c r="C317" s="1" t="s">
        <v>902</v>
      </c>
      <c r="F317" s="1" t="s">
        <v>903</v>
      </c>
      <c r="G317" s="1">
        <v>1</v>
      </c>
      <c r="H317" s="7">
        <v>45560</v>
      </c>
      <c r="I317" s="1" t="s">
        <v>7449</v>
      </c>
      <c r="J317" s="7">
        <v>45560</v>
      </c>
      <c r="K317" s="1" t="s">
        <v>7449</v>
      </c>
    </row>
    <row r="318" spans="1:11" x14ac:dyDescent="0.25">
      <c r="A318" s="1">
        <v>317</v>
      </c>
      <c r="B318" s="1" t="s">
        <v>904</v>
      </c>
      <c r="C318" s="1" t="s">
        <v>905</v>
      </c>
      <c r="F318" s="1" t="s">
        <v>906</v>
      </c>
      <c r="G318" s="1">
        <v>1</v>
      </c>
      <c r="H318" s="7">
        <v>45560</v>
      </c>
      <c r="I318" s="1" t="s">
        <v>7449</v>
      </c>
      <c r="J318" s="7">
        <v>45560</v>
      </c>
      <c r="K318" s="1" t="s">
        <v>7449</v>
      </c>
    </row>
    <row r="319" spans="1:11" x14ac:dyDescent="0.25">
      <c r="A319" s="1">
        <v>318</v>
      </c>
      <c r="B319" s="1" t="s">
        <v>907</v>
      </c>
      <c r="C319" s="1" t="s">
        <v>908</v>
      </c>
      <c r="F319" s="1" t="s">
        <v>909</v>
      </c>
      <c r="G319" s="1">
        <v>1</v>
      </c>
      <c r="H319" s="7">
        <v>45560</v>
      </c>
      <c r="I319" s="1" t="s">
        <v>7449</v>
      </c>
      <c r="J319" s="7">
        <v>45560</v>
      </c>
      <c r="K319" s="1" t="s">
        <v>7449</v>
      </c>
    </row>
    <row r="320" spans="1:11" x14ac:dyDescent="0.25">
      <c r="A320" s="1">
        <v>319</v>
      </c>
      <c r="B320" s="1" t="s">
        <v>910</v>
      </c>
      <c r="C320" s="1" t="s">
        <v>911</v>
      </c>
      <c r="D320" s="1" t="s">
        <v>912</v>
      </c>
      <c r="F320" s="1" t="s">
        <v>913</v>
      </c>
      <c r="G320" s="1">
        <v>1</v>
      </c>
      <c r="H320" s="7">
        <v>45560</v>
      </c>
      <c r="I320" s="1" t="s">
        <v>7449</v>
      </c>
      <c r="J320" s="7">
        <v>45560</v>
      </c>
      <c r="K320" s="1" t="s">
        <v>7449</v>
      </c>
    </row>
    <row r="321" spans="1:11" x14ac:dyDescent="0.25">
      <c r="A321" s="1">
        <v>320</v>
      </c>
      <c r="B321" s="1" t="s">
        <v>914</v>
      </c>
      <c r="C321" s="1" t="s">
        <v>915</v>
      </c>
      <c r="F321" s="1" t="s">
        <v>916</v>
      </c>
      <c r="G321" s="1">
        <v>1</v>
      </c>
      <c r="H321" s="7">
        <v>45560</v>
      </c>
      <c r="I321" s="1" t="s">
        <v>7449</v>
      </c>
      <c r="J321" s="7">
        <v>45560</v>
      </c>
      <c r="K321" s="1" t="s">
        <v>7449</v>
      </c>
    </row>
    <row r="322" spans="1:11" x14ac:dyDescent="0.25">
      <c r="A322" s="1">
        <v>321</v>
      </c>
      <c r="B322" s="1" t="s">
        <v>917</v>
      </c>
      <c r="C322" s="1" t="s">
        <v>918</v>
      </c>
      <c r="F322" s="1" t="s">
        <v>919</v>
      </c>
      <c r="G322" s="1">
        <v>1</v>
      </c>
      <c r="H322" s="7">
        <v>45560</v>
      </c>
      <c r="I322" s="1" t="s">
        <v>7449</v>
      </c>
      <c r="J322" s="7">
        <v>45560</v>
      </c>
      <c r="K322" s="1" t="s">
        <v>7449</v>
      </c>
    </row>
    <row r="323" spans="1:11" x14ac:dyDescent="0.25">
      <c r="A323" s="1">
        <v>322</v>
      </c>
      <c r="B323" s="1" t="s">
        <v>920</v>
      </c>
      <c r="C323" s="1" t="s">
        <v>921</v>
      </c>
      <c r="E323" s="1" t="s">
        <v>52</v>
      </c>
      <c r="G323" s="1">
        <v>1</v>
      </c>
      <c r="H323" s="7">
        <v>45560</v>
      </c>
      <c r="I323" s="1" t="s">
        <v>7449</v>
      </c>
      <c r="J323" s="7">
        <v>45560</v>
      </c>
      <c r="K323" s="1" t="s">
        <v>7449</v>
      </c>
    </row>
    <row r="324" spans="1:11" x14ac:dyDescent="0.25">
      <c r="A324" s="1">
        <v>323</v>
      </c>
      <c r="B324" s="1" t="s">
        <v>922</v>
      </c>
      <c r="C324" s="1" t="s">
        <v>923</v>
      </c>
      <c r="F324" s="1" t="s">
        <v>924</v>
      </c>
      <c r="G324" s="1">
        <v>1</v>
      </c>
      <c r="H324" s="7">
        <v>45560</v>
      </c>
      <c r="I324" s="1" t="s">
        <v>7449</v>
      </c>
      <c r="J324" s="7">
        <v>45560</v>
      </c>
      <c r="K324" s="1" t="s">
        <v>7449</v>
      </c>
    </row>
    <row r="325" spans="1:11" x14ac:dyDescent="0.25">
      <c r="A325" s="1">
        <v>324</v>
      </c>
      <c r="B325" s="1" t="s">
        <v>925</v>
      </c>
      <c r="C325" s="1" t="s">
        <v>926</v>
      </c>
      <c r="F325" s="1" t="s">
        <v>927</v>
      </c>
      <c r="G325" s="1">
        <v>1</v>
      </c>
      <c r="H325" s="7">
        <v>45560</v>
      </c>
      <c r="I325" s="1" t="s">
        <v>7449</v>
      </c>
      <c r="J325" s="7">
        <v>45560</v>
      </c>
      <c r="K325" s="1" t="s">
        <v>7449</v>
      </c>
    </row>
    <row r="326" spans="1:11" x14ac:dyDescent="0.25">
      <c r="A326" s="1">
        <v>325</v>
      </c>
      <c r="B326" s="1" t="s">
        <v>928</v>
      </c>
      <c r="C326" s="1" t="s">
        <v>929</v>
      </c>
      <c r="F326" s="1" t="s">
        <v>930</v>
      </c>
      <c r="G326" s="1">
        <v>1</v>
      </c>
      <c r="H326" s="7">
        <v>45560</v>
      </c>
      <c r="I326" s="1" t="s">
        <v>7449</v>
      </c>
      <c r="J326" s="7">
        <v>45560</v>
      </c>
      <c r="K326" s="1" t="s">
        <v>7449</v>
      </c>
    </row>
    <row r="327" spans="1:11" x14ac:dyDescent="0.25">
      <c r="A327" s="1">
        <v>326</v>
      </c>
      <c r="B327" s="1" t="s">
        <v>931</v>
      </c>
      <c r="C327" s="1" t="s">
        <v>932</v>
      </c>
      <c r="F327" s="1" t="s">
        <v>933</v>
      </c>
      <c r="G327" s="1">
        <v>1</v>
      </c>
      <c r="H327" s="7">
        <v>45560</v>
      </c>
      <c r="I327" s="1" t="s">
        <v>7449</v>
      </c>
      <c r="J327" s="7">
        <v>45560</v>
      </c>
      <c r="K327" s="1" t="s">
        <v>7449</v>
      </c>
    </row>
    <row r="328" spans="1:11" x14ac:dyDescent="0.25">
      <c r="A328" s="1">
        <v>327</v>
      </c>
      <c r="B328" s="1" t="s">
        <v>934</v>
      </c>
      <c r="C328" s="1" t="s">
        <v>935</v>
      </c>
      <c r="F328" s="1" t="s">
        <v>936</v>
      </c>
      <c r="G328" s="1">
        <v>1</v>
      </c>
      <c r="H328" s="7">
        <v>45560</v>
      </c>
      <c r="I328" s="1" t="s">
        <v>7449</v>
      </c>
      <c r="J328" s="7">
        <v>45560</v>
      </c>
      <c r="K328" s="1" t="s">
        <v>7449</v>
      </c>
    </row>
    <row r="329" spans="1:11" x14ac:dyDescent="0.25">
      <c r="A329" s="1">
        <v>328</v>
      </c>
      <c r="B329" s="1" t="s">
        <v>937</v>
      </c>
      <c r="C329" s="1" t="s">
        <v>938</v>
      </c>
      <c r="E329" s="1" t="s">
        <v>73</v>
      </c>
      <c r="F329" s="1" t="s">
        <v>939</v>
      </c>
      <c r="G329" s="1">
        <v>1</v>
      </c>
      <c r="H329" s="7">
        <v>45560</v>
      </c>
      <c r="I329" s="1" t="s">
        <v>7449</v>
      </c>
      <c r="J329" s="7">
        <v>45560</v>
      </c>
      <c r="K329" s="1" t="s">
        <v>7449</v>
      </c>
    </row>
    <row r="330" spans="1:11" x14ac:dyDescent="0.25">
      <c r="A330" s="1">
        <v>329</v>
      </c>
      <c r="B330" s="1" t="s">
        <v>940</v>
      </c>
      <c r="C330" s="1" t="s">
        <v>941</v>
      </c>
      <c r="F330" s="1" t="s">
        <v>942</v>
      </c>
      <c r="G330" s="1">
        <v>1</v>
      </c>
      <c r="H330" s="7">
        <v>45560</v>
      </c>
      <c r="I330" s="1" t="s">
        <v>7449</v>
      </c>
      <c r="J330" s="7">
        <v>45560</v>
      </c>
      <c r="K330" s="1" t="s">
        <v>7449</v>
      </c>
    </row>
    <row r="331" spans="1:11" x14ac:dyDescent="0.25">
      <c r="A331" s="1">
        <v>330</v>
      </c>
      <c r="B331" s="1" t="s">
        <v>943</v>
      </c>
      <c r="C331" s="1" t="s">
        <v>944</v>
      </c>
      <c r="F331" s="1" t="s">
        <v>945</v>
      </c>
      <c r="G331" s="1">
        <v>1</v>
      </c>
      <c r="H331" s="7">
        <v>45560</v>
      </c>
      <c r="I331" s="1" t="s">
        <v>7449</v>
      </c>
      <c r="J331" s="7">
        <v>45560</v>
      </c>
      <c r="K331" s="1" t="s">
        <v>7449</v>
      </c>
    </row>
    <row r="332" spans="1:11" x14ac:dyDescent="0.25">
      <c r="A332" s="1">
        <v>331</v>
      </c>
      <c r="B332" s="1" t="s">
        <v>946</v>
      </c>
      <c r="C332" s="1" t="s">
        <v>947</v>
      </c>
      <c r="D332" s="1" t="s">
        <v>948</v>
      </c>
      <c r="F332" s="1" t="s">
        <v>949</v>
      </c>
      <c r="G332" s="1">
        <v>1</v>
      </c>
      <c r="H332" s="7">
        <v>45560</v>
      </c>
      <c r="I332" s="1" t="s">
        <v>7449</v>
      </c>
      <c r="J332" s="7">
        <v>45560</v>
      </c>
      <c r="K332" s="1" t="s">
        <v>7449</v>
      </c>
    </row>
    <row r="333" spans="1:11" x14ac:dyDescent="0.25">
      <c r="A333" s="1">
        <v>332</v>
      </c>
      <c r="B333" s="1" t="s">
        <v>950</v>
      </c>
      <c r="C333" s="1" t="s">
        <v>951</v>
      </c>
      <c r="F333" s="1" t="s">
        <v>952</v>
      </c>
      <c r="G333" s="1">
        <v>1</v>
      </c>
      <c r="H333" s="7">
        <v>45560</v>
      </c>
      <c r="I333" s="1" t="s">
        <v>7449</v>
      </c>
      <c r="J333" s="7">
        <v>45560</v>
      </c>
      <c r="K333" s="1" t="s">
        <v>7449</v>
      </c>
    </row>
    <row r="334" spans="1:11" x14ac:dyDescent="0.25">
      <c r="A334" s="1">
        <v>333</v>
      </c>
      <c r="B334" s="1" t="s">
        <v>953</v>
      </c>
      <c r="C334" s="1" t="s">
        <v>954</v>
      </c>
      <c r="D334" s="1" t="s">
        <v>955</v>
      </c>
      <c r="G334" s="1">
        <v>1</v>
      </c>
      <c r="H334" s="7">
        <v>45560</v>
      </c>
      <c r="I334" s="1" t="s">
        <v>7449</v>
      </c>
      <c r="J334" s="7">
        <v>45560</v>
      </c>
      <c r="K334" s="1" t="s">
        <v>7449</v>
      </c>
    </row>
    <row r="335" spans="1:11" x14ac:dyDescent="0.25">
      <c r="A335" s="1">
        <v>334</v>
      </c>
      <c r="B335" s="1" t="s">
        <v>956</v>
      </c>
      <c r="C335" s="1" t="s">
        <v>957</v>
      </c>
      <c r="F335" s="1" t="s">
        <v>958</v>
      </c>
      <c r="G335" s="1">
        <v>1</v>
      </c>
      <c r="H335" s="7">
        <v>45560</v>
      </c>
      <c r="I335" s="1" t="s">
        <v>7449</v>
      </c>
      <c r="J335" s="7">
        <v>45560</v>
      </c>
      <c r="K335" s="1" t="s">
        <v>7449</v>
      </c>
    </row>
    <row r="336" spans="1:11" x14ac:dyDescent="0.25">
      <c r="A336" s="1">
        <v>335</v>
      </c>
      <c r="B336" s="1" t="s">
        <v>959</v>
      </c>
      <c r="C336" s="1" t="s">
        <v>960</v>
      </c>
      <c r="F336" s="1" t="s">
        <v>961</v>
      </c>
      <c r="G336" s="1">
        <v>1</v>
      </c>
      <c r="H336" s="7">
        <v>45560</v>
      </c>
      <c r="I336" s="1" t="s">
        <v>7449</v>
      </c>
      <c r="J336" s="7">
        <v>45560</v>
      </c>
      <c r="K336" s="1" t="s">
        <v>7449</v>
      </c>
    </row>
    <row r="337" spans="1:11" x14ac:dyDescent="0.25">
      <c r="A337" s="1">
        <v>336</v>
      </c>
      <c r="B337" s="1" t="s">
        <v>962</v>
      </c>
      <c r="C337" s="1" t="s">
        <v>963</v>
      </c>
      <c r="F337" s="1" t="s">
        <v>964</v>
      </c>
      <c r="G337" s="1">
        <v>1</v>
      </c>
      <c r="H337" s="7">
        <v>45560</v>
      </c>
      <c r="I337" s="1" t="s">
        <v>7449</v>
      </c>
      <c r="J337" s="7">
        <v>45560</v>
      </c>
      <c r="K337" s="1" t="s">
        <v>7449</v>
      </c>
    </row>
    <row r="338" spans="1:11" x14ac:dyDescent="0.25">
      <c r="A338" s="1">
        <v>337</v>
      </c>
      <c r="B338" s="1" t="s">
        <v>965</v>
      </c>
      <c r="C338" s="1" t="s">
        <v>966</v>
      </c>
      <c r="F338" s="1" t="s">
        <v>967</v>
      </c>
      <c r="G338" s="1">
        <v>1</v>
      </c>
      <c r="H338" s="7">
        <v>45560</v>
      </c>
      <c r="I338" s="1" t="s">
        <v>7449</v>
      </c>
      <c r="J338" s="7">
        <v>45560</v>
      </c>
      <c r="K338" s="1" t="s">
        <v>7449</v>
      </c>
    </row>
    <row r="339" spans="1:11" x14ac:dyDescent="0.25">
      <c r="A339" s="1">
        <v>338</v>
      </c>
      <c r="B339" s="1" t="s">
        <v>968</v>
      </c>
      <c r="C339" s="1" t="s">
        <v>969</v>
      </c>
      <c r="F339" s="1" t="s">
        <v>970</v>
      </c>
      <c r="G339" s="1">
        <v>1</v>
      </c>
      <c r="H339" s="7">
        <v>45560</v>
      </c>
      <c r="I339" s="1" t="s">
        <v>7449</v>
      </c>
      <c r="J339" s="7">
        <v>45560</v>
      </c>
      <c r="K339" s="1" t="s">
        <v>7449</v>
      </c>
    </row>
    <row r="340" spans="1:11" x14ac:dyDescent="0.25">
      <c r="A340" s="1">
        <v>339</v>
      </c>
      <c r="B340" s="1" t="s">
        <v>971</v>
      </c>
      <c r="C340" s="1" t="s">
        <v>972</v>
      </c>
      <c r="F340" s="1" t="s">
        <v>973</v>
      </c>
      <c r="G340" s="1">
        <v>1</v>
      </c>
      <c r="H340" s="7">
        <v>45560</v>
      </c>
      <c r="I340" s="1" t="s">
        <v>7449</v>
      </c>
      <c r="J340" s="7">
        <v>45560</v>
      </c>
      <c r="K340" s="1" t="s">
        <v>7449</v>
      </c>
    </row>
    <row r="341" spans="1:11" x14ac:dyDescent="0.25">
      <c r="A341" s="1">
        <v>340</v>
      </c>
      <c r="B341" s="1" t="s">
        <v>974</v>
      </c>
      <c r="C341" s="1" t="s">
        <v>975</v>
      </c>
      <c r="F341" s="1" t="s">
        <v>976</v>
      </c>
      <c r="G341" s="1">
        <v>1</v>
      </c>
      <c r="H341" s="7">
        <v>45560</v>
      </c>
      <c r="I341" s="1" t="s">
        <v>7449</v>
      </c>
      <c r="J341" s="7">
        <v>45560</v>
      </c>
      <c r="K341" s="1" t="s">
        <v>7449</v>
      </c>
    </row>
    <row r="342" spans="1:11" x14ac:dyDescent="0.25">
      <c r="A342" s="1">
        <v>341</v>
      </c>
      <c r="B342" s="1" t="s">
        <v>977</v>
      </c>
      <c r="C342" s="1" t="s">
        <v>978</v>
      </c>
      <c r="F342" s="1" t="s">
        <v>979</v>
      </c>
      <c r="G342" s="1">
        <v>1</v>
      </c>
      <c r="H342" s="7">
        <v>45560</v>
      </c>
      <c r="I342" s="1" t="s">
        <v>7449</v>
      </c>
      <c r="J342" s="7">
        <v>45560</v>
      </c>
      <c r="K342" s="1" t="s">
        <v>7449</v>
      </c>
    </row>
    <row r="343" spans="1:11" x14ac:dyDescent="0.25">
      <c r="A343" s="1">
        <v>342</v>
      </c>
      <c r="B343" s="1" t="s">
        <v>980</v>
      </c>
      <c r="C343" s="1" t="s">
        <v>981</v>
      </c>
      <c r="F343" s="1" t="s">
        <v>982</v>
      </c>
      <c r="G343" s="1">
        <v>1</v>
      </c>
      <c r="H343" s="7">
        <v>45560</v>
      </c>
      <c r="I343" s="1" t="s">
        <v>7449</v>
      </c>
      <c r="J343" s="7">
        <v>45560</v>
      </c>
      <c r="K343" s="1" t="s">
        <v>7449</v>
      </c>
    </row>
    <row r="344" spans="1:11" x14ac:dyDescent="0.25">
      <c r="A344" s="1">
        <v>343</v>
      </c>
      <c r="B344" s="1" t="s">
        <v>983</v>
      </c>
      <c r="C344" s="1" t="s">
        <v>984</v>
      </c>
      <c r="F344" s="1" t="s">
        <v>985</v>
      </c>
      <c r="G344" s="1">
        <v>1</v>
      </c>
      <c r="H344" s="7">
        <v>45560</v>
      </c>
      <c r="I344" s="1" t="s">
        <v>7449</v>
      </c>
      <c r="J344" s="7">
        <v>45560</v>
      </c>
      <c r="K344" s="1" t="s">
        <v>7449</v>
      </c>
    </row>
    <row r="345" spans="1:11" x14ac:dyDescent="0.25">
      <c r="A345" s="1">
        <v>344</v>
      </c>
      <c r="B345" s="1" t="s">
        <v>986</v>
      </c>
      <c r="C345" s="1" t="s">
        <v>987</v>
      </c>
      <c r="F345" s="1" t="s">
        <v>988</v>
      </c>
      <c r="G345" s="1">
        <v>1</v>
      </c>
      <c r="H345" s="7">
        <v>45560</v>
      </c>
      <c r="I345" s="1" t="s">
        <v>7449</v>
      </c>
      <c r="J345" s="7">
        <v>45560</v>
      </c>
      <c r="K345" s="1" t="s">
        <v>7449</v>
      </c>
    </row>
    <row r="346" spans="1:11" x14ac:dyDescent="0.25">
      <c r="A346" s="1">
        <v>345</v>
      </c>
      <c r="B346" s="1" t="s">
        <v>989</v>
      </c>
      <c r="C346" s="1" t="s">
        <v>990</v>
      </c>
      <c r="D346" s="1" t="s">
        <v>991</v>
      </c>
      <c r="F346" s="1" t="s">
        <v>992</v>
      </c>
      <c r="G346" s="1">
        <v>1</v>
      </c>
      <c r="H346" s="7">
        <v>45560</v>
      </c>
      <c r="I346" s="1" t="s">
        <v>7449</v>
      </c>
      <c r="J346" s="7">
        <v>45560</v>
      </c>
      <c r="K346" s="1" t="s">
        <v>7449</v>
      </c>
    </row>
    <row r="347" spans="1:11" x14ac:dyDescent="0.25">
      <c r="A347" s="1">
        <v>346</v>
      </c>
      <c r="B347" s="1" t="s">
        <v>993</v>
      </c>
      <c r="C347" s="1" t="s">
        <v>994</v>
      </c>
      <c r="F347" s="1" t="s">
        <v>995</v>
      </c>
      <c r="G347" s="1">
        <v>1</v>
      </c>
      <c r="H347" s="7">
        <v>45560</v>
      </c>
      <c r="I347" s="1" t="s">
        <v>7449</v>
      </c>
      <c r="J347" s="7">
        <v>45560</v>
      </c>
      <c r="K347" s="1" t="s">
        <v>7449</v>
      </c>
    </row>
    <row r="348" spans="1:11" x14ac:dyDescent="0.25">
      <c r="A348" s="1">
        <v>347</v>
      </c>
      <c r="B348" s="1" t="s">
        <v>996</v>
      </c>
      <c r="C348" s="1" t="s">
        <v>997</v>
      </c>
      <c r="D348" s="1" t="s">
        <v>998</v>
      </c>
      <c r="G348" s="1">
        <v>1</v>
      </c>
      <c r="H348" s="7">
        <v>45560</v>
      </c>
      <c r="I348" s="1" t="s">
        <v>7449</v>
      </c>
      <c r="J348" s="7">
        <v>45560</v>
      </c>
      <c r="K348" s="1" t="s">
        <v>7449</v>
      </c>
    </row>
    <row r="349" spans="1:11" x14ac:dyDescent="0.25">
      <c r="A349" s="1">
        <v>348</v>
      </c>
      <c r="B349" s="1" t="s">
        <v>999</v>
      </c>
      <c r="C349" s="1" t="s">
        <v>1000</v>
      </c>
      <c r="F349" s="1" t="s">
        <v>1001</v>
      </c>
      <c r="G349" s="1">
        <v>1</v>
      </c>
      <c r="H349" s="7">
        <v>45560</v>
      </c>
      <c r="I349" s="1" t="s">
        <v>7449</v>
      </c>
      <c r="J349" s="7">
        <v>45560</v>
      </c>
      <c r="K349" s="1" t="s">
        <v>7449</v>
      </c>
    </row>
    <row r="350" spans="1:11" x14ac:dyDescent="0.25">
      <c r="A350" s="1">
        <v>349</v>
      </c>
      <c r="B350" s="1" t="s">
        <v>1002</v>
      </c>
      <c r="C350" s="1" t="s">
        <v>1003</v>
      </c>
      <c r="F350" s="1" t="s">
        <v>1004</v>
      </c>
      <c r="G350" s="1">
        <v>1</v>
      </c>
      <c r="H350" s="7">
        <v>45560</v>
      </c>
      <c r="I350" s="1" t="s">
        <v>7449</v>
      </c>
      <c r="J350" s="7">
        <v>45560</v>
      </c>
      <c r="K350" s="1" t="s">
        <v>7449</v>
      </c>
    </row>
    <row r="351" spans="1:11" x14ac:dyDescent="0.25">
      <c r="A351" s="1">
        <v>350</v>
      </c>
      <c r="B351" s="1" t="s">
        <v>1005</v>
      </c>
      <c r="C351" s="1" t="s">
        <v>1006</v>
      </c>
      <c r="F351" s="1" t="s">
        <v>1007</v>
      </c>
      <c r="G351" s="1">
        <v>1</v>
      </c>
      <c r="H351" s="7">
        <v>45560</v>
      </c>
      <c r="I351" s="1" t="s">
        <v>7449</v>
      </c>
      <c r="J351" s="7">
        <v>45560</v>
      </c>
      <c r="K351" s="1" t="s">
        <v>7449</v>
      </c>
    </row>
    <row r="352" spans="1:11" x14ac:dyDescent="0.25">
      <c r="A352" s="1">
        <v>351</v>
      </c>
      <c r="B352" s="1" t="s">
        <v>1008</v>
      </c>
      <c r="C352" s="1" t="s">
        <v>1009</v>
      </c>
      <c r="F352" s="1" t="s">
        <v>1010</v>
      </c>
      <c r="G352" s="1">
        <v>1</v>
      </c>
      <c r="H352" s="7">
        <v>45560</v>
      </c>
      <c r="I352" s="1" t="s">
        <v>7449</v>
      </c>
      <c r="J352" s="7">
        <v>45560</v>
      </c>
      <c r="K352" s="1" t="s">
        <v>7449</v>
      </c>
    </row>
    <row r="353" spans="1:11" x14ac:dyDescent="0.25">
      <c r="A353" s="1">
        <v>352</v>
      </c>
      <c r="B353" s="1" t="s">
        <v>1011</v>
      </c>
      <c r="C353" s="1" t="s">
        <v>1012</v>
      </c>
      <c r="F353" s="1" t="s">
        <v>1013</v>
      </c>
      <c r="G353" s="1">
        <v>1</v>
      </c>
      <c r="H353" s="7">
        <v>45560</v>
      </c>
      <c r="I353" s="1" t="s">
        <v>7449</v>
      </c>
      <c r="J353" s="7">
        <v>45560</v>
      </c>
      <c r="K353" s="1" t="s">
        <v>7449</v>
      </c>
    </row>
    <row r="354" spans="1:11" x14ac:dyDescent="0.25">
      <c r="A354" s="1">
        <v>353</v>
      </c>
      <c r="B354" s="1" t="s">
        <v>1014</v>
      </c>
      <c r="C354" s="1" t="s">
        <v>1015</v>
      </c>
      <c r="F354" s="1" t="s">
        <v>1016</v>
      </c>
      <c r="G354" s="1">
        <v>1</v>
      </c>
      <c r="H354" s="7">
        <v>45560</v>
      </c>
      <c r="I354" s="1" t="s">
        <v>7449</v>
      </c>
      <c r="J354" s="7">
        <v>45560</v>
      </c>
      <c r="K354" s="1" t="s">
        <v>7449</v>
      </c>
    </row>
    <row r="355" spans="1:11" x14ac:dyDescent="0.25">
      <c r="A355" s="1">
        <v>354</v>
      </c>
      <c r="B355" s="1" t="s">
        <v>1017</v>
      </c>
      <c r="C355" s="1" t="s">
        <v>1018</v>
      </c>
      <c r="F355" s="1" t="s">
        <v>1019</v>
      </c>
      <c r="G355" s="1">
        <v>1</v>
      </c>
      <c r="H355" s="7">
        <v>45560</v>
      </c>
      <c r="I355" s="1" t="s">
        <v>7449</v>
      </c>
      <c r="J355" s="7">
        <v>45560</v>
      </c>
      <c r="K355" s="1" t="s">
        <v>7449</v>
      </c>
    </row>
    <row r="356" spans="1:11" x14ac:dyDescent="0.25">
      <c r="A356" s="1">
        <v>355</v>
      </c>
      <c r="B356" s="1" t="s">
        <v>1020</v>
      </c>
      <c r="C356" s="1" t="s">
        <v>1021</v>
      </c>
      <c r="E356" s="1" t="s">
        <v>52</v>
      </c>
      <c r="G356" s="1">
        <v>1</v>
      </c>
      <c r="H356" s="7">
        <v>45560</v>
      </c>
      <c r="I356" s="1" t="s">
        <v>7449</v>
      </c>
      <c r="J356" s="7">
        <v>45560</v>
      </c>
      <c r="K356" s="1" t="s">
        <v>7449</v>
      </c>
    </row>
    <row r="357" spans="1:11" x14ac:dyDescent="0.25">
      <c r="A357" s="1">
        <v>356</v>
      </c>
      <c r="B357" s="1" t="s">
        <v>1022</v>
      </c>
      <c r="C357" s="1" t="s">
        <v>1023</v>
      </c>
      <c r="F357" s="1" t="s">
        <v>1024</v>
      </c>
      <c r="G357" s="1">
        <v>1</v>
      </c>
      <c r="H357" s="7">
        <v>45560</v>
      </c>
      <c r="I357" s="1" t="s">
        <v>7449</v>
      </c>
      <c r="J357" s="7">
        <v>45560</v>
      </c>
      <c r="K357" s="1" t="s">
        <v>7449</v>
      </c>
    </row>
    <row r="358" spans="1:11" x14ac:dyDescent="0.25">
      <c r="A358" s="1">
        <v>357</v>
      </c>
      <c r="B358" s="1" t="s">
        <v>1025</v>
      </c>
      <c r="C358" s="1" t="s">
        <v>1026</v>
      </c>
      <c r="F358" s="1" t="s">
        <v>1027</v>
      </c>
      <c r="G358" s="1">
        <v>1</v>
      </c>
      <c r="H358" s="7">
        <v>45560</v>
      </c>
      <c r="I358" s="1" t="s">
        <v>7449</v>
      </c>
      <c r="J358" s="7">
        <v>45560</v>
      </c>
      <c r="K358" s="1" t="s">
        <v>7449</v>
      </c>
    </row>
    <row r="359" spans="1:11" x14ac:dyDescent="0.25">
      <c r="A359" s="1">
        <v>358</v>
      </c>
      <c r="B359" s="1" t="s">
        <v>1028</v>
      </c>
      <c r="C359" s="1" t="s">
        <v>1029</v>
      </c>
      <c r="F359" s="1" t="s">
        <v>1030</v>
      </c>
      <c r="G359" s="1">
        <v>1</v>
      </c>
      <c r="H359" s="7">
        <v>45560</v>
      </c>
      <c r="I359" s="1" t="s">
        <v>7449</v>
      </c>
      <c r="J359" s="7">
        <v>45560</v>
      </c>
      <c r="K359" s="1" t="s">
        <v>7449</v>
      </c>
    </row>
    <row r="360" spans="1:11" x14ac:dyDescent="0.25">
      <c r="A360" s="1">
        <v>359</v>
      </c>
      <c r="B360" s="1" t="s">
        <v>1031</v>
      </c>
      <c r="C360" s="1" t="s">
        <v>1032</v>
      </c>
      <c r="F360" s="1" t="s">
        <v>1033</v>
      </c>
      <c r="G360" s="1">
        <v>1</v>
      </c>
      <c r="H360" s="7">
        <v>45560</v>
      </c>
      <c r="I360" s="1" t="s">
        <v>7449</v>
      </c>
      <c r="J360" s="7">
        <v>45560</v>
      </c>
      <c r="K360" s="1" t="s">
        <v>7449</v>
      </c>
    </row>
    <row r="361" spans="1:11" x14ac:dyDescent="0.25">
      <c r="A361" s="1">
        <v>360</v>
      </c>
      <c r="B361" s="1" t="s">
        <v>1034</v>
      </c>
      <c r="C361" s="1" t="s">
        <v>1035</v>
      </c>
      <c r="F361" s="1" t="s">
        <v>1036</v>
      </c>
      <c r="G361" s="1">
        <v>1</v>
      </c>
      <c r="H361" s="7">
        <v>45560</v>
      </c>
      <c r="I361" s="1" t="s">
        <v>7449</v>
      </c>
      <c r="J361" s="7">
        <v>45560</v>
      </c>
      <c r="K361" s="1" t="s">
        <v>7449</v>
      </c>
    </row>
    <row r="362" spans="1:11" x14ac:dyDescent="0.25">
      <c r="A362" s="1">
        <v>361</v>
      </c>
      <c r="B362" s="1" t="s">
        <v>1037</v>
      </c>
      <c r="C362" s="1" t="s">
        <v>1038</v>
      </c>
      <c r="F362" s="1" t="s">
        <v>1039</v>
      </c>
      <c r="G362" s="1">
        <v>1</v>
      </c>
      <c r="H362" s="7">
        <v>45560</v>
      </c>
      <c r="I362" s="1" t="s">
        <v>7449</v>
      </c>
      <c r="J362" s="7">
        <v>45560</v>
      </c>
      <c r="K362" s="1" t="s">
        <v>7449</v>
      </c>
    </row>
    <row r="363" spans="1:11" x14ac:dyDescent="0.25">
      <c r="A363" s="1">
        <v>362</v>
      </c>
      <c r="B363" s="1" t="s">
        <v>1040</v>
      </c>
      <c r="C363" s="1" t="s">
        <v>1041</v>
      </c>
      <c r="F363" s="1" t="s">
        <v>1042</v>
      </c>
      <c r="G363" s="1">
        <v>1</v>
      </c>
      <c r="H363" s="7">
        <v>45560</v>
      </c>
      <c r="I363" s="1" t="s">
        <v>7449</v>
      </c>
      <c r="J363" s="7">
        <v>45560</v>
      </c>
      <c r="K363" s="1" t="s">
        <v>7449</v>
      </c>
    </row>
    <row r="364" spans="1:11" x14ac:dyDescent="0.25">
      <c r="A364" s="1">
        <v>363</v>
      </c>
      <c r="B364" s="1" t="s">
        <v>1043</v>
      </c>
      <c r="C364" s="1" t="s">
        <v>1044</v>
      </c>
      <c r="D364" s="1" t="s">
        <v>1045</v>
      </c>
      <c r="F364" s="1" t="s">
        <v>1046</v>
      </c>
      <c r="G364" s="1">
        <v>1</v>
      </c>
      <c r="H364" s="7">
        <v>45560</v>
      </c>
      <c r="I364" s="1" t="s">
        <v>7449</v>
      </c>
      <c r="J364" s="7">
        <v>45560</v>
      </c>
      <c r="K364" s="1" t="s">
        <v>7449</v>
      </c>
    </row>
    <row r="365" spans="1:11" x14ac:dyDescent="0.25">
      <c r="A365" s="1">
        <v>364</v>
      </c>
      <c r="B365" s="1" t="s">
        <v>1047</v>
      </c>
      <c r="C365" s="1" t="s">
        <v>1048</v>
      </c>
      <c r="F365" s="1" t="s">
        <v>1049</v>
      </c>
      <c r="G365" s="1">
        <v>1</v>
      </c>
      <c r="H365" s="7">
        <v>45560</v>
      </c>
      <c r="I365" s="1" t="s">
        <v>7449</v>
      </c>
      <c r="J365" s="7">
        <v>45560</v>
      </c>
      <c r="K365" s="1" t="s">
        <v>7449</v>
      </c>
    </row>
    <row r="366" spans="1:11" x14ac:dyDescent="0.25">
      <c r="A366" s="1">
        <v>365</v>
      </c>
      <c r="B366" s="1" t="s">
        <v>1050</v>
      </c>
      <c r="C366" s="1" t="s">
        <v>1051</v>
      </c>
      <c r="F366" s="1" t="s">
        <v>1052</v>
      </c>
      <c r="G366" s="1">
        <v>1</v>
      </c>
      <c r="H366" s="7">
        <v>45560</v>
      </c>
      <c r="I366" s="1" t="s">
        <v>7449</v>
      </c>
      <c r="J366" s="7">
        <v>45560</v>
      </c>
      <c r="K366" s="1" t="s">
        <v>7449</v>
      </c>
    </row>
    <row r="367" spans="1:11" x14ac:dyDescent="0.25">
      <c r="A367" s="1">
        <v>366</v>
      </c>
      <c r="B367" s="1" t="s">
        <v>1053</v>
      </c>
      <c r="C367" s="1" t="s">
        <v>1054</v>
      </c>
      <c r="D367" s="1" t="s">
        <v>1055</v>
      </c>
      <c r="F367" s="1" t="s">
        <v>1056</v>
      </c>
      <c r="G367" s="1">
        <v>1</v>
      </c>
      <c r="H367" s="7">
        <v>45560</v>
      </c>
      <c r="I367" s="1" t="s">
        <v>7449</v>
      </c>
      <c r="J367" s="7">
        <v>45560</v>
      </c>
      <c r="K367" s="1" t="s">
        <v>7449</v>
      </c>
    </row>
    <row r="368" spans="1:11" x14ac:dyDescent="0.25">
      <c r="A368" s="1">
        <v>367</v>
      </c>
      <c r="B368" s="1" t="s">
        <v>1057</v>
      </c>
      <c r="C368" s="1" t="s">
        <v>1058</v>
      </c>
      <c r="D368" s="1" t="s">
        <v>1059</v>
      </c>
      <c r="G368" s="1">
        <v>1</v>
      </c>
      <c r="H368" s="7">
        <v>45560</v>
      </c>
      <c r="I368" s="1" t="s">
        <v>7449</v>
      </c>
      <c r="J368" s="7">
        <v>45560</v>
      </c>
      <c r="K368" s="1" t="s">
        <v>7449</v>
      </c>
    </row>
    <row r="369" spans="1:11" x14ac:dyDescent="0.25">
      <c r="A369" s="1">
        <v>368</v>
      </c>
      <c r="B369" s="1" t="s">
        <v>1060</v>
      </c>
      <c r="C369" s="1" t="s">
        <v>1061</v>
      </c>
      <c r="D369" s="1" t="s">
        <v>1062</v>
      </c>
      <c r="F369" s="1" t="s">
        <v>1063</v>
      </c>
      <c r="G369" s="1">
        <v>1</v>
      </c>
      <c r="H369" s="7">
        <v>45560</v>
      </c>
      <c r="I369" s="1" t="s">
        <v>7449</v>
      </c>
      <c r="J369" s="7">
        <v>45560</v>
      </c>
      <c r="K369" s="1" t="s">
        <v>7449</v>
      </c>
    </row>
    <row r="370" spans="1:11" x14ac:dyDescent="0.25">
      <c r="A370" s="1">
        <v>369</v>
      </c>
      <c r="B370" s="1" t="s">
        <v>1064</v>
      </c>
      <c r="C370" s="1" t="s">
        <v>1065</v>
      </c>
      <c r="E370" s="1" t="s">
        <v>52</v>
      </c>
      <c r="G370" s="1">
        <v>1</v>
      </c>
      <c r="H370" s="7">
        <v>45560</v>
      </c>
      <c r="I370" s="1" t="s">
        <v>7449</v>
      </c>
      <c r="J370" s="7">
        <v>45560</v>
      </c>
      <c r="K370" s="1" t="s">
        <v>7449</v>
      </c>
    </row>
    <row r="371" spans="1:11" x14ac:dyDescent="0.25">
      <c r="A371" s="1">
        <v>370</v>
      </c>
      <c r="B371" s="1" t="s">
        <v>1066</v>
      </c>
      <c r="C371" s="1" t="s">
        <v>1067</v>
      </c>
      <c r="F371" s="1" t="s">
        <v>1066</v>
      </c>
      <c r="G371" s="1">
        <v>1</v>
      </c>
      <c r="H371" s="7">
        <v>45560</v>
      </c>
      <c r="I371" s="1" t="s">
        <v>7449</v>
      </c>
      <c r="J371" s="7">
        <v>45560</v>
      </c>
      <c r="K371" s="1" t="s">
        <v>7449</v>
      </c>
    </row>
    <row r="372" spans="1:11" x14ac:dyDescent="0.25">
      <c r="A372" s="1">
        <v>371</v>
      </c>
      <c r="B372" s="1" t="s">
        <v>1068</v>
      </c>
      <c r="C372" s="1" t="s">
        <v>1069</v>
      </c>
      <c r="D372" s="1" t="s">
        <v>1070</v>
      </c>
      <c r="G372" s="1">
        <v>1</v>
      </c>
      <c r="H372" s="7">
        <v>45560</v>
      </c>
      <c r="I372" s="1" t="s">
        <v>7449</v>
      </c>
      <c r="J372" s="7">
        <v>45560</v>
      </c>
      <c r="K372" s="1" t="s">
        <v>7449</v>
      </c>
    </row>
    <row r="373" spans="1:11" x14ac:dyDescent="0.25">
      <c r="A373" s="1">
        <v>372</v>
      </c>
      <c r="B373" s="1" t="s">
        <v>1071</v>
      </c>
      <c r="C373" s="1" t="s">
        <v>1072</v>
      </c>
      <c r="F373" s="1" t="s">
        <v>1073</v>
      </c>
      <c r="G373" s="1">
        <v>1</v>
      </c>
      <c r="H373" s="7">
        <v>45560</v>
      </c>
      <c r="I373" s="1" t="s">
        <v>7449</v>
      </c>
      <c r="J373" s="7">
        <v>45560</v>
      </c>
      <c r="K373" s="1" t="s">
        <v>7449</v>
      </c>
    </row>
    <row r="374" spans="1:11" ht="120" x14ac:dyDescent="0.25">
      <c r="A374" s="1">
        <v>373</v>
      </c>
      <c r="B374" s="1" t="s">
        <v>1074</v>
      </c>
      <c r="C374" s="1" t="s">
        <v>1075</v>
      </c>
      <c r="D374" s="8" t="s">
        <v>1076</v>
      </c>
      <c r="F374" s="1" t="s">
        <v>1077</v>
      </c>
      <c r="G374" s="1">
        <v>1</v>
      </c>
      <c r="H374" s="7">
        <v>45560</v>
      </c>
      <c r="I374" s="1" t="s">
        <v>7449</v>
      </c>
      <c r="J374" s="7">
        <v>45560</v>
      </c>
      <c r="K374" s="1" t="s">
        <v>7449</v>
      </c>
    </row>
    <row r="375" spans="1:11" x14ac:dyDescent="0.25">
      <c r="A375" s="1">
        <v>374</v>
      </c>
      <c r="B375" s="1" t="s">
        <v>1078</v>
      </c>
      <c r="C375" s="1" t="s">
        <v>1079</v>
      </c>
      <c r="G375" s="1">
        <v>1</v>
      </c>
      <c r="H375" s="7">
        <v>45560</v>
      </c>
      <c r="I375" s="1" t="s">
        <v>7449</v>
      </c>
      <c r="J375" s="7">
        <v>45560</v>
      </c>
      <c r="K375" s="1" t="s">
        <v>7449</v>
      </c>
    </row>
    <row r="376" spans="1:11" x14ac:dyDescent="0.25">
      <c r="A376" s="1">
        <v>375</v>
      </c>
      <c r="B376" s="1" t="s">
        <v>1080</v>
      </c>
      <c r="C376" s="1" t="s">
        <v>1081</v>
      </c>
      <c r="D376" s="1" t="s">
        <v>1082</v>
      </c>
      <c r="F376" s="1" t="s">
        <v>1080</v>
      </c>
      <c r="G376" s="1">
        <v>1</v>
      </c>
      <c r="H376" s="7">
        <v>45560</v>
      </c>
      <c r="I376" s="1" t="s">
        <v>7449</v>
      </c>
      <c r="J376" s="7">
        <v>45560</v>
      </c>
      <c r="K376" s="1" t="s">
        <v>7449</v>
      </c>
    </row>
    <row r="377" spans="1:11" x14ac:dyDescent="0.25">
      <c r="A377" s="1">
        <v>376</v>
      </c>
      <c r="B377" s="1" t="s">
        <v>1083</v>
      </c>
      <c r="C377" s="1" t="s">
        <v>1084</v>
      </c>
      <c r="D377" s="1" t="s">
        <v>1085</v>
      </c>
      <c r="F377" s="1" t="s">
        <v>1086</v>
      </c>
      <c r="G377" s="1">
        <v>1</v>
      </c>
      <c r="H377" s="7">
        <v>45560</v>
      </c>
      <c r="I377" s="1" t="s">
        <v>7449</v>
      </c>
      <c r="J377" s="7">
        <v>45560</v>
      </c>
      <c r="K377" s="1" t="s">
        <v>7449</v>
      </c>
    </row>
    <row r="378" spans="1:11" x14ac:dyDescent="0.25">
      <c r="A378" s="1">
        <v>377</v>
      </c>
      <c r="B378" s="1" t="s">
        <v>1087</v>
      </c>
      <c r="C378" s="1" t="s">
        <v>1088</v>
      </c>
      <c r="F378" s="1" t="s">
        <v>1089</v>
      </c>
      <c r="G378" s="1">
        <v>1</v>
      </c>
      <c r="H378" s="7">
        <v>45560</v>
      </c>
      <c r="I378" s="1" t="s">
        <v>7449</v>
      </c>
      <c r="J378" s="7">
        <v>45560</v>
      </c>
      <c r="K378" s="1" t="s">
        <v>7449</v>
      </c>
    </row>
    <row r="379" spans="1:11" x14ac:dyDescent="0.25">
      <c r="A379" s="1">
        <v>378</v>
      </c>
      <c r="B379" s="1" t="s">
        <v>1090</v>
      </c>
      <c r="C379" s="1" t="s">
        <v>1091</v>
      </c>
      <c r="D379" s="1" t="s">
        <v>1092</v>
      </c>
      <c r="F379" s="1" t="s">
        <v>1093</v>
      </c>
      <c r="G379" s="1">
        <v>1</v>
      </c>
      <c r="H379" s="7">
        <v>45560</v>
      </c>
      <c r="I379" s="1" t="s">
        <v>7449</v>
      </c>
      <c r="J379" s="7">
        <v>45560</v>
      </c>
      <c r="K379" s="1" t="s">
        <v>7449</v>
      </c>
    </row>
    <row r="380" spans="1:11" x14ac:dyDescent="0.25">
      <c r="A380" s="1">
        <v>379</v>
      </c>
      <c r="B380" s="1" t="s">
        <v>1094</v>
      </c>
      <c r="C380" s="1" t="s">
        <v>1095</v>
      </c>
      <c r="D380" s="1" t="s">
        <v>1096</v>
      </c>
      <c r="F380" s="1" t="s">
        <v>1097</v>
      </c>
      <c r="G380" s="1">
        <v>1</v>
      </c>
      <c r="H380" s="7">
        <v>45560</v>
      </c>
      <c r="I380" s="1" t="s">
        <v>7449</v>
      </c>
      <c r="J380" s="7">
        <v>45560</v>
      </c>
      <c r="K380" s="1" t="s">
        <v>7449</v>
      </c>
    </row>
    <row r="381" spans="1:11" x14ac:dyDescent="0.25">
      <c r="A381" s="1">
        <v>380</v>
      </c>
      <c r="B381" s="1" t="s">
        <v>1098</v>
      </c>
      <c r="C381" s="1" t="s">
        <v>1099</v>
      </c>
      <c r="E381" s="1" t="s">
        <v>52</v>
      </c>
      <c r="G381" s="1">
        <v>1</v>
      </c>
      <c r="H381" s="7">
        <v>45560</v>
      </c>
      <c r="I381" s="1" t="s">
        <v>7449</v>
      </c>
      <c r="J381" s="7">
        <v>45560</v>
      </c>
      <c r="K381" s="1" t="s">
        <v>7449</v>
      </c>
    </row>
    <row r="382" spans="1:11" x14ac:dyDescent="0.25">
      <c r="A382" s="1">
        <v>381</v>
      </c>
      <c r="B382" s="1" t="s">
        <v>1100</v>
      </c>
      <c r="C382" s="1" t="s">
        <v>1101</v>
      </c>
      <c r="E382" s="1" t="s">
        <v>52</v>
      </c>
      <c r="G382" s="1">
        <v>1</v>
      </c>
      <c r="H382" s="7">
        <v>45560</v>
      </c>
      <c r="I382" s="1" t="s">
        <v>7449</v>
      </c>
      <c r="J382" s="7">
        <v>45560</v>
      </c>
      <c r="K382" s="1" t="s">
        <v>7449</v>
      </c>
    </row>
    <row r="383" spans="1:11" x14ac:dyDescent="0.25">
      <c r="A383" s="1">
        <v>382</v>
      </c>
      <c r="B383" s="1" t="s">
        <v>1102</v>
      </c>
      <c r="C383" s="1" t="s">
        <v>1103</v>
      </c>
      <c r="D383" s="1" t="s">
        <v>1104</v>
      </c>
      <c r="G383" s="1">
        <v>1</v>
      </c>
      <c r="H383" s="7">
        <v>45560</v>
      </c>
      <c r="I383" s="1" t="s">
        <v>7449</v>
      </c>
      <c r="J383" s="7">
        <v>45560</v>
      </c>
      <c r="K383" s="1" t="s">
        <v>7449</v>
      </c>
    </row>
    <row r="384" spans="1:11" x14ac:dyDescent="0.25">
      <c r="A384" s="1">
        <v>383</v>
      </c>
      <c r="B384" s="1" t="s">
        <v>1105</v>
      </c>
      <c r="C384" s="1" t="s">
        <v>1106</v>
      </c>
      <c r="E384" s="1" t="s">
        <v>52</v>
      </c>
      <c r="G384" s="1">
        <v>1</v>
      </c>
      <c r="H384" s="7">
        <v>45560</v>
      </c>
      <c r="I384" s="1" t="s">
        <v>7449</v>
      </c>
      <c r="J384" s="7">
        <v>45560</v>
      </c>
      <c r="K384" s="1" t="s">
        <v>7449</v>
      </c>
    </row>
    <row r="385" spans="1:11" x14ac:dyDescent="0.25">
      <c r="A385" s="1">
        <v>384</v>
      </c>
      <c r="B385" s="1" t="s">
        <v>1107</v>
      </c>
      <c r="C385" s="1" t="s">
        <v>1108</v>
      </c>
      <c r="F385" s="1" t="s">
        <v>1109</v>
      </c>
      <c r="G385" s="1">
        <v>1</v>
      </c>
      <c r="H385" s="7">
        <v>45560</v>
      </c>
      <c r="I385" s="1" t="s">
        <v>7449</v>
      </c>
      <c r="J385" s="7">
        <v>45560</v>
      </c>
      <c r="K385" s="1" t="s">
        <v>7449</v>
      </c>
    </row>
    <row r="386" spans="1:11" x14ac:dyDescent="0.25">
      <c r="A386" s="1">
        <v>385</v>
      </c>
      <c r="B386" s="1" t="s">
        <v>1110</v>
      </c>
      <c r="C386" s="1" t="s">
        <v>1111</v>
      </c>
      <c r="F386" s="1" t="s">
        <v>1112</v>
      </c>
      <c r="G386" s="1">
        <v>1</v>
      </c>
      <c r="H386" s="7">
        <v>45560</v>
      </c>
      <c r="I386" s="1" t="s">
        <v>7449</v>
      </c>
      <c r="J386" s="7">
        <v>45560</v>
      </c>
      <c r="K386" s="1" t="s">
        <v>7449</v>
      </c>
    </row>
    <row r="387" spans="1:11" x14ac:dyDescent="0.25">
      <c r="A387" s="1">
        <v>386</v>
      </c>
      <c r="B387" s="1" t="s">
        <v>1113</v>
      </c>
      <c r="C387" s="1" t="s">
        <v>1114</v>
      </c>
      <c r="F387" s="1" t="s">
        <v>1115</v>
      </c>
      <c r="G387" s="1">
        <v>1</v>
      </c>
      <c r="H387" s="7">
        <v>45560</v>
      </c>
      <c r="I387" s="1" t="s">
        <v>7449</v>
      </c>
      <c r="J387" s="7">
        <v>45560</v>
      </c>
      <c r="K387" s="1" t="s">
        <v>7449</v>
      </c>
    </row>
    <row r="388" spans="1:11" x14ac:dyDescent="0.25">
      <c r="A388" s="1">
        <v>387</v>
      </c>
      <c r="B388" s="1" t="s">
        <v>1116</v>
      </c>
      <c r="C388" s="1" t="s">
        <v>1117</v>
      </c>
      <c r="F388" s="1" t="s">
        <v>1118</v>
      </c>
      <c r="G388" s="1">
        <v>1</v>
      </c>
      <c r="H388" s="7">
        <v>45560</v>
      </c>
      <c r="I388" s="1" t="s">
        <v>7449</v>
      </c>
      <c r="J388" s="7">
        <v>45560</v>
      </c>
      <c r="K388" s="1" t="s">
        <v>7449</v>
      </c>
    </row>
    <row r="389" spans="1:11" x14ac:dyDescent="0.25">
      <c r="A389" s="1">
        <v>388</v>
      </c>
      <c r="B389" s="1" t="s">
        <v>1119</v>
      </c>
      <c r="C389" s="1" t="s">
        <v>1120</v>
      </c>
      <c r="F389" s="1" t="s">
        <v>1121</v>
      </c>
      <c r="G389" s="1">
        <v>1</v>
      </c>
      <c r="H389" s="7">
        <v>45560</v>
      </c>
      <c r="I389" s="1" t="s">
        <v>7449</v>
      </c>
      <c r="J389" s="7">
        <v>45560</v>
      </c>
      <c r="K389" s="1" t="s">
        <v>7449</v>
      </c>
    </row>
    <row r="390" spans="1:11" x14ac:dyDescent="0.25">
      <c r="A390" s="1">
        <v>389</v>
      </c>
      <c r="B390" s="1" t="s">
        <v>1122</v>
      </c>
      <c r="C390" s="1" t="s">
        <v>1123</v>
      </c>
      <c r="F390" s="1" t="s">
        <v>1124</v>
      </c>
      <c r="G390" s="1">
        <v>1</v>
      </c>
      <c r="H390" s="7">
        <v>45560</v>
      </c>
      <c r="I390" s="1" t="s">
        <v>7449</v>
      </c>
      <c r="J390" s="7">
        <v>45560</v>
      </c>
      <c r="K390" s="1" t="s">
        <v>7449</v>
      </c>
    </row>
    <row r="391" spans="1:11" x14ac:dyDescent="0.25">
      <c r="A391" s="1">
        <v>390</v>
      </c>
      <c r="B391" s="1" t="s">
        <v>1125</v>
      </c>
      <c r="C391" s="1" t="s">
        <v>1126</v>
      </c>
      <c r="F391" s="1" t="s">
        <v>1127</v>
      </c>
      <c r="G391" s="1">
        <v>1</v>
      </c>
      <c r="H391" s="7">
        <v>45560</v>
      </c>
      <c r="I391" s="1" t="s">
        <v>7449</v>
      </c>
      <c r="J391" s="7">
        <v>45560</v>
      </c>
      <c r="K391" s="1" t="s">
        <v>7449</v>
      </c>
    </row>
    <row r="392" spans="1:11" x14ac:dyDescent="0.25">
      <c r="A392" s="1">
        <v>391</v>
      </c>
      <c r="B392" s="1" t="s">
        <v>1128</v>
      </c>
      <c r="C392" s="1" t="s">
        <v>1129</v>
      </c>
      <c r="F392" s="1" t="s">
        <v>1130</v>
      </c>
      <c r="G392" s="1">
        <v>1</v>
      </c>
      <c r="H392" s="7">
        <v>45560</v>
      </c>
      <c r="I392" s="1" t="s">
        <v>7449</v>
      </c>
      <c r="J392" s="7">
        <v>45560</v>
      </c>
      <c r="K392" s="1" t="s">
        <v>7449</v>
      </c>
    </row>
    <row r="393" spans="1:11" x14ac:dyDescent="0.25">
      <c r="A393" s="1">
        <v>392</v>
      </c>
      <c r="B393" s="1" t="s">
        <v>1131</v>
      </c>
      <c r="C393" s="1" t="s">
        <v>1132</v>
      </c>
      <c r="F393" s="1" t="s">
        <v>1133</v>
      </c>
      <c r="G393" s="1">
        <v>1</v>
      </c>
      <c r="H393" s="7">
        <v>45560</v>
      </c>
      <c r="I393" s="1" t="s">
        <v>7449</v>
      </c>
      <c r="J393" s="7">
        <v>45560</v>
      </c>
      <c r="K393" s="1" t="s">
        <v>7449</v>
      </c>
    </row>
    <row r="394" spans="1:11" x14ac:dyDescent="0.25">
      <c r="A394" s="1">
        <v>393</v>
      </c>
      <c r="B394" s="1" t="s">
        <v>1134</v>
      </c>
      <c r="C394" s="1" t="s">
        <v>1135</v>
      </c>
      <c r="F394" s="1" t="s">
        <v>1136</v>
      </c>
      <c r="G394" s="1">
        <v>1</v>
      </c>
      <c r="H394" s="7">
        <v>45560</v>
      </c>
      <c r="I394" s="1" t="s">
        <v>7449</v>
      </c>
      <c r="J394" s="7">
        <v>45560</v>
      </c>
      <c r="K394" s="1" t="s">
        <v>7449</v>
      </c>
    </row>
    <row r="395" spans="1:11" x14ac:dyDescent="0.25">
      <c r="A395" s="1">
        <v>394</v>
      </c>
      <c r="B395" s="1" t="s">
        <v>1137</v>
      </c>
      <c r="C395" s="1" t="s">
        <v>1138</v>
      </c>
      <c r="E395" s="1" t="s">
        <v>52</v>
      </c>
      <c r="G395" s="1">
        <v>1</v>
      </c>
      <c r="H395" s="7">
        <v>45560</v>
      </c>
      <c r="I395" s="1" t="s">
        <v>7449</v>
      </c>
      <c r="J395" s="7">
        <v>45560</v>
      </c>
      <c r="K395" s="1" t="s">
        <v>7449</v>
      </c>
    </row>
    <row r="396" spans="1:11" x14ac:dyDescent="0.25">
      <c r="A396" s="1">
        <v>395</v>
      </c>
      <c r="B396" s="1" t="s">
        <v>1139</v>
      </c>
      <c r="C396" s="1" t="s">
        <v>1140</v>
      </c>
      <c r="F396" s="1" t="s">
        <v>1141</v>
      </c>
      <c r="G396" s="1">
        <v>1</v>
      </c>
      <c r="H396" s="7">
        <v>45560</v>
      </c>
      <c r="I396" s="1" t="s">
        <v>7449</v>
      </c>
      <c r="J396" s="7">
        <v>45560</v>
      </c>
      <c r="K396" s="1" t="s">
        <v>7449</v>
      </c>
    </row>
    <row r="397" spans="1:11" x14ac:dyDescent="0.25">
      <c r="A397" s="1">
        <v>396</v>
      </c>
      <c r="B397" s="1" t="s">
        <v>1142</v>
      </c>
      <c r="C397" s="1" t="s">
        <v>1143</v>
      </c>
      <c r="D397" s="1" t="s">
        <v>1144</v>
      </c>
      <c r="F397" s="1" t="s">
        <v>1145</v>
      </c>
      <c r="G397" s="1">
        <v>1</v>
      </c>
      <c r="H397" s="7">
        <v>45560</v>
      </c>
      <c r="I397" s="1" t="s">
        <v>7449</v>
      </c>
      <c r="J397" s="7">
        <v>45560</v>
      </c>
      <c r="K397" s="1" t="s">
        <v>7449</v>
      </c>
    </row>
    <row r="398" spans="1:11" x14ac:dyDescent="0.25">
      <c r="A398" s="1">
        <v>397</v>
      </c>
      <c r="B398" s="1" t="s">
        <v>1146</v>
      </c>
      <c r="C398" s="1" t="s">
        <v>1147</v>
      </c>
      <c r="F398" s="1" t="s">
        <v>1148</v>
      </c>
      <c r="G398" s="1">
        <v>1</v>
      </c>
      <c r="H398" s="7">
        <v>45560</v>
      </c>
      <c r="I398" s="1" t="s">
        <v>7449</v>
      </c>
      <c r="J398" s="7">
        <v>45560</v>
      </c>
      <c r="K398" s="1" t="s">
        <v>7449</v>
      </c>
    </row>
    <row r="399" spans="1:11" x14ac:dyDescent="0.25">
      <c r="A399" s="1">
        <v>398</v>
      </c>
      <c r="B399" s="1" t="s">
        <v>1149</v>
      </c>
      <c r="C399" s="1" t="s">
        <v>1150</v>
      </c>
      <c r="F399" s="1" t="s">
        <v>1151</v>
      </c>
      <c r="G399" s="1">
        <v>1</v>
      </c>
      <c r="H399" s="7">
        <v>45560</v>
      </c>
      <c r="I399" s="1" t="s">
        <v>7449</v>
      </c>
      <c r="J399" s="7">
        <v>45560</v>
      </c>
      <c r="K399" s="1" t="s">
        <v>7449</v>
      </c>
    </row>
    <row r="400" spans="1:11" x14ac:dyDescent="0.25">
      <c r="A400" s="1">
        <v>399</v>
      </c>
      <c r="B400" s="1" t="s">
        <v>1152</v>
      </c>
      <c r="C400" s="1" t="s">
        <v>1153</v>
      </c>
      <c r="F400" s="1" t="s">
        <v>1154</v>
      </c>
      <c r="G400" s="1">
        <v>1</v>
      </c>
      <c r="H400" s="7">
        <v>45560</v>
      </c>
      <c r="I400" s="1" t="s">
        <v>7449</v>
      </c>
      <c r="J400" s="7">
        <v>45560</v>
      </c>
      <c r="K400" s="1" t="s">
        <v>7449</v>
      </c>
    </row>
    <row r="401" spans="1:11" x14ac:dyDescent="0.25">
      <c r="A401" s="1">
        <v>400</v>
      </c>
      <c r="B401" s="1" t="s">
        <v>1155</v>
      </c>
      <c r="C401" s="1" t="s">
        <v>1156</v>
      </c>
      <c r="D401" s="1" t="s">
        <v>1157</v>
      </c>
      <c r="F401" s="1" t="s">
        <v>1158</v>
      </c>
      <c r="G401" s="1">
        <v>1</v>
      </c>
      <c r="H401" s="7">
        <v>45560</v>
      </c>
      <c r="I401" s="1" t="s">
        <v>7449</v>
      </c>
      <c r="J401" s="7">
        <v>45560</v>
      </c>
      <c r="K401" s="1" t="s">
        <v>7449</v>
      </c>
    </row>
    <row r="402" spans="1:11" x14ac:dyDescent="0.25">
      <c r="A402" s="1">
        <v>401</v>
      </c>
      <c r="B402" s="1" t="s">
        <v>1159</v>
      </c>
      <c r="C402" s="1" t="s">
        <v>1160</v>
      </c>
      <c r="F402" s="1" t="s">
        <v>1161</v>
      </c>
      <c r="G402" s="1">
        <v>1</v>
      </c>
      <c r="H402" s="7">
        <v>45560</v>
      </c>
      <c r="I402" s="1" t="s">
        <v>7449</v>
      </c>
      <c r="J402" s="7">
        <v>45560</v>
      </c>
      <c r="K402" s="1" t="s">
        <v>7449</v>
      </c>
    </row>
    <row r="403" spans="1:11" x14ac:dyDescent="0.25">
      <c r="A403" s="1">
        <v>402</v>
      </c>
      <c r="B403" s="1" t="s">
        <v>1162</v>
      </c>
      <c r="C403" s="1" t="s">
        <v>1163</v>
      </c>
      <c r="F403" s="1" t="s">
        <v>1164</v>
      </c>
      <c r="G403" s="1">
        <v>1</v>
      </c>
      <c r="H403" s="7">
        <v>45560</v>
      </c>
      <c r="I403" s="1" t="s">
        <v>7449</v>
      </c>
      <c r="J403" s="7">
        <v>45560</v>
      </c>
      <c r="K403" s="1" t="s">
        <v>7449</v>
      </c>
    </row>
    <row r="404" spans="1:11" x14ac:dyDescent="0.25">
      <c r="A404" s="1">
        <v>403</v>
      </c>
      <c r="B404" s="1" t="s">
        <v>1165</v>
      </c>
      <c r="C404" s="1" t="s">
        <v>1166</v>
      </c>
      <c r="F404" s="1" t="s">
        <v>1167</v>
      </c>
      <c r="G404" s="1">
        <v>1</v>
      </c>
      <c r="H404" s="7">
        <v>45560</v>
      </c>
      <c r="I404" s="1" t="s">
        <v>7449</v>
      </c>
      <c r="J404" s="7">
        <v>45560</v>
      </c>
      <c r="K404" s="1" t="s">
        <v>7449</v>
      </c>
    </row>
    <row r="405" spans="1:11" x14ac:dyDescent="0.25">
      <c r="A405" s="1">
        <v>404</v>
      </c>
      <c r="B405" s="1" t="s">
        <v>1168</v>
      </c>
      <c r="C405" s="1" t="s">
        <v>1169</v>
      </c>
      <c r="F405" s="1" t="s">
        <v>1170</v>
      </c>
      <c r="G405" s="1">
        <v>1</v>
      </c>
      <c r="H405" s="7">
        <v>45560</v>
      </c>
      <c r="I405" s="1" t="s">
        <v>7449</v>
      </c>
      <c r="J405" s="7">
        <v>45560</v>
      </c>
      <c r="K405" s="1" t="s">
        <v>7449</v>
      </c>
    </row>
    <row r="406" spans="1:11" x14ac:dyDescent="0.25">
      <c r="A406" s="1">
        <v>405</v>
      </c>
      <c r="B406" s="1" t="s">
        <v>1171</v>
      </c>
      <c r="C406" s="1" t="s">
        <v>1172</v>
      </c>
      <c r="F406" s="1" t="s">
        <v>1173</v>
      </c>
      <c r="G406" s="1">
        <v>1</v>
      </c>
      <c r="H406" s="7">
        <v>45560</v>
      </c>
      <c r="I406" s="1" t="s">
        <v>7449</v>
      </c>
      <c r="J406" s="7">
        <v>45560</v>
      </c>
      <c r="K406" s="1" t="s">
        <v>7449</v>
      </c>
    </row>
    <row r="407" spans="1:11" x14ac:dyDescent="0.25">
      <c r="A407" s="1">
        <v>406</v>
      </c>
      <c r="B407" s="1" t="s">
        <v>1174</v>
      </c>
      <c r="C407" s="1" t="s">
        <v>1175</v>
      </c>
      <c r="F407" s="1" t="s">
        <v>1176</v>
      </c>
      <c r="G407" s="1">
        <v>1</v>
      </c>
      <c r="H407" s="7">
        <v>45560</v>
      </c>
      <c r="I407" s="1" t="s">
        <v>7449</v>
      </c>
      <c r="J407" s="7">
        <v>45560</v>
      </c>
      <c r="K407" s="1" t="s">
        <v>7449</v>
      </c>
    </row>
    <row r="408" spans="1:11" x14ac:dyDescent="0.25">
      <c r="A408" s="1">
        <v>407</v>
      </c>
      <c r="B408" s="1" t="s">
        <v>1177</v>
      </c>
      <c r="C408" s="1" t="s">
        <v>1178</v>
      </c>
      <c r="F408" s="1" t="s">
        <v>1179</v>
      </c>
      <c r="G408" s="1">
        <v>1</v>
      </c>
      <c r="H408" s="7">
        <v>45560</v>
      </c>
      <c r="I408" s="1" t="s">
        <v>7449</v>
      </c>
      <c r="J408" s="7">
        <v>45560</v>
      </c>
      <c r="K408" s="1" t="s">
        <v>7449</v>
      </c>
    </row>
    <row r="409" spans="1:11" x14ac:dyDescent="0.25">
      <c r="A409" s="1">
        <v>408</v>
      </c>
      <c r="B409" s="1" t="s">
        <v>1180</v>
      </c>
      <c r="C409" s="1" t="s">
        <v>1181</v>
      </c>
      <c r="D409" s="1" t="s">
        <v>1182</v>
      </c>
      <c r="F409" s="1" t="s">
        <v>1183</v>
      </c>
      <c r="G409" s="1">
        <v>1</v>
      </c>
      <c r="H409" s="7">
        <v>45560</v>
      </c>
      <c r="I409" s="1" t="s">
        <v>7449</v>
      </c>
      <c r="J409" s="7">
        <v>45560</v>
      </c>
      <c r="K409" s="1" t="s">
        <v>7449</v>
      </c>
    </row>
    <row r="410" spans="1:11" x14ac:dyDescent="0.25">
      <c r="A410" s="1">
        <v>409</v>
      </c>
      <c r="B410" s="1" t="s">
        <v>1184</v>
      </c>
      <c r="C410" s="1" t="s">
        <v>1185</v>
      </c>
      <c r="F410" s="1" t="s">
        <v>1186</v>
      </c>
      <c r="G410" s="1">
        <v>1</v>
      </c>
      <c r="H410" s="7">
        <v>45560</v>
      </c>
      <c r="I410" s="1" t="s">
        <v>7449</v>
      </c>
      <c r="J410" s="7">
        <v>45560</v>
      </c>
      <c r="K410" s="1" t="s">
        <v>7449</v>
      </c>
    </row>
    <row r="411" spans="1:11" x14ac:dyDescent="0.25">
      <c r="A411" s="1">
        <v>410</v>
      </c>
      <c r="B411" s="1" t="s">
        <v>1187</v>
      </c>
      <c r="C411" s="1" t="s">
        <v>1188</v>
      </c>
      <c r="D411" s="1" t="s">
        <v>1189</v>
      </c>
      <c r="F411" s="1" t="s">
        <v>1190</v>
      </c>
      <c r="G411" s="1">
        <v>1</v>
      </c>
      <c r="H411" s="7">
        <v>45560</v>
      </c>
      <c r="I411" s="1" t="s">
        <v>7449</v>
      </c>
      <c r="J411" s="7">
        <v>45560</v>
      </c>
      <c r="K411" s="1" t="s">
        <v>7449</v>
      </c>
    </row>
    <row r="412" spans="1:11" x14ac:dyDescent="0.25">
      <c r="A412" s="1">
        <v>411</v>
      </c>
      <c r="B412" s="1" t="s">
        <v>1191</v>
      </c>
      <c r="C412" s="1" t="s">
        <v>1192</v>
      </c>
      <c r="F412" s="1" t="s">
        <v>1193</v>
      </c>
      <c r="G412" s="1">
        <v>1</v>
      </c>
      <c r="H412" s="7">
        <v>45560</v>
      </c>
      <c r="I412" s="1" t="s">
        <v>7449</v>
      </c>
      <c r="J412" s="7">
        <v>45560</v>
      </c>
      <c r="K412" s="1" t="s">
        <v>7449</v>
      </c>
    </row>
    <row r="413" spans="1:11" x14ac:dyDescent="0.25">
      <c r="A413" s="1">
        <v>412</v>
      </c>
      <c r="B413" s="1" t="s">
        <v>1194</v>
      </c>
      <c r="C413" s="1" t="s">
        <v>1195</v>
      </c>
      <c r="F413" s="1" t="s">
        <v>1196</v>
      </c>
      <c r="G413" s="1">
        <v>1</v>
      </c>
      <c r="H413" s="7">
        <v>45560</v>
      </c>
      <c r="I413" s="1" t="s">
        <v>7449</v>
      </c>
      <c r="J413" s="7">
        <v>45560</v>
      </c>
      <c r="K413" s="1" t="s">
        <v>7449</v>
      </c>
    </row>
    <row r="414" spans="1:11" x14ac:dyDescent="0.25">
      <c r="A414" s="1">
        <v>413</v>
      </c>
      <c r="B414" s="1" t="s">
        <v>1197</v>
      </c>
      <c r="C414" s="1" t="s">
        <v>1198</v>
      </c>
      <c r="D414" s="1" t="s">
        <v>1199</v>
      </c>
      <c r="F414" s="1" t="s">
        <v>1200</v>
      </c>
      <c r="G414" s="1">
        <v>1</v>
      </c>
      <c r="H414" s="7">
        <v>45560</v>
      </c>
      <c r="I414" s="1" t="s">
        <v>7449</v>
      </c>
      <c r="J414" s="7">
        <v>45560</v>
      </c>
      <c r="K414" s="1" t="s">
        <v>7449</v>
      </c>
    </row>
    <row r="415" spans="1:11" x14ac:dyDescent="0.25">
      <c r="A415" s="1">
        <v>414</v>
      </c>
      <c r="B415" s="1" t="s">
        <v>1201</v>
      </c>
      <c r="C415" s="1" t="s">
        <v>1202</v>
      </c>
      <c r="F415" s="1" t="s">
        <v>1203</v>
      </c>
      <c r="G415" s="1">
        <v>1</v>
      </c>
      <c r="H415" s="7">
        <v>45560</v>
      </c>
      <c r="I415" s="1" t="s">
        <v>7449</v>
      </c>
      <c r="J415" s="7">
        <v>45560</v>
      </c>
      <c r="K415" s="1" t="s">
        <v>7449</v>
      </c>
    </row>
    <row r="416" spans="1:11" x14ac:dyDescent="0.25">
      <c r="A416" s="1">
        <v>415</v>
      </c>
      <c r="B416" s="1" t="s">
        <v>1204</v>
      </c>
      <c r="C416" s="1" t="s">
        <v>1205</v>
      </c>
      <c r="F416" s="1" t="s">
        <v>1206</v>
      </c>
      <c r="G416" s="1">
        <v>1</v>
      </c>
      <c r="H416" s="7">
        <v>45560</v>
      </c>
      <c r="I416" s="1" t="s">
        <v>7449</v>
      </c>
      <c r="J416" s="7">
        <v>45560</v>
      </c>
      <c r="K416" s="1" t="s">
        <v>7449</v>
      </c>
    </row>
    <row r="417" spans="1:11" x14ac:dyDescent="0.25">
      <c r="A417" s="1">
        <v>416</v>
      </c>
      <c r="B417" s="1" t="s">
        <v>1207</v>
      </c>
      <c r="C417" s="1" t="s">
        <v>1208</v>
      </c>
      <c r="E417" s="1" t="s">
        <v>52</v>
      </c>
      <c r="G417" s="1">
        <v>1</v>
      </c>
      <c r="H417" s="7">
        <v>45560</v>
      </c>
      <c r="I417" s="1" t="s">
        <v>7449</v>
      </c>
      <c r="J417" s="7">
        <v>45560</v>
      </c>
      <c r="K417" s="1" t="s">
        <v>7449</v>
      </c>
    </row>
    <row r="418" spans="1:11" x14ac:dyDescent="0.25">
      <c r="A418" s="1">
        <v>417</v>
      </c>
      <c r="B418" s="1" t="s">
        <v>1209</v>
      </c>
      <c r="C418" s="1" t="s">
        <v>1210</v>
      </c>
      <c r="F418" s="1" t="s">
        <v>1211</v>
      </c>
      <c r="G418" s="1">
        <v>1</v>
      </c>
      <c r="H418" s="7">
        <v>45560</v>
      </c>
      <c r="I418" s="1" t="s">
        <v>7449</v>
      </c>
      <c r="J418" s="7">
        <v>45560</v>
      </c>
      <c r="K418" s="1" t="s">
        <v>7449</v>
      </c>
    </row>
    <row r="419" spans="1:11" x14ac:dyDescent="0.25">
      <c r="A419" s="1">
        <v>418</v>
      </c>
      <c r="B419" s="1" t="s">
        <v>1212</v>
      </c>
      <c r="C419" s="1" t="s">
        <v>1213</v>
      </c>
      <c r="F419" s="1" t="s">
        <v>1214</v>
      </c>
      <c r="G419" s="1">
        <v>1</v>
      </c>
      <c r="H419" s="7">
        <v>45560</v>
      </c>
      <c r="I419" s="1" t="s">
        <v>7449</v>
      </c>
      <c r="J419" s="7">
        <v>45560</v>
      </c>
      <c r="K419" s="1" t="s">
        <v>7449</v>
      </c>
    </row>
    <row r="420" spans="1:11" x14ac:dyDescent="0.25">
      <c r="A420" s="1">
        <v>419</v>
      </c>
      <c r="B420" s="1" t="s">
        <v>1215</v>
      </c>
      <c r="C420" s="1" t="s">
        <v>1216</v>
      </c>
      <c r="F420" s="1" t="s">
        <v>1217</v>
      </c>
      <c r="G420" s="1">
        <v>1</v>
      </c>
      <c r="H420" s="7">
        <v>45560</v>
      </c>
      <c r="I420" s="1" t="s">
        <v>7449</v>
      </c>
      <c r="J420" s="7">
        <v>45560</v>
      </c>
      <c r="K420" s="1" t="s">
        <v>7449</v>
      </c>
    </row>
    <row r="421" spans="1:11" x14ac:dyDescent="0.25">
      <c r="A421" s="1">
        <v>420</v>
      </c>
      <c r="B421" s="1" t="s">
        <v>1218</v>
      </c>
      <c r="C421" s="1" t="s">
        <v>1219</v>
      </c>
      <c r="F421" s="1" t="s">
        <v>1220</v>
      </c>
      <c r="G421" s="1">
        <v>1</v>
      </c>
      <c r="H421" s="7">
        <v>45560</v>
      </c>
      <c r="I421" s="1" t="s">
        <v>7449</v>
      </c>
      <c r="J421" s="7">
        <v>45560</v>
      </c>
      <c r="K421" s="1" t="s">
        <v>7449</v>
      </c>
    </row>
    <row r="422" spans="1:11" x14ac:dyDescent="0.25">
      <c r="A422" s="1">
        <v>421</v>
      </c>
      <c r="B422" s="1" t="s">
        <v>1221</v>
      </c>
      <c r="C422" s="1" t="s">
        <v>1222</v>
      </c>
      <c r="F422" s="1" t="s">
        <v>1223</v>
      </c>
      <c r="G422" s="1">
        <v>1</v>
      </c>
      <c r="H422" s="7">
        <v>45560</v>
      </c>
      <c r="I422" s="1" t="s">
        <v>7449</v>
      </c>
      <c r="J422" s="7">
        <v>45560</v>
      </c>
      <c r="K422" s="1" t="s">
        <v>7449</v>
      </c>
    </row>
    <row r="423" spans="1:11" x14ac:dyDescent="0.25">
      <c r="A423" s="1">
        <v>422</v>
      </c>
      <c r="B423" s="1" t="s">
        <v>1224</v>
      </c>
      <c r="C423" s="1" t="s">
        <v>1225</v>
      </c>
      <c r="D423" s="1" t="s">
        <v>1226</v>
      </c>
      <c r="F423" s="1" t="s">
        <v>1227</v>
      </c>
      <c r="G423" s="1">
        <v>1</v>
      </c>
      <c r="H423" s="7">
        <v>45560</v>
      </c>
      <c r="I423" s="1" t="s">
        <v>7449</v>
      </c>
      <c r="J423" s="7">
        <v>45560</v>
      </c>
      <c r="K423" s="1" t="s">
        <v>7449</v>
      </c>
    </row>
    <row r="424" spans="1:11" x14ac:dyDescent="0.25">
      <c r="A424" s="1">
        <v>423</v>
      </c>
      <c r="B424" s="1" t="s">
        <v>1228</v>
      </c>
      <c r="C424" s="1" t="s">
        <v>1229</v>
      </c>
      <c r="F424" s="1" t="s">
        <v>1230</v>
      </c>
      <c r="G424" s="1">
        <v>1</v>
      </c>
      <c r="H424" s="7">
        <v>45560</v>
      </c>
      <c r="I424" s="1" t="s">
        <v>7449</v>
      </c>
      <c r="J424" s="7">
        <v>45560</v>
      </c>
      <c r="K424" s="1" t="s">
        <v>7449</v>
      </c>
    </row>
    <row r="425" spans="1:11" x14ac:dyDescent="0.25">
      <c r="A425" s="1">
        <v>424</v>
      </c>
      <c r="B425" s="1" t="s">
        <v>1231</v>
      </c>
      <c r="C425" s="1" t="s">
        <v>1232</v>
      </c>
      <c r="F425" s="1" t="s">
        <v>1233</v>
      </c>
      <c r="G425" s="1">
        <v>1</v>
      </c>
      <c r="H425" s="7">
        <v>45560</v>
      </c>
      <c r="I425" s="1" t="s">
        <v>7449</v>
      </c>
      <c r="J425" s="7">
        <v>45560</v>
      </c>
      <c r="K425" s="1" t="s">
        <v>7449</v>
      </c>
    </row>
    <row r="426" spans="1:11" x14ac:dyDescent="0.25">
      <c r="A426" s="1">
        <v>425</v>
      </c>
      <c r="B426" s="1" t="s">
        <v>1234</v>
      </c>
      <c r="C426" s="1" t="s">
        <v>1235</v>
      </c>
      <c r="F426" s="1" t="s">
        <v>1236</v>
      </c>
      <c r="G426" s="1">
        <v>1</v>
      </c>
      <c r="H426" s="7">
        <v>45560</v>
      </c>
      <c r="I426" s="1" t="s">
        <v>7449</v>
      </c>
      <c r="J426" s="7">
        <v>45560</v>
      </c>
      <c r="K426" s="1" t="s">
        <v>7449</v>
      </c>
    </row>
    <row r="427" spans="1:11" x14ac:dyDescent="0.25">
      <c r="A427" s="1">
        <v>426</v>
      </c>
      <c r="B427" s="1" t="s">
        <v>1237</v>
      </c>
      <c r="C427" s="1" t="s">
        <v>1238</v>
      </c>
      <c r="F427" s="1" t="s">
        <v>1239</v>
      </c>
      <c r="G427" s="1">
        <v>1</v>
      </c>
      <c r="H427" s="7">
        <v>45560</v>
      </c>
      <c r="I427" s="1" t="s">
        <v>7449</v>
      </c>
      <c r="J427" s="7">
        <v>45560</v>
      </c>
      <c r="K427" s="1" t="s">
        <v>7449</v>
      </c>
    </row>
    <row r="428" spans="1:11" x14ac:dyDescent="0.25">
      <c r="A428" s="1">
        <v>427</v>
      </c>
      <c r="B428" s="1" t="s">
        <v>1240</v>
      </c>
      <c r="C428" s="1" t="s">
        <v>1241</v>
      </c>
      <c r="E428" s="1" t="s">
        <v>52</v>
      </c>
      <c r="G428" s="1">
        <v>1</v>
      </c>
      <c r="H428" s="7">
        <v>45560</v>
      </c>
      <c r="I428" s="1" t="s">
        <v>7449</v>
      </c>
      <c r="J428" s="7">
        <v>45560</v>
      </c>
      <c r="K428" s="1" t="s">
        <v>7449</v>
      </c>
    </row>
    <row r="429" spans="1:11" x14ac:dyDescent="0.25">
      <c r="A429" s="1">
        <v>428</v>
      </c>
      <c r="B429" s="1" t="s">
        <v>1242</v>
      </c>
      <c r="C429" s="1" t="s">
        <v>1243</v>
      </c>
      <c r="D429" s="1" t="s">
        <v>1244</v>
      </c>
      <c r="F429" s="1" t="s">
        <v>1245</v>
      </c>
      <c r="G429" s="1">
        <v>1</v>
      </c>
      <c r="H429" s="7">
        <v>45560</v>
      </c>
      <c r="I429" s="1" t="s">
        <v>7449</v>
      </c>
      <c r="J429" s="7">
        <v>45560</v>
      </c>
      <c r="K429" s="1" t="s">
        <v>7449</v>
      </c>
    </row>
    <row r="430" spans="1:11" x14ac:dyDescent="0.25">
      <c r="A430" s="1">
        <v>429</v>
      </c>
      <c r="B430" s="1" t="s">
        <v>1246</v>
      </c>
      <c r="C430" s="1" t="s">
        <v>1247</v>
      </c>
      <c r="F430" s="1" t="s">
        <v>1248</v>
      </c>
      <c r="G430" s="1">
        <v>1</v>
      </c>
      <c r="H430" s="7">
        <v>45560</v>
      </c>
      <c r="I430" s="1" t="s">
        <v>7449</v>
      </c>
      <c r="J430" s="7">
        <v>45560</v>
      </c>
      <c r="K430" s="1" t="s">
        <v>7449</v>
      </c>
    </row>
    <row r="431" spans="1:11" x14ac:dyDescent="0.25">
      <c r="A431" s="1">
        <v>430</v>
      </c>
      <c r="B431" s="1" t="s">
        <v>1249</v>
      </c>
      <c r="C431" s="1" t="s">
        <v>1250</v>
      </c>
      <c r="D431" s="1" t="s">
        <v>1251</v>
      </c>
      <c r="F431" s="1" t="s">
        <v>1252</v>
      </c>
      <c r="G431" s="1">
        <v>1</v>
      </c>
      <c r="H431" s="7">
        <v>45560</v>
      </c>
      <c r="I431" s="1" t="s">
        <v>7449</v>
      </c>
      <c r="J431" s="7">
        <v>45560</v>
      </c>
      <c r="K431" s="1" t="s">
        <v>7449</v>
      </c>
    </row>
    <row r="432" spans="1:11" x14ac:dyDescent="0.25">
      <c r="A432" s="1">
        <v>431</v>
      </c>
      <c r="B432" s="1" t="s">
        <v>1253</v>
      </c>
      <c r="C432" s="1" t="s">
        <v>1254</v>
      </c>
      <c r="F432" s="1" t="s">
        <v>1255</v>
      </c>
      <c r="G432" s="1">
        <v>1</v>
      </c>
      <c r="H432" s="7">
        <v>45560</v>
      </c>
      <c r="I432" s="1" t="s">
        <v>7449</v>
      </c>
      <c r="J432" s="7">
        <v>45560</v>
      </c>
      <c r="K432" s="1" t="s">
        <v>7449</v>
      </c>
    </row>
    <row r="433" spans="1:11" x14ac:dyDescent="0.25">
      <c r="A433" s="1">
        <v>432</v>
      </c>
      <c r="B433" s="1" t="s">
        <v>1256</v>
      </c>
      <c r="C433" s="1" t="s">
        <v>1257</v>
      </c>
      <c r="F433" s="1" t="s">
        <v>1258</v>
      </c>
      <c r="G433" s="1">
        <v>1</v>
      </c>
      <c r="H433" s="7">
        <v>45560</v>
      </c>
      <c r="I433" s="1" t="s">
        <v>7449</v>
      </c>
      <c r="J433" s="7">
        <v>45560</v>
      </c>
      <c r="K433" s="1" t="s">
        <v>7449</v>
      </c>
    </row>
    <row r="434" spans="1:11" x14ac:dyDescent="0.25">
      <c r="A434" s="1">
        <v>433</v>
      </c>
      <c r="B434" s="1" t="s">
        <v>1259</v>
      </c>
      <c r="C434" s="1" t="s">
        <v>1260</v>
      </c>
      <c r="F434" s="1" t="s">
        <v>1261</v>
      </c>
      <c r="G434" s="1">
        <v>1</v>
      </c>
      <c r="H434" s="7">
        <v>45560</v>
      </c>
      <c r="I434" s="1" t="s">
        <v>7449</v>
      </c>
      <c r="J434" s="7">
        <v>45560</v>
      </c>
      <c r="K434" s="1" t="s">
        <v>7449</v>
      </c>
    </row>
    <row r="435" spans="1:11" x14ac:dyDescent="0.25">
      <c r="A435" s="1">
        <v>434</v>
      </c>
      <c r="B435" s="1" t="s">
        <v>1262</v>
      </c>
      <c r="C435" s="1" t="s">
        <v>1263</v>
      </c>
      <c r="F435" s="1" t="s">
        <v>1264</v>
      </c>
      <c r="G435" s="1">
        <v>1</v>
      </c>
      <c r="H435" s="7">
        <v>45560</v>
      </c>
      <c r="I435" s="1" t="s">
        <v>7449</v>
      </c>
      <c r="J435" s="7">
        <v>45560</v>
      </c>
      <c r="K435" s="1" t="s">
        <v>7449</v>
      </c>
    </row>
    <row r="436" spans="1:11" x14ac:dyDescent="0.25">
      <c r="A436" s="1">
        <v>435</v>
      </c>
      <c r="B436" s="1" t="s">
        <v>1265</v>
      </c>
      <c r="C436" s="1" t="s">
        <v>1266</v>
      </c>
      <c r="F436" s="1" t="s">
        <v>1267</v>
      </c>
      <c r="G436" s="1">
        <v>1</v>
      </c>
      <c r="H436" s="7">
        <v>45560</v>
      </c>
      <c r="I436" s="1" t="s">
        <v>7449</v>
      </c>
      <c r="J436" s="7">
        <v>45560</v>
      </c>
      <c r="K436" s="1" t="s">
        <v>7449</v>
      </c>
    </row>
    <row r="437" spans="1:11" x14ac:dyDescent="0.25">
      <c r="A437" s="1">
        <v>436</v>
      </c>
      <c r="B437" s="1" t="s">
        <v>1268</v>
      </c>
      <c r="C437" s="1" t="s">
        <v>1269</v>
      </c>
      <c r="F437" s="1" t="s">
        <v>1270</v>
      </c>
      <c r="G437" s="1">
        <v>1</v>
      </c>
      <c r="H437" s="7">
        <v>45560</v>
      </c>
      <c r="I437" s="1" t="s">
        <v>7449</v>
      </c>
      <c r="J437" s="7">
        <v>45560</v>
      </c>
      <c r="K437" s="1" t="s">
        <v>7449</v>
      </c>
    </row>
    <row r="438" spans="1:11" x14ac:dyDescent="0.25">
      <c r="A438" s="1">
        <v>437</v>
      </c>
      <c r="B438" s="1" t="s">
        <v>1271</v>
      </c>
      <c r="C438" s="1" t="s">
        <v>1272</v>
      </c>
      <c r="D438" s="1" t="s">
        <v>1273</v>
      </c>
      <c r="G438" s="1">
        <v>1</v>
      </c>
      <c r="H438" s="7">
        <v>45560</v>
      </c>
      <c r="I438" s="1" t="s">
        <v>7449</v>
      </c>
      <c r="J438" s="7">
        <v>45560</v>
      </c>
      <c r="K438" s="1" t="s">
        <v>7449</v>
      </c>
    </row>
    <row r="439" spans="1:11" x14ac:dyDescent="0.25">
      <c r="A439" s="1">
        <v>438</v>
      </c>
      <c r="B439" s="1" t="s">
        <v>1274</v>
      </c>
      <c r="C439" s="1" t="s">
        <v>1275</v>
      </c>
      <c r="E439" s="1" t="s">
        <v>52</v>
      </c>
      <c r="G439" s="1">
        <v>1</v>
      </c>
      <c r="H439" s="7">
        <v>45560</v>
      </c>
      <c r="I439" s="1" t="s">
        <v>7449</v>
      </c>
      <c r="J439" s="7">
        <v>45560</v>
      </c>
      <c r="K439" s="1" t="s">
        <v>7449</v>
      </c>
    </row>
    <row r="440" spans="1:11" x14ac:dyDescent="0.25">
      <c r="A440" s="1">
        <v>439</v>
      </c>
      <c r="B440" s="1" t="s">
        <v>1276</v>
      </c>
      <c r="C440" s="1" t="s">
        <v>1277</v>
      </c>
      <c r="F440" s="1" t="s">
        <v>1278</v>
      </c>
      <c r="G440" s="1">
        <v>1</v>
      </c>
      <c r="H440" s="7">
        <v>45560</v>
      </c>
      <c r="I440" s="1" t="s">
        <v>7449</v>
      </c>
      <c r="J440" s="7">
        <v>45560</v>
      </c>
      <c r="K440" s="1" t="s">
        <v>7449</v>
      </c>
    </row>
    <row r="441" spans="1:11" x14ac:dyDescent="0.25">
      <c r="A441" s="1">
        <v>440</v>
      </c>
      <c r="B441" s="1" t="s">
        <v>1279</v>
      </c>
      <c r="C441" s="1" t="s">
        <v>1280</v>
      </c>
      <c r="F441" s="1" t="s">
        <v>1281</v>
      </c>
      <c r="G441" s="1">
        <v>1</v>
      </c>
      <c r="H441" s="7">
        <v>45560</v>
      </c>
      <c r="I441" s="1" t="s">
        <v>7449</v>
      </c>
      <c r="J441" s="7">
        <v>45560</v>
      </c>
      <c r="K441" s="1" t="s">
        <v>7449</v>
      </c>
    </row>
    <row r="442" spans="1:11" x14ac:dyDescent="0.25">
      <c r="A442" s="1">
        <v>441</v>
      </c>
      <c r="B442" s="1" t="s">
        <v>1282</v>
      </c>
      <c r="C442" s="1" t="s">
        <v>1283</v>
      </c>
      <c r="D442" s="1" t="s">
        <v>1284</v>
      </c>
      <c r="F442" s="1">
        <v>1</v>
      </c>
      <c r="G442" s="1">
        <v>1</v>
      </c>
      <c r="H442" s="7">
        <v>45560</v>
      </c>
      <c r="I442" s="1" t="s">
        <v>7449</v>
      </c>
      <c r="J442" s="7">
        <v>45560</v>
      </c>
      <c r="K442" s="1" t="s">
        <v>7449</v>
      </c>
    </row>
    <row r="443" spans="1:11" x14ac:dyDescent="0.25">
      <c r="A443" s="1">
        <v>442</v>
      </c>
      <c r="B443" s="1" t="s">
        <v>1285</v>
      </c>
      <c r="C443" s="1" t="s">
        <v>1286</v>
      </c>
      <c r="D443" s="1" t="s">
        <v>1287</v>
      </c>
      <c r="F443" s="1" t="s">
        <v>1288</v>
      </c>
      <c r="G443" s="1">
        <v>1</v>
      </c>
      <c r="H443" s="7">
        <v>45560</v>
      </c>
      <c r="I443" s="1" t="s">
        <v>7449</v>
      </c>
      <c r="J443" s="7">
        <v>45560</v>
      </c>
      <c r="K443" s="1" t="s">
        <v>7449</v>
      </c>
    </row>
    <row r="444" spans="1:11" x14ac:dyDescent="0.25">
      <c r="A444" s="1">
        <v>443</v>
      </c>
      <c r="B444" s="1" t="s">
        <v>1289</v>
      </c>
      <c r="C444" s="1" t="s">
        <v>1290</v>
      </c>
      <c r="F444" s="1" t="s">
        <v>1291</v>
      </c>
      <c r="G444" s="1">
        <v>1</v>
      </c>
      <c r="H444" s="7">
        <v>45560</v>
      </c>
      <c r="I444" s="1" t="s">
        <v>7449</v>
      </c>
      <c r="J444" s="7">
        <v>45560</v>
      </c>
      <c r="K444" s="1" t="s">
        <v>7449</v>
      </c>
    </row>
    <row r="445" spans="1:11" x14ac:dyDescent="0.25">
      <c r="A445" s="1">
        <v>444</v>
      </c>
      <c r="B445" s="1" t="s">
        <v>1292</v>
      </c>
      <c r="C445" s="1" t="s">
        <v>1293</v>
      </c>
      <c r="D445" s="1" t="s">
        <v>1294</v>
      </c>
      <c r="F445" s="1" t="s">
        <v>1295</v>
      </c>
      <c r="G445" s="1">
        <v>1</v>
      </c>
      <c r="H445" s="7">
        <v>45560</v>
      </c>
      <c r="I445" s="1" t="s">
        <v>7449</v>
      </c>
      <c r="J445" s="7">
        <v>45560</v>
      </c>
      <c r="K445" s="1" t="s">
        <v>7449</v>
      </c>
    </row>
    <row r="446" spans="1:11" x14ac:dyDescent="0.25">
      <c r="A446" s="1">
        <v>445</v>
      </c>
      <c r="B446" s="1" t="s">
        <v>1296</v>
      </c>
      <c r="C446" s="1" t="s">
        <v>1297</v>
      </c>
      <c r="F446" s="1" t="s">
        <v>1298</v>
      </c>
      <c r="G446" s="1">
        <v>1</v>
      </c>
      <c r="H446" s="7">
        <v>45560</v>
      </c>
      <c r="I446" s="1" t="s">
        <v>7449</v>
      </c>
      <c r="J446" s="7">
        <v>45560</v>
      </c>
      <c r="K446" s="1" t="s">
        <v>7449</v>
      </c>
    </row>
    <row r="447" spans="1:11" x14ac:dyDescent="0.25">
      <c r="A447" s="1">
        <v>446</v>
      </c>
      <c r="B447" s="1" t="s">
        <v>1299</v>
      </c>
      <c r="C447" s="1" t="s">
        <v>1300</v>
      </c>
      <c r="F447" s="1" t="s">
        <v>1301</v>
      </c>
      <c r="G447" s="1">
        <v>1</v>
      </c>
      <c r="H447" s="7">
        <v>45560</v>
      </c>
      <c r="I447" s="1" t="s">
        <v>7449</v>
      </c>
      <c r="J447" s="7">
        <v>45560</v>
      </c>
      <c r="K447" s="1" t="s">
        <v>7449</v>
      </c>
    </row>
    <row r="448" spans="1:11" x14ac:dyDescent="0.25">
      <c r="A448" s="1">
        <v>447</v>
      </c>
      <c r="B448" s="1" t="s">
        <v>1302</v>
      </c>
      <c r="C448" s="1" t="s">
        <v>1303</v>
      </c>
      <c r="F448" s="1" t="s">
        <v>1304</v>
      </c>
      <c r="G448" s="1">
        <v>1</v>
      </c>
      <c r="H448" s="7">
        <v>45560</v>
      </c>
      <c r="I448" s="1" t="s">
        <v>7449</v>
      </c>
      <c r="J448" s="7">
        <v>45560</v>
      </c>
      <c r="K448" s="1" t="s">
        <v>7449</v>
      </c>
    </row>
    <row r="449" spans="1:11" x14ac:dyDescent="0.25">
      <c r="A449" s="1">
        <v>448</v>
      </c>
      <c r="B449" s="1" t="s">
        <v>1305</v>
      </c>
      <c r="C449" s="1" t="s">
        <v>1306</v>
      </c>
      <c r="D449" s="1" t="s">
        <v>1307</v>
      </c>
      <c r="G449" s="1">
        <v>1</v>
      </c>
      <c r="H449" s="7">
        <v>45560</v>
      </c>
      <c r="I449" s="1" t="s">
        <v>7449</v>
      </c>
      <c r="J449" s="7">
        <v>45560</v>
      </c>
      <c r="K449" s="1" t="s">
        <v>7449</v>
      </c>
    </row>
    <row r="450" spans="1:11" x14ac:dyDescent="0.25">
      <c r="A450" s="1">
        <v>449</v>
      </c>
      <c r="B450" s="1" t="s">
        <v>1308</v>
      </c>
      <c r="C450" s="1" t="s">
        <v>1309</v>
      </c>
      <c r="F450" s="1" t="s">
        <v>1310</v>
      </c>
      <c r="G450" s="1">
        <v>1</v>
      </c>
      <c r="H450" s="7">
        <v>45560</v>
      </c>
      <c r="I450" s="1" t="s">
        <v>7449</v>
      </c>
      <c r="J450" s="7">
        <v>45560</v>
      </c>
      <c r="K450" s="1" t="s">
        <v>7449</v>
      </c>
    </row>
    <row r="451" spans="1:11" x14ac:dyDescent="0.25">
      <c r="A451" s="1">
        <v>450</v>
      </c>
      <c r="B451" s="1" t="s">
        <v>1311</v>
      </c>
      <c r="C451" s="1" t="s">
        <v>1312</v>
      </c>
      <c r="F451" s="1" t="s">
        <v>1313</v>
      </c>
      <c r="G451" s="1">
        <v>1</v>
      </c>
      <c r="H451" s="7">
        <v>45560</v>
      </c>
      <c r="I451" s="1" t="s">
        <v>7449</v>
      </c>
      <c r="J451" s="7">
        <v>45560</v>
      </c>
      <c r="K451" s="1" t="s">
        <v>7449</v>
      </c>
    </row>
    <row r="452" spans="1:11" x14ac:dyDescent="0.25">
      <c r="A452" s="1">
        <v>451</v>
      </c>
      <c r="B452" s="1" t="s">
        <v>1314</v>
      </c>
      <c r="C452" s="1" t="s">
        <v>1315</v>
      </c>
      <c r="F452" s="1" t="s">
        <v>1316</v>
      </c>
      <c r="G452" s="1">
        <v>1</v>
      </c>
      <c r="H452" s="7">
        <v>45560</v>
      </c>
      <c r="I452" s="1" t="s">
        <v>7449</v>
      </c>
      <c r="J452" s="7">
        <v>45560</v>
      </c>
      <c r="K452" s="1" t="s">
        <v>7449</v>
      </c>
    </row>
    <row r="453" spans="1:11" x14ac:dyDescent="0.25">
      <c r="A453" s="1">
        <v>452</v>
      </c>
      <c r="B453" s="1" t="s">
        <v>1317</v>
      </c>
      <c r="C453" s="1" t="s">
        <v>1318</v>
      </c>
      <c r="F453" s="1" t="s">
        <v>1319</v>
      </c>
      <c r="G453" s="1">
        <v>1</v>
      </c>
      <c r="H453" s="7">
        <v>45560</v>
      </c>
      <c r="I453" s="1" t="s">
        <v>7449</v>
      </c>
      <c r="J453" s="7">
        <v>45560</v>
      </c>
      <c r="K453" s="1" t="s">
        <v>7449</v>
      </c>
    </row>
    <row r="454" spans="1:11" x14ac:dyDescent="0.25">
      <c r="A454" s="1">
        <v>453</v>
      </c>
      <c r="B454" s="1" t="s">
        <v>1320</v>
      </c>
      <c r="C454" s="1" t="s">
        <v>1321</v>
      </c>
      <c r="F454" s="1" t="s">
        <v>1322</v>
      </c>
      <c r="G454" s="1">
        <v>1</v>
      </c>
      <c r="H454" s="7">
        <v>45560</v>
      </c>
      <c r="I454" s="1" t="s">
        <v>7449</v>
      </c>
      <c r="J454" s="7">
        <v>45560</v>
      </c>
      <c r="K454" s="1" t="s">
        <v>7449</v>
      </c>
    </row>
    <row r="455" spans="1:11" x14ac:dyDescent="0.25">
      <c r="A455" s="1">
        <v>454</v>
      </c>
      <c r="B455" s="1" t="s">
        <v>1323</v>
      </c>
      <c r="C455" s="1" t="s">
        <v>1324</v>
      </c>
      <c r="D455" s="1" t="s">
        <v>1325</v>
      </c>
      <c r="F455" s="1" t="s">
        <v>1326</v>
      </c>
      <c r="G455" s="1">
        <v>1</v>
      </c>
      <c r="H455" s="7">
        <v>45560</v>
      </c>
      <c r="I455" s="1" t="s">
        <v>7449</v>
      </c>
      <c r="J455" s="7">
        <v>45560</v>
      </c>
      <c r="K455" s="1" t="s">
        <v>7449</v>
      </c>
    </row>
    <row r="456" spans="1:11" x14ac:dyDescent="0.25">
      <c r="A456" s="1">
        <v>455</v>
      </c>
      <c r="B456" s="1" t="s">
        <v>1327</v>
      </c>
      <c r="C456" s="1" t="s">
        <v>1328</v>
      </c>
      <c r="F456" s="1" t="s">
        <v>1329</v>
      </c>
      <c r="G456" s="1">
        <v>1</v>
      </c>
      <c r="H456" s="7">
        <v>45560</v>
      </c>
      <c r="I456" s="1" t="s">
        <v>7449</v>
      </c>
      <c r="J456" s="7">
        <v>45560</v>
      </c>
      <c r="K456" s="1" t="s">
        <v>7449</v>
      </c>
    </row>
    <row r="457" spans="1:11" x14ac:dyDescent="0.25">
      <c r="A457" s="1">
        <v>456</v>
      </c>
      <c r="B457" s="1" t="s">
        <v>1330</v>
      </c>
      <c r="C457" s="1" t="s">
        <v>1331</v>
      </c>
      <c r="D457" s="1" t="s">
        <v>1332</v>
      </c>
      <c r="F457" s="1" t="s">
        <v>1333</v>
      </c>
      <c r="G457" s="1">
        <v>1</v>
      </c>
      <c r="H457" s="7">
        <v>45560</v>
      </c>
      <c r="I457" s="1" t="s">
        <v>7449</v>
      </c>
      <c r="J457" s="7">
        <v>45560</v>
      </c>
      <c r="K457" s="1" t="s">
        <v>7449</v>
      </c>
    </row>
    <row r="458" spans="1:11" x14ac:dyDescent="0.25">
      <c r="A458" s="1">
        <v>457</v>
      </c>
      <c r="B458" s="1" t="s">
        <v>1334</v>
      </c>
      <c r="C458" s="1" t="s">
        <v>1335</v>
      </c>
      <c r="E458" s="1" t="s">
        <v>52</v>
      </c>
      <c r="G458" s="1">
        <v>1</v>
      </c>
      <c r="H458" s="7">
        <v>45560</v>
      </c>
      <c r="I458" s="1" t="s">
        <v>7449</v>
      </c>
      <c r="J458" s="7">
        <v>45560</v>
      </c>
      <c r="K458" s="1" t="s">
        <v>7449</v>
      </c>
    </row>
    <row r="459" spans="1:11" x14ac:dyDescent="0.25">
      <c r="A459" s="1">
        <v>458</v>
      </c>
      <c r="B459" s="1" t="s">
        <v>1336</v>
      </c>
      <c r="C459" s="1" t="s">
        <v>1337</v>
      </c>
      <c r="F459" s="1" t="s">
        <v>1338</v>
      </c>
      <c r="G459" s="1">
        <v>1</v>
      </c>
      <c r="H459" s="7">
        <v>45560</v>
      </c>
      <c r="I459" s="1" t="s">
        <v>7449</v>
      </c>
      <c r="J459" s="7">
        <v>45560</v>
      </c>
      <c r="K459" s="1" t="s">
        <v>7449</v>
      </c>
    </row>
    <row r="460" spans="1:11" x14ac:dyDescent="0.25">
      <c r="A460" s="1">
        <v>459</v>
      </c>
      <c r="B460" s="1" t="s">
        <v>1339</v>
      </c>
      <c r="C460" s="1" t="s">
        <v>1340</v>
      </c>
      <c r="D460" s="1" t="s">
        <v>1341</v>
      </c>
      <c r="F460" s="1" t="s">
        <v>1342</v>
      </c>
      <c r="G460" s="1">
        <v>1</v>
      </c>
      <c r="H460" s="7">
        <v>45560</v>
      </c>
      <c r="I460" s="1" t="s">
        <v>7449</v>
      </c>
      <c r="J460" s="7">
        <v>45560</v>
      </c>
      <c r="K460" s="1" t="s">
        <v>7449</v>
      </c>
    </row>
    <row r="461" spans="1:11" x14ac:dyDescent="0.25">
      <c r="A461" s="1">
        <v>460</v>
      </c>
      <c r="B461" s="1" t="s">
        <v>1343</v>
      </c>
      <c r="C461" s="1" t="s">
        <v>1344</v>
      </c>
      <c r="F461" s="1" t="s">
        <v>1345</v>
      </c>
      <c r="G461" s="1">
        <v>1</v>
      </c>
      <c r="H461" s="7">
        <v>45560</v>
      </c>
      <c r="I461" s="1" t="s">
        <v>7449</v>
      </c>
      <c r="J461" s="7">
        <v>45560</v>
      </c>
      <c r="K461" s="1" t="s">
        <v>7449</v>
      </c>
    </row>
    <row r="462" spans="1:11" x14ac:dyDescent="0.25">
      <c r="A462" s="1">
        <v>461</v>
      </c>
      <c r="B462" s="1" t="s">
        <v>1346</v>
      </c>
      <c r="C462" s="1" t="s">
        <v>1347</v>
      </c>
      <c r="F462" s="1" t="s">
        <v>1348</v>
      </c>
      <c r="G462" s="1">
        <v>1</v>
      </c>
      <c r="H462" s="7">
        <v>45560</v>
      </c>
      <c r="I462" s="1" t="s">
        <v>7449</v>
      </c>
      <c r="J462" s="7">
        <v>45560</v>
      </c>
      <c r="K462" s="1" t="s">
        <v>7449</v>
      </c>
    </row>
    <row r="463" spans="1:11" x14ac:dyDescent="0.25">
      <c r="A463" s="1">
        <v>462</v>
      </c>
      <c r="B463" s="1" t="s">
        <v>1349</v>
      </c>
      <c r="C463" s="1" t="s">
        <v>1350</v>
      </c>
      <c r="D463" s="1" t="s">
        <v>1351</v>
      </c>
      <c r="F463" s="1" t="s">
        <v>1348</v>
      </c>
      <c r="G463" s="1">
        <v>1</v>
      </c>
      <c r="H463" s="7">
        <v>45560</v>
      </c>
      <c r="I463" s="1" t="s">
        <v>7449</v>
      </c>
      <c r="J463" s="7">
        <v>45560</v>
      </c>
      <c r="K463" s="1" t="s">
        <v>7449</v>
      </c>
    </row>
    <row r="464" spans="1:11" x14ac:dyDescent="0.25">
      <c r="A464" s="1">
        <v>463</v>
      </c>
      <c r="B464" s="1" t="s">
        <v>1352</v>
      </c>
      <c r="C464" s="1" t="s">
        <v>1353</v>
      </c>
      <c r="F464" s="1" t="s">
        <v>1354</v>
      </c>
      <c r="G464" s="1">
        <v>1</v>
      </c>
      <c r="H464" s="7">
        <v>45560</v>
      </c>
      <c r="I464" s="1" t="s">
        <v>7449</v>
      </c>
      <c r="J464" s="7">
        <v>45560</v>
      </c>
      <c r="K464" s="1" t="s">
        <v>7449</v>
      </c>
    </row>
    <row r="465" spans="1:11" x14ac:dyDescent="0.25">
      <c r="A465" s="1">
        <v>464</v>
      </c>
      <c r="B465" s="1" t="s">
        <v>1355</v>
      </c>
      <c r="C465" s="1" t="s">
        <v>1356</v>
      </c>
      <c r="F465" s="1" t="s">
        <v>1357</v>
      </c>
      <c r="G465" s="1">
        <v>1</v>
      </c>
      <c r="H465" s="7">
        <v>45560</v>
      </c>
      <c r="I465" s="1" t="s">
        <v>7449</v>
      </c>
      <c r="J465" s="7">
        <v>45560</v>
      </c>
      <c r="K465" s="1" t="s">
        <v>7449</v>
      </c>
    </row>
    <row r="466" spans="1:11" x14ac:dyDescent="0.25">
      <c r="A466" s="1">
        <v>465</v>
      </c>
      <c r="B466" s="1" t="s">
        <v>1358</v>
      </c>
      <c r="C466" s="1" t="s">
        <v>1359</v>
      </c>
      <c r="F466" s="1" t="s">
        <v>1360</v>
      </c>
      <c r="G466" s="1">
        <v>1</v>
      </c>
      <c r="H466" s="7">
        <v>45560</v>
      </c>
      <c r="I466" s="1" t="s">
        <v>7449</v>
      </c>
      <c r="J466" s="7">
        <v>45560</v>
      </c>
      <c r="K466" s="1" t="s">
        <v>7449</v>
      </c>
    </row>
    <row r="467" spans="1:11" x14ac:dyDescent="0.25">
      <c r="A467" s="1">
        <v>466</v>
      </c>
      <c r="B467" s="1" t="s">
        <v>1361</v>
      </c>
      <c r="C467" s="1" t="s">
        <v>1362</v>
      </c>
      <c r="F467" s="1" t="s">
        <v>1363</v>
      </c>
      <c r="G467" s="1">
        <v>1</v>
      </c>
      <c r="H467" s="7">
        <v>45560</v>
      </c>
      <c r="I467" s="1" t="s">
        <v>7449</v>
      </c>
      <c r="J467" s="7">
        <v>45560</v>
      </c>
      <c r="K467" s="1" t="s">
        <v>7449</v>
      </c>
    </row>
    <row r="468" spans="1:11" x14ac:dyDescent="0.25">
      <c r="A468" s="1">
        <v>467</v>
      </c>
      <c r="B468" s="1" t="s">
        <v>1364</v>
      </c>
      <c r="C468" s="1" t="s">
        <v>1365</v>
      </c>
      <c r="F468" s="1" t="s">
        <v>1366</v>
      </c>
      <c r="G468" s="1">
        <v>1</v>
      </c>
      <c r="H468" s="7">
        <v>45560</v>
      </c>
      <c r="I468" s="1" t="s">
        <v>7449</v>
      </c>
      <c r="J468" s="7">
        <v>45560</v>
      </c>
      <c r="K468" s="1" t="s">
        <v>7449</v>
      </c>
    </row>
    <row r="469" spans="1:11" x14ac:dyDescent="0.25">
      <c r="A469" s="1">
        <v>468</v>
      </c>
      <c r="B469" s="1" t="s">
        <v>1367</v>
      </c>
      <c r="C469" s="1" t="s">
        <v>1368</v>
      </c>
      <c r="D469" s="1" t="s">
        <v>1369</v>
      </c>
      <c r="F469" s="1" t="s">
        <v>1370</v>
      </c>
      <c r="G469" s="1">
        <v>1</v>
      </c>
      <c r="H469" s="7">
        <v>45560</v>
      </c>
      <c r="I469" s="1" t="s">
        <v>7449</v>
      </c>
      <c r="J469" s="7">
        <v>45560</v>
      </c>
      <c r="K469" s="1" t="s">
        <v>7449</v>
      </c>
    </row>
    <row r="470" spans="1:11" x14ac:dyDescent="0.25">
      <c r="A470" s="1">
        <v>469</v>
      </c>
      <c r="B470" s="1" t="s">
        <v>1371</v>
      </c>
      <c r="C470" s="1" t="s">
        <v>1372</v>
      </c>
      <c r="F470" s="1" t="s">
        <v>1373</v>
      </c>
      <c r="G470" s="1">
        <v>1</v>
      </c>
      <c r="H470" s="7">
        <v>45560</v>
      </c>
      <c r="I470" s="1" t="s">
        <v>7449</v>
      </c>
      <c r="J470" s="7">
        <v>45560</v>
      </c>
      <c r="K470" s="1" t="s">
        <v>7449</v>
      </c>
    </row>
    <row r="471" spans="1:11" x14ac:dyDescent="0.25">
      <c r="A471" s="1">
        <v>470</v>
      </c>
      <c r="B471" s="1" t="s">
        <v>1374</v>
      </c>
      <c r="C471" s="1" t="s">
        <v>1375</v>
      </c>
      <c r="F471" s="1" t="s">
        <v>1376</v>
      </c>
      <c r="G471" s="1">
        <v>1</v>
      </c>
      <c r="H471" s="7">
        <v>45560</v>
      </c>
      <c r="I471" s="1" t="s">
        <v>7449</v>
      </c>
      <c r="J471" s="7">
        <v>45560</v>
      </c>
      <c r="K471" s="1" t="s">
        <v>7449</v>
      </c>
    </row>
    <row r="472" spans="1:11" x14ac:dyDescent="0.25">
      <c r="A472" s="1">
        <v>471</v>
      </c>
      <c r="B472" s="1" t="s">
        <v>1377</v>
      </c>
      <c r="C472" s="1" t="s">
        <v>1378</v>
      </c>
      <c r="D472" s="1" t="s">
        <v>1379</v>
      </c>
      <c r="G472" s="1">
        <v>1</v>
      </c>
      <c r="H472" s="7">
        <v>45560</v>
      </c>
      <c r="I472" s="1" t="s">
        <v>7449</v>
      </c>
      <c r="J472" s="7">
        <v>45560</v>
      </c>
      <c r="K472" s="1" t="s">
        <v>7449</v>
      </c>
    </row>
    <row r="473" spans="1:11" x14ac:dyDescent="0.25">
      <c r="A473" s="1">
        <v>472</v>
      </c>
      <c r="B473" s="1" t="s">
        <v>1380</v>
      </c>
      <c r="C473" s="1" t="s">
        <v>1381</v>
      </c>
      <c r="F473" s="1" t="s">
        <v>1382</v>
      </c>
      <c r="G473" s="1">
        <v>1</v>
      </c>
      <c r="H473" s="7">
        <v>45560</v>
      </c>
      <c r="I473" s="1" t="s">
        <v>7449</v>
      </c>
      <c r="J473" s="7">
        <v>45560</v>
      </c>
      <c r="K473" s="1" t="s">
        <v>7449</v>
      </c>
    </row>
    <row r="474" spans="1:11" x14ac:dyDescent="0.25">
      <c r="A474" s="1">
        <v>473</v>
      </c>
      <c r="B474" s="1" t="s">
        <v>1383</v>
      </c>
      <c r="C474" s="1" t="s">
        <v>1384</v>
      </c>
      <c r="F474" s="1" t="s">
        <v>1385</v>
      </c>
      <c r="G474" s="1">
        <v>1</v>
      </c>
      <c r="H474" s="7">
        <v>45560</v>
      </c>
      <c r="I474" s="1" t="s">
        <v>7449</v>
      </c>
      <c r="J474" s="7">
        <v>45560</v>
      </c>
      <c r="K474" s="1" t="s">
        <v>7449</v>
      </c>
    </row>
    <row r="475" spans="1:11" x14ac:dyDescent="0.25">
      <c r="A475" s="1">
        <v>474</v>
      </c>
      <c r="B475" s="1" t="s">
        <v>1386</v>
      </c>
      <c r="C475" s="1" t="s">
        <v>1387</v>
      </c>
      <c r="F475" s="1" t="s">
        <v>1388</v>
      </c>
      <c r="G475" s="1">
        <v>1</v>
      </c>
      <c r="H475" s="7">
        <v>45560</v>
      </c>
      <c r="I475" s="1" t="s">
        <v>7449</v>
      </c>
      <c r="J475" s="7">
        <v>45560</v>
      </c>
      <c r="K475" s="1" t="s">
        <v>7449</v>
      </c>
    </row>
    <row r="476" spans="1:11" x14ac:dyDescent="0.25">
      <c r="A476" s="1">
        <v>475</v>
      </c>
      <c r="B476" s="1" t="s">
        <v>1389</v>
      </c>
      <c r="C476" s="1" t="s">
        <v>1390</v>
      </c>
      <c r="D476" s="1" t="s">
        <v>1391</v>
      </c>
      <c r="F476" s="1" t="s">
        <v>1392</v>
      </c>
      <c r="G476" s="1">
        <v>1</v>
      </c>
      <c r="H476" s="7">
        <v>45560</v>
      </c>
      <c r="I476" s="1" t="s">
        <v>7449</v>
      </c>
      <c r="J476" s="7">
        <v>45560</v>
      </c>
      <c r="K476" s="1" t="s">
        <v>7449</v>
      </c>
    </row>
    <row r="477" spans="1:11" x14ac:dyDescent="0.25">
      <c r="A477" s="1">
        <v>476</v>
      </c>
      <c r="B477" s="1" t="s">
        <v>1393</v>
      </c>
      <c r="C477" s="1" t="s">
        <v>1394</v>
      </c>
      <c r="F477" s="1" t="s">
        <v>1395</v>
      </c>
      <c r="G477" s="1">
        <v>1</v>
      </c>
      <c r="H477" s="7">
        <v>45560</v>
      </c>
      <c r="I477" s="1" t="s">
        <v>7449</v>
      </c>
      <c r="J477" s="7">
        <v>45560</v>
      </c>
      <c r="K477" s="1" t="s">
        <v>7449</v>
      </c>
    </row>
    <row r="478" spans="1:11" x14ac:dyDescent="0.25">
      <c r="A478" s="1">
        <v>477</v>
      </c>
      <c r="B478" s="1" t="s">
        <v>1396</v>
      </c>
      <c r="C478" s="1" t="s">
        <v>1397</v>
      </c>
      <c r="D478" s="1" t="s">
        <v>1398</v>
      </c>
      <c r="F478" s="1" t="s">
        <v>1399</v>
      </c>
      <c r="G478" s="1">
        <v>1</v>
      </c>
      <c r="H478" s="7">
        <v>45560</v>
      </c>
      <c r="I478" s="1" t="s">
        <v>7449</v>
      </c>
      <c r="J478" s="7">
        <v>45560</v>
      </c>
      <c r="K478" s="1" t="s">
        <v>7449</v>
      </c>
    </row>
    <row r="479" spans="1:11" x14ac:dyDescent="0.25">
      <c r="A479" s="1">
        <v>478</v>
      </c>
      <c r="B479" s="1" t="s">
        <v>1400</v>
      </c>
      <c r="C479" s="1" t="s">
        <v>1401</v>
      </c>
      <c r="F479" s="1" t="s">
        <v>1402</v>
      </c>
      <c r="G479" s="1">
        <v>1</v>
      </c>
      <c r="H479" s="7">
        <v>45560</v>
      </c>
      <c r="I479" s="1" t="s">
        <v>7449</v>
      </c>
      <c r="J479" s="7">
        <v>45560</v>
      </c>
      <c r="K479" s="1" t="s">
        <v>7449</v>
      </c>
    </row>
    <row r="480" spans="1:11" x14ac:dyDescent="0.25">
      <c r="A480" s="1">
        <v>479</v>
      </c>
      <c r="B480" s="1" t="s">
        <v>1403</v>
      </c>
      <c r="C480" s="1" t="s">
        <v>1404</v>
      </c>
      <c r="F480" s="1" t="s">
        <v>1405</v>
      </c>
      <c r="G480" s="1">
        <v>1</v>
      </c>
      <c r="H480" s="7">
        <v>45560</v>
      </c>
      <c r="I480" s="1" t="s">
        <v>7449</v>
      </c>
      <c r="J480" s="7">
        <v>45560</v>
      </c>
      <c r="K480" s="1" t="s">
        <v>7449</v>
      </c>
    </row>
    <row r="481" spans="1:11" x14ac:dyDescent="0.25">
      <c r="A481" s="1">
        <v>480</v>
      </c>
      <c r="B481" s="1" t="s">
        <v>1406</v>
      </c>
      <c r="C481" s="1" t="s">
        <v>1407</v>
      </c>
      <c r="E481" s="1" t="s">
        <v>52</v>
      </c>
      <c r="F481" s="1" t="s">
        <v>1408</v>
      </c>
      <c r="G481" s="1">
        <v>1</v>
      </c>
      <c r="H481" s="7">
        <v>45560</v>
      </c>
      <c r="I481" s="1" t="s">
        <v>7449</v>
      </c>
      <c r="J481" s="7">
        <v>45560</v>
      </c>
      <c r="K481" s="1" t="s">
        <v>7449</v>
      </c>
    </row>
    <row r="482" spans="1:11" x14ac:dyDescent="0.25">
      <c r="A482" s="1">
        <v>481</v>
      </c>
      <c r="B482" s="1" t="s">
        <v>1409</v>
      </c>
      <c r="C482" s="1" t="s">
        <v>1410</v>
      </c>
      <c r="F482" s="1" t="s">
        <v>1411</v>
      </c>
      <c r="G482" s="1">
        <v>1</v>
      </c>
      <c r="H482" s="7">
        <v>45560</v>
      </c>
      <c r="I482" s="1" t="s">
        <v>7449</v>
      </c>
      <c r="J482" s="7">
        <v>45560</v>
      </c>
      <c r="K482" s="1" t="s">
        <v>7449</v>
      </c>
    </row>
    <row r="483" spans="1:11" x14ac:dyDescent="0.25">
      <c r="A483" s="1">
        <v>482</v>
      </c>
      <c r="B483" s="1" t="s">
        <v>1412</v>
      </c>
      <c r="C483" s="1" t="s">
        <v>1413</v>
      </c>
      <c r="D483" s="1" t="s">
        <v>1414</v>
      </c>
      <c r="G483" s="1">
        <v>1</v>
      </c>
      <c r="H483" s="7">
        <v>45560</v>
      </c>
      <c r="I483" s="1" t="s">
        <v>7449</v>
      </c>
      <c r="J483" s="7">
        <v>45560</v>
      </c>
      <c r="K483" s="1" t="s">
        <v>7449</v>
      </c>
    </row>
    <row r="484" spans="1:11" x14ac:dyDescent="0.25">
      <c r="A484" s="1">
        <v>483</v>
      </c>
      <c r="B484" s="1" t="s">
        <v>1415</v>
      </c>
      <c r="C484" s="1" t="s">
        <v>1416</v>
      </c>
      <c r="D484" s="1" t="s">
        <v>1417</v>
      </c>
      <c r="F484" s="1" t="s">
        <v>1418</v>
      </c>
      <c r="G484" s="1">
        <v>1</v>
      </c>
      <c r="H484" s="7">
        <v>45560</v>
      </c>
      <c r="I484" s="1" t="s">
        <v>7449</v>
      </c>
      <c r="J484" s="7">
        <v>45560</v>
      </c>
      <c r="K484" s="1" t="s">
        <v>7449</v>
      </c>
    </row>
    <row r="485" spans="1:11" x14ac:dyDescent="0.25">
      <c r="A485" s="1">
        <v>484</v>
      </c>
      <c r="B485" s="1" t="s">
        <v>1419</v>
      </c>
      <c r="C485" s="1" t="s">
        <v>1420</v>
      </c>
      <c r="E485" s="1" t="s">
        <v>52</v>
      </c>
      <c r="G485" s="1">
        <v>1</v>
      </c>
      <c r="H485" s="7">
        <v>45560</v>
      </c>
      <c r="I485" s="1" t="s">
        <v>7449</v>
      </c>
      <c r="J485" s="7">
        <v>45560</v>
      </c>
      <c r="K485" s="1" t="s">
        <v>7449</v>
      </c>
    </row>
    <row r="486" spans="1:11" x14ac:dyDescent="0.25">
      <c r="A486" s="1">
        <v>485</v>
      </c>
      <c r="B486" s="1" t="s">
        <v>1421</v>
      </c>
      <c r="C486" s="1" t="s">
        <v>1422</v>
      </c>
      <c r="D486" s="1" t="s">
        <v>494</v>
      </c>
      <c r="F486" s="1" t="s">
        <v>1423</v>
      </c>
      <c r="G486" s="1">
        <v>1</v>
      </c>
      <c r="H486" s="7">
        <v>45560</v>
      </c>
      <c r="I486" s="1" t="s">
        <v>7449</v>
      </c>
      <c r="J486" s="7">
        <v>45560</v>
      </c>
      <c r="K486" s="1" t="s">
        <v>7449</v>
      </c>
    </row>
    <row r="487" spans="1:11" x14ac:dyDescent="0.25">
      <c r="A487" s="1">
        <v>486</v>
      </c>
      <c r="B487" s="1" t="s">
        <v>1424</v>
      </c>
      <c r="C487" s="1" t="s">
        <v>1425</v>
      </c>
      <c r="D487" s="1" t="s">
        <v>1426</v>
      </c>
      <c r="G487" s="1">
        <v>1</v>
      </c>
      <c r="H487" s="7">
        <v>45560</v>
      </c>
      <c r="I487" s="1" t="s">
        <v>7449</v>
      </c>
      <c r="J487" s="7">
        <v>45560</v>
      </c>
      <c r="K487" s="1" t="s">
        <v>7449</v>
      </c>
    </row>
    <row r="488" spans="1:11" x14ac:dyDescent="0.25">
      <c r="A488" s="1">
        <v>487</v>
      </c>
      <c r="B488" s="1" t="s">
        <v>1427</v>
      </c>
      <c r="C488" s="1" t="s">
        <v>1428</v>
      </c>
      <c r="D488" s="1" t="s">
        <v>1429</v>
      </c>
      <c r="G488" s="1">
        <v>1</v>
      </c>
      <c r="H488" s="7">
        <v>45560</v>
      </c>
      <c r="I488" s="1" t="s">
        <v>7449</v>
      </c>
      <c r="J488" s="7">
        <v>45560</v>
      </c>
      <c r="K488" s="1" t="s">
        <v>7449</v>
      </c>
    </row>
    <row r="489" spans="1:11" x14ac:dyDescent="0.25">
      <c r="A489" s="1">
        <v>488</v>
      </c>
      <c r="B489" s="1" t="s">
        <v>1430</v>
      </c>
      <c r="C489" s="1" t="s">
        <v>1431</v>
      </c>
      <c r="F489" s="1" t="s">
        <v>1432</v>
      </c>
      <c r="G489" s="1">
        <v>1</v>
      </c>
      <c r="H489" s="7">
        <v>45560</v>
      </c>
      <c r="I489" s="1" t="s">
        <v>7449</v>
      </c>
      <c r="J489" s="7">
        <v>45560</v>
      </c>
      <c r="K489" s="1" t="s">
        <v>7449</v>
      </c>
    </row>
    <row r="490" spans="1:11" x14ac:dyDescent="0.25">
      <c r="A490" s="1">
        <v>489</v>
      </c>
      <c r="B490" s="1" t="s">
        <v>1433</v>
      </c>
      <c r="C490" s="1" t="s">
        <v>1434</v>
      </c>
      <c r="E490" s="1" t="s">
        <v>52</v>
      </c>
      <c r="G490" s="1">
        <v>1</v>
      </c>
      <c r="H490" s="7">
        <v>45560</v>
      </c>
      <c r="I490" s="1" t="s">
        <v>7449</v>
      </c>
      <c r="J490" s="7">
        <v>45560</v>
      </c>
      <c r="K490" s="1" t="s">
        <v>7449</v>
      </c>
    </row>
    <row r="491" spans="1:11" x14ac:dyDescent="0.25">
      <c r="A491" s="1">
        <v>490</v>
      </c>
      <c r="B491" s="1" t="s">
        <v>1435</v>
      </c>
      <c r="C491" s="1" t="s">
        <v>1436</v>
      </c>
      <c r="F491" s="1" t="s">
        <v>1437</v>
      </c>
      <c r="G491" s="1">
        <v>1</v>
      </c>
      <c r="H491" s="7">
        <v>45560</v>
      </c>
      <c r="I491" s="1" t="s">
        <v>7449</v>
      </c>
      <c r="J491" s="7">
        <v>45560</v>
      </c>
      <c r="K491" s="1" t="s">
        <v>7449</v>
      </c>
    </row>
    <row r="492" spans="1:11" x14ac:dyDescent="0.25">
      <c r="A492" s="1">
        <v>491</v>
      </c>
      <c r="B492" s="1" t="s">
        <v>1438</v>
      </c>
      <c r="C492" s="1" t="s">
        <v>1439</v>
      </c>
      <c r="D492" s="1" t="s">
        <v>1440</v>
      </c>
      <c r="G492" s="1">
        <v>1</v>
      </c>
      <c r="H492" s="7">
        <v>45560</v>
      </c>
      <c r="I492" s="1" t="s">
        <v>7449</v>
      </c>
      <c r="J492" s="7">
        <v>45560</v>
      </c>
      <c r="K492" s="1" t="s">
        <v>7449</v>
      </c>
    </row>
    <row r="493" spans="1:11" x14ac:dyDescent="0.25">
      <c r="A493" s="1">
        <v>492</v>
      </c>
      <c r="B493" s="1" t="s">
        <v>1441</v>
      </c>
      <c r="C493" s="1" t="s">
        <v>1442</v>
      </c>
      <c r="D493" s="1" t="s">
        <v>1443</v>
      </c>
      <c r="F493" s="1" t="s">
        <v>1444</v>
      </c>
      <c r="G493" s="1">
        <v>1</v>
      </c>
      <c r="H493" s="7">
        <v>45560</v>
      </c>
      <c r="I493" s="1" t="s">
        <v>7449</v>
      </c>
      <c r="J493" s="7">
        <v>45560</v>
      </c>
      <c r="K493" s="1" t="s">
        <v>7449</v>
      </c>
    </row>
    <row r="494" spans="1:11" x14ac:dyDescent="0.25">
      <c r="A494" s="1">
        <v>493</v>
      </c>
      <c r="B494" s="1" t="s">
        <v>1445</v>
      </c>
      <c r="C494" s="1" t="s">
        <v>1446</v>
      </c>
      <c r="D494" s="1" t="s">
        <v>1447</v>
      </c>
      <c r="F494" s="1" t="s">
        <v>1448</v>
      </c>
      <c r="G494" s="1">
        <v>1</v>
      </c>
      <c r="H494" s="7">
        <v>45560</v>
      </c>
      <c r="I494" s="1" t="s">
        <v>7449</v>
      </c>
      <c r="J494" s="7">
        <v>45560</v>
      </c>
      <c r="K494" s="1" t="s">
        <v>7449</v>
      </c>
    </row>
    <row r="495" spans="1:11" x14ac:dyDescent="0.25">
      <c r="A495" s="1">
        <v>494</v>
      </c>
      <c r="B495" s="1" t="s">
        <v>1449</v>
      </c>
      <c r="C495" s="1" t="s">
        <v>1450</v>
      </c>
      <c r="D495" s="1" t="s">
        <v>1447</v>
      </c>
      <c r="F495" s="1" t="s">
        <v>1451</v>
      </c>
      <c r="G495" s="1">
        <v>1</v>
      </c>
      <c r="H495" s="7">
        <v>45560</v>
      </c>
      <c r="I495" s="1" t="s">
        <v>7449</v>
      </c>
      <c r="J495" s="7">
        <v>45560</v>
      </c>
      <c r="K495" s="1" t="s">
        <v>7449</v>
      </c>
    </row>
    <row r="496" spans="1:11" x14ac:dyDescent="0.25">
      <c r="A496" s="1">
        <v>495</v>
      </c>
      <c r="B496" s="1" t="s">
        <v>1452</v>
      </c>
      <c r="C496" s="1" t="s">
        <v>1453</v>
      </c>
      <c r="D496" s="1" t="s">
        <v>1454</v>
      </c>
      <c r="F496" s="1" t="s">
        <v>1455</v>
      </c>
      <c r="G496" s="1">
        <v>1</v>
      </c>
      <c r="H496" s="7">
        <v>45560</v>
      </c>
      <c r="I496" s="1" t="s">
        <v>7449</v>
      </c>
      <c r="J496" s="7">
        <v>45560</v>
      </c>
      <c r="K496" s="1" t="s">
        <v>7449</v>
      </c>
    </row>
    <row r="497" spans="1:11" x14ac:dyDescent="0.25">
      <c r="A497" s="1">
        <v>496</v>
      </c>
      <c r="B497" s="1" t="s">
        <v>1456</v>
      </c>
      <c r="C497" s="1" t="s">
        <v>1457</v>
      </c>
      <c r="D497" s="1" t="s">
        <v>1458</v>
      </c>
      <c r="G497" s="1">
        <v>1</v>
      </c>
      <c r="H497" s="7">
        <v>45560</v>
      </c>
      <c r="I497" s="1" t="s">
        <v>7449</v>
      </c>
      <c r="J497" s="7">
        <v>45560</v>
      </c>
      <c r="K497" s="1" t="s">
        <v>7449</v>
      </c>
    </row>
    <row r="498" spans="1:11" x14ac:dyDescent="0.25">
      <c r="A498" s="1">
        <v>497</v>
      </c>
      <c r="B498" s="1" t="s">
        <v>1459</v>
      </c>
      <c r="C498" s="1" t="s">
        <v>1460</v>
      </c>
      <c r="D498" s="1" t="s">
        <v>1461</v>
      </c>
      <c r="G498" s="1">
        <v>1</v>
      </c>
      <c r="H498" s="7">
        <v>45560</v>
      </c>
      <c r="I498" s="1" t="s">
        <v>7449</v>
      </c>
      <c r="J498" s="7">
        <v>45560</v>
      </c>
      <c r="K498" s="1" t="s">
        <v>7449</v>
      </c>
    </row>
    <row r="499" spans="1:11" x14ac:dyDescent="0.25">
      <c r="A499" s="1">
        <v>498</v>
      </c>
      <c r="B499" s="1" t="s">
        <v>1462</v>
      </c>
      <c r="C499" s="1" t="s">
        <v>1463</v>
      </c>
      <c r="D499" s="1" t="s">
        <v>1464</v>
      </c>
      <c r="F499" s="1" t="s">
        <v>1465</v>
      </c>
      <c r="G499" s="1">
        <v>1</v>
      </c>
      <c r="H499" s="7">
        <v>45560</v>
      </c>
      <c r="I499" s="1" t="s">
        <v>7449</v>
      </c>
      <c r="J499" s="7">
        <v>45560</v>
      </c>
      <c r="K499" s="1" t="s">
        <v>7449</v>
      </c>
    </row>
    <row r="500" spans="1:11" x14ac:dyDescent="0.25">
      <c r="A500" s="1">
        <v>499</v>
      </c>
      <c r="B500" s="1" t="s">
        <v>1466</v>
      </c>
      <c r="C500" s="1" t="s">
        <v>1467</v>
      </c>
      <c r="D500" s="1" t="s">
        <v>1468</v>
      </c>
      <c r="G500" s="1">
        <v>1</v>
      </c>
      <c r="H500" s="7">
        <v>45560</v>
      </c>
      <c r="I500" s="1" t="s">
        <v>7449</v>
      </c>
      <c r="J500" s="7">
        <v>45560</v>
      </c>
      <c r="K500" s="1" t="s">
        <v>7449</v>
      </c>
    </row>
    <row r="501" spans="1:11" x14ac:dyDescent="0.25">
      <c r="A501" s="1">
        <v>500</v>
      </c>
      <c r="B501" s="1" t="s">
        <v>1469</v>
      </c>
      <c r="C501" s="1" t="s">
        <v>1470</v>
      </c>
      <c r="D501" s="1" t="s">
        <v>1471</v>
      </c>
      <c r="G501" s="1">
        <v>1</v>
      </c>
      <c r="H501" s="7">
        <v>45560</v>
      </c>
      <c r="I501" s="1" t="s">
        <v>7449</v>
      </c>
      <c r="J501" s="7">
        <v>45560</v>
      </c>
      <c r="K501" s="1" t="s">
        <v>7449</v>
      </c>
    </row>
    <row r="502" spans="1:11" x14ac:dyDescent="0.25">
      <c r="A502" s="1">
        <v>501</v>
      </c>
      <c r="B502" s="1" t="s">
        <v>1472</v>
      </c>
      <c r="C502" s="1" t="s">
        <v>1473</v>
      </c>
      <c r="D502" s="1" t="s">
        <v>1474</v>
      </c>
      <c r="G502" s="1">
        <v>1</v>
      </c>
      <c r="H502" s="7">
        <v>45560</v>
      </c>
      <c r="I502" s="1" t="s">
        <v>7449</v>
      </c>
      <c r="J502" s="7">
        <v>45560</v>
      </c>
      <c r="K502" s="1" t="s">
        <v>7449</v>
      </c>
    </row>
    <row r="503" spans="1:11" x14ac:dyDescent="0.25">
      <c r="A503" s="1">
        <v>502</v>
      </c>
      <c r="B503" s="1" t="s">
        <v>1475</v>
      </c>
      <c r="C503" s="1" t="s">
        <v>1476</v>
      </c>
      <c r="D503" s="1" t="s">
        <v>1477</v>
      </c>
      <c r="F503" s="1" t="s">
        <v>1478</v>
      </c>
      <c r="G503" s="1">
        <v>1</v>
      </c>
      <c r="H503" s="7">
        <v>45560</v>
      </c>
      <c r="I503" s="1" t="s">
        <v>7449</v>
      </c>
      <c r="J503" s="7">
        <v>45560</v>
      </c>
      <c r="K503" s="1" t="s">
        <v>7449</v>
      </c>
    </row>
    <row r="504" spans="1:11" x14ac:dyDescent="0.25">
      <c r="A504" s="1">
        <v>503</v>
      </c>
      <c r="B504" s="1" t="s">
        <v>1479</v>
      </c>
      <c r="C504" s="1" t="s">
        <v>1480</v>
      </c>
      <c r="F504" s="1" t="s">
        <v>1481</v>
      </c>
      <c r="G504" s="1">
        <v>1</v>
      </c>
      <c r="H504" s="7">
        <v>45560</v>
      </c>
      <c r="I504" s="1" t="s">
        <v>7449</v>
      </c>
      <c r="J504" s="7">
        <v>45560</v>
      </c>
      <c r="K504" s="1" t="s">
        <v>7449</v>
      </c>
    </row>
    <row r="505" spans="1:11" x14ac:dyDescent="0.25">
      <c r="A505" s="1">
        <v>504</v>
      </c>
      <c r="B505" s="1" t="s">
        <v>1482</v>
      </c>
      <c r="C505" s="1" t="s">
        <v>1483</v>
      </c>
      <c r="F505" s="1" t="s">
        <v>1484</v>
      </c>
      <c r="G505" s="1">
        <v>1</v>
      </c>
      <c r="H505" s="7">
        <v>45560</v>
      </c>
      <c r="I505" s="1" t="s">
        <v>7449</v>
      </c>
      <c r="J505" s="7">
        <v>45560</v>
      </c>
      <c r="K505" s="1" t="s">
        <v>7449</v>
      </c>
    </row>
    <row r="506" spans="1:11" x14ac:dyDescent="0.25">
      <c r="A506" s="1">
        <v>505</v>
      </c>
      <c r="B506" s="1" t="s">
        <v>1485</v>
      </c>
      <c r="C506" s="1" t="s">
        <v>1486</v>
      </c>
      <c r="E506" s="1" t="s">
        <v>52</v>
      </c>
      <c r="G506" s="1">
        <v>1</v>
      </c>
      <c r="H506" s="7">
        <v>45560</v>
      </c>
      <c r="I506" s="1" t="s">
        <v>7449</v>
      </c>
      <c r="J506" s="7">
        <v>45560</v>
      </c>
      <c r="K506" s="1" t="s">
        <v>7449</v>
      </c>
    </row>
    <row r="507" spans="1:11" x14ac:dyDescent="0.25">
      <c r="A507" s="1">
        <v>506</v>
      </c>
      <c r="B507" s="1" t="s">
        <v>1487</v>
      </c>
      <c r="C507" s="1" t="s">
        <v>1488</v>
      </c>
      <c r="D507" s="1" t="s">
        <v>1489</v>
      </c>
      <c r="F507" s="1" t="s">
        <v>1490</v>
      </c>
      <c r="G507" s="1">
        <v>1</v>
      </c>
      <c r="H507" s="7">
        <v>45560</v>
      </c>
      <c r="I507" s="1" t="s">
        <v>7449</v>
      </c>
      <c r="J507" s="7">
        <v>45560</v>
      </c>
      <c r="K507" s="1" t="s">
        <v>7449</v>
      </c>
    </row>
    <row r="508" spans="1:11" x14ac:dyDescent="0.25">
      <c r="A508" s="1">
        <v>507</v>
      </c>
      <c r="B508" s="1" t="s">
        <v>1491</v>
      </c>
      <c r="C508" s="1" t="s">
        <v>1492</v>
      </c>
      <c r="D508" s="1" t="s">
        <v>1493</v>
      </c>
      <c r="G508" s="1">
        <v>1</v>
      </c>
      <c r="H508" s="7">
        <v>45560</v>
      </c>
      <c r="I508" s="1" t="s">
        <v>7449</v>
      </c>
      <c r="J508" s="7">
        <v>45560</v>
      </c>
      <c r="K508" s="1" t="s">
        <v>7449</v>
      </c>
    </row>
    <row r="509" spans="1:11" x14ac:dyDescent="0.25">
      <c r="A509" s="1">
        <v>508</v>
      </c>
      <c r="B509" s="1" t="s">
        <v>1494</v>
      </c>
      <c r="C509" s="1" t="s">
        <v>1495</v>
      </c>
      <c r="F509" s="1" t="s">
        <v>1496</v>
      </c>
      <c r="G509" s="1">
        <v>1</v>
      </c>
      <c r="H509" s="7">
        <v>45560</v>
      </c>
      <c r="I509" s="1" t="s">
        <v>7449</v>
      </c>
      <c r="J509" s="7">
        <v>45560</v>
      </c>
      <c r="K509" s="1" t="s">
        <v>7449</v>
      </c>
    </row>
    <row r="510" spans="1:11" x14ac:dyDescent="0.25">
      <c r="A510" s="1">
        <v>509</v>
      </c>
      <c r="B510" s="1" t="s">
        <v>1497</v>
      </c>
      <c r="C510" s="1" t="s">
        <v>1498</v>
      </c>
      <c r="F510" s="1" t="s">
        <v>1499</v>
      </c>
      <c r="G510" s="1">
        <v>1</v>
      </c>
      <c r="H510" s="7">
        <v>45560</v>
      </c>
      <c r="I510" s="1" t="s">
        <v>7449</v>
      </c>
      <c r="J510" s="7">
        <v>45560</v>
      </c>
      <c r="K510" s="1" t="s">
        <v>7449</v>
      </c>
    </row>
    <row r="511" spans="1:11" x14ac:dyDescent="0.25">
      <c r="A511" s="1">
        <v>510</v>
      </c>
      <c r="B511" s="1" t="s">
        <v>1500</v>
      </c>
      <c r="C511" s="1" t="s">
        <v>1501</v>
      </c>
      <c r="D511" s="1" t="s">
        <v>1502</v>
      </c>
      <c r="F511" s="1" t="s">
        <v>1503</v>
      </c>
      <c r="G511" s="1">
        <v>1</v>
      </c>
      <c r="H511" s="7">
        <v>45560</v>
      </c>
      <c r="I511" s="1" t="s">
        <v>7449</v>
      </c>
      <c r="J511" s="7">
        <v>45560</v>
      </c>
      <c r="K511" s="1" t="s">
        <v>7449</v>
      </c>
    </row>
    <row r="512" spans="1:11" x14ac:dyDescent="0.25">
      <c r="A512" s="1">
        <v>511</v>
      </c>
      <c r="B512" s="1" t="s">
        <v>1504</v>
      </c>
      <c r="C512" s="1" t="s">
        <v>1505</v>
      </c>
      <c r="F512" s="1" t="s">
        <v>1506</v>
      </c>
      <c r="G512" s="1">
        <v>1</v>
      </c>
      <c r="H512" s="7">
        <v>45560</v>
      </c>
      <c r="I512" s="1" t="s">
        <v>7449</v>
      </c>
      <c r="J512" s="7">
        <v>45560</v>
      </c>
      <c r="K512" s="1" t="s">
        <v>7449</v>
      </c>
    </row>
    <row r="513" spans="1:11" x14ac:dyDescent="0.25">
      <c r="A513" s="1">
        <v>512</v>
      </c>
      <c r="B513" s="1" t="s">
        <v>1507</v>
      </c>
      <c r="C513" s="1" t="s">
        <v>1508</v>
      </c>
      <c r="F513" s="1" t="s">
        <v>1509</v>
      </c>
      <c r="G513" s="1">
        <v>1</v>
      </c>
      <c r="H513" s="7">
        <v>45560</v>
      </c>
      <c r="I513" s="1" t="s">
        <v>7449</v>
      </c>
      <c r="J513" s="7">
        <v>45560</v>
      </c>
      <c r="K513" s="1" t="s">
        <v>7449</v>
      </c>
    </row>
    <row r="514" spans="1:11" x14ac:dyDescent="0.25">
      <c r="A514" s="1">
        <v>513</v>
      </c>
      <c r="B514" s="1" t="s">
        <v>1510</v>
      </c>
      <c r="C514" s="1" t="s">
        <v>1511</v>
      </c>
      <c r="E514" s="1" t="s">
        <v>52</v>
      </c>
      <c r="G514" s="1">
        <v>1</v>
      </c>
      <c r="H514" s="7">
        <v>45560</v>
      </c>
      <c r="I514" s="1" t="s">
        <v>7449</v>
      </c>
      <c r="J514" s="7">
        <v>45560</v>
      </c>
      <c r="K514" s="1" t="s">
        <v>7449</v>
      </c>
    </row>
    <row r="515" spans="1:11" x14ac:dyDescent="0.25">
      <c r="A515" s="1">
        <v>514</v>
      </c>
      <c r="B515" s="1" t="s">
        <v>1512</v>
      </c>
      <c r="C515" s="1" t="s">
        <v>1513</v>
      </c>
      <c r="D515" s="1" t="s">
        <v>1514</v>
      </c>
      <c r="G515" s="1">
        <v>1</v>
      </c>
      <c r="H515" s="7">
        <v>45560</v>
      </c>
      <c r="I515" s="1" t="s">
        <v>7449</v>
      </c>
      <c r="J515" s="7">
        <v>45560</v>
      </c>
      <c r="K515" s="1" t="s">
        <v>7449</v>
      </c>
    </row>
    <row r="516" spans="1:11" x14ac:dyDescent="0.25">
      <c r="A516" s="1">
        <v>515</v>
      </c>
      <c r="B516" s="1" t="s">
        <v>1515</v>
      </c>
      <c r="C516" s="1" t="s">
        <v>1516</v>
      </c>
      <c r="F516" s="1" t="s">
        <v>1517</v>
      </c>
      <c r="G516" s="1">
        <v>1</v>
      </c>
      <c r="H516" s="7">
        <v>45560</v>
      </c>
      <c r="I516" s="1" t="s">
        <v>7449</v>
      </c>
      <c r="J516" s="7">
        <v>45560</v>
      </c>
      <c r="K516" s="1" t="s">
        <v>7449</v>
      </c>
    </row>
    <row r="517" spans="1:11" x14ac:dyDescent="0.25">
      <c r="A517" s="1">
        <v>516</v>
      </c>
      <c r="B517" s="1" t="s">
        <v>1518</v>
      </c>
      <c r="C517" s="1" t="s">
        <v>1519</v>
      </c>
      <c r="F517" s="1" t="s">
        <v>1520</v>
      </c>
      <c r="G517" s="1">
        <v>1</v>
      </c>
      <c r="H517" s="7">
        <v>45560</v>
      </c>
      <c r="I517" s="1" t="s">
        <v>7449</v>
      </c>
      <c r="J517" s="7">
        <v>45560</v>
      </c>
      <c r="K517" s="1" t="s">
        <v>7449</v>
      </c>
    </row>
    <row r="518" spans="1:11" x14ac:dyDescent="0.25">
      <c r="A518" s="1">
        <v>517</v>
      </c>
      <c r="B518" s="1" t="s">
        <v>1521</v>
      </c>
      <c r="C518" s="1" t="s">
        <v>1522</v>
      </c>
      <c r="F518" s="1" t="s">
        <v>1523</v>
      </c>
      <c r="G518" s="1">
        <v>1</v>
      </c>
      <c r="H518" s="7">
        <v>45560</v>
      </c>
      <c r="I518" s="1" t="s">
        <v>7449</v>
      </c>
      <c r="J518" s="7">
        <v>45560</v>
      </c>
      <c r="K518" s="1" t="s">
        <v>7449</v>
      </c>
    </row>
    <row r="519" spans="1:11" x14ac:dyDescent="0.25">
      <c r="A519" s="1">
        <v>518</v>
      </c>
      <c r="B519" s="1" t="s">
        <v>1524</v>
      </c>
      <c r="C519" s="1" t="s">
        <v>1525</v>
      </c>
      <c r="F519" s="1" t="s">
        <v>1526</v>
      </c>
      <c r="G519" s="1">
        <v>1</v>
      </c>
      <c r="H519" s="7">
        <v>45560</v>
      </c>
      <c r="I519" s="1" t="s">
        <v>7449</v>
      </c>
      <c r="J519" s="7">
        <v>45560</v>
      </c>
      <c r="K519" s="1" t="s">
        <v>7449</v>
      </c>
    </row>
    <row r="520" spans="1:11" x14ac:dyDescent="0.25">
      <c r="A520" s="1">
        <v>519</v>
      </c>
      <c r="B520" s="1" t="s">
        <v>1527</v>
      </c>
      <c r="C520" s="1" t="s">
        <v>1528</v>
      </c>
      <c r="F520" s="1" t="s">
        <v>1529</v>
      </c>
      <c r="G520" s="1">
        <v>1</v>
      </c>
      <c r="H520" s="7">
        <v>45560</v>
      </c>
      <c r="I520" s="1" t="s">
        <v>7449</v>
      </c>
      <c r="J520" s="7">
        <v>45560</v>
      </c>
      <c r="K520" s="1" t="s">
        <v>7449</v>
      </c>
    </row>
    <row r="521" spans="1:11" x14ac:dyDescent="0.25">
      <c r="A521" s="1">
        <v>520</v>
      </c>
      <c r="B521" s="1" t="s">
        <v>1530</v>
      </c>
      <c r="C521" s="1" t="s">
        <v>1531</v>
      </c>
      <c r="F521" s="1" t="s">
        <v>1532</v>
      </c>
      <c r="G521" s="1">
        <v>1</v>
      </c>
      <c r="H521" s="7">
        <v>45560</v>
      </c>
      <c r="I521" s="1" t="s">
        <v>7449</v>
      </c>
      <c r="J521" s="7">
        <v>45560</v>
      </c>
      <c r="K521" s="1" t="s">
        <v>7449</v>
      </c>
    </row>
    <row r="522" spans="1:11" x14ac:dyDescent="0.25">
      <c r="A522" s="1">
        <v>521</v>
      </c>
      <c r="B522" s="1" t="s">
        <v>1533</v>
      </c>
      <c r="C522" s="1" t="s">
        <v>1534</v>
      </c>
      <c r="F522" s="1" t="s">
        <v>1535</v>
      </c>
      <c r="G522" s="1">
        <v>1</v>
      </c>
      <c r="H522" s="7">
        <v>45560</v>
      </c>
      <c r="I522" s="1" t="s">
        <v>7449</v>
      </c>
      <c r="J522" s="7">
        <v>45560</v>
      </c>
      <c r="K522" s="1" t="s">
        <v>7449</v>
      </c>
    </row>
    <row r="523" spans="1:11" x14ac:dyDescent="0.25">
      <c r="A523" s="1">
        <v>522</v>
      </c>
      <c r="B523" s="1" t="s">
        <v>1536</v>
      </c>
      <c r="C523" s="1" t="s">
        <v>1537</v>
      </c>
      <c r="F523" s="1" t="s">
        <v>1538</v>
      </c>
      <c r="G523" s="1">
        <v>1</v>
      </c>
      <c r="H523" s="7">
        <v>45560</v>
      </c>
      <c r="I523" s="1" t="s">
        <v>7449</v>
      </c>
      <c r="J523" s="7">
        <v>45560</v>
      </c>
      <c r="K523" s="1" t="s">
        <v>7449</v>
      </c>
    </row>
    <row r="524" spans="1:11" x14ac:dyDescent="0.25">
      <c r="A524" s="1">
        <v>523</v>
      </c>
      <c r="B524" s="1" t="s">
        <v>1539</v>
      </c>
      <c r="C524" s="1" t="s">
        <v>1540</v>
      </c>
      <c r="D524" s="1" t="s">
        <v>1541</v>
      </c>
      <c r="G524" s="1">
        <v>1</v>
      </c>
      <c r="H524" s="7">
        <v>45560</v>
      </c>
      <c r="I524" s="1" t="s">
        <v>7449</v>
      </c>
      <c r="J524" s="7">
        <v>45560</v>
      </c>
      <c r="K524" s="1" t="s">
        <v>7449</v>
      </c>
    </row>
    <row r="525" spans="1:11" x14ac:dyDescent="0.25">
      <c r="A525" s="1">
        <v>524</v>
      </c>
      <c r="B525" s="1" t="s">
        <v>1542</v>
      </c>
      <c r="C525" s="1" t="s">
        <v>1543</v>
      </c>
      <c r="F525" s="1" t="s">
        <v>1544</v>
      </c>
      <c r="G525" s="1">
        <v>1</v>
      </c>
      <c r="H525" s="7">
        <v>45560</v>
      </c>
      <c r="I525" s="1" t="s">
        <v>7449</v>
      </c>
      <c r="J525" s="7">
        <v>45560</v>
      </c>
      <c r="K525" s="1" t="s">
        <v>7449</v>
      </c>
    </row>
    <row r="526" spans="1:11" x14ac:dyDescent="0.25">
      <c r="A526" s="1">
        <v>525</v>
      </c>
      <c r="B526" s="1" t="s">
        <v>1545</v>
      </c>
      <c r="C526" s="1" t="s">
        <v>1546</v>
      </c>
      <c r="F526" s="1" t="s">
        <v>1547</v>
      </c>
      <c r="G526" s="1">
        <v>1</v>
      </c>
      <c r="H526" s="7">
        <v>45560</v>
      </c>
      <c r="I526" s="1" t="s">
        <v>7449</v>
      </c>
      <c r="J526" s="7">
        <v>45560</v>
      </c>
      <c r="K526" s="1" t="s">
        <v>7449</v>
      </c>
    </row>
    <row r="527" spans="1:11" x14ac:dyDescent="0.25">
      <c r="A527" s="1">
        <v>526</v>
      </c>
      <c r="B527" s="1" t="s">
        <v>1548</v>
      </c>
      <c r="C527" s="1" t="s">
        <v>1549</v>
      </c>
      <c r="F527" s="1" t="s">
        <v>1550</v>
      </c>
      <c r="G527" s="1">
        <v>1</v>
      </c>
      <c r="H527" s="7">
        <v>45560</v>
      </c>
      <c r="I527" s="1" t="s">
        <v>7449</v>
      </c>
      <c r="J527" s="7">
        <v>45560</v>
      </c>
      <c r="K527" s="1" t="s">
        <v>7449</v>
      </c>
    </row>
    <row r="528" spans="1:11" x14ac:dyDescent="0.25">
      <c r="A528" s="1">
        <v>527</v>
      </c>
      <c r="B528" s="1" t="s">
        <v>1551</v>
      </c>
      <c r="C528" s="1" t="s">
        <v>1552</v>
      </c>
      <c r="D528" s="1" t="s">
        <v>1553</v>
      </c>
      <c r="F528" s="1" t="s">
        <v>1554</v>
      </c>
      <c r="G528" s="1">
        <v>1</v>
      </c>
      <c r="H528" s="7">
        <v>45560</v>
      </c>
      <c r="I528" s="1" t="s">
        <v>7449</v>
      </c>
      <c r="J528" s="7">
        <v>45560</v>
      </c>
      <c r="K528" s="1" t="s">
        <v>7449</v>
      </c>
    </row>
    <row r="529" spans="1:11" x14ac:dyDescent="0.25">
      <c r="A529" s="1">
        <v>528</v>
      </c>
      <c r="B529" s="1" t="s">
        <v>1555</v>
      </c>
      <c r="C529" s="1" t="s">
        <v>1556</v>
      </c>
      <c r="E529" s="1" t="s">
        <v>52</v>
      </c>
      <c r="G529" s="1">
        <v>1</v>
      </c>
      <c r="H529" s="7">
        <v>45560</v>
      </c>
      <c r="I529" s="1" t="s">
        <v>7449</v>
      </c>
      <c r="J529" s="7">
        <v>45560</v>
      </c>
      <c r="K529" s="1" t="s">
        <v>7449</v>
      </c>
    </row>
    <row r="530" spans="1:11" x14ac:dyDescent="0.25">
      <c r="A530" s="1">
        <v>529</v>
      </c>
      <c r="B530" s="1" t="s">
        <v>1557</v>
      </c>
      <c r="C530" s="1" t="s">
        <v>1558</v>
      </c>
      <c r="D530" s="1" t="s">
        <v>1559</v>
      </c>
      <c r="F530" s="1" t="s">
        <v>1560</v>
      </c>
      <c r="G530" s="1">
        <v>1</v>
      </c>
      <c r="H530" s="7">
        <v>45560</v>
      </c>
      <c r="I530" s="1" t="s">
        <v>7449</v>
      </c>
      <c r="J530" s="7">
        <v>45560</v>
      </c>
      <c r="K530" s="1" t="s">
        <v>7449</v>
      </c>
    </row>
    <row r="531" spans="1:11" x14ac:dyDescent="0.25">
      <c r="A531" s="1">
        <v>530</v>
      </c>
      <c r="B531" s="1" t="s">
        <v>1561</v>
      </c>
      <c r="C531" s="1" t="s">
        <v>1562</v>
      </c>
      <c r="F531" s="1" t="s">
        <v>1563</v>
      </c>
      <c r="G531" s="1">
        <v>1</v>
      </c>
      <c r="H531" s="7">
        <v>45560</v>
      </c>
      <c r="I531" s="1" t="s">
        <v>7449</v>
      </c>
      <c r="J531" s="7">
        <v>45560</v>
      </c>
      <c r="K531" s="1" t="s">
        <v>7449</v>
      </c>
    </row>
    <row r="532" spans="1:11" x14ac:dyDescent="0.25">
      <c r="A532" s="1">
        <v>531</v>
      </c>
      <c r="B532" s="1" t="s">
        <v>1564</v>
      </c>
      <c r="C532" s="1" t="s">
        <v>1565</v>
      </c>
      <c r="F532" s="1" t="s">
        <v>1566</v>
      </c>
      <c r="G532" s="1">
        <v>1</v>
      </c>
      <c r="H532" s="7">
        <v>45560</v>
      </c>
      <c r="I532" s="1" t="s">
        <v>7449</v>
      </c>
      <c r="J532" s="7">
        <v>45560</v>
      </c>
      <c r="K532" s="1" t="s">
        <v>7449</v>
      </c>
    </row>
    <row r="533" spans="1:11" x14ac:dyDescent="0.25">
      <c r="A533" s="1">
        <v>532</v>
      </c>
      <c r="B533" s="1" t="s">
        <v>1567</v>
      </c>
      <c r="C533" s="1" t="s">
        <v>1568</v>
      </c>
      <c r="F533" s="1" t="s">
        <v>1569</v>
      </c>
      <c r="G533" s="1">
        <v>1</v>
      </c>
      <c r="H533" s="7">
        <v>45560</v>
      </c>
      <c r="I533" s="1" t="s">
        <v>7449</v>
      </c>
      <c r="J533" s="7">
        <v>45560</v>
      </c>
      <c r="K533" s="1" t="s">
        <v>7449</v>
      </c>
    </row>
    <row r="534" spans="1:11" x14ac:dyDescent="0.25">
      <c r="A534" s="1">
        <v>533</v>
      </c>
      <c r="B534" s="1" t="s">
        <v>1570</v>
      </c>
      <c r="C534" s="1" t="s">
        <v>1571</v>
      </c>
      <c r="D534" s="1" t="s">
        <v>1572</v>
      </c>
      <c r="F534" s="1" t="s">
        <v>1573</v>
      </c>
      <c r="G534" s="1">
        <v>1</v>
      </c>
      <c r="H534" s="7">
        <v>45560</v>
      </c>
      <c r="I534" s="1" t="s">
        <v>7449</v>
      </c>
      <c r="J534" s="7">
        <v>45560</v>
      </c>
      <c r="K534" s="1" t="s">
        <v>7449</v>
      </c>
    </row>
    <row r="535" spans="1:11" x14ac:dyDescent="0.25">
      <c r="A535" s="1">
        <v>534</v>
      </c>
      <c r="B535" s="1" t="s">
        <v>1574</v>
      </c>
      <c r="C535" s="1" t="s">
        <v>1575</v>
      </c>
      <c r="D535" s="1" t="s">
        <v>1576</v>
      </c>
      <c r="F535" s="1" t="s">
        <v>1577</v>
      </c>
      <c r="G535" s="1">
        <v>1</v>
      </c>
      <c r="H535" s="7">
        <v>45560</v>
      </c>
      <c r="I535" s="1" t="s">
        <v>7449</v>
      </c>
      <c r="J535" s="7">
        <v>45560</v>
      </c>
      <c r="K535" s="1" t="s">
        <v>7449</v>
      </c>
    </row>
    <row r="536" spans="1:11" x14ac:dyDescent="0.25">
      <c r="A536" s="1">
        <v>535</v>
      </c>
      <c r="B536" s="1" t="s">
        <v>1578</v>
      </c>
      <c r="C536" s="1" t="s">
        <v>1579</v>
      </c>
      <c r="E536" s="1" t="s">
        <v>73</v>
      </c>
      <c r="F536" s="1" t="s">
        <v>1580</v>
      </c>
      <c r="G536" s="1">
        <v>1</v>
      </c>
      <c r="H536" s="7">
        <v>45560</v>
      </c>
      <c r="I536" s="1" t="s">
        <v>7449</v>
      </c>
      <c r="J536" s="7">
        <v>45560</v>
      </c>
      <c r="K536" s="1" t="s">
        <v>7449</v>
      </c>
    </row>
    <row r="537" spans="1:11" x14ac:dyDescent="0.25">
      <c r="A537" s="1">
        <v>536</v>
      </c>
      <c r="B537" s="1" t="s">
        <v>1581</v>
      </c>
      <c r="C537" s="1" t="s">
        <v>1582</v>
      </c>
      <c r="D537" s="1" t="s">
        <v>1583</v>
      </c>
      <c r="F537" s="1" t="s">
        <v>1584</v>
      </c>
      <c r="G537" s="1">
        <v>1</v>
      </c>
      <c r="H537" s="7">
        <v>45560</v>
      </c>
      <c r="I537" s="1" t="s">
        <v>7449</v>
      </c>
      <c r="J537" s="7">
        <v>45560</v>
      </c>
      <c r="K537" s="1" t="s">
        <v>7449</v>
      </c>
    </row>
    <row r="538" spans="1:11" x14ac:dyDescent="0.25">
      <c r="A538" s="1">
        <v>537</v>
      </c>
      <c r="B538" s="1" t="s">
        <v>1585</v>
      </c>
      <c r="C538" s="1" t="s">
        <v>1586</v>
      </c>
      <c r="E538" s="1" t="s">
        <v>73</v>
      </c>
      <c r="F538" s="1" t="s">
        <v>1587</v>
      </c>
      <c r="G538" s="1">
        <v>1</v>
      </c>
      <c r="H538" s="7">
        <v>45560</v>
      </c>
      <c r="I538" s="1" t="s">
        <v>7449</v>
      </c>
      <c r="J538" s="7">
        <v>45560</v>
      </c>
      <c r="K538" s="1" t="s">
        <v>7449</v>
      </c>
    </row>
    <row r="539" spans="1:11" x14ac:dyDescent="0.25">
      <c r="A539" s="1">
        <v>538</v>
      </c>
      <c r="B539" s="1" t="s">
        <v>1588</v>
      </c>
      <c r="C539" s="1" t="s">
        <v>1589</v>
      </c>
      <c r="E539" s="1" t="s">
        <v>73</v>
      </c>
      <c r="F539" s="1" t="s">
        <v>1590</v>
      </c>
      <c r="G539" s="1">
        <v>1</v>
      </c>
      <c r="H539" s="7">
        <v>45560</v>
      </c>
      <c r="I539" s="1" t="s">
        <v>7449</v>
      </c>
      <c r="J539" s="7">
        <v>45560</v>
      </c>
      <c r="K539" s="1" t="s">
        <v>7449</v>
      </c>
    </row>
    <row r="540" spans="1:11" x14ac:dyDescent="0.25">
      <c r="A540" s="1">
        <v>539</v>
      </c>
      <c r="B540" s="1" t="s">
        <v>1591</v>
      </c>
      <c r="C540" s="1" t="s">
        <v>1592</v>
      </c>
      <c r="E540" s="1" t="s">
        <v>73</v>
      </c>
      <c r="F540" s="1" t="s">
        <v>1593</v>
      </c>
      <c r="G540" s="1">
        <v>1</v>
      </c>
      <c r="H540" s="7">
        <v>45560</v>
      </c>
      <c r="I540" s="1" t="s">
        <v>7449</v>
      </c>
      <c r="J540" s="7">
        <v>45560</v>
      </c>
      <c r="K540" s="1" t="s">
        <v>7449</v>
      </c>
    </row>
    <row r="541" spans="1:11" x14ac:dyDescent="0.25">
      <c r="A541" s="1">
        <v>540</v>
      </c>
      <c r="B541" s="1" t="s">
        <v>1594</v>
      </c>
      <c r="C541" s="1" t="s">
        <v>1595</v>
      </c>
      <c r="E541" s="1" t="s">
        <v>52</v>
      </c>
      <c r="G541" s="1">
        <v>1</v>
      </c>
      <c r="H541" s="7">
        <v>45560</v>
      </c>
      <c r="I541" s="1" t="s">
        <v>7449</v>
      </c>
      <c r="J541" s="7">
        <v>45560</v>
      </c>
      <c r="K541" s="1" t="s">
        <v>7449</v>
      </c>
    </row>
    <row r="542" spans="1:11" x14ac:dyDescent="0.25">
      <c r="A542" s="1">
        <v>541</v>
      </c>
      <c r="B542" s="1" t="s">
        <v>1596</v>
      </c>
      <c r="C542" s="1" t="s">
        <v>1597</v>
      </c>
      <c r="F542" s="1" t="s">
        <v>1598</v>
      </c>
      <c r="G542" s="1">
        <v>1</v>
      </c>
      <c r="H542" s="7">
        <v>45560</v>
      </c>
      <c r="I542" s="1" t="s">
        <v>7449</v>
      </c>
      <c r="J542" s="7">
        <v>45560</v>
      </c>
      <c r="K542" s="1" t="s">
        <v>7449</v>
      </c>
    </row>
    <row r="543" spans="1:11" x14ac:dyDescent="0.25">
      <c r="A543" s="1">
        <v>542</v>
      </c>
      <c r="B543" s="1" t="s">
        <v>1599</v>
      </c>
      <c r="C543" s="1" t="s">
        <v>1600</v>
      </c>
      <c r="D543" s="1" t="s">
        <v>1601</v>
      </c>
      <c r="F543" s="1" t="s">
        <v>1602</v>
      </c>
      <c r="G543" s="1">
        <v>1</v>
      </c>
      <c r="H543" s="7">
        <v>45560</v>
      </c>
      <c r="I543" s="1" t="s">
        <v>7449</v>
      </c>
      <c r="J543" s="7">
        <v>45560</v>
      </c>
      <c r="K543" s="1" t="s">
        <v>7449</v>
      </c>
    </row>
    <row r="544" spans="1:11" x14ac:dyDescent="0.25">
      <c r="A544" s="1">
        <v>543</v>
      </c>
      <c r="B544" s="1" t="s">
        <v>1603</v>
      </c>
      <c r="C544" s="1" t="s">
        <v>1604</v>
      </c>
      <c r="F544" s="1" t="s">
        <v>1605</v>
      </c>
      <c r="G544" s="1">
        <v>1</v>
      </c>
      <c r="H544" s="7">
        <v>45560</v>
      </c>
      <c r="I544" s="1" t="s">
        <v>7449</v>
      </c>
      <c r="J544" s="7">
        <v>45560</v>
      </c>
      <c r="K544" s="1" t="s">
        <v>7449</v>
      </c>
    </row>
    <row r="545" spans="1:11" x14ac:dyDescent="0.25">
      <c r="A545" s="1">
        <v>544</v>
      </c>
      <c r="B545" s="1" t="s">
        <v>1606</v>
      </c>
      <c r="C545" s="1" t="s">
        <v>1607</v>
      </c>
      <c r="D545" s="1" t="s">
        <v>1608</v>
      </c>
      <c r="F545" s="1" t="s">
        <v>1609</v>
      </c>
      <c r="G545" s="1">
        <v>1</v>
      </c>
      <c r="H545" s="7">
        <v>45560</v>
      </c>
      <c r="I545" s="1" t="s">
        <v>7449</v>
      </c>
      <c r="J545" s="7">
        <v>45560</v>
      </c>
      <c r="K545" s="1" t="s">
        <v>7449</v>
      </c>
    </row>
    <row r="546" spans="1:11" x14ac:dyDescent="0.25">
      <c r="A546" s="1">
        <v>545</v>
      </c>
      <c r="B546" s="1" t="s">
        <v>1610</v>
      </c>
      <c r="C546" s="1" t="s">
        <v>1611</v>
      </c>
      <c r="F546" s="1" t="s">
        <v>1612</v>
      </c>
      <c r="G546" s="1">
        <v>1</v>
      </c>
      <c r="H546" s="7">
        <v>45560</v>
      </c>
      <c r="I546" s="1" t="s">
        <v>7449</v>
      </c>
      <c r="J546" s="7">
        <v>45560</v>
      </c>
      <c r="K546" s="1" t="s">
        <v>7449</v>
      </c>
    </row>
    <row r="547" spans="1:11" x14ac:dyDescent="0.25">
      <c r="A547" s="1">
        <v>546</v>
      </c>
      <c r="B547" s="1" t="s">
        <v>1613</v>
      </c>
      <c r="C547" s="1" t="s">
        <v>1614</v>
      </c>
      <c r="F547" s="1" t="s">
        <v>1615</v>
      </c>
      <c r="G547" s="1">
        <v>1</v>
      </c>
      <c r="H547" s="7">
        <v>45560</v>
      </c>
      <c r="I547" s="1" t="s">
        <v>7449</v>
      </c>
      <c r="J547" s="7">
        <v>45560</v>
      </c>
      <c r="K547" s="1" t="s">
        <v>7449</v>
      </c>
    </row>
    <row r="548" spans="1:11" x14ac:dyDescent="0.25">
      <c r="A548" s="1">
        <v>547</v>
      </c>
      <c r="B548" s="1" t="s">
        <v>1616</v>
      </c>
      <c r="C548" s="1" t="s">
        <v>1617</v>
      </c>
      <c r="F548" s="1" t="s">
        <v>1618</v>
      </c>
      <c r="G548" s="1">
        <v>1</v>
      </c>
      <c r="H548" s="7">
        <v>45560</v>
      </c>
      <c r="I548" s="1" t="s">
        <v>7449</v>
      </c>
      <c r="J548" s="7">
        <v>45560</v>
      </c>
      <c r="K548" s="1" t="s">
        <v>7449</v>
      </c>
    </row>
    <row r="549" spans="1:11" x14ac:dyDescent="0.25">
      <c r="A549" s="1">
        <v>548</v>
      </c>
      <c r="B549" s="1" t="s">
        <v>1619</v>
      </c>
      <c r="C549" s="1" t="s">
        <v>1620</v>
      </c>
      <c r="F549" s="1" t="s">
        <v>1621</v>
      </c>
      <c r="G549" s="1">
        <v>1</v>
      </c>
      <c r="H549" s="7">
        <v>45560</v>
      </c>
      <c r="I549" s="1" t="s">
        <v>7449</v>
      </c>
      <c r="J549" s="7">
        <v>45560</v>
      </c>
      <c r="K549" s="1" t="s">
        <v>7449</v>
      </c>
    </row>
    <row r="550" spans="1:11" x14ac:dyDescent="0.25">
      <c r="A550" s="1">
        <v>549</v>
      </c>
      <c r="B550" s="1" t="s">
        <v>1622</v>
      </c>
      <c r="C550" s="1" t="s">
        <v>1623</v>
      </c>
      <c r="F550" s="1" t="s">
        <v>1624</v>
      </c>
      <c r="G550" s="1">
        <v>1</v>
      </c>
      <c r="H550" s="7">
        <v>45560</v>
      </c>
      <c r="I550" s="1" t="s">
        <v>7449</v>
      </c>
      <c r="J550" s="7">
        <v>45560</v>
      </c>
      <c r="K550" s="1" t="s">
        <v>7449</v>
      </c>
    </row>
    <row r="551" spans="1:11" x14ac:dyDescent="0.25">
      <c r="A551" s="1">
        <v>550</v>
      </c>
      <c r="B551" s="1" t="s">
        <v>1625</v>
      </c>
      <c r="C551" s="1" t="s">
        <v>1626</v>
      </c>
      <c r="F551" s="1" t="s">
        <v>1627</v>
      </c>
      <c r="G551" s="1">
        <v>1</v>
      </c>
      <c r="H551" s="7">
        <v>45560</v>
      </c>
      <c r="I551" s="1" t="s">
        <v>7449</v>
      </c>
      <c r="J551" s="7">
        <v>45560</v>
      </c>
      <c r="K551" s="1" t="s">
        <v>7449</v>
      </c>
    </row>
    <row r="552" spans="1:11" x14ac:dyDescent="0.25">
      <c r="A552" s="1">
        <v>551</v>
      </c>
      <c r="B552" s="1" t="s">
        <v>1628</v>
      </c>
      <c r="C552" s="1" t="s">
        <v>1629</v>
      </c>
      <c r="D552" s="1" t="s">
        <v>1630</v>
      </c>
      <c r="F552" s="1" t="s">
        <v>1631</v>
      </c>
      <c r="G552" s="1">
        <v>1</v>
      </c>
      <c r="H552" s="7">
        <v>45560</v>
      </c>
      <c r="I552" s="1" t="s">
        <v>7449</v>
      </c>
      <c r="J552" s="7">
        <v>45560</v>
      </c>
      <c r="K552" s="1" t="s">
        <v>7449</v>
      </c>
    </row>
    <row r="553" spans="1:11" x14ac:dyDescent="0.25">
      <c r="A553" s="1">
        <v>552</v>
      </c>
      <c r="B553" s="1" t="s">
        <v>1632</v>
      </c>
      <c r="C553" s="1" t="s">
        <v>1633</v>
      </c>
      <c r="F553" s="1" t="s">
        <v>1634</v>
      </c>
      <c r="G553" s="1">
        <v>1</v>
      </c>
      <c r="H553" s="7">
        <v>45560</v>
      </c>
      <c r="I553" s="1" t="s">
        <v>7449</v>
      </c>
      <c r="J553" s="7">
        <v>45560</v>
      </c>
      <c r="K553" s="1" t="s">
        <v>7449</v>
      </c>
    </row>
    <row r="554" spans="1:11" x14ac:dyDescent="0.25">
      <c r="A554" s="1">
        <v>553</v>
      </c>
      <c r="B554" s="1" t="s">
        <v>1635</v>
      </c>
      <c r="C554" s="1" t="s">
        <v>1636</v>
      </c>
      <c r="F554" s="1" t="s">
        <v>1637</v>
      </c>
      <c r="G554" s="1">
        <v>1</v>
      </c>
      <c r="H554" s="7">
        <v>45560</v>
      </c>
      <c r="I554" s="1" t="s">
        <v>7449</v>
      </c>
      <c r="J554" s="7">
        <v>45560</v>
      </c>
      <c r="K554" s="1" t="s">
        <v>7449</v>
      </c>
    </row>
    <row r="555" spans="1:11" x14ac:dyDescent="0.25">
      <c r="A555" s="1">
        <v>554</v>
      </c>
      <c r="B555" s="1" t="s">
        <v>1638</v>
      </c>
      <c r="C555" s="1" t="s">
        <v>1639</v>
      </c>
      <c r="D555" s="1" t="s">
        <v>1640</v>
      </c>
      <c r="F555" s="1" t="s">
        <v>1641</v>
      </c>
      <c r="G555" s="1">
        <v>1</v>
      </c>
      <c r="H555" s="7">
        <v>45560</v>
      </c>
      <c r="I555" s="1" t="s">
        <v>7449</v>
      </c>
      <c r="J555" s="7">
        <v>45560</v>
      </c>
      <c r="K555" s="1" t="s">
        <v>7449</v>
      </c>
    </row>
    <row r="556" spans="1:11" x14ac:dyDescent="0.25">
      <c r="A556" s="1">
        <v>555</v>
      </c>
      <c r="B556" s="1" t="s">
        <v>1642</v>
      </c>
      <c r="C556" s="1" t="s">
        <v>1643</v>
      </c>
      <c r="F556" s="1" t="s">
        <v>1644</v>
      </c>
      <c r="G556" s="1">
        <v>1</v>
      </c>
      <c r="H556" s="7">
        <v>45560</v>
      </c>
      <c r="I556" s="1" t="s">
        <v>7449</v>
      </c>
      <c r="J556" s="7">
        <v>45560</v>
      </c>
      <c r="K556" s="1" t="s">
        <v>7449</v>
      </c>
    </row>
    <row r="557" spans="1:11" x14ac:dyDescent="0.25">
      <c r="A557" s="1">
        <v>556</v>
      </c>
      <c r="B557" s="1" t="s">
        <v>1645</v>
      </c>
      <c r="C557" s="1" t="s">
        <v>1646</v>
      </c>
      <c r="F557" s="1" t="s">
        <v>1647</v>
      </c>
      <c r="G557" s="1">
        <v>1</v>
      </c>
      <c r="H557" s="7">
        <v>45560</v>
      </c>
      <c r="I557" s="1" t="s">
        <v>7449</v>
      </c>
      <c r="J557" s="7">
        <v>45560</v>
      </c>
      <c r="K557" s="1" t="s">
        <v>7449</v>
      </c>
    </row>
    <row r="558" spans="1:11" x14ac:dyDescent="0.25">
      <c r="A558" s="1">
        <v>557</v>
      </c>
      <c r="B558" s="1" t="s">
        <v>1648</v>
      </c>
      <c r="C558" s="1" t="s">
        <v>1649</v>
      </c>
      <c r="F558" s="1" t="s">
        <v>1650</v>
      </c>
      <c r="G558" s="1">
        <v>1</v>
      </c>
      <c r="H558" s="7">
        <v>45560</v>
      </c>
      <c r="I558" s="1" t="s">
        <v>7449</v>
      </c>
      <c r="J558" s="7">
        <v>45560</v>
      </c>
      <c r="K558" s="1" t="s">
        <v>7449</v>
      </c>
    </row>
    <row r="559" spans="1:11" x14ac:dyDescent="0.25">
      <c r="A559" s="1">
        <v>558</v>
      </c>
      <c r="B559" s="1" t="s">
        <v>1651</v>
      </c>
      <c r="C559" s="1" t="s">
        <v>1652</v>
      </c>
      <c r="F559" s="1" t="s">
        <v>1653</v>
      </c>
      <c r="G559" s="1">
        <v>1</v>
      </c>
      <c r="H559" s="7">
        <v>45560</v>
      </c>
      <c r="I559" s="1" t="s">
        <v>7449</v>
      </c>
      <c r="J559" s="7">
        <v>45560</v>
      </c>
      <c r="K559" s="1" t="s">
        <v>7449</v>
      </c>
    </row>
    <row r="560" spans="1:11" x14ac:dyDescent="0.25">
      <c r="A560" s="1">
        <v>559</v>
      </c>
      <c r="B560" s="1" t="s">
        <v>1654</v>
      </c>
      <c r="C560" s="1" t="s">
        <v>1655</v>
      </c>
      <c r="F560" s="1" t="s">
        <v>1656</v>
      </c>
      <c r="G560" s="1">
        <v>1</v>
      </c>
      <c r="H560" s="7">
        <v>45560</v>
      </c>
      <c r="I560" s="1" t="s">
        <v>7449</v>
      </c>
      <c r="J560" s="7">
        <v>45560</v>
      </c>
      <c r="K560" s="1" t="s">
        <v>7449</v>
      </c>
    </row>
    <row r="561" spans="1:11" x14ac:dyDescent="0.25">
      <c r="A561" s="1">
        <v>560</v>
      </c>
      <c r="B561" s="1" t="s">
        <v>1657</v>
      </c>
      <c r="C561" s="1" t="s">
        <v>1658</v>
      </c>
      <c r="F561" s="1" t="s">
        <v>1659</v>
      </c>
      <c r="G561" s="1">
        <v>1</v>
      </c>
      <c r="H561" s="7">
        <v>45560</v>
      </c>
      <c r="I561" s="1" t="s">
        <v>7449</v>
      </c>
      <c r="J561" s="7">
        <v>45560</v>
      </c>
      <c r="K561" s="1" t="s">
        <v>7449</v>
      </c>
    </row>
    <row r="562" spans="1:11" x14ac:dyDescent="0.25">
      <c r="A562" s="1">
        <v>561</v>
      </c>
      <c r="B562" s="1" t="s">
        <v>1660</v>
      </c>
      <c r="C562" s="1" t="s">
        <v>1661</v>
      </c>
      <c r="F562" s="1" t="s">
        <v>1662</v>
      </c>
      <c r="G562" s="1">
        <v>1</v>
      </c>
      <c r="H562" s="7">
        <v>45560</v>
      </c>
      <c r="I562" s="1" t="s">
        <v>7449</v>
      </c>
      <c r="J562" s="7">
        <v>45560</v>
      </c>
      <c r="K562" s="1" t="s">
        <v>7449</v>
      </c>
    </row>
    <row r="563" spans="1:11" x14ac:dyDescent="0.25">
      <c r="A563" s="1">
        <v>562</v>
      </c>
      <c r="B563" s="1" t="s">
        <v>1663</v>
      </c>
      <c r="C563" s="1" t="s">
        <v>1664</v>
      </c>
      <c r="F563" s="1" t="s">
        <v>1665</v>
      </c>
      <c r="G563" s="1">
        <v>1</v>
      </c>
      <c r="H563" s="7">
        <v>45560</v>
      </c>
      <c r="I563" s="1" t="s">
        <v>7449</v>
      </c>
      <c r="J563" s="7">
        <v>45560</v>
      </c>
      <c r="K563" s="1" t="s">
        <v>7449</v>
      </c>
    </row>
    <row r="564" spans="1:11" x14ac:dyDescent="0.25">
      <c r="A564" s="1">
        <v>563</v>
      </c>
      <c r="B564" s="1" t="s">
        <v>1666</v>
      </c>
      <c r="C564" s="1" t="s">
        <v>1667</v>
      </c>
      <c r="D564" s="1" t="s">
        <v>1668</v>
      </c>
      <c r="F564" s="1" t="s">
        <v>1669</v>
      </c>
      <c r="G564" s="1">
        <v>1</v>
      </c>
      <c r="H564" s="7">
        <v>45560</v>
      </c>
      <c r="I564" s="1" t="s">
        <v>7449</v>
      </c>
      <c r="J564" s="7">
        <v>45560</v>
      </c>
      <c r="K564" s="1" t="s">
        <v>7449</v>
      </c>
    </row>
    <row r="565" spans="1:11" x14ac:dyDescent="0.25">
      <c r="A565" s="1">
        <v>564</v>
      </c>
      <c r="B565" s="1" t="s">
        <v>1670</v>
      </c>
      <c r="C565" s="1" t="s">
        <v>1671</v>
      </c>
      <c r="D565" s="1" t="s">
        <v>1672</v>
      </c>
      <c r="F565" s="1" t="s">
        <v>1673</v>
      </c>
      <c r="G565" s="1">
        <v>1</v>
      </c>
      <c r="H565" s="7">
        <v>45560</v>
      </c>
      <c r="I565" s="1" t="s">
        <v>7449</v>
      </c>
      <c r="J565" s="7">
        <v>45560</v>
      </c>
      <c r="K565" s="1" t="s">
        <v>7449</v>
      </c>
    </row>
    <row r="566" spans="1:11" x14ac:dyDescent="0.25">
      <c r="A566" s="1">
        <v>565</v>
      </c>
      <c r="B566" s="1" t="s">
        <v>1674</v>
      </c>
      <c r="C566" s="1" t="s">
        <v>1675</v>
      </c>
      <c r="D566" s="1" t="s">
        <v>1676</v>
      </c>
      <c r="G566" s="1">
        <v>1</v>
      </c>
      <c r="H566" s="7">
        <v>45560</v>
      </c>
      <c r="I566" s="1" t="s">
        <v>7449</v>
      </c>
      <c r="J566" s="7">
        <v>45560</v>
      </c>
      <c r="K566" s="1" t="s">
        <v>7449</v>
      </c>
    </row>
    <row r="567" spans="1:11" x14ac:dyDescent="0.25">
      <c r="A567" s="1">
        <v>566</v>
      </c>
      <c r="B567" s="1" t="s">
        <v>1677</v>
      </c>
      <c r="C567" s="1" t="s">
        <v>1678</v>
      </c>
      <c r="E567" s="1" t="s">
        <v>52</v>
      </c>
      <c r="G567" s="1">
        <v>1</v>
      </c>
      <c r="H567" s="7">
        <v>45560</v>
      </c>
      <c r="I567" s="1" t="s">
        <v>7449</v>
      </c>
      <c r="J567" s="7">
        <v>45560</v>
      </c>
      <c r="K567" s="1" t="s">
        <v>7449</v>
      </c>
    </row>
    <row r="568" spans="1:11" x14ac:dyDescent="0.25">
      <c r="A568" s="1">
        <v>567</v>
      </c>
      <c r="B568" s="1" t="s">
        <v>1679</v>
      </c>
      <c r="C568" s="1" t="s">
        <v>1680</v>
      </c>
      <c r="D568" s="1" t="s">
        <v>1681</v>
      </c>
      <c r="G568" s="1">
        <v>1</v>
      </c>
      <c r="H568" s="7">
        <v>45560</v>
      </c>
      <c r="I568" s="1" t="s">
        <v>7449</v>
      </c>
      <c r="J568" s="7">
        <v>45560</v>
      </c>
      <c r="K568" s="1" t="s">
        <v>7449</v>
      </c>
    </row>
    <row r="569" spans="1:11" x14ac:dyDescent="0.25">
      <c r="A569" s="1">
        <v>568</v>
      </c>
      <c r="B569" s="1" t="s">
        <v>1682</v>
      </c>
      <c r="C569" s="1" t="s">
        <v>1683</v>
      </c>
      <c r="E569" s="1" t="s">
        <v>52</v>
      </c>
      <c r="G569" s="1">
        <v>1</v>
      </c>
      <c r="H569" s="7">
        <v>45560</v>
      </c>
      <c r="I569" s="1" t="s">
        <v>7449</v>
      </c>
      <c r="J569" s="7">
        <v>45560</v>
      </c>
      <c r="K569" s="1" t="s">
        <v>7449</v>
      </c>
    </row>
    <row r="570" spans="1:11" x14ac:dyDescent="0.25">
      <c r="A570" s="1">
        <v>569</v>
      </c>
      <c r="B570" s="1" t="s">
        <v>1684</v>
      </c>
      <c r="C570" s="1" t="s">
        <v>1685</v>
      </c>
      <c r="E570" s="1" t="s">
        <v>52</v>
      </c>
      <c r="G570" s="1">
        <v>1</v>
      </c>
      <c r="H570" s="7">
        <v>45560</v>
      </c>
      <c r="I570" s="1" t="s">
        <v>7449</v>
      </c>
      <c r="J570" s="7">
        <v>45560</v>
      </c>
      <c r="K570" s="1" t="s">
        <v>7449</v>
      </c>
    </row>
    <row r="571" spans="1:11" x14ac:dyDescent="0.25">
      <c r="A571" s="1">
        <v>570</v>
      </c>
      <c r="B571" s="1" t="s">
        <v>1686</v>
      </c>
      <c r="C571" s="1" t="s">
        <v>1687</v>
      </c>
      <c r="D571" s="1" t="s">
        <v>1688</v>
      </c>
      <c r="G571" s="1">
        <v>1</v>
      </c>
      <c r="H571" s="7">
        <v>45560</v>
      </c>
      <c r="I571" s="1" t="s">
        <v>7449</v>
      </c>
      <c r="J571" s="7">
        <v>45560</v>
      </c>
      <c r="K571" s="1" t="s">
        <v>7449</v>
      </c>
    </row>
    <row r="572" spans="1:11" x14ac:dyDescent="0.25">
      <c r="A572" s="1">
        <v>571</v>
      </c>
      <c r="B572" s="1" t="s">
        <v>1689</v>
      </c>
      <c r="C572" s="1" t="s">
        <v>1690</v>
      </c>
      <c r="F572" s="1" t="s">
        <v>1691</v>
      </c>
      <c r="G572" s="1">
        <v>1</v>
      </c>
      <c r="H572" s="7">
        <v>45560</v>
      </c>
      <c r="I572" s="1" t="s">
        <v>7449</v>
      </c>
      <c r="J572" s="7">
        <v>45560</v>
      </c>
      <c r="K572" s="1" t="s">
        <v>7449</v>
      </c>
    </row>
    <row r="573" spans="1:11" x14ac:dyDescent="0.25">
      <c r="A573" s="1">
        <v>572</v>
      </c>
      <c r="B573" s="1" t="s">
        <v>1692</v>
      </c>
      <c r="C573" s="1" t="s">
        <v>1693</v>
      </c>
      <c r="E573" s="1" t="s">
        <v>52</v>
      </c>
      <c r="G573" s="1">
        <v>1</v>
      </c>
      <c r="H573" s="7">
        <v>45560</v>
      </c>
      <c r="I573" s="1" t="s">
        <v>7449</v>
      </c>
      <c r="J573" s="7">
        <v>45560</v>
      </c>
      <c r="K573" s="1" t="s">
        <v>7449</v>
      </c>
    </row>
    <row r="574" spans="1:11" x14ac:dyDescent="0.25">
      <c r="A574" s="1">
        <v>573</v>
      </c>
      <c r="B574" s="1" t="s">
        <v>1694</v>
      </c>
      <c r="C574" s="1" t="s">
        <v>1695</v>
      </c>
      <c r="E574" s="1" t="s">
        <v>73</v>
      </c>
      <c r="F574" s="1" t="s">
        <v>1696</v>
      </c>
      <c r="G574" s="1">
        <v>1</v>
      </c>
      <c r="H574" s="7">
        <v>45560</v>
      </c>
      <c r="I574" s="1" t="s">
        <v>7449</v>
      </c>
      <c r="J574" s="7">
        <v>45560</v>
      </c>
      <c r="K574" s="1" t="s">
        <v>7449</v>
      </c>
    </row>
    <row r="575" spans="1:11" x14ac:dyDescent="0.25">
      <c r="A575" s="1">
        <v>574</v>
      </c>
      <c r="B575" s="1" t="s">
        <v>1697</v>
      </c>
      <c r="C575" s="1" t="s">
        <v>1698</v>
      </c>
      <c r="E575" s="1" t="s">
        <v>73</v>
      </c>
      <c r="F575" s="1" t="s">
        <v>1699</v>
      </c>
      <c r="G575" s="1">
        <v>1</v>
      </c>
      <c r="H575" s="7">
        <v>45560</v>
      </c>
      <c r="I575" s="1" t="s">
        <v>7449</v>
      </c>
      <c r="J575" s="7">
        <v>45560</v>
      </c>
      <c r="K575" s="1" t="s">
        <v>7449</v>
      </c>
    </row>
    <row r="576" spans="1:11" x14ac:dyDescent="0.25">
      <c r="A576" s="1">
        <v>575</v>
      </c>
      <c r="B576" s="1" t="s">
        <v>1700</v>
      </c>
      <c r="C576" s="1" t="s">
        <v>1701</v>
      </c>
      <c r="E576" s="1" t="s">
        <v>73</v>
      </c>
      <c r="F576" s="1" t="s">
        <v>1702</v>
      </c>
      <c r="G576" s="1">
        <v>1</v>
      </c>
      <c r="H576" s="7">
        <v>45560</v>
      </c>
      <c r="I576" s="1" t="s">
        <v>7449</v>
      </c>
      <c r="J576" s="7">
        <v>45560</v>
      </c>
      <c r="K576" s="1" t="s">
        <v>7449</v>
      </c>
    </row>
    <row r="577" spans="1:11" x14ac:dyDescent="0.25">
      <c r="A577" s="1">
        <v>576</v>
      </c>
      <c r="B577" s="1" t="s">
        <v>1703</v>
      </c>
      <c r="C577" s="1" t="s">
        <v>1704</v>
      </c>
      <c r="F577" s="1" t="s">
        <v>1705</v>
      </c>
      <c r="G577" s="1">
        <v>1</v>
      </c>
      <c r="H577" s="7">
        <v>45560</v>
      </c>
      <c r="I577" s="1" t="s">
        <v>7449</v>
      </c>
      <c r="J577" s="7">
        <v>45560</v>
      </c>
      <c r="K577" s="1" t="s">
        <v>7449</v>
      </c>
    </row>
    <row r="578" spans="1:11" x14ac:dyDescent="0.25">
      <c r="A578" s="1">
        <v>577</v>
      </c>
      <c r="B578" s="1" t="s">
        <v>1706</v>
      </c>
      <c r="C578" s="1" t="s">
        <v>1707</v>
      </c>
      <c r="F578" s="1" t="s">
        <v>1708</v>
      </c>
      <c r="G578" s="1">
        <v>1</v>
      </c>
      <c r="H578" s="7">
        <v>45560</v>
      </c>
      <c r="I578" s="1" t="s">
        <v>7449</v>
      </c>
      <c r="J578" s="7">
        <v>45560</v>
      </c>
      <c r="K578" s="1" t="s">
        <v>7449</v>
      </c>
    </row>
    <row r="579" spans="1:11" x14ac:dyDescent="0.25">
      <c r="A579" s="1">
        <v>578</v>
      </c>
      <c r="B579" s="1" t="s">
        <v>1709</v>
      </c>
      <c r="C579" s="1" t="s">
        <v>1710</v>
      </c>
      <c r="E579" s="1" t="s">
        <v>73</v>
      </c>
      <c r="F579" s="1" t="s">
        <v>1711</v>
      </c>
      <c r="G579" s="1">
        <v>1</v>
      </c>
      <c r="H579" s="7">
        <v>45560</v>
      </c>
      <c r="I579" s="1" t="s">
        <v>7449</v>
      </c>
      <c r="J579" s="7">
        <v>45560</v>
      </c>
      <c r="K579" s="1" t="s">
        <v>7449</v>
      </c>
    </row>
    <row r="580" spans="1:11" x14ac:dyDescent="0.25">
      <c r="A580" s="1">
        <v>579</v>
      </c>
      <c r="B580" s="1" t="s">
        <v>1712</v>
      </c>
      <c r="C580" s="1" t="s">
        <v>1713</v>
      </c>
      <c r="E580" s="1" t="s">
        <v>73</v>
      </c>
      <c r="F580" s="1" t="s">
        <v>1714</v>
      </c>
      <c r="G580" s="1">
        <v>1</v>
      </c>
      <c r="H580" s="7">
        <v>45560</v>
      </c>
      <c r="I580" s="1" t="s">
        <v>7449</v>
      </c>
      <c r="J580" s="7">
        <v>45560</v>
      </c>
      <c r="K580" s="1" t="s">
        <v>7449</v>
      </c>
    </row>
    <row r="581" spans="1:11" x14ac:dyDescent="0.25">
      <c r="A581" s="1">
        <v>580</v>
      </c>
      <c r="B581" s="1" t="s">
        <v>1715</v>
      </c>
      <c r="C581" s="1" t="s">
        <v>1716</v>
      </c>
      <c r="F581" s="1" t="s">
        <v>1717</v>
      </c>
      <c r="G581" s="1">
        <v>1</v>
      </c>
      <c r="H581" s="7">
        <v>45560</v>
      </c>
      <c r="I581" s="1" t="s">
        <v>7449</v>
      </c>
      <c r="J581" s="7">
        <v>45560</v>
      </c>
      <c r="K581" s="1" t="s">
        <v>7449</v>
      </c>
    </row>
    <row r="582" spans="1:11" x14ac:dyDescent="0.25">
      <c r="A582" s="1">
        <v>581</v>
      </c>
      <c r="B582" s="1" t="s">
        <v>1718</v>
      </c>
      <c r="C582" s="1" t="s">
        <v>1719</v>
      </c>
      <c r="D582" s="1" t="s">
        <v>1720</v>
      </c>
      <c r="F582" s="1" t="s">
        <v>1721</v>
      </c>
      <c r="G582" s="1">
        <v>1</v>
      </c>
      <c r="H582" s="7">
        <v>45560</v>
      </c>
      <c r="I582" s="1" t="s">
        <v>7449</v>
      </c>
      <c r="J582" s="7">
        <v>45560</v>
      </c>
      <c r="K582" s="1" t="s">
        <v>7449</v>
      </c>
    </row>
    <row r="583" spans="1:11" x14ac:dyDescent="0.25">
      <c r="A583" s="1">
        <v>582</v>
      </c>
      <c r="B583" s="1" t="s">
        <v>1722</v>
      </c>
      <c r="C583" s="1" t="s">
        <v>1723</v>
      </c>
      <c r="E583" s="1" t="s">
        <v>52</v>
      </c>
      <c r="G583" s="1">
        <v>1</v>
      </c>
      <c r="H583" s="7">
        <v>45560</v>
      </c>
      <c r="I583" s="1" t="s">
        <v>7449</v>
      </c>
      <c r="J583" s="7">
        <v>45560</v>
      </c>
      <c r="K583" s="1" t="s">
        <v>7449</v>
      </c>
    </row>
    <row r="584" spans="1:11" x14ac:dyDescent="0.25">
      <c r="A584" s="1">
        <v>583</v>
      </c>
      <c r="B584" s="1" t="s">
        <v>1724</v>
      </c>
      <c r="C584" s="1" t="s">
        <v>1725</v>
      </c>
      <c r="E584" s="1" t="s">
        <v>52</v>
      </c>
      <c r="G584" s="1">
        <v>1</v>
      </c>
      <c r="H584" s="7">
        <v>45560</v>
      </c>
      <c r="I584" s="1" t="s">
        <v>7449</v>
      </c>
      <c r="J584" s="7">
        <v>45560</v>
      </c>
      <c r="K584" s="1" t="s">
        <v>7449</v>
      </c>
    </row>
    <row r="585" spans="1:11" x14ac:dyDescent="0.25">
      <c r="A585" s="1">
        <v>584</v>
      </c>
      <c r="B585" s="1" t="s">
        <v>1726</v>
      </c>
      <c r="C585" s="1" t="s">
        <v>1727</v>
      </c>
      <c r="F585" s="1" t="s">
        <v>1728</v>
      </c>
      <c r="G585" s="1">
        <v>1</v>
      </c>
      <c r="H585" s="7">
        <v>45560</v>
      </c>
      <c r="I585" s="1" t="s">
        <v>7449</v>
      </c>
      <c r="J585" s="7">
        <v>45560</v>
      </c>
      <c r="K585" s="1" t="s">
        <v>7449</v>
      </c>
    </row>
    <row r="586" spans="1:11" x14ac:dyDescent="0.25">
      <c r="A586" s="1">
        <v>585</v>
      </c>
      <c r="B586" s="1" t="s">
        <v>1729</v>
      </c>
      <c r="C586" s="1" t="s">
        <v>1730</v>
      </c>
      <c r="F586" s="1" t="s">
        <v>1731</v>
      </c>
      <c r="G586" s="1">
        <v>1</v>
      </c>
      <c r="H586" s="7">
        <v>45560</v>
      </c>
      <c r="I586" s="1" t="s">
        <v>7449</v>
      </c>
      <c r="J586" s="7">
        <v>45560</v>
      </c>
      <c r="K586" s="1" t="s">
        <v>7449</v>
      </c>
    </row>
    <row r="587" spans="1:11" x14ac:dyDescent="0.25">
      <c r="A587" s="1">
        <v>586</v>
      </c>
      <c r="B587" s="1" t="s">
        <v>1732</v>
      </c>
      <c r="C587" s="1" t="s">
        <v>1733</v>
      </c>
      <c r="F587" s="1" t="s">
        <v>1734</v>
      </c>
      <c r="G587" s="1">
        <v>1</v>
      </c>
      <c r="H587" s="7">
        <v>45560</v>
      </c>
      <c r="I587" s="1" t="s">
        <v>7449</v>
      </c>
      <c r="J587" s="7">
        <v>45560</v>
      </c>
      <c r="K587" s="1" t="s">
        <v>7449</v>
      </c>
    </row>
    <row r="588" spans="1:11" x14ac:dyDescent="0.25">
      <c r="A588" s="1">
        <v>587</v>
      </c>
      <c r="B588" s="1" t="s">
        <v>1735</v>
      </c>
      <c r="C588" s="1" t="s">
        <v>1736</v>
      </c>
      <c r="F588" s="1" t="s">
        <v>1737</v>
      </c>
      <c r="G588" s="1">
        <v>1</v>
      </c>
      <c r="H588" s="7">
        <v>45560</v>
      </c>
      <c r="I588" s="1" t="s">
        <v>7449</v>
      </c>
      <c r="J588" s="7">
        <v>45560</v>
      </c>
      <c r="K588" s="1" t="s">
        <v>7449</v>
      </c>
    </row>
    <row r="589" spans="1:11" x14ac:dyDescent="0.25">
      <c r="A589" s="1">
        <v>588</v>
      </c>
      <c r="B589" s="1" t="s">
        <v>1738</v>
      </c>
      <c r="C589" s="1" t="s">
        <v>1739</v>
      </c>
      <c r="D589" s="1" t="s">
        <v>1740</v>
      </c>
      <c r="F589" s="1" t="s">
        <v>1741</v>
      </c>
      <c r="G589" s="1">
        <v>1</v>
      </c>
      <c r="H589" s="7">
        <v>45560</v>
      </c>
      <c r="I589" s="1" t="s">
        <v>7449</v>
      </c>
      <c r="J589" s="7">
        <v>45560</v>
      </c>
      <c r="K589" s="1" t="s">
        <v>7449</v>
      </c>
    </row>
    <row r="590" spans="1:11" x14ac:dyDescent="0.25">
      <c r="A590" s="1">
        <v>589</v>
      </c>
      <c r="B590" s="1" t="s">
        <v>1742</v>
      </c>
      <c r="C590" s="1" t="s">
        <v>1743</v>
      </c>
      <c r="F590" s="1" t="s">
        <v>1744</v>
      </c>
      <c r="G590" s="1">
        <v>1</v>
      </c>
      <c r="H590" s="7">
        <v>45560</v>
      </c>
      <c r="I590" s="1" t="s">
        <v>7449</v>
      </c>
      <c r="J590" s="7">
        <v>45560</v>
      </c>
      <c r="K590" s="1" t="s">
        <v>7449</v>
      </c>
    </row>
    <row r="591" spans="1:11" x14ac:dyDescent="0.25">
      <c r="A591" s="1">
        <v>590</v>
      </c>
      <c r="B591" s="1" t="s">
        <v>1745</v>
      </c>
      <c r="C591" s="1" t="s">
        <v>1746</v>
      </c>
      <c r="F591" s="1" t="s">
        <v>1747</v>
      </c>
      <c r="G591" s="1">
        <v>1</v>
      </c>
      <c r="H591" s="7">
        <v>45560</v>
      </c>
      <c r="I591" s="1" t="s">
        <v>7449</v>
      </c>
      <c r="J591" s="7">
        <v>45560</v>
      </c>
      <c r="K591" s="1" t="s">
        <v>7449</v>
      </c>
    </row>
    <row r="592" spans="1:11" x14ac:dyDescent="0.25">
      <c r="A592" s="1">
        <v>591</v>
      </c>
      <c r="B592" s="1" t="s">
        <v>1748</v>
      </c>
      <c r="C592" s="1" t="s">
        <v>1749</v>
      </c>
      <c r="F592" s="1" t="s">
        <v>1750</v>
      </c>
      <c r="G592" s="1">
        <v>1</v>
      </c>
      <c r="H592" s="7">
        <v>45560</v>
      </c>
      <c r="I592" s="1" t="s">
        <v>7449</v>
      </c>
      <c r="J592" s="7">
        <v>45560</v>
      </c>
      <c r="K592" s="1" t="s">
        <v>7449</v>
      </c>
    </row>
    <row r="593" spans="1:11" x14ac:dyDescent="0.25">
      <c r="A593" s="1">
        <v>592</v>
      </c>
      <c r="B593" s="1" t="s">
        <v>1751</v>
      </c>
      <c r="C593" s="1" t="s">
        <v>1752</v>
      </c>
      <c r="F593" s="1" t="s">
        <v>1753</v>
      </c>
      <c r="G593" s="1">
        <v>1</v>
      </c>
      <c r="H593" s="7">
        <v>45560</v>
      </c>
      <c r="I593" s="1" t="s">
        <v>7449</v>
      </c>
      <c r="J593" s="7">
        <v>45560</v>
      </c>
      <c r="K593" s="1" t="s">
        <v>7449</v>
      </c>
    </row>
    <row r="594" spans="1:11" x14ac:dyDescent="0.25">
      <c r="A594" s="1">
        <v>593</v>
      </c>
      <c r="B594" s="1" t="s">
        <v>1754</v>
      </c>
      <c r="C594" s="1" t="s">
        <v>1755</v>
      </c>
      <c r="E594" s="1" t="s">
        <v>73</v>
      </c>
      <c r="F594" s="1" t="s">
        <v>1756</v>
      </c>
      <c r="G594" s="1">
        <v>1</v>
      </c>
      <c r="H594" s="7">
        <v>45560</v>
      </c>
      <c r="I594" s="1" t="s">
        <v>7449</v>
      </c>
      <c r="J594" s="7">
        <v>45560</v>
      </c>
      <c r="K594" s="1" t="s">
        <v>7449</v>
      </c>
    </row>
    <row r="595" spans="1:11" x14ac:dyDescent="0.25">
      <c r="A595" s="1">
        <v>594</v>
      </c>
      <c r="B595" s="1" t="s">
        <v>1757</v>
      </c>
      <c r="C595" s="1" t="s">
        <v>1758</v>
      </c>
      <c r="E595" s="1" t="s">
        <v>52</v>
      </c>
      <c r="G595" s="1">
        <v>1</v>
      </c>
      <c r="H595" s="7">
        <v>45560</v>
      </c>
      <c r="I595" s="1" t="s">
        <v>7449</v>
      </c>
      <c r="J595" s="7">
        <v>45560</v>
      </c>
      <c r="K595" s="1" t="s">
        <v>7449</v>
      </c>
    </row>
    <row r="596" spans="1:11" x14ac:dyDescent="0.25">
      <c r="A596" s="1">
        <v>595</v>
      </c>
      <c r="B596" s="1" t="s">
        <v>1759</v>
      </c>
      <c r="C596" s="1" t="s">
        <v>1760</v>
      </c>
      <c r="F596" s="1" t="s">
        <v>1761</v>
      </c>
      <c r="G596" s="1">
        <v>1</v>
      </c>
      <c r="H596" s="7">
        <v>45560</v>
      </c>
      <c r="I596" s="1" t="s">
        <v>7449</v>
      </c>
      <c r="J596" s="7">
        <v>45560</v>
      </c>
      <c r="K596" s="1" t="s">
        <v>7449</v>
      </c>
    </row>
    <row r="597" spans="1:11" x14ac:dyDescent="0.25">
      <c r="A597" s="1">
        <v>596</v>
      </c>
      <c r="B597" s="1" t="s">
        <v>1762</v>
      </c>
      <c r="C597" s="1" t="s">
        <v>1763</v>
      </c>
      <c r="E597" s="1" t="s">
        <v>52</v>
      </c>
      <c r="G597" s="1">
        <v>1</v>
      </c>
      <c r="H597" s="7">
        <v>45560</v>
      </c>
      <c r="I597" s="1" t="s">
        <v>7449</v>
      </c>
      <c r="J597" s="7">
        <v>45560</v>
      </c>
      <c r="K597" s="1" t="s">
        <v>7449</v>
      </c>
    </row>
    <row r="598" spans="1:11" x14ac:dyDescent="0.25">
      <c r="A598" s="1">
        <v>597</v>
      </c>
      <c r="B598" s="1" t="s">
        <v>1764</v>
      </c>
      <c r="C598" s="1" t="s">
        <v>1765</v>
      </c>
      <c r="F598" s="1" t="s">
        <v>1766</v>
      </c>
      <c r="G598" s="1">
        <v>1</v>
      </c>
      <c r="H598" s="7">
        <v>45560</v>
      </c>
      <c r="I598" s="1" t="s">
        <v>7449</v>
      </c>
      <c r="J598" s="7">
        <v>45560</v>
      </c>
      <c r="K598" s="1" t="s">
        <v>7449</v>
      </c>
    </row>
    <row r="599" spans="1:11" x14ac:dyDescent="0.25">
      <c r="A599" s="1">
        <v>598</v>
      </c>
      <c r="B599" s="1" t="s">
        <v>1767</v>
      </c>
      <c r="C599" s="1" t="s">
        <v>1768</v>
      </c>
      <c r="F599" s="1" t="s">
        <v>1769</v>
      </c>
      <c r="G599" s="1">
        <v>1</v>
      </c>
      <c r="H599" s="7">
        <v>45560</v>
      </c>
      <c r="I599" s="1" t="s">
        <v>7449</v>
      </c>
      <c r="J599" s="7">
        <v>45560</v>
      </c>
      <c r="K599" s="1" t="s">
        <v>7449</v>
      </c>
    </row>
    <row r="600" spans="1:11" x14ac:dyDescent="0.25">
      <c r="A600" s="1">
        <v>599</v>
      </c>
      <c r="B600" s="1" t="s">
        <v>1770</v>
      </c>
      <c r="C600" s="1" t="s">
        <v>1771</v>
      </c>
      <c r="F600" s="1" t="s">
        <v>1772</v>
      </c>
      <c r="G600" s="1">
        <v>1</v>
      </c>
      <c r="H600" s="7">
        <v>45560</v>
      </c>
      <c r="I600" s="1" t="s">
        <v>7449</v>
      </c>
      <c r="J600" s="7">
        <v>45560</v>
      </c>
      <c r="K600" s="1" t="s">
        <v>7449</v>
      </c>
    </row>
    <row r="601" spans="1:11" x14ac:dyDescent="0.25">
      <c r="A601" s="1">
        <v>600</v>
      </c>
      <c r="B601" s="1" t="s">
        <v>1773</v>
      </c>
      <c r="C601" s="1" t="s">
        <v>1774</v>
      </c>
      <c r="E601" s="1" t="s">
        <v>52</v>
      </c>
      <c r="G601" s="1">
        <v>1</v>
      </c>
      <c r="H601" s="7">
        <v>45560</v>
      </c>
      <c r="I601" s="1" t="s">
        <v>7449</v>
      </c>
      <c r="J601" s="7">
        <v>45560</v>
      </c>
      <c r="K601" s="1" t="s">
        <v>7449</v>
      </c>
    </row>
    <row r="602" spans="1:11" x14ac:dyDescent="0.25">
      <c r="A602" s="1">
        <v>601</v>
      </c>
      <c r="B602" s="1" t="s">
        <v>1775</v>
      </c>
      <c r="C602" s="1" t="s">
        <v>1776</v>
      </c>
      <c r="E602" s="1" t="s">
        <v>52</v>
      </c>
      <c r="G602" s="1">
        <v>1</v>
      </c>
      <c r="H602" s="7">
        <v>45560</v>
      </c>
      <c r="I602" s="1" t="s">
        <v>7449</v>
      </c>
      <c r="J602" s="7">
        <v>45560</v>
      </c>
      <c r="K602" s="1" t="s">
        <v>7449</v>
      </c>
    </row>
    <row r="603" spans="1:11" x14ac:dyDescent="0.25">
      <c r="A603" s="1">
        <v>602</v>
      </c>
      <c r="B603" s="1" t="s">
        <v>1777</v>
      </c>
      <c r="C603" s="1" t="s">
        <v>1778</v>
      </c>
      <c r="E603" s="1" t="s">
        <v>52</v>
      </c>
      <c r="G603" s="1">
        <v>1</v>
      </c>
      <c r="H603" s="7">
        <v>45560</v>
      </c>
      <c r="I603" s="1" t="s">
        <v>7449</v>
      </c>
      <c r="J603" s="7">
        <v>45560</v>
      </c>
      <c r="K603" s="1" t="s">
        <v>7449</v>
      </c>
    </row>
    <row r="604" spans="1:11" x14ac:dyDescent="0.25">
      <c r="A604" s="1">
        <v>603</v>
      </c>
      <c r="B604" s="1" t="s">
        <v>1779</v>
      </c>
      <c r="C604" s="1" t="s">
        <v>1780</v>
      </c>
      <c r="F604" s="1" t="s">
        <v>1781</v>
      </c>
      <c r="G604" s="1">
        <v>1</v>
      </c>
      <c r="H604" s="7">
        <v>45560</v>
      </c>
      <c r="I604" s="1" t="s">
        <v>7449</v>
      </c>
      <c r="J604" s="7">
        <v>45560</v>
      </c>
      <c r="K604" s="1" t="s">
        <v>7449</v>
      </c>
    </row>
    <row r="605" spans="1:11" x14ac:dyDescent="0.25">
      <c r="A605" s="1">
        <v>604</v>
      </c>
      <c r="B605" s="1" t="s">
        <v>1782</v>
      </c>
      <c r="C605" s="1" t="s">
        <v>1783</v>
      </c>
      <c r="D605" s="1" t="s">
        <v>1784</v>
      </c>
      <c r="G605" s="1">
        <v>1</v>
      </c>
      <c r="H605" s="7">
        <v>45560</v>
      </c>
      <c r="I605" s="1" t="s">
        <v>7449</v>
      </c>
      <c r="J605" s="7">
        <v>45560</v>
      </c>
      <c r="K605" s="1" t="s">
        <v>7449</v>
      </c>
    </row>
    <row r="606" spans="1:11" x14ac:dyDescent="0.25">
      <c r="A606" s="1">
        <v>605</v>
      </c>
      <c r="B606" s="1" t="s">
        <v>1785</v>
      </c>
      <c r="C606" s="1" t="s">
        <v>1786</v>
      </c>
      <c r="D606" s="1" t="s">
        <v>1787</v>
      </c>
      <c r="F606" s="1" t="s">
        <v>1788</v>
      </c>
      <c r="G606" s="1">
        <v>1</v>
      </c>
      <c r="H606" s="7">
        <v>45560</v>
      </c>
      <c r="I606" s="1" t="s">
        <v>7449</v>
      </c>
      <c r="J606" s="7">
        <v>45560</v>
      </c>
      <c r="K606" s="1" t="s">
        <v>7449</v>
      </c>
    </row>
    <row r="607" spans="1:11" x14ac:dyDescent="0.25">
      <c r="A607" s="1">
        <v>606</v>
      </c>
      <c r="B607" s="1" t="s">
        <v>1789</v>
      </c>
      <c r="C607" s="1" t="s">
        <v>1790</v>
      </c>
      <c r="D607" s="1" t="s">
        <v>1791</v>
      </c>
      <c r="G607" s="1">
        <v>1</v>
      </c>
      <c r="H607" s="7">
        <v>45560</v>
      </c>
      <c r="I607" s="1" t="s">
        <v>7449</v>
      </c>
      <c r="J607" s="7">
        <v>45560</v>
      </c>
      <c r="K607" s="1" t="s">
        <v>7449</v>
      </c>
    </row>
    <row r="608" spans="1:11" x14ac:dyDescent="0.25">
      <c r="A608" s="1">
        <v>607</v>
      </c>
      <c r="B608" s="1" t="s">
        <v>1792</v>
      </c>
      <c r="C608" s="1" t="s">
        <v>1793</v>
      </c>
      <c r="E608" s="1" t="s">
        <v>52</v>
      </c>
      <c r="G608" s="1">
        <v>1</v>
      </c>
      <c r="H608" s="7">
        <v>45560</v>
      </c>
      <c r="I608" s="1" t="s">
        <v>7449</v>
      </c>
      <c r="J608" s="7">
        <v>45560</v>
      </c>
      <c r="K608" s="1" t="s">
        <v>7449</v>
      </c>
    </row>
    <row r="609" spans="1:11" x14ac:dyDescent="0.25">
      <c r="A609" s="1">
        <v>608</v>
      </c>
      <c r="B609" s="1" t="s">
        <v>1794</v>
      </c>
      <c r="C609" s="1" t="s">
        <v>1795</v>
      </c>
      <c r="D609" s="1" t="s">
        <v>1796</v>
      </c>
      <c r="F609" s="1" t="s">
        <v>1797</v>
      </c>
      <c r="G609" s="1">
        <v>1</v>
      </c>
      <c r="H609" s="7">
        <v>45560</v>
      </c>
      <c r="I609" s="1" t="s">
        <v>7449</v>
      </c>
      <c r="J609" s="7">
        <v>45560</v>
      </c>
      <c r="K609" s="1" t="s">
        <v>7449</v>
      </c>
    </row>
    <row r="610" spans="1:11" x14ac:dyDescent="0.25">
      <c r="A610" s="1">
        <v>609</v>
      </c>
      <c r="B610" s="1" t="s">
        <v>1798</v>
      </c>
      <c r="C610" s="1" t="s">
        <v>1799</v>
      </c>
      <c r="E610" s="1" t="s">
        <v>52</v>
      </c>
      <c r="G610" s="1">
        <v>1</v>
      </c>
      <c r="H610" s="7">
        <v>45560</v>
      </c>
      <c r="I610" s="1" t="s">
        <v>7449</v>
      </c>
      <c r="J610" s="7">
        <v>45560</v>
      </c>
      <c r="K610" s="1" t="s">
        <v>7449</v>
      </c>
    </row>
    <row r="611" spans="1:11" x14ac:dyDescent="0.25">
      <c r="A611" s="1">
        <v>610</v>
      </c>
      <c r="B611" s="1" t="s">
        <v>1800</v>
      </c>
      <c r="C611" s="1" t="s">
        <v>1801</v>
      </c>
      <c r="D611" s="1" t="s">
        <v>1802</v>
      </c>
      <c r="G611" s="1">
        <v>1</v>
      </c>
      <c r="H611" s="7">
        <v>45560</v>
      </c>
      <c r="I611" s="1" t="s">
        <v>7449</v>
      </c>
      <c r="J611" s="7">
        <v>45560</v>
      </c>
      <c r="K611" s="1" t="s">
        <v>7449</v>
      </c>
    </row>
    <row r="612" spans="1:11" x14ac:dyDescent="0.25">
      <c r="A612" s="1">
        <v>611</v>
      </c>
      <c r="B612" s="1" t="s">
        <v>1803</v>
      </c>
      <c r="C612" s="1" t="s">
        <v>1804</v>
      </c>
      <c r="F612" s="1" t="s">
        <v>1805</v>
      </c>
      <c r="G612" s="1">
        <v>1</v>
      </c>
      <c r="H612" s="7">
        <v>45560</v>
      </c>
      <c r="I612" s="1" t="s">
        <v>7449</v>
      </c>
      <c r="J612" s="7">
        <v>45560</v>
      </c>
      <c r="K612" s="1" t="s">
        <v>7449</v>
      </c>
    </row>
    <row r="613" spans="1:11" x14ac:dyDescent="0.25">
      <c r="A613" s="1">
        <v>612</v>
      </c>
      <c r="B613" s="1" t="s">
        <v>1806</v>
      </c>
      <c r="C613" s="1" t="s">
        <v>1807</v>
      </c>
      <c r="E613" s="1" t="s">
        <v>52</v>
      </c>
      <c r="G613" s="1">
        <v>1</v>
      </c>
      <c r="H613" s="7">
        <v>45560</v>
      </c>
      <c r="I613" s="1" t="s">
        <v>7449</v>
      </c>
      <c r="J613" s="7">
        <v>45560</v>
      </c>
      <c r="K613" s="1" t="s">
        <v>7449</v>
      </c>
    </row>
    <row r="614" spans="1:11" x14ac:dyDescent="0.25">
      <c r="A614" s="1">
        <v>613</v>
      </c>
      <c r="B614" s="1" t="s">
        <v>1808</v>
      </c>
      <c r="C614" s="1" t="s">
        <v>1809</v>
      </c>
      <c r="F614" s="1" t="s">
        <v>1810</v>
      </c>
      <c r="G614" s="1">
        <v>1</v>
      </c>
      <c r="H614" s="7">
        <v>45560</v>
      </c>
      <c r="I614" s="1" t="s">
        <v>7449</v>
      </c>
      <c r="J614" s="7">
        <v>45560</v>
      </c>
      <c r="K614" s="1" t="s">
        <v>7449</v>
      </c>
    </row>
    <row r="615" spans="1:11" x14ac:dyDescent="0.25">
      <c r="A615" s="1">
        <v>614</v>
      </c>
      <c r="B615" s="1" t="s">
        <v>1811</v>
      </c>
      <c r="C615" s="1" t="s">
        <v>1812</v>
      </c>
      <c r="F615" s="1" t="s">
        <v>1813</v>
      </c>
      <c r="G615" s="1">
        <v>1</v>
      </c>
      <c r="H615" s="7">
        <v>45560</v>
      </c>
      <c r="I615" s="1" t="s">
        <v>7449</v>
      </c>
      <c r="J615" s="7">
        <v>45560</v>
      </c>
      <c r="K615" s="1" t="s">
        <v>7449</v>
      </c>
    </row>
    <row r="616" spans="1:11" x14ac:dyDescent="0.25">
      <c r="A616" s="1">
        <v>615</v>
      </c>
      <c r="B616" s="1" t="s">
        <v>1814</v>
      </c>
      <c r="C616" s="1" t="s">
        <v>1815</v>
      </c>
      <c r="F616" s="1" t="s">
        <v>1816</v>
      </c>
      <c r="G616" s="1">
        <v>1</v>
      </c>
      <c r="H616" s="7">
        <v>45560</v>
      </c>
      <c r="I616" s="1" t="s">
        <v>7449</v>
      </c>
      <c r="J616" s="7">
        <v>45560</v>
      </c>
      <c r="K616" s="1" t="s">
        <v>7449</v>
      </c>
    </row>
    <row r="617" spans="1:11" x14ac:dyDescent="0.25">
      <c r="A617" s="1">
        <v>616</v>
      </c>
      <c r="B617" s="1" t="s">
        <v>1817</v>
      </c>
      <c r="C617" s="1" t="s">
        <v>1818</v>
      </c>
      <c r="D617" s="1" t="s">
        <v>1819</v>
      </c>
      <c r="F617" s="1" t="s">
        <v>1820</v>
      </c>
      <c r="G617" s="1">
        <v>1</v>
      </c>
      <c r="H617" s="7">
        <v>45560</v>
      </c>
      <c r="I617" s="1" t="s">
        <v>7449</v>
      </c>
      <c r="J617" s="7">
        <v>45560</v>
      </c>
      <c r="K617" s="1" t="s">
        <v>7449</v>
      </c>
    </row>
    <row r="618" spans="1:11" x14ac:dyDescent="0.25">
      <c r="A618" s="1">
        <v>617</v>
      </c>
      <c r="B618" s="1" t="s">
        <v>1821</v>
      </c>
      <c r="C618" s="1" t="s">
        <v>1822</v>
      </c>
      <c r="D618" s="1" t="s">
        <v>1823</v>
      </c>
      <c r="G618" s="1">
        <v>1</v>
      </c>
      <c r="H618" s="7">
        <v>45560</v>
      </c>
      <c r="I618" s="1" t="s">
        <v>7449</v>
      </c>
      <c r="J618" s="7">
        <v>45560</v>
      </c>
      <c r="K618" s="1" t="s">
        <v>7449</v>
      </c>
    </row>
    <row r="619" spans="1:11" x14ac:dyDescent="0.25">
      <c r="A619" s="1">
        <v>618</v>
      </c>
      <c r="B619" s="1" t="s">
        <v>1824</v>
      </c>
      <c r="C619" s="1" t="s">
        <v>1825</v>
      </c>
      <c r="D619" s="1" t="s">
        <v>1819</v>
      </c>
      <c r="F619" s="1" t="s">
        <v>1826</v>
      </c>
      <c r="G619" s="1">
        <v>1</v>
      </c>
      <c r="H619" s="7">
        <v>45560</v>
      </c>
      <c r="I619" s="1" t="s">
        <v>7449</v>
      </c>
      <c r="J619" s="7">
        <v>45560</v>
      </c>
      <c r="K619" s="1" t="s">
        <v>7449</v>
      </c>
    </row>
    <row r="620" spans="1:11" x14ac:dyDescent="0.25">
      <c r="A620" s="1">
        <v>619</v>
      </c>
      <c r="B620" s="1" t="s">
        <v>1827</v>
      </c>
      <c r="C620" s="1" t="s">
        <v>1828</v>
      </c>
      <c r="D620" s="1" t="s">
        <v>1829</v>
      </c>
      <c r="F620" s="1" t="s">
        <v>1830</v>
      </c>
      <c r="G620" s="1">
        <v>1</v>
      </c>
      <c r="H620" s="7">
        <v>45560</v>
      </c>
      <c r="I620" s="1" t="s">
        <v>7449</v>
      </c>
      <c r="J620" s="7">
        <v>45560</v>
      </c>
      <c r="K620" s="1" t="s">
        <v>7449</v>
      </c>
    </row>
    <row r="621" spans="1:11" x14ac:dyDescent="0.25">
      <c r="A621" s="1">
        <v>620</v>
      </c>
      <c r="B621" s="1" t="s">
        <v>1831</v>
      </c>
      <c r="C621" s="1" t="s">
        <v>1832</v>
      </c>
      <c r="F621" s="1" t="s">
        <v>1833</v>
      </c>
      <c r="G621" s="1">
        <v>1</v>
      </c>
      <c r="H621" s="7">
        <v>45560</v>
      </c>
      <c r="I621" s="1" t="s">
        <v>7449</v>
      </c>
      <c r="J621" s="7">
        <v>45560</v>
      </c>
      <c r="K621" s="1" t="s">
        <v>7449</v>
      </c>
    </row>
    <row r="622" spans="1:11" x14ac:dyDescent="0.25">
      <c r="A622" s="1">
        <v>621</v>
      </c>
      <c r="B622" s="1" t="s">
        <v>1834</v>
      </c>
      <c r="C622" s="1" t="s">
        <v>1835</v>
      </c>
      <c r="D622" s="1" t="s">
        <v>1836</v>
      </c>
      <c r="G622" s="1">
        <v>1</v>
      </c>
      <c r="H622" s="7">
        <v>45560</v>
      </c>
      <c r="I622" s="1" t="s">
        <v>7449</v>
      </c>
      <c r="J622" s="7">
        <v>45560</v>
      </c>
      <c r="K622" s="1" t="s">
        <v>7449</v>
      </c>
    </row>
    <row r="623" spans="1:11" x14ac:dyDescent="0.25">
      <c r="A623" s="1">
        <v>622</v>
      </c>
      <c r="B623" s="1" t="s">
        <v>1837</v>
      </c>
      <c r="C623" s="1" t="s">
        <v>1838</v>
      </c>
      <c r="D623" s="1" t="s">
        <v>1839</v>
      </c>
      <c r="G623" s="1">
        <v>1</v>
      </c>
      <c r="H623" s="7">
        <v>45560</v>
      </c>
      <c r="I623" s="1" t="s">
        <v>7449</v>
      </c>
      <c r="J623" s="7">
        <v>45560</v>
      </c>
      <c r="K623" s="1" t="s">
        <v>7449</v>
      </c>
    </row>
    <row r="624" spans="1:11" x14ac:dyDescent="0.25">
      <c r="A624" s="1">
        <v>623</v>
      </c>
      <c r="B624" s="1" t="s">
        <v>1840</v>
      </c>
      <c r="C624" s="1" t="s">
        <v>1841</v>
      </c>
      <c r="D624" s="1" t="s">
        <v>1842</v>
      </c>
      <c r="G624" s="1">
        <v>1</v>
      </c>
      <c r="H624" s="7">
        <v>45560</v>
      </c>
      <c r="I624" s="1" t="s">
        <v>7449</v>
      </c>
      <c r="J624" s="7">
        <v>45560</v>
      </c>
      <c r="K624" s="1" t="s">
        <v>7449</v>
      </c>
    </row>
    <row r="625" spans="1:11" x14ac:dyDescent="0.25">
      <c r="A625" s="1">
        <v>624</v>
      </c>
      <c r="B625" s="1" t="s">
        <v>1843</v>
      </c>
      <c r="C625" s="1" t="s">
        <v>1844</v>
      </c>
      <c r="E625" s="1" t="s">
        <v>52</v>
      </c>
      <c r="G625" s="1">
        <v>1</v>
      </c>
      <c r="H625" s="7">
        <v>45560</v>
      </c>
      <c r="I625" s="1" t="s">
        <v>7449</v>
      </c>
      <c r="J625" s="7">
        <v>45560</v>
      </c>
      <c r="K625" s="1" t="s">
        <v>7449</v>
      </c>
    </row>
    <row r="626" spans="1:11" x14ac:dyDescent="0.25">
      <c r="A626" s="1">
        <v>625</v>
      </c>
      <c r="B626" s="1" t="s">
        <v>1845</v>
      </c>
      <c r="C626" s="1" t="s">
        <v>1846</v>
      </c>
      <c r="D626" s="1" t="s">
        <v>1847</v>
      </c>
      <c r="G626" s="1">
        <v>1</v>
      </c>
      <c r="H626" s="7">
        <v>45560</v>
      </c>
      <c r="I626" s="1" t="s">
        <v>7449</v>
      </c>
      <c r="J626" s="7">
        <v>45560</v>
      </c>
      <c r="K626" s="1" t="s">
        <v>7449</v>
      </c>
    </row>
    <row r="627" spans="1:11" x14ac:dyDescent="0.25">
      <c r="A627" s="1">
        <v>626</v>
      </c>
      <c r="B627" s="1" t="s">
        <v>1848</v>
      </c>
      <c r="C627" s="1" t="s">
        <v>1849</v>
      </c>
      <c r="D627" s="1" t="s">
        <v>1850</v>
      </c>
      <c r="G627" s="1">
        <v>1</v>
      </c>
      <c r="H627" s="7">
        <v>45560</v>
      </c>
      <c r="I627" s="1" t="s">
        <v>7449</v>
      </c>
      <c r="J627" s="7">
        <v>45560</v>
      </c>
      <c r="K627" s="1" t="s">
        <v>7449</v>
      </c>
    </row>
    <row r="628" spans="1:11" x14ac:dyDescent="0.25">
      <c r="A628" s="1">
        <v>627</v>
      </c>
      <c r="B628" s="1" t="s">
        <v>1851</v>
      </c>
      <c r="C628" s="1" t="s">
        <v>1852</v>
      </c>
      <c r="D628" s="1" t="s">
        <v>1853</v>
      </c>
      <c r="G628" s="1">
        <v>1</v>
      </c>
      <c r="H628" s="7">
        <v>45560</v>
      </c>
      <c r="I628" s="1" t="s">
        <v>7449</v>
      </c>
      <c r="J628" s="7">
        <v>45560</v>
      </c>
      <c r="K628" s="1" t="s">
        <v>7449</v>
      </c>
    </row>
    <row r="629" spans="1:11" x14ac:dyDescent="0.25">
      <c r="A629" s="1">
        <v>628</v>
      </c>
      <c r="B629" s="1" t="s">
        <v>1854</v>
      </c>
      <c r="C629" s="1" t="s">
        <v>1855</v>
      </c>
      <c r="E629" s="1" t="s">
        <v>52</v>
      </c>
      <c r="G629" s="1">
        <v>1</v>
      </c>
      <c r="H629" s="7">
        <v>45560</v>
      </c>
      <c r="I629" s="1" t="s">
        <v>7449</v>
      </c>
      <c r="J629" s="7">
        <v>45560</v>
      </c>
      <c r="K629" s="1" t="s">
        <v>7449</v>
      </c>
    </row>
    <row r="630" spans="1:11" x14ac:dyDescent="0.25">
      <c r="A630" s="1">
        <v>629</v>
      </c>
      <c r="B630" s="1" t="s">
        <v>1856</v>
      </c>
      <c r="C630" s="1" t="s">
        <v>1857</v>
      </c>
      <c r="E630" s="1" t="s">
        <v>52</v>
      </c>
      <c r="G630" s="1">
        <v>1</v>
      </c>
      <c r="H630" s="7">
        <v>45560</v>
      </c>
      <c r="I630" s="1" t="s">
        <v>7449</v>
      </c>
      <c r="J630" s="7">
        <v>45560</v>
      </c>
      <c r="K630" s="1" t="s">
        <v>7449</v>
      </c>
    </row>
    <row r="631" spans="1:11" x14ac:dyDescent="0.25">
      <c r="A631" s="1">
        <v>630</v>
      </c>
      <c r="B631" s="1" t="s">
        <v>1858</v>
      </c>
      <c r="C631" s="1" t="s">
        <v>1859</v>
      </c>
      <c r="D631" s="1" t="s">
        <v>1860</v>
      </c>
      <c r="G631" s="1">
        <v>1</v>
      </c>
      <c r="H631" s="7">
        <v>45560</v>
      </c>
      <c r="I631" s="1" t="s">
        <v>7449</v>
      </c>
      <c r="J631" s="7">
        <v>45560</v>
      </c>
      <c r="K631" s="1" t="s">
        <v>7449</v>
      </c>
    </row>
    <row r="632" spans="1:11" x14ac:dyDescent="0.25">
      <c r="A632" s="1">
        <v>631</v>
      </c>
      <c r="B632" s="1" t="s">
        <v>1861</v>
      </c>
      <c r="C632" s="1" t="s">
        <v>1862</v>
      </c>
      <c r="D632" s="1" t="s">
        <v>1863</v>
      </c>
      <c r="F632" s="1" t="s">
        <v>1864</v>
      </c>
      <c r="G632" s="1">
        <v>1</v>
      </c>
      <c r="H632" s="7">
        <v>45560</v>
      </c>
      <c r="I632" s="1" t="s">
        <v>7449</v>
      </c>
      <c r="J632" s="7">
        <v>45560</v>
      </c>
      <c r="K632" s="1" t="s">
        <v>7449</v>
      </c>
    </row>
    <row r="633" spans="1:11" x14ac:dyDescent="0.25">
      <c r="A633" s="1">
        <v>632</v>
      </c>
      <c r="B633" s="1" t="s">
        <v>1865</v>
      </c>
      <c r="C633" s="1" t="s">
        <v>1866</v>
      </c>
      <c r="E633" s="1" t="s">
        <v>73</v>
      </c>
      <c r="F633" s="1" t="s">
        <v>1867</v>
      </c>
      <c r="G633" s="1">
        <v>1</v>
      </c>
      <c r="H633" s="7">
        <v>45560</v>
      </c>
      <c r="I633" s="1" t="s">
        <v>7449</v>
      </c>
      <c r="J633" s="7">
        <v>45560</v>
      </c>
      <c r="K633" s="1" t="s">
        <v>7449</v>
      </c>
    </row>
    <row r="634" spans="1:11" x14ac:dyDescent="0.25">
      <c r="A634" s="1">
        <v>633</v>
      </c>
      <c r="B634" s="1" t="s">
        <v>1868</v>
      </c>
      <c r="C634" s="1" t="s">
        <v>1869</v>
      </c>
      <c r="D634" s="1" t="s">
        <v>1870</v>
      </c>
      <c r="G634" s="1">
        <v>1</v>
      </c>
      <c r="H634" s="7">
        <v>45560</v>
      </c>
      <c r="I634" s="1" t="s">
        <v>7449</v>
      </c>
      <c r="J634" s="7">
        <v>45560</v>
      </c>
      <c r="K634" s="1" t="s">
        <v>7449</v>
      </c>
    </row>
    <row r="635" spans="1:11" x14ac:dyDescent="0.25">
      <c r="A635" s="1">
        <v>634</v>
      </c>
      <c r="B635" s="1" t="s">
        <v>1871</v>
      </c>
      <c r="C635" s="1" t="s">
        <v>1872</v>
      </c>
      <c r="E635" s="1" t="s">
        <v>73</v>
      </c>
      <c r="F635" s="1" t="s">
        <v>1873</v>
      </c>
      <c r="G635" s="1">
        <v>1</v>
      </c>
      <c r="H635" s="7">
        <v>45560</v>
      </c>
      <c r="I635" s="1" t="s">
        <v>7449</v>
      </c>
      <c r="J635" s="7">
        <v>45560</v>
      </c>
      <c r="K635" s="1" t="s">
        <v>7449</v>
      </c>
    </row>
    <row r="636" spans="1:11" x14ac:dyDescent="0.25">
      <c r="A636" s="1">
        <v>635</v>
      </c>
      <c r="B636" s="1" t="s">
        <v>1874</v>
      </c>
      <c r="C636" s="1" t="s">
        <v>1875</v>
      </c>
      <c r="E636" s="1" t="s">
        <v>52</v>
      </c>
      <c r="G636" s="1">
        <v>1</v>
      </c>
      <c r="H636" s="7">
        <v>45560</v>
      </c>
      <c r="I636" s="1" t="s">
        <v>7449</v>
      </c>
      <c r="J636" s="7">
        <v>45560</v>
      </c>
      <c r="K636" s="1" t="s">
        <v>7449</v>
      </c>
    </row>
    <row r="637" spans="1:11" x14ac:dyDescent="0.25">
      <c r="A637" s="1">
        <v>636</v>
      </c>
      <c r="B637" s="1" t="s">
        <v>1876</v>
      </c>
      <c r="C637" s="1" t="s">
        <v>1877</v>
      </c>
      <c r="D637" s="1" t="s">
        <v>1878</v>
      </c>
      <c r="F637" s="1" t="s">
        <v>1879</v>
      </c>
      <c r="G637" s="1">
        <v>1</v>
      </c>
      <c r="H637" s="7">
        <v>45560</v>
      </c>
      <c r="I637" s="1" t="s">
        <v>7449</v>
      </c>
      <c r="J637" s="7">
        <v>45560</v>
      </c>
      <c r="K637" s="1" t="s">
        <v>7449</v>
      </c>
    </row>
    <row r="638" spans="1:11" x14ac:dyDescent="0.25">
      <c r="A638" s="1">
        <v>637</v>
      </c>
      <c r="B638" s="1" t="s">
        <v>1880</v>
      </c>
      <c r="C638" s="1" t="s">
        <v>1881</v>
      </c>
      <c r="D638" s="1" t="s">
        <v>1882</v>
      </c>
      <c r="G638" s="1">
        <v>1</v>
      </c>
      <c r="H638" s="7">
        <v>45560</v>
      </c>
      <c r="I638" s="1" t="s">
        <v>7449</v>
      </c>
      <c r="J638" s="7">
        <v>45560</v>
      </c>
      <c r="K638" s="1" t="s">
        <v>7449</v>
      </c>
    </row>
    <row r="639" spans="1:11" x14ac:dyDescent="0.25">
      <c r="A639" s="1">
        <v>638</v>
      </c>
      <c r="B639" s="1" t="s">
        <v>1883</v>
      </c>
      <c r="C639" s="1" t="s">
        <v>1884</v>
      </c>
      <c r="D639" s="1" t="s">
        <v>1885</v>
      </c>
      <c r="F639" s="1" t="s">
        <v>1886</v>
      </c>
      <c r="G639" s="1">
        <v>1</v>
      </c>
      <c r="H639" s="7">
        <v>45560</v>
      </c>
      <c r="I639" s="1" t="s">
        <v>7449</v>
      </c>
      <c r="J639" s="7">
        <v>45560</v>
      </c>
      <c r="K639" s="1" t="s">
        <v>7449</v>
      </c>
    </row>
    <row r="640" spans="1:11" x14ac:dyDescent="0.25">
      <c r="A640" s="1">
        <v>639</v>
      </c>
      <c r="B640" s="1" t="s">
        <v>1887</v>
      </c>
      <c r="C640" s="1" t="s">
        <v>1888</v>
      </c>
      <c r="D640" s="1" t="s">
        <v>1889</v>
      </c>
      <c r="F640" s="1" t="s">
        <v>1890</v>
      </c>
      <c r="G640" s="1">
        <v>1</v>
      </c>
      <c r="H640" s="7">
        <v>45560</v>
      </c>
      <c r="I640" s="1" t="s">
        <v>7449</v>
      </c>
      <c r="J640" s="7">
        <v>45560</v>
      </c>
      <c r="K640" s="1" t="s">
        <v>7449</v>
      </c>
    </row>
    <row r="641" spans="1:11" x14ac:dyDescent="0.25">
      <c r="A641" s="1">
        <v>640</v>
      </c>
      <c r="B641" s="1" t="s">
        <v>1891</v>
      </c>
      <c r="C641" s="1" t="s">
        <v>1892</v>
      </c>
      <c r="D641" s="1" t="s">
        <v>1893</v>
      </c>
      <c r="F641" s="1" t="s">
        <v>1894</v>
      </c>
      <c r="G641" s="1">
        <v>1</v>
      </c>
      <c r="H641" s="7">
        <v>45560</v>
      </c>
      <c r="I641" s="1" t="s">
        <v>7449</v>
      </c>
      <c r="J641" s="7">
        <v>45560</v>
      </c>
      <c r="K641" s="1" t="s">
        <v>7449</v>
      </c>
    </row>
    <row r="642" spans="1:11" x14ac:dyDescent="0.25">
      <c r="A642" s="1">
        <v>641</v>
      </c>
      <c r="B642" s="1" t="s">
        <v>1895</v>
      </c>
      <c r="C642" s="1" t="s">
        <v>1896</v>
      </c>
      <c r="D642" s="1" t="s">
        <v>1897</v>
      </c>
      <c r="F642" s="1" t="s">
        <v>1898</v>
      </c>
      <c r="G642" s="1">
        <v>1</v>
      </c>
      <c r="H642" s="7">
        <v>45560</v>
      </c>
      <c r="I642" s="1" t="s">
        <v>7449</v>
      </c>
      <c r="J642" s="7">
        <v>45560</v>
      </c>
      <c r="K642" s="1" t="s">
        <v>7449</v>
      </c>
    </row>
    <row r="643" spans="1:11" x14ac:dyDescent="0.25">
      <c r="A643" s="1">
        <v>642</v>
      </c>
      <c r="B643" s="1" t="s">
        <v>1899</v>
      </c>
      <c r="C643" s="1" t="s">
        <v>1900</v>
      </c>
      <c r="D643" s="1" t="s">
        <v>1901</v>
      </c>
      <c r="F643" s="1" t="s">
        <v>1902</v>
      </c>
      <c r="G643" s="1">
        <v>1</v>
      </c>
      <c r="H643" s="7">
        <v>45560</v>
      </c>
      <c r="I643" s="1" t="s">
        <v>7449</v>
      </c>
      <c r="J643" s="7">
        <v>45560</v>
      </c>
      <c r="K643" s="1" t="s">
        <v>7449</v>
      </c>
    </row>
    <row r="644" spans="1:11" x14ac:dyDescent="0.25">
      <c r="A644" s="1">
        <v>643</v>
      </c>
      <c r="B644" s="1" t="s">
        <v>1903</v>
      </c>
      <c r="C644" s="1" t="s">
        <v>1904</v>
      </c>
      <c r="D644" s="1" t="s">
        <v>1905</v>
      </c>
      <c r="E644" s="1" t="s">
        <v>73</v>
      </c>
      <c r="G644" s="1">
        <v>1</v>
      </c>
      <c r="H644" s="7">
        <v>45560</v>
      </c>
      <c r="I644" s="1" t="s">
        <v>7449</v>
      </c>
      <c r="J644" s="7">
        <v>45560</v>
      </c>
      <c r="K644" s="1" t="s">
        <v>7449</v>
      </c>
    </row>
    <row r="645" spans="1:11" x14ac:dyDescent="0.25">
      <c r="A645" s="1">
        <v>644</v>
      </c>
      <c r="B645" s="1" t="s">
        <v>1906</v>
      </c>
      <c r="C645" s="1" t="s">
        <v>1907</v>
      </c>
      <c r="D645" s="1" t="s">
        <v>1908</v>
      </c>
      <c r="G645" s="1">
        <v>1</v>
      </c>
      <c r="H645" s="7">
        <v>45560</v>
      </c>
      <c r="I645" s="1" t="s">
        <v>7449</v>
      </c>
      <c r="J645" s="7">
        <v>45560</v>
      </c>
      <c r="K645" s="1" t="s">
        <v>7449</v>
      </c>
    </row>
    <row r="646" spans="1:11" x14ac:dyDescent="0.25">
      <c r="A646" s="1">
        <v>645</v>
      </c>
      <c r="B646" s="1" t="s">
        <v>1909</v>
      </c>
      <c r="C646" s="1" t="s">
        <v>1910</v>
      </c>
      <c r="F646" s="1" t="s">
        <v>1911</v>
      </c>
      <c r="G646" s="1">
        <v>1</v>
      </c>
      <c r="H646" s="7">
        <v>45560</v>
      </c>
      <c r="I646" s="1" t="s">
        <v>7449</v>
      </c>
      <c r="J646" s="7">
        <v>45560</v>
      </c>
      <c r="K646" s="1" t="s">
        <v>7449</v>
      </c>
    </row>
    <row r="647" spans="1:11" x14ac:dyDescent="0.25">
      <c r="A647" s="1">
        <v>646</v>
      </c>
      <c r="B647" s="1" t="s">
        <v>1912</v>
      </c>
      <c r="C647" s="1" t="s">
        <v>1913</v>
      </c>
      <c r="F647" s="1" t="s">
        <v>1914</v>
      </c>
      <c r="G647" s="1">
        <v>1</v>
      </c>
      <c r="H647" s="7">
        <v>45560</v>
      </c>
      <c r="I647" s="1" t="s">
        <v>7449</v>
      </c>
      <c r="J647" s="7">
        <v>45560</v>
      </c>
      <c r="K647" s="1" t="s">
        <v>7449</v>
      </c>
    </row>
    <row r="648" spans="1:11" x14ac:dyDescent="0.25">
      <c r="A648" s="1">
        <v>647</v>
      </c>
      <c r="B648" s="1" t="s">
        <v>1915</v>
      </c>
      <c r="C648" s="1" t="s">
        <v>1916</v>
      </c>
      <c r="D648" s="1" t="s">
        <v>1917</v>
      </c>
      <c r="F648" s="1" t="s">
        <v>177</v>
      </c>
      <c r="G648" s="1">
        <v>1</v>
      </c>
      <c r="H648" s="7">
        <v>45560</v>
      </c>
      <c r="I648" s="1" t="s">
        <v>7449</v>
      </c>
      <c r="J648" s="7">
        <v>45560</v>
      </c>
      <c r="K648" s="1" t="s">
        <v>7449</v>
      </c>
    </row>
    <row r="649" spans="1:11" x14ac:dyDescent="0.25">
      <c r="A649" s="1">
        <v>648</v>
      </c>
      <c r="B649" s="1" t="s">
        <v>1918</v>
      </c>
      <c r="C649" s="1" t="s">
        <v>1919</v>
      </c>
      <c r="D649" s="1" t="s">
        <v>1920</v>
      </c>
      <c r="F649" s="1" t="s">
        <v>1921</v>
      </c>
      <c r="G649" s="1">
        <v>1</v>
      </c>
      <c r="H649" s="7">
        <v>45560</v>
      </c>
      <c r="I649" s="1" t="s">
        <v>7449</v>
      </c>
      <c r="J649" s="7">
        <v>45560</v>
      </c>
      <c r="K649" s="1" t="s">
        <v>7449</v>
      </c>
    </row>
    <row r="650" spans="1:11" x14ac:dyDescent="0.25">
      <c r="A650" s="1">
        <v>649</v>
      </c>
      <c r="B650" s="1" t="s">
        <v>1922</v>
      </c>
      <c r="C650" s="1" t="s">
        <v>1923</v>
      </c>
      <c r="D650" s="1" t="s">
        <v>1924</v>
      </c>
      <c r="F650" s="1" t="s">
        <v>1925</v>
      </c>
      <c r="G650" s="1">
        <v>1</v>
      </c>
      <c r="H650" s="7">
        <v>45560</v>
      </c>
      <c r="I650" s="1" t="s">
        <v>7449</v>
      </c>
      <c r="J650" s="7">
        <v>45560</v>
      </c>
      <c r="K650" s="1" t="s">
        <v>7449</v>
      </c>
    </row>
    <row r="651" spans="1:11" x14ac:dyDescent="0.25">
      <c r="A651" s="1">
        <v>650</v>
      </c>
      <c r="B651" s="1" t="s">
        <v>1926</v>
      </c>
      <c r="C651" s="1" t="s">
        <v>1927</v>
      </c>
      <c r="D651" s="1" t="s">
        <v>1928</v>
      </c>
      <c r="G651" s="1">
        <v>1</v>
      </c>
      <c r="H651" s="7">
        <v>45560</v>
      </c>
      <c r="I651" s="1" t="s">
        <v>7449</v>
      </c>
      <c r="J651" s="7">
        <v>45560</v>
      </c>
      <c r="K651" s="1" t="s">
        <v>7449</v>
      </c>
    </row>
    <row r="652" spans="1:11" x14ac:dyDescent="0.25">
      <c r="A652" s="1">
        <v>651</v>
      </c>
      <c r="B652" s="1" t="s">
        <v>1929</v>
      </c>
      <c r="C652" s="1" t="s">
        <v>1930</v>
      </c>
      <c r="D652" s="1" t="s">
        <v>1931</v>
      </c>
      <c r="F652" s="1" t="s">
        <v>1932</v>
      </c>
      <c r="G652" s="1">
        <v>1</v>
      </c>
      <c r="H652" s="7">
        <v>45560</v>
      </c>
      <c r="I652" s="1" t="s">
        <v>7449</v>
      </c>
      <c r="J652" s="7">
        <v>45560</v>
      </c>
      <c r="K652" s="1" t="s">
        <v>7449</v>
      </c>
    </row>
    <row r="653" spans="1:11" x14ac:dyDescent="0.25">
      <c r="A653" s="1">
        <v>652</v>
      </c>
      <c r="B653" s="1" t="s">
        <v>1933</v>
      </c>
      <c r="C653" s="1" t="s">
        <v>1934</v>
      </c>
      <c r="D653" s="1" t="s">
        <v>1935</v>
      </c>
      <c r="G653" s="1">
        <v>1</v>
      </c>
      <c r="H653" s="7">
        <v>45560</v>
      </c>
      <c r="I653" s="1" t="s">
        <v>7449</v>
      </c>
      <c r="J653" s="7">
        <v>45560</v>
      </c>
      <c r="K653" s="1" t="s">
        <v>7449</v>
      </c>
    </row>
    <row r="654" spans="1:11" x14ac:dyDescent="0.25">
      <c r="A654" s="1">
        <v>653</v>
      </c>
      <c r="B654" s="1" t="s">
        <v>1936</v>
      </c>
      <c r="C654" s="1" t="s">
        <v>1937</v>
      </c>
      <c r="D654" s="1" t="s">
        <v>1938</v>
      </c>
      <c r="G654" s="1">
        <v>1</v>
      </c>
      <c r="H654" s="7">
        <v>45560</v>
      </c>
      <c r="I654" s="1" t="s">
        <v>7449</v>
      </c>
      <c r="J654" s="7">
        <v>45560</v>
      </c>
      <c r="K654" s="1" t="s">
        <v>7449</v>
      </c>
    </row>
    <row r="655" spans="1:11" x14ac:dyDescent="0.25">
      <c r="A655" s="1">
        <v>654</v>
      </c>
      <c r="B655" s="1" t="s">
        <v>1939</v>
      </c>
      <c r="C655" s="1" t="s">
        <v>1940</v>
      </c>
      <c r="D655" s="1" t="s">
        <v>1941</v>
      </c>
      <c r="G655" s="1">
        <v>1</v>
      </c>
      <c r="H655" s="7">
        <v>45560</v>
      </c>
      <c r="I655" s="1" t="s">
        <v>7449</v>
      </c>
      <c r="J655" s="7">
        <v>45560</v>
      </c>
      <c r="K655" s="1" t="s">
        <v>7449</v>
      </c>
    </row>
    <row r="656" spans="1:11" x14ac:dyDescent="0.25">
      <c r="A656" s="1">
        <v>655</v>
      </c>
      <c r="B656" s="1" t="s">
        <v>1942</v>
      </c>
      <c r="C656" s="1" t="s">
        <v>1943</v>
      </c>
      <c r="D656" s="1" t="s">
        <v>1944</v>
      </c>
      <c r="G656" s="1">
        <v>1</v>
      </c>
      <c r="H656" s="7">
        <v>45560</v>
      </c>
      <c r="I656" s="1" t="s">
        <v>7449</v>
      </c>
      <c r="J656" s="7">
        <v>45560</v>
      </c>
      <c r="K656" s="1" t="s">
        <v>7449</v>
      </c>
    </row>
    <row r="657" spans="1:11" x14ac:dyDescent="0.25">
      <c r="A657" s="1">
        <v>656</v>
      </c>
      <c r="B657" s="1" t="s">
        <v>1945</v>
      </c>
      <c r="C657" s="1" t="s">
        <v>1946</v>
      </c>
      <c r="D657" s="1" t="s">
        <v>1947</v>
      </c>
      <c r="G657" s="1">
        <v>1</v>
      </c>
      <c r="H657" s="7">
        <v>45560</v>
      </c>
      <c r="I657" s="1" t="s">
        <v>7449</v>
      </c>
      <c r="J657" s="7">
        <v>45560</v>
      </c>
      <c r="K657" s="1" t="s">
        <v>7449</v>
      </c>
    </row>
    <row r="658" spans="1:11" x14ac:dyDescent="0.25">
      <c r="A658" s="1">
        <v>657</v>
      </c>
      <c r="B658" s="1" t="s">
        <v>1948</v>
      </c>
      <c r="C658" s="1" t="s">
        <v>1949</v>
      </c>
      <c r="D658" s="1" t="s">
        <v>1860</v>
      </c>
      <c r="G658" s="1">
        <v>1</v>
      </c>
      <c r="H658" s="7">
        <v>45560</v>
      </c>
      <c r="I658" s="1" t="s">
        <v>7449</v>
      </c>
      <c r="J658" s="7">
        <v>45560</v>
      </c>
      <c r="K658" s="1" t="s">
        <v>7449</v>
      </c>
    </row>
    <row r="659" spans="1:11" x14ac:dyDescent="0.25">
      <c r="A659" s="1">
        <v>658</v>
      </c>
      <c r="B659" s="1" t="s">
        <v>1950</v>
      </c>
      <c r="C659" s="1" t="s">
        <v>1951</v>
      </c>
      <c r="E659" s="1" t="s">
        <v>52</v>
      </c>
      <c r="G659" s="1">
        <v>1</v>
      </c>
      <c r="H659" s="7">
        <v>45560</v>
      </c>
      <c r="I659" s="1" t="s">
        <v>7449</v>
      </c>
      <c r="J659" s="7">
        <v>45560</v>
      </c>
      <c r="K659" s="1" t="s">
        <v>7449</v>
      </c>
    </row>
    <row r="660" spans="1:11" x14ac:dyDescent="0.25">
      <c r="A660" s="1">
        <v>659</v>
      </c>
      <c r="B660" s="1" t="s">
        <v>1952</v>
      </c>
      <c r="C660" s="1" t="s">
        <v>1953</v>
      </c>
      <c r="D660" s="1" t="s">
        <v>1954</v>
      </c>
      <c r="G660" s="1">
        <v>1</v>
      </c>
      <c r="H660" s="7">
        <v>45560</v>
      </c>
      <c r="I660" s="1" t="s">
        <v>7449</v>
      </c>
      <c r="J660" s="7">
        <v>45560</v>
      </c>
      <c r="K660" s="1" t="s">
        <v>7449</v>
      </c>
    </row>
    <row r="661" spans="1:11" x14ac:dyDescent="0.25">
      <c r="A661" s="1">
        <v>660</v>
      </c>
      <c r="B661" s="1" t="s">
        <v>1955</v>
      </c>
      <c r="C661" s="1" t="s">
        <v>1956</v>
      </c>
      <c r="D661" s="1" t="s">
        <v>1957</v>
      </c>
      <c r="F661" s="1" t="s">
        <v>1958</v>
      </c>
      <c r="G661" s="1">
        <v>1</v>
      </c>
      <c r="H661" s="7">
        <v>45560</v>
      </c>
      <c r="I661" s="1" t="s">
        <v>7449</v>
      </c>
      <c r="J661" s="7">
        <v>45560</v>
      </c>
      <c r="K661" s="1" t="s">
        <v>7449</v>
      </c>
    </row>
    <row r="662" spans="1:11" x14ac:dyDescent="0.25">
      <c r="A662" s="1">
        <v>661</v>
      </c>
      <c r="B662" s="1" t="s">
        <v>1959</v>
      </c>
      <c r="C662" s="1" t="s">
        <v>1960</v>
      </c>
      <c r="D662" s="1" t="s">
        <v>1961</v>
      </c>
      <c r="F662" s="1" t="s">
        <v>1962</v>
      </c>
      <c r="G662" s="1">
        <v>1</v>
      </c>
      <c r="H662" s="7">
        <v>45560</v>
      </c>
      <c r="I662" s="1" t="s">
        <v>7449</v>
      </c>
      <c r="J662" s="7">
        <v>45560</v>
      </c>
      <c r="K662" s="1" t="s">
        <v>7449</v>
      </c>
    </row>
    <row r="663" spans="1:11" x14ac:dyDescent="0.25">
      <c r="A663" s="1">
        <v>662</v>
      </c>
      <c r="B663" s="1" t="s">
        <v>1963</v>
      </c>
      <c r="C663" s="1" t="s">
        <v>1964</v>
      </c>
      <c r="D663" s="1" t="s">
        <v>1965</v>
      </c>
      <c r="G663" s="1">
        <v>1</v>
      </c>
      <c r="H663" s="7">
        <v>45560</v>
      </c>
      <c r="I663" s="1" t="s">
        <v>7449</v>
      </c>
      <c r="J663" s="7">
        <v>45560</v>
      </c>
      <c r="K663" s="1" t="s">
        <v>7449</v>
      </c>
    </row>
    <row r="664" spans="1:11" x14ac:dyDescent="0.25">
      <c r="A664" s="1">
        <v>663</v>
      </c>
      <c r="B664" s="1" t="s">
        <v>1966</v>
      </c>
      <c r="C664" s="1" t="s">
        <v>1967</v>
      </c>
      <c r="D664" s="1" t="s">
        <v>1968</v>
      </c>
      <c r="F664" s="1" t="s">
        <v>1969</v>
      </c>
      <c r="G664" s="1">
        <v>1</v>
      </c>
      <c r="H664" s="7">
        <v>45560</v>
      </c>
      <c r="I664" s="1" t="s">
        <v>7449</v>
      </c>
      <c r="J664" s="7">
        <v>45560</v>
      </c>
      <c r="K664" s="1" t="s">
        <v>7449</v>
      </c>
    </row>
    <row r="665" spans="1:11" x14ac:dyDescent="0.25">
      <c r="A665" s="1">
        <v>664</v>
      </c>
      <c r="B665" s="1" t="s">
        <v>1970</v>
      </c>
      <c r="C665" s="1" t="s">
        <v>1971</v>
      </c>
      <c r="D665" s="1" t="s">
        <v>1972</v>
      </c>
      <c r="F665" s="1" t="s">
        <v>1973</v>
      </c>
      <c r="G665" s="1">
        <v>1</v>
      </c>
      <c r="H665" s="7">
        <v>45560</v>
      </c>
      <c r="I665" s="1" t="s">
        <v>7449</v>
      </c>
      <c r="J665" s="7">
        <v>45560</v>
      </c>
      <c r="K665" s="1" t="s">
        <v>7449</v>
      </c>
    </row>
    <row r="666" spans="1:11" x14ac:dyDescent="0.25">
      <c r="A666" s="1">
        <v>665</v>
      </c>
      <c r="B666" s="1" t="s">
        <v>1974</v>
      </c>
      <c r="C666" s="1" t="s">
        <v>1975</v>
      </c>
      <c r="D666" s="1" t="s">
        <v>1976</v>
      </c>
      <c r="F666" s="1" t="s">
        <v>1977</v>
      </c>
      <c r="G666" s="1">
        <v>1</v>
      </c>
      <c r="H666" s="7">
        <v>45560</v>
      </c>
      <c r="I666" s="1" t="s">
        <v>7449</v>
      </c>
      <c r="J666" s="7">
        <v>45560</v>
      </c>
      <c r="K666" s="1" t="s">
        <v>7449</v>
      </c>
    </row>
    <row r="667" spans="1:11" x14ac:dyDescent="0.25">
      <c r="A667" s="1">
        <v>666</v>
      </c>
      <c r="B667" s="1" t="s">
        <v>1978</v>
      </c>
      <c r="C667" s="1" t="s">
        <v>1979</v>
      </c>
      <c r="D667" s="1" t="s">
        <v>1980</v>
      </c>
      <c r="G667" s="1">
        <v>1</v>
      </c>
      <c r="H667" s="7">
        <v>45560</v>
      </c>
      <c r="I667" s="1" t="s">
        <v>7449</v>
      </c>
      <c r="J667" s="7">
        <v>45560</v>
      </c>
      <c r="K667" s="1" t="s">
        <v>7449</v>
      </c>
    </row>
    <row r="668" spans="1:11" x14ac:dyDescent="0.25">
      <c r="A668" s="1">
        <v>667</v>
      </c>
      <c r="B668" s="1" t="s">
        <v>1981</v>
      </c>
      <c r="C668" s="1" t="s">
        <v>1982</v>
      </c>
      <c r="D668" s="1" t="s">
        <v>1983</v>
      </c>
      <c r="G668" s="1">
        <v>1</v>
      </c>
      <c r="H668" s="7">
        <v>45560</v>
      </c>
      <c r="I668" s="1" t="s">
        <v>7449</v>
      </c>
      <c r="J668" s="7">
        <v>45560</v>
      </c>
      <c r="K668" s="1" t="s">
        <v>7449</v>
      </c>
    </row>
    <row r="669" spans="1:11" x14ac:dyDescent="0.25">
      <c r="A669" s="1">
        <v>668</v>
      </c>
      <c r="B669" s="1" t="s">
        <v>1984</v>
      </c>
      <c r="C669" s="1" t="s">
        <v>1985</v>
      </c>
      <c r="D669" s="1" t="s">
        <v>1986</v>
      </c>
      <c r="F669" s="1" t="s">
        <v>1987</v>
      </c>
      <c r="G669" s="1">
        <v>1</v>
      </c>
      <c r="H669" s="7">
        <v>45560</v>
      </c>
      <c r="I669" s="1" t="s">
        <v>7449</v>
      </c>
      <c r="J669" s="7">
        <v>45560</v>
      </c>
      <c r="K669" s="1" t="s">
        <v>7449</v>
      </c>
    </row>
    <row r="670" spans="1:11" x14ac:dyDescent="0.25">
      <c r="A670" s="1">
        <v>669</v>
      </c>
      <c r="B670" s="1" t="s">
        <v>1988</v>
      </c>
      <c r="C670" s="1" t="s">
        <v>1989</v>
      </c>
      <c r="D670" s="1" t="s">
        <v>1990</v>
      </c>
      <c r="G670" s="1">
        <v>1</v>
      </c>
      <c r="H670" s="7">
        <v>45560</v>
      </c>
      <c r="I670" s="1" t="s">
        <v>7449</v>
      </c>
      <c r="J670" s="7">
        <v>45560</v>
      </c>
      <c r="K670" s="1" t="s">
        <v>7449</v>
      </c>
    </row>
    <row r="671" spans="1:11" x14ac:dyDescent="0.25">
      <c r="A671" s="1">
        <v>670</v>
      </c>
      <c r="B671" s="1" t="s">
        <v>1991</v>
      </c>
      <c r="C671" s="1" t="s">
        <v>1992</v>
      </c>
      <c r="D671" s="1" t="s">
        <v>1993</v>
      </c>
      <c r="F671" s="1" t="s">
        <v>1994</v>
      </c>
      <c r="G671" s="1">
        <v>1</v>
      </c>
      <c r="H671" s="7">
        <v>45560</v>
      </c>
      <c r="I671" s="1" t="s">
        <v>7449</v>
      </c>
      <c r="J671" s="7">
        <v>45560</v>
      </c>
      <c r="K671" s="1" t="s">
        <v>7449</v>
      </c>
    </row>
    <row r="672" spans="1:11" x14ac:dyDescent="0.25">
      <c r="A672" s="1">
        <v>671</v>
      </c>
      <c r="B672" s="1" t="s">
        <v>1995</v>
      </c>
      <c r="C672" s="1" t="s">
        <v>1996</v>
      </c>
      <c r="F672" s="1" t="s">
        <v>1997</v>
      </c>
      <c r="G672" s="1">
        <v>1</v>
      </c>
      <c r="H672" s="7">
        <v>45560</v>
      </c>
      <c r="I672" s="1" t="s">
        <v>7449</v>
      </c>
      <c r="J672" s="7">
        <v>45560</v>
      </c>
      <c r="K672" s="1" t="s">
        <v>7449</v>
      </c>
    </row>
    <row r="673" spans="1:11" x14ac:dyDescent="0.25">
      <c r="A673" s="1">
        <v>672</v>
      </c>
      <c r="B673" s="1" t="s">
        <v>1998</v>
      </c>
      <c r="C673" s="1" t="s">
        <v>1999</v>
      </c>
      <c r="F673" s="1" t="s">
        <v>2000</v>
      </c>
      <c r="G673" s="1">
        <v>1</v>
      </c>
      <c r="H673" s="7">
        <v>45560</v>
      </c>
      <c r="I673" s="1" t="s">
        <v>7449</v>
      </c>
      <c r="J673" s="7">
        <v>45560</v>
      </c>
      <c r="K673" s="1" t="s">
        <v>7449</v>
      </c>
    </row>
    <row r="674" spans="1:11" x14ac:dyDescent="0.25">
      <c r="A674" s="1">
        <v>673</v>
      </c>
      <c r="B674" s="1" t="s">
        <v>2001</v>
      </c>
      <c r="C674" s="1" t="s">
        <v>2002</v>
      </c>
      <c r="D674" s="1" t="s">
        <v>2003</v>
      </c>
      <c r="F674" s="1" t="s">
        <v>2004</v>
      </c>
      <c r="G674" s="1">
        <v>1</v>
      </c>
      <c r="H674" s="7">
        <v>45560</v>
      </c>
      <c r="I674" s="1" t="s">
        <v>7449</v>
      </c>
      <c r="J674" s="7">
        <v>45560</v>
      </c>
      <c r="K674" s="1" t="s">
        <v>7449</v>
      </c>
    </row>
    <row r="675" spans="1:11" x14ac:dyDescent="0.25">
      <c r="A675" s="1">
        <v>674</v>
      </c>
      <c r="B675" s="1" t="s">
        <v>2005</v>
      </c>
      <c r="C675" s="1" t="s">
        <v>2006</v>
      </c>
      <c r="D675" s="1" t="s">
        <v>2007</v>
      </c>
      <c r="F675" s="1" t="s">
        <v>1997</v>
      </c>
      <c r="G675" s="1">
        <v>1</v>
      </c>
      <c r="H675" s="7">
        <v>45560</v>
      </c>
      <c r="I675" s="1" t="s">
        <v>7449</v>
      </c>
      <c r="J675" s="7">
        <v>45560</v>
      </c>
      <c r="K675" s="1" t="s">
        <v>7449</v>
      </c>
    </row>
    <row r="676" spans="1:11" x14ac:dyDescent="0.25">
      <c r="A676" s="1">
        <v>675</v>
      </c>
      <c r="B676" s="1" t="s">
        <v>2008</v>
      </c>
      <c r="C676" s="1" t="s">
        <v>2009</v>
      </c>
      <c r="F676" s="1" t="s">
        <v>1001</v>
      </c>
      <c r="G676" s="1">
        <v>1</v>
      </c>
      <c r="H676" s="7">
        <v>45560</v>
      </c>
      <c r="I676" s="1" t="s">
        <v>7449</v>
      </c>
      <c r="J676" s="7">
        <v>45560</v>
      </c>
      <c r="K676" s="1" t="s">
        <v>7449</v>
      </c>
    </row>
    <row r="677" spans="1:11" x14ac:dyDescent="0.25">
      <c r="A677" s="1">
        <v>676</v>
      </c>
      <c r="B677" s="1" t="s">
        <v>2010</v>
      </c>
      <c r="C677" s="1" t="s">
        <v>2011</v>
      </c>
      <c r="D677" s="1" t="s">
        <v>2012</v>
      </c>
      <c r="F677" s="1" t="s">
        <v>2013</v>
      </c>
      <c r="G677" s="1">
        <v>1</v>
      </c>
      <c r="H677" s="7">
        <v>45560</v>
      </c>
      <c r="I677" s="1" t="s">
        <v>7449</v>
      </c>
      <c r="J677" s="7">
        <v>45560</v>
      </c>
      <c r="K677" s="1" t="s">
        <v>7449</v>
      </c>
    </row>
    <row r="678" spans="1:11" x14ac:dyDescent="0.25">
      <c r="A678" s="1">
        <v>677</v>
      </c>
      <c r="B678" s="1" t="s">
        <v>2014</v>
      </c>
      <c r="C678" s="1" t="s">
        <v>2015</v>
      </c>
      <c r="D678" s="1" t="s">
        <v>2016</v>
      </c>
      <c r="F678" s="1" t="s">
        <v>2017</v>
      </c>
      <c r="G678" s="1">
        <v>1</v>
      </c>
      <c r="H678" s="7">
        <v>45560</v>
      </c>
      <c r="I678" s="1" t="s">
        <v>7449</v>
      </c>
      <c r="J678" s="7">
        <v>45560</v>
      </c>
      <c r="K678" s="1" t="s">
        <v>7449</v>
      </c>
    </row>
    <row r="679" spans="1:11" x14ac:dyDescent="0.25">
      <c r="A679" s="1">
        <v>678</v>
      </c>
      <c r="B679" s="1" t="s">
        <v>2018</v>
      </c>
      <c r="C679" s="1" t="s">
        <v>2019</v>
      </c>
      <c r="D679" s="1" t="s">
        <v>2020</v>
      </c>
      <c r="G679" s="1">
        <v>1</v>
      </c>
      <c r="H679" s="7">
        <v>45560</v>
      </c>
      <c r="I679" s="1" t="s">
        <v>7449</v>
      </c>
      <c r="J679" s="7">
        <v>45560</v>
      </c>
      <c r="K679" s="1" t="s">
        <v>7449</v>
      </c>
    </row>
    <row r="680" spans="1:11" x14ac:dyDescent="0.25">
      <c r="A680" s="1">
        <v>679</v>
      </c>
      <c r="B680" s="1" t="s">
        <v>2021</v>
      </c>
      <c r="C680" s="1" t="s">
        <v>2022</v>
      </c>
      <c r="D680" s="1" t="s">
        <v>2023</v>
      </c>
      <c r="G680" s="1">
        <v>1</v>
      </c>
      <c r="H680" s="7">
        <v>45560</v>
      </c>
      <c r="I680" s="1" t="s">
        <v>7449</v>
      </c>
      <c r="J680" s="7">
        <v>45560</v>
      </c>
      <c r="K680" s="1" t="s">
        <v>7449</v>
      </c>
    </row>
    <row r="681" spans="1:11" x14ac:dyDescent="0.25">
      <c r="A681" s="1">
        <v>680</v>
      </c>
      <c r="B681" s="1" t="s">
        <v>2024</v>
      </c>
      <c r="C681" s="1" t="s">
        <v>2025</v>
      </c>
      <c r="D681" s="1" t="s">
        <v>2026</v>
      </c>
      <c r="E681" s="1" t="s">
        <v>52</v>
      </c>
      <c r="G681" s="1">
        <v>1</v>
      </c>
      <c r="H681" s="7">
        <v>45560</v>
      </c>
      <c r="I681" s="1" t="s">
        <v>7449</v>
      </c>
      <c r="J681" s="7">
        <v>45560</v>
      </c>
      <c r="K681" s="1" t="s">
        <v>7449</v>
      </c>
    </row>
    <row r="682" spans="1:11" x14ac:dyDescent="0.25">
      <c r="A682" s="1">
        <v>681</v>
      </c>
      <c r="B682" s="1" t="s">
        <v>2027</v>
      </c>
      <c r="C682" s="1" t="s">
        <v>2028</v>
      </c>
      <c r="D682" s="1" t="s">
        <v>2029</v>
      </c>
      <c r="G682" s="1">
        <v>1</v>
      </c>
      <c r="H682" s="7">
        <v>45560</v>
      </c>
      <c r="I682" s="1" t="s">
        <v>7449</v>
      </c>
      <c r="J682" s="7">
        <v>45560</v>
      </c>
      <c r="K682" s="1" t="s">
        <v>7449</v>
      </c>
    </row>
    <row r="683" spans="1:11" x14ac:dyDescent="0.25">
      <c r="A683" s="1">
        <v>682</v>
      </c>
      <c r="B683" s="1" t="s">
        <v>2030</v>
      </c>
      <c r="C683" s="1" t="s">
        <v>2031</v>
      </c>
      <c r="D683" s="1" t="s">
        <v>2032</v>
      </c>
      <c r="G683" s="1">
        <v>1</v>
      </c>
      <c r="H683" s="7">
        <v>45560</v>
      </c>
      <c r="I683" s="1" t="s">
        <v>7449</v>
      </c>
      <c r="J683" s="7">
        <v>45560</v>
      </c>
      <c r="K683" s="1" t="s">
        <v>7449</v>
      </c>
    </row>
    <row r="684" spans="1:11" x14ac:dyDescent="0.25">
      <c r="A684" s="1">
        <v>683</v>
      </c>
      <c r="B684" s="1" t="s">
        <v>2033</v>
      </c>
      <c r="C684" s="1" t="s">
        <v>2034</v>
      </c>
      <c r="D684" s="1" t="s">
        <v>2035</v>
      </c>
      <c r="G684" s="1">
        <v>1</v>
      </c>
      <c r="H684" s="7">
        <v>45560</v>
      </c>
      <c r="I684" s="1" t="s">
        <v>7449</v>
      </c>
      <c r="J684" s="7">
        <v>45560</v>
      </c>
      <c r="K684" s="1" t="s">
        <v>7449</v>
      </c>
    </row>
    <row r="685" spans="1:11" x14ac:dyDescent="0.25">
      <c r="A685" s="1">
        <v>684</v>
      </c>
      <c r="B685" s="1" t="s">
        <v>2036</v>
      </c>
      <c r="C685" s="1" t="s">
        <v>2037</v>
      </c>
      <c r="D685" s="1" t="s">
        <v>2038</v>
      </c>
      <c r="G685" s="1">
        <v>1</v>
      </c>
      <c r="H685" s="7">
        <v>45560</v>
      </c>
      <c r="I685" s="1" t="s">
        <v>7449</v>
      </c>
      <c r="J685" s="7">
        <v>45560</v>
      </c>
      <c r="K685" s="1" t="s">
        <v>7449</v>
      </c>
    </row>
    <row r="686" spans="1:11" x14ac:dyDescent="0.25">
      <c r="A686" s="1">
        <v>685</v>
      </c>
      <c r="B686" s="1" t="s">
        <v>2039</v>
      </c>
      <c r="C686" s="1" t="s">
        <v>2040</v>
      </c>
      <c r="D686" s="1" t="s">
        <v>2041</v>
      </c>
      <c r="G686" s="1">
        <v>1</v>
      </c>
      <c r="H686" s="7">
        <v>45560</v>
      </c>
      <c r="I686" s="1" t="s">
        <v>7449</v>
      </c>
      <c r="J686" s="7">
        <v>45560</v>
      </c>
      <c r="K686" s="1" t="s">
        <v>7449</v>
      </c>
    </row>
    <row r="687" spans="1:11" x14ac:dyDescent="0.25">
      <c r="A687" s="1">
        <v>686</v>
      </c>
      <c r="B687" s="1" t="s">
        <v>2042</v>
      </c>
      <c r="C687" s="1" t="s">
        <v>2043</v>
      </c>
      <c r="D687" s="1" t="s">
        <v>2044</v>
      </c>
      <c r="G687" s="1">
        <v>1</v>
      </c>
      <c r="H687" s="7">
        <v>45560</v>
      </c>
      <c r="I687" s="1" t="s">
        <v>7449</v>
      </c>
      <c r="J687" s="7">
        <v>45560</v>
      </c>
      <c r="K687" s="1" t="s">
        <v>7449</v>
      </c>
    </row>
    <row r="688" spans="1:11" x14ac:dyDescent="0.25">
      <c r="A688" s="1">
        <v>687</v>
      </c>
      <c r="B688" s="1" t="s">
        <v>2045</v>
      </c>
      <c r="C688" s="1" t="s">
        <v>2046</v>
      </c>
      <c r="D688" s="1" t="s">
        <v>2047</v>
      </c>
      <c r="G688" s="1">
        <v>1</v>
      </c>
      <c r="H688" s="7">
        <v>45560</v>
      </c>
      <c r="I688" s="1" t="s">
        <v>7449</v>
      </c>
      <c r="J688" s="7">
        <v>45560</v>
      </c>
      <c r="K688" s="1" t="s">
        <v>7449</v>
      </c>
    </row>
    <row r="689" spans="1:11" x14ac:dyDescent="0.25">
      <c r="A689" s="1">
        <v>688</v>
      </c>
      <c r="B689" s="1" t="s">
        <v>2048</v>
      </c>
      <c r="C689" s="1" t="s">
        <v>2049</v>
      </c>
      <c r="D689" s="1" t="s">
        <v>2050</v>
      </c>
      <c r="G689" s="1">
        <v>1</v>
      </c>
      <c r="H689" s="7">
        <v>45560</v>
      </c>
      <c r="I689" s="1" t="s">
        <v>7449</v>
      </c>
      <c r="J689" s="7">
        <v>45560</v>
      </c>
      <c r="K689" s="1" t="s">
        <v>7449</v>
      </c>
    </row>
    <row r="690" spans="1:11" x14ac:dyDescent="0.25">
      <c r="A690" s="1">
        <v>689</v>
      </c>
      <c r="B690" s="1" t="s">
        <v>2051</v>
      </c>
      <c r="C690" s="1" t="s">
        <v>2052</v>
      </c>
      <c r="D690" s="1" t="s">
        <v>2053</v>
      </c>
      <c r="F690" s="1" t="s">
        <v>2054</v>
      </c>
      <c r="G690" s="1">
        <v>1</v>
      </c>
      <c r="H690" s="7">
        <v>45560</v>
      </c>
      <c r="I690" s="1" t="s">
        <v>7449</v>
      </c>
      <c r="J690" s="7">
        <v>45560</v>
      </c>
      <c r="K690" s="1" t="s">
        <v>7449</v>
      </c>
    </row>
    <row r="691" spans="1:11" x14ac:dyDescent="0.25">
      <c r="A691" s="1">
        <v>690</v>
      </c>
      <c r="B691" s="1" t="s">
        <v>2055</v>
      </c>
      <c r="C691" s="1" t="s">
        <v>2056</v>
      </c>
      <c r="D691" s="1" t="s">
        <v>2057</v>
      </c>
      <c r="F691" s="1" t="s">
        <v>2058</v>
      </c>
      <c r="G691" s="1">
        <v>1</v>
      </c>
      <c r="H691" s="7">
        <v>45560</v>
      </c>
      <c r="I691" s="1" t="s">
        <v>7449</v>
      </c>
      <c r="J691" s="7">
        <v>45560</v>
      </c>
      <c r="K691" s="1" t="s">
        <v>7449</v>
      </c>
    </row>
    <row r="692" spans="1:11" x14ac:dyDescent="0.25">
      <c r="A692" s="1">
        <v>691</v>
      </c>
      <c r="B692" s="1" t="s">
        <v>2059</v>
      </c>
      <c r="C692" s="1" t="s">
        <v>2060</v>
      </c>
      <c r="D692" s="1" t="s">
        <v>2057</v>
      </c>
      <c r="F692" s="1" t="s">
        <v>2061</v>
      </c>
      <c r="G692" s="1">
        <v>1</v>
      </c>
      <c r="H692" s="7">
        <v>45560</v>
      </c>
      <c r="I692" s="1" t="s">
        <v>7449</v>
      </c>
      <c r="J692" s="7">
        <v>45560</v>
      </c>
      <c r="K692" s="1" t="s">
        <v>7449</v>
      </c>
    </row>
    <row r="693" spans="1:11" x14ac:dyDescent="0.25">
      <c r="A693" s="1">
        <v>692</v>
      </c>
      <c r="B693" s="1" t="s">
        <v>2062</v>
      </c>
      <c r="C693" s="1" t="s">
        <v>2063</v>
      </c>
      <c r="D693" s="1" t="s">
        <v>2057</v>
      </c>
      <c r="F693" s="1" t="s">
        <v>2064</v>
      </c>
      <c r="G693" s="1">
        <v>1</v>
      </c>
      <c r="H693" s="7">
        <v>45560</v>
      </c>
      <c r="I693" s="1" t="s">
        <v>7449</v>
      </c>
      <c r="J693" s="7">
        <v>45560</v>
      </c>
      <c r="K693" s="1" t="s">
        <v>7449</v>
      </c>
    </row>
    <row r="694" spans="1:11" x14ac:dyDescent="0.25">
      <c r="A694" s="1">
        <v>693</v>
      </c>
      <c r="B694" s="1" t="s">
        <v>2065</v>
      </c>
      <c r="C694" s="1" t="s">
        <v>2066</v>
      </c>
      <c r="D694" s="1" t="s">
        <v>2067</v>
      </c>
      <c r="F694" s="1" t="s">
        <v>2068</v>
      </c>
      <c r="G694" s="1">
        <v>1</v>
      </c>
      <c r="H694" s="7">
        <v>45560</v>
      </c>
      <c r="I694" s="1" t="s">
        <v>7449</v>
      </c>
      <c r="J694" s="7">
        <v>45560</v>
      </c>
      <c r="K694" s="1" t="s">
        <v>7449</v>
      </c>
    </row>
    <row r="695" spans="1:11" x14ac:dyDescent="0.25">
      <c r="A695" s="1">
        <v>694</v>
      </c>
      <c r="B695" s="1" t="s">
        <v>2069</v>
      </c>
      <c r="C695" s="1" t="s">
        <v>2070</v>
      </c>
      <c r="D695" s="1" t="s">
        <v>2071</v>
      </c>
      <c r="F695" s="1" t="s">
        <v>2072</v>
      </c>
      <c r="G695" s="1">
        <v>1</v>
      </c>
      <c r="H695" s="7">
        <v>45560</v>
      </c>
      <c r="I695" s="1" t="s">
        <v>7449</v>
      </c>
      <c r="J695" s="7">
        <v>45560</v>
      </c>
      <c r="K695" s="1" t="s">
        <v>7449</v>
      </c>
    </row>
    <row r="696" spans="1:11" x14ac:dyDescent="0.25">
      <c r="A696" s="1">
        <v>695</v>
      </c>
      <c r="B696" s="1" t="s">
        <v>2073</v>
      </c>
      <c r="C696" s="1" t="s">
        <v>2074</v>
      </c>
      <c r="D696" s="1" t="s">
        <v>2075</v>
      </c>
      <c r="F696" s="1" t="s">
        <v>2076</v>
      </c>
      <c r="G696" s="1">
        <v>1</v>
      </c>
      <c r="H696" s="7">
        <v>45560</v>
      </c>
      <c r="I696" s="1" t="s">
        <v>7449</v>
      </c>
      <c r="J696" s="7">
        <v>45560</v>
      </c>
      <c r="K696" s="1" t="s">
        <v>7449</v>
      </c>
    </row>
    <row r="697" spans="1:11" x14ac:dyDescent="0.25">
      <c r="A697" s="1">
        <v>696</v>
      </c>
      <c r="B697" s="1" t="s">
        <v>2077</v>
      </c>
      <c r="C697" s="1" t="s">
        <v>2078</v>
      </c>
      <c r="D697" s="1" t="s">
        <v>2079</v>
      </c>
      <c r="F697" s="1" t="s">
        <v>2080</v>
      </c>
      <c r="G697" s="1">
        <v>1</v>
      </c>
      <c r="H697" s="7">
        <v>45560</v>
      </c>
      <c r="I697" s="1" t="s">
        <v>7449</v>
      </c>
      <c r="J697" s="7">
        <v>45560</v>
      </c>
      <c r="K697" s="1" t="s">
        <v>7449</v>
      </c>
    </row>
    <row r="698" spans="1:11" x14ac:dyDescent="0.25">
      <c r="A698" s="1">
        <v>697</v>
      </c>
      <c r="B698" s="1" t="s">
        <v>2081</v>
      </c>
      <c r="C698" s="1" t="s">
        <v>2082</v>
      </c>
      <c r="D698" s="1" t="s">
        <v>2083</v>
      </c>
      <c r="F698" s="1" t="s">
        <v>2084</v>
      </c>
      <c r="G698" s="1">
        <v>1</v>
      </c>
      <c r="H698" s="7">
        <v>45560</v>
      </c>
      <c r="I698" s="1" t="s">
        <v>7449</v>
      </c>
      <c r="J698" s="7">
        <v>45560</v>
      </c>
      <c r="K698" s="1" t="s">
        <v>7449</v>
      </c>
    </row>
    <row r="699" spans="1:11" x14ac:dyDescent="0.25">
      <c r="A699" s="1">
        <v>698</v>
      </c>
      <c r="B699" s="1" t="s">
        <v>2085</v>
      </c>
      <c r="C699" s="1" t="s">
        <v>2086</v>
      </c>
      <c r="D699" s="1" t="s">
        <v>2087</v>
      </c>
      <c r="F699" s="1" t="s">
        <v>2088</v>
      </c>
      <c r="G699" s="1">
        <v>1</v>
      </c>
      <c r="H699" s="7">
        <v>45560</v>
      </c>
      <c r="I699" s="1" t="s">
        <v>7449</v>
      </c>
      <c r="J699" s="7">
        <v>45560</v>
      </c>
      <c r="K699" s="1" t="s">
        <v>7449</v>
      </c>
    </row>
    <row r="700" spans="1:11" x14ac:dyDescent="0.25">
      <c r="A700" s="1">
        <v>699</v>
      </c>
      <c r="B700" s="1" t="s">
        <v>2089</v>
      </c>
      <c r="C700" s="1" t="s">
        <v>2090</v>
      </c>
      <c r="D700" s="1" t="s">
        <v>2091</v>
      </c>
      <c r="F700" s="1" t="s">
        <v>2092</v>
      </c>
      <c r="G700" s="1">
        <v>1</v>
      </c>
      <c r="H700" s="7">
        <v>45560</v>
      </c>
      <c r="I700" s="1" t="s">
        <v>7449</v>
      </c>
      <c r="J700" s="7">
        <v>45560</v>
      </c>
      <c r="K700" s="1" t="s">
        <v>7449</v>
      </c>
    </row>
    <row r="701" spans="1:11" x14ac:dyDescent="0.25">
      <c r="A701" s="1">
        <v>700</v>
      </c>
      <c r="B701" s="1" t="s">
        <v>2093</v>
      </c>
      <c r="C701" s="1" t="s">
        <v>2094</v>
      </c>
      <c r="D701" s="1" t="s">
        <v>2095</v>
      </c>
      <c r="F701" s="1" t="s">
        <v>2096</v>
      </c>
      <c r="G701" s="1">
        <v>1</v>
      </c>
      <c r="H701" s="7">
        <v>45560</v>
      </c>
      <c r="I701" s="1" t="s">
        <v>7449</v>
      </c>
      <c r="J701" s="7">
        <v>45560</v>
      </c>
      <c r="K701" s="1" t="s">
        <v>7449</v>
      </c>
    </row>
    <row r="702" spans="1:11" x14ac:dyDescent="0.25">
      <c r="A702" s="1">
        <v>701</v>
      </c>
      <c r="B702" s="1" t="s">
        <v>2097</v>
      </c>
      <c r="C702" s="1" t="s">
        <v>2098</v>
      </c>
      <c r="D702" s="1" t="s">
        <v>2099</v>
      </c>
      <c r="F702" s="1" t="s">
        <v>2100</v>
      </c>
      <c r="G702" s="1">
        <v>1</v>
      </c>
      <c r="H702" s="7">
        <v>45560</v>
      </c>
      <c r="I702" s="1" t="s">
        <v>7449</v>
      </c>
      <c r="J702" s="7">
        <v>45560</v>
      </c>
      <c r="K702" s="1" t="s">
        <v>7449</v>
      </c>
    </row>
    <row r="703" spans="1:11" x14ac:dyDescent="0.25">
      <c r="A703" s="1">
        <v>702</v>
      </c>
      <c r="B703" s="1" t="s">
        <v>2101</v>
      </c>
      <c r="C703" s="1" t="s">
        <v>2102</v>
      </c>
      <c r="D703" s="1" t="s">
        <v>2103</v>
      </c>
      <c r="F703" s="1" t="s">
        <v>2104</v>
      </c>
      <c r="G703" s="1">
        <v>1</v>
      </c>
      <c r="H703" s="7">
        <v>45560</v>
      </c>
      <c r="I703" s="1" t="s">
        <v>7449</v>
      </c>
      <c r="J703" s="7">
        <v>45560</v>
      </c>
      <c r="K703" s="1" t="s">
        <v>7449</v>
      </c>
    </row>
    <row r="704" spans="1:11" x14ac:dyDescent="0.25">
      <c r="A704" s="1">
        <v>703</v>
      </c>
      <c r="B704" s="1" t="s">
        <v>2105</v>
      </c>
      <c r="C704" s="1" t="s">
        <v>2106</v>
      </c>
      <c r="D704" s="1" t="s">
        <v>2107</v>
      </c>
      <c r="F704" s="1" t="s">
        <v>2108</v>
      </c>
      <c r="G704" s="1">
        <v>1</v>
      </c>
      <c r="H704" s="7">
        <v>45560</v>
      </c>
      <c r="I704" s="1" t="s">
        <v>7449</v>
      </c>
      <c r="J704" s="7">
        <v>45560</v>
      </c>
      <c r="K704" s="1" t="s">
        <v>7449</v>
      </c>
    </row>
    <row r="705" spans="1:11" x14ac:dyDescent="0.25">
      <c r="A705" s="1">
        <v>704</v>
      </c>
      <c r="B705" s="1" t="s">
        <v>2109</v>
      </c>
      <c r="C705" s="1" t="s">
        <v>2110</v>
      </c>
      <c r="D705" s="1" t="s">
        <v>2111</v>
      </c>
      <c r="F705" s="1" t="s">
        <v>2112</v>
      </c>
      <c r="G705" s="1">
        <v>1</v>
      </c>
      <c r="H705" s="7">
        <v>45560</v>
      </c>
      <c r="I705" s="1" t="s">
        <v>7449</v>
      </c>
      <c r="J705" s="7">
        <v>45560</v>
      </c>
      <c r="K705" s="1" t="s">
        <v>7449</v>
      </c>
    </row>
    <row r="706" spans="1:11" x14ac:dyDescent="0.25">
      <c r="A706" s="1">
        <v>705</v>
      </c>
      <c r="B706" s="1" t="s">
        <v>2113</v>
      </c>
      <c r="C706" s="1" t="s">
        <v>2114</v>
      </c>
      <c r="D706" s="1" t="s">
        <v>2115</v>
      </c>
      <c r="F706" s="1" t="s">
        <v>2116</v>
      </c>
      <c r="G706" s="1">
        <v>1</v>
      </c>
      <c r="H706" s="7">
        <v>45560</v>
      </c>
      <c r="I706" s="1" t="s">
        <v>7449</v>
      </c>
      <c r="J706" s="7">
        <v>45560</v>
      </c>
      <c r="K706" s="1" t="s">
        <v>7449</v>
      </c>
    </row>
    <row r="707" spans="1:11" x14ac:dyDescent="0.25">
      <c r="A707" s="1">
        <v>706</v>
      </c>
      <c r="B707" s="1" t="s">
        <v>2117</v>
      </c>
      <c r="C707" s="1" t="s">
        <v>2118</v>
      </c>
      <c r="D707" s="1" t="s">
        <v>2119</v>
      </c>
      <c r="F707" s="1" t="s">
        <v>2120</v>
      </c>
      <c r="G707" s="1">
        <v>1</v>
      </c>
      <c r="H707" s="7">
        <v>45560</v>
      </c>
      <c r="I707" s="1" t="s">
        <v>7449</v>
      </c>
      <c r="J707" s="7">
        <v>45560</v>
      </c>
      <c r="K707" s="1" t="s">
        <v>7449</v>
      </c>
    </row>
    <row r="708" spans="1:11" x14ac:dyDescent="0.25">
      <c r="A708" s="1">
        <v>707</v>
      </c>
      <c r="B708" s="1" t="s">
        <v>2121</v>
      </c>
      <c r="C708" s="1" t="s">
        <v>2122</v>
      </c>
      <c r="D708" s="1" t="s">
        <v>2123</v>
      </c>
      <c r="F708" s="1" t="s">
        <v>2124</v>
      </c>
      <c r="G708" s="1">
        <v>1</v>
      </c>
      <c r="H708" s="7">
        <v>45560</v>
      </c>
      <c r="I708" s="1" t="s">
        <v>7449</v>
      </c>
      <c r="J708" s="7">
        <v>45560</v>
      </c>
      <c r="K708" s="1" t="s">
        <v>7449</v>
      </c>
    </row>
    <row r="709" spans="1:11" x14ac:dyDescent="0.25">
      <c r="A709" s="1">
        <v>708</v>
      </c>
      <c r="B709" s="1" t="s">
        <v>2125</v>
      </c>
      <c r="C709" s="1" t="s">
        <v>2126</v>
      </c>
      <c r="D709" s="1" t="s">
        <v>2127</v>
      </c>
      <c r="F709" s="1" t="s">
        <v>2128</v>
      </c>
      <c r="G709" s="1">
        <v>1</v>
      </c>
      <c r="H709" s="7">
        <v>45560</v>
      </c>
      <c r="I709" s="1" t="s">
        <v>7449</v>
      </c>
      <c r="J709" s="7">
        <v>45560</v>
      </c>
      <c r="K709" s="1" t="s">
        <v>7449</v>
      </c>
    </row>
    <row r="710" spans="1:11" x14ac:dyDescent="0.25">
      <c r="A710" s="1">
        <v>709</v>
      </c>
      <c r="B710" s="1" t="s">
        <v>2129</v>
      </c>
      <c r="C710" s="1" t="s">
        <v>2130</v>
      </c>
      <c r="D710" s="1" t="s">
        <v>2131</v>
      </c>
      <c r="F710" s="1" t="s">
        <v>2132</v>
      </c>
      <c r="G710" s="1">
        <v>1</v>
      </c>
      <c r="H710" s="7">
        <v>45560</v>
      </c>
      <c r="I710" s="1" t="s">
        <v>7449</v>
      </c>
      <c r="J710" s="7">
        <v>45560</v>
      </c>
      <c r="K710" s="1" t="s">
        <v>7449</v>
      </c>
    </row>
    <row r="711" spans="1:11" x14ac:dyDescent="0.25">
      <c r="A711" s="1">
        <v>710</v>
      </c>
      <c r="B711" s="1" t="s">
        <v>2133</v>
      </c>
      <c r="C711" s="1" t="s">
        <v>2134</v>
      </c>
      <c r="D711" s="1" t="s">
        <v>2135</v>
      </c>
      <c r="F711" s="1" t="s">
        <v>2136</v>
      </c>
      <c r="G711" s="1">
        <v>1</v>
      </c>
      <c r="H711" s="7">
        <v>45560</v>
      </c>
      <c r="I711" s="1" t="s">
        <v>7449</v>
      </c>
      <c r="J711" s="7">
        <v>45560</v>
      </c>
      <c r="K711" s="1" t="s">
        <v>7449</v>
      </c>
    </row>
    <row r="712" spans="1:11" x14ac:dyDescent="0.25">
      <c r="A712" s="1">
        <v>711</v>
      </c>
      <c r="B712" s="1" t="s">
        <v>2137</v>
      </c>
      <c r="C712" s="1" t="s">
        <v>2138</v>
      </c>
      <c r="D712" s="1" t="s">
        <v>2079</v>
      </c>
      <c r="F712" s="1" t="s">
        <v>2139</v>
      </c>
      <c r="G712" s="1">
        <v>1</v>
      </c>
      <c r="H712" s="7">
        <v>45560</v>
      </c>
      <c r="I712" s="1" t="s">
        <v>7449</v>
      </c>
      <c r="J712" s="7">
        <v>45560</v>
      </c>
      <c r="K712" s="1" t="s">
        <v>7449</v>
      </c>
    </row>
    <row r="713" spans="1:11" x14ac:dyDescent="0.25">
      <c r="A713" s="1">
        <v>712</v>
      </c>
      <c r="B713" s="1" t="s">
        <v>2140</v>
      </c>
      <c r="C713" s="1" t="s">
        <v>2141</v>
      </c>
      <c r="D713" s="1" t="s">
        <v>2142</v>
      </c>
      <c r="F713" s="1" t="s">
        <v>2143</v>
      </c>
      <c r="G713" s="1">
        <v>1</v>
      </c>
      <c r="H713" s="7">
        <v>45560</v>
      </c>
      <c r="I713" s="1" t="s">
        <v>7449</v>
      </c>
      <c r="J713" s="7">
        <v>45560</v>
      </c>
      <c r="K713" s="1" t="s">
        <v>7449</v>
      </c>
    </row>
    <row r="714" spans="1:11" x14ac:dyDescent="0.25">
      <c r="A714" s="1">
        <v>713</v>
      </c>
      <c r="B714" s="1" t="s">
        <v>2144</v>
      </c>
      <c r="C714" s="1" t="s">
        <v>2145</v>
      </c>
      <c r="D714" s="1" t="s">
        <v>2146</v>
      </c>
      <c r="F714" s="1" t="s">
        <v>2147</v>
      </c>
      <c r="G714" s="1">
        <v>1</v>
      </c>
      <c r="H714" s="7">
        <v>45560</v>
      </c>
      <c r="I714" s="1" t="s">
        <v>7449</v>
      </c>
      <c r="J714" s="7">
        <v>45560</v>
      </c>
      <c r="K714" s="1" t="s">
        <v>7449</v>
      </c>
    </row>
    <row r="715" spans="1:11" x14ac:dyDescent="0.25">
      <c r="A715" s="1">
        <v>714</v>
      </c>
      <c r="B715" s="1" t="s">
        <v>2148</v>
      </c>
      <c r="C715" s="1" t="s">
        <v>2149</v>
      </c>
      <c r="D715" s="1" t="s">
        <v>2150</v>
      </c>
      <c r="F715" s="1" t="s">
        <v>2151</v>
      </c>
      <c r="G715" s="1">
        <v>1</v>
      </c>
      <c r="H715" s="7">
        <v>45560</v>
      </c>
      <c r="I715" s="1" t="s">
        <v>7449</v>
      </c>
      <c r="J715" s="7">
        <v>45560</v>
      </c>
      <c r="K715" s="1" t="s">
        <v>7449</v>
      </c>
    </row>
    <row r="716" spans="1:11" x14ac:dyDescent="0.25">
      <c r="A716" s="1">
        <v>715</v>
      </c>
      <c r="B716" s="1" t="s">
        <v>2152</v>
      </c>
      <c r="C716" s="1" t="s">
        <v>2153</v>
      </c>
      <c r="D716" s="1" t="s">
        <v>2154</v>
      </c>
      <c r="F716" s="1" t="s">
        <v>2155</v>
      </c>
      <c r="G716" s="1">
        <v>1</v>
      </c>
      <c r="H716" s="7">
        <v>45560</v>
      </c>
      <c r="I716" s="1" t="s">
        <v>7449</v>
      </c>
      <c r="J716" s="7">
        <v>45560</v>
      </c>
      <c r="K716" s="1" t="s">
        <v>7449</v>
      </c>
    </row>
    <row r="717" spans="1:11" x14ac:dyDescent="0.25">
      <c r="A717" s="1">
        <v>716</v>
      </c>
      <c r="B717" s="1" t="s">
        <v>2156</v>
      </c>
      <c r="C717" s="1" t="s">
        <v>2157</v>
      </c>
      <c r="D717" s="1" t="s">
        <v>2158</v>
      </c>
      <c r="F717" s="1" t="s">
        <v>2159</v>
      </c>
      <c r="G717" s="1">
        <v>1</v>
      </c>
      <c r="H717" s="7">
        <v>45560</v>
      </c>
      <c r="I717" s="1" t="s">
        <v>7449</v>
      </c>
      <c r="J717" s="7">
        <v>45560</v>
      </c>
      <c r="K717" s="1" t="s">
        <v>7449</v>
      </c>
    </row>
    <row r="718" spans="1:11" x14ac:dyDescent="0.25">
      <c r="A718" s="1">
        <v>717</v>
      </c>
      <c r="B718" s="1" t="s">
        <v>2160</v>
      </c>
      <c r="C718" s="1" t="s">
        <v>2161</v>
      </c>
      <c r="D718" s="1" t="s">
        <v>2146</v>
      </c>
      <c r="F718" s="1" t="s">
        <v>2162</v>
      </c>
      <c r="G718" s="1">
        <v>1</v>
      </c>
      <c r="H718" s="7">
        <v>45560</v>
      </c>
      <c r="I718" s="1" t="s">
        <v>7449</v>
      </c>
      <c r="J718" s="7">
        <v>45560</v>
      </c>
      <c r="K718" s="1" t="s">
        <v>7449</v>
      </c>
    </row>
    <row r="719" spans="1:11" x14ac:dyDescent="0.25">
      <c r="A719" s="1">
        <v>718</v>
      </c>
      <c r="B719" s="1" t="s">
        <v>2163</v>
      </c>
      <c r="C719" s="1" t="s">
        <v>2164</v>
      </c>
      <c r="D719" s="1" t="s">
        <v>2142</v>
      </c>
      <c r="F719" s="1" t="s">
        <v>2165</v>
      </c>
      <c r="G719" s="1">
        <v>1</v>
      </c>
      <c r="H719" s="7">
        <v>45560</v>
      </c>
      <c r="I719" s="1" t="s">
        <v>7449</v>
      </c>
      <c r="J719" s="7">
        <v>45560</v>
      </c>
      <c r="K719" s="1" t="s">
        <v>7449</v>
      </c>
    </row>
    <row r="720" spans="1:11" x14ac:dyDescent="0.25">
      <c r="A720" s="1">
        <v>719</v>
      </c>
      <c r="B720" s="1" t="s">
        <v>2166</v>
      </c>
      <c r="C720" s="1" t="s">
        <v>2167</v>
      </c>
      <c r="D720" s="1" t="s">
        <v>2168</v>
      </c>
      <c r="F720" s="1" t="s">
        <v>2169</v>
      </c>
      <c r="G720" s="1">
        <v>1</v>
      </c>
      <c r="H720" s="7">
        <v>45560</v>
      </c>
      <c r="I720" s="1" t="s">
        <v>7449</v>
      </c>
      <c r="J720" s="7">
        <v>45560</v>
      </c>
      <c r="K720" s="1" t="s">
        <v>7449</v>
      </c>
    </row>
    <row r="721" spans="1:11" x14ac:dyDescent="0.25">
      <c r="A721" s="1">
        <v>720</v>
      </c>
      <c r="B721" s="1" t="s">
        <v>2170</v>
      </c>
      <c r="C721" s="1" t="s">
        <v>2171</v>
      </c>
      <c r="D721" s="1" t="s">
        <v>2172</v>
      </c>
      <c r="F721" s="1" t="s">
        <v>2173</v>
      </c>
      <c r="G721" s="1">
        <v>1</v>
      </c>
      <c r="H721" s="7">
        <v>45560</v>
      </c>
      <c r="I721" s="1" t="s">
        <v>7449</v>
      </c>
      <c r="J721" s="7">
        <v>45560</v>
      </c>
      <c r="K721" s="1" t="s">
        <v>7449</v>
      </c>
    </row>
    <row r="722" spans="1:11" x14ac:dyDescent="0.25">
      <c r="A722" s="1">
        <v>721</v>
      </c>
      <c r="B722" s="1" t="s">
        <v>2174</v>
      </c>
      <c r="C722" s="1" t="s">
        <v>2175</v>
      </c>
      <c r="F722" s="1" t="s">
        <v>2176</v>
      </c>
      <c r="G722" s="1">
        <v>1</v>
      </c>
      <c r="H722" s="7">
        <v>45560</v>
      </c>
      <c r="I722" s="1" t="s">
        <v>7449</v>
      </c>
      <c r="J722" s="7">
        <v>45560</v>
      </c>
      <c r="K722" s="1" t="s">
        <v>7449</v>
      </c>
    </row>
    <row r="723" spans="1:11" x14ac:dyDescent="0.25">
      <c r="A723" s="1">
        <v>722</v>
      </c>
      <c r="B723" s="1" t="s">
        <v>2177</v>
      </c>
      <c r="C723" s="1" t="s">
        <v>2178</v>
      </c>
      <c r="F723" s="1" t="s">
        <v>2179</v>
      </c>
      <c r="G723" s="1">
        <v>1</v>
      </c>
      <c r="H723" s="7">
        <v>45560</v>
      </c>
      <c r="I723" s="1" t="s">
        <v>7449</v>
      </c>
      <c r="J723" s="7">
        <v>45560</v>
      </c>
      <c r="K723" s="1" t="s">
        <v>7449</v>
      </c>
    </row>
    <row r="724" spans="1:11" x14ac:dyDescent="0.25">
      <c r="A724" s="1">
        <v>723</v>
      </c>
      <c r="B724" s="1" t="s">
        <v>2180</v>
      </c>
      <c r="C724" s="1" t="s">
        <v>2181</v>
      </c>
      <c r="F724" s="1" t="s">
        <v>2182</v>
      </c>
      <c r="G724" s="1">
        <v>1</v>
      </c>
      <c r="H724" s="7">
        <v>45560</v>
      </c>
      <c r="I724" s="1" t="s">
        <v>7449</v>
      </c>
      <c r="J724" s="7">
        <v>45560</v>
      </c>
      <c r="K724" s="1" t="s">
        <v>7449</v>
      </c>
    </row>
    <row r="725" spans="1:11" x14ac:dyDescent="0.25">
      <c r="A725" s="1">
        <v>724</v>
      </c>
      <c r="B725" s="1" t="s">
        <v>2183</v>
      </c>
      <c r="C725" s="1" t="s">
        <v>2184</v>
      </c>
      <c r="F725" s="1" t="s">
        <v>2185</v>
      </c>
      <c r="G725" s="1">
        <v>1</v>
      </c>
      <c r="H725" s="7">
        <v>45560</v>
      </c>
      <c r="I725" s="1" t="s">
        <v>7449</v>
      </c>
      <c r="J725" s="7">
        <v>45560</v>
      </c>
      <c r="K725" s="1" t="s">
        <v>7449</v>
      </c>
    </row>
    <row r="726" spans="1:11" x14ac:dyDescent="0.25">
      <c r="A726" s="1">
        <v>725</v>
      </c>
      <c r="B726" s="1" t="s">
        <v>2186</v>
      </c>
      <c r="C726" s="1" t="s">
        <v>2187</v>
      </c>
      <c r="F726" s="1" t="s">
        <v>2188</v>
      </c>
      <c r="G726" s="1">
        <v>1</v>
      </c>
      <c r="H726" s="7">
        <v>45560</v>
      </c>
      <c r="I726" s="1" t="s">
        <v>7449</v>
      </c>
      <c r="J726" s="7">
        <v>45560</v>
      </c>
      <c r="K726" s="1" t="s">
        <v>7449</v>
      </c>
    </row>
    <row r="727" spans="1:11" x14ac:dyDescent="0.25">
      <c r="A727" s="1">
        <v>726</v>
      </c>
      <c r="B727" s="1" t="s">
        <v>2189</v>
      </c>
      <c r="C727" s="1" t="s">
        <v>2190</v>
      </c>
      <c r="F727" s="1" t="s">
        <v>2191</v>
      </c>
      <c r="G727" s="1">
        <v>1</v>
      </c>
      <c r="H727" s="7">
        <v>45560</v>
      </c>
      <c r="I727" s="1" t="s">
        <v>7449</v>
      </c>
      <c r="J727" s="7">
        <v>45560</v>
      </c>
      <c r="K727" s="1" t="s">
        <v>7449</v>
      </c>
    </row>
    <row r="728" spans="1:11" x14ac:dyDescent="0.25">
      <c r="A728" s="1">
        <v>727</v>
      </c>
      <c r="B728" s="1" t="s">
        <v>2192</v>
      </c>
      <c r="C728" s="1" t="s">
        <v>2193</v>
      </c>
      <c r="F728" s="1" t="s">
        <v>2194</v>
      </c>
      <c r="G728" s="1">
        <v>1</v>
      </c>
      <c r="H728" s="7">
        <v>45560</v>
      </c>
      <c r="I728" s="1" t="s">
        <v>7449</v>
      </c>
      <c r="J728" s="7">
        <v>45560</v>
      </c>
      <c r="K728" s="1" t="s">
        <v>7449</v>
      </c>
    </row>
    <row r="729" spans="1:11" x14ac:dyDescent="0.25">
      <c r="A729" s="1">
        <v>728</v>
      </c>
      <c r="B729" s="1" t="s">
        <v>2195</v>
      </c>
      <c r="C729" s="1" t="s">
        <v>2196</v>
      </c>
      <c r="F729" s="1" t="s">
        <v>2197</v>
      </c>
      <c r="G729" s="1">
        <v>1</v>
      </c>
      <c r="H729" s="7">
        <v>45560</v>
      </c>
      <c r="I729" s="1" t="s">
        <v>7449</v>
      </c>
      <c r="J729" s="7">
        <v>45560</v>
      </c>
      <c r="K729" s="1" t="s">
        <v>7449</v>
      </c>
    </row>
    <row r="730" spans="1:11" x14ac:dyDescent="0.25">
      <c r="A730" s="1">
        <v>729</v>
      </c>
      <c r="B730" s="1" t="s">
        <v>2198</v>
      </c>
      <c r="C730" s="1" t="s">
        <v>2199</v>
      </c>
      <c r="F730" s="1" t="s">
        <v>2200</v>
      </c>
      <c r="G730" s="1">
        <v>1</v>
      </c>
      <c r="H730" s="7">
        <v>45560</v>
      </c>
      <c r="I730" s="1" t="s">
        <v>7449</v>
      </c>
      <c r="J730" s="7">
        <v>45560</v>
      </c>
      <c r="K730" s="1" t="s">
        <v>7449</v>
      </c>
    </row>
    <row r="731" spans="1:11" x14ac:dyDescent="0.25">
      <c r="A731" s="1">
        <v>730</v>
      </c>
      <c r="B731" s="1" t="s">
        <v>2201</v>
      </c>
      <c r="C731" s="1" t="s">
        <v>2202</v>
      </c>
      <c r="F731" s="1" t="s">
        <v>2203</v>
      </c>
      <c r="G731" s="1">
        <v>1</v>
      </c>
      <c r="H731" s="7">
        <v>45560</v>
      </c>
      <c r="I731" s="1" t="s">
        <v>7449</v>
      </c>
      <c r="J731" s="7">
        <v>45560</v>
      </c>
      <c r="K731" s="1" t="s">
        <v>7449</v>
      </c>
    </row>
    <row r="732" spans="1:11" x14ac:dyDescent="0.25">
      <c r="A732" s="1">
        <v>731</v>
      </c>
      <c r="B732" s="1" t="s">
        <v>2204</v>
      </c>
      <c r="C732" s="1" t="s">
        <v>2205</v>
      </c>
      <c r="D732" s="1" t="s">
        <v>2206</v>
      </c>
      <c r="G732" s="1">
        <v>1</v>
      </c>
      <c r="H732" s="7">
        <v>45560</v>
      </c>
      <c r="I732" s="1" t="s">
        <v>7449</v>
      </c>
      <c r="J732" s="7">
        <v>45560</v>
      </c>
      <c r="K732" s="1" t="s">
        <v>7449</v>
      </c>
    </row>
    <row r="733" spans="1:11" x14ac:dyDescent="0.25">
      <c r="A733" s="1">
        <v>732</v>
      </c>
      <c r="B733" s="1" t="s">
        <v>2207</v>
      </c>
      <c r="C733" s="1" t="s">
        <v>2208</v>
      </c>
      <c r="D733" s="1" t="s">
        <v>2209</v>
      </c>
      <c r="G733" s="1">
        <v>1</v>
      </c>
      <c r="H733" s="7">
        <v>45560</v>
      </c>
      <c r="I733" s="1" t="s">
        <v>7449</v>
      </c>
      <c r="J733" s="7">
        <v>45560</v>
      </c>
      <c r="K733" s="1" t="s">
        <v>7449</v>
      </c>
    </row>
    <row r="734" spans="1:11" x14ac:dyDescent="0.25">
      <c r="A734" s="1">
        <v>733</v>
      </c>
      <c r="B734" s="1" t="s">
        <v>2210</v>
      </c>
      <c r="C734" s="1" t="s">
        <v>2211</v>
      </c>
      <c r="E734" s="1" t="s">
        <v>52</v>
      </c>
      <c r="G734" s="1">
        <v>1</v>
      </c>
      <c r="H734" s="7">
        <v>45560</v>
      </c>
      <c r="I734" s="1" t="s">
        <v>7449</v>
      </c>
      <c r="J734" s="7">
        <v>45560</v>
      </c>
      <c r="K734" s="1" t="s">
        <v>7449</v>
      </c>
    </row>
    <row r="735" spans="1:11" x14ac:dyDescent="0.25">
      <c r="A735" s="1">
        <v>734</v>
      </c>
      <c r="B735" s="1" t="s">
        <v>2212</v>
      </c>
      <c r="C735" s="1" t="s">
        <v>2213</v>
      </c>
      <c r="D735" s="1" t="s">
        <v>2214</v>
      </c>
      <c r="G735" s="1">
        <v>1</v>
      </c>
      <c r="H735" s="7">
        <v>45560</v>
      </c>
      <c r="I735" s="1" t="s">
        <v>7449</v>
      </c>
      <c r="J735" s="7">
        <v>45560</v>
      </c>
      <c r="K735" s="1" t="s">
        <v>7449</v>
      </c>
    </row>
    <row r="736" spans="1:11" x14ac:dyDescent="0.25">
      <c r="A736" s="1">
        <v>735</v>
      </c>
      <c r="B736" s="1" t="s">
        <v>2215</v>
      </c>
      <c r="C736" s="1" t="s">
        <v>2216</v>
      </c>
      <c r="D736" s="1" t="s">
        <v>2217</v>
      </c>
      <c r="F736" s="1" t="s">
        <v>2218</v>
      </c>
      <c r="G736" s="1">
        <v>1</v>
      </c>
      <c r="H736" s="7">
        <v>45560</v>
      </c>
      <c r="I736" s="1" t="s">
        <v>7449</v>
      </c>
      <c r="J736" s="7">
        <v>45560</v>
      </c>
      <c r="K736" s="1" t="s">
        <v>7449</v>
      </c>
    </row>
    <row r="737" spans="1:11" x14ac:dyDescent="0.25">
      <c r="A737" s="1">
        <v>736</v>
      </c>
      <c r="B737" s="1" t="s">
        <v>2219</v>
      </c>
      <c r="C737" s="1" t="s">
        <v>2220</v>
      </c>
      <c r="F737" s="1" t="s">
        <v>2221</v>
      </c>
      <c r="G737" s="1">
        <v>1</v>
      </c>
      <c r="H737" s="7">
        <v>45560</v>
      </c>
      <c r="I737" s="1" t="s">
        <v>7449</v>
      </c>
      <c r="J737" s="7">
        <v>45560</v>
      </c>
      <c r="K737" s="1" t="s">
        <v>7449</v>
      </c>
    </row>
    <row r="738" spans="1:11" x14ac:dyDescent="0.25">
      <c r="A738" s="1">
        <v>737</v>
      </c>
      <c r="B738" s="1" t="s">
        <v>2222</v>
      </c>
      <c r="C738" s="1" t="s">
        <v>2223</v>
      </c>
      <c r="F738" s="1" t="s">
        <v>2224</v>
      </c>
      <c r="G738" s="1">
        <v>1</v>
      </c>
      <c r="H738" s="7">
        <v>45560</v>
      </c>
      <c r="I738" s="1" t="s">
        <v>7449</v>
      </c>
      <c r="J738" s="7">
        <v>45560</v>
      </c>
      <c r="K738" s="1" t="s">
        <v>7449</v>
      </c>
    </row>
    <row r="739" spans="1:11" x14ac:dyDescent="0.25">
      <c r="A739" s="1">
        <v>738</v>
      </c>
      <c r="B739" s="1" t="s">
        <v>2225</v>
      </c>
      <c r="C739" s="1" t="s">
        <v>2226</v>
      </c>
      <c r="F739" s="1" t="s">
        <v>2227</v>
      </c>
      <c r="G739" s="1">
        <v>1</v>
      </c>
      <c r="H739" s="7">
        <v>45560</v>
      </c>
      <c r="I739" s="1" t="s">
        <v>7449</v>
      </c>
      <c r="J739" s="7">
        <v>45560</v>
      </c>
      <c r="K739" s="1" t="s">
        <v>7449</v>
      </c>
    </row>
    <row r="740" spans="1:11" x14ac:dyDescent="0.25">
      <c r="A740" s="1">
        <v>739</v>
      </c>
      <c r="B740" s="1" t="s">
        <v>2228</v>
      </c>
      <c r="C740" s="1" t="s">
        <v>2229</v>
      </c>
      <c r="F740" s="1" t="s">
        <v>2230</v>
      </c>
      <c r="G740" s="1">
        <v>1</v>
      </c>
      <c r="H740" s="7">
        <v>45560</v>
      </c>
      <c r="I740" s="1" t="s">
        <v>7449</v>
      </c>
      <c r="J740" s="7">
        <v>45560</v>
      </c>
      <c r="K740" s="1" t="s">
        <v>7449</v>
      </c>
    </row>
    <row r="741" spans="1:11" x14ac:dyDescent="0.25">
      <c r="A741" s="1">
        <v>740</v>
      </c>
      <c r="B741" s="1" t="s">
        <v>2231</v>
      </c>
      <c r="C741" s="1" t="s">
        <v>2232</v>
      </c>
      <c r="F741" s="1" t="s">
        <v>2233</v>
      </c>
      <c r="G741" s="1">
        <v>1</v>
      </c>
      <c r="H741" s="7">
        <v>45560</v>
      </c>
      <c r="I741" s="1" t="s">
        <v>7449</v>
      </c>
      <c r="J741" s="7">
        <v>45560</v>
      </c>
      <c r="K741" s="1" t="s">
        <v>7449</v>
      </c>
    </row>
    <row r="742" spans="1:11" x14ac:dyDescent="0.25">
      <c r="A742" s="1">
        <v>741</v>
      </c>
      <c r="B742" s="1" t="s">
        <v>2234</v>
      </c>
      <c r="C742" s="1" t="s">
        <v>2235</v>
      </c>
      <c r="F742" s="1" t="s">
        <v>2236</v>
      </c>
      <c r="G742" s="1">
        <v>1</v>
      </c>
      <c r="H742" s="7">
        <v>45560</v>
      </c>
      <c r="I742" s="1" t="s">
        <v>7449</v>
      </c>
      <c r="J742" s="7">
        <v>45560</v>
      </c>
      <c r="K742" s="1" t="s">
        <v>7449</v>
      </c>
    </row>
    <row r="743" spans="1:11" x14ac:dyDescent="0.25">
      <c r="A743" s="1">
        <v>742</v>
      </c>
      <c r="B743" s="1" t="s">
        <v>2237</v>
      </c>
      <c r="C743" s="1" t="s">
        <v>2238</v>
      </c>
      <c r="F743" s="1" t="s">
        <v>2239</v>
      </c>
      <c r="G743" s="1">
        <v>1</v>
      </c>
      <c r="H743" s="7">
        <v>45560</v>
      </c>
      <c r="I743" s="1" t="s">
        <v>7449</v>
      </c>
      <c r="J743" s="7">
        <v>45560</v>
      </c>
      <c r="K743" s="1" t="s">
        <v>7449</v>
      </c>
    </row>
    <row r="744" spans="1:11" x14ac:dyDescent="0.25">
      <c r="A744" s="1">
        <v>743</v>
      </c>
      <c r="B744" s="1" t="s">
        <v>2240</v>
      </c>
      <c r="C744" s="1" t="s">
        <v>2241</v>
      </c>
      <c r="E744" s="1" t="s">
        <v>52</v>
      </c>
      <c r="G744" s="1">
        <v>1</v>
      </c>
      <c r="H744" s="7">
        <v>45560</v>
      </c>
      <c r="I744" s="1" t="s">
        <v>7449</v>
      </c>
      <c r="J744" s="7">
        <v>45560</v>
      </c>
      <c r="K744" s="1" t="s">
        <v>7449</v>
      </c>
    </row>
    <row r="745" spans="1:11" x14ac:dyDescent="0.25">
      <c r="A745" s="1">
        <v>744</v>
      </c>
      <c r="B745" s="1" t="s">
        <v>2242</v>
      </c>
      <c r="C745" s="1" t="s">
        <v>2243</v>
      </c>
      <c r="F745" s="1" t="s">
        <v>2244</v>
      </c>
      <c r="G745" s="1">
        <v>1</v>
      </c>
      <c r="H745" s="7">
        <v>45560</v>
      </c>
      <c r="I745" s="1" t="s">
        <v>7449</v>
      </c>
      <c r="J745" s="7">
        <v>45560</v>
      </c>
      <c r="K745" s="1" t="s">
        <v>7449</v>
      </c>
    </row>
    <row r="746" spans="1:11" x14ac:dyDescent="0.25">
      <c r="A746" s="1">
        <v>745</v>
      </c>
      <c r="B746" s="1" t="s">
        <v>2245</v>
      </c>
      <c r="C746" s="1" t="s">
        <v>2246</v>
      </c>
      <c r="F746" s="1" t="s">
        <v>2247</v>
      </c>
      <c r="G746" s="1">
        <v>1</v>
      </c>
      <c r="H746" s="7">
        <v>45560</v>
      </c>
      <c r="I746" s="1" t="s">
        <v>7449</v>
      </c>
      <c r="J746" s="7">
        <v>45560</v>
      </c>
      <c r="K746" s="1" t="s">
        <v>7449</v>
      </c>
    </row>
    <row r="747" spans="1:11" x14ac:dyDescent="0.25">
      <c r="A747" s="1">
        <v>746</v>
      </c>
      <c r="B747" s="1" t="s">
        <v>2248</v>
      </c>
      <c r="C747" s="1" t="s">
        <v>2249</v>
      </c>
      <c r="F747" s="1" t="s">
        <v>2250</v>
      </c>
      <c r="G747" s="1">
        <v>1</v>
      </c>
      <c r="H747" s="7">
        <v>45560</v>
      </c>
      <c r="I747" s="1" t="s">
        <v>7449</v>
      </c>
      <c r="J747" s="7">
        <v>45560</v>
      </c>
      <c r="K747" s="1" t="s">
        <v>7449</v>
      </c>
    </row>
    <row r="748" spans="1:11" x14ac:dyDescent="0.25">
      <c r="A748" s="1">
        <v>747</v>
      </c>
      <c r="B748" s="1" t="s">
        <v>2251</v>
      </c>
      <c r="C748" s="1" t="s">
        <v>2252</v>
      </c>
      <c r="D748" s="1" t="s">
        <v>2253</v>
      </c>
      <c r="F748" s="1" t="s">
        <v>2254</v>
      </c>
      <c r="G748" s="1">
        <v>1</v>
      </c>
      <c r="H748" s="7">
        <v>45560</v>
      </c>
      <c r="I748" s="1" t="s">
        <v>7449</v>
      </c>
      <c r="J748" s="7">
        <v>45560</v>
      </c>
      <c r="K748" s="1" t="s">
        <v>7449</v>
      </c>
    </row>
    <row r="749" spans="1:11" x14ac:dyDescent="0.25">
      <c r="A749" s="1">
        <v>748</v>
      </c>
      <c r="B749" s="1" t="s">
        <v>2255</v>
      </c>
      <c r="C749" s="1" t="s">
        <v>2256</v>
      </c>
      <c r="F749" s="1" t="s">
        <v>2257</v>
      </c>
      <c r="G749" s="1">
        <v>1</v>
      </c>
      <c r="H749" s="7">
        <v>45560</v>
      </c>
      <c r="I749" s="1" t="s">
        <v>7449</v>
      </c>
      <c r="J749" s="7">
        <v>45560</v>
      </c>
      <c r="K749" s="1" t="s">
        <v>7449</v>
      </c>
    </row>
    <row r="750" spans="1:11" x14ac:dyDescent="0.25">
      <c r="A750" s="1">
        <v>749</v>
      </c>
      <c r="B750" s="1" t="s">
        <v>2258</v>
      </c>
      <c r="C750" s="1" t="s">
        <v>2259</v>
      </c>
      <c r="F750" s="1" t="s">
        <v>2260</v>
      </c>
      <c r="G750" s="1">
        <v>1</v>
      </c>
      <c r="H750" s="7">
        <v>45560</v>
      </c>
      <c r="I750" s="1" t="s">
        <v>7449</v>
      </c>
      <c r="J750" s="7">
        <v>45560</v>
      </c>
      <c r="K750" s="1" t="s">
        <v>7449</v>
      </c>
    </row>
    <row r="751" spans="1:11" x14ac:dyDescent="0.25">
      <c r="A751" s="1">
        <v>750</v>
      </c>
      <c r="B751" s="1" t="s">
        <v>2261</v>
      </c>
      <c r="C751" s="1" t="s">
        <v>2262</v>
      </c>
      <c r="F751" s="1" t="s">
        <v>2263</v>
      </c>
      <c r="G751" s="1">
        <v>1</v>
      </c>
      <c r="H751" s="7">
        <v>45560</v>
      </c>
      <c r="I751" s="1" t="s">
        <v>7449</v>
      </c>
      <c r="J751" s="7">
        <v>45560</v>
      </c>
      <c r="K751" s="1" t="s">
        <v>7449</v>
      </c>
    </row>
    <row r="752" spans="1:11" x14ac:dyDescent="0.25">
      <c r="A752" s="1">
        <v>751</v>
      </c>
      <c r="B752" s="1" t="s">
        <v>2264</v>
      </c>
      <c r="C752" s="1" t="s">
        <v>2265</v>
      </c>
      <c r="F752" s="1" t="s">
        <v>2266</v>
      </c>
      <c r="G752" s="1">
        <v>1</v>
      </c>
      <c r="H752" s="7">
        <v>45560</v>
      </c>
      <c r="I752" s="1" t="s">
        <v>7449</v>
      </c>
      <c r="J752" s="7">
        <v>45560</v>
      </c>
      <c r="K752" s="1" t="s">
        <v>7449</v>
      </c>
    </row>
    <row r="753" spans="1:11" x14ac:dyDescent="0.25">
      <c r="A753" s="1">
        <v>752</v>
      </c>
      <c r="B753" s="1" t="s">
        <v>2267</v>
      </c>
      <c r="C753" s="1" t="s">
        <v>2268</v>
      </c>
      <c r="F753" s="1" t="s">
        <v>2269</v>
      </c>
      <c r="G753" s="1">
        <v>1</v>
      </c>
      <c r="H753" s="7">
        <v>45560</v>
      </c>
      <c r="I753" s="1" t="s">
        <v>7449</v>
      </c>
      <c r="J753" s="7">
        <v>45560</v>
      </c>
      <c r="K753" s="1" t="s">
        <v>7449</v>
      </c>
    </row>
    <row r="754" spans="1:11" x14ac:dyDescent="0.25">
      <c r="A754" s="1">
        <v>753</v>
      </c>
      <c r="B754" s="1" t="s">
        <v>2270</v>
      </c>
      <c r="C754" s="1" t="s">
        <v>2271</v>
      </c>
      <c r="F754" s="1" t="s">
        <v>2272</v>
      </c>
      <c r="G754" s="1">
        <v>1</v>
      </c>
      <c r="H754" s="7">
        <v>45560</v>
      </c>
      <c r="I754" s="1" t="s">
        <v>7449</v>
      </c>
      <c r="J754" s="7">
        <v>45560</v>
      </c>
      <c r="K754" s="1" t="s">
        <v>7449</v>
      </c>
    </row>
    <row r="755" spans="1:11" x14ac:dyDescent="0.25">
      <c r="A755" s="1">
        <v>754</v>
      </c>
      <c r="B755" s="1" t="s">
        <v>2273</v>
      </c>
      <c r="C755" s="1" t="s">
        <v>2274</v>
      </c>
      <c r="F755" s="1" t="s">
        <v>2275</v>
      </c>
      <c r="G755" s="1">
        <v>1</v>
      </c>
      <c r="H755" s="7">
        <v>45560</v>
      </c>
      <c r="I755" s="1" t="s">
        <v>7449</v>
      </c>
      <c r="J755" s="7">
        <v>45560</v>
      </c>
      <c r="K755" s="1" t="s">
        <v>7449</v>
      </c>
    </row>
    <row r="756" spans="1:11" x14ac:dyDescent="0.25">
      <c r="A756" s="1">
        <v>755</v>
      </c>
      <c r="B756" s="1" t="s">
        <v>2276</v>
      </c>
      <c r="C756" s="1" t="s">
        <v>2277</v>
      </c>
      <c r="F756" s="1" t="s">
        <v>2278</v>
      </c>
      <c r="G756" s="1">
        <v>1</v>
      </c>
      <c r="H756" s="7">
        <v>45560</v>
      </c>
      <c r="I756" s="1" t="s">
        <v>7449</v>
      </c>
      <c r="J756" s="7">
        <v>45560</v>
      </c>
      <c r="K756" s="1" t="s">
        <v>7449</v>
      </c>
    </row>
    <row r="757" spans="1:11" x14ac:dyDescent="0.25">
      <c r="A757" s="1">
        <v>756</v>
      </c>
      <c r="B757" s="1" t="s">
        <v>2279</v>
      </c>
      <c r="C757" s="1" t="s">
        <v>2280</v>
      </c>
      <c r="F757" s="1" t="s">
        <v>2281</v>
      </c>
      <c r="G757" s="1">
        <v>1</v>
      </c>
      <c r="H757" s="7">
        <v>45560</v>
      </c>
      <c r="I757" s="1" t="s">
        <v>7449</v>
      </c>
      <c r="J757" s="7">
        <v>45560</v>
      </c>
      <c r="K757" s="1" t="s">
        <v>7449</v>
      </c>
    </row>
    <row r="758" spans="1:11" x14ac:dyDescent="0.25">
      <c r="A758" s="1">
        <v>757</v>
      </c>
      <c r="B758" s="1" t="s">
        <v>2282</v>
      </c>
      <c r="C758" s="1" t="s">
        <v>2283</v>
      </c>
      <c r="F758" s="1" t="s">
        <v>2284</v>
      </c>
      <c r="G758" s="1">
        <v>1</v>
      </c>
      <c r="H758" s="7">
        <v>45560</v>
      </c>
      <c r="I758" s="1" t="s">
        <v>7449</v>
      </c>
      <c r="J758" s="7">
        <v>45560</v>
      </c>
      <c r="K758" s="1" t="s">
        <v>7449</v>
      </c>
    </row>
    <row r="759" spans="1:11" x14ac:dyDescent="0.25">
      <c r="A759" s="1">
        <v>758</v>
      </c>
      <c r="B759" s="1" t="s">
        <v>2285</v>
      </c>
      <c r="C759" s="1" t="s">
        <v>2286</v>
      </c>
      <c r="F759" s="1" t="s">
        <v>2287</v>
      </c>
      <c r="G759" s="1">
        <v>1</v>
      </c>
      <c r="H759" s="7">
        <v>45560</v>
      </c>
      <c r="I759" s="1" t="s">
        <v>7449</v>
      </c>
      <c r="J759" s="7">
        <v>45560</v>
      </c>
      <c r="K759" s="1" t="s">
        <v>7449</v>
      </c>
    </row>
    <row r="760" spans="1:11" x14ac:dyDescent="0.25">
      <c r="A760" s="1">
        <v>759</v>
      </c>
      <c r="B760" s="1" t="s">
        <v>2288</v>
      </c>
      <c r="C760" s="1" t="s">
        <v>2289</v>
      </c>
      <c r="F760" s="1" t="s">
        <v>2290</v>
      </c>
      <c r="G760" s="1">
        <v>1</v>
      </c>
      <c r="H760" s="7">
        <v>45560</v>
      </c>
      <c r="I760" s="1" t="s">
        <v>7449</v>
      </c>
      <c r="J760" s="7">
        <v>45560</v>
      </c>
      <c r="K760" s="1" t="s">
        <v>7449</v>
      </c>
    </row>
    <row r="761" spans="1:11" x14ac:dyDescent="0.25">
      <c r="A761" s="1">
        <v>760</v>
      </c>
      <c r="B761" s="1" t="s">
        <v>2291</v>
      </c>
      <c r="C761" s="1" t="s">
        <v>2292</v>
      </c>
      <c r="F761" s="1" t="s">
        <v>2293</v>
      </c>
      <c r="G761" s="1">
        <v>1</v>
      </c>
      <c r="H761" s="7">
        <v>45560</v>
      </c>
      <c r="I761" s="1" t="s">
        <v>7449</v>
      </c>
      <c r="J761" s="7">
        <v>45560</v>
      </c>
      <c r="K761" s="1" t="s">
        <v>7449</v>
      </c>
    </row>
    <row r="762" spans="1:11" x14ac:dyDescent="0.25">
      <c r="A762" s="1">
        <v>761</v>
      </c>
      <c r="B762" s="1" t="s">
        <v>2294</v>
      </c>
      <c r="C762" s="1" t="s">
        <v>2295</v>
      </c>
      <c r="F762" s="1" t="s">
        <v>2296</v>
      </c>
      <c r="G762" s="1">
        <v>1</v>
      </c>
      <c r="H762" s="7">
        <v>45560</v>
      </c>
      <c r="I762" s="1" t="s">
        <v>7449</v>
      </c>
      <c r="J762" s="7">
        <v>45560</v>
      </c>
      <c r="K762" s="1" t="s">
        <v>7449</v>
      </c>
    </row>
    <row r="763" spans="1:11" x14ac:dyDescent="0.25">
      <c r="A763" s="1">
        <v>762</v>
      </c>
      <c r="B763" s="1" t="s">
        <v>2297</v>
      </c>
      <c r="C763" s="1" t="s">
        <v>2298</v>
      </c>
      <c r="F763" s="1" t="s">
        <v>2299</v>
      </c>
      <c r="G763" s="1">
        <v>1</v>
      </c>
      <c r="H763" s="7">
        <v>45560</v>
      </c>
      <c r="I763" s="1" t="s">
        <v>7449</v>
      </c>
      <c r="J763" s="7">
        <v>45560</v>
      </c>
      <c r="K763" s="1" t="s">
        <v>7449</v>
      </c>
    </row>
    <row r="764" spans="1:11" x14ac:dyDescent="0.25">
      <c r="A764" s="1">
        <v>763</v>
      </c>
      <c r="B764" s="1" t="s">
        <v>2300</v>
      </c>
      <c r="C764" s="1" t="s">
        <v>2301</v>
      </c>
      <c r="F764" s="1" t="s">
        <v>2302</v>
      </c>
      <c r="G764" s="1">
        <v>1</v>
      </c>
      <c r="H764" s="7">
        <v>45560</v>
      </c>
      <c r="I764" s="1" t="s">
        <v>7449</v>
      </c>
      <c r="J764" s="7">
        <v>45560</v>
      </c>
      <c r="K764" s="1" t="s">
        <v>7449</v>
      </c>
    </row>
    <row r="765" spans="1:11" x14ac:dyDescent="0.25">
      <c r="A765" s="1">
        <v>764</v>
      </c>
      <c r="B765" s="1" t="s">
        <v>2303</v>
      </c>
      <c r="C765" s="1" t="s">
        <v>2304</v>
      </c>
      <c r="F765" s="1" t="s">
        <v>2305</v>
      </c>
      <c r="G765" s="1">
        <v>1</v>
      </c>
      <c r="H765" s="7">
        <v>45560</v>
      </c>
      <c r="I765" s="1" t="s">
        <v>7449</v>
      </c>
      <c r="J765" s="7">
        <v>45560</v>
      </c>
      <c r="K765" s="1" t="s">
        <v>7449</v>
      </c>
    </row>
    <row r="766" spans="1:11" x14ac:dyDescent="0.25">
      <c r="A766" s="1">
        <v>765</v>
      </c>
      <c r="B766" s="1" t="s">
        <v>2306</v>
      </c>
      <c r="C766" s="1" t="s">
        <v>2307</v>
      </c>
      <c r="F766" s="1" t="s">
        <v>2308</v>
      </c>
      <c r="G766" s="1">
        <v>1</v>
      </c>
      <c r="H766" s="7">
        <v>45560</v>
      </c>
      <c r="I766" s="1" t="s">
        <v>7449</v>
      </c>
      <c r="J766" s="7">
        <v>45560</v>
      </c>
      <c r="K766" s="1" t="s">
        <v>7449</v>
      </c>
    </row>
    <row r="767" spans="1:11" x14ac:dyDescent="0.25">
      <c r="A767" s="1">
        <v>766</v>
      </c>
      <c r="B767" s="1" t="s">
        <v>2309</v>
      </c>
      <c r="C767" s="1" t="s">
        <v>2310</v>
      </c>
      <c r="F767" s="1" t="s">
        <v>2311</v>
      </c>
      <c r="G767" s="1">
        <v>1</v>
      </c>
      <c r="H767" s="7">
        <v>45560</v>
      </c>
      <c r="I767" s="1" t="s">
        <v>7449</v>
      </c>
      <c r="J767" s="7">
        <v>45560</v>
      </c>
      <c r="K767" s="1" t="s">
        <v>7449</v>
      </c>
    </row>
    <row r="768" spans="1:11" x14ac:dyDescent="0.25">
      <c r="A768" s="1">
        <v>767</v>
      </c>
      <c r="B768" s="1" t="s">
        <v>2312</v>
      </c>
      <c r="C768" s="1" t="s">
        <v>2313</v>
      </c>
      <c r="F768" s="1" t="s">
        <v>2314</v>
      </c>
      <c r="G768" s="1">
        <v>1</v>
      </c>
      <c r="H768" s="7">
        <v>45560</v>
      </c>
      <c r="I768" s="1" t="s">
        <v>7449</v>
      </c>
      <c r="J768" s="7">
        <v>45560</v>
      </c>
      <c r="K768" s="1" t="s">
        <v>7449</v>
      </c>
    </row>
    <row r="769" spans="1:11" x14ac:dyDescent="0.25">
      <c r="A769" s="1">
        <v>768</v>
      </c>
      <c r="B769" s="1" t="s">
        <v>2315</v>
      </c>
      <c r="C769" s="1" t="s">
        <v>2316</v>
      </c>
      <c r="F769" s="1" t="s">
        <v>2317</v>
      </c>
      <c r="G769" s="1">
        <v>1</v>
      </c>
      <c r="H769" s="7">
        <v>45560</v>
      </c>
      <c r="I769" s="1" t="s">
        <v>7449</v>
      </c>
      <c r="J769" s="7">
        <v>45560</v>
      </c>
      <c r="K769" s="1" t="s">
        <v>7449</v>
      </c>
    </row>
    <row r="770" spans="1:11" x14ac:dyDescent="0.25">
      <c r="A770" s="1">
        <v>769</v>
      </c>
      <c r="B770" s="1" t="s">
        <v>2318</v>
      </c>
      <c r="C770" s="1" t="s">
        <v>2319</v>
      </c>
      <c r="F770" s="1" t="s">
        <v>2320</v>
      </c>
      <c r="G770" s="1">
        <v>1</v>
      </c>
      <c r="H770" s="7">
        <v>45560</v>
      </c>
      <c r="I770" s="1" t="s">
        <v>7449</v>
      </c>
      <c r="J770" s="7">
        <v>45560</v>
      </c>
      <c r="K770" s="1" t="s">
        <v>7449</v>
      </c>
    </row>
    <row r="771" spans="1:11" x14ac:dyDescent="0.25">
      <c r="A771" s="1">
        <v>770</v>
      </c>
      <c r="B771" s="1" t="s">
        <v>2321</v>
      </c>
      <c r="C771" s="1" t="s">
        <v>2322</v>
      </c>
      <c r="F771" s="1" t="s">
        <v>2323</v>
      </c>
      <c r="G771" s="1">
        <v>1</v>
      </c>
      <c r="H771" s="7">
        <v>45560</v>
      </c>
      <c r="I771" s="1" t="s">
        <v>7449</v>
      </c>
      <c r="J771" s="7">
        <v>45560</v>
      </c>
      <c r="K771" s="1" t="s">
        <v>7449</v>
      </c>
    </row>
    <row r="772" spans="1:11" x14ac:dyDescent="0.25">
      <c r="A772" s="1">
        <v>771</v>
      </c>
      <c r="B772" s="1" t="s">
        <v>2324</v>
      </c>
      <c r="C772" s="1" t="s">
        <v>2325</v>
      </c>
      <c r="F772" s="1" t="s">
        <v>2326</v>
      </c>
      <c r="G772" s="1">
        <v>1</v>
      </c>
      <c r="H772" s="7">
        <v>45560</v>
      </c>
      <c r="I772" s="1" t="s">
        <v>7449</v>
      </c>
      <c r="J772" s="7">
        <v>45560</v>
      </c>
      <c r="K772" s="1" t="s">
        <v>7449</v>
      </c>
    </row>
    <row r="773" spans="1:11" x14ac:dyDescent="0.25">
      <c r="A773" s="1">
        <v>772</v>
      </c>
      <c r="B773" s="1" t="s">
        <v>2327</v>
      </c>
      <c r="C773" s="1" t="s">
        <v>2328</v>
      </c>
      <c r="F773" s="1" t="s">
        <v>2329</v>
      </c>
      <c r="G773" s="1">
        <v>1</v>
      </c>
      <c r="H773" s="7">
        <v>45560</v>
      </c>
      <c r="I773" s="1" t="s">
        <v>7449</v>
      </c>
      <c r="J773" s="7">
        <v>45560</v>
      </c>
      <c r="K773" s="1" t="s">
        <v>7449</v>
      </c>
    </row>
    <row r="774" spans="1:11" x14ac:dyDescent="0.25">
      <c r="A774" s="1">
        <v>773</v>
      </c>
      <c r="B774" s="1" t="s">
        <v>2330</v>
      </c>
      <c r="C774" s="1" t="s">
        <v>2331</v>
      </c>
      <c r="F774" s="1" t="s">
        <v>2332</v>
      </c>
      <c r="G774" s="1">
        <v>1</v>
      </c>
      <c r="H774" s="7">
        <v>45560</v>
      </c>
      <c r="I774" s="1" t="s">
        <v>7449</v>
      </c>
      <c r="J774" s="7">
        <v>45560</v>
      </c>
      <c r="K774" s="1" t="s">
        <v>7449</v>
      </c>
    </row>
    <row r="775" spans="1:11" x14ac:dyDescent="0.25">
      <c r="A775" s="1">
        <v>774</v>
      </c>
      <c r="B775" s="1" t="s">
        <v>2333</v>
      </c>
      <c r="C775" s="1" t="s">
        <v>2334</v>
      </c>
      <c r="F775" s="1" t="s">
        <v>2335</v>
      </c>
      <c r="G775" s="1">
        <v>1</v>
      </c>
      <c r="H775" s="7">
        <v>45560</v>
      </c>
      <c r="I775" s="1" t="s">
        <v>7449</v>
      </c>
      <c r="J775" s="7">
        <v>45560</v>
      </c>
      <c r="K775" s="1" t="s">
        <v>7449</v>
      </c>
    </row>
    <row r="776" spans="1:11" x14ac:dyDescent="0.25">
      <c r="A776" s="1">
        <v>775</v>
      </c>
      <c r="B776" s="1" t="s">
        <v>2336</v>
      </c>
      <c r="C776" s="1" t="s">
        <v>2337</v>
      </c>
      <c r="F776" s="1" t="s">
        <v>2338</v>
      </c>
      <c r="G776" s="1">
        <v>1</v>
      </c>
      <c r="H776" s="7">
        <v>45560</v>
      </c>
      <c r="I776" s="1" t="s">
        <v>7449</v>
      </c>
      <c r="J776" s="7">
        <v>45560</v>
      </c>
      <c r="K776" s="1" t="s">
        <v>7449</v>
      </c>
    </row>
    <row r="777" spans="1:11" x14ac:dyDescent="0.25">
      <c r="A777" s="1">
        <v>776</v>
      </c>
      <c r="B777" s="1" t="s">
        <v>2339</v>
      </c>
      <c r="C777" s="1" t="s">
        <v>2340</v>
      </c>
      <c r="F777" s="1" t="s">
        <v>2341</v>
      </c>
      <c r="G777" s="1">
        <v>1</v>
      </c>
      <c r="H777" s="7">
        <v>45560</v>
      </c>
      <c r="I777" s="1" t="s">
        <v>7449</v>
      </c>
      <c r="J777" s="7">
        <v>45560</v>
      </c>
      <c r="K777" s="1" t="s">
        <v>7449</v>
      </c>
    </row>
    <row r="778" spans="1:11" x14ac:dyDescent="0.25">
      <c r="A778" s="1">
        <v>777</v>
      </c>
      <c r="B778" s="1" t="s">
        <v>2342</v>
      </c>
      <c r="C778" s="1" t="s">
        <v>2343</v>
      </c>
      <c r="F778" s="1" t="s">
        <v>2344</v>
      </c>
      <c r="G778" s="1">
        <v>1</v>
      </c>
      <c r="H778" s="7">
        <v>45560</v>
      </c>
      <c r="I778" s="1" t="s">
        <v>7449</v>
      </c>
      <c r="J778" s="7">
        <v>45560</v>
      </c>
      <c r="K778" s="1" t="s">
        <v>7449</v>
      </c>
    </row>
    <row r="779" spans="1:11" x14ac:dyDescent="0.25">
      <c r="A779" s="1">
        <v>778</v>
      </c>
      <c r="B779" s="1" t="s">
        <v>2345</v>
      </c>
      <c r="C779" s="1" t="s">
        <v>2346</v>
      </c>
      <c r="F779" s="1" t="s">
        <v>2347</v>
      </c>
      <c r="G779" s="1">
        <v>1</v>
      </c>
      <c r="H779" s="7">
        <v>45560</v>
      </c>
      <c r="I779" s="1" t="s">
        <v>7449</v>
      </c>
      <c r="J779" s="7">
        <v>45560</v>
      </c>
      <c r="K779" s="1" t="s">
        <v>7449</v>
      </c>
    </row>
    <row r="780" spans="1:11" x14ac:dyDescent="0.25">
      <c r="A780" s="1">
        <v>779</v>
      </c>
      <c r="B780" s="1" t="s">
        <v>2348</v>
      </c>
      <c r="C780" s="1" t="s">
        <v>2349</v>
      </c>
      <c r="F780" s="1" t="s">
        <v>2350</v>
      </c>
      <c r="G780" s="1">
        <v>1</v>
      </c>
      <c r="H780" s="7">
        <v>45560</v>
      </c>
      <c r="I780" s="1" t="s">
        <v>7449</v>
      </c>
      <c r="J780" s="7">
        <v>45560</v>
      </c>
      <c r="K780" s="1" t="s">
        <v>7449</v>
      </c>
    </row>
    <row r="781" spans="1:11" x14ac:dyDescent="0.25">
      <c r="A781" s="1">
        <v>780</v>
      </c>
      <c r="B781" s="1" t="s">
        <v>2351</v>
      </c>
      <c r="C781" s="1" t="s">
        <v>2352</v>
      </c>
      <c r="F781" s="1" t="s">
        <v>2353</v>
      </c>
      <c r="G781" s="1">
        <v>1</v>
      </c>
      <c r="H781" s="7">
        <v>45560</v>
      </c>
      <c r="I781" s="1" t="s">
        <v>7449</v>
      </c>
      <c r="J781" s="7">
        <v>45560</v>
      </c>
      <c r="K781" s="1" t="s">
        <v>7449</v>
      </c>
    </row>
    <row r="782" spans="1:11" x14ac:dyDescent="0.25">
      <c r="A782" s="1">
        <v>781</v>
      </c>
      <c r="B782" s="1" t="s">
        <v>2354</v>
      </c>
      <c r="C782" s="1" t="s">
        <v>2355</v>
      </c>
      <c r="F782" s="1" t="s">
        <v>2356</v>
      </c>
      <c r="G782" s="1">
        <v>1</v>
      </c>
      <c r="H782" s="7">
        <v>45560</v>
      </c>
      <c r="I782" s="1" t="s">
        <v>7449</v>
      </c>
      <c r="J782" s="7">
        <v>45560</v>
      </c>
      <c r="K782" s="1" t="s">
        <v>7449</v>
      </c>
    </row>
    <row r="783" spans="1:11" x14ac:dyDescent="0.25">
      <c r="A783" s="1">
        <v>782</v>
      </c>
      <c r="B783" s="1" t="s">
        <v>2357</v>
      </c>
      <c r="C783" s="1" t="s">
        <v>2358</v>
      </c>
      <c r="F783" s="1" t="s">
        <v>2359</v>
      </c>
      <c r="G783" s="1">
        <v>1</v>
      </c>
      <c r="H783" s="7">
        <v>45560</v>
      </c>
      <c r="I783" s="1" t="s">
        <v>7449</v>
      </c>
      <c r="J783" s="7">
        <v>45560</v>
      </c>
      <c r="K783" s="1" t="s">
        <v>7449</v>
      </c>
    </row>
    <row r="784" spans="1:11" x14ac:dyDescent="0.25">
      <c r="A784" s="1">
        <v>783</v>
      </c>
      <c r="B784" s="1" t="s">
        <v>2360</v>
      </c>
      <c r="C784" s="1" t="s">
        <v>2361</v>
      </c>
      <c r="D784" s="1" t="s">
        <v>2362</v>
      </c>
      <c r="F784" s="1" t="s">
        <v>2363</v>
      </c>
      <c r="G784" s="1">
        <v>1</v>
      </c>
      <c r="H784" s="7">
        <v>45560</v>
      </c>
      <c r="I784" s="1" t="s">
        <v>7449</v>
      </c>
      <c r="J784" s="7">
        <v>45560</v>
      </c>
      <c r="K784" s="1" t="s">
        <v>7449</v>
      </c>
    </row>
    <row r="785" spans="1:11" x14ac:dyDescent="0.25">
      <c r="A785" s="1">
        <v>784</v>
      </c>
      <c r="B785" s="1" t="s">
        <v>2364</v>
      </c>
      <c r="C785" s="1" t="s">
        <v>2365</v>
      </c>
      <c r="F785" s="1" t="s">
        <v>2366</v>
      </c>
      <c r="G785" s="1">
        <v>1</v>
      </c>
      <c r="H785" s="7">
        <v>45560</v>
      </c>
      <c r="I785" s="1" t="s">
        <v>7449</v>
      </c>
      <c r="J785" s="7">
        <v>45560</v>
      </c>
      <c r="K785" s="1" t="s">
        <v>7449</v>
      </c>
    </row>
    <row r="786" spans="1:11" x14ac:dyDescent="0.25">
      <c r="A786" s="1">
        <v>785</v>
      </c>
      <c r="B786" s="1" t="s">
        <v>2367</v>
      </c>
      <c r="C786" s="1" t="s">
        <v>2368</v>
      </c>
      <c r="F786" s="1" t="s">
        <v>2369</v>
      </c>
      <c r="G786" s="1">
        <v>1</v>
      </c>
      <c r="H786" s="7">
        <v>45560</v>
      </c>
      <c r="I786" s="1" t="s">
        <v>7449</v>
      </c>
      <c r="J786" s="7">
        <v>45560</v>
      </c>
      <c r="K786" s="1" t="s">
        <v>7449</v>
      </c>
    </row>
    <row r="787" spans="1:11" x14ac:dyDescent="0.25">
      <c r="A787" s="1">
        <v>786</v>
      </c>
      <c r="B787" s="1" t="s">
        <v>2370</v>
      </c>
      <c r="C787" s="1" t="s">
        <v>2371</v>
      </c>
      <c r="F787" s="1" t="s">
        <v>2372</v>
      </c>
      <c r="G787" s="1">
        <v>1</v>
      </c>
      <c r="H787" s="7">
        <v>45560</v>
      </c>
      <c r="I787" s="1" t="s">
        <v>7449</v>
      </c>
      <c r="J787" s="7">
        <v>45560</v>
      </c>
      <c r="K787" s="1" t="s">
        <v>7449</v>
      </c>
    </row>
    <row r="788" spans="1:11" x14ac:dyDescent="0.25">
      <c r="A788" s="1">
        <v>787</v>
      </c>
      <c r="B788" s="1" t="s">
        <v>2373</v>
      </c>
      <c r="C788" s="1" t="s">
        <v>2374</v>
      </c>
      <c r="F788" s="1" t="s">
        <v>2375</v>
      </c>
      <c r="G788" s="1">
        <v>1</v>
      </c>
      <c r="H788" s="7">
        <v>45560</v>
      </c>
      <c r="I788" s="1" t="s">
        <v>7449</v>
      </c>
      <c r="J788" s="7">
        <v>45560</v>
      </c>
      <c r="K788" s="1" t="s">
        <v>7449</v>
      </c>
    </row>
    <row r="789" spans="1:11" x14ac:dyDescent="0.25">
      <c r="A789" s="1">
        <v>788</v>
      </c>
      <c r="B789" s="1" t="s">
        <v>2376</v>
      </c>
      <c r="C789" s="1" t="s">
        <v>2377</v>
      </c>
      <c r="F789" s="1" t="s">
        <v>2378</v>
      </c>
      <c r="G789" s="1">
        <v>1</v>
      </c>
      <c r="H789" s="7">
        <v>45560</v>
      </c>
      <c r="I789" s="1" t="s">
        <v>7449</v>
      </c>
      <c r="J789" s="7">
        <v>45560</v>
      </c>
      <c r="K789" s="1" t="s">
        <v>7449</v>
      </c>
    </row>
    <row r="790" spans="1:11" x14ac:dyDescent="0.25">
      <c r="A790" s="1">
        <v>789</v>
      </c>
      <c r="B790" s="1" t="s">
        <v>2379</v>
      </c>
      <c r="C790" s="1" t="s">
        <v>2380</v>
      </c>
      <c r="F790" s="1" t="s">
        <v>2381</v>
      </c>
      <c r="G790" s="1">
        <v>1</v>
      </c>
      <c r="H790" s="7">
        <v>45560</v>
      </c>
      <c r="I790" s="1" t="s">
        <v>7449</v>
      </c>
      <c r="J790" s="7">
        <v>45560</v>
      </c>
      <c r="K790" s="1" t="s">
        <v>7449</v>
      </c>
    </row>
    <row r="791" spans="1:11" x14ac:dyDescent="0.25">
      <c r="A791" s="1">
        <v>790</v>
      </c>
      <c r="B791" s="1" t="s">
        <v>2382</v>
      </c>
      <c r="C791" s="1" t="s">
        <v>2383</v>
      </c>
      <c r="F791" s="1" t="s">
        <v>2384</v>
      </c>
      <c r="G791" s="1">
        <v>1</v>
      </c>
      <c r="H791" s="7">
        <v>45560</v>
      </c>
      <c r="I791" s="1" t="s">
        <v>7449</v>
      </c>
      <c r="J791" s="7">
        <v>45560</v>
      </c>
      <c r="K791" s="1" t="s">
        <v>7449</v>
      </c>
    </row>
    <row r="792" spans="1:11" x14ac:dyDescent="0.25">
      <c r="A792" s="1">
        <v>791</v>
      </c>
      <c r="B792" s="1" t="s">
        <v>2385</v>
      </c>
      <c r="C792" s="1" t="s">
        <v>2386</v>
      </c>
      <c r="F792" s="1" t="s">
        <v>2387</v>
      </c>
      <c r="G792" s="1">
        <v>1</v>
      </c>
      <c r="H792" s="7">
        <v>45560</v>
      </c>
      <c r="I792" s="1" t="s">
        <v>7449</v>
      </c>
      <c r="J792" s="7">
        <v>45560</v>
      </c>
      <c r="K792" s="1" t="s">
        <v>7449</v>
      </c>
    </row>
    <row r="793" spans="1:11" x14ac:dyDescent="0.25">
      <c r="A793" s="1">
        <v>792</v>
      </c>
      <c r="B793" s="1" t="s">
        <v>2388</v>
      </c>
      <c r="C793" s="1" t="s">
        <v>2389</v>
      </c>
      <c r="F793" s="1" t="s">
        <v>2390</v>
      </c>
      <c r="G793" s="1">
        <v>1</v>
      </c>
      <c r="H793" s="7">
        <v>45560</v>
      </c>
      <c r="I793" s="1" t="s">
        <v>7449</v>
      </c>
      <c r="J793" s="7">
        <v>45560</v>
      </c>
      <c r="K793" s="1" t="s">
        <v>7449</v>
      </c>
    </row>
    <row r="794" spans="1:11" x14ac:dyDescent="0.25">
      <c r="A794" s="1">
        <v>793</v>
      </c>
      <c r="B794" s="1" t="s">
        <v>2391</v>
      </c>
      <c r="C794" s="1" t="s">
        <v>2392</v>
      </c>
      <c r="F794" s="1" t="s">
        <v>2393</v>
      </c>
      <c r="G794" s="1">
        <v>1</v>
      </c>
      <c r="H794" s="7">
        <v>45560</v>
      </c>
      <c r="I794" s="1" t="s">
        <v>7449</v>
      </c>
      <c r="J794" s="7">
        <v>45560</v>
      </c>
      <c r="K794" s="1" t="s">
        <v>7449</v>
      </c>
    </row>
    <row r="795" spans="1:11" x14ac:dyDescent="0.25">
      <c r="A795" s="1">
        <v>794</v>
      </c>
      <c r="B795" s="1" t="s">
        <v>2394</v>
      </c>
      <c r="C795" s="1" t="s">
        <v>2395</v>
      </c>
      <c r="F795" s="1" t="s">
        <v>2396</v>
      </c>
      <c r="G795" s="1">
        <v>1</v>
      </c>
      <c r="H795" s="7">
        <v>45560</v>
      </c>
      <c r="I795" s="1" t="s">
        <v>7449</v>
      </c>
      <c r="J795" s="7">
        <v>45560</v>
      </c>
      <c r="K795" s="1" t="s">
        <v>7449</v>
      </c>
    </row>
    <row r="796" spans="1:11" x14ac:dyDescent="0.25">
      <c r="A796" s="1">
        <v>795</v>
      </c>
      <c r="B796" s="1" t="s">
        <v>2397</v>
      </c>
      <c r="C796" s="1" t="s">
        <v>2398</v>
      </c>
      <c r="F796" s="1" t="s">
        <v>2399</v>
      </c>
      <c r="G796" s="1">
        <v>1</v>
      </c>
      <c r="H796" s="7">
        <v>45560</v>
      </c>
      <c r="I796" s="1" t="s">
        <v>7449</v>
      </c>
      <c r="J796" s="7">
        <v>45560</v>
      </c>
      <c r="K796" s="1" t="s">
        <v>7449</v>
      </c>
    </row>
    <row r="797" spans="1:11" x14ac:dyDescent="0.25">
      <c r="A797" s="1">
        <v>796</v>
      </c>
      <c r="B797" s="1" t="s">
        <v>2400</v>
      </c>
      <c r="C797" s="1" t="s">
        <v>2401</v>
      </c>
      <c r="F797" s="1" t="s">
        <v>2402</v>
      </c>
      <c r="G797" s="1">
        <v>1</v>
      </c>
      <c r="H797" s="7">
        <v>45560</v>
      </c>
      <c r="I797" s="1" t="s">
        <v>7449</v>
      </c>
      <c r="J797" s="7">
        <v>45560</v>
      </c>
      <c r="K797" s="1" t="s">
        <v>7449</v>
      </c>
    </row>
    <row r="798" spans="1:11" x14ac:dyDescent="0.25">
      <c r="A798" s="1">
        <v>797</v>
      </c>
      <c r="B798" s="1" t="s">
        <v>2403</v>
      </c>
      <c r="C798" s="1" t="s">
        <v>2404</v>
      </c>
      <c r="F798" s="1" t="s">
        <v>2405</v>
      </c>
      <c r="G798" s="1">
        <v>1</v>
      </c>
      <c r="H798" s="7">
        <v>45560</v>
      </c>
      <c r="I798" s="1" t="s">
        <v>7449</v>
      </c>
      <c r="J798" s="7">
        <v>45560</v>
      </c>
      <c r="K798" s="1" t="s">
        <v>7449</v>
      </c>
    </row>
    <row r="799" spans="1:11" x14ac:dyDescent="0.25">
      <c r="A799" s="1">
        <v>798</v>
      </c>
      <c r="B799" s="1" t="s">
        <v>2406</v>
      </c>
      <c r="C799" s="1" t="s">
        <v>2407</v>
      </c>
      <c r="F799" s="1" t="s">
        <v>2408</v>
      </c>
      <c r="G799" s="1">
        <v>1</v>
      </c>
      <c r="H799" s="7">
        <v>45560</v>
      </c>
      <c r="I799" s="1" t="s">
        <v>7449</v>
      </c>
      <c r="J799" s="7">
        <v>45560</v>
      </c>
      <c r="K799" s="1" t="s">
        <v>7449</v>
      </c>
    </row>
    <row r="800" spans="1:11" x14ac:dyDescent="0.25">
      <c r="A800" s="1">
        <v>799</v>
      </c>
      <c r="B800" s="1" t="s">
        <v>2409</v>
      </c>
      <c r="C800" s="1" t="s">
        <v>2410</v>
      </c>
      <c r="F800" s="1" t="s">
        <v>2411</v>
      </c>
      <c r="G800" s="1">
        <v>1</v>
      </c>
      <c r="H800" s="7">
        <v>45560</v>
      </c>
      <c r="I800" s="1" t="s">
        <v>7449</v>
      </c>
      <c r="J800" s="7">
        <v>45560</v>
      </c>
      <c r="K800" s="1" t="s">
        <v>7449</v>
      </c>
    </row>
    <row r="801" spans="1:11" x14ac:dyDescent="0.25">
      <c r="A801" s="1">
        <v>800</v>
      </c>
      <c r="B801" s="1" t="s">
        <v>2412</v>
      </c>
      <c r="C801" s="1" t="s">
        <v>2413</v>
      </c>
      <c r="F801" s="1" t="s">
        <v>2414</v>
      </c>
      <c r="G801" s="1">
        <v>1</v>
      </c>
      <c r="H801" s="7">
        <v>45560</v>
      </c>
      <c r="I801" s="1" t="s">
        <v>7449</v>
      </c>
      <c r="J801" s="7">
        <v>45560</v>
      </c>
      <c r="K801" s="1" t="s">
        <v>7449</v>
      </c>
    </row>
    <row r="802" spans="1:11" x14ac:dyDescent="0.25">
      <c r="A802" s="1">
        <v>801</v>
      </c>
      <c r="B802" s="1" t="s">
        <v>2415</v>
      </c>
      <c r="C802" s="1" t="s">
        <v>2416</v>
      </c>
      <c r="F802" s="1" t="s">
        <v>2417</v>
      </c>
      <c r="G802" s="1">
        <v>1</v>
      </c>
      <c r="H802" s="7">
        <v>45560</v>
      </c>
      <c r="I802" s="1" t="s">
        <v>7449</v>
      </c>
      <c r="J802" s="7">
        <v>45560</v>
      </c>
      <c r="K802" s="1" t="s">
        <v>7449</v>
      </c>
    </row>
    <row r="803" spans="1:11" x14ac:dyDescent="0.25">
      <c r="A803" s="1">
        <v>802</v>
      </c>
      <c r="B803" s="1" t="s">
        <v>2418</v>
      </c>
      <c r="C803" s="1" t="s">
        <v>2419</v>
      </c>
      <c r="F803" s="1" t="s">
        <v>2420</v>
      </c>
      <c r="G803" s="1">
        <v>1</v>
      </c>
      <c r="H803" s="7">
        <v>45560</v>
      </c>
      <c r="I803" s="1" t="s">
        <v>7449</v>
      </c>
      <c r="J803" s="7">
        <v>45560</v>
      </c>
      <c r="K803" s="1" t="s">
        <v>7449</v>
      </c>
    </row>
    <row r="804" spans="1:11" x14ac:dyDescent="0.25">
      <c r="A804" s="1">
        <v>803</v>
      </c>
      <c r="B804" s="1" t="s">
        <v>2421</v>
      </c>
      <c r="C804" s="1" t="s">
        <v>2422</v>
      </c>
      <c r="F804" s="1" t="s">
        <v>2423</v>
      </c>
      <c r="G804" s="1">
        <v>1</v>
      </c>
      <c r="H804" s="7">
        <v>45560</v>
      </c>
      <c r="I804" s="1" t="s">
        <v>7449</v>
      </c>
      <c r="J804" s="7">
        <v>45560</v>
      </c>
      <c r="K804" s="1" t="s">
        <v>7449</v>
      </c>
    </row>
    <row r="805" spans="1:11" x14ac:dyDescent="0.25">
      <c r="A805" s="1">
        <v>804</v>
      </c>
      <c r="B805" s="1" t="s">
        <v>2424</v>
      </c>
      <c r="C805" s="1" t="s">
        <v>2425</v>
      </c>
      <c r="F805" s="1" t="s">
        <v>2426</v>
      </c>
      <c r="G805" s="1">
        <v>1</v>
      </c>
      <c r="H805" s="7">
        <v>45560</v>
      </c>
      <c r="I805" s="1" t="s">
        <v>7449</v>
      </c>
      <c r="J805" s="7">
        <v>45560</v>
      </c>
      <c r="K805" s="1" t="s">
        <v>7449</v>
      </c>
    </row>
    <row r="806" spans="1:11" x14ac:dyDescent="0.25">
      <c r="A806" s="1">
        <v>805</v>
      </c>
      <c r="B806" s="1" t="s">
        <v>2427</v>
      </c>
      <c r="C806" s="1" t="s">
        <v>2428</v>
      </c>
      <c r="F806" s="1" t="s">
        <v>2429</v>
      </c>
      <c r="G806" s="1">
        <v>1</v>
      </c>
      <c r="H806" s="7">
        <v>45560</v>
      </c>
      <c r="I806" s="1" t="s">
        <v>7449</v>
      </c>
      <c r="J806" s="7">
        <v>45560</v>
      </c>
      <c r="K806" s="1" t="s">
        <v>7449</v>
      </c>
    </row>
    <row r="807" spans="1:11" x14ac:dyDescent="0.25">
      <c r="A807" s="1">
        <v>806</v>
      </c>
      <c r="B807" s="1" t="s">
        <v>2430</v>
      </c>
      <c r="C807" s="1" t="s">
        <v>2431</v>
      </c>
      <c r="F807" s="1" t="s">
        <v>2432</v>
      </c>
      <c r="G807" s="1">
        <v>1</v>
      </c>
      <c r="H807" s="7">
        <v>45560</v>
      </c>
      <c r="I807" s="1" t="s">
        <v>7449</v>
      </c>
      <c r="J807" s="7">
        <v>45560</v>
      </c>
      <c r="K807" s="1" t="s">
        <v>7449</v>
      </c>
    </row>
    <row r="808" spans="1:11" x14ac:dyDescent="0.25">
      <c r="A808" s="1">
        <v>807</v>
      </c>
      <c r="B808" s="1" t="s">
        <v>2433</v>
      </c>
      <c r="C808" s="1" t="s">
        <v>2434</v>
      </c>
      <c r="F808" s="1" t="s">
        <v>2435</v>
      </c>
      <c r="G808" s="1">
        <v>1</v>
      </c>
      <c r="H808" s="7">
        <v>45560</v>
      </c>
      <c r="I808" s="1" t="s">
        <v>7449</v>
      </c>
      <c r="J808" s="7">
        <v>45560</v>
      </c>
      <c r="K808" s="1" t="s">
        <v>7449</v>
      </c>
    </row>
    <row r="809" spans="1:11" x14ac:dyDescent="0.25">
      <c r="A809" s="1">
        <v>808</v>
      </c>
      <c r="B809" s="1" t="s">
        <v>2436</v>
      </c>
      <c r="C809" s="1" t="s">
        <v>2437</v>
      </c>
      <c r="F809" s="1" t="s">
        <v>2438</v>
      </c>
      <c r="G809" s="1">
        <v>1</v>
      </c>
      <c r="H809" s="7">
        <v>45560</v>
      </c>
      <c r="I809" s="1" t="s">
        <v>7449</v>
      </c>
      <c r="J809" s="7">
        <v>45560</v>
      </c>
      <c r="K809" s="1" t="s">
        <v>7449</v>
      </c>
    </row>
    <row r="810" spans="1:11" x14ac:dyDescent="0.25">
      <c r="A810" s="1">
        <v>809</v>
      </c>
      <c r="B810" s="1" t="s">
        <v>2439</v>
      </c>
      <c r="C810" s="1" t="s">
        <v>2440</v>
      </c>
      <c r="F810" s="1" t="s">
        <v>2441</v>
      </c>
      <c r="G810" s="1">
        <v>1</v>
      </c>
      <c r="H810" s="7">
        <v>45560</v>
      </c>
      <c r="I810" s="1" t="s">
        <v>7449</v>
      </c>
      <c r="J810" s="7">
        <v>45560</v>
      </c>
      <c r="K810" s="1" t="s">
        <v>7449</v>
      </c>
    </row>
    <row r="811" spans="1:11" x14ac:dyDescent="0.25">
      <c r="A811" s="1">
        <v>810</v>
      </c>
      <c r="B811" s="1" t="s">
        <v>2442</v>
      </c>
      <c r="C811" s="1" t="s">
        <v>2443</v>
      </c>
      <c r="F811" s="1" t="s">
        <v>2444</v>
      </c>
      <c r="G811" s="1">
        <v>1</v>
      </c>
      <c r="H811" s="7">
        <v>45560</v>
      </c>
      <c r="I811" s="1" t="s">
        <v>7449</v>
      </c>
      <c r="J811" s="7">
        <v>45560</v>
      </c>
      <c r="K811" s="1" t="s">
        <v>7449</v>
      </c>
    </row>
    <row r="812" spans="1:11" x14ac:dyDescent="0.25">
      <c r="A812" s="1">
        <v>811</v>
      </c>
      <c r="B812" s="1" t="s">
        <v>2445</v>
      </c>
      <c r="C812" s="1" t="s">
        <v>2446</v>
      </c>
      <c r="F812" s="1" t="s">
        <v>2447</v>
      </c>
      <c r="G812" s="1">
        <v>1</v>
      </c>
      <c r="H812" s="7">
        <v>45560</v>
      </c>
      <c r="I812" s="1" t="s">
        <v>7449</v>
      </c>
      <c r="J812" s="7">
        <v>45560</v>
      </c>
      <c r="K812" s="1" t="s">
        <v>7449</v>
      </c>
    </row>
    <row r="813" spans="1:11" x14ac:dyDescent="0.25">
      <c r="A813" s="1">
        <v>812</v>
      </c>
      <c r="B813" s="1" t="s">
        <v>2448</v>
      </c>
      <c r="C813" s="1" t="s">
        <v>2449</v>
      </c>
      <c r="F813" s="1" t="s">
        <v>2450</v>
      </c>
      <c r="G813" s="1">
        <v>1</v>
      </c>
      <c r="H813" s="7">
        <v>45560</v>
      </c>
      <c r="I813" s="1" t="s">
        <v>7449</v>
      </c>
      <c r="J813" s="7">
        <v>45560</v>
      </c>
      <c r="K813" s="1" t="s">
        <v>7449</v>
      </c>
    </row>
    <row r="814" spans="1:11" x14ac:dyDescent="0.25">
      <c r="A814" s="1">
        <v>813</v>
      </c>
      <c r="B814" s="1" t="s">
        <v>2451</v>
      </c>
      <c r="C814" s="1" t="s">
        <v>2452</v>
      </c>
      <c r="F814" s="1" t="s">
        <v>2453</v>
      </c>
      <c r="G814" s="1">
        <v>1</v>
      </c>
      <c r="H814" s="7">
        <v>45560</v>
      </c>
      <c r="I814" s="1" t="s">
        <v>7449</v>
      </c>
      <c r="J814" s="7">
        <v>45560</v>
      </c>
      <c r="K814" s="1" t="s">
        <v>7449</v>
      </c>
    </row>
    <row r="815" spans="1:11" x14ac:dyDescent="0.25">
      <c r="A815" s="1">
        <v>814</v>
      </c>
      <c r="B815" s="1" t="s">
        <v>2454</v>
      </c>
      <c r="C815" s="1" t="s">
        <v>2455</v>
      </c>
      <c r="D815" s="1" t="s">
        <v>2456</v>
      </c>
      <c r="G815" s="1">
        <v>1</v>
      </c>
      <c r="H815" s="7">
        <v>45560</v>
      </c>
      <c r="I815" s="1" t="s">
        <v>7449</v>
      </c>
      <c r="J815" s="7">
        <v>45560</v>
      </c>
      <c r="K815" s="1" t="s">
        <v>7449</v>
      </c>
    </row>
    <row r="816" spans="1:11" x14ac:dyDescent="0.25">
      <c r="A816" s="1">
        <v>815</v>
      </c>
      <c r="B816" s="1" t="s">
        <v>2457</v>
      </c>
      <c r="C816" s="1" t="s">
        <v>2458</v>
      </c>
      <c r="F816" s="1" t="s">
        <v>2459</v>
      </c>
      <c r="G816" s="1">
        <v>1</v>
      </c>
      <c r="H816" s="7">
        <v>45560</v>
      </c>
      <c r="I816" s="1" t="s">
        <v>7449</v>
      </c>
      <c r="J816" s="7">
        <v>45560</v>
      </c>
      <c r="K816" s="1" t="s">
        <v>7449</v>
      </c>
    </row>
    <row r="817" spans="1:11" x14ac:dyDescent="0.25">
      <c r="A817" s="1">
        <v>816</v>
      </c>
      <c r="B817" s="1" t="s">
        <v>2460</v>
      </c>
      <c r="C817" s="1" t="s">
        <v>2461</v>
      </c>
      <c r="F817" s="1" t="s">
        <v>2462</v>
      </c>
      <c r="G817" s="1">
        <v>1</v>
      </c>
      <c r="H817" s="7">
        <v>45560</v>
      </c>
      <c r="I817" s="1" t="s">
        <v>7449</v>
      </c>
      <c r="J817" s="7">
        <v>45560</v>
      </c>
      <c r="K817" s="1" t="s">
        <v>7449</v>
      </c>
    </row>
    <row r="818" spans="1:11" x14ac:dyDescent="0.25">
      <c r="A818" s="1">
        <v>817</v>
      </c>
      <c r="B818" s="1" t="s">
        <v>2463</v>
      </c>
      <c r="C818" s="1" t="s">
        <v>2464</v>
      </c>
      <c r="F818" s="1" t="s">
        <v>2465</v>
      </c>
      <c r="G818" s="1">
        <v>1</v>
      </c>
      <c r="H818" s="7">
        <v>45560</v>
      </c>
      <c r="I818" s="1" t="s">
        <v>7449</v>
      </c>
      <c r="J818" s="7">
        <v>45560</v>
      </c>
      <c r="K818" s="1" t="s">
        <v>7449</v>
      </c>
    </row>
    <row r="819" spans="1:11" x14ac:dyDescent="0.25">
      <c r="A819" s="1">
        <v>818</v>
      </c>
      <c r="B819" s="1" t="s">
        <v>2466</v>
      </c>
      <c r="C819" s="1" t="s">
        <v>2467</v>
      </c>
      <c r="F819" s="1" t="s">
        <v>2468</v>
      </c>
      <c r="G819" s="1">
        <v>1</v>
      </c>
      <c r="H819" s="7">
        <v>45560</v>
      </c>
      <c r="I819" s="1" t="s">
        <v>7449</v>
      </c>
      <c r="J819" s="7">
        <v>45560</v>
      </c>
      <c r="K819" s="1" t="s">
        <v>7449</v>
      </c>
    </row>
    <row r="820" spans="1:11" x14ac:dyDescent="0.25">
      <c r="A820" s="1">
        <v>819</v>
      </c>
      <c r="B820" s="1" t="s">
        <v>2469</v>
      </c>
      <c r="C820" s="1" t="s">
        <v>2470</v>
      </c>
      <c r="F820" s="1" t="s">
        <v>2471</v>
      </c>
      <c r="G820" s="1">
        <v>1</v>
      </c>
      <c r="H820" s="7">
        <v>45560</v>
      </c>
      <c r="I820" s="1" t="s">
        <v>7449</v>
      </c>
      <c r="J820" s="7">
        <v>45560</v>
      </c>
      <c r="K820" s="1" t="s">
        <v>7449</v>
      </c>
    </row>
    <row r="821" spans="1:11" x14ac:dyDescent="0.25">
      <c r="A821" s="1">
        <v>820</v>
      </c>
      <c r="B821" s="1" t="s">
        <v>2472</v>
      </c>
      <c r="C821" s="1" t="s">
        <v>2473</v>
      </c>
      <c r="F821" s="1" t="s">
        <v>2474</v>
      </c>
      <c r="G821" s="1">
        <v>1</v>
      </c>
      <c r="H821" s="7">
        <v>45560</v>
      </c>
      <c r="I821" s="1" t="s">
        <v>7449</v>
      </c>
      <c r="J821" s="7">
        <v>45560</v>
      </c>
      <c r="K821" s="1" t="s">
        <v>7449</v>
      </c>
    </row>
    <row r="822" spans="1:11" x14ac:dyDescent="0.25">
      <c r="A822" s="1">
        <v>821</v>
      </c>
      <c r="B822" s="1" t="s">
        <v>2475</v>
      </c>
      <c r="C822" s="1" t="s">
        <v>2476</v>
      </c>
      <c r="F822" s="1" t="s">
        <v>2477</v>
      </c>
      <c r="G822" s="1">
        <v>1</v>
      </c>
      <c r="H822" s="7">
        <v>45560</v>
      </c>
      <c r="I822" s="1" t="s">
        <v>7449</v>
      </c>
      <c r="J822" s="7">
        <v>45560</v>
      </c>
      <c r="K822" s="1" t="s">
        <v>7449</v>
      </c>
    </row>
    <row r="823" spans="1:11" x14ac:dyDescent="0.25">
      <c r="A823" s="1">
        <v>822</v>
      </c>
      <c r="B823" s="1" t="s">
        <v>2478</v>
      </c>
      <c r="C823" s="1" t="s">
        <v>2479</v>
      </c>
      <c r="F823" s="1" t="s">
        <v>2480</v>
      </c>
      <c r="G823" s="1">
        <v>1</v>
      </c>
      <c r="H823" s="7">
        <v>45560</v>
      </c>
      <c r="I823" s="1" t="s">
        <v>7449</v>
      </c>
      <c r="J823" s="7">
        <v>45560</v>
      </c>
      <c r="K823" s="1" t="s">
        <v>7449</v>
      </c>
    </row>
    <row r="824" spans="1:11" x14ac:dyDescent="0.25">
      <c r="A824" s="1">
        <v>823</v>
      </c>
      <c r="B824" s="1" t="s">
        <v>2481</v>
      </c>
      <c r="C824" s="1" t="s">
        <v>2482</v>
      </c>
      <c r="F824" s="1" t="s">
        <v>2483</v>
      </c>
      <c r="G824" s="1">
        <v>1</v>
      </c>
      <c r="H824" s="7">
        <v>45560</v>
      </c>
      <c r="I824" s="1" t="s">
        <v>7449</v>
      </c>
      <c r="J824" s="7">
        <v>45560</v>
      </c>
      <c r="K824" s="1" t="s">
        <v>7449</v>
      </c>
    </row>
    <row r="825" spans="1:11" x14ac:dyDescent="0.25">
      <c r="A825" s="1">
        <v>824</v>
      </c>
      <c r="B825" s="1" t="s">
        <v>2484</v>
      </c>
      <c r="C825" s="1" t="s">
        <v>2485</v>
      </c>
      <c r="E825" s="1" t="s">
        <v>52</v>
      </c>
      <c r="G825" s="1">
        <v>1</v>
      </c>
      <c r="H825" s="7">
        <v>45560</v>
      </c>
      <c r="I825" s="1" t="s">
        <v>7449</v>
      </c>
      <c r="J825" s="7">
        <v>45560</v>
      </c>
      <c r="K825" s="1" t="s">
        <v>7449</v>
      </c>
    </row>
    <row r="826" spans="1:11" x14ac:dyDescent="0.25">
      <c r="A826" s="1">
        <v>825</v>
      </c>
      <c r="B826" s="1" t="s">
        <v>2486</v>
      </c>
      <c r="C826" s="1" t="s">
        <v>2487</v>
      </c>
      <c r="F826" s="1" t="s">
        <v>2488</v>
      </c>
      <c r="G826" s="1">
        <v>1</v>
      </c>
      <c r="H826" s="7">
        <v>45560</v>
      </c>
      <c r="I826" s="1" t="s">
        <v>7449</v>
      </c>
      <c r="J826" s="7">
        <v>45560</v>
      </c>
      <c r="K826" s="1" t="s">
        <v>7449</v>
      </c>
    </row>
    <row r="827" spans="1:11" x14ac:dyDescent="0.25">
      <c r="A827" s="1">
        <v>826</v>
      </c>
      <c r="B827" s="1" t="s">
        <v>2489</v>
      </c>
      <c r="C827" s="1" t="s">
        <v>2490</v>
      </c>
      <c r="F827" s="1" t="s">
        <v>2491</v>
      </c>
      <c r="G827" s="1">
        <v>1</v>
      </c>
      <c r="H827" s="7">
        <v>45560</v>
      </c>
      <c r="I827" s="1" t="s">
        <v>7449</v>
      </c>
      <c r="J827" s="7">
        <v>45560</v>
      </c>
      <c r="K827" s="1" t="s">
        <v>7449</v>
      </c>
    </row>
    <row r="828" spans="1:11" x14ac:dyDescent="0.25">
      <c r="A828" s="1">
        <v>827</v>
      </c>
      <c r="B828" s="1" t="s">
        <v>2492</v>
      </c>
      <c r="C828" s="1" t="s">
        <v>2493</v>
      </c>
      <c r="F828" s="1" t="s">
        <v>2494</v>
      </c>
      <c r="G828" s="1">
        <v>1</v>
      </c>
      <c r="H828" s="7">
        <v>45560</v>
      </c>
      <c r="I828" s="1" t="s">
        <v>7449</v>
      </c>
      <c r="J828" s="7">
        <v>45560</v>
      </c>
      <c r="K828" s="1" t="s">
        <v>7449</v>
      </c>
    </row>
    <row r="829" spans="1:11" x14ac:dyDescent="0.25">
      <c r="A829" s="1">
        <v>828</v>
      </c>
      <c r="B829" s="1" t="s">
        <v>2495</v>
      </c>
      <c r="C829" s="1" t="s">
        <v>2496</v>
      </c>
      <c r="F829" s="1" t="s">
        <v>2497</v>
      </c>
      <c r="G829" s="1">
        <v>1</v>
      </c>
      <c r="H829" s="7">
        <v>45560</v>
      </c>
      <c r="I829" s="1" t="s">
        <v>7449</v>
      </c>
      <c r="J829" s="7">
        <v>45560</v>
      </c>
      <c r="K829" s="1" t="s">
        <v>7449</v>
      </c>
    </row>
    <row r="830" spans="1:11" x14ac:dyDescent="0.25">
      <c r="A830" s="1">
        <v>829</v>
      </c>
      <c r="B830" s="1" t="s">
        <v>2498</v>
      </c>
      <c r="C830" s="1" t="s">
        <v>2499</v>
      </c>
      <c r="F830" s="1" t="s">
        <v>2500</v>
      </c>
      <c r="G830" s="1">
        <v>1</v>
      </c>
      <c r="H830" s="7">
        <v>45560</v>
      </c>
      <c r="I830" s="1" t="s">
        <v>7449</v>
      </c>
      <c r="J830" s="7">
        <v>45560</v>
      </c>
      <c r="K830" s="1" t="s">
        <v>7449</v>
      </c>
    </row>
    <row r="831" spans="1:11" x14ac:dyDescent="0.25">
      <c r="A831" s="1">
        <v>830</v>
      </c>
      <c r="B831" s="1" t="s">
        <v>2501</v>
      </c>
      <c r="C831" s="1" t="s">
        <v>2502</v>
      </c>
      <c r="F831" s="1" t="s">
        <v>2503</v>
      </c>
      <c r="G831" s="1">
        <v>1</v>
      </c>
      <c r="H831" s="7">
        <v>45560</v>
      </c>
      <c r="I831" s="1" t="s">
        <v>7449</v>
      </c>
      <c r="J831" s="7">
        <v>45560</v>
      </c>
      <c r="K831" s="1" t="s">
        <v>7449</v>
      </c>
    </row>
    <row r="832" spans="1:11" x14ac:dyDescent="0.25">
      <c r="A832" s="1">
        <v>831</v>
      </c>
      <c r="B832" s="1" t="s">
        <v>2504</v>
      </c>
      <c r="C832" s="1" t="s">
        <v>2505</v>
      </c>
      <c r="F832" s="1" t="s">
        <v>2506</v>
      </c>
      <c r="G832" s="1">
        <v>1</v>
      </c>
      <c r="H832" s="7">
        <v>45560</v>
      </c>
      <c r="I832" s="1" t="s">
        <v>7449</v>
      </c>
      <c r="J832" s="7">
        <v>45560</v>
      </c>
      <c r="K832" s="1" t="s">
        <v>7449</v>
      </c>
    </row>
    <row r="833" spans="1:11" x14ac:dyDescent="0.25">
      <c r="A833" s="1">
        <v>832</v>
      </c>
      <c r="B833" s="1" t="s">
        <v>2507</v>
      </c>
      <c r="C833" s="1" t="s">
        <v>2508</v>
      </c>
      <c r="F833" s="1" t="s">
        <v>2509</v>
      </c>
      <c r="G833" s="1">
        <v>1</v>
      </c>
      <c r="H833" s="7">
        <v>45560</v>
      </c>
      <c r="I833" s="1" t="s">
        <v>7449</v>
      </c>
      <c r="J833" s="7">
        <v>45560</v>
      </c>
      <c r="K833" s="1" t="s">
        <v>7449</v>
      </c>
    </row>
    <row r="834" spans="1:11" x14ac:dyDescent="0.25">
      <c r="A834" s="1">
        <v>833</v>
      </c>
      <c r="B834" s="1" t="s">
        <v>2510</v>
      </c>
      <c r="C834" s="1" t="s">
        <v>2511</v>
      </c>
      <c r="F834" s="1" t="s">
        <v>2512</v>
      </c>
      <c r="G834" s="1">
        <v>1</v>
      </c>
      <c r="H834" s="7">
        <v>45560</v>
      </c>
      <c r="I834" s="1" t="s">
        <v>7449</v>
      </c>
      <c r="J834" s="7">
        <v>45560</v>
      </c>
      <c r="K834" s="1" t="s">
        <v>7449</v>
      </c>
    </row>
    <row r="835" spans="1:11" x14ac:dyDescent="0.25">
      <c r="A835" s="1">
        <v>834</v>
      </c>
      <c r="B835" s="1" t="s">
        <v>2513</v>
      </c>
      <c r="C835" s="1" t="s">
        <v>2514</v>
      </c>
      <c r="F835" s="1" t="s">
        <v>2515</v>
      </c>
      <c r="G835" s="1">
        <v>1</v>
      </c>
      <c r="H835" s="7">
        <v>45560</v>
      </c>
      <c r="I835" s="1" t="s">
        <v>7449</v>
      </c>
      <c r="J835" s="7">
        <v>45560</v>
      </c>
      <c r="K835" s="1" t="s">
        <v>7449</v>
      </c>
    </row>
    <row r="836" spans="1:11" x14ac:dyDescent="0.25">
      <c r="A836" s="1">
        <v>835</v>
      </c>
      <c r="B836" s="1" t="s">
        <v>2516</v>
      </c>
      <c r="C836" s="1" t="s">
        <v>2517</v>
      </c>
      <c r="D836" s="1" t="s">
        <v>494</v>
      </c>
      <c r="F836" s="1" t="s">
        <v>2518</v>
      </c>
      <c r="G836" s="1">
        <v>1</v>
      </c>
      <c r="H836" s="7">
        <v>45560</v>
      </c>
      <c r="I836" s="1" t="s">
        <v>7449</v>
      </c>
      <c r="J836" s="7">
        <v>45560</v>
      </c>
      <c r="K836" s="1" t="s">
        <v>7449</v>
      </c>
    </row>
    <row r="837" spans="1:11" x14ac:dyDescent="0.25">
      <c r="A837" s="1">
        <v>836</v>
      </c>
      <c r="B837" s="1" t="s">
        <v>2519</v>
      </c>
      <c r="C837" s="1" t="s">
        <v>2520</v>
      </c>
      <c r="D837" s="1" t="s">
        <v>2521</v>
      </c>
      <c r="F837" s="1" t="s">
        <v>2522</v>
      </c>
      <c r="G837" s="1">
        <v>1</v>
      </c>
      <c r="H837" s="7">
        <v>45560</v>
      </c>
      <c r="I837" s="1" t="s">
        <v>7449</v>
      </c>
      <c r="J837" s="7">
        <v>45560</v>
      </c>
      <c r="K837" s="1" t="s">
        <v>7449</v>
      </c>
    </row>
    <row r="838" spans="1:11" x14ac:dyDescent="0.25">
      <c r="A838" s="1">
        <v>837</v>
      </c>
      <c r="B838" s="1" t="s">
        <v>2523</v>
      </c>
      <c r="C838" s="1" t="s">
        <v>2524</v>
      </c>
      <c r="E838" s="1" t="s">
        <v>52</v>
      </c>
      <c r="G838" s="1">
        <v>1</v>
      </c>
      <c r="H838" s="7">
        <v>45560</v>
      </c>
      <c r="I838" s="1" t="s">
        <v>7449</v>
      </c>
      <c r="J838" s="7">
        <v>45560</v>
      </c>
      <c r="K838" s="1" t="s">
        <v>7449</v>
      </c>
    </row>
    <row r="839" spans="1:11" x14ac:dyDescent="0.25">
      <c r="A839" s="1">
        <v>838</v>
      </c>
      <c r="B839" s="1" t="s">
        <v>2525</v>
      </c>
      <c r="C839" s="1" t="s">
        <v>2526</v>
      </c>
      <c r="D839" s="1" t="s">
        <v>2527</v>
      </c>
      <c r="G839" s="1">
        <v>1</v>
      </c>
      <c r="H839" s="7">
        <v>45560</v>
      </c>
      <c r="I839" s="1" t="s">
        <v>7449</v>
      </c>
      <c r="J839" s="7">
        <v>45560</v>
      </c>
      <c r="K839" s="1" t="s">
        <v>7449</v>
      </c>
    </row>
    <row r="840" spans="1:11" x14ac:dyDescent="0.25">
      <c r="A840" s="1">
        <v>839</v>
      </c>
      <c r="B840" s="1" t="s">
        <v>2528</v>
      </c>
      <c r="C840" s="1" t="s">
        <v>2529</v>
      </c>
      <c r="D840" s="1" t="s">
        <v>2530</v>
      </c>
      <c r="F840" s="1" t="s">
        <v>2531</v>
      </c>
      <c r="G840" s="1">
        <v>1</v>
      </c>
      <c r="H840" s="7">
        <v>45560</v>
      </c>
      <c r="I840" s="1" t="s">
        <v>7449</v>
      </c>
      <c r="J840" s="7">
        <v>45560</v>
      </c>
      <c r="K840" s="1" t="s">
        <v>7449</v>
      </c>
    </row>
    <row r="841" spans="1:11" x14ac:dyDescent="0.25">
      <c r="A841" s="1">
        <v>840</v>
      </c>
      <c r="B841" s="1" t="s">
        <v>2532</v>
      </c>
      <c r="C841" s="1" t="s">
        <v>2533</v>
      </c>
      <c r="E841" s="1" t="s">
        <v>52</v>
      </c>
      <c r="G841" s="1">
        <v>1</v>
      </c>
      <c r="H841" s="7">
        <v>45560</v>
      </c>
      <c r="I841" s="1" t="s">
        <v>7449</v>
      </c>
      <c r="J841" s="7">
        <v>45560</v>
      </c>
      <c r="K841" s="1" t="s">
        <v>7449</v>
      </c>
    </row>
    <row r="842" spans="1:11" x14ac:dyDescent="0.25">
      <c r="A842" s="1">
        <v>841</v>
      </c>
      <c r="B842" s="1" t="s">
        <v>2534</v>
      </c>
      <c r="C842" s="1" t="s">
        <v>2535</v>
      </c>
      <c r="E842" s="1" t="s">
        <v>52</v>
      </c>
      <c r="G842" s="1">
        <v>1</v>
      </c>
      <c r="H842" s="7">
        <v>45560</v>
      </c>
      <c r="I842" s="1" t="s">
        <v>7449</v>
      </c>
      <c r="J842" s="7">
        <v>45560</v>
      </c>
      <c r="K842" s="1" t="s">
        <v>7449</v>
      </c>
    </row>
    <row r="843" spans="1:11" x14ac:dyDescent="0.25">
      <c r="A843" s="1">
        <v>842</v>
      </c>
      <c r="B843" s="1" t="s">
        <v>2536</v>
      </c>
      <c r="C843" s="1" t="s">
        <v>2537</v>
      </c>
      <c r="D843" s="1" t="s">
        <v>2538</v>
      </c>
      <c r="G843" s="1">
        <v>1</v>
      </c>
      <c r="H843" s="7">
        <v>45560</v>
      </c>
      <c r="I843" s="1" t="s">
        <v>7449</v>
      </c>
      <c r="J843" s="7">
        <v>45560</v>
      </c>
      <c r="K843" s="1" t="s">
        <v>7449</v>
      </c>
    </row>
    <row r="844" spans="1:11" x14ac:dyDescent="0.25">
      <c r="A844" s="1">
        <v>843</v>
      </c>
      <c r="B844" s="1" t="s">
        <v>2539</v>
      </c>
      <c r="C844" s="1" t="s">
        <v>2540</v>
      </c>
      <c r="E844" s="1" t="s">
        <v>52</v>
      </c>
      <c r="G844" s="1">
        <v>1</v>
      </c>
      <c r="H844" s="7">
        <v>45560</v>
      </c>
      <c r="I844" s="1" t="s">
        <v>7449</v>
      </c>
      <c r="J844" s="7">
        <v>45560</v>
      </c>
      <c r="K844" s="1" t="s">
        <v>7449</v>
      </c>
    </row>
    <row r="845" spans="1:11" x14ac:dyDescent="0.25">
      <c r="A845" s="1">
        <v>844</v>
      </c>
      <c r="B845" s="1" t="s">
        <v>2541</v>
      </c>
      <c r="C845" s="1" t="s">
        <v>2542</v>
      </c>
      <c r="F845" s="1" t="s">
        <v>2543</v>
      </c>
      <c r="G845" s="1">
        <v>1</v>
      </c>
      <c r="H845" s="7">
        <v>45560</v>
      </c>
      <c r="I845" s="1" t="s">
        <v>7449</v>
      </c>
      <c r="J845" s="7">
        <v>45560</v>
      </c>
      <c r="K845" s="1" t="s">
        <v>7449</v>
      </c>
    </row>
    <row r="846" spans="1:11" x14ac:dyDescent="0.25">
      <c r="A846" s="1">
        <v>845</v>
      </c>
      <c r="B846" s="1" t="s">
        <v>2544</v>
      </c>
      <c r="C846" s="1" t="s">
        <v>2545</v>
      </c>
      <c r="D846" s="1" t="s">
        <v>2546</v>
      </c>
      <c r="F846" s="1" t="s">
        <v>2544</v>
      </c>
      <c r="G846" s="1">
        <v>1</v>
      </c>
      <c r="H846" s="7">
        <v>45560</v>
      </c>
      <c r="I846" s="1" t="s">
        <v>7449</v>
      </c>
      <c r="J846" s="7">
        <v>45560</v>
      </c>
      <c r="K846" s="1" t="s">
        <v>7449</v>
      </c>
    </row>
    <row r="847" spans="1:11" x14ac:dyDescent="0.25">
      <c r="A847" s="1">
        <v>846</v>
      </c>
      <c r="B847" s="1" t="s">
        <v>2547</v>
      </c>
      <c r="C847" s="1" t="s">
        <v>2548</v>
      </c>
      <c r="D847" s="1" t="s">
        <v>2549</v>
      </c>
      <c r="G847" s="1">
        <v>1</v>
      </c>
      <c r="H847" s="7">
        <v>45560</v>
      </c>
      <c r="I847" s="1" t="s">
        <v>7449</v>
      </c>
      <c r="J847" s="7">
        <v>45560</v>
      </c>
      <c r="K847" s="1" t="s">
        <v>7449</v>
      </c>
    </row>
    <row r="848" spans="1:11" x14ac:dyDescent="0.25">
      <c r="A848" s="1">
        <v>847</v>
      </c>
      <c r="B848" s="1" t="s">
        <v>2550</v>
      </c>
      <c r="C848" s="1" t="s">
        <v>2551</v>
      </c>
      <c r="E848" s="1" t="s">
        <v>52</v>
      </c>
      <c r="F848" s="1" t="s">
        <v>2552</v>
      </c>
      <c r="G848" s="1">
        <v>1</v>
      </c>
      <c r="H848" s="7">
        <v>45560</v>
      </c>
      <c r="I848" s="1" t="s">
        <v>7449</v>
      </c>
      <c r="J848" s="7">
        <v>45560</v>
      </c>
      <c r="K848" s="1" t="s">
        <v>7449</v>
      </c>
    </row>
    <row r="849" spans="1:11" x14ac:dyDescent="0.25">
      <c r="A849" s="1">
        <v>848</v>
      </c>
      <c r="B849" s="1" t="s">
        <v>2553</v>
      </c>
      <c r="C849" s="1" t="s">
        <v>2554</v>
      </c>
      <c r="D849" s="1" t="s">
        <v>2555</v>
      </c>
      <c r="F849" s="1" t="s">
        <v>2556</v>
      </c>
      <c r="G849" s="1">
        <v>1</v>
      </c>
      <c r="H849" s="7">
        <v>45560</v>
      </c>
      <c r="I849" s="1" t="s">
        <v>7449</v>
      </c>
      <c r="J849" s="7">
        <v>45560</v>
      </c>
      <c r="K849" s="1" t="s">
        <v>7449</v>
      </c>
    </row>
    <row r="850" spans="1:11" x14ac:dyDescent="0.25">
      <c r="A850" s="1">
        <v>849</v>
      </c>
      <c r="B850" s="1" t="s">
        <v>2557</v>
      </c>
      <c r="C850" s="1" t="s">
        <v>2558</v>
      </c>
      <c r="F850" s="1" t="s">
        <v>2559</v>
      </c>
      <c r="G850" s="1">
        <v>1</v>
      </c>
      <c r="H850" s="7">
        <v>45560</v>
      </c>
      <c r="I850" s="1" t="s">
        <v>7449</v>
      </c>
      <c r="J850" s="7">
        <v>45560</v>
      </c>
      <c r="K850" s="1" t="s">
        <v>7449</v>
      </c>
    </row>
    <row r="851" spans="1:11" x14ac:dyDescent="0.25">
      <c r="A851" s="1">
        <v>850</v>
      </c>
      <c r="B851" s="1" t="s">
        <v>2560</v>
      </c>
      <c r="C851" s="1" t="s">
        <v>2561</v>
      </c>
      <c r="F851" s="1" t="s">
        <v>2562</v>
      </c>
      <c r="G851" s="1">
        <v>1</v>
      </c>
      <c r="H851" s="7">
        <v>45560</v>
      </c>
      <c r="I851" s="1" t="s">
        <v>7449</v>
      </c>
      <c r="J851" s="7">
        <v>45560</v>
      </c>
      <c r="K851" s="1" t="s">
        <v>7449</v>
      </c>
    </row>
    <row r="852" spans="1:11" x14ac:dyDescent="0.25">
      <c r="A852" s="1">
        <v>851</v>
      </c>
      <c r="B852" s="1" t="s">
        <v>2563</v>
      </c>
      <c r="C852" s="1" t="s">
        <v>2564</v>
      </c>
      <c r="F852" s="1" t="s">
        <v>2565</v>
      </c>
      <c r="G852" s="1">
        <v>1</v>
      </c>
      <c r="H852" s="7">
        <v>45560</v>
      </c>
      <c r="I852" s="1" t="s">
        <v>7449</v>
      </c>
      <c r="J852" s="7">
        <v>45560</v>
      </c>
      <c r="K852" s="1" t="s">
        <v>7449</v>
      </c>
    </row>
    <row r="853" spans="1:11" x14ac:dyDescent="0.25">
      <c r="A853" s="1">
        <v>852</v>
      </c>
      <c r="B853" s="1" t="s">
        <v>2566</v>
      </c>
      <c r="C853" s="1" t="s">
        <v>2567</v>
      </c>
      <c r="D853" s="1" t="s">
        <v>2568</v>
      </c>
      <c r="F853" s="1" t="s">
        <v>2569</v>
      </c>
      <c r="G853" s="1">
        <v>1</v>
      </c>
      <c r="H853" s="7">
        <v>45560</v>
      </c>
      <c r="I853" s="1" t="s">
        <v>7449</v>
      </c>
      <c r="J853" s="7">
        <v>45560</v>
      </c>
      <c r="K853" s="1" t="s">
        <v>7449</v>
      </c>
    </row>
    <row r="854" spans="1:11" x14ac:dyDescent="0.25">
      <c r="A854" s="1">
        <v>853</v>
      </c>
      <c r="B854" s="1" t="s">
        <v>2570</v>
      </c>
      <c r="C854" s="1" t="s">
        <v>2571</v>
      </c>
      <c r="F854" s="1" t="s">
        <v>2572</v>
      </c>
      <c r="G854" s="1">
        <v>1</v>
      </c>
      <c r="H854" s="7">
        <v>45560</v>
      </c>
      <c r="I854" s="1" t="s">
        <v>7449</v>
      </c>
      <c r="J854" s="7">
        <v>45560</v>
      </c>
      <c r="K854" s="1" t="s">
        <v>7449</v>
      </c>
    </row>
    <row r="855" spans="1:11" x14ac:dyDescent="0.25">
      <c r="A855" s="1">
        <v>854</v>
      </c>
      <c r="B855" s="1" t="s">
        <v>2573</v>
      </c>
      <c r="C855" s="1" t="s">
        <v>2574</v>
      </c>
      <c r="F855" s="1" t="s">
        <v>2575</v>
      </c>
      <c r="G855" s="1">
        <v>1</v>
      </c>
      <c r="H855" s="7">
        <v>45560</v>
      </c>
      <c r="I855" s="1" t="s">
        <v>7449</v>
      </c>
      <c r="J855" s="7">
        <v>45560</v>
      </c>
      <c r="K855" s="1" t="s">
        <v>7449</v>
      </c>
    </row>
    <row r="856" spans="1:11" x14ac:dyDescent="0.25">
      <c r="A856" s="1">
        <v>855</v>
      </c>
      <c r="B856" s="1" t="s">
        <v>2576</v>
      </c>
      <c r="C856" s="1" t="s">
        <v>2577</v>
      </c>
      <c r="F856" s="1" t="s">
        <v>2578</v>
      </c>
      <c r="G856" s="1">
        <v>1</v>
      </c>
      <c r="H856" s="7">
        <v>45560</v>
      </c>
      <c r="I856" s="1" t="s">
        <v>7449</v>
      </c>
      <c r="J856" s="7">
        <v>45560</v>
      </c>
      <c r="K856" s="1" t="s">
        <v>7449</v>
      </c>
    </row>
    <row r="857" spans="1:11" x14ac:dyDescent="0.25">
      <c r="A857" s="1">
        <v>856</v>
      </c>
      <c r="B857" s="1" t="s">
        <v>2579</v>
      </c>
      <c r="C857" s="1" t="s">
        <v>2580</v>
      </c>
      <c r="F857" s="1" t="s">
        <v>2581</v>
      </c>
      <c r="G857" s="1">
        <v>1</v>
      </c>
      <c r="H857" s="7">
        <v>45560</v>
      </c>
      <c r="I857" s="1" t="s">
        <v>7449</v>
      </c>
      <c r="J857" s="7">
        <v>45560</v>
      </c>
      <c r="K857" s="1" t="s">
        <v>7449</v>
      </c>
    </row>
    <row r="858" spans="1:11" x14ac:dyDescent="0.25">
      <c r="A858" s="1">
        <v>857</v>
      </c>
      <c r="B858" s="1" t="s">
        <v>2582</v>
      </c>
      <c r="C858" s="1" t="s">
        <v>2583</v>
      </c>
      <c r="F858" s="1" t="s">
        <v>2584</v>
      </c>
      <c r="G858" s="1">
        <v>1</v>
      </c>
      <c r="H858" s="7">
        <v>45560</v>
      </c>
      <c r="I858" s="1" t="s">
        <v>7449</v>
      </c>
      <c r="J858" s="7">
        <v>45560</v>
      </c>
      <c r="K858" s="1" t="s">
        <v>7449</v>
      </c>
    </row>
    <row r="859" spans="1:11" x14ac:dyDescent="0.25">
      <c r="A859" s="1">
        <v>858</v>
      </c>
      <c r="B859" s="1" t="s">
        <v>2585</v>
      </c>
      <c r="C859" s="1" t="s">
        <v>2586</v>
      </c>
      <c r="F859" s="1" t="s">
        <v>2587</v>
      </c>
      <c r="G859" s="1">
        <v>1</v>
      </c>
      <c r="H859" s="7">
        <v>45560</v>
      </c>
      <c r="I859" s="1" t="s">
        <v>7449</v>
      </c>
      <c r="J859" s="7">
        <v>45560</v>
      </c>
      <c r="K859" s="1" t="s">
        <v>7449</v>
      </c>
    </row>
    <row r="860" spans="1:11" x14ac:dyDescent="0.25">
      <c r="A860" s="1">
        <v>859</v>
      </c>
      <c r="B860" s="1" t="s">
        <v>2588</v>
      </c>
      <c r="C860" s="1" t="s">
        <v>2589</v>
      </c>
      <c r="F860" s="1" t="s">
        <v>2590</v>
      </c>
      <c r="G860" s="1">
        <v>1</v>
      </c>
      <c r="H860" s="7">
        <v>45560</v>
      </c>
      <c r="I860" s="1" t="s">
        <v>7449</v>
      </c>
      <c r="J860" s="7">
        <v>45560</v>
      </c>
      <c r="K860" s="1" t="s">
        <v>7449</v>
      </c>
    </row>
    <row r="861" spans="1:11" x14ac:dyDescent="0.25">
      <c r="A861" s="1">
        <v>860</v>
      </c>
      <c r="B861" s="1" t="s">
        <v>2591</v>
      </c>
      <c r="C861" s="1" t="s">
        <v>2592</v>
      </c>
      <c r="F861" s="1" t="s">
        <v>2593</v>
      </c>
      <c r="G861" s="1">
        <v>1</v>
      </c>
      <c r="H861" s="7">
        <v>45560</v>
      </c>
      <c r="I861" s="1" t="s">
        <v>7449</v>
      </c>
      <c r="J861" s="7">
        <v>45560</v>
      </c>
      <c r="K861" s="1" t="s">
        <v>7449</v>
      </c>
    </row>
    <row r="862" spans="1:11" x14ac:dyDescent="0.25">
      <c r="A862" s="1">
        <v>861</v>
      </c>
      <c r="B862" s="1" t="s">
        <v>2594</v>
      </c>
      <c r="C862" s="1" t="s">
        <v>2595</v>
      </c>
      <c r="F862" s="1" t="s">
        <v>2596</v>
      </c>
      <c r="G862" s="1">
        <v>1</v>
      </c>
      <c r="H862" s="7">
        <v>45560</v>
      </c>
      <c r="I862" s="1" t="s">
        <v>7449</v>
      </c>
      <c r="J862" s="7">
        <v>45560</v>
      </c>
      <c r="K862" s="1" t="s">
        <v>7449</v>
      </c>
    </row>
    <row r="863" spans="1:11" x14ac:dyDescent="0.25">
      <c r="A863" s="1">
        <v>862</v>
      </c>
      <c r="B863" s="1" t="s">
        <v>2597</v>
      </c>
      <c r="C863" s="1" t="s">
        <v>2598</v>
      </c>
      <c r="F863" s="1" t="s">
        <v>2599</v>
      </c>
      <c r="G863" s="1">
        <v>1</v>
      </c>
      <c r="H863" s="7">
        <v>45560</v>
      </c>
      <c r="I863" s="1" t="s">
        <v>7449</v>
      </c>
      <c r="J863" s="7">
        <v>45560</v>
      </c>
      <c r="K863" s="1" t="s">
        <v>7449</v>
      </c>
    </row>
    <row r="864" spans="1:11" x14ac:dyDescent="0.25">
      <c r="A864" s="1">
        <v>863</v>
      </c>
      <c r="B864" s="1" t="s">
        <v>2600</v>
      </c>
      <c r="C864" s="1" t="s">
        <v>2601</v>
      </c>
      <c r="F864" s="1" t="s">
        <v>2602</v>
      </c>
      <c r="G864" s="1">
        <v>1</v>
      </c>
      <c r="H864" s="7">
        <v>45560</v>
      </c>
      <c r="I864" s="1" t="s">
        <v>7449</v>
      </c>
      <c r="J864" s="7">
        <v>45560</v>
      </c>
      <c r="K864" s="1" t="s">
        <v>7449</v>
      </c>
    </row>
    <row r="865" spans="1:11" x14ac:dyDescent="0.25">
      <c r="A865" s="1">
        <v>864</v>
      </c>
      <c r="B865" s="1" t="s">
        <v>2603</v>
      </c>
      <c r="C865" s="1" t="s">
        <v>2604</v>
      </c>
      <c r="F865" s="1" t="s">
        <v>2605</v>
      </c>
      <c r="G865" s="1">
        <v>1</v>
      </c>
      <c r="H865" s="7">
        <v>45560</v>
      </c>
      <c r="I865" s="1" t="s">
        <v>7449</v>
      </c>
      <c r="J865" s="7">
        <v>45560</v>
      </c>
      <c r="K865" s="1" t="s">
        <v>7449</v>
      </c>
    </row>
    <row r="866" spans="1:11" x14ac:dyDescent="0.25">
      <c r="A866" s="1">
        <v>865</v>
      </c>
      <c r="B866" s="1" t="s">
        <v>2606</v>
      </c>
      <c r="C866" s="1" t="s">
        <v>2607</v>
      </c>
      <c r="F866" s="1" t="s">
        <v>2608</v>
      </c>
      <c r="G866" s="1">
        <v>1</v>
      </c>
      <c r="H866" s="7">
        <v>45560</v>
      </c>
      <c r="I866" s="1" t="s">
        <v>7449</v>
      </c>
      <c r="J866" s="7">
        <v>45560</v>
      </c>
      <c r="K866" s="1" t="s">
        <v>7449</v>
      </c>
    </row>
    <row r="867" spans="1:11" x14ac:dyDescent="0.25">
      <c r="A867" s="1">
        <v>866</v>
      </c>
      <c r="B867" s="1" t="s">
        <v>2609</v>
      </c>
      <c r="C867" s="1" t="s">
        <v>2610</v>
      </c>
      <c r="F867" s="1" t="s">
        <v>2611</v>
      </c>
      <c r="G867" s="1">
        <v>1</v>
      </c>
      <c r="H867" s="7">
        <v>45560</v>
      </c>
      <c r="I867" s="1" t="s">
        <v>7449</v>
      </c>
      <c r="J867" s="7">
        <v>45560</v>
      </c>
      <c r="K867" s="1" t="s">
        <v>7449</v>
      </c>
    </row>
    <row r="868" spans="1:11" x14ac:dyDescent="0.25">
      <c r="A868" s="1">
        <v>867</v>
      </c>
      <c r="B868" s="1" t="s">
        <v>2612</v>
      </c>
      <c r="C868" s="1" t="s">
        <v>2613</v>
      </c>
      <c r="F868" s="1" t="s">
        <v>2614</v>
      </c>
      <c r="G868" s="1">
        <v>1</v>
      </c>
      <c r="H868" s="7">
        <v>45560</v>
      </c>
      <c r="I868" s="1" t="s">
        <v>7449</v>
      </c>
      <c r="J868" s="7">
        <v>45560</v>
      </c>
      <c r="K868" s="1" t="s">
        <v>7449</v>
      </c>
    </row>
    <row r="869" spans="1:11" x14ac:dyDescent="0.25">
      <c r="A869" s="1">
        <v>868</v>
      </c>
      <c r="B869" s="1" t="s">
        <v>2615</v>
      </c>
      <c r="C869" s="1" t="s">
        <v>2616</v>
      </c>
      <c r="F869" s="1" t="s">
        <v>2617</v>
      </c>
      <c r="G869" s="1">
        <v>1</v>
      </c>
      <c r="H869" s="7">
        <v>45560</v>
      </c>
      <c r="I869" s="1" t="s">
        <v>7449</v>
      </c>
      <c r="J869" s="7">
        <v>45560</v>
      </c>
      <c r="K869" s="1" t="s">
        <v>7449</v>
      </c>
    </row>
    <row r="870" spans="1:11" x14ac:dyDescent="0.25">
      <c r="A870" s="1">
        <v>869</v>
      </c>
      <c r="B870" s="1" t="s">
        <v>2618</v>
      </c>
      <c r="C870" s="1" t="s">
        <v>2619</v>
      </c>
      <c r="F870" s="1" t="s">
        <v>2620</v>
      </c>
      <c r="G870" s="1">
        <v>1</v>
      </c>
      <c r="H870" s="7">
        <v>45560</v>
      </c>
      <c r="I870" s="1" t="s">
        <v>7449</v>
      </c>
      <c r="J870" s="7">
        <v>45560</v>
      </c>
      <c r="K870" s="1" t="s">
        <v>7449</v>
      </c>
    </row>
    <row r="871" spans="1:11" x14ac:dyDescent="0.25">
      <c r="A871" s="1">
        <v>870</v>
      </c>
      <c r="B871" s="1" t="s">
        <v>2621</v>
      </c>
      <c r="C871" s="1" t="s">
        <v>2622</v>
      </c>
      <c r="F871" s="1" t="s">
        <v>2623</v>
      </c>
      <c r="G871" s="1">
        <v>1</v>
      </c>
      <c r="H871" s="7">
        <v>45560</v>
      </c>
      <c r="I871" s="1" t="s">
        <v>7449</v>
      </c>
      <c r="J871" s="7">
        <v>45560</v>
      </c>
      <c r="K871" s="1" t="s">
        <v>7449</v>
      </c>
    </row>
    <row r="872" spans="1:11" x14ac:dyDescent="0.25">
      <c r="A872" s="1">
        <v>871</v>
      </c>
      <c r="B872" s="1" t="s">
        <v>2624</v>
      </c>
      <c r="C872" s="1" t="s">
        <v>2625</v>
      </c>
      <c r="F872" s="1" t="s">
        <v>2626</v>
      </c>
      <c r="G872" s="1">
        <v>1</v>
      </c>
      <c r="H872" s="7">
        <v>45560</v>
      </c>
      <c r="I872" s="1" t="s">
        <v>7449</v>
      </c>
      <c r="J872" s="7">
        <v>45560</v>
      </c>
      <c r="K872" s="1" t="s">
        <v>7449</v>
      </c>
    </row>
    <row r="873" spans="1:11" x14ac:dyDescent="0.25">
      <c r="A873" s="1">
        <v>872</v>
      </c>
      <c r="B873" s="1" t="s">
        <v>2627</v>
      </c>
      <c r="C873" s="1" t="s">
        <v>2628</v>
      </c>
      <c r="F873" s="1" t="s">
        <v>2629</v>
      </c>
      <c r="G873" s="1">
        <v>1</v>
      </c>
      <c r="H873" s="7">
        <v>45560</v>
      </c>
      <c r="I873" s="1" t="s">
        <v>7449</v>
      </c>
      <c r="J873" s="7">
        <v>45560</v>
      </c>
      <c r="K873" s="1" t="s">
        <v>7449</v>
      </c>
    </row>
    <row r="874" spans="1:11" x14ac:dyDescent="0.25">
      <c r="A874" s="1">
        <v>873</v>
      </c>
      <c r="B874" s="1" t="s">
        <v>2630</v>
      </c>
      <c r="C874" s="1" t="s">
        <v>2631</v>
      </c>
      <c r="D874" s="1" t="s">
        <v>2632</v>
      </c>
      <c r="F874" s="1" t="s">
        <v>2633</v>
      </c>
      <c r="G874" s="1">
        <v>1</v>
      </c>
      <c r="H874" s="7">
        <v>45560</v>
      </c>
      <c r="I874" s="1" t="s">
        <v>7449</v>
      </c>
      <c r="J874" s="7">
        <v>45560</v>
      </c>
      <c r="K874" s="1" t="s">
        <v>7449</v>
      </c>
    </row>
    <row r="875" spans="1:11" x14ac:dyDescent="0.25">
      <c r="A875" s="1">
        <v>874</v>
      </c>
      <c r="B875" s="1" t="s">
        <v>2634</v>
      </c>
      <c r="C875" s="1" t="s">
        <v>2635</v>
      </c>
      <c r="D875" s="1" t="s">
        <v>2636</v>
      </c>
      <c r="F875" s="1" t="s">
        <v>2637</v>
      </c>
      <c r="G875" s="1">
        <v>1</v>
      </c>
      <c r="H875" s="7">
        <v>45560</v>
      </c>
      <c r="I875" s="1" t="s">
        <v>7449</v>
      </c>
      <c r="J875" s="7">
        <v>45560</v>
      </c>
      <c r="K875" s="1" t="s">
        <v>7449</v>
      </c>
    </row>
    <row r="876" spans="1:11" x14ac:dyDescent="0.25">
      <c r="A876" s="1">
        <v>875</v>
      </c>
      <c r="B876" s="1" t="s">
        <v>2638</v>
      </c>
      <c r="C876" s="1" t="s">
        <v>2639</v>
      </c>
      <c r="D876" s="1" t="s">
        <v>2640</v>
      </c>
      <c r="F876" s="1" t="s">
        <v>2641</v>
      </c>
      <c r="G876" s="1">
        <v>1</v>
      </c>
      <c r="H876" s="7">
        <v>45560</v>
      </c>
      <c r="I876" s="1" t="s">
        <v>7449</v>
      </c>
      <c r="J876" s="7">
        <v>45560</v>
      </c>
      <c r="K876" s="1" t="s">
        <v>7449</v>
      </c>
    </row>
    <row r="877" spans="1:11" x14ac:dyDescent="0.25">
      <c r="A877" s="1">
        <v>876</v>
      </c>
      <c r="B877" s="1" t="s">
        <v>2642</v>
      </c>
      <c r="C877" s="1" t="s">
        <v>2643</v>
      </c>
      <c r="F877" s="1" t="s">
        <v>2644</v>
      </c>
      <c r="G877" s="1">
        <v>1</v>
      </c>
      <c r="H877" s="7">
        <v>45560</v>
      </c>
      <c r="I877" s="1" t="s">
        <v>7449</v>
      </c>
      <c r="J877" s="7">
        <v>45560</v>
      </c>
      <c r="K877" s="1" t="s">
        <v>7449</v>
      </c>
    </row>
    <row r="878" spans="1:11" x14ac:dyDescent="0.25">
      <c r="A878" s="1">
        <v>877</v>
      </c>
      <c r="B878" s="1" t="s">
        <v>2645</v>
      </c>
      <c r="C878" s="1" t="s">
        <v>2646</v>
      </c>
      <c r="F878" s="1" t="s">
        <v>2647</v>
      </c>
      <c r="G878" s="1">
        <v>1</v>
      </c>
      <c r="H878" s="7">
        <v>45560</v>
      </c>
      <c r="I878" s="1" t="s">
        <v>7449</v>
      </c>
      <c r="J878" s="7">
        <v>45560</v>
      </c>
      <c r="K878" s="1" t="s">
        <v>7449</v>
      </c>
    </row>
    <row r="879" spans="1:11" x14ac:dyDescent="0.25">
      <c r="A879" s="1">
        <v>878</v>
      </c>
      <c r="B879" s="1" t="s">
        <v>2648</v>
      </c>
      <c r="C879" s="1" t="s">
        <v>2649</v>
      </c>
      <c r="F879" s="1" t="s">
        <v>2650</v>
      </c>
      <c r="G879" s="1">
        <v>1</v>
      </c>
      <c r="H879" s="7">
        <v>45560</v>
      </c>
      <c r="I879" s="1" t="s">
        <v>7449</v>
      </c>
      <c r="J879" s="7">
        <v>45560</v>
      </c>
      <c r="K879" s="1" t="s">
        <v>7449</v>
      </c>
    </row>
    <row r="880" spans="1:11" x14ac:dyDescent="0.25">
      <c r="A880" s="1">
        <v>879</v>
      </c>
      <c r="B880" s="1" t="s">
        <v>2651</v>
      </c>
      <c r="C880" s="1" t="s">
        <v>2652</v>
      </c>
      <c r="F880" s="1" t="s">
        <v>2653</v>
      </c>
      <c r="G880" s="1">
        <v>1</v>
      </c>
      <c r="H880" s="7">
        <v>45560</v>
      </c>
      <c r="I880" s="1" t="s">
        <v>7449</v>
      </c>
      <c r="J880" s="7">
        <v>45560</v>
      </c>
      <c r="K880" s="1" t="s">
        <v>7449</v>
      </c>
    </row>
    <row r="881" spans="1:11" x14ac:dyDescent="0.25">
      <c r="A881" s="1">
        <v>880</v>
      </c>
      <c r="B881" s="1" t="s">
        <v>2654</v>
      </c>
      <c r="C881" s="1" t="s">
        <v>2655</v>
      </c>
      <c r="F881" s="1" t="s">
        <v>2656</v>
      </c>
      <c r="G881" s="1">
        <v>1</v>
      </c>
      <c r="H881" s="7">
        <v>45560</v>
      </c>
      <c r="I881" s="1" t="s">
        <v>7449</v>
      </c>
      <c r="J881" s="7">
        <v>45560</v>
      </c>
      <c r="K881" s="1" t="s">
        <v>7449</v>
      </c>
    </row>
    <row r="882" spans="1:11" x14ac:dyDescent="0.25">
      <c r="A882" s="1">
        <v>881</v>
      </c>
      <c r="B882" s="1" t="s">
        <v>2657</v>
      </c>
      <c r="C882" s="1" t="s">
        <v>2658</v>
      </c>
      <c r="F882" s="1" t="s">
        <v>2659</v>
      </c>
      <c r="G882" s="1">
        <v>1</v>
      </c>
      <c r="H882" s="7">
        <v>45560</v>
      </c>
      <c r="I882" s="1" t="s">
        <v>7449</v>
      </c>
      <c r="J882" s="7">
        <v>45560</v>
      </c>
      <c r="K882" s="1" t="s">
        <v>7449</v>
      </c>
    </row>
    <row r="883" spans="1:11" x14ac:dyDescent="0.25">
      <c r="A883" s="1">
        <v>882</v>
      </c>
      <c r="B883" s="1" t="s">
        <v>2660</v>
      </c>
      <c r="C883" s="1" t="s">
        <v>2661</v>
      </c>
      <c r="F883" s="1" t="s">
        <v>2662</v>
      </c>
      <c r="G883" s="1">
        <v>1</v>
      </c>
      <c r="H883" s="7">
        <v>45560</v>
      </c>
      <c r="I883" s="1" t="s">
        <v>7449</v>
      </c>
      <c r="J883" s="7">
        <v>45560</v>
      </c>
      <c r="K883" s="1" t="s">
        <v>7449</v>
      </c>
    </row>
    <row r="884" spans="1:11" x14ac:dyDescent="0.25">
      <c r="A884" s="1">
        <v>883</v>
      </c>
      <c r="B884" s="1" t="s">
        <v>2663</v>
      </c>
      <c r="C884" s="1" t="s">
        <v>2664</v>
      </c>
      <c r="F884" s="1" t="s">
        <v>2665</v>
      </c>
      <c r="G884" s="1">
        <v>1</v>
      </c>
      <c r="H884" s="7">
        <v>45560</v>
      </c>
      <c r="I884" s="1" t="s">
        <v>7449</v>
      </c>
      <c r="J884" s="7">
        <v>45560</v>
      </c>
      <c r="K884" s="1" t="s">
        <v>7449</v>
      </c>
    </row>
    <row r="885" spans="1:11" x14ac:dyDescent="0.25">
      <c r="A885" s="1">
        <v>884</v>
      </c>
      <c r="B885" s="1" t="s">
        <v>2666</v>
      </c>
      <c r="C885" s="1" t="s">
        <v>2667</v>
      </c>
      <c r="F885" s="1" t="s">
        <v>2668</v>
      </c>
      <c r="G885" s="1">
        <v>1</v>
      </c>
      <c r="H885" s="7">
        <v>45560</v>
      </c>
      <c r="I885" s="1" t="s">
        <v>7449</v>
      </c>
      <c r="J885" s="7">
        <v>45560</v>
      </c>
      <c r="K885" s="1" t="s">
        <v>7449</v>
      </c>
    </row>
    <row r="886" spans="1:11" x14ac:dyDescent="0.25">
      <c r="A886" s="1">
        <v>885</v>
      </c>
      <c r="B886" s="1" t="s">
        <v>2669</v>
      </c>
      <c r="C886" s="1" t="s">
        <v>2670</v>
      </c>
      <c r="F886" s="1" t="s">
        <v>2671</v>
      </c>
      <c r="G886" s="1">
        <v>1</v>
      </c>
      <c r="H886" s="7">
        <v>45560</v>
      </c>
      <c r="I886" s="1" t="s">
        <v>7449</v>
      </c>
      <c r="J886" s="7">
        <v>45560</v>
      </c>
      <c r="K886" s="1" t="s">
        <v>7449</v>
      </c>
    </row>
    <row r="887" spans="1:11" x14ac:dyDescent="0.25">
      <c r="A887" s="1">
        <v>886</v>
      </c>
      <c r="B887" s="1" t="s">
        <v>2672</v>
      </c>
      <c r="C887" s="1" t="s">
        <v>2673</v>
      </c>
      <c r="F887" s="1" t="s">
        <v>2674</v>
      </c>
      <c r="G887" s="1">
        <v>1</v>
      </c>
      <c r="H887" s="7">
        <v>45560</v>
      </c>
      <c r="I887" s="1" t="s">
        <v>7449</v>
      </c>
      <c r="J887" s="7">
        <v>45560</v>
      </c>
      <c r="K887" s="1" t="s">
        <v>7449</v>
      </c>
    </row>
    <row r="888" spans="1:11" x14ac:dyDescent="0.25">
      <c r="A888" s="1">
        <v>887</v>
      </c>
      <c r="B888" s="1" t="s">
        <v>2675</v>
      </c>
      <c r="C888" s="1" t="s">
        <v>2676</v>
      </c>
      <c r="F888" s="1" t="s">
        <v>2677</v>
      </c>
      <c r="G888" s="1">
        <v>1</v>
      </c>
      <c r="H888" s="7">
        <v>45560</v>
      </c>
      <c r="I888" s="1" t="s">
        <v>7449</v>
      </c>
      <c r="J888" s="7">
        <v>45560</v>
      </c>
      <c r="K888" s="1" t="s">
        <v>7449</v>
      </c>
    </row>
    <row r="889" spans="1:11" x14ac:dyDescent="0.25">
      <c r="A889" s="1">
        <v>888</v>
      </c>
      <c r="B889" s="1" t="s">
        <v>2678</v>
      </c>
      <c r="C889" s="1" t="s">
        <v>2679</v>
      </c>
      <c r="F889" s="1" t="s">
        <v>2680</v>
      </c>
      <c r="G889" s="1">
        <v>1</v>
      </c>
      <c r="H889" s="7">
        <v>45560</v>
      </c>
      <c r="I889" s="1" t="s">
        <v>7449</v>
      </c>
      <c r="J889" s="7">
        <v>45560</v>
      </c>
      <c r="K889" s="1" t="s">
        <v>7449</v>
      </c>
    </row>
    <row r="890" spans="1:11" x14ac:dyDescent="0.25">
      <c r="A890" s="1">
        <v>889</v>
      </c>
      <c r="B890" s="1" t="s">
        <v>2681</v>
      </c>
      <c r="C890" s="1" t="s">
        <v>2682</v>
      </c>
      <c r="F890" s="1" t="s">
        <v>2683</v>
      </c>
      <c r="G890" s="1">
        <v>1</v>
      </c>
      <c r="H890" s="7">
        <v>45560</v>
      </c>
      <c r="I890" s="1" t="s">
        <v>7449</v>
      </c>
      <c r="J890" s="7">
        <v>45560</v>
      </c>
      <c r="K890" s="1" t="s">
        <v>7449</v>
      </c>
    </row>
    <row r="891" spans="1:11" x14ac:dyDescent="0.25">
      <c r="A891" s="1">
        <v>890</v>
      </c>
      <c r="B891" s="1" t="s">
        <v>2684</v>
      </c>
      <c r="C891" s="1" t="s">
        <v>2685</v>
      </c>
      <c r="F891" s="1" t="s">
        <v>2686</v>
      </c>
      <c r="G891" s="1">
        <v>1</v>
      </c>
      <c r="H891" s="7">
        <v>45560</v>
      </c>
      <c r="I891" s="1" t="s">
        <v>7449</v>
      </c>
      <c r="J891" s="7">
        <v>45560</v>
      </c>
      <c r="K891" s="1" t="s">
        <v>7449</v>
      </c>
    </row>
    <row r="892" spans="1:11" x14ac:dyDescent="0.25">
      <c r="A892" s="1">
        <v>891</v>
      </c>
      <c r="B892" s="1" t="s">
        <v>2687</v>
      </c>
      <c r="C892" s="1" t="s">
        <v>2688</v>
      </c>
      <c r="F892" s="1" t="s">
        <v>2689</v>
      </c>
      <c r="G892" s="1">
        <v>1</v>
      </c>
      <c r="H892" s="7">
        <v>45560</v>
      </c>
      <c r="I892" s="1" t="s">
        <v>7449</v>
      </c>
      <c r="J892" s="7">
        <v>45560</v>
      </c>
      <c r="K892" s="1" t="s">
        <v>7449</v>
      </c>
    </row>
    <row r="893" spans="1:11" x14ac:dyDescent="0.25">
      <c r="A893" s="1">
        <v>892</v>
      </c>
      <c r="B893" s="1" t="s">
        <v>2690</v>
      </c>
      <c r="C893" s="1" t="s">
        <v>2691</v>
      </c>
      <c r="F893" s="1" t="s">
        <v>2692</v>
      </c>
      <c r="G893" s="1">
        <v>1</v>
      </c>
      <c r="H893" s="7">
        <v>45560</v>
      </c>
      <c r="I893" s="1" t="s">
        <v>7449</v>
      </c>
      <c r="J893" s="7">
        <v>45560</v>
      </c>
      <c r="K893" s="1" t="s">
        <v>7449</v>
      </c>
    </row>
    <row r="894" spans="1:11" x14ac:dyDescent="0.25">
      <c r="A894" s="1">
        <v>893</v>
      </c>
      <c r="B894" s="1" t="s">
        <v>2693</v>
      </c>
      <c r="C894" s="1" t="s">
        <v>2694</v>
      </c>
      <c r="F894" s="1" t="s">
        <v>2695</v>
      </c>
      <c r="G894" s="1">
        <v>1</v>
      </c>
      <c r="H894" s="7">
        <v>45560</v>
      </c>
      <c r="I894" s="1" t="s">
        <v>7449</v>
      </c>
      <c r="J894" s="7">
        <v>45560</v>
      </c>
      <c r="K894" s="1" t="s">
        <v>7449</v>
      </c>
    </row>
    <row r="895" spans="1:11" x14ac:dyDescent="0.25">
      <c r="A895" s="1">
        <v>894</v>
      </c>
      <c r="B895" s="1" t="s">
        <v>2696</v>
      </c>
      <c r="C895" s="1" t="s">
        <v>2697</v>
      </c>
      <c r="F895" s="1" t="s">
        <v>2698</v>
      </c>
      <c r="G895" s="1">
        <v>1</v>
      </c>
      <c r="H895" s="7">
        <v>45560</v>
      </c>
      <c r="I895" s="1" t="s">
        <v>7449</v>
      </c>
      <c r="J895" s="7">
        <v>45560</v>
      </c>
      <c r="K895" s="1" t="s">
        <v>7449</v>
      </c>
    </row>
    <row r="896" spans="1:11" x14ac:dyDescent="0.25">
      <c r="A896" s="1">
        <v>895</v>
      </c>
      <c r="B896" s="1" t="s">
        <v>2699</v>
      </c>
      <c r="C896" s="1" t="s">
        <v>2700</v>
      </c>
      <c r="F896" s="1" t="s">
        <v>2701</v>
      </c>
      <c r="G896" s="1">
        <v>1</v>
      </c>
      <c r="H896" s="7">
        <v>45560</v>
      </c>
      <c r="I896" s="1" t="s">
        <v>7449</v>
      </c>
      <c r="J896" s="7">
        <v>45560</v>
      </c>
      <c r="K896" s="1" t="s">
        <v>7449</v>
      </c>
    </row>
    <row r="897" spans="1:11" x14ac:dyDescent="0.25">
      <c r="A897" s="1">
        <v>896</v>
      </c>
      <c r="B897" s="1" t="s">
        <v>2702</v>
      </c>
      <c r="C897" s="1" t="s">
        <v>2703</v>
      </c>
      <c r="F897" s="1" t="s">
        <v>2704</v>
      </c>
      <c r="G897" s="1">
        <v>1</v>
      </c>
      <c r="H897" s="7">
        <v>45560</v>
      </c>
      <c r="I897" s="1" t="s">
        <v>7449</v>
      </c>
      <c r="J897" s="7">
        <v>45560</v>
      </c>
      <c r="K897" s="1" t="s">
        <v>7449</v>
      </c>
    </row>
    <row r="898" spans="1:11" x14ac:dyDescent="0.25">
      <c r="A898" s="1">
        <v>897</v>
      </c>
      <c r="B898" s="1" t="s">
        <v>2705</v>
      </c>
      <c r="C898" s="1" t="s">
        <v>2706</v>
      </c>
      <c r="F898" s="1" t="s">
        <v>2707</v>
      </c>
      <c r="G898" s="1">
        <v>1</v>
      </c>
      <c r="H898" s="7">
        <v>45560</v>
      </c>
      <c r="I898" s="1" t="s">
        <v>7449</v>
      </c>
      <c r="J898" s="7">
        <v>45560</v>
      </c>
      <c r="K898" s="1" t="s">
        <v>7449</v>
      </c>
    </row>
    <row r="899" spans="1:11" x14ac:dyDescent="0.25">
      <c r="A899" s="1">
        <v>898</v>
      </c>
      <c r="B899" s="1" t="s">
        <v>2708</v>
      </c>
      <c r="C899" s="1" t="s">
        <v>2709</v>
      </c>
      <c r="F899" s="1" t="s">
        <v>2710</v>
      </c>
      <c r="G899" s="1">
        <v>1</v>
      </c>
      <c r="H899" s="7">
        <v>45560</v>
      </c>
      <c r="I899" s="1" t="s">
        <v>7449</v>
      </c>
      <c r="J899" s="7">
        <v>45560</v>
      </c>
      <c r="K899" s="1" t="s">
        <v>7449</v>
      </c>
    </row>
    <row r="900" spans="1:11" x14ac:dyDescent="0.25">
      <c r="A900" s="1">
        <v>899</v>
      </c>
      <c r="B900" s="1" t="s">
        <v>2711</v>
      </c>
      <c r="C900" s="1" t="s">
        <v>2712</v>
      </c>
      <c r="F900" s="1" t="s">
        <v>2713</v>
      </c>
      <c r="G900" s="1">
        <v>1</v>
      </c>
      <c r="H900" s="7">
        <v>45560</v>
      </c>
      <c r="I900" s="1" t="s">
        <v>7449</v>
      </c>
      <c r="J900" s="7">
        <v>45560</v>
      </c>
      <c r="K900" s="1" t="s">
        <v>7449</v>
      </c>
    </row>
    <row r="901" spans="1:11" x14ac:dyDescent="0.25">
      <c r="A901" s="1">
        <v>900</v>
      </c>
      <c r="B901" s="1" t="s">
        <v>2714</v>
      </c>
      <c r="C901" s="1" t="s">
        <v>2715</v>
      </c>
      <c r="F901" s="1" t="s">
        <v>2716</v>
      </c>
      <c r="G901" s="1">
        <v>1</v>
      </c>
      <c r="H901" s="7">
        <v>45560</v>
      </c>
      <c r="I901" s="1" t="s">
        <v>7449</v>
      </c>
      <c r="J901" s="7">
        <v>45560</v>
      </c>
      <c r="K901" s="1" t="s">
        <v>7449</v>
      </c>
    </row>
    <row r="902" spans="1:11" x14ac:dyDescent="0.25">
      <c r="A902" s="1">
        <v>901</v>
      </c>
      <c r="B902" s="1" t="s">
        <v>2717</v>
      </c>
      <c r="C902" s="1" t="s">
        <v>2718</v>
      </c>
      <c r="F902" s="1" t="s">
        <v>2719</v>
      </c>
      <c r="G902" s="1">
        <v>1</v>
      </c>
      <c r="H902" s="7">
        <v>45560</v>
      </c>
      <c r="I902" s="1" t="s">
        <v>7449</v>
      </c>
      <c r="J902" s="7">
        <v>45560</v>
      </c>
      <c r="K902" s="1" t="s">
        <v>7449</v>
      </c>
    </row>
    <row r="903" spans="1:11" x14ac:dyDescent="0.25">
      <c r="A903" s="1">
        <v>902</v>
      </c>
      <c r="B903" s="1" t="s">
        <v>2720</v>
      </c>
      <c r="C903" s="1" t="s">
        <v>2721</v>
      </c>
      <c r="F903" s="1" t="s">
        <v>2722</v>
      </c>
      <c r="G903" s="1">
        <v>1</v>
      </c>
      <c r="H903" s="7">
        <v>45560</v>
      </c>
      <c r="I903" s="1" t="s">
        <v>7449</v>
      </c>
      <c r="J903" s="7">
        <v>45560</v>
      </c>
      <c r="K903" s="1" t="s">
        <v>7449</v>
      </c>
    </row>
    <row r="904" spans="1:11" x14ac:dyDescent="0.25">
      <c r="A904" s="1">
        <v>903</v>
      </c>
      <c r="B904" s="1" t="s">
        <v>2723</v>
      </c>
      <c r="C904" s="1" t="s">
        <v>2724</v>
      </c>
      <c r="F904" s="1" t="s">
        <v>2725</v>
      </c>
      <c r="G904" s="1">
        <v>1</v>
      </c>
      <c r="H904" s="7">
        <v>45560</v>
      </c>
      <c r="I904" s="1" t="s">
        <v>7449</v>
      </c>
      <c r="J904" s="7">
        <v>45560</v>
      </c>
      <c r="K904" s="1" t="s">
        <v>7449</v>
      </c>
    </row>
    <row r="905" spans="1:11" x14ac:dyDescent="0.25">
      <c r="A905" s="1">
        <v>904</v>
      </c>
      <c r="B905" s="1" t="s">
        <v>2726</v>
      </c>
      <c r="C905" s="1" t="s">
        <v>2727</v>
      </c>
      <c r="F905" s="1" t="s">
        <v>2728</v>
      </c>
      <c r="G905" s="1">
        <v>1</v>
      </c>
      <c r="H905" s="7">
        <v>45560</v>
      </c>
      <c r="I905" s="1" t="s">
        <v>7449</v>
      </c>
      <c r="J905" s="7">
        <v>45560</v>
      </c>
      <c r="K905" s="1" t="s">
        <v>7449</v>
      </c>
    </row>
    <row r="906" spans="1:11" x14ac:dyDescent="0.25">
      <c r="A906" s="1">
        <v>905</v>
      </c>
      <c r="B906" s="1" t="s">
        <v>2729</v>
      </c>
      <c r="C906" s="1" t="s">
        <v>2730</v>
      </c>
      <c r="F906" s="1" t="s">
        <v>2731</v>
      </c>
      <c r="G906" s="1">
        <v>1</v>
      </c>
      <c r="H906" s="7">
        <v>45560</v>
      </c>
      <c r="I906" s="1" t="s">
        <v>7449</v>
      </c>
      <c r="J906" s="7">
        <v>45560</v>
      </c>
      <c r="K906" s="1" t="s">
        <v>7449</v>
      </c>
    </row>
    <row r="907" spans="1:11" x14ac:dyDescent="0.25">
      <c r="A907" s="1">
        <v>906</v>
      </c>
      <c r="B907" s="1" t="s">
        <v>2732</v>
      </c>
      <c r="C907" s="1" t="s">
        <v>2733</v>
      </c>
      <c r="F907" s="1" t="s">
        <v>2734</v>
      </c>
      <c r="G907" s="1">
        <v>1</v>
      </c>
      <c r="H907" s="7">
        <v>45560</v>
      </c>
      <c r="I907" s="1" t="s">
        <v>7449</v>
      </c>
      <c r="J907" s="7">
        <v>45560</v>
      </c>
      <c r="K907" s="1" t="s">
        <v>7449</v>
      </c>
    </row>
    <row r="908" spans="1:11" x14ac:dyDescent="0.25">
      <c r="A908" s="1">
        <v>907</v>
      </c>
      <c r="B908" s="1" t="s">
        <v>2735</v>
      </c>
      <c r="C908" s="1" t="s">
        <v>2736</v>
      </c>
      <c r="F908" s="1" t="s">
        <v>2737</v>
      </c>
      <c r="G908" s="1">
        <v>1</v>
      </c>
      <c r="H908" s="7">
        <v>45560</v>
      </c>
      <c r="I908" s="1" t="s">
        <v>7449</v>
      </c>
      <c r="J908" s="7">
        <v>45560</v>
      </c>
      <c r="K908" s="1" t="s">
        <v>7449</v>
      </c>
    </row>
    <row r="909" spans="1:11" x14ac:dyDescent="0.25">
      <c r="A909" s="1">
        <v>908</v>
      </c>
      <c r="B909" s="1" t="s">
        <v>2738</v>
      </c>
      <c r="C909" s="1" t="s">
        <v>2739</v>
      </c>
      <c r="F909" s="1" t="s">
        <v>2740</v>
      </c>
      <c r="G909" s="1">
        <v>1</v>
      </c>
      <c r="H909" s="7">
        <v>45560</v>
      </c>
      <c r="I909" s="1" t="s">
        <v>7449</v>
      </c>
      <c r="J909" s="7">
        <v>45560</v>
      </c>
      <c r="K909" s="1" t="s">
        <v>7449</v>
      </c>
    </row>
    <row r="910" spans="1:11" x14ac:dyDescent="0.25">
      <c r="A910" s="1">
        <v>909</v>
      </c>
      <c r="B910" s="1" t="s">
        <v>2741</v>
      </c>
      <c r="C910" s="1" t="s">
        <v>2742</v>
      </c>
      <c r="F910" s="1" t="s">
        <v>2743</v>
      </c>
      <c r="G910" s="1">
        <v>1</v>
      </c>
      <c r="H910" s="7">
        <v>45560</v>
      </c>
      <c r="I910" s="1" t="s">
        <v>7449</v>
      </c>
      <c r="J910" s="7">
        <v>45560</v>
      </c>
      <c r="K910" s="1" t="s">
        <v>7449</v>
      </c>
    </row>
    <row r="911" spans="1:11" x14ac:dyDescent="0.25">
      <c r="A911" s="1">
        <v>910</v>
      </c>
      <c r="B911" s="1" t="s">
        <v>2744</v>
      </c>
      <c r="C911" s="1" t="s">
        <v>2745</v>
      </c>
      <c r="F911" s="1" t="s">
        <v>2746</v>
      </c>
      <c r="G911" s="1">
        <v>1</v>
      </c>
      <c r="H911" s="7">
        <v>45560</v>
      </c>
      <c r="I911" s="1" t="s">
        <v>7449</v>
      </c>
      <c r="J911" s="7">
        <v>45560</v>
      </c>
      <c r="K911" s="1" t="s">
        <v>7449</v>
      </c>
    </row>
    <row r="912" spans="1:11" x14ac:dyDescent="0.25">
      <c r="A912" s="1">
        <v>911</v>
      </c>
      <c r="B912" s="1" t="s">
        <v>2747</v>
      </c>
      <c r="C912" s="1" t="s">
        <v>2748</v>
      </c>
      <c r="F912" s="1" t="s">
        <v>2749</v>
      </c>
      <c r="G912" s="1">
        <v>1</v>
      </c>
      <c r="H912" s="7">
        <v>45560</v>
      </c>
      <c r="I912" s="1" t="s">
        <v>7449</v>
      </c>
      <c r="J912" s="7">
        <v>45560</v>
      </c>
      <c r="K912" s="1" t="s">
        <v>7449</v>
      </c>
    </row>
    <row r="913" spans="1:11" x14ac:dyDescent="0.25">
      <c r="A913" s="1">
        <v>912</v>
      </c>
      <c r="B913" s="1" t="s">
        <v>2750</v>
      </c>
      <c r="C913" s="1" t="s">
        <v>2751</v>
      </c>
      <c r="F913" s="1" t="s">
        <v>2752</v>
      </c>
      <c r="G913" s="1">
        <v>1</v>
      </c>
      <c r="H913" s="7">
        <v>45560</v>
      </c>
      <c r="I913" s="1" t="s">
        <v>7449</v>
      </c>
      <c r="J913" s="7">
        <v>45560</v>
      </c>
      <c r="K913" s="1" t="s">
        <v>7449</v>
      </c>
    </row>
    <row r="914" spans="1:11" x14ac:dyDescent="0.25">
      <c r="A914" s="1">
        <v>913</v>
      </c>
      <c r="B914" s="1" t="s">
        <v>2753</v>
      </c>
      <c r="C914" s="1" t="s">
        <v>2754</v>
      </c>
      <c r="F914" s="1" t="s">
        <v>2755</v>
      </c>
      <c r="G914" s="1">
        <v>1</v>
      </c>
      <c r="H914" s="7">
        <v>45560</v>
      </c>
      <c r="I914" s="1" t="s">
        <v>7449</v>
      </c>
      <c r="J914" s="7">
        <v>45560</v>
      </c>
      <c r="K914" s="1" t="s">
        <v>7449</v>
      </c>
    </row>
    <row r="915" spans="1:11" x14ac:dyDescent="0.25">
      <c r="A915" s="1">
        <v>914</v>
      </c>
      <c r="B915" s="1" t="s">
        <v>2756</v>
      </c>
      <c r="C915" s="1" t="s">
        <v>2757</v>
      </c>
      <c r="F915" s="1" t="s">
        <v>2758</v>
      </c>
      <c r="G915" s="1">
        <v>1</v>
      </c>
      <c r="H915" s="7">
        <v>45560</v>
      </c>
      <c r="I915" s="1" t="s">
        <v>7449</v>
      </c>
      <c r="J915" s="7">
        <v>45560</v>
      </c>
      <c r="K915" s="1" t="s">
        <v>7449</v>
      </c>
    </row>
    <row r="916" spans="1:11" x14ac:dyDescent="0.25">
      <c r="A916" s="1">
        <v>915</v>
      </c>
      <c r="B916" s="1" t="s">
        <v>2759</v>
      </c>
      <c r="C916" s="1" t="s">
        <v>2760</v>
      </c>
      <c r="F916" s="1" t="s">
        <v>2761</v>
      </c>
      <c r="G916" s="1">
        <v>1</v>
      </c>
      <c r="H916" s="7">
        <v>45560</v>
      </c>
      <c r="I916" s="1" t="s">
        <v>7449</v>
      </c>
      <c r="J916" s="7">
        <v>45560</v>
      </c>
      <c r="K916" s="1" t="s">
        <v>7449</v>
      </c>
    </row>
    <row r="917" spans="1:11" x14ac:dyDescent="0.25">
      <c r="A917" s="1">
        <v>916</v>
      </c>
      <c r="B917" s="1" t="s">
        <v>2762</v>
      </c>
      <c r="C917" s="1" t="s">
        <v>2763</v>
      </c>
      <c r="F917" s="1" t="s">
        <v>2764</v>
      </c>
      <c r="G917" s="1">
        <v>1</v>
      </c>
      <c r="H917" s="7">
        <v>45560</v>
      </c>
      <c r="I917" s="1" t="s">
        <v>7449</v>
      </c>
      <c r="J917" s="7">
        <v>45560</v>
      </c>
      <c r="K917" s="1" t="s">
        <v>7449</v>
      </c>
    </row>
    <row r="918" spans="1:11" x14ac:dyDescent="0.25">
      <c r="A918" s="1">
        <v>917</v>
      </c>
      <c r="B918" s="1" t="s">
        <v>2765</v>
      </c>
      <c r="C918" s="1" t="s">
        <v>2766</v>
      </c>
      <c r="F918" s="1" t="s">
        <v>2767</v>
      </c>
      <c r="G918" s="1">
        <v>1</v>
      </c>
      <c r="H918" s="7">
        <v>45560</v>
      </c>
      <c r="I918" s="1" t="s">
        <v>7449</v>
      </c>
      <c r="J918" s="7">
        <v>45560</v>
      </c>
      <c r="K918" s="1" t="s">
        <v>7449</v>
      </c>
    </row>
    <row r="919" spans="1:11" x14ac:dyDescent="0.25">
      <c r="A919" s="1">
        <v>918</v>
      </c>
      <c r="B919" s="1" t="s">
        <v>2768</v>
      </c>
      <c r="C919" s="1" t="s">
        <v>2769</v>
      </c>
      <c r="F919" s="1" t="s">
        <v>2770</v>
      </c>
      <c r="G919" s="1">
        <v>1</v>
      </c>
      <c r="H919" s="7">
        <v>45560</v>
      </c>
      <c r="I919" s="1" t="s">
        <v>7449</v>
      </c>
      <c r="J919" s="7">
        <v>45560</v>
      </c>
      <c r="K919" s="1" t="s">
        <v>7449</v>
      </c>
    </row>
    <row r="920" spans="1:11" x14ac:dyDescent="0.25">
      <c r="A920" s="1">
        <v>919</v>
      </c>
      <c r="B920" s="1" t="s">
        <v>2771</v>
      </c>
      <c r="C920" s="1" t="s">
        <v>2772</v>
      </c>
      <c r="F920" s="1" t="s">
        <v>2773</v>
      </c>
      <c r="G920" s="1">
        <v>1</v>
      </c>
      <c r="H920" s="7">
        <v>45560</v>
      </c>
      <c r="I920" s="1" t="s">
        <v>7449</v>
      </c>
      <c r="J920" s="7">
        <v>45560</v>
      </c>
      <c r="K920" s="1" t="s">
        <v>7449</v>
      </c>
    </row>
    <row r="921" spans="1:11" x14ac:dyDescent="0.25">
      <c r="A921" s="1">
        <v>920</v>
      </c>
      <c r="B921" s="1" t="s">
        <v>2774</v>
      </c>
      <c r="C921" s="1" t="s">
        <v>2775</v>
      </c>
      <c r="F921" s="1" t="s">
        <v>2776</v>
      </c>
      <c r="G921" s="1">
        <v>1</v>
      </c>
      <c r="H921" s="7">
        <v>45560</v>
      </c>
      <c r="I921" s="1" t="s">
        <v>7449</v>
      </c>
      <c r="J921" s="7">
        <v>45560</v>
      </c>
      <c r="K921" s="1" t="s">
        <v>7449</v>
      </c>
    </row>
    <row r="922" spans="1:11" x14ac:dyDescent="0.25">
      <c r="A922" s="1">
        <v>921</v>
      </c>
      <c r="B922" s="1" t="s">
        <v>2777</v>
      </c>
      <c r="C922" s="1" t="s">
        <v>2778</v>
      </c>
      <c r="E922" s="1" t="s">
        <v>52</v>
      </c>
      <c r="G922" s="1">
        <v>1</v>
      </c>
      <c r="H922" s="7">
        <v>45560</v>
      </c>
      <c r="I922" s="1" t="s">
        <v>7449</v>
      </c>
      <c r="J922" s="7">
        <v>45560</v>
      </c>
      <c r="K922" s="1" t="s">
        <v>7449</v>
      </c>
    </row>
    <row r="923" spans="1:11" x14ac:dyDescent="0.25">
      <c r="A923" s="1">
        <v>922</v>
      </c>
      <c r="B923" s="1" t="s">
        <v>2779</v>
      </c>
      <c r="C923" s="1" t="s">
        <v>2780</v>
      </c>
      <c r="F923" s="1" t="s">
        <v>2781</v>
      </c>
      <c r="G923" s="1">
        <v>1</v>
      </c>
      <c r="H923" s="7">
        <v>45560</v>
      </c>
      <c r="I923" s="1" t="s">
        <v>7449</v>
      </c>
      <c r="J923" s="7">
        <v>45560</v>
      </c>
      <c r="K923" s="1" t="s">
        <v>7449</v>
      </c>
    </row>
    <row r="924" spans="1:11" x14ac:dyDescent="0.25">
      <c r="A924" s="1">
        <v>923</v>
      </c>
      <c r="B924" s="1" t="s">
        <v>2782</v>
      </c>
      <c r="C924" s="1" t="s">
        <v>2783</v>
      </c>
      <c r="F924" s="1" t="s">
        <v>2784</v>
      </c>
      <c r="G924" s="1">
        <v>1</v>
      </c>
      <c r="H924" s="7">
        <v>45560</v>
      </c>
      <c r="I924" s="1" t="s">
        <v>7449</v>
      </c>
      <c r="J924" s="7">
        <v>45560</v>
      </c>
      <c r="K924" s="1" t="s">
        <v>7449</v>
      </c>
    </row>
    <row r="925" spans="1:11" x14ac:dyDescent="0.25">
      <c r="A925" s="1">
        <v>924</v>
      </c>
      <c r="B925" s="1" t="s">
        <v>2785</v>
      </c>
      <c r="C925" s="1" t="s">
        <v>2786</v>
      </c>
      <c r="F925" s="1" t="s">
        <v>2787</v>
      </c>
      <c r="G925" s="1">
        <v>1</v>
      </c>
      <c r="H925" s="7">
        <v>45560</v>
      </c>
      <c r="I925" s="1" t="s">
        <v>7449</v>
      </c>
      <c r="J925" s="7">
        <v>45560</v>
      </c>
      <c r="K925" s="1" t="s">
        <v>7449</v>
      </c>
    </row>
    <row r="926" spans="1:11" x14ac:dyDescent="0.25">
      <c r="A926" s="1">
        <v>925</v>
      </c>
      <c r="B926" s="1" t="s">
        <v>2788</v>
      </c>
      <c r="C926" s="1" t="s">
        <v>2789</v>
      </c>
      <c r="F926" s="1" t="s">
        <v>2790</v>
      </c>
      <c r="G926" s="1">
        <v>1</v>
      </c>
      <c r="H926" s="7">
        <v>45560</v>
      </c>
      <c r="I926" s="1" t="s">
        <v>7449</v>
      </c>
      <c r="J926" s="7">
        <v>45560</v>
      </c>
      <c r="K926" s="1" t="s">
        <v>7449</v>
      </c>
    </row>
    <row r="927" spans="1:11" x14ac:dyDescent="0.25">
      <c r="A927" s="1">
        <v>926</v>
      </c>
      <c r="B927" s="1" t="s">
        <v>2791</v>
      </c>
      <c r="C927" s="1" t="s">
        <v>2792</v>
      </c>
      <c r="F927" s="1" t="s">
        <v>2793</v>
      </c>
      <c r="G927" s="1">
        <v>1</v>
      </c>
      <c r="H927" s="7">
        <v>45560</v>
      </c>
      <c r="I927" s="1" t="s">
        <v>7449</v>
      </c>
      <c r="J927" s="7">
        <v>45560</v>
      </c>
      <c r="K927" s="1" t="s">
        <v>7449</v>
      </c>
    </row>
    <row r="928" spans="1:11" x14ac:dyDescent="0.25">
      <c r="A928" s="1">
        <v>927</v>
      </c>
      <c r="B928" s="1" t="s">
        <v>2794</v>
      </c>
      <c r="C928" s="1" t="s">
        <v>2795</v>
      </c>
      <c r="F928" s="1" t="s">
        <v>2796</v>
      </c>
      <c r="G928" s="1">
        <v>1</v>
      </c>
      <c r="H928" s="7">
        <v>45560</v>
      </c>
      <c r="I928" s="1" t="s">
        <v>7449</v>
      </c>
      <c r="J928" s="7">
        <v>45560</v>
      </c>
      <c r="K928" s="1" t="s">
        <v>7449</v>
      </c>
    </row>
    <row r="929" spans="1:11" x14ac:dyDescent="0.25">
      <c r="A929" s="1">
        <v>928</v>
      </c>
      <c r="B929" s="1" t="s">
        <v>2797</v>
      </c>
      <c r="C929" s="1" t="s">
        <v>2798</v>
      </c>
      <c r="F929" s="1" t="s">
        <v>2799</v>
      </c>
      <c r="G929" s="1">
        <v>1</v>
      </c>
      <c r="H929" s="7">
        <v>45560</v>
      </c>
      <c r="I929" s="1" t="s">
        <v>7449</v>
      </c>
      <c r="J929" s="7">
        <v>45560</v>
      </c>
      <c r="K929" s="1" t="s">
        <v>7449</v>
      </c>
    </row>
    <row r="930" spans="1:11" x14ac:dyDescent="0.25">
      <c r="A930" s="1">
        <v>929</v>
      </c>
      <c r="B930" s="1" t="s">
        <v>2800</v>
      </c>
      <c r="C930" s="1" t="s">
        <v>2801</v>
      </c>
      <c r="F930" s="1" t="s">
        <v>2802</v>
      </c>
      <c r="G930" s="1">
        <v>1</v>
      </c>
      <c r="H930" s="7">
        <v>45560</v>
      </c>
      <c r="I930" s="1" t="s">
        <v>7449</v>
      </c>
      <c r="J930" s="7">
        <v>45560</v>
      </c>
      <c r="K930" s="1" t="s">
        <v>7449</v>
      </c>
    </row>
    <row r="931" spans="1:11" x14ac:dyDescent="0.25">
      <c r="A931" s="1">
        <v>930</v>
      </c>
      <c r="B931" s="1" t="s">
        <v>2803</v>
      </c>
      <c r="C931" s="1" t="s">
        <v>2804</v>
      </c>
      <c r="F931" s="1" t="s">
        <v>2805</v>
      </c>
      <c r="G931" s="1">
        <v>1</v>
      </c>
      <c r="H931" s="7">
        <v>45560</v>
      </c>
      <c r="I931" s="1" t="s">
        <v>7449</v>
      </c>
      <c r="J931" s="7">
        <v>45560</v>
      </c>
      <c r="K931" s="1" t="s">
        <v>7449</v>
      </c>
    </row>
    <row r="932" spans="1:11" x14ac:dyDescent="0.25">
      <c r="A932" s="1">
        <v>931</v>
      </c>
      <c r="B932" s="1" t="s">
        <v>2806</v>
      </c>
      <c r="C932" s="1" t="s">
        <v>2807</v>
      </c>
      <c r="F932" s="1" t="s">
        <v>2808</v>
      </c>
      <c r="G932" s="1">
        <v>1</v>
      </c>
      <c r="H932" s="7">
        <v>45560</v>
      </c>
      <c r="I932" s="1" t="s">
        <v>7449</v>
      </c>
      <c r="J932" s="7">
        <v>45560</v>
      </c>
      <c r="K932" s="1" t="s">
        <v>7449</v>
      </c>
    </row>
    <row r="933" spans="1:11" x14ac:dyDescent="0.25">
      <c r="A933" s="1">
        <v>932</v>
      </c>
      <c r="B933" s="1" t="s">
        <v>2809</v>
      </c>
      <c r="C933" s="1" t="s">
        <v>2810</v>
      </c>
      <c r="F933" s="1" t="s">
        <v>2811</v>
      </c>
      <c r="G933" s="1">
        <v>1</v>
      </c>
      <c r="H933" s="7">
        <v>45560</v>
      </c>
      <c r="I933" s="1" t="s">
        <v>7449</v>
      </c>
      <c r="J933" s="7">
        <v>45560</v>
      </c>
      <c r="K933" s="1" t="s">
        <v>7449</v>
      </c>
    </row>
    <row r="934" spans="1:11" x14ac:dyDescent="0.25">
      <c r="A934" s="1">
        <v>933</v>
      </c>
      <c r="B934" s="1" t="s">
        <v>2812</v>
      </c>
      <c r="C934" s="1" t="s">
        <v>2813</v>
      </c>
      <c r="F934" s="1" t="s">
        <v>2814</v>
      </c>
      <c r="G934" s="1">
        <v>1</v>
      </c>
      <c r="H934" s="7">
        <v>45560</v>
      </c>
      <c r="I934" s="1" t="s">
        <v>7449</v>
      </c>
      <c r="J934" s="7">
        <v>45560</v>
      </c>
      <c r="K934" s="1" t="s">
        <v>7449</v>
      </c>
    </row>
    <row r="935" spans="1:11" x14ac:dyDescent="0.25">
      <c r="A935" s="1">
        <v>934</v>
      </c>
      <c r="B935" s="1" t="s">
        <v>2815</v>
      </c>
      <c r="C935" s="1" t="s">
        <v>2816</v>
      </c>
      <c r="F935" s="1" t="s">
        <v>2817</v>
      </c>
      <c r="G935" s="1">
        <v>1</v>
      </c>
      <c r="H935" s="7">
        <v>45560</v>
      </c>
      <c r="I935" s="1" t="s">
        <v>7449</v>
      </c>
      <c r="J935" s="7">
        <v>45560</v>
      </c>
      <c r="K935" s="1" t="s">
        <v>7449</v>
      </c>
    </row>
    <row r="936" spans="1:11" x14ac:dyDescent="0.25">
      <c r="A936" s="1">
        <v>935</v>
      </c>
      <c r="B936" s="1" t="s">
        <v>2818</v>
      </c>
      <c r="C936" s="1" t="s">
        <v>2819</v>
      </c>
      <c r="F936" s="1" t="s">
        <v>2820</v>
      </c>
      <c r="G936" s="1">
        <v>1</v>
      </c>
      <c r="H936" s="7">
        <v>45560</v>
      </c>
      <c r="I936" s="1" t="s">
        <v>7449</v>
      </c>
      <c r="J936" s="7">
        <v>45560</v>
      </c>
      <c r="K936" s="1" t="s">
        <v>7449</v>
      </c>
    </row>
    <row r="937" spans="1:11" x14ac:dyDescent="0.25">
      <c r="A937" s="1">
        <v>936</v>
      </c>
      <c r="B937" s="1" t="s">
        <v>2821</v>
      </c>
      <c r="C937" s="1" t="s">
        <v>2822</v>
      </c>
      <c r="F937" s="1" t="s">
        <v>2823</v>
      </c>
      <c r="G937" s="1">
        <v>1</v>
      </c>
      <c r="H937" s="7">
        <v>45560</v>
      </c>
      <c r="I937" s="1" t="s">
        <v>7449</v>
      </c>
      <c r="J937" s="7">
        <v>45560</v>
      </c>
      <c r="K937" s="1" t="s">
        <v>7449</v>
      </c>
    </row>
    <row r="938" spans="1:11" x14ac:dyDescent="0.25">
      <c r="A938" s="1">
        <v>937</v>
      </c>
      <c r="B938" s="1" t="s">
        <v>2824</v>
      </c>
      <c r="C938" s="1" t="s">
        <v>2825</v>
      </c>
      <c r="F938" s="1" t="s">
        <v>2826</v>
      </c>
      <c r="G938" s="1">
        <v>1</v>
      </c>
      <c r="H938" s="7">
        <v>45560</v>
      </c>
      <c r="I938" s="1" t="s">
        <v>7449</v>
      </c>
      <c r="J938" s="7">
        <v>45560</v>
      </c>
      <c r="K938" s="1" t="s">
        <v>7449</v>
      </c>
    </row>
    <row r="939" spans="1:11" x14ac:dyDescent="0.25">
      <c r="A939" s="1">
        <v>938</v>
      </c>
      <c r="B939" s="1" t="s">
        <v>2827</v>
      </c>
      <c r="C939" s="1" t="s">
        <v>2828</v>
      </c>
      <c r="F939" s="1" t="s">
        <v>2829</v>
      </c>
      <c r="G939" s="1">
        <v>1</v>
      </c>
      <c r="H939" s="7">
        <v>45560</v>
      </c>
      <c r="I939" s="1" t="s">
        <v>7449</v>
      </c>
      <c r="J939" s="7">
        <v>45560</v>
      </c>
      <c r="K939" s="1" t="s">
        <v>7449</v>
      </c>
    </row>
    <row r="940" spans="1:11" x14ac:dyDescent="0.25">
      <c r="A940" s="1">
        <v>939</v>
      </c>
      <c r="B940" s="1" t="s">
        <v>2830</v>
      </c>
      <c r="C940" s="1" t="s">
        <v>2831</v>
      </c>
      <c r="F940" s="1" t="s">
        <v>2832</v>
      </c>
      <c r="G940" s="1">
        <v>1</v>
      </c>
      <c r="H940" s="7">
        <v>45560</v>
      </c>
      <c r="I940" s="1" t="s">
        <v>7449</v>
      </c>
      <c r="J940" s="7">
        <v>45560</v>
      </c>
      <c r="K940" s="1" t="s">
        <v>7449</v>
      </c>
    </row>
    <row r="941" spans="1:11" x14ac:dyDescent="0.25">
      <c r="A941" s="1">
        <v>940</v>
      </c>
      <c r="B941" s="1" t="s">
        <v>2833</v>
      </c>
      <c r="C941" s="1" t="s">
        <v>2834</v>
      </c>
      <c r="F941" s="1" t="s">
        <v>2835</v>
      </c>
      <c r="G941" s="1">
        <v>1</v>
      </c>
      <c r="H941" s="7">
        <v>45560</v>
      </c>
      <c r="I941" s="1" t="s">
        <v>7449</v>
      </c>
      <c r="J941" s="7">
        <v>45560</v>
      </c>
      <c r="K941" s="1" t="s">
        <v>7449</v>
      </c>
    </row>
    <row r="942" spans="1:11" x14ac:dyDescent="0.25">
      <c r="A942" s="1">
        <v>941</v>
      </c>
      <c r="B942" s="1" t="s">
        <v>2836</v>
      </c>
      <c r="C942" s="1" t="s">
        <v>2837</v>
      </c>
      <c r="F942" s="1" t="s">
        <v>2838</v>
      </c>
      <c r="G942" s="1">
        <v>1</v>
      </c>
      <c r="H942" s="7">
        <v>45560</v>
      </c>
      <c r="I942" s="1" t="s">
        <v>7449</v>
      </c>
      <c r="J942" s="7">
        <v>45560</v>
      </c>
      <c r="K942" s="1" t="s">
        <v>7449</v>
      </c>
    </row>
    <row r="943" spans="1:11" x14ac:dyDescent="0.25">
      <c r="A943" s="1">
        <v>942</v>
      </c>
      <c r="B943" s="1" t="s">
        <v>2839</v>
      </c>
      <c r="C943" s="1" t="s">
        <v>2840</v>
      </c>
      <c r="F943" s="1" t="s">
        <v>2841</v>
      </c>
      <c r="G943" s="1">
        <v>1</v>
      </c>
      <c r="H943" s="7">
        <v>45560</v>
      </c>
      <c r="I943" s="1" t="s">
        <v>7449</v>
      </c>
      <c r="J943" s="7">
        <v>45560</v>
      </c>
      <c r="K943" s="1" t="s">
        <v>7449</v>
      </c>
    </row>
    <row r="944" spans="1:11" x14ac:dyDescent="0.25">
      <c r="A944" s="1">
        <v>943</v>
      </c>
      <c r="B944" s="1" t="s">
        <v>2842</v>
      </c>
      <c r="C944" s="1" t="s">
        <v>2843</v>
      </c>
      <c r="F944" s="1" t="s">
        <v>2844</v>
      </c>
      <c r="G944" s="1">
        <v>1</v>
      </c>
      <c r="H944" s="7">
        <v>45560</v>
      </c>
      <c r="I944" s="1" t="s">
        <v>7449</v>
      </c>
      <c r="J944" s="7">
        <v>45560</v>
      </c>
      <c r="K944" s="1" t="s">
        <v>7449</v>
      </c>
    </row>
    <row r="945" spans="1:11" x14ac:dyDescent="0.25">
      <c r="A945" s="1">
        <v>944</v>
      </c>
      <c r="B945" s="1" t="s">
        <v>2845</v>
      </c>
      <c r="C945" s="1" t="s">
        <v>2846</v>
      </c>
      <c r="F945" s="1" t="s">
        <v>2847</v>
      </c>
      <c r="G945" s="1">
        <v>1</v>
      </c>
      <c r="H945" s="7">
        <v>45560</v>
      </c>
      <c r="I945" s="1" t="s">
        <v>7449</v>
      </c>
      <c r="J945" s="7">
        <v>45560</v>
      </c>
      <c r="K945" s="1" t="s">
        <v>7449</v>
      </c>
    </row>
    <row r="946" spans="1:11" x14ac:dyDescent="0.25">
      <c r="A946" s="1">
        <v>945</v>
      </c>
      <c r="B946" s="1" t="s">
        <v>2848</v>
      </c>
      <c r="C946" s="1" t="s">
        <v>2849</v>
      </c>
      <c r="F946" s="1" t="s">
        <v>2850</v>
      </c>
      <c r="G946" s="1">
        <v>1</v>
      </c>
      <c r="H946" s="7">
        <v>45560</v>
      </c>
      <c r="I946" s="1" t="s">
        <v>7449</v>
      </c>
      <c r="J946" s="7">
        <v>45560</v>
      </c>
      <c r="K946" s="1" t="s">
        <v>7449</v>
      </c>
    </row>
    <row r="947" spans="1:11" x14ac:dyDescent="0.25">
      <c r="A947" s="1">
        <v>946</v>
      </c>
      <c r="B947" s="1" t="s">
        <v>2851</v>
      </c>
      <c r="C947" s="1" t="s">
        <v>2852</v>
      </c>
      <c r="F947" s="1" t="s">
        <v>2853</v>
      </c>
      <c r="G947" s="1">
        <v>1</v>
      </c>
      <c r="H947" s="7">
        <v>45560</v>
      </c>
      <c r="I947" s="1" t="s">
        <v>7449</v>
      </c>
      <c r="J947" s="7">
        <v>45560</v>
      </c>
      <c r="K947" s="1" t="s">
        <v>7449</v>
      </c>
    </row>
    <row r="948" spans="1:11" x14ac:dyDescent="0.25">
      <c r="A948" s="1">
        <v>947</v>
      </c>
      <c r="B948" s="1" t="s">
        <v>2854</v>
      </c>
      <c r="C948" s="1" t="s">
        <v>2855</v>
      </c>
      <c r="F948" s="1" t="s">
        <v>2856</v>
      </c>
      <c r="G948" s="1">
        <v>1</v>
      </c>
      <c r="H948" s="7">
        <v>45560</v>
      </c>
      <c r="I948" s="1" t="s">
        <v>7449</v>
      </c>
      <c r="J948" s="7">
        <v>45560</v>
      </c>
      <c r="K948" s="1" t="s">
        <v>7449</v>
      </c>
    </row>
    <row r="949" spans="1:11" x14ac:dyDescent="0.25">
      <c r="A949" s="1">
        <v>948</v>
      </c>
      <c r="B949" s="1" t="s">
        <v>2857</v>
      </c>
      <c r="C949" s="1" t="s">
        <v>2858</v>
      </c>
      <c r="F949" s="1" t="s">
        <v>2859</v>
      </c>
      <c r="G949" s="1">
        <v>1</v>
      </c>
      <c r="H949" s="7">
        <v>45560</v>
      </c>
      <c r="I949" s="1" t="s">
        <v>7449</v>
      </c>
      <c r="J949" s="7">
        <v>45560</v>
      </c>
      <c r="K949" s="1" t="s">
        <v>7449</v>
      </c>
    </row>
    <row r="950" spans="1:11" x14ac:dyDescent="0.25">
      <c r="A950" s="1">
        <v>949</v>
      </c>
      <c r="B950" s="1" t="s">
        <v>2860</v>
      </c>
      <c r="C950" s="1" t="s">
        <v>2861</v>
      </c>
      <c r="F950" s="1" t="s">
        <v>2862</v>
      </c>
      <c r="G950" s="1">
        <v>1</v>
      </c>
      <c r="H950" s="7">
        <v>45560</v>
      </c>
      <c r="I950" s="1" t="s">
        <v>7449</v>
      </c>
      <c r="J950" s="7">
        <v>45560</v>
      </c>
      <c r="K950" s="1" t="s">
        <v>7449</v>
      </c>
    </row>
    <row r="951" spans="1:11" x14ac:dyDescent="0.25">
      <c r="A951" s="1">
        <v>950</v>
      </c>
      <c r="B951" s="1" t="s">
        <v>2863</v>
      </c>
      <c r="C951" s="1" t="s">
        <v>2864</v>
      </c>
      <c r="F951" s="1" t="s">
        <v>2865</v>
      </c>
      <c r="G951" s="1">
        <v>1</v>
      </c>
      <c r="H951" s="7">
        <v>45560</v>
      </c>
      <c r="I951" s="1" t="s">
        <v>7449</v>
      </c>
      <c r="J951" s="7">
        <v>45560</v>
      </c>
      <c r="K951" s="1" t="s">
        <v>7449</v>
      </c>
    </row>
    <row r="952" spans="1:11" x14ac:dyDescent="0.25">
      <c r="A952" s="1">
        <v>951</v>
      </c>
      <c r="B952" s="1" t="s">
        <v>2866</v>
      </c>
      <c r="C952" s="1" t="s">
        <v>2867</v>
      </c>
      <c r="F952" s="1" t="s">
        <v>2868</v>
      </c>
      <c r="G952" s="1">
        <v>1</v>
      </c>
      <c r="H952" s="7">
        <v>45560</v>
      </c>
      <c r="I952" s="1" t="s">
        <v>7449</v>
      </c>
      <c r="J952" s="7">
        <v>45560</v>
      </c>
      <c r="K952" s="1" t="s">
        <v>7449</v>
      </c>
    </row>
    <row r="953" spans="1:11" x14ac:dyDescent="0.25">
      <c r="A953" s="1">
        <v>952</v>
      </c>
      <c r="B953" s="1" t="s">
        <v>2869</v>
      </c>
      <c r="C953" s="1" t="s">
        <v>2870</v>
      </c>
      <c r="F953" s="1" t="s">
        <v>2871</v>
      </c>
      <c r="G953" s="1">
        <v>1</v>
      </c>
      <c r="H953" s="7">
        <v>45560</v>
      </c>
      <c r="I953" s="1" t="s">
        <v>7449</v>
      </c>
      <c r="J953" s="7">
        <v>45560</v>
      </c>
      <c r="K953" s="1" t="s">
        <v>7449</v>
      </c>
    </row>
    <row r="954" spans="1:11" x14ac:dyDescent="0.25">
      <c r="A954" s="1">
        <v>953</v>
      </c>
      <c r="B954" s="1" t="s">
        <v>2872</v>
      </c>
      <c r="C954" s="1" t="s">
        <v>2873</v>
      </c>
      <c r="F954" s="1" t="s">
        <v>2874</v>
      </c>
      <c r="G954" s="1">
        <v>1</v>
      </c>
      <c r="H954" s="7">
        <v>45560</v>
      </c>
      <c r="I954" s="1" t="s">
        <v>7449</v>
      </c>
      <c r="J954" s="7">
        <v>45560</v>
      </c>
      <c r="K954" s="1" t="s">
        <v>7449</v>
      </c>
    </row>
    <row r="955" spans="1:11" x14ac:dyDescent="0.25">
      <c r="A955" s="1">
        <v>954</v>
      </c>
      <c r="B955" s="1" t="s">
        <v>2875</v>
      </c>
      <c r="C955" s="1" t="s">
        <v>2876</v>
      </c>
      <c r="E955" s="1" t="s">
        <v>52</v>
      </c>
      <c r="G955" s="1">
        <v>1</v>
      </c>
      <c r="H955" s="7">
        <v>45560</v>
      </c>
      <c r="I955" s="1" t="s">
        <v>7449</v>
      </c>
      <c r="J955" s="7">
        <v>45560</v>
      </c>
      <c r="K955" s="1" t="s">
        <v>7449</v>
      </c>
    </row>
    <row r="956" spans="1:11" x14ac:dyDescent="0.25">
      <c r="A956" s="1">
        <v>955</v>
      </c>
      <c r="B956" s="1" t="s">
        <v>2877</v>
      </c>
      <c r="C956" s="1" t="s">
        <v>2878</v>
      </c>
      <c r="E956" s="1" t="s">
        <v>52</v>
      </c>
      <c r="G956" s="1">
        <v>1</v>
      </c>
      <c r="H956" s="7">
        <v>45560</v>
      </c>
      <c r="I956" s="1" t="s">
        <v>7449</v>
      </c>
      <c r="J956" s="7">
        <v>45560</v>
      </c>
      <c r="K956" s="1" t="s">
        <v>7449</v>
      </c>
    </row>
    <row r="957" spans="1:11" x14ac:dyDescent="0.25">
      <c r="A957" s="1">
        <v>956</v>
      </c>
      <c r="B957" s="1" t="s">
        <v>2879</v>
      </c>
      <c r="C957" s="1" t="s">
        <v>2880</v>
      </c>
      <c r="D957" s="1" t="s">
        <v>2881</v>
      </c>
      <c r="G957" s="1">
        <v>1</v>
      </c>
      <c r="H957" s="7">
        <v>45560</v>
      </c>
      <c r="I957" s="1" t="s">
        <v>7449</v>
      </c>
      <c r="J957" s="7">
        <v>45560</v>
      </c>
      <c r="K957" s="1" t="s">
        <v>7449</v>
      </c>
    </row>
    <row r="958" spans="1:11" x14ac:dyDescent="0.25">
      <c r="A958" s="1">
        <v>957</v>
      </c>
      <c r="B958" s="1" t="s">
        <v>2882</v>
      </c>
      <c r="C958" s="1" t="s">
        <v>2883</v>
      </c>
      <c r="F958" s="1" t="s">
        <v>2884</v>
      </c>
      <c r="G958" s="1">
        <v>1</v>
      </c>
      <c r="H958" s="7">
        <v>45560</v>
      </c>
      <c r="I958" s="1" t="s">
        <v>7449</v>
      </c>
      <c r="J958" s="7">
        <v>45560</v>
      </c>
      <c r="K958" s="1" t="s">
        <v>7449</v>
      </c>
    </row>
    <row r="959" spans="1:11" x14ac:dyDescent="0.25">
      <c r="A959" s="1">
        <v>958</v>
      </c>
      <c r="B959" s="1" t="s">
        <v>2885</v>
      </c>
      <c r="C959" s="1" t="s">
        <v>2886</v>
      </c>
      <c r="F959" s="1" t="s">
        <v>2887</v>
      </c>
      <c r="G959" s="1">
        <v>1</v>
      </c>
      <c r="H959" s="7">
        <v>45560</v>
      </c>
      <c r="I959" s="1" t="s">
        <v>7449</v>
      </c>
      <c r="J959" s="7">
        <v>45560</v>
      </c>
      <c r="K959" s="1" t="s">
        <v>7449</v>
      </c>
    </row>
    <row r="960" spans="1:11" x14ac:dyDescent="0.25">
      <c r="A960" s="1">
        <v>959</v>
      </c>
      <c r="B960" s="1" t="s">
        <v>2888</v>
      </c>
      <c r="C960" s="1" t="s">
        <v>2889</v>
      </c>
      <c r="D960" s="1" t="s">
        <v>2890</v>
      </c>
      <c r="F960" s="1" t="s">
        <v>2891</v>
      </c>
      <c r="G960" s="1">
        <v>1</v>
      </c>
      <c r="H960" s="7">
        <v>45560</v>
      </c>
      <c r="I960" s="1" t="s">
        <v>7449</v>
      </c>
      <c r="J960" s="7">
        <v>45560</v>
      </c>
      <c r="K960" s="1" t="s">
        <v>7449</v>
      </c>
    </row>
    <row r="961" spans="1:11" x14ac:dyDescent="0.25">
      <c r="A961" s="1">
        <v>960</v>
      </c>
      <c r="B961" s="1" t="s">
        <v>2892</v>
      </c>
      <c r="C961" s="1" t="s">
        <v>2893</v>
      </c>
      <c r="D961" s="1" t="s">
        <v>2894</v>
      </c>
      <c r="G961" s="1">
        <v>1</v>
      </c>
      <c r="H961" s="7">
        <v>45560</v>
      </c>
      <c r="I961" s="1" t="s">
        <v>7449</v>
      </c>
      <c r="J961" s="7">
        <v>45560</v>
      </c>
      <c r="K961" s="1" t="s">
        <v>7449</v>
      </c>
    </row>
    <row r="962" spans="1:11" x14ac:dyDescent="0.25">
      <c r="A962" s="1">
        <v>961</v>
      </c>
      <c r="B962" s="1" t="s">
        <v>2895</v>
      </c>
      <c r="C962" s="1" t="s">
        <v>2896</v>
      </c>
      <c r="E962" s="1" t="s">
        <v>52</v>
      </c>
      <c r="G962" s="1">
        <v>1</v>
      </c>
      <c r="H962" s="7">
        <v>45560</v>
      </c>
      <c r="I962" s="1" t="s">
        <v>7449</v>
      </c>
      <c r="J962" s="7">
        <v>45560</v>
      </c>
      <c r="K962" s="1" t="s">
        <v>7449</v>
      </c>
    </row>
    <row r="963" spans="1:11" x14ac:dyDescent="0.25">
      <c r="A963" s="1">
        <v>962</v>
      </c>
      <c r="B963" s="1" t="s">
        <v>2897</v>
      </c>
      <c r="C963" s="1" t="s">
        <v>2898</v>
      </c>
      <c r="D963" s="1" t="s">
        <v>2899</v>
      </c>
      <c r="F963" s="1" t="s">
        <v>2900</v>
      </c>
      <c r="G963" s="1">
        <v>1</v>
      </c>
      <c r="H963" s="7">
        <v>45560</v>
      </c>
      <c r="I963" s="1" t="s">
        <v>7449</v>
      </c>
      <c r="J963" s="7">
        <v>45560</v>
      </c>
      <c r="K963" s="1" t="s">
        <v>7449</v>
      </c>
    </row>
    <row r="964" spans="1:11" x14ac:dyDescent="0.25">
      <c r="A964" s="1">
        <v>963</v>
      </c>
      <c r="B964" s="1" t="s">
        <v>2901</v>
      </c>
      <c r="C964" s="1" t="s">
        <v>2902</v>
      </c>
      <c r="D964" s="1" t="s">
        <v>2903</v>
      </c>
      <c r="G964" s="1">
        <v>1</v>
      </c>
      <c r="H964" s="7">
        <v>45560</v>
      </c>
      <c r="I964" s="1" t="s">
        <v>7449</v>
      </c>
      <c r="J964" s="7">
        <v>45560</v>
      </c>
      <c r="K964" s="1" t="s">
        <v>7449</v>
      </c>
    </row>
    <row r="965" spans="1:11" x14ac:dyDescent="0.25">
      <c r="A965" s="1">
        <v>964</v>
      </c>
      <c r="B965" s="1" t="s">
        <v>2904</v>
      </c>
      <c r="C965" s="1" t="s">
        <v>2905</v>
      </c>
      <c r="D965" s="1" t="s">
        <v>2906</v>
      </c>
      <c r="F965" s="1" t="s">
        <v>2907</v>
      </c>
      <c r="G965" s="1">
        <v>1</v>
      </c>
      <c r="H965" s="7">
        <v>45560</v>
      </c>
      <c r="I965" s="1" t="s">
        <v>7449</v>
      </c>
      <c r="J965" s="7">
        <v>45560</v>
      </c>
      <c r="K965" s="1" t="s">
        <v>7449</v>
      </c>
    </row>
    <row r="966" spans="1:11" x14ac:dyDescent="0.25">
      <c r="A966" s="1">
        <v>965</v>
      </c>
      <c r="B966" s="1" t="s">
        <v>2908</v>
      </c>
      <c r="C966" s="1" t="s">
        <v>2909</v>
      </c>
      <c r="D966" s="1" t="s">
        <v>2910</v>
      </c>
      <c r="G966" s="1">
        <v>1</v>
      </c>
      <c r="H966" s="7">
        <v>45560</v>
      </c>
      <c r="I966" s="1" t="s">
        <v>7449</v>
      </c>
      <c r="J966" s="7">
        <v>45560</v>
      </c>
      <c r="K966" s="1" t="s">
        <v>7449</v>
      </c>
    </row>
    <row r="967" spans="1:11" x14ac:dyDescent="0.25">
      <c r="A967" s="1">
        <v>966</v>
      </c>
      <c r="B967" s="1" t="s">
        <v>2911</v>
      </c>
      <c r="C967" s="1" t="s">
        <v>2912</v>
      </c>
      <c r="F967" s="1" t="s">
        <v>2913</v>
      </c>
      <c r="G967" s="1">
        <v>1</v>
      </c>
      <c r="H967" s="7">
        <v>45560</v>
      </c>
      <c r="I967" s="1" t="s">
        <v>7449</v>
      </c>
      <c r="J967" s="7">
        <v>45560</v>
      </c>
      <c r="K967" s="1" t="s">
        <v>7449</v>
      </c>
    </row>
    <row r="968" spans="1:11" x14ac:dyDescent="0.25">
      <c r="A968" s="1">
        <v>967</v>
      </c>
      <c r="B968" s="1" t="s">
        <v>2914</v>
      </c>
      <c r="C968" s="1" t="s">
        <v>2915</v>
      </c>
      <c r="E968" s="1" t="s">
        <v>52</v>
      </c>
      <c r="G968" s="1">
        <v>1</v>
      </c>
      <c r="H968" s="7">
        <v>45560</v>
      </c>
      <c r="I968" s="1" t="s">
        <v>7449</v>
      </c>
      <c r="J968" s="7">
        <v>45560</v>
      </c>
      <c r="K968" s="1" t="s">
        <v>7449</v>
      </c>
    </row>
    <row r="969" spans="1:11" x14ac:dyDescent="0.25">
      <c r="A969" s="1">
        <v>968</v>
      </c>
      <c r="B969" s="1" t="s">
        <v>2916</v>
      </c>
      <c r="C969" s="1" t="s">
        <v>2917</v>
      </c>
      <c r="F969" s="1" t="s">
        <v>2918</v>
      </c>
      <c r="G969" s="1">
        <v>1</v>
      </c>
      <c r="H969" s="7">
        <v>45560</v>
      </c>
      <c r="I969" s="1" t="s">
        <v>7449</v>
      </c>
      <c r="J969" s="7">
        <v>45560</v>
      </c>
      <c r="K969" s="1" t="s">
        <v>7449</v>
      </c>
    </row>
    <row r="970" spans="1:11" x14ac:dyDescent="0.25">
      <c r="A970" s="1">
        <v>969</v>
      </c>
      <c r="B970" s="1" t="s">
        <v>2919</v>
      </c>
      <c r="C970" s="1" t="s">
        <v>2920</v>
      </c>
      <c r="F970" s="1" t="s">
        <v>2921</v>
      </c>
      <c r="G970" s="1">
        <v>1</v>
      </c>
      <c r="H970" s="7">
        <v>45560</v>
      </c>
      <c r="I970" s="1" t="s">
        <v>7449</v>
      </c>
      <c r="J970" s="7">
        <v>45560</v>
      </c>
      <c r="K970" s="1" t="s">
        <v>7449</v>
      </c>
    </row>
    <row r="971" spans="1:11" ht="45" x14ac:dyDescent="0.25">
      <c r="A971" s="1">
        <v>970</v>
      </c>
      <c r="B971" s="1" t="s">
        <v>2922</v>
      </c>
      <c r="C971" s="1" t="s">
        <v>2923</v>
      </c>
      <c r="D971" s="8" t="s">
        <v>2924</v>
      </c>
      <c r="F971" s="1" t="s">
        <v>2925</v>
      </c>
      <c r="G971" s="1">
        <v>1</v>
      </c>
      <c r="H971" s="7">
        <v>45560</v>
      </c>
      <c r="I971" s="1" t="s">
        <v>7449</v>
      </c>
      <c r="J971" s="7">
        <v>45560</v>
      </c>
      <c r="K971" s="1" t="s">
        <v>7449</v>
      </c>
    </row>
    <row r="972" spans="1:11" x14ac:dyDescent="0.25">
      <c r="A972" s="1">
        <v>971</v>
      </c>
      <c r="B972" s="1" t="s">
        <v>2926</v>
      </c>
      <c r="C972" s="1" t="s">
        <v>2927</v>
      </c>
      <c r="D972" s="1" t="s">
        <v>587</v>
      </c>
      <c r="F972" s="1" t="s">
        <v>2928</v>
      </c>
      <c r="G972" s="1">
        <v>1</v>
      </c>
      <c r="H972" s="7">
        <v>45560</v>
      </c>
      <c r="I972" s="1" t="s">
        <v>7449</v>
      </c>
      <c r="J972" s="7">
        <v>45560</v>
      </c>
      <c r="K972" s="1" t="s">
        <v>7449</v>
      </c>
    </row>
    <row r="973" spans="1:11" x14ac:dyDescent="0.25">
      <c r="A973" s="1">
        <v>972</v>
      </c>
      <c r="B973" s="1" t="s">
        <v>2929</v>
      </c>
      <c r="C973" s="1" t="s">
        <v>2930</v>
      </c>
      <c r="F973" s="1" t="s">
        <v>2931</v>
      </c>
      <c r="G973" s="1">
        <v>1</v>
      </c>
      <c r="H973" s="7">
        <v>45560</v>
      </c>
      <c r="I973" s="1" t="s">
        <v>7449</v>
      </c>
      <c r="J973" s="7">
        <v>45560</v>
      </c>
      <c r="K973" s="1" t="s">
        <v>7449</v>
      </c>
    </row>
    <row r="974" spans="1:11" x14ac:dyDescent="0.25">
      <c r="A974" s="1">
        <v>973</v>
      </c>
      <c r="B974" s="1" t="s">
        <v>2932</v>
      </c>
      <c r="C974" s="1" t="s">
        <v>2933</v>
      </c>
      <c r="E974" s="1" t="s">
        <v>52</v>
      </c>
      <c r="G974" s="1">
        <v>1</v>
      </c>
      <c r="H974" s="7">
        <v>45560</v>
      </c>
      <c r="I974" s="1" t="s">
        <v>7449</v>
      </c>
      <c r="J974" s="7">
        <v>45560</v>
      </c>
      <c r="K974" s="1" t="s">
        <v>7449</v>
      </c>
    </row>
    <row r="975" spans="1:11" x14ac:dyDescent="0.25">
      <c r="A975" s="1">
        <v>974</v>
      </c>
      <c r="B975" s="1" t="s">
        <v>2934</v>
      </c>
      <c r="C975" s="1" t="s">
        <v>2935</v>
      </c>
      <c r="F975" s="1" t="s">
        <v>2936</v>
      </c>
      <c r="G975" s="1">
        <v>1</v>
      </c>
      <c r="H975" s="7">
        <v>45560</v>
      </c>
      <c r="I975" s="1" t="s">
        <v>7449</v>
      </c>
      <c r="J975" s="7">
        <v>45560</v>
      </c>
      <c r="K975" s="1" t="s">
        <v>7449</v>
      </c>
    </row>
    <row r="976" spans="1:11" x14ac:dyDescent="0.25">
      <c r="A976" s="1">
        <v>975</v>
      </c>
      <c r="B976" s="1" t="s">
        <v>2937</v>
      </c>
      <c r="C976" s="1" t="s">
        <v>2938</v>
      </c>
      <c r="F976" s="1" t="s">
        <v>2939</v>
      </c>
      <c r="G976" s="1">
        <v>1</v>
      </c>
      <c r="H976" s="7">
        <v>45560</v>
      </c>
      <c r="I976" s="1" t="s">
        <v>7449</v>
      </c>
      <c r="J976" s="7">
        <v>45560</v>
      </c>
      <c r="K976" s="1" t="s">
        <v>7449</v>
      </c>
    </row>
    <row r="977" spans="1:11" x14ac:dyDescent="0.25">
      <c r="A977" s="1">
        <v>976</v>
      </c>
      <c r="B977" s="1" t="s">
        <v>2940</v>
      </c>
      <c r="C977" s="1" t="s">
        <v>2941</v>
      </c>
      <c r="F977" s="1" t="s">
        <v>2942</v>
      </c>
      <c r="G977" s="1">
        <v>1</v>
      </c>
      <c r="H977" s="7">
        <v>45560</v>
      </c>
      <c r="I977" s="1" t="s">
        <v>7449</v>
      </c>
      <c r="J977" s="7">
        <v>45560</v>
      </c>
      <c r="K977" s="1" t="s">
        <v>7449</v>
      </c>
    </row>
    <row r="978" spans="1:11" x14ac:dyDescent="0.25">
      <c r="A978" s="1">
        <v>977</v>
      </c>
      <c r="B978" s="1" t="s">
        <v>2943</v>
      </c>
      <c r="C978" s="1" t="s">
        <v>2944</v>
      </c>
      <c r="D978" s="1" t="s">
        <v>2945</v>
      </c>
      <c r="F978" s="1" t="s">
        <v>2946</v>
      </c>
      <c r="G978" s="1">
        <v>1</v>
      </c>
      <c r="H978" s="7">
        <v>45560</v>
      </c>
      <c r="I978" s="1" t="s">
        <v>7449</v>
      </c>
      <c r="J978" s="7">
        <v>45560</v>
      </c>
      <c r="K978" s="1" t="s">
        <v>7449</v>
      </c>
    </row>
    <row r="979" spans="1:11" x14ac:dyDescent="0.25">
      <c r="A979" s="1">
        <v>978</v>
      </c>
      <c r="B979" s="1" t="s">
        <v>2947</v>
      </c>
      <c r="C979" s="1" t="s">
        <v>2948</v>
      </c>
      <c r="D979" s="1" t="s">
        <v>2949</v>
      </c>
      <c r="F979" s="1" t="s">
        <v>2950</v>
      </c>
      <c r="G979" s="1">
        <v>1</v>
      </c>
      <c r="H979" s="7">
        <v>45560</v>
      </c>
      <c r="I979" s="1" t="s">
        <v>7449</v>
      </c>
      <c r="J979" s="7">
        <v>45560</v>
      </c>
      <c r="K979" s="1" t="s">
        <v>7449</v>
      </c>
    </row>
    <row r="980" spans="1:11" x14ac:dyDescent="0.25">
      <c r="A980" s="1">
        <v>979</v>
      </c>
      <c r="B980" s="1" t="s">
        <v>2951</v>
      </c>
      <c r="C980" s="1" t="s">
        <v>2952</v>
      </c>
      <c r="D980" s="1" t="s">
        <v>2953</v>
      </c>
      <c r="F980" s="1" t="s">
        <v>2950</v>
      </c>
      <c r="G980" s="1">
        <v>1</v>
      </c>
      <c r="H980" s="7">
        <v>45560</v>
      </c>
      <c r="I980" s="1" t="s">
        <v>7449</v>
      </c>
      <c r="J980" s="7">
        <v>45560</v>
      </c>
      <c r="K980" s="1" t="s">
        <v>7449</v>
      </c>
    </row>
    <row r="981" spans="1:11" ht="45" x14ac:dyDescent="0.25">
      <c r="A981" s="1">
        <v>980</v>
      </c>
      <c r="B981" s="1" t="s">
        <v>2954</v>
      </c>
      <c r="C981" s="1" t="s">
        <v>2955</v>
      </c>
      <c r="D981" s="8" t="s">
        <v>2956</v>
      </c>
      <c r="E981" s="1" t="s">
        <v>73</v>
      </c>
      <c r="G981" s="1">
        <v>1</v>
      </c>
      <c r="H981" s="7">
        <v>45560</v>
      </c>
      <c r="I981" s="1" t="s">
        <v>7449</v>
      </c>
      <c r="J981" s="7">
        <v>45560</v>
      </c>
      <c r="K981" s="1" t="s">
        <v>7449</v>
      </c>
    </row>
    <row r="982" spans="1:11" x14ac:dyDescent="0.25">
      <c r="A982" s="1">
        <v>981</v>
      </c>
      <c r="B982" s="1" t="s">
        <v>2957</v>
      </c>
      <c r="C982" s="1" t="s">
        <v>2958</v>
      </c>
      <c r="F982" s="1" t="s">
        <v>2911</v>
      </c>
      <c r="G982" s="1">
        <v>1</v>
      </c>
      <c r="H982" s="7">
        <v>45560</v>
      </c>
      <c r="I982" s="1" t="s">
        <v>7449</v>
      </c>
      <c r="J982" s="7">
        <v>45560</v>
      </c>
      <c r="K982" s="1" t="s">
        <v>7449</v>
      </c>
    </row>
    <row r="983" spans="1:11" x14ac:dyDescent="0.25">
      <c r="A983" s="1">
        <v>982</v>
      </c>
      <c r="B983" s="1" t="s">
        <v>630</v>
      </c>
      <c r="C983" s="1" t="s">
        <v>2959</v>
      </c>
      <c r="E983" s="1" t="s">
        <v>52</v>
      </c>
      <c r="G983" s="1">
        <v>1</v>
      </c>
      <c r="H983" s="7">
        <v>45560</v>
      </c>
      <c r="I983" s="1" t="s">
        <v>7449</v>
      </c>
      <c r="J983" s="7">
        <v>45560</v>
      </c>
      <c r="K983" s="1" t="s">
        <v>7449</v>
      </c>
    </row>
    <row r="984" spans="1:11" x14ac:dyDescent="0.25">
      <c r="A984" s="1">
        <v>983</v>
      </c>
      <c r="B984" s="1" t="s">
        <v>2960</v>
      </c>
      <c r="C984" s="1" t="s">
        <v>2961</v>
      </c>
      <c r="F984" s="1" t="s">
        <v>2962</v>
      </c>
      <c r="G984" s="1">
        <v>1</v>
      </c>
      <c r="H984" s="7">
        <v>45560</v>
      </c>
      <c r="I984" s="1" t="s">
        <v>7449</v>
      </c>
      <c r="J984" s="7">
        <v>45560</v>
      </c>
      <c r="K984" s="1" t="s">
        <v>7449</v>
      </c>
    </row>
    <row r="985" spans="1:11" x14ac:dyDescent="0.25">
      <c r="A985" s="1">
        <v>984</v>
      </c>
      <c r="B985" s="1" t="s">
        <v>2963</v>
      </c>
      <c r="C985" s="1" t="s">
        <v>2964</v>
      </c>
      <c r="E985" s="1" t="s">
        <v>52</v>
      </c>
      <c r="G985" s="1">
        <v>1</v>
      </c>
      <c r="H985" s="7">
        <v>45560</v>
      </c>
      <c r="I985" s="1" t="s">
        <v>7449</v>
      </c>
      <c r="J985" s="7">
        <v>45560</v>
      </c>
      <c r="K985" s="1" t="s">
        <v>7449</v>
      </c>
    </row>
    <row r="986" spans="1:11" x14ac:dyDescent="0.25">
      <c r="A986" s="1">
        <v>985</v>
      </c>
      <c r="B986" s="1" t="s">
        <v>2965</v>
      </c>
      <c r="C986" s="1" t="s">
        <v>2966</v>
      </c>
      <c r="E986" s="1" t="s">
        <v>52</v>
      </c>
      <c r="G986" s="1">
        <v>1</v>
      </c>
      <c r="H986" s="7">
        <v>45560</v>
      </c>
      <c r="I986" s="1" t="s">
        <v>7449</v>
      </c>
      <c r="J986" s="7">
        <v>45560</v>
      </c>
      <c r="K986" s="1" t="s">
        <v>7449</v>
      </c>
    </row>
    <row r="987" spans="1:11" x14ac:dyDescent="0.25">
      <c r="A987" s="1">
        <v>986</v>
      </c>
      <c r="B987" s="1" t="s">
        <v>2967</v>
      </c>
      <c r="C987" s="1" t="s">
        <v>2968</v>
      </c>
      <c r="F987" s="1" t="s">
        <v>2969</v>
      </c>
      <c r="G987" s="1">
        <v>1</v>
      </c>
      <c r="H987" s="7">
        <v>45560</v>
      </c>
      <c r="I987" s="1" t="s">
        <v>7449</v>
      </c>
      <c r="J987" s="7">
        <v>45560</v>
      </c>
      <c r="K987" s="1" t="s">
        <v>7449</v>
      </c>
    </row>
    <row r="988" spans="1:11" x14ac:dyDescent="0.25">
      <c r="A988" s="1">
        <v>987</v>
      </c>
      <c r="B988" s="1" t="s">
        <v>2970</v>
      </c>
      <c r="C988" s="1" t="s">
        <v>2971</v>
      </c>
      <c r="F988" s="1" t="s">
        <v>2972</v>
      </c>
      <c r="G988" s="1">
        <v>1</v>
      </c>
      <c r="H988" s="7">
        <v>45560</v>
      </c>
      <c r="I988" s="1" t="s">
        <v>7449</v>
      </c>
      <c r="J988" s="7">
        <v>45560</v>
      </c>
      <c r="K988" s="1" t="s">
        <v>7449</v>
      </c>
    </row>
    <row r="989" spans="1:11" x14ac:dyDescent="0.25">
      <c r="A989" s="1">
        <v>988</v>
      </c>
      <c r="B989" s="1" t="s">
        <v>2973</v>
      </c>
      <c r="C989" s="1" t="s">
        <v>2974</v>
      </c>
      <c r="F989" s="1" t="s">
        <v>2975</v>
      </c>
      <c r="G989" s="1">
        <v>1</v>
      </c>
      <c r="H989" s="7">
        <v>45560</v>
      </c>
      <c r="I989" s="1" t="s">
        <v>7449</v>
      </c>
      <c r="J989" s="7">
        <v>45560</v>
      </c>
      <c r="K989" s="1" t="s">
        <v>7449</v>
      </c>
    </row>
    <row r="990" spans="1:11" x14ac:dyDescent="0.25">
      <c r="A990" s="1">
        <v>989</v>
      </c>
      <c r="B990" s="1" t="s">
        <v>2976</v>
      </c>
      <c r="C990" s="1" t="s">
        <v>2977</v>
      </c>
      <c r="F990" s="1" t="s">
        <v>2978</v>
      </c>
      <c r="G990" s="1">
        <v>1</v>
      </c>
      <c r="H990" s="7">
        <v>45560</v>
      </c>
      <c r="I990" s="1" t="s">
        <v>7449</v>
      </c>
      <c r="J990" s="7">
        <v>45560</v>
      </c>
      <c r="K990" s="1" t="s">
        <v>7449</v>
      </c>
    </row>
    <row r="991" spans="1:11" x14ac:dyDescent="0.25">
      <c r="A991" s="1">
        <v>990</v>
      </c>
      <c r="B991" s="1" t="s">
        <v>2979</v>
      </c>
      <c r="C991" s="1" t="s">
        <v>2980</v>
      </c>
      <c r="F991" s="1" t="s">
        <v>2981</v>
      </c>
      <c r="G991" s="1">
        <v>1</v>
      </c>
      <c r="H991" s="7">
        <v>45560</v>
      </c>
      <c r="I991" s="1" t="s">
        <v>7449</v>
      </c>
      <c r="J991" s="7">
        <v>45560</v>
      </c>
      <c r="K991" s="1" t="s">
        <v>7449</v>
      </c>
    </row>
    <row r="992" spans="1:11" x14ac:dyDescent="0.25">
      <c r="A992" s="1">
        <v>991</v>
      </c>
      <c r="B992" s="1" t="s">
        <v>2982</v>
      </c>
      <c r="C992" s="1" t="s">
        <v>2983</v>
      </c>
      <c r="F992" s="1" t="s">
        <v>2984</v>
      </c>
      <c r="G992" s="1">
        <v>1</v>
      </c>
      <c r="H992" s="7">
        <v>45560</v>
      </c>
      <c r="I992" s="1" t="s">
        <v>7449</v>
      </c>
      <c r="J992" s="7">
        <v>45560</v>
      </c>
      <c r="K992" s="1" t="s">
        <v>7449</v>
      </c>
    </row>
    <row r="993" spans="1:11" x14ac:dyDescent="0.25">
      <c r="A993" s="1">
        <v>992</v>
      </c>
      <c r="B993" s="1" t="s">
        <v>2985</v>
      </c>
      <c r="C993" s="1" t="s">
        <v>2986</v>
      </c>
      <c r="F993" s="1" t="s">
        <v>2987</v>
      </c>
      <c r="G993" s="1">
        <v>1</v>
      </c>
      <c r="H993" s="7">
        <v>45560</v>
      </c>
      <c r="I993" s="1" t="s">
        <v>7449</v>
      </c>
      <c r="J993" s="7">
        <v>45560</v>
      </c>
      <c r="K993" s="1" t="s">
        <v>7449</v>
      </c>
    </row>
    <row r="994" spans="1:11" x14ac:dyDescent="0.25">
      <c r="A994" s="1">
        <v>993</v>
      </c>
      <c r="B994" s="1" t="s">
        <v>2988</v>
      </c>
      <c r="C994" s="1" t="s">
        <v>2989</v>
      </c>
      <c r="E994" s="1" t="s">
        <v>52</v>
      </c>
      <c r="G994" s="1">
        <v>1</v>
      </c>
      <c r="H994" s="7">
        <v>45560</v>
      </c>
      <c r="I994" s="1" t="s">
        <v>7449</v>
      </c>
      <c r="J994" s="7">
        <v>45560</v>
      </c>
      <c r="K994" s="1" t="s">
        <v>7449</v>
      </c>
    </row>
    <row r="995" spans="1:11" x14ac:dyDescent="0.25">
      <c r="A995" s="1">
        <v>994</v>
      </c>
      <c r="B995" s="1" t="s">
        <v>2990</v>
      </c>
      <c r="C995" s="1" t="s">
        <v>2991</v>
      </c>
      <c r="F995" s="1" t="s">
        <v>2992</v>
      </c>
      <c r="G995" s="1">
        <v>1</v>
      </c>
      <c r="H995" s="7">
        <v>45560</v>
      </c>
      <c r="I995" s="1" t="s">
        <v>7449</v>
      </c>
      <c r="J995" s="7">
        <v>45560</v>
      </c>
      <c r="K995" s="1" t="s">
        <v>7449</v>
      </c>
    </row>
    <row r="996" spans="1:11" x14ac:dyDescent="0.25">
      <c r="A996" s="1">
        <v>995</v>
      </c>
      <c r="B996" s="1" t="s">
        <v>2993</v>
      </c>
      <c r="C996" s="1" t="s">
        <v>2994</v>
      </c>
      <c r="F996" s="1" t="s">
        <v>2995</v>
      </c>
      <c r="G996" s="1">
        <v>1</v>
      </c>
      <c r="H996" s="7">
        <v>45560</v>
      </c>
      <c r="I996" s="1" t="s">
        <v>7449</v>
      </c>
      <c r="J996" s="7">
        <v>45560</v>
      </c>
      <c r="K996" s="1" t="s">
        <v>7449</v>
      </c>
    </row>
    <row r="997" spans="1:11" x14ac:dyDescent="0.25">
      <c r="A997" s="1">
        <v>996</v>
      </c>
      <c r="B997" s="1" t="s">
        <v>2996</v>
      </c>
      <c r="C997" s="1" t="s">
        <v>2997</v>
      </c>
      <c r="F997" s="1" t="s">
        <v>2998</v>
      </c>
      <c r="G997" s="1">
        <v>1</v>
      </c>
      <c r="H997" s="7">
        <v>45560</v>
      </c>
      <c r="I997" s="1" t="s">
        <v>7449</v>
      </c>
      <c r="J997" s="7">
        <v>45560</v>
      </c>
      <c r="K997" s="1" t="s">
        <v>7449</v>
      </c>
    </row>
    <row r="998" spans="1:11" x14ac:dyDescent="0.25">
      <c r="A998" s="1">
        <v>997</v>
      </c>
      <c r="B998" s="1" t="s">
        <v>2999</v>
      </c>
      <c r="C998" s="1" t="s">
        <v>3000</v>
      </c>
      <c r="F998" s="1" t="s">
        <v>3001</v>
      </c>
      <c r="G998" s="1">
        <v>1</v>
      </c>
      <c r="H998" s="7">
        <v>45560</v>
      </c>
      <c r="I998" s="1" t="s">
        <v>7449</v>
      </c>
      <c r="J998" s="7">
        <v>45560</v>
      </c>
      <c r="K998" s="1" t="s">
        <v>7449</v>
      </c>
    </row>
    <row r="999" spans="1:11" x14ac:dyDescent="0.25">
      <c r="A999" s="1">
        <v>998</v>
      </c>
      <c r="B999" s="1" t="s">
        <v>3002</v>
      </c>
      <c r="C999" s="1" t="s">
        <v>3003</v>
      </c>
      <c r="F999" s="1" t="s">
        <v>3004</v>
      </c>
      <c r="G999" s="1">
        <v>1</v>
      </c>
      <c r="H999" s="7">
        <v>45560</v>
      </c>
      <c r="I999" s="1" t="s">
        <v>7449</v>
      </c>
      <c r="J999" s="7">
        <v>45560</v>
      </c>
      <c r="K999" s="1" t="s">
        <v>7449</v>
      </c>
    </row>
    <row r="1000" spans="1:11" x14ac:dyDescent="0.25">
      <c r="A1000" s="1">
        <v>999</v>
      </c>
      <c r="B1000" s="1" t="s">
        <v>3005</v>
      </c>
      <c r="C1000" s="1" t="s">
        <v>3006</v>
      </c>
      <c r="F1000" s="1" t="s">
        <v>3007</v>
      </c>
      <c r="G1000" s="1">
        <v>1</v>
      </c>
      <c r="H1000" s="7">
        <v>45560</v>
      </c>
      <c r="I1000" s="1" t="s">
        <v>7449</v>
      </c>
      <c r="J1000" s="7">
        <v>45560</v>
      </c>
      <c r="K1000" s="1" t="s">
        <v>7449</v>
      </c>
    </row>
    <row r="1001" spans="1:11" x14ac:dyDescent="0.25">
      <c r="A1001" s="1">
        <v>1000</v>
      </c>
      <c r="B1001" s="1" t="s">
        <v>3008</v>
      </c>
      <c r="C1001" s="1" t="s">
        <v>3009</v>
      </c>
      <c r="F1001" s="1" t="s">
        <v>3010</v>
      </c>
      <c r="G1001" s="1">
        <v>1</v>
      </c>
      <c r="H1001" s="7">
        <v>45560</v>
      </c>
      <c r="I1001" s="1" t="s">
        <v>7449</v>
      </c>
      <c r="J1001" s="7">
        <v>45560</v>
      </c>
      <c r="K1001" s="1" t="s">
        <v>7449</v>
      </c>
    </row>
    <row r="1002" spans="1:11" x14ac:dyDescent="0.25">
      <c r="A1002" s="1">
        <v>1001</v>
      </c>
      <c r="B1002" s="1" t="s">
        <v>3011</v>
      </c>
      <c r="C1002" s="1" t="s">
        <v>3012</v>
      </c>
      <c r="D1002" s="1" t="s">
        <v>3013</v>
      </c>
      <c r="F1002" s="1" t="s">
        <v>3014</v>
      </c>
      <c r="G1002" s="1">
        <v>1</v>
      </c>
      <c r="H1002" s="7">
        <v>45560</v>
      </c>
      <c r="I1002" s="1" t="s">
        <v>7449</v>
      </c>
      <c r="J1002" s="7">
        <v>45560</v>
      </c>
      <c r="K1002" s="1" t="s">
        <v>7449</v>
      </c>
    </row>
    <row r="1003" spans="1:11" x14ac:dyDescent="0.25">
      <c r="A1003" s="1">
        <v>1002</v>
      </c>
      <c r="B1003" s="1" t="s">
        <v>3015</v>
      </c>
      <c r="C1003" s="1" t="s">
        <v>3016</v>
      </c>
      <c r="F1003" s="1" t="s">
        <v>3017</v>
      </c>
      <c r="G1003" s="1">
        <v>1</v>
      </c>
      <c r="H1003" s="7">
        <v>45560</v>
      </c>
      <c r="I1003" s="1" t="s">
        <v>7449</v>
      </c>
      <c r="J1003" s="7">
        <v>45560</v>
      </c>
      <c r="K1003" s="1" t="s">
        <v>7449</v>
      </c>
    </row>
    <row r="1004" spans="1:11" x14ac:dyDescent="0.25">
      <c r="A1004" s="1">
        <v>1003</v>
      </c>
      <c r="B1004" s="1" t="s">
        <v>3018</v>
      </c>
      <c r="C1004" s="1" t="s">
        <v>3019</v>
      </c>
      <c r="E1004" s="1" t="s">
        <v>52</v>
      </c>
      <c r="G1004" s="1">
        <v>1</v>
      </c>
      <c r="H1004" s="7">
        <v>45560</v>
      </c>
      <c r="I1004" s="1" t="s">
        <v>7449</v>
      </c>
      <c r="J1004" s="7">
        <v>45560</v>
      </c>
      <c r="K1004" s="1" t="s">
        <v>7449</v>
      </c>
    </row>
    <row r="1005" spans="1:11" x14ac:dyDescent="0.25">
      <c r="A1005" s="1">
        <v>1004</v>
      </c>
      <c r="B1005" s="1" t="s">
        <v>3020</v>
      </c>
      <c r="C1005" s="1" t="s">
        <v>3021</v>
      </c>
      <c r="F1005" s="1" t="s">
        <v>3022</v>
      </c>
      <c r="G1005" s="1">
        <v>1</v>
      </c>
      <c r="H1005" s="7">
        <v>45560</v>
      </c>
      <c r="I1005" s="1" t="s">
        <v>7449</v>
      </c>
      <c r="J1005" s="7">
        <v>45560</v>
      </c>
      <c r="K1005" s="1" t="s">
        <v>7449</v>
      </c>
    </row>
    <row r="1006" spans="1:11" x14ac:dyDescent="0.25">
      <c r="A1006" s="1">
        <v>1005</v>
      </c>
      <c r="B1006" s="1" t="s">
        <v>3023</v>
      </c>
      <c r="C1006" s="1" t="s">
        <v>3024</v>
      </c>
      <c r="D1006" s="1" t="s">
        <v>3025</v>
      </c>
      <c r="G1006" s="1">
        <v>1</v>
      </c>
      <c r="H1006" s="7">
        <v>45560</v>
      </c>
      <c r="I1006" s="1" t="s">
        <v>7449</v>
      </c>
      <c r="J1006" s="7">
        <v>45560</v>
      </c>
      <c r="K1006" s="1" t="s">
        <v>7449</v>
      </c>
    </row>
    <row r="1007" spans="1:11" x14ac:dyDescent="0.25">
      <c r="A1007" s="1">
        <v>1006</v>
      </c>
      <c r="B1007" s="1" t="s">
        <v>3026</v>
      </c>
      <c r="C1007" s="1" t="s">
        <v>3027</v>
      </c>
      <c r="F1007" s="1" t="s">
        <v>3028</v>
      </c>
      <c r="G1007" s="1">
        <v>1</v>
      </c>
      <c r="H1007" s="7">
        <v>45560</v>
      </c>
      <c r="I1007" s="1" t="s">
        <v>7449</v>
      </c>
      <c r="J1007" s="7">
        <v>45560</v>
      </c>
      <c r="K1007" s="1" t="s">
        <v>7449</v>
      </c>
    </row>
    <row r="1008" spans="1:11" x14ac:dyDescent="0.25">
      <c r="A1008" s="1">
        <v>1007</v>
      </c>
      <c r="B1008" s="1" t="s">
        <v>3029</v>
      </c>
      <c r="C1008" s="1" t="s">
        <v>3030</v>
      </c>
      <c r="F1008" s="1" t="s">
        <v>3031</v>
      </c>
      <c r="G1008" s="1">
        <v>1</v>
      </c>
      <c r="H1008" s="7">
        <v>45560</v>
      </c>
      <c r="I1008" s="1" t="s">
        <v>7449</v>
      </c>
      <c r="J1008" s="7">
        <v>45560</v>
      </c>
      <c r="K1008" s="1" t="s">
        <v>7449</v>
      </c>
    </row>
    <row r="1009" spans="1:11" x14ac:dyDescent="0.25">
      <c r="A1009" s="1">
        <v>1008</v>
      </c>
      <c r="B1009" s="1" t="s">
        <v>3032</v>
      </c>
      <c r="C1009" s="1" t="s">
        <v>3033</v>
      </c>
      <c r="F1009" s="1" t="s">
        <v>3034</v>
      </c>
      <c r="G1009" s="1">
        <v>1</v>
      </c>
      <c r="H1009" s="7">
        <v>45560</v>
      </c>
      <c r="I1009" s="1" t="s">
        <v>7449</v>
      </c>
      <c r="J1009" s="7">
        <v>45560</v>
      </c>
      <c r="K1009" s="1" t="s">
        <v>7449</v>
      </c>
    </row>
    <row r="1010" spans="1:11" x14ac:dyDescent="0.25">
      <c r="A1010" s="1">
        <v>1009</v>
      </c>
      <c r="B1010" s="1" t="s">
        <v>3035</v>
      </c>
      <c r="C1010" s="1" t="s">
        <v>3036</v>
      </c>
      <c r="D1010" s="1" t="s">
        <v>3037</v>
      </c>
      <c r="F1010" s="1" t="s">
        <v>3038</v>
      </c>
      <c r="G1010" s="1">
        <v>1</v>
      </c>
      <c r="H1010" s="7">
        <v>45560</v>
      </c>
      <c r="I1010" s="1" t="s">
        <v>7449</v>
      </c>
      <c r="J1010" s="7">
        <v>45560</v>
      </c>
      <c r="K1010" s="1" t="s">
        <v>7449</v>
      </c>
    </row>
    <row r="1011" spans="1:11" x14ac:dyDescent="0.25">
      <c r="A1011" s="1">
        <v>1010</v>
      </c>
      <c r="B1011" s="1" t="s">
        <v>3039</v>
      </c>
      <c r="C1011" s="1" t="s">
        <v>3040</v>
      </c>
      <c r="F1011" s="1" t="s">
        <v>3041</v>
      </c>
      <c r="G1011" s="1">
        <v>1</v>
      </c>
      <c r="H1011" s="7">
        <v>45560</v>
      </c>
      <c r="I1011" s="1" t="s">
        <v>7449</v>
      </c>
      <c r="J1011" s="7">
        <v>45560</v>
      </c>
      <c r="K1011" s="1" t="s">
        <v>7449</v>
      </c>
    </row>
    <row r="1012" spans="1:11" x14ac:dyDescent="0.25">
      <c r="A1012" s="1">
        <v>1011</v>
      </c>
      <c r="B1012" s="1" t="s">
        <v>3042</v>
      </c>
      <c r="C1012" s="1" t="s">
        <v>3043</v>
      </c>
      <c r="F1012" s="1" t="s">
        <v>3044</v>
      </c>
      <c r="G1012" s="1">
        <v>1</v>
      </c>
      <c r="H1012" s="7">
        <v>45560</v>
      </c>
      <c r="I1012" s="1" t="s">
        <v>7449</v>
      </c>
      <c r="J1012" s="7">
        <v>45560</v>
      </c>
      <c r="K1012" s="1" t="s">
        <v>7449</v>
      </c>
    </row>
    <row r="1013" spans="1:11" x14ac:dyDescent="0.25">
      <c r="A1013" s="1">
        <v>1012</v>
      </c>
      <c r="B1013" s="1" t="s">
        <v>3045</v>
      </c>
      <c r="C1013" s="1" t="s">
        <v>3046</v>
      </c>
      <c r="F1013" s="1" t="s">
        <v>3047</v>
      </c>
      <c r="G1013" s="1">
        <v>1</v>
      </c>
      <c r="H1013" s="7">
        <v>45560</v>
      </c>
      <c r="I1013" s="1" t="s">
        <v>7449</v>
      </c>
      <c r="J1013" s="7">
        <v>45560</v>
      </c>
      <c r="K1013" s="1" t="s">
        <v>7449</v>
      </c>
    </row>
    <row r="1014" spans="1:11" x14ac:dyDescent="0.25">
      <c r="A1014" s="1">
        <v>1013</v>
      </c>
      <c r="B1014" s="1" t="s">
        <v>3048</v>
      </c>
      <c r="C1014" s="1" t="s">
        <v>3049</v>
      </c>
      <c r="F1014" s="1" t="s">
        <v>3050</v>
      </c>
      <c r="G1014" s="1">
        <v>1</v>
      </c>
      <c r="H1014" s="7">
        <v>45560</v>
      </c>
      <c r="I1014" s="1" t="s">
        <v>7449</v>
      </c>
      <c r="J1014" s="7">
        <v>45560</v>
      </c>
      <c r="K1014" s="1" t="s">
        <v>7449</v>
      </c>
    </row>
    <row r="1015" spans="1:11" x14ac:dyDescent="0.25">
      <c r="A1015" s="1">
        <v>1014</v>
      </c>
      <c r="B1015" s="1" t="s">
        <v>3051</v>
      </c>
      <c r="C1015" s="1" t="s">
        <v>3052</v>
      </c>
      <c r="F1015" s="1" t="s">
        <v>3053</v>
      </c>
      <c r="G1015" s="1">
        <v>1</v>
      </c>
      <c r="H1015" s="7">
        <v>45560</v>
      </c>
      <c r="I1015" s="1" t="s">
        <v>7449</v>
      </c>
      <c r="J1015" s="7">
        <v>45560</v>
      </c>
      <c r="K1015" s="1" t="s">
        <v>7449</v>
      </c>
    </row>
    <row r="1016" spans="1:11" x14ac:dyDescent="0.25">
      <c r="A1016" s="1">
        <v>1015</v>
      </c>
      <c r="B1016" s="1" t="s">
        <v>3054</v>
      </c>
      <c r="C1016" s="1" t="s">
        <v>3055</v>
      </c>
      <c r="F1016" s="1" t="s">
        <v>3056</v>
      </c>
      <c r="G1016" s="1">
        <v>1</v>
      </c>
      <c r="H1016" s="7">
        <v>45560</v>
      </c>
      <c r="I1016" s="1" t="s">
        <v>7449</v>
      </c>
      <c r="J1016" s="7">
        <v>45560</v>
      </c>
      <c r="K1016" s="1" t="s">
        <v>7449</v>
      </c>
    </row>
    <row r="1017" spans="1:11" x14ac:dyDescent="0.25">
      <c r="A1017" s="1">
        <v>1016</v>
      </c>
      <c r="B1017" s="1" t="s">
        <v>3057</v>
      </c>
      <c r="C1017" s="1" t="s">
        <v>3058</v>
      </c>
      <c r="D1017" s="1" t="s">
        <v>3059</v>
      </c>
      <c r="F1017" s="1" t="s">
        <v>3060</v>
      </c>
      <c r="G1017" s="1">
        <v>1</v>
      </c>
      <c r="H1017" s="7">
        <v>45560</v>
      </c>
      <c r="I1017" s="1" t="s">
        <v>7449</v>
      </c>
      <c r="J1017" s="7">
        <v>45560</v>
      </c>
      <c r="K1017" s="1" t="s">
        <v>7449</v>
      </c>
    </row>
    <row r="1018" spans="1:11" x14ac:dyDescent="0.25">
      <c r="A1018" s="1">
        <v>1017</v>
      </c>
      <c r="B1018" s="1" t="s">
        <v>3061</v>
      </c>
      <c r="C1018" s="1" t="s">
        <v>3062</v>
      </c>
      <c r="F1018" s="1" t="s">
        <v>3063</v>
      </c>
      <c r="G1018" s="1">
        <v>1</v>
      </c>
      <c r="H1018" s="7">
        <v>45560</v>
      </c>
      <c r="I1018" s="1" t="s">
        <v>7449</v>
      </c>
      <c r="J1018" s="7">
        <v>45560</v>
      </c>
      <c r="K1018" s="1" t="s">
        <v>7449</v>
      </c>
    </row>
    <row r="1019" spans="1:11" x14ac:dyDescent="0.25">
      <c r="A1019" s="1">
        <v>1018</v>
      </c>
      <c r="B1019" s="1" t="s">
        <v>3064</v>
      </c>
      <c r="C1019" s="1" t="s">
        <v>3065</v>
      </c>
      <c r="F1019" s="1" t="s">
        <v>3066</v>
      </c>
      <c r="G1019" s="1">
        <v>1</v>
      </c>
      <c r="H1019" s="7">
        <v>45560</v>
      </c>
      <c r="I1019" s="1" t="s">
        <v>7449</v>
      </c>
      <c r="J1019" s="7">
        <v>45560</v>
      </c>
      <c r="K1019" s="1" t="s">
        <v>7449</v>
      </c>
    </row>
    <row r="1020" spans="1:11" x14ac:dyDescent="0.25">
      <c r="A1020" s="1">
        <v>1019</v>
      </c>
      <c r="B1020" s="1" t="s">
        <v>3067</v>
      </c>
      <c r="C1020" s="1" t="s">
        <v>3068</v>
      </c>
      <c r="F1020" s="1" t="s">
        <v>3069</v>
      </c>
      <c r="G1020" s="1">
        <v>1</v>
      </c>
      <c r="H1020" s="7">
        <v>45560</v>
      </c>
      <c r="I1020" s="1" t="s">
        <v>7449</v>
      </c>
      <c r="J1020" s="7">
        <v>45560</v>
      </c>
      <c r="K1020" s="1" t="s">
        <v>7449</v>
      </c>
    </row>
    <row r="1021" spans="1:11" x14ac:dyDescent="0.25">
      <c r="A1021" s="1">
        <v>1020</v>
      </c>
      <c r="B1021" s="1" t="s">
        <v>3070</v>
      </c>
      <c r="C1021" s="1" t="s">
        <v>3071</v>
      </c>
      <c r="F1021" s="1" t="s">
        <v>3072</v>
      </c>
      <c r="G1021" s="1">
        <v>1</v>
      </c>
      <c r="H1021" s="7">
        <v>45560</v>
      </c>
      <c r="I1021" s="1" t="s">
        <v>7449</v>
      </c>
      <c r="J1021" s="7">
        <v>45560</v>
      </c>
      <c r="K1021" s="1" t="s">
        <v>7449</v>
      </c>
    </row>
    <row r="1022" spans="1:11" x14ac:dyDescent="0.25">
      <c r="A1022" s="1">
        <v>1021</v>
      </c>
      <c r="B1022" s="1" t="s">
        <v>3073</v>
      </c>
      <c r="C1022" s="1" t="s">
        <v>3074</v>
      </c>
      <c r="F1022" s="1" t="s">
        <v>3075</v>
      </c>
      <c r="G1022" s="1">
        <v>1</v>
      </c>
      <c r="H1022" s="7">
        <v>45560</v>
      </c>
      <c r="I1022" s="1" t="s">
        <v>7449</v>
      </c>
      <c r="J1022" s="7">
        <v>45560</v>
      </c>
      <c r="K1022" s="1" t="s">
        <v>7449</v>
      </c>
    </row>
    <row r="1023" spans="1:11" x14ac:dyDescent="0.25">
      <c r="A1023" s="1">
        <v>1022</v>
      </c>
      <c r="B1023" s="1" t="s">
        <v>3076</v>
      </c>
      <c r="C1023" s="1" t="s">
        <v>3077</v>
      </c>
      <c r="F1023" s="1" t="s">
        <v>3078</v>
      </c>
      <c r="G1023" s="1">
        <v>1</v>
      </c>
      <c r="H1023" s="7">
        <v>45560</v>
      </c>
      <c r="I1023" s="1" t="s">
        <v>7449</v>
      </c>
      <c r="J1023" s="7">
        <v>45560</v>
      </c>
      <c r="K1023" s="1" t="s">
        <v>7449</v>
      </c>
    </row>
    <row r="1024" spans="1:11" x14ac:dyDescent="0.25">
      <c r="A1024" s="1">
        <v>1023</v>
      </c>
      <c r="B1024" s="1" t="s">
        <v>3079</v>
      </c>
      <c r="C1024" s="1" t="s">
        <v>3080</v>
      </c>
      <c r="F1024" s="1" t="s">
        <v>3081</v>
      </c>
      <c r="G1024" s="1">
        <v>1</v>
      </c>
      <c r="H1024" s="7">
        <v>45560</v>
      </c>
      <c r="I1024" s="1" t="s">
        <v>7449</v>
      </c>
      <c r="J1024" s="7">
        <v>45560</v>
      </c>
      <c r="K1024" s="1" t="s">
        <v>7449</v>
      </c>
    </row>
    <row r="1025" spans="1:11" x14ac:dyDescent="0.25">
      <c r="A1025" s="1">
        <v>1024</v>
      </c>
      <c r="B1025" s="1" t="s">
        <v>3082</v>
      </c>
      <c r="C1025" s="1" t="s">
        <v>3083</v>
      </c>
      <c r="F1025" s="1" t="s">
        <v>3084</v>
      </c>
      <c r="G1025" s="1">
        <v>1</v>
      </c>
      <c r="H1025" s="7">
        <v>45560</v>
      </c>
      <c r="I1025" s="1" t="s">
        <v>7449</v>
      </c>
      <c r="J1025" s="7">
        <v>45560</v>
      </c>
      <c r="K1025" s="1" t="s">
        <v>7449</v>
      </c>
    </row>
    <row r="1026" spans="1:11" x14ac:dyDescent="0.25">
      <c r="A1026" s="1">
        <v>1025</v>
      </c>
      <c r="B1026" s="1" t="s">
        <v>3085</v>
      </c>
      <c r="C1026" s="1" t="s">
        <v>3086</v>
      </c>
      <c r="F1026" s="1" t="s">
        <v>3087</v>
      </c>
      <c r="G1026" s="1">
        <v>1</v>
      </c>
      <c r="H1026" s="7">
        <v>45560</v>
      </c>
      <c r="I1026" s="1" t="s">
        <v>7449</v>
      </c>
      <c r="J1026" s="7">
        <v>45560</v>
      </c>
      <c r="K1026" s="1" t="s">
        <v>7449</v>
      </c>
    </row>
    <row r="1027" spans="1:11" x14ac:dyDescent="0.25">
      <c r="A1027" s="1">
        <v>1026</v>
      </c>
      <c r="B1027" s="1" t="s">
        <v>3088</v>
      </c>
      <c r="C1027" s="1" t="s">
        <v>3089</v>
      </c>
      <c r="F1027" s="1" t="s">
        <v>3090</v>
      </c>
      <c r="G1027" s="1">
        <v>1</v>
      </c>
      <c r="H1027" s="7">
        <v>45560</v>
      </c>
      <c r="I1027" s="1" t="s">
        <v>7449</v>
      </c>
      <c r="J1027" s="7">
        <v>45560</v>
      </c>
      <c r="K1027" s="1" t="s">
        <v>7449</v>
      </c>
    </row>
    <row r="1028" spans="1:11" x14ac:dyDescent="0.25">
      <c r="A1028" s="1">
        <v>1027</v>
      </c>
      <c r="B1028" s="1" t="s">
        <v>3091</v>
      </c>
      <c r="C1028" s="1" t="s">
        <v>3092</v>
      </c>
      <c r="F1028" s="1" t="s">
        <v>3093</v>
      </c>
      <c r="G1028" s="1">
        <v>1</v>
      </c>
      <c r="H1028" s="7">
        <v>45560</v>
      </c>
      <c r="I1028" s="1" t="s">
        <v>7449</v>
      </c>
      <c r="J1028" s="7">
        <v>45560</v>
      </c>
      <c r="K1028" s="1" t="s">
        <v>7449</v>
      </c>
    </row>
    <row r="1029" spans="1:11" x14ac:dyDescent="0.25">
      <c r="A1029" s="1">
        <v>1028</v>
      </c>
      <c r="B1029" s="1" t="s">
        <v>3094</v>
      </c>
      <c r="C1029" s="1" t="s">
        <v>3095</v>
      </c>
      <c r="F1029" s="1" t="s">
        <v>3096</v>
      </c>
      <c r="G1029" s="1">
        <v>1</v>
      </c>
      <c r="H1029" s="7">
        <v>45560</v>
      </c>
      <c r="I1029" s="1" t="s">
        <v>7449</v>
      </c>
      <c r="J1029" s="7">
        <v>45560</v>
      </c>
      <c r="K1029" s="1" t="s">
        <v>7449</v>
      </c>
    </row>
    <row r="1030" spans="1:11" x14ac:dyDescent="0.25">
      <c r="A1030" s="1">
        <v>1029</v>
      </c>
      <c r="B1030" s="1" t="s">
        <v>3097</v>
      </c>
      <c r="C1030" s="1" t="s">
        <v>3098</v>
      </c>
      <c r="F1030" s="1" t="s">
        <v>3099</v>
      </c>
      <c r="G1030" s="1">
        <v>1</v>
      </c>
      <c r="H1030" s="7">
        <v>45560</v>
      </c>
      <c r="I1030" s="1" t="s">
        <v>7449</v>
      </c>
      <c r="J1030" s="7">
        <v>45560</v>
      </c>
      <c r="K1030" s="1" t="s">
        <v>7449</v>
      </c>
    </row>
    <row r="1031" spans="1:11" x14ac:dyDescent="0.25">
      <c r="A1031" s="1">
        <v>1030</v>
      </c>
      <c r="B1031" s="1" t="s">
        <v>3100</v>
      </c>
      <c r="C1031" s="1" t="s">
        <v>3101</v>
      </c>
      <c r="F1031" s="1" t="s">
        <v>3102</v>
      </c>
      <c r="G1031" s="1">
        <v>1</v>
      </c>
      <c r="H1031" s="7">
        <v>45560</v>
      </c>
      <c r="I1031" s="1" t="s">
        <v>7449</v>
      </c>
      <c r="J1031" s="7">
        <v>45560</v>
      </c>
      <c r="K1031" s="1" t="s">
        <v>7449</v>
      </c>
    </row>
    <row r="1032" spans="1:11" x14ac:dyDescent="0.25">
      <c r="A1032" s="1">
        <v>1031</v>
      </c>
      <c r="B1032" s="1" t="s">
        <v>3103</v>
      </c>
      <c r="C1032" s="1" t="s">
        <v>3104</v>
      </c>
      <c r="F1032" s="1" t="s">
        <v>3105</v>
      </c>
      <c r="G1032" s="1">
        <v>1</v>
      </c>
      <c r="H1032" s="7">
        <v>45560</v>
      </c>
      <c r="I1032" s="1" t="s">
        <v>7449</v>
      </c>
      <c r="J1032" s="7">
        <v>45560</v>
      </c>
      <c r="K1032" s="1" t="s">
        <v>7449</v>
      </c>
    </row>
    <row r="1033" spans="1:11" x14ac:dyDescent="0.25">
      <c r="A1033" s="1">
        <v>1032</v>
      </c>
      <c r="B1033" s="1" t="s">
        <v>3106</v>
      </c>
      <c r="C1033" s="1" t="s">
        <v>3107</v>
      </c>
      <c r="F1033" s="1" t="s">
        <v>3108</v>
      </c>
      <c r="G1033" s="1">
        <v>1</v>
      </c>
      <c r="H1033" s="7">
        <v>45560</v>
      </c>
      <c r="I1033" s="1" t="s">
        <v>7449</v>
      </c>
      <c r="J1033" s="7">
        <v>45560</v>
      </c>
      <c r="K1033" s="1" t="s">
        <v>7449</v>
      </c>
    </row>
    <row r="1034" spans="1:11" x14ac:dyDescent="0.25">
      <c r="A1034" s="1">
        <v>1033</v>
      </c>
      <c r="B1034" s="1" t="s">
        <v>3109</v>
      </c>
      <c r="C1034" s="1" t="s">
        <v>3110</v>
      </c>
      <c r="F1034" s="1" t="s">
        <v>3111</v>
      </c>
      <c r="G1034" s="1">
        <v>1</v>
      </c>
      <c r="H1034" s="7">
        <v>45560</v>
      </c>
      <c r="I1034" s="1" t="s">
        <v>7449</v>
      </c>
      <c r="J1034" s="7">
        <v>45560</v>
      </c>
      <c r="K1034" s="1" t="s">
        <v>7449</v>
      </c>
    </row>
    <row r="1035" spans="1:11" x14ac:dyDescent="0.25">
      <c r="A1035" s="1">
        <v>1034</v>
      </c>
      <c r="B1035" s="1" t="s">
        <v>3112</v>
      </c>
      <c r="C1035" s="1" t="s">
        <v>3113</v>
      </c>
      <c r="F1035" s="1" t="s">
        <v>3114</v>
      </c>
      <c r="G1035" s="1">
        <v>1</v>
      </c>
      <c r="H1035" s="7">
        <v>45560</v>
      </c>
      <c r="I1035" s="1" t="s">
        <v>7449</v>
      </c>
      <c r="J1035" s="7">
        <v>45560</v>
      </c>
      <c r="K1035" s="1" t="s">
        <v>7449</v>
      </c>
    </row>
    <row r="1036" spans="1:11" x14ac:dyDescent="0.25">
      <c r="A1036" s="1">
        <v>1035</v>
      </c>
      <c r="B1036" s="1" t="s">
        <v>3115</v>
      </c>
      <c r="C1036" s="1" t="s">
        <v>3116</v>
      </c>
      <c r="F1036" s="1" t="s">
        <v>3117</v>
      </c>
      <c r="G1036" s="1">
        <v>1</v>
      </c>
      <c r="H1036" s="7">
        <v>45560</v>
      </c>
      <c r="I1036" s="1" t="s">
        <v>7449</v>
      </c>
      <c r="J1036" s="7">
        <v>45560</v>
      </c>
      <c r="K1036" s="1" t="s">
        <v>7449</v>
      </c>
    </row>
    <row r="1037" spans="1:11" x14ac:dyDescent="0.25">
      <c r="A1037" s="1">
        <v>1036</v>
      </c>
      <c r="B1037" s="1" t="s">
        <v>3118</v>
      </c>
      <c r="C1037" s="1" t="s">
        <v>3119</v>
      </c>
      <c r="F1037" s="1" t="s">
        <v>3120</v>
      </c>
      <c r="G1037" s="1">
        <v>1</v>
      </c>
      <c r="H1037" s="7">
        <v>45560</v>
      </c>
      <c r="I1037" s="1" t="s">
        <v>7449</v>
      </c>
      <c r="J1037" s="7">
        <v>45560</v>
      </c>
      <c r="K1037" s="1" t="s">
        <v>7449</v>
      </c>
    </row>
    <row r="1038" spans="1:11" x14ac:dyDescent="0.25">
      <c r="A1038" s="1">
        <v>1037</v>
      </c>
      <c r="B1038" s="1" t="s">
        <v>3121</v>
      </c>
      <c r="C1038" s="1" t="s">
        <v>3122</v>
      </c>
      <c r="F1038" s="1" t="s">
        <v>3123</v>
      </c>
      <c r="G1038" s="1">
        <v>1</v>
      </c>
      <c r="H1038" s="7">
        <v>45560</v>
      </c>
      <c r="I1038" s="1" t="s">
        <v>7449</v>
      </c>
      <c r="J1038" s="7">
        <v>45560</v>
      </c>
      <c r="K1038" s="1" t="s">
        <v>7449</v>
      </c>
    </row>
    <row r="1039" spans="1:11" x14ac:dyDescent="0.25">
      <c r="A1039" s="1">
        <v>1038</v>
      </c>
      <c r="B1039" s="1" t="s">
        <v>3124</v>
      </c>
      <c r="C1039" s="1" t="s">
        <v>3125</v>
      </c>
      <c r="F1039" s="1" t="s">
        <v>3126</v>
      </c>
      <c r="G1039" s="1">
        <v>1</v>
      </c>
      <c r="H1039" s="7">
        <v>45560</v>
      </c>
      <c r="I1039" s="1" t="s">
        <v>7449</v>
      </c>
      <c r="J1039" s="7">
        <v>45560</v>
      </c>
      <c r="K1039" s="1" t="s">
        <v>7449</v>
      </c>
    </row>
    <row r="1040" spans="1:11" x14ac:dyDescent="0.25">
      <c r="A1040" s="1">
        <v>1039</v>
      </c>
      <c r="B1040" s="1" t="s">
        <v>3127</v>
      </c>
      <c r="C1040" s="1" t="s">
        <v>3128</v>
      </c>
      <c r="F1040" s="1" t="s">
        <v>3129</v>
      </c>
      <c r="G1040" s="1">
        <v>1</v>
      </c>
      <c r="H1040" s="7">
        <v>45560</v>
      </c>
      <c r="I1040" s="1" t="s">
        <v>7449</v>
      </c>
      <c r="J1040" s="7">
        <v>45560</v>
      </c>
      <c r="K1040" s="1" t="s">
        <v>7449</v>
      </c>
    </row>
    <row r="1041" spans="1:11" x14ac:dyDescent="0.25">
      <c r="A1041" s="1">
        <v>1040</v>
      </c>
      <c r="B1041" s="1" t="s">
        <v>3130</v>
      </c>
      <c r="C1041" s="1" t="s">
        <v>3131</v>
      </c>
      <c r="F1041" s="1" t="s">
        <v>3132</v>
      </c>
      <c r="G1041" s="1">
        <v>1</v>
      </c>
      <c r="H1041" s="7">
        <v>45560</v>
      </c>
      <c r="I1041" s="1" t="s">
        <v>7449</v>
      </c>
      <c r="J1041" s="7">
        <v>45560</v>
      </c>
      <c r="K1041" s="1" t="s">
        <v>7449</v>
      </c>
    </row>
    <row r="1042" spans="1:11" x14ac:dyDescent="0.25">
      <c r="A1042" s="1">
        <v>1041</v>
      </c>
      <c r="B1042" s="1" t="s">
        <v>3133</v>
      </c>
      <c r="C1042" s="1" t="s">
        <v>3134</v>
      </c>
      <c r="F1042" s="1" t="s">
        <v>3135</v>
      </c>
      <c r="G1042" s="1">
        <v>1</v>
      </c>
      <c r="H1042" s="7">
        <v>45560</v>
      </c>
      <c r="I1042" s="1" t="s">
        <v>7449</v>
      </c>
      <c r="J1042" s="7">
        <v>45560</v>
      </c>
      <c r="K1042" s="1" t="s">
        <v>7449</v>
      </c>
    </row>
    <row r="1043" spans="1:11" x14ac:dyDescent="0.25">
      <c r="A1043" s="1">
        <v>1042</v>
      </c>
      <c r="B1043" s="1" t="s">
        <v>3136</v>
      </c>
      <c r="C1043" s="1" t="s">
        <v>3137</v>
      </c>
      <c r="F1043" s="1" t="s">
        <v>3138</v>
      </c>
      <c r="G1043" s="1">
        <v>1</v>
      </c>
      <c r="H1043" s="7">
        <v>45560</v>
      </c>
      <c r="I1043" s="1" t="s">
        <v>7449</v>
      </c>
      <c r="J1043" s="7">
        <v>45560</v>
      </c>
      <c r="K1043" s="1" t="s">
        <v>7449</v>
      </c>
    </row>
    <row r="1044" spans="1:11" x14ac:dyDescent="0.25">
      <c r="A1044" s="1">
        <v>1043</v>
      </c>
      <c r="B1044" s="1" t="s">
        <v>3139</v>
      </c>
      <c r="C1044" s="1" t="s">
        <v>3140</v>
      </c>
      <c r="F1044" s="1" t="s">
        <v>3141</v>
      </c>
      <c r="G1044" s="1">
        <v>1</v>
      </c>
      <c r="H1044" s="7">
        <v>45560</v>
      </c>
      <c r="I1044" s="1" t="s">
        <v>7449</v>
      </c>
      <c r="J1044" s="7">
        <v>45560</v>
      </c>
      <c r="K1044" s="1" t="s">
        <v>7449</v>
      </c>
    </row>
    <row r="1045" spans="1:11" x14ac:dyDescent="0.25">
      <c r="A1045" s="1">
        <v>1044</v>
      </c>
      <c r="B1045" s="1" t="s">
        <v>3142</v>
      </c>
      <c r="C1045" s="1" t="s">
        <v>3143</v>
      </c>
      <c r="F1045" s="1" t="s">
        <v>3144</v>
      </c>
      <c r="G1045" s="1">
        <v>1</v>
      </c>
      <c r="H1045" s="7">
        <v>45560</v>
      </c>
      <c r="I1045" s="1" t="s">
        <v>7449</v>
      </c>
      <c r="J1045" s="7">
        <v>45560</v>
      </c>
      <c r="K1045" s="1" t="s">
        <v>7449</v>
      </c>
    </row>
    <row r="1046" spans="1:11" x14ac:dyDescent="0.25">
      <c r="A1046" s="1">
        <v>1045</v>
      </c>
      <c r="B1046" s="1" t="s">
        <v>3145</v>
      </c>
      <c r="C1046" s="1" t="s">
        <v>3146</v>
      </c>
      <c r="F1046" s="1" t="s">
        <v>3147</v>
      </c>
      <c r="G1046" s="1">
        <v>1</v>
      </c>
      <c r="H1046" s="7">
        <v>45560</v>
      </c>
      <c r="I1046" s="1" t="s">
        <v>7449</v>
      </c>
      <c r="J1046" s="7">
        <v>45560</v>
      </c>
      <c r="K1046" s="1" t="s">
        <v>7449</v>
      </c>
    </row>
    <row r="1047" spans="1:11" x14ac:dyDescent="0.25">
      <c r="A1047" s="1">
        <v>1046</v>
      </c>
      <c r="B1047" s="1" t="s">
        <v>3148</v>
      </c>
      <c r="C1047" s="1" t="s">
        <v>3149</v>
      </c>
      <c r="F1047" s="1" t="s">
        <v>3150</v>
      </c>
      <c r="G1047" s="1">
        <v>1</v>
      </c>
      <c r="H1047" s="7">
        <v>45560</v>
      </c>
      <c r="I1047" s="1" t="s">
        <v>7449</v>
      </c>
      <c r="J1047" s="7">
        <v>45560</v>
      </c>
      <c r="K1047" s="1" t="s">
        <v>7449</v>
      </c>
    </row>
    <row r="1048" spans="1:11" x14ac:dyDescent="0.25">
      <c r="A1048" s="1">
        <v>1047</v>
      </c>
      <c r="B1048" s="1" t="s">
        <v>3151</v>
      </c>
      <c r="C1048" s="1" t="s">
        <v>3152</v>
      </c>
      <c r="F1048" s="1" t="s">
        <v>3153</v>
      </c>
      <c r="G1048" s="1">
        <v>1</v>
      </c>
      <c r="H1048" s="7">
        <v>45560</v>
      </c>
      <c r="I1048" s="1" t="s">
        <v>7449</v>
      </c>
      <c r="J1048" s="7">
        <v>45560</v>
      </c>
      <c r="K1048" s="1" t="s">
        <v>7449</v>
      </c>
    </row>
    <row r="1049" spans="1:11" x14ac:dyDescent="0.25">
      <c r="A1049" s="1">
        <v>1048</v>
      </c>
      <c r="B1049" s="1" t="s">
        <v>3154</v>
      </c>
      <c r="C1049" s="1" t="s">
        <v>3155</v>
      </c>
      <c r="F1049" s="1" t="s">
        <v>3156</v>
      </c>
      <c r="G1049" s="1">
        <v>1</v>
      </c>
      <c r="H1049" s="7">
        <v>45560</v>
      </c>
      <c r="I1049" s="1" t="s">
        <v>7449</v>
      </c>
      <c r="J1049" s="7">
        <v>45560</v>
      </c>
      <c r="K1049" s="1" t="s">
        <v>7449</v>
      </c>
    </row>
    <row r="1050" spans="1:11" x14ac:dyDescent="0.25">
      <c r="A1050" s="1">
        <v>1049</v>
      </c>
      <c r="B1050" s="1" t="s">
        <v>3157</v>
      </c>
      <c r="C1050" s="1" t="s">
        <v>3158</v>
      </c>
      <c r="F1050" s="1" t="s">
        <v>3159</v>
      </c>
      <c r="G1050" s="1">
        <v>1</v>
      </c>
      <c r="H1050" s="7">
        <v>45560</v>
      </c>
      <c r="I1050" s="1" t="s">
        <v>7449</v>
      </c>
      <c r="J1050" s="7">
        <v>45560</v>
      </c>
      <c r="K1050" s="1" t="s">
        <v>7449</v>
      </c>
    </row>
    <row r="1051" spans="1:11" x14ac:dyDescent="0.25">
      <c r="A1051" s="1">
        <v>1050</v>
      </c>
      <c r="B1051" s="1" t="s">
        <v>3160</v>
      </c>
      <c r="C1051" s="1" t="s">
        <v>3161</v>
      </c>
      <c r="F1051" s="1" t="s">
        <v>3162</v>
      </c>
      <c r="G1051" s="1">
        <v>1</v>
      </c>
      <c r="H1051" s="7">
        <v>45560</v>
      </c>
      <c r="I1051" s="1" t="s">
        <v>7449</v>
      </c>
      <c r="J1051" s="7">
        <v>45560</v>
      </c>
      <c r="K1051" s="1" t="s">
        <v>7449</v>
      </c>
    </row>
    <row r="1052" spans="1:11" x14ac:dyDescent="0.25">
      <c r="A1052" s="1">
        <v>1051</v>
      </c>
      <c r="B1052" s="1" t="s">
        <v>3163</v>
      </c>
      <c r="C1052" s="1" t="s">
        <v>3164</v>
      </c>
      <c r="F1052" s="1" t="s">
        <v>3165</v>
      </c>
      <c r="G1052" s="1">
        <v>1</v>
      </c>
      <c r="H1052" s="7">
        <v>45560</v>
      </c>
      <c r="I1052" s="1" t="s">
        <v>7449</v>
      </c>
      <c r="J1052" s="7">
        <v>45560</v>
      </c>
      <c r="K1052" s="1" t="s">
        <v>7449</v>
      </c>
    </row>
    <row r="1053" spans="1:11" x14ac:dyDescent="0.25">
      <c r="A1053" s="1">
        <v>1052</v>
      </c>
      <c r="B1053" s="1" t="s">
        <v>3166</v>
      </c>
      <c r="C1053" s="1" t="s">
        <v>3167</v>
      </c>
      <c r="F1053" s="1" t="s">
        <v>3168</v>
      </c>
      <c r="G1053" s="1">
        <v>1</v>
      </c>
      <c r="H1053" s="7">
        <v>45560</v>
      </c>
      <c r="I1053" s="1" t="s">
        <v>7449</v>
      </c>
      <c r="J1053" s="7">
        <v>45560</v>
      </c>
      <c r="K1053" s="1" t="s">
        <v>7449</v>
      </c>
    </row>
    <row r="1054" spans="1:11" x14ac:dyDescent="0.25">
      <c r="A1054" s="1">
        <v>1053</v>
      </c>
      <c r="B1054" s="1" t="s">
        <v>3169</v>
      </c>
      <c r="C1054" s="1" t="s">
        <v>3170</v>
      </c>
      <c r="F1054" s="1" t="s">
        <v>3171</v>
      </c>
      <c r="G1054" s="1">
        <v>1</v>
      </c>
      <c r="H1054" s="7">
        <v>45560</v>
      </c>
      <c r="I1054" s="1" t="s">
        <v>7449</v>
      </c>
      <c r="J1054" s="7">
        <v>45560</v>
      </c>
      <c r="K1054" s="1" t="s">
        <v>7449</v>
      </c>
    </row>
    <row r="1055" spans="1:11" x14ac:dyDescent="0.25">
      <c r="A1055" s="1">
        <v>1054</v>
      </c>
      <c r="B1055" s="1" t="s">
        <v>3172</v>
      </c>
      <c r="C1055" s="1" t="s">
        <v>3173</v>
      </c>
      <c r="F1055" s="1" t="s">
        <v>3174</v>
      </c>
      <c r="G1055" s="1">
        <v>1</v>
      </c>
      <c r="H1055" s="7">
        <v>45560</v>
      </c>
      <c r="I1055" s="1" t="s">
        <v>7449</v>
      </c>
      <c r="J1055" s="7">
        <v>45560</v>
      </c>
      <c r="K1055" s="1" t="s">
        <v>7449</v>
      </c>
    </row>
    <row r="1056" spans="1:11" x14ac:dyDescent="0.25">
      <c r="A1056" s="1">
        <v>1055</v>
      </c>
      <c r="B1056" s="1" t="s">
        <v>3175</v>
      </c>
      <c r="C1056" s="1" t="s">
        <v>3176</v>
      </c>
      <c r="D1056" s="1" t="s">
        <v>3177</v>
      </c>
      <c r="F1056" s="1" t="s">
        <v>3178</v>
      </c>
      <c r="G1056" s="1">
        <v>1</v>
      </c>
      <c r="H1056" s="7">
        <v>45560</v>
      </c>
      <c r="I1056" s="1" t="s">
        <v>7449</v>
      </c>
      <c r="J1056" s="7">
        <v>45560</v>
      </c>
      <c r="K1056" s="1" t="s">
        <v>7449</v>
      </c>
    </row>
    <row r="1057" spans="1:11" x14ac:dyDescent="0.25">
      <c r="A1057" s="1">
        <v>1056</v>
      </c>
      <c r="B1057" s="1" t="s">
        <v>3179</v>
      </c>
      <c r="C1057" s="1" t="s">
        <v>3180</v>
      </c>
      <c r="D1057" s="1" t="s">
        <v>3181</v>
      </c>
      <c r="F1057" s="1" t="s">
        <v>3182</v>
      </c>
      <c r="G1057" s="1">
        <v>1</v>
      </c>
      <c r="H1057" s="7">
        <v>45560</v>
      </c>
      <c r="I1057" s="1" t="s">
        <v>7449</v>
      </c>
      <c r="J1057" s="7">
        <v>45560</v>
      </c>
      <c r="K1057" s="1" t="s">
        <v>7449</v>
      </c>
    </row>
    <row r="1058" spans="1:11" x14ac:dyDescent="0.25">
      <c r="A1058" s="1">
        <v>1057</v>
      </c>
      <c r="B1058" s="1" t="s">
        <v>3183</v>
      </c>
      <c r="C1058" s="1" t="s">
        <v>3184</v>
      </c>
      <c r="D1058" s="1" t="s">
        <v>3185</v>
      </c>
      <c r="F1058" s="1" t="s">
        <v>3186</v>
      </c>
      <c r="G1058" s="1">
        <v>1</v>
      </c>
      <c r="H1058" s="7">
        <v>45560</v>
      </c>
      <c r="I1058" s="1" t="s">
        <v>7449</v>
      </c>
      <c r="J1058" s="7">
        <v>45560</v>
      </c>
      <c r="K1058" s="1" t="s">
        <v>7449</v>
      </c>
    </row>
    <row r="1059" spans="1:11" x14ac:dyDescent="0.25">
      <c r="A1059" s="1">
        <v>1058</v>
      </c>
      <c r="B1059" s="1" t="s">
        <v>3187</v>
      </c>
      <c r="C1059" s="1" t="s">
        <v>3188</v>
      </c>
      <c r="F1059" s="1" t="s">
        <v>3189</v>
      </c>
      <c r="G1059" s="1">
        <v>1</v>
      </c>
      <c r="H1059" s="7">
        <v>45560</v>
      </c>
      <c r="I1059" s="1" t="s">
        <v>7449</v>
      </c>
      <c r="J1059" s="7">
        <v>45560</v>
      </c>
      <c r="K1059" s="1" t="s">
        <v>7449</v>
      </c>
    </row>
    <row r="1060" spans="1:11" x14ac:dyDescent="0.25">
      <c r="A1060" s="1">
        <v>1059</v>
      </c>
      <c r="B1060" s="1" t="s">
        <v>3190</v>
      </c>
      <c r="C1060" s="1" t="s">
        <v>3191</v>
      </c>
      <c r="F1060" s="1" t="s">
        <v>3192</v>
      </c>
      <c r="G1060" s="1">
        <v>1</v>
      </c>
      <c r="H1060" s="7">
        <v>45560</v>
      </c>
      <c r="I1060" s="1" t="s">
        <v>7449</v>
      </c>
      <c r="J1060" s="7">
        <v>45560</v>
      </c>
      <c r="K1060" s="1" t="s">
        <v>7449</v>
      </c>
    </row>
    <row r="1061" spans="1:11" x14ac:dyDescent="0.25">
      <c r="A1061" s="1">
        <v>1060</v>
      </c>
      <c r="B1061" s="1" t="s">
        <v>3193</v>
      </c>
      <c r="C1061" s="1" t="s">
        <v>3194</v>
      </c>
      <c r="F1061" s="1" t="s">
        <v>3195</v>
      </c>
      <c r="G1061" s="1">
        <v>1</v>
      </c>
      <c r="H1061" s="7">
        <v>45560</v>
      </c>
      <c r="I1061" s="1" t="s">
        <v>7449</v>
      </c>
      <c r="J1061" s="7">
        <v>45560</v>
      </c>
      <c r="K1061" s="1" t="s">
        <v>7449</v>
      </c>
    </row>
    <row r="1062" spans="1:11" x14ac:dyDescent="0.25">
      <c r="A1062" s="1">
        <v>1061</v>
      </c>
      <c r="B1062" s="1" t="s">
        <v>3196</v>
      </c>
      <c r="C1062" s="1" t="s">
        <v>3197</v>
      </c>
      <c r="D1062" s="1" t="s">
        <v>3198</v>
      </c>
      <c r="F1062" s="1" t="s">
        <v>3199</v>
      </c>
      <c r="G1062" s="1">
        <v>1</v>
      </c>
      <c r="H1062" s="7">
        <v>45560</v>
      </c>
      <c r="I1062" s="1" t="s">
        <v>7449</v>
      </c>
      <c r="J1062" s="7">
        <v>45560</v>
      </c>
      <c r="K1062" s="1" t="s">
        <v>7449</v>
      </c>
    </row>
    <row r="1063" spans="1:11" x14ac:dyDescent="0.25">
      <c r="A1063" s="1">
        <v>1062</v>
      </c>
      <c r="B1063" s="1" t="s">
        <v>3200</v>
      </c>
      <c r="C1063" s="1" t="s">
        <v>3201</v>
      </c>
      <c r="E1063" s="1" t="s">
        <v>73</v>
      </c>
      <c r="F1063" s="1" t="s">
        <v>3202</v>
      </c>
      <c r="G1063" s="1">
        <v>1</v>
      </c>
      <c r="H1063" s="7">
        <v>45560</v>
      </c>
      <c r="I1063" s="1" t="s">
        <v>7449</v>
      </c>
      <c r="J1063" s="7">
        <v>45560</v>
      </c>
      <c r="K1063" s="1" t="s">
        <v>7449</v>
      </c>
    </row>
    <row r="1064" spans="1:11" ht="30" x14ac:dyDescent="0.25">
      <c r="A1064" s="1">
        <v>1063</v>
      </c>
      <c r="B1064" s="1" t="s">
        <v>3203</v>
      </c>
      <c r="C1064" s="1" t="s">
        <v>3204</v>
      </c>
      <c r="D1064" s="8" t="s">
        <v>3205</v>
      </c>
      <c r="F1064" s="1" t="s">
        <v>3206</v>
      </c>
      <c r="G1064" s="1">
        <v>1</v>
      </c>
      <c r="H1064" s="7">
        <v>45560</v>
      </c>
      <c r="I1064" s="1" t="s">
        <v>7449</v>
      </c>
      <c r="J1064" s="7">
        <v>45560</v>
      </c>
      <c r="K1064" s="1" t="s">
        <v>7449</v>
      </c>
    </row>
    <row r="1065" spans="1:11" x14ac:dyDescent="0.25">
      <c r="A1065" s="1">
        <v>1064</v>
      </c>
      <c r="B1065" s="1" t="s">
        <v>3207</v>
      </c>
      <c r="C1065" s="1" t="s">
        <v>3208</v>
      </c>
      <c r="D1065" s="1" t="s">
        <v>3209</v>
      </c>
      <c r="F1065" s="1" t="s">
        <v>3210</v>
      </c>
      <c r="G1065" s="1">
        <v>1</v>
      </c>
      <c r="H1065" s="7">
        <v>45560</v>
      </c>
      <c r="I1065" s="1" t="s">
        <v>7449</v>
      </c>
      <c r="J1065" s="7">
        <v>45560</v>
      </c>
      <c r="K1065" s="1" t="s">
        <v>7449</v>
      </c>
    </row>
    <row r="1066" spans="1:11" x14ac:dyDescent="0.25">
      <c r="A1066" s="1">
        <v>1065</v>
      </c>
      <c r="B1066" s="1" t="s">
        <v>3211</v>
      </c>
      <c r="C1066" s="1" t="s">
        <v>3212</v>
      </c>
      <c r="F1066" s="1" t="s">
        <v>3213</v>
      </c>
      <c r="G1066" s="1">
        <v>1</v>
      </c>
      <c r="H1066" s="7">
        <v>45560</v>
      </c>
      <c r="I1066" s="1" t="s">
        <v>7449</v>
      </c>
      <c r="J1066" s="7">
        <v>45560</v>
      </c>
      <c r="K1066" s="1" t="s">
        <v>7449</v>
      </c>
    </row>
    <row r="1067" spans="1:11" x14ac:dyDescent="0.25">
      <c r="A1067" s="1">
        <v>1066</v>
      </c>
      <c r="B1067" s="1" t="s">
        <v>3214</v>
      </c>
      <c r="C1067" s="1" t="s">
        <v>3215</v>
      </c>
      <c r="D1067" s="1" t="s">
        <v>3216</v>
      </c>
      <c r="F1067" s="1" t="s">
        <v>3217</v>
      </c>
      <c r="G1067" s="1">
        <v>1</v>
      </c>
      <c r="H1067" s="7">
        <v>45560</v>
      </c>
      <c r="I1067" s="1" t="s">
        <v>7449</v>
      </c>
      <c r="J1067" s="7">
        <v>45560</v>
      </c>
      <c r="K1067" s="1" t="s">
        <v>7449</v>
      </c>
    </row>
    <row r="1068" spans="1:11" x14ac:dyDescent="0.25">
      <c r="A1068" s="1">
        <v>1067</v>
      </c>
      <c r="B1068" s="1" t="s">
        <v>3218</v>
      </c>
      <c r="C1068" s="1" t="s">
        <v>3219</v>
      </c>
      <c r="F1068" s="1" t="s">
        <v>3220</v>
      </c>
      <c r="G1068" s="1">
        <v>1</v>
      </c>
      <c r="H1068" s="7">
        <v>45560</v>
      </c>
      <c r="I1068" s="1" t="s">
        <v>7449</v>
      </c>
      <c r="J1068" s="7">
        <v>45560</v>
      </c>
      <c r="K1068" s="1" t="s">
        <v>7449</v>
      </c>
    </row>
    <row r="1069" spans="1:11" x14ac:dyDescent="0.25">
      <c r="A1069" s="1">
        <v>1068</v>
      </c>
      <c r="B1069" s="1" t="s">
        <v>3221</v>
      </c>
      <c r="C1069" s="1" t="s">
        <v>3222</v>
      </c>
      <c r="F1069" s="1" t="s">
        <v>3223</v>
      </c>
      <c r="G1069" s="1">
        <v>1</v>
      </c>
      <c r="H1069" s="7">
        <v>45560</v>
      </c>
      <c r="I1069" s="1" t="s">
        <v>7449</v>
      </c>
      <c r="J1069" s="7">
        <v>45560</v>
      </c>
      <c r="K1069" s="1" t="s">
        <v>7449</v>
      </c>
    </row>
    <row r="1070" spans="1:11" x14ac:dyDescent="0.25">
      <c r="A1070" s="1">
        <v>1069</v>
      </c>
      <c r="B1070" s="1" t="s">
        <v>3224</v>
      </c>
      <c r="C1070" s="1" t="s">
        <v>3225</v>
      </c>
      <c r="F1070" s="1" t="s">
        <v>3226</v>
      </c>
      <c r="G1070" s="1">
        <v>1</v>
      </c>
      <c r="H1070" s="7">
        <v>45560</v>
      </c>
      <c r="I1070" s="1" t="s">
        <v>7449</v>
      </c>
      <c r="J1070" s="7">
        <v>45560</v>
      </c>
      <c r="K1070" s="1" t="s">
        <v>7449</v>
      </c>
    </row>
    <row r="1071" spans="1:11" x14ac:dyDescent="0.25">
      <c r="A1071" s="1">
        <v>1070</v>
      </c>
      <c r="B1071" s="1" t="s">
        <v>3227</v>
      </c>
      <c r="C1071" s="1" t="s">
        <v>3228</v>
      </c>
      <c r="D1071" s="1" t="s">
        <v>3229</v>
      </c>
      <c r="G1071" s="1">
        <v>1</v>
      </c>
      <c r="H1071" s="7">
        <v>45560</v>
      </c>
      <c r="I1071" s="1" t="s">
        <v>7449</v>
      </c>
      <c r="J1071" s="7">
        <v>45560</v>
      </c>
      <c r="K1071" s="1" t="s">
        <v>7449</v>
      </c>
    </row>
    <row r="1072" spans="1:11" x14ac:dyDescent="0.25">
      <c r="A1072" s="1">
        <v>1071</v>
      </c>
      <c r="B1072" s="1" t="s">
        <v>3230</v>
      </c>
      <c r="C1072" s="1" t="s">
        <v>3231</v>
      </c>
      <c r="F1072" s="1" t="s">
        <v>3232</v>
      </c>
      <c r="G1072" s="1">
        <v>1</v>
      </c>
      <c r="H1072" s="7">
        <v>45560</v>
      </c>
      <c r="I1072" s="1" t="s">
        <v>7449</v>
      </c>
      <c r="J1072" s="7">
        <v>45560</v>
      </c>
      <c r="K1072" s="1" t="s">
        <v>7449</v>
      </c>
    </row>
    <row r="1073" spans="1:11" x14ac:dyDescent="0.25">
      <c r="A1073" s="1">
        <v>1072</v>
      </c>
      <c r="B1073" s="1" t="s">
        <v>3233</v>
      </c>
      <c r="C1073" s="1" t="s">
        <v>3234</v>
      </c>
      <c r="D1073" s="1" t="s">
        <v>3235</v>
      </c>
      <c r="F1073" s="1" t="s">
        <v>3236</v>
      </c>
      <c r="G1073" s="1">
        <v>1</v>
      </c>
      <c r="H1073" s="7">
        <v>45560</v>
      </c>
      <c r="I1073" s="1" t="s">
        <v>7449</v>
      </c>
      <c r="J1073" s="7">
        <v>45560</v>
      </c>
      <c r="K1073" s="1" t="s">
        <v>7449</v>
      </c>
    </row>
    <row r="1074" spans="1:11" x14ac:dyDescent="0.25">
      <c r="A1074" s="1">
        <v>1073</v>
      </c>
      <c r="B1074" s="1" t="s">
        <v>3237</v>
      </c>
      <c r="C1074" s="1" t="s">
        <v>3238</v>
      </c>
      <c r="D1074" s="1" t="s">
        <v>3239</v>
      </c>
      <c r="F1074" s="1" t="s">
        <v>3240</v>
      </c>
      <c r="G1074" s="1">
        <v>1</v>
      </c>
      <c r="H1074" s="7">
        <v>45560</v>
      </c>
      <c r="I1074" s="1" t="s">
        <v>7449</v>
      </c>
      <c r="J1074" s="7">
        <v>45560</v>
      </c>
      <c r="K1074" s="1" t="s">
        <v>7449</v>
      </c>
    </row>
    <row r="1075" spans="1:11" x14ac:dyDescent="0.25">
      <c r="A1075" s="1">
        <v>1074</v>
      </c>
      <c r="B1075" s="1" t="s">
        <v>3241</v>
      </c>
      <c r="C1075" s="1" t="s">
        <v>3242</v>
      </c>
      <c r="D1075" s="1" t="s">
        <v>3243</v>
      </c>
      <c r="F1075" s="1" t="s">
        <v>3244</v>
      </c>
      <c r="G1075" s="1">
        <v>1</v>
      </c>
      <c r="H1075" s="7">
        <v>45560</v>
      </c>
      <c r="I1075" s="1" t="s">
        <v>7449</v>
      </c>
      <c r="J1075" s="7">
        <v>45560</v>
      </c>
      <c r="K1075" s="1" t="s">
        <v>7449</v>
      </c>
    </row>
    <row r="1076" spans="1:11" x14ac:dyDescent="0.25">
      <c r="A1076" s="1">
        <v>1075</v>
      </c>
      <c r="B1076" s="1" t="s">
        <v>3245</v>
      </c>
      <c r="C1076" s="1" t="s">
        <v>3246</v>
      </c>
      <c r="D1076" s="1" t="s">
        <v>3247</v>
      </c>
      <c r="F1076" s="1" t="s">
        <v>3248</v>
      </c>
      <c r="G1076" s="1">
        <v>1</v>
      </c>
      <c r="H1076" s="7">
        <v>45560</v>
      </c>
      <c r="I1076" s="1" t="s">
        <v>7449</v>
      </c>
      <c r="J1076" s="7">
        <v>45560</v>
      </c>
      <c r="K1076" s="1" t="s">
        <v>7449</v>
      </c>
    </row>
    <row r="1077" spans="1:11" x14ac:dyDescent="0.25">
      <c r="A1077" s="1">
        <v>1076</v>
      </c>
      <c r="B1077" s="1" t="s">
        <v>3249</v>
      </c>
      <c r="C1077" s="1" t="s">
        <v>3250</v>
      </c>
      <c r="D1077" s="1" t="s">
        <v>3251</v>
      </c>
      <c r="F1077" s="1" t="s">
        <v>3252</v>
      </c>
      <c r="G1077" s="1">
        <v>1</v>
      </c>
      <c r="H1077" s="7">
        <v>45560</v>
      </c>
      <c r="I1077" s="1" t="s">
        <v>7449</v>
      </c>
      <c r="J1077" s="7">
        <v>45560</v>
      </c>
      <c r="K1077" s="1" t="s">
        <v>7449</v>
      </c>
    </row>
    <row r="1078" spans="1:11" x14ac:dyDescent="0.25">
      <c r="A1078" s="1">
        <v>1077</v>
      </c>
      <c r="B1078" s="1" t="s">
        <v>3253</v>
      </c>
      <c r="C1078" s="1" t="s">
        <v>3254</v>
      </c>
      <c r="D1078" s="1" t="s">
        <v>3255</v>
      </c>
      <c r="F1078" s="1" t="s">
        <v>3256</v>
      </c>
      <c r="G1078" s="1">
        <v>1</v>
      </c>
      <c r="H1078" s="7">
        <v>45560</v>
      </c>
      <c r="I1078" s="1" t="s">
        <v>7449</v>
      </c>
      <c r="J1078" s="7">
        <v>45560</v>
      </c>
      <c r="K1078" s="1" t="s">
        <v>7449</v>
      </c>
    </row>
    <row r="1079" spans="1:11" x14ac:dyDescent="0.25">
      <c r="A1079" s="1">
        <v>1078</v>
      </c>
      <c r="B1079" s="1" t="s">
        <v>3257</v>
      </c>
      <c r="C1079" s="1" t="s">
        <v>3258</v>
      </c>
      <c r="D1079" s="1" t="s">
        <v>3259</v>
      </c>
      <c r="F1079" s="1" t="s">
        <v>3260</v>
      </c>
      <c r="G1079" s="1">
        <v>1</v>
      </c>
      <c r="H1079" s="7">
        <v>45560</v>
      </c>
      <c r="I1079" s="1" t="s">
        <v>7449</v>
      </c>
      <c r="J1079" s="7">
        <v>45560</v>
      </c>
      <c r="K1079" s="1" t="s">
        <v>7449</v>
      </c>
    </row>
    <row r="1080" spans="1:11" x14ac:dyDescent="0.25">
      <c r="A1080" s="1">
        <v>1079</v>
      </c>
      <c r="B1080" s="1" t="s">
        <v>3261</v>
      </c>
      <c r="C1080" s="1" t="s">
        <v>3262</v>
      </c>
      <c r="D1080" s="1" t="s">
        <v>3259</v>
      </c>
      <c r="F1080" s="1" t="s">
        <v>3263</v>
      </c>
      <c r="G1080" s="1">
        <v>1</v>
      </c>
      <c r="H1080" s="7">
        <v>45560</v>
      </c>
      <c r="I1080" s="1" t="s">
        <v>7449</v>
      </c>
      <c r="J1080" s="7">
        <v>45560</v>
      </c>
      <c r="K1080" s="1" t="s">
        <v>7449</v>
      </c>
    </row>
    <row r="1081" spans="1:11" x14ac:dyDescent="0.25">
      <c r="A1081" s="1">
        <v>1080</v>
      </c>
      <c r="B1081" s="1" t="s">
        <v>3264</v>
      </c>
      <c r="C1081" s="1" t="s">
        <v>3265</v>
      </c>
      <c r="D1081" s="1" t="s">
        <v>3266</v>
      </c>
      <c r="F1081" s="1" t="s">
        <v>3267</v>
      </c>
      <c r="G1081" s="1">
        <v>1</v>
      </c>
      <c r="H1081" s="7">
        <v>45560</v>
      </c>
      <c r="I1081" s="1" t="s">
        <v>7449</v>
      </c>
      <c r="J1081" s="7">
        <v>45560</v>
      </c>
      <c r="K1081" s="1" t="s">
        <v>7449</v>
      </c>
    </row>
    <row r="1082" spans="1:11" x14ac:dyDescent="0.25">
      <c r="A1082" s="1">
        <v>1081</v>
      </c>
      <c r="B1082" s="1" t="s">
        <v>3268</v>
      </c>
      <c r="C1082" s="1" t="s">
        <v>3269</v>
      </c>
      <c r="D1082" s="1" t="s">
        <v>3270</v>
      </c>
      <c r="F1082" s="1" t="s">
        <v>3271</v>
      </c>
      <c r="G1082" s="1">
        <v>1</v>
      </c>
      <c r="H1082" s="7">
        <v>45560</v>
      </c>
      <c r="I1082" s="1" t="s">
        <v>7449</v>
      </c>
      <c r="J1082" s="7">
        <v>45560</v>
      </c>
      <c r="K1082" s="1" t="s">
        <v>7449</v>
      </c>
    </row>
    <row r="1083" spans="1:11" x14ac:dyDescent="0.25">
      <c r="A1083" s="1">
        <v>1082</v>
      </c>
      <c r="B1083" s="1" t="s">
        <v>3272</v>
      </c>
      <c r="C1083" s="1" t="s">
        <v>3273</v>
      </c>
      <c r="D1083" s="1" t="s">
        <v>3274</v>
      </c>
      <c r="G1083" s="1">
        <v>1</v>
      </c>
      <c r="H1083" s="7">
        <v>45560</v>
      </c>
      <c r="I1083" s="1" t="s">
        <v>7449</v>
      </c>
      <c r="J1083" s="7">
        <v>45560</v>
      </c>
      <c r="K1083" s="1" t="s">
        <v>7449</v>
      </c>
    </row>
    <row r="1084" spans="1:11" x14ac:dyDescent="0.25">
      <c r="A1084" s="1">
        <v>1083</v>
      </c>
      <c r="B1084" s="1" t="s">
        <v>3275</v>
      </c>
      <c r="C1084" s="1" t="s">
        <v>3276</v>
      </c>
      <c r="D1084" s="1" t="s">
        <v>3277</v>
      </c>
      <c r="E1084" s="1" t="s">
        <v>73</v>
      </c>
      <c r="F1084" s="1" t="s">
        <v>3278</v>
      </c>
      <c r="G1084" s="1">
        <v>1</v>
      </c>
      <c r="H1084" s="7">
        <v>45560</v>
      </c>
      <c r="I1084" s="1" t="s">
        <v>7449</v>
      </c>
      <c r="J1084" s="7">
        <v>45560</v>
      </c>
      <c r="K1084" s="1" t="s">
        <v>7449</v>
      </c>
    </row>
    <row r="1085" spans="1:11" x14ac:dyDescent="0.25">
      <c r="A1085" s="1">
        <v>1084</v>
      </c>
      <c r="B1085" s="1" t="s">
        <v>3279</v>
      </c>
      <c r="C1085" s="1" t="s">
        <v>3280</v>
      </c>
      <c r="F1085" s="1" t="s">
        <v>3281</v>
      </c>
      <c r="G1085" s="1">
        <v>1</v>
      </c>
      <c r="H1085" s="7">
        <v>45560</v>
      </c>
      <c r="I1085" s="1" t="s">
        <v>7449</v>
      </c>
      <c r="J1085" s="7">
        <v>45560</v>
      </c>
      <c r="K1085" s="1" t="s">
        <v>7449</v>
      </c>
    </row>
    <row r="1086" spans="1:11" x14ac:dyDescent="0.25">
      <c r="A1086" s="1">
        <v>1085</v>
      </c>
      <c r="B1086" s="1" t="s">
        <v>3282</v>
      </c>
      <c r="C1086" s="1" t="s">
        <v>3283</v>
      </c>
      <c r="D1086" s="1" t="s">
        <v>3284</v>
      </c>
      <c r="G1086" s="1">
        <v>1</v>
      </c>
      <c r="H1086" s="7">
        <v>45560</v>
      </c>
      <c r="I1086" s="1" t="s">
        <v>7449</v>
      </c>
      <c r="J1086" s="7">
        <v>45560</v>
      </c>
      <c r="K1086" s="1" t="s">
        <v>7449</v>
      </c>
    </row>
    <row r="1087" spans="1:11" x14ac:dyDescent="0.25">
      <c r="A1087" s="1">
        <v>1086</v>
      </c>
      <c r="B1087" s="1" t="s">
        <v>3285</v>
      </c>
      <c r="C1087" s="1" t="s">
        <v>3286</v>
      </c>
      <c r="D1087" s="1" t="s">
        <v>3287</v>
      </c>
      <c r="G1087" s="1">
        <v>1</v>
      </c>
      <c r="H1087" s="7">
        <v>45560</v>
      </c>
      <c r="I1087" s="1" t="s">
        <v>7449</v>
      </c>
      <c r="J1087" s="7">
        <v>45560</v>
      </c>
      <c r="K1087" s="1" t="s">
        <v>7449</v>
      </c>
    </row>
    <row r="1088" spans="1:11" x14ac:dyDescent="0.25">
      <c r="A1088" s="1">
        <v>1087</v>
      </c>
      <c r="B1088" s="1" t="s">
        <v>3288</v>
      </c>
      <c r="C1088" s="1" t="s">
        <v>3289</v>
      </c>
      <c r="E1088" s="1" t="s">
        <v>52</v>
      </c>
      <c r="G1088" s="1">
        <v>1</v>
      </c>
      <c r="H1088" s="7">
        <v>45560</v>
      </c>
      <c r="I1088" s="1" t="s">
        <v>7449</v>
      </c>
      <c r="J1088" s="7">
        <v>45560</v>
      </c>
      <c r="K1088" s="1" t="s">
        <v>7449</v>
      </c>
    </row>
    <row r="1089" spans="1:11" x14ac:dyDescent="0.25">
      <c r="A1089" s="1">
        <v>1088</v>
      </c>
      <c r="B1089" s="1" t="s">
        <v>3290</v>
      </c>
      <c r="C1089" s="1" t="s">
        <v>3291</v>
      </c>
      <c r="D1089" s="1" t="s">
        <v>3292</v>
      </c>
      <c r="G1089" s="1">
        <v>1</v>
      </c>
      <c r="H1089" s="7">
        <v>45560</v>
      </c>
      <c r="I1089" s="1" t="s">
        <v>7449</v>
      </c>
      <c r="J1089" s="7">
        <v>45560</v>
      </c>
      <c r="K1089" s="1" t="s">
        <v>7449</v>
      </c>
    </row>
    <row r="1090" spans="1:11" x14ac:dyDescent="0.25">
      <c r="A1090" s="1">
        <v>1089</v>
      </c>
      <c r="B1090" s="1" t="s">
        <v>3293</v>
      </c>
      <c r="C1090" s="1" t="s">
        <v>3294</v>
      </c>
      <c r="E1090" s="1" t="s">
        <v>52</v>
      </c>
      <c r="G1090" s="1">
        <v>1</v>
      </c>
      <c r="H1090" s="7">
        <v>45560</v>
      </c>
      <c r="I1090" s="1" t="s">
        <v>7449</v>
      </c>
      <c r="J1090" s="7">
        <v>45560</v>
      </c>
      <c r="K1090" s="1" t="s">
        <v>7449</v>
      </c>
    </row>
    <row r="1091" spans="1:11" x14ac:dyDescent="0.25">
      <c r="A1091" s="1">
        <v>1090</v>
      </c>
      <c r="B1091" s="1" t="s">
        <v>3295</v>
      </c>
      <c r="C1091" s="1" t="s">
        <v>3296</v>
      </c>
      <c r="D1091" s="1" t="s">
        <v>3297</v>
      </c>
      <c r="G1091" s="1">
        <v>1</v>
      </c>
      <c r="H1091" s="7">
        <v>45560</v>
      </c>
      <c r="I1091" s="1" t="s">
        <v>7449</v>
      </c>
      <c r="J1091" s="7">
        <v>45560</v>
      </c>
      <c r="K1091" s="1" t="s">
        <v>7449</v>
      </c>
    </row>
    <row r="1092" spans="1:11" x14ac:dyDescent="0.25">
      <c r="A1092" s="1">
        <v>1091</v>
      </c>
      <c r="B1092" s="1" t="s">
        <v>3298</v>
      </c>
      <c r="C1092" s="1" t="s">
        <v>3299</v>
      </c>
      <c r="E1092" s="1" t="s">
        <v>52</v>
      </c>
      <c r="G1092" s="1">
        <v>1</v>
      </c>
      <c r="H1092" s="7">
        <v>45560</v>
      </c>
      <c r="I1092" s="1" t="s">
        <v>7449</v>
      </c>
      <c r="J1092" s="7">
        <v>45560</v>
      </c>
      <c r="K1092" s="1" t="s">
        <v>7449</v>
      </c>
    </row>
    <row r="1093" spans="1:11" x14ac:dyDescent="0.25">
      <c r="A1093" s="1">
        <v>1092</v>
      </c>
      <c r="B1093" s="1" t="s">
        <v>3300</v>
      </c>
      <c r="C1093" s="1" t="s">
        <v>3301</v>
      </c>
      <c r="F1093" s="1" t="s">
        <v>3302</v>
      </c>
      <c r="G1093" s="1">
        <v>1</v>
      </c>
      <c r="H1093" s="7">
        <v>45560</v>
      </c>
      <c r="I1093" s="1" t="s">
        <v>7449</v>
      </c>
      <c r="J1093" s="7">
        <v>45560</v>
      </c>
      <c r="K1093" s="1" t="s">
        <v>7449</v>
      </c>
    </row>
    <row r="1094" spans="1:11" x14ac:dyDescent="0.25">
      <c r="A1094" s="1">
        <v>1093</v>
      </c>
      <c r="B1094" s="1" t="s">
        <v>3303</v>
      </c>
      <c r="C1094" s="1" t="s">
        <v>3304</v>
      </c>
      <c r="D1094" s="1" t="s">
        <v>3305</v>
      </c>
      <c r="G1094" s="1">
        <v>1</v>
      </c>
      <c r="H1094" s="7">
        <v>45560</v>
      </c>
      <c r="I1094" s="1" t="s">
        <v>7449</v>
      </c>
      <c r="J1094" s="7">
        <v>45560</v>
      </c>
      <c r="K1094" s="1" t="s">
        <v>7449</v>
      </c>
    </row>
    <row r="1095" spans="1:11" x14ac:dyDescent="0.25">
      <c r="A1095" s="1">
        <v>1094</v>
      </c>
      <c r="B1095" s="1" t="s">
        <v>3306</v>
      </c>
      <c r="C1095" s="1" t="s">
        <v>3307</v>
      </c>
      <c r="E1095" s="1" t="s">
        <v>52</v>
      </c>
      <c r="G1095" s="1">
        <v>1</v>
      </c>
      <c r="H1095" s="7">
        <v>45560</v>
      </c>
      <c r="I1095" s="1" t="s">
        <v>7449</v>
      </c>
      <c r="J1095" s="7">
        <v>45560</v>
      </c>
      <c r="K1095" s="1" t="s">
        <v>7449</v>
      </c>
    </row>
    <row r="1096" spans="1:11" x14ac:dyDescent="0.25">
      <c r="A1096" s="1">
        <v>1095</v>
      </c>
      <c r="B1096" s="1" t="s">
        <v>3308</v>
      </c>
      <c r="C1096" s="1" t="s">
        <v>3309</v>
      </c>
      <c r="D1096" s="1" t="s">
        <v>3310</v>
      </c>
      <c r="G1096" s="1">
        <v>1</v>
      </c>
      <c r="H1096" s="7">
        <v>45560</v>
      </c>
      <c r="I1096" s="1" t="s">
        <v>7449</v>
      </c>
      <c r="J1096" s="7">
        <v>45560</v>
      </c>
      <c r="K1096" s="1" t="s">
        <v>7449</v>
      </c>
    </row>
    <row r="1097" spans="1:11" x14ac:dyDescent="0.25">
      <c r="A1097" s="1">
        <v>1096</v>
      </c>
      <c r="B1097" s="1" t="s">
        <v>3311</v>
      </c>
      <c r="C1097" s="1" t="s">
        <v>3312</v>
      </c>
      <c r="E1097" s="1" t="s">
        <v>73</v>
      </c>
      <c r="F1097" s="1" t="s">
        <v>3313</v>
      </c>
      <c r="G1097" s="1">
        <v>1</v>
      </c>
      <c r="H1097" s="7">
        <v>45560</v>
      </c>
      <c r="I1097" s="1" t="s">
        <v>7449</v>
      </c>
      <c r="J1097" s="7">
        <v>45560</v>
      </c>
      <c r="K1097" s="1" t="s">
        <v>7449</v>
      </c>
    </row>
    <row r="1098" spans="1:11" x14ac:dyDescent="0.25">
      <c r="A1098" s="1">
        <v>1097</v>
      </c>
      <c r="B1098" s="1" t="s">
        <v>3314</v>
      </c>
      <c r="C1098" s="1" t="s">
        <v>3315</v>
      </c>
      <c r="E1098" s="1" t="s">
        <v>52</v>
      </c>
      <c r="G1098" s="1">
        <v>1</v>
      </c>
      <c r="H1098" s="7">
        <v>45560</v>
      </c>
      <c r="I1098" s="1" t="s">
        <v>7449</v>
      </c>
      <c r="J1098" s="7">
        <v>45560</v>
      </c>
      <c r="K1098" s="1" t="s">
        <v>7449</v>
      </c>
    </row>
    <row r="1099" spans="1:11" x14ac:dyDescent="0.25">
      <c r="A1099" s="1">
        <v>1098</v>
      </c>
      <c r="B1099" s="1" t="s">
        <v>3316</v>
      </c>
      <c r="C1099" s="1" t="s">
        <v>3317</v>
      </c>
      <c r="D1099" s="1" t="s">
        <v>3318</v>
      </c>
      <c r="G1099" s="1">
        <v>1</v>
      </c>
      <c r="H1099" s="7">
        <v>45560</v>
      </c>
      <c r="I1099" s="1" t="s">
        <v>7449</v>
      </c>
      <c r="J1099" s="7">
        <v>45560</v>
      </c>
      <c r="K1099" s="1" t="s">
        <v>7449</v>
      </c>
    </row>
    <row r="1100" spans="1:11" x14ac:dyDescent="0.25">
      <c r="A1100" s="1">
        <v>1099</v>
      </c>
      <c r="B1100" s="1" t="s">
        <v>3319</v>
      </c>
      <c r="C1100" s="1" t="s">
        <v>3320</v>
      </c>
      <c r="E1100" s="1" t="s">
        <v>52</v>
      </c>
      <c r="G1100" s="1">
        <v>1</v>
      </c>
      <c r="H1100" s="7">
        <v>45560</v>
      </c>
      <c r="I1100" s="1" t="s">
        <v>7449</v>
      </c>
      <c r="J1100" s="7">
        <v>45560</v>
      </c>
      <c r="K1100" s="1" t="s">
        <v>7449</v>
      </c>
    </row>
    <row r="1101" spans="1:11" x14ac:dyDescent="0.25">
      <c r="A1101" s="1">
        <v>1100</v>
      </c>
      <c r="B1101" s="1" t="s">
        <v>3321</v>
      </c>
      <c r="C1101" s="1" t="s">
        <v>3322</v>
      </c>
      <c r="D1101" s="1" t="s">
        <v>3323</v>
      </c>
      <c r="F1101" s="1" t="s">
        <v>3324</v>
      </c>
      <c r="G1101" s="1">
        <v>1</v>
      </c>
      <c r="H1101" s="7">
        <v>45560</v>
      </c>
      <c r="I1101" s="1" t="s">
        <v>7449</v>
      </c>
      <c r="J1101" s="7">
        <v>45560</v>
      </c>
      <c r="K1101" s="1" t="s">
        <v>7449</v>
      </c>
    </row>
    <row r="1102" spans="1:11" x14ac:dyDescent="0.25">
      <c r="A1102" s="1">
        <v>1101</v>
      </c>
      <c r="B1102" s="1" t="s">
        <v>3325</v>
      </c>
      <c r="C1102" s="1" t="s">
        <v>3326</v>
      </c>
      <c r="F1102" s="1" t="s">
        <v>3327</v>
      </c>
      <c r="G1102" s="1">
        <v>1</v>
      </c>
      <c r="H1102" s="7">
        <v>45560</v>
      </c>
      <c r="I1102" s="1" t="s">
        <v>7449</v>
      </c>
      <c r="J1102" s="7">
        <v>45560</v>
      </c>
      <c r="K1102" s="1" t="s">
        <v>7449</v>
      </c>
    </row>
    <row r="1103" spans="1:11" x14ac:dyDescent="0.25">
      <c r="A1103" s="1">
        <v>1102</v>
      </c>
      <c r="B1103" s="1" t="s">
        <v>3328</v>
      </c>
      <c r="C1103" s="1" t="s">
        <v>3329</v>
      </c>
      <c r="D1103" s="1" t="s">
        <v>3330</v>
      </c>
      <c r="F1103" s="1" t="s">
        <v>3331</v>
      </c>
      <c r="G1103" s="1">
        <v>1</v>
      </c>
      <c r="H1103" s="7">
        <v>45560</v>
      </c>
      <c r="I1103" s="1" t="s">
        <v>7449</v>
      </c>
      <c r="J1103" s="7">
        <v>45560</v>
      </c>
      <c r="K1103" s="1" t="s">
        <v>7449</v>
      </c>
    </row>
    <row r="1104" spans="1:11" x14ac:dyDescent="0.25">
      <c r="A1104" s="1">
        <v>1103</v>
      </c>
      <c r="B1104" s="1" t="s">
        <v>3332</v>
      </c>
      <c r="C1104" s="1" t="s">
        <v>3333</v>
      </c>
      <c r="D1104" s="1" t="s">
        <v>3334</v>
      </c>
      <c r="F1104" s="1" t="s">
        <v>3335</v>
      </c>
      <c r="G1104" s="1">
        <v>1</v>
      </c>
      <c r="H1104" s="7">
        <v>45560</v>
      </c>
      <c r="I1104" s="1" t="s">
        <v>7449</v>
      </c>
      <c r="J1104" s="7">
        <v>45560</v>
      </c>
      <c r="K1104" s="1" t="s">
        <v>7449</v>
      </c>
    </row>
    <row r="1105" spans="1:11" x14ac:dyDescent="0.25">
      <c r="A1105" s="1">
        <v>1104</v>
      </c>
      <c r="B1105" s="1" t="s">
        <v>3336</v>
      </c>
      <c r="C1105" s="1" t="s">
        <v>3337</v>
      </c>
      <c r="E1105" s="1" t="s">
        <v>73</v>
      </c>
      <c r="F1105" s="1" t="s">
        <v>3338</v>
      </c>
      <c r="G1105" s="1">
        <v>1</v>
      </c>
      <c r="H1105" s="7">
        <v>45560</v>
      </c>
      <c r="I1105" s="1" t="s">
        <v>7449</v>
      </c>
      <c r="J1105" s="7">
        <v>45560</v>
      </c>
      <c r="K1105" s="1" t="s">
        <v>7449</v>
      </c>
    </row>
    <row r="1106" spans="1:11" x14ac:dyDescent="0.25">
      <c r="A1106" s="1">
        <v>1105</v>
      </c>
      <c r="B1106" s="1" t="s">
        <v>3339</v>
      </c>
      <c r="C1106" s="1" t="s">
        <v>3340</v>
      </c>
      <c r="E1106" s="1" t="s">
        <v>52</v>
      </c>
      <c r="G1106" s="1">
        <v>1</v>
      </c>
      <c r="H1106" s="7">
        <v>45560</v>
      </c>
      <c r="I1106" s="1" t="s">
        <v>7449</v>
      </c>
      <c r="J1106" s="7">
        <v>45560</v>
      </c>
      <c r="K1106" s="1" t="s">
        <v>7449</v>
      </c>
    </row>
    <row r="1107" spans="1:11" x14ac:dyDescent="0.25">
      <c r="A1107" s="1">
        <v>1106</v>
      </c>
      <c r="B1107" s="1" t="s">
        <v>3341</v>
      </c>
      <c r="C1107" s="1" t="s">
        <v>3342</v>
      </c>
      <c r="E1107" s="1" t="s">
        <v>73</v>
      </c>
      <c r="F1107" s="1" t="s">
        <v>3343</v>
      </c>
      <c r="G1107" s="1">
        <v>1</v>
      </c>
      <c r="H1107" s="7">
        <v>45560</v>
      </c>
      <c r="I1107" s="1" t="s">
        <v>7449</v>
      </c>
      <c r="J1107" s="7">
        <v>45560</v>
      </c>
      <c r="K1107" s="1" t="s">
        <v>7449</v>
      </c>
    </row>
    <row r="1108" spans="1:11" x14ac:dyDescent="0.25">
      <c r="A1108" s="1">
        <v>1107</v>
      </c>
      <c r="B1108" s="1" t="s">
        <v>3344</v>
      </c>
      <c r="C1108" s="1" t="s">
        <v>3345</v>
      </c>
      <c r="D1108" s="1" t="s">
        <v>3346</v>
      </c>
      <c r="G1108" s="1">
        <v>1</v>
      </c>
      <c r="H1108" s="7">
        <v>45560</v>
      </c>
      <c r="I1108" s="1" t="s">
        <v>7449</v>
      </c>
      <c r="J1108" s="7">
        <v>45560</v>
      </c>
      <c r="K1108" s="1" t="s">
        <v>7449</v>
      </c>
    </row>
    <row r="1109" spans="1:11" x14ac:dyDescent="0.25">
      <c r="A1109" s="1">
        <v>1108</v>
      </c>
      <c r="B1109" s="1" t="s">
        <v>3347</v>
      </c>
      <c r="C1109" s="1" t="s">
        <v>3348</v>
      </c>
      <c r="E1109" s="1" t="s">
        <v>52</v>
      </c>
      <c r="G1109" s="1">
        <v>1</v>
      </c>
      <c r="H1109" s="7">
        <v>45560</v>
      </c>
      <c r="I1109" s="1" t="s">
        <v>7449</v>
      </c>
      <c r="J1109" s="7">
        <v>45560</v>
      </c>
      <c r="K1109" s="1" t="s">
        <v>7449</v>
      </c>
    </row>
    <row r="1110" spans="1:11" x14ac:dyDescent="0.25">
      <c r="A1110" s="1">
        <v>1109</v>
      </c>
      <c r="B1110" s="1" t="s">
        <v>3349</v>
      </c>
      <c r="C1110" s="1" t="s">
        <v>3350</v>
      </c>
      <c r="E1110" s="1" t="s">
        <v>52</v>
      </c>
      <c r="G1110" s="1">
        <v>1</v>
      </c>
      <c r="H1110" s="7">
        <v>45560</v>
      </c>
      <c r="I1110" s="1" t="s">
        <v>7449</v>
      </c>
      <c r="J1110" s="7">
        <v>45560</v>
      </c>
      <c r="K1110" s="1" t="s">
        <v>7449</v>
      </c>
    </row>
    <row r="1111" spans="1:11" x14ac:dyDescent="0.25">
      <c r="A1111" s="1">
        <v>1110</v>
      </c>
      <c r="B1111" s="1" t="s">
        <v>3351</v>
      </c>
      <c r="C1111" s="1" t="s">
        <v>3352</v>
      </c>
      <c r="D1111" s="1" t="s">
        <v>3353</v>
      </c>
      <c r="F1111" s="1" t="s">
        <v>3354</v>
      </c>
      <c r="G1111" s="1">
        <v>1</v>
      </c>
      <c r="H1111" s="7">
        <v>45560</v>
      </c>
      <c r="I1111" s="1" t="s">
        <v>7449</v>
      </c>
      <c r="J1111" s="7">
        <v>45560</v>
      </c>
      <c r="K1111" s="1" t="s">
        <v>7449</v>
      </c>
    </row>
    <row r="1112" spans="1:11" x14ac:dyDescent="0.25">
      <c r="A1112" s="1">
        <v>1111</v>
      </c>
      <c r="B1112" s="1" t="s">
        <v>3355</v>
      </c>
      <c r="C1112" s="1" t="s">
        <v>3356</v>
      </c>
      <c r="D1112" s="1" t="s">
        <v>3357</v>
      </c>
      <c r="F1112" s="1" t="s">
        <v>3358</v>
      </c>
      <c r="G1112" s="1">
        <v>1</v>
      </c>
      <c r="H1112" s="7">
        <v>45560</v>
      </c>
      <c r="I1112" s="1" t="s">
        <v>7449</v>
      </c>
      <c r="J1112" s="7">
        <v>45560</v>
      </c>
      <c r="K1112" s="1" t="s">
        <v>7449</v>
      </c>
    </row>
    <row r="1113" spans="1:11" x14ac:dyDescent="0.25">
      <c r="A1113" s="1">
        <v>1112</v>
      </c>
      <c r="B1113" s="1" t="s">
        <v>3359</v>
      </c>
      <c r="C1113" s="1" t="s">
        <v>3360</v>
      </c>
      <c r="E1113" s="1" t="s">
        <v>52</v>
      </c>
      <c r="G1113" s="1">
        <v>1</v>
      </c>
      <c r="H1113" s="7">
        <v>45560</v>
      </c>
      <c r="I1113" s="1" t="s">
        <v>7449</v>
      </c>
      <c r="J1113" s="7">
        <v>45560</v>
      </c>
      <c r="K1113" s="1" t="s">
        <v>7449</v>
      </c>
    </row>
    <row r="1114" spans="1:11" x14ac:dyDescent="0.25">
      <c r="A1114" s="1">
        <v>1113</v>
      </c>
      <c r="B1114" s="1" t="s">
        <v>3361</v>
      </c>
      <c r="C1114" s="1" t="s">
        <v>3362</v>
      </c>
      <c r="F1114" s="1" t="s">
        <v>3363</v>
      </c>
      <c r="G1114" s="1">
        <v>1</v>
      </c>
      <c r="H1114" s="7">
        <v>45560</v>
      </c>
      <c r="I1114" s="1" t="s">
        <v>7449</v>
      </c>
      <c r="J1114" s="7">
        <v>45560</v>
      </c>
      <c r="K1114" s="1" t="s">
        <v>7449</v>
      </c>
    </row>
    <row r="1115" spans="1:11" x14ac:dyDescent="0.25">
      <c r="A1115" s="1">
        <v>1114</v>
      </c>
      <c r="B1115" s="1" t="s">
        <v>3364</v>
      </c>
      <c r="C1115" s="1" t="s">
        <v>3365</v>
      </c>
      <c r="E1115" s="1" t="s">
        <v>52</v>
      </c>
      <c r="G1115" s="1">
        <v>1</v>
      </c>
      <c r="H1115" s="7">
        <v>45560</v>
      </c>
      <c r="I1115" s="1" t="s">
        <v>7449</v>
      </c>
      <c r="J1115" s="7">
        <v>45560</v>
      </c>
      <c r="K1115" s="1" t="s">
        <v>7449</v>
      </c>
    </row>
    <row r="1116" spans="1:11" x14ac:dyDescent="0.25">
      <c r="A1116" s="1">
        <v>1115</v>
      </c>
      <c r="B1116" s="1" t="s">
        <v>3366</v>
      </c>
      <c r="C1116" s="1" t="s">
        <v>3367</v>
      </c>
      <c r="D1116" s="1" t="s">
        <v>3368</v>
      </c>
      <c r="G1116" s="1">
        <v>1</v>
      </c>
      <c r="H1116" s="7">
        <v>45560</v>
      </c>
      <c r="I1116" s="1" t="s">
        <v>7449</v>
      </c>
      <c r="J1116" s="7">
        <v>45560</v>
      </c>
      <c r="K1116" s="1" t="s">
        <v>7449</v>
      </c>
    </row>
    <row r="1117" spans="1:11" x14ac:dyDescent="0.25">
      <c r="A1117" s="1">
        <v>1116</v>
      </c>
      <c r="B1117" s="1" t="s">
        <v>3369</v>
      </c>
      <c r="C1117" s="1" t="s">
        <v>3370</v>
      </c>
      <c r="D1117" s="1" t="s">
        <v>3371</v>
      </c>
      <c r="E1117" s="1" t="s">
        <v>52</v>
      </c>
      <c r="G1117" s="1">
        <v>1</v>
      </c>
      <c r="H1117" s="7">
        <v>45560</v>
      </c>
      <c r="I1117" s="1" t="s">
        <v>7449</v>
      </c>
      <c r="J1117" s="7">
        <v>45560</v>
      </c>
      <c r="K1117" s="1" t="s">
        <v>7449</v>
      </c>
    </row>
    <row r="1118" spans="1:11" x14ac:dyDescent="0.25">
      <c r="A1118" s="1">
        <v>1117</v>
      </c>
      <c r="B1118" s="1" t="s">
        <v>3372</v>
      </c>
      <c r="C1118" s="1" t="s">
        <v>3373</v>
      </c>
      <c r="E1118" s="1" t="s">
        <v>52</v>
      </c>
      <c r="G1118" s="1">
        <v>1</v>
      </c>
      <c r="H1118" s="7">
        <v>45560</v>
      </c>
      <c r="I1118" s="1" t="s">
        <v>7449</v>
      </c>
      <c r="J1118" s="7">
        <v>45560</v>
      </c>
      <c r="K1118" s="1" t="s">
        <v>7449</v>
      </c>
    </row>
    <row r="1119" spans="1:11" x14ac:dyDescent="0.25">
      <c r="A1119" s="1">
        <v>1118</v>
      </c>
      <c r="B1119" s="1" t="s">
        <v>3374</v>
      </c>
      <c r="C1119" s="1" t="s">
        <v>3375</v>
      </c>
      <c r="E1119" s="1" t="s">
        <v>52</v>
      </c>
      <c r="G1119" s="1">
        <v>1</v>
      </c>
      <c r="H1119" s="7">
        <v>45560</v>
      </c>
      <c r="I1119" s="1" t="s">
        <v>7449</v>
      </c>
      <c r="J1119" s="7">
        <v>45560</v>
      </c>
      <c r="K1119" s="1" t="s">
        <v>7449</v>
      </c>
    </row>
    <row r="1120" spans="1:11" x14ac:dyDescent="0.25">
      <c r="A1120" s="1">
        <v>1119</v>
      </c>
      <c r="B1120" s="1" t="s">
        <v>3376</v>
      </c>
      <c r="C1120" s="1" t="s">
        <v>3377</v>
      </c>
      <c r="D1120" s="1" t="s">
        <v>3378</v>
      </c>
      <c r="F1120" s="1" t="s">
        <v>3379</v>
      </c>
      <c r="G1120" s="1">
        <v>1</v>
      </c>
      <c r="H1120" s="7">
        <v>45560</v>
      </c>
      <c r="I1120" s="1" t="s">
        <v>7449</v>
      </c>
      <c r="J1120" s="7">
        <v>45560</v>
      </c>
      <c r="K1120" s="1" t="s">
        <v>7449</v>
      </c>
    </row>
    <row r="1121" spans="1:11" x14ac:dyDescent="0.25">
      <c r="A1121" s="1">
        <v>1120</v>
      </c>
      <c r="B1121" s="1" t="s">
        <v>3380</v>
      </c>
      <c r="C1121" s="1" t="s">
        <v>3381</v>
      </c>
      <c r="D1121" s="1" t="s">
        <v>3382</v>
      </c>
      <c r="F1121" s="1" t="s">
        <v>3383</v>
      </c>
      <c r="G1121" s="1">
        <v>1</v>
      </c>
      <c r="H1121" s="7">
        <v>45560</v>
      </c>
      <c r="I1121" s="1" t="s">
        <v>7449</v>
      </c>
      <c r="J1121" s="7">
        <v>45560</v>
      </c>
      <c r="K1121" s="1" t="s">
        <v>7449</v>
      </c>
    </row>
    <row r="1122" spans="1:11" x14ac:dyDescent="0.25">
      <c r="A1122" s="1">
        <v>1121</v>
      </c>
      <c r="B1122" s="1" t="s">
        <v>3384</v>
      </c>
      <c r="C1122" s="1" t="s">
        <v>3385</v>
      </c>
      <c r="D1122" s="1" t="s">
        <v>3386</v>
      </c>
      <c r="F1122" s="1" t="s">
        <v>3387</v>
      </c>
      <c r="G1122" s="1">
        <v>1</v>
      </c>
      <c r="H1122" s="7">
        <v>45560</v>
      </c>
      <c r="I1122" s="1" t="s">
        <v>7449</v>
      </c>
      <c r="J1122" s="7">
        <v>45560</v>
      </c>
      <c r="K1122" s="1" t="s">
        <v>7449</v>
      </c>
    </row>
    <row r="1123" spans="1:11" x14ac:dyDescent="0.25">
      <c r="A1123" s="1">
        <v>1122</v>
      </c>
      <c r="B1123" s="1" t="s">
        <v>3388</v>
      </c>
      <c r="C1123" s="1" t="s">
        <v>3389</v>
      </c>
      <c r="E1123" s="1" t="s">
        <v>52</v>
      </c>
      <c r="G1123" s="1">
        <v>1</v>
      </c>
      <c r="H1123" s="7">
        <v>45560</v>
      </c>
      <c r="I1123" s="1" t="s">
        <v>7449</v>
      </c>
      <c r="J1123" s="7">
        <v>45560</v>
      </c>
      <c r="K1123" s="1" t="s">
        <v>7449</v>
      </c>
    </row>
    <row r="1124" spans="1:11" x14ac:dyDescent="0.25">
      <c r="A1124" s="1">
        <v>1123</v>
      </c>
      <c r="B1124" s="1" t="s">
        <v>3390</v>
      </c>
      <c r="C1124" s="1" t="s">
        <v>3391</v>
      </c>
      <c r="D1124" s="1" t="s">
        <v>3392</v>
      </c>
      <c r="G1124" s="1">
        <v>1</v>
      </c>
      <c r="H1124" s="7">
        <v>45560</v>
      </c>
      <c r="I1124" s="1" t="s">
        <v>7449</v>
      </c>
      <c r="J1124" s="7">
        <v>45560</v>
      </c>
      <c r="K1124" s="1" t="s">
        <v>7449</v>
      </c>
    </row>
    <row r="1125" spans="1:11" x14ac:dyDescent="0.25">
      <c r="A1125" s="1">
        <v>1124</v>
      </c>
      <c r="B1125" s="1" t="s">
        <v>3393</v>
      </c>
      <c r="C1125" s="1" t="s">
        <v>3394</v>
      </c>
      <c r="E1125" s="1" t="s">
        <v>52</v>
      </c>
      <c r="G1125" s="1">
        <v>1</v>
      </c>
      <c r="H1125" s="7">
        <v>45560</v>
      </c>
      <c r="I1125" s="1" t="s">
        <v>7449</v>
      </c>
      <c r="J1125" s="7">
        <v>45560</v>
      </c>
      <c r="K1125" s="1" t="s">
        <v>7449</v>
      </c>
    </row>
    <row r="1126" spans="1:11" x14ac:dyDescent="0.25">
      <c r="A1126" s="1">
        <v>1125</v>
      </c>
      <c r="B1126" s="1" t="s">
        <v>3395</v>
      </c>
      <c r="C1126" s="1" t="s">
        <v>3396</v>
      </c>
      <c r="F1126" s="1" t="s">
        <v>3397</v>
      </c>
      <c r="G1126" s="1">
        <v>1</v>
      </c>
      <c r="H1126" s="7">
        <v>45560</v>
      </c>
      <c r="I1126" s="1" t="s">
        <v>7449</v>
      </c>
      <c r="J1126" s="7">
        <v>45560</v>
      </c>
      <c r="K1126" s="1" t="s">
        <v>7449</v>
      </c>
    </row>
    <row r="1127" spans="1:11" x14ac:dyDescent="0.25">
      <c r="A1127" s="1">
        <v>1126</v>
      </c>
      <c r="B1127" s="1" t="s">
        <v>3398</v>
      </c>
      <c r="C1127" s="1" t="s">
        <v>3399</v>
      </c>
      <c r="F1127" s="1" t="s">
        <v>3400</v>
      </c>
      <c r="G1127" s="1">
        <v>1</v>
      </c>
      <c r="H1127" s="7">
        <v>45560</v>
      </c>
      <c r="I1127" s="1" t="s">
        <v>7449</v>
      </c>
      <c r="J1127" s="7">
        <v>45560</v>
      </c>
      <c r="K1127" s="1" t="s">
        <v>7449</v>
      </c>
    </row>
    <row r="1128" spans="1:11" x14ac:dyDescent="0.25">
      <c r="A1128" s="1">
        <v>1127</v>
      </c>
      <c r="B1128" s="1" t="s">
        <v>3401</v>
      </c>
      <c r="C1128" s="1" t="s">
        <v>3402</v>
      </c>
      <c r="D1128" s="1" t="s">
        <v>3403</v>
      </c>
      <c r="F1128" s="1" t="s">
        <v>3404</v>
      </c>
      <c r="G1128" s="1">
        <v>1</v>
      </c>
      <c r="H1128" s="7">
        <v>45560</v>
      </c>
      <c r="I1128" s="1" t="s">
        <v>7449</v>
      </c>
      <c r="J1128" s="7">
        <v>45560</v>
      </c>
      <c r="K1128" s="1" t="s">
        <v>7449</v>
      </c>
    </row>
    <row r="1129" spans="1:11" x14ac:dyDescent="0.25">
      <c r="A1129" s="1">
        <v>1128</v>
      </c>
      <c r="B1129" s="1" t="s">
        <v>3405</v>
      </c>
      <c r="C1129" s="1" t="s">
        <v>3406</v>
      </c>
      <c r="D1129" s="1" t="s">
        <v>3407</v>
      </c>
      <c r="F1129" s="1" t="s">
        <v>3408</v>
      </c>
      <c r="G1129" s="1">
        <v>1</v>
      </c>
      <c r="H1129" s="7">
        <v>45560</v>
      </c>
      <c r="I1129" s="1" t="s">
        <v>7449</v>
      </c>
      <c r="J1129" s="7">
        <v>45560</v>
      </c>
      <c r="K1129" s="1" t="s">
        <v>7449</v>
      </c>
    </row>
    <row r="1130" spans="1:11" x14ac:dyDescent="0.25">
      <c r="A1130" s="1">
        <v>1129</v>
      </c>
      <c r="B1130" s="1" t="s">
        <v>3409</v>
      </c>
      <c r="C1130" s="1" t="s">
        <v>3410</v>
      </c>
      <c r="D1130" s="1" t="s">
        <v>3411</v>
      </c>
      <c r="F1130" s="1" t="s">
        <v>3412</v>
      </c>
      <c r="G1130" s="1">
        <v>1</v>
      </c>
      <c r="H1130" s="7">
        <v>45560</v>
      </c>
      <c r="I1130" s="1" t="s">
        <v>7449</v>
      </c>
      <c r="J1130" s="7">
        <v>45560</v>
      </c>
      <c r="K1130" s="1" t="s">
        <v>7449</v>
      </c>
    </row>
    <row r="1131" spans="1:11" x14ac:dyDescent="0.25">
      <c r="A1131" s="1">
        <v>1130</v>
      </c>
      <c r="B1131" s="1" t="s">
        <v>3413</v>
      </c>
      <c r="C1131" s="1" t="s">
        <v>3414</v>
      </c>
      <c r="D1131" s="1" t="s">
        <v>3415</v>
      </c>
      <c r="F1131" s="1" t="s">
        <v>3416</v>
      </c>
      <c r="G1131" s="1">
        <v>1</v>
      </c>
      <c r="H1131" s="7">
        <v>45560</v>
      </c>
      <c r="I1131" s="1" t="s">
        <v>7449</v>
      </c>
      <c r="J1131" s="7">
        <v>45560</v>
      </c>
      <c r="K1131" s="1" t="s">
        <v>7449</v>
      </c>
    </row>
    <row r="1132" spans="1:11" x14ac:dyDescent="0.25">
      <c r="A1132" s="1">
        <v>1131</v>
      </c>
      <c r="B1132" s="1" t="s">
        <v>3417</v>
      </c>
      <c r="C1132" s="1" t="s">
        <v>3418</v>
      </c>
      <c r="D1132" s="1" t="s">
        <v>3419</v>
      </c>
      <c r="F1132" s="1" t="s">
        <v>3420</v>
      </c>
      <c r="G1132" s="1">
        <v>1</v>
      </c>
      <c r="H1132" s="7">
        <v>45560</v>
      </c>
      <c r="I1132" s="1" t="s">
        <v>7449</v>
      </c>
      <c r="J1132" s="7">
        <v>45560</v>
      </c>
      <c r="K1132" s="1" t="s">
        <v>7449</v>
      </c>
    </row>
    <row r="1133" spans="1:11" x14ac:dyDescent="0.25">
      <c r="A1133" s="1">
        <v>1132</v>
      </c>
      <c r="B1133" s="1" t="s">
        <v>3421</v>
      </c>
      <c r="C1133" s="1" t="s">
        <v>3422</v>
      </c>
      <c r="D1133" s="1" t="s">
        <v>3423</v>
      </c>
      <c r="F1133" s="1" t="s">
        <v>3424</v>
      </c>
      <c r="G1133" s="1">
        <v>1</v>
      </c>
      <c r="H1133" s="7">
        <v>45560</v>
      </c>
      <c r="I1133" s="1" t="s">
        <v>7449</v>
      </c>
      <c r="J1133" s="7">
        <v>45560</v>
      </c>
      <c r="K1133" s="1" t="s">
        <v>7449</v>
      </c>
    </row>
    <row r="1134" spans="1:11" x14ac:dyDescent="0.25">
      <c r="A1134" s="1">
        <v>1133</v>
      </c>
      <c r="B1134" s="1" t="s">
        <v>3425</v>
      </c>
      <c r="C1134" s="1" t="s">
        <v>3426</v>
      </c>
      <c r="D1134" s="1" t="s">
        <v>3427</v>
      </c>
      <c r="F1134" s="1" t="s">
        <v>3428</v>
      </c>
      <c r="G1134" s="1">
        <v>1</v>
      </c>
      <c r="H1134" s="7">
        <v>45560</v>
      </c>
      <c r="I1134" s="1" t="s">
        <v>7449</v>
      </c>
      <c r="J1134" s="7">
        <v>45560</v>
      </c>
      <c r="K1134" s="1" t="s">
        <v>7449</v>
      </c>
    </row>
    <row r="1135" spans="1:11" x14ac:dyDescent="0.25">
      <c r="A1135" s="1">
        <v>1134</v>
      </c>
      <c r="B1135" s="1" t="s">
        <v>3429</v>
      </c>
      <c r="C1135" s="1" t="s">
        <v>3430</v>
      </c>
      <c r="D1135" s="1" t="s">
        <v>3431</v>
      </c>
      <c r="F1135" s="1" t="s">
        <v>3432</v>
      </c>
      <c r="G1135" s="1">
        <v>1</v>
      </c>
      <c r="H1135" s="7">
        <v>45560</v>
      </c>
      <c r="I1135" s="1" t="s">
        <v>7449</v>
      </c>
      <c r="J1135" s="7">
        <v>45560</v>
      </c>
      <c r="K1135" s="1" t="s">
        <v>7449</v>
      </c>
    </row>
    <row r="1136" spans="1:11" x14ac:dyDescent="0.25">
      <c r="A1136" s="1">
        <v>1135</v>
      </c>
      <c r="B1136" s="1" t="s">
        <v>3433</v>
      </c>
      <c r="C1136" s="1" t="s">
        <v>3434</v>
      </c>
      <c r="F1136" s="1" t="s">
        <v>3435</v>
      </c>
      <c r="G1136" s="1">
        <v>1</v>
      </c>
      <c r="H1136" s="7">
        <v>45560</v>
      </c>
      <c r="I1136" s="1" t="s">
        <v>7449</v>
      </c>
      <c r="J1136" s="7">
        <v>45560</v>
      </c>
      <c r="K1136" s="1" t="s">
        <v>7449</v>
      </c>
    </row>
    <row r="1137" spans="1:11" x14ac:dyDescent="0.25">
      <c r="A1137" s="1">
        <v>1136</v>
      </c>
      <c r="B1137" s="1" t="s">
        <v>3436</v>
      </c>
      <c r="C1137" s="1" t="s">
        <v>3437</v>
      </c>
      <c r="F1137" s="1" t="s">
        <v>3438</v>
      </c>
      <c r="G1137" s="1">
        <v>1</v>
      </c>
      <c r="H1137" s="7">
        <v>45560</v>
      </c>
      <c r="I1137" s="1" t="s">
        <v>7449</v>
      </c>
      <c r="J1137" s="7">
        <v>45560</v>
      </c>
      <c r="K1137" s="1" t="s">
        <v>7449</v>
      </c>
    </row>
    <row r="1138" spans="1:11" x14ac:dyDescent="0.25">
      <c r="A1138" s="1">
        <v>1137</v>
      </c>
      <c r="B1138" s="1" t="s">
        <v>3439</v>
      </c>
      <c r="C1138" s="1" t="s">
        <v>3440</v>
      </c>
      <c r="F1138" s="1" t="s">
        <v>3441</v>
      </c>
      <c r="G1138" s="1">
        <v>1</v>
      </c>
      <c r="H1138" s="7">
        <v>45560</v>
      </c>
      <c r="I1138" s="1" t="s">
        <v>7449</v>
      </c>
      <c r="J1138" s="7">
        <v>45560</v>
      </c>
      <c r="K1138" s="1" t="s">
        <v>7449</v>
      </c>
    </row>
    <row r="1139" spans="1:11" x14ac:dyDescent="0.25">
      <c r="A1139" s="1">
        <v>1138</v>
      </c>
      <c r="B1139" s="1" t="s">
        <v>3442</v>
      </c>
      <c r="C1139" s="1" t="s">
        <v>3443</v>
      </c>
      <c r="F1139" s="1" t="s">
        <v>3444</v>
      </c>
      <c r="G1139" s="1">
        <v>1</v>
      </c>
      <c r="H1139" s="7">
        <v>45560</v>
      </c>
      <c r="I1139" s="1" t="s">
        <v>7449</v>
      </c>
      <c r="J1139" s="7">
        <v>45560</v>
      </c>
      <c r="K1139" s="1" t="s">
        <v>7449</v>
      </c>
    </row>
    <row r="1140" spans="1:11" x14ac:dyDescent="0.25">
      <c r="A1140" s="1">
        <v>1139</v>
      </c>
      <c r="B1140" s="1" t="s">
        <v>3445</v>
      </c>
      <c r="C1140" s="1" t="s">
        <v>3446</v>
      </c>
      <c r="F1140" s="1" t="s">
        <v>3447</v>
      </c>
      <c r="G1140" s="1">
        <v>1</v>
      </c>
      <c r="H1140" s="7">
        <v>45560</v>
      </c>
      <c r="I1140" s="1" t="s">
        <v>7449</v>
      </c>
      <c r="J1140" s="7">
        <v>45560</v>
      </c>
      <c r="K1140" s="1" t="s">
        <v>7449</v>
      </c>
    </row>
    <row r="1141" spans="1:11" x14ac:dyDescent="0.25">
      <c r="A1141" s="1">
        <v>1140</v>
      </c>
      <c r="B1141" s="1" t="s">
        <v>3448</v>
      </c>
      <c r="C1141" s="1" t="s">
        <v>3449</v>
      </c>
      <c r="F1141" s="1" t="s">
        <v>3450</v>
      </c>
      <c r="G1141" s="1">
        <v>1</v>
      </c>
      <c r="H1141" s="7">
        <v>45560</v>
      </c>
      <c r="I1141" s="1" t="s">
        <v>7449</v>
      </c>
      <c r="J1141" s="7">
        <v>45560</v>
      </c>
      <c r="K1141" s="1" t="s">
        <v>7449</v>
      </c>
    </row>
    <row r="1142" spans="1:11" x14ac:dyDescent="0.25">
      <c r="A1142" s="1">
        <v>1141</v>
      </c>
      <c r="B1142" s="1" t="s">
        <v>3451</v>
      </c>
      <c r="C1142" s="1" t="s">
        <v>3452</v>
      </c>
      <c r="F1142" s="1" t="s">
        <v>3453</v>
      </c>
      <c r="G1142" s="1">
        <v>1</v>
      </c>
      <c r="H1142" s="7">
        <v>45560</v>
      </c>
      <c r="I1142" s="1" t="s">
        <v>7449</v>
      </c>
      <c r="J1142" s="7">
        <v>45560</v>
      </c>
      <c r="K1142" s="1" t="s">
        <v>7449</v>
      </c>
    </row>
    <row r="1143" spans="1:11" x14ac:dyDescent="0.25">
      <c r="A1143" s="1">
        <v>1142</v>
      </c>
      <c r="B1143" s="1" t="s">
        <v>3454</v>
      </c>
      <c r="C1143" s="1" t="s">
        <v>3455</v>
      </c>
      <c r="F1143" s="1" t="s">
        <v>3456</v>
      </c>
      <c r="G1143" s="1">
        <v>1</v>
      </c>
      <c r="H1143" s="7">
        <v>45560</v>
      </c>
      <c r="I1143" s="1" t="s">
        <v>7449</v>
      </c>
      <c r="J1143" s="7">
        <v>45560</v>
      </c>
      <c r="K1143" s="1" t="s">
        <v>7449</v>
      </c>
    </row>
    <row r="1144" spans="1:11" x14ac:dyDescent="0.25">
      <c r="A1144" s="1">
        <v>1143</v>
      </c>
      <c r="B1144" s="1" t="s">
        <v>3457</v>
      </c>
      <c r="C1144" s="1" t="s">
        <v>3458</v>
      </c>
      <c r="F1144" s="1" t="s">
        <v>3459</v>
      </c>
      <c r="G1144" s="1">
        <v>1</v>
      </c>
      <c r="H1144" s="7">
        <v>45560</v>
      </c>
      <c r="I1144" s="1" t="s">
        <v>7449</v>
      </c>
      <c r="J1144" s="7">
        <v>45560</v>
      </c>
      <c r="K1144" s="1" t="s">
        <v>7449</v>
      </c>
    </row>
    <row r="1145" spans="1:11" x14ac:dyDescent="0.25">
      <c r="A1145" s="1">
        <v>1144</v>
      </c>
      <c r="B1145" s="1" t="s">
        <v>3460</v>
      </c>
      <c r="C1145" s="1" t="s">
        <v>3461</v>
      </c>
      <c r="D1145" s="1" t="s">
        <v>3462</v>
      </c>
      <c r="F1145" s="1" t="s">
        <v>3463</v>
      </c>
      <c r="G1145" s="1">
        <v>1</v>
      </c>
      <c r="H1145" s="7">
        <v>45560</v>
      </c>
      <c r="I1145" s="1" t="s">
        <v>7449</v>
      </c>
      <c r="J1145" s="7">
        <v>45560</v>
      </c>
      <c r="K1145" s="1" t="s">
        <v>7449</v>
      </c>
    </row>
    <row r="1146" spans="1:11" x14ac:dyDescent="0.25">
      <c r="A1146" s="1">
        <v>1145</v>
      </c>
      <c r="B1146" s="1" t="s">
        <v>3464</v>
      </c>
      <c r="C1146" s="1" t="s">
        <v>3465</v>
      </c>
      <c r="F1146" s="1" t="s">
        <v>3466</v>
      </c>
      <c r="G1146" s="1">
        <v>1</v>
      </c>
      <c r="H1146" s="7">
        <v>45560</v>
      </c>
      <c r="I1146" s="1" t="s">
        <v>7449</v>
      </c>
      <c r="J1146" s="7">
        <v>45560</v>
      </c>
      <c r="K1146" s="1" t="s">
        <v>7449</v>
      </c>
    </row>
    <row r="1147" spans="1:11" x14ac:dyDescent="0.25">
      <c r="A1147" s="1">
        <v>1146</v>
      </c>
      <c r="B1147" s="1" t="s">
        <v>3467</v>
      </c>
      <c r="C1147" s="1" t="s">
        <v>3468</v>
      </c>
      <c r="F1147" s="1" t="s">
        <v>3469</v>
      </c>
      <c r="G1147" s="1">
        <v>1</v>
      </c>
      <c r="H1147" s="7">
        <v>45560</v>
      </c>
      <c r="I1147" s="1" t="s">
        <v>7449</v>
      </c>
      <c r="J1147" s="7">
        <v>45560</v>
      </c>
      <c r="K1147" s="1" t="s">
        <v>7449</v>
      </c>
    </row>
    <row r="1148" spans="1:11" x14ac:dyDescent="0.25">
      <c r="A1148" s="1">
        <v>1147</v>
      </c>
      <c r="B1148" s="1" t="s">
        <v>3470</v>
      </c>
      <c r="C1148" s="1" t="s">
        <v>3471</v>
      </c>
      <c r="F1148" s="1" t="s">
        <v>3472</v>
      </c>
      <c r="G1148" s="1">
        <v>1</v>
      </c>
      <c r="H1148" s="7">
        <v>45560</v>
      </c>
      <c r="I1148" s="1" t="s">
        <v>7449</v>
      </c>
      <c r="J1148" s="7">
        <v>45560</v>
      </c>
      <c r="K1148" s="1" t="s">
        <v>7449</v>
      </c>
    </row>
    <row r="1149" spans="1:11" x14ac:dyDescent="0.25">
      <c r="A1149" s="1">
        <v>1148</v>
      </c>
      <c r="B1149" s="1" t="s">
        <v>3473</v>
      </c>
      <c r="C1149" s="1" t="s">
        <v>3474</v>
      </c>
      <c r="D1149" s="1" t="s">
        <v>3475</v>
      </c>
      <c r="F1149" s="1" t="s">
        <v>3476</v>
      </c>
      <c r="G1149" s="1">
        <v>1</v>
      </c>
      <c r="H1149" s="7">
        <v>45560</v>
      </c>
      <c r="I1149" s="1" t="s">
        <v>7449</v>
      </c>
      <c r="J1149" s="7">
        <v>45560</v>
      </c>
      <c r="K1149" s="1" t="s">
        <v>7449</v>
      </c>
    </row>
    <row r="1150" spans="1:11" x14ac:dyDescent="0.25">
      <c r="A1150" s="1">
        <v>1149</v>
      </c>
      <c r="B1150" s="1" t="s">
        <v>3477</v>
      </c>
      <c r="C1150" s="1" t="s">
        <v>3478</v>
      </c>
      <c r="F1150" s="1" t="s">
        <v>3479</v>
      </c>
      <c r="G1150" s="1">
        <v>1</v>
      </c>
      <c r="H1150" s="7">
        <v>45560</v>
      </c>
      <c r="I1150" s="1" t="s">
        <v>7449</v>
      </c>
      <c r="J1150" s="7">
        <v>45560</v>
      </c>
      <c r="K1150" s="1" t="s">
        <v>7449</v>
      </c>
    </row>
    <row r="1151" spans="1:11" x14ac:dyDescent="0.25">
      <c r="A1151" s="1">
        <v>1150</v>
      </c>
      <c r="B1151" s="1" t="s">
        <v>3480</v>
      </c>
      <c r="C1151" s="1" t="s">
        <v>3481</v>
      </c>
      <c r="F1151" s="1" t="s">
        <v>3482</v>
      </c>
      <c r="G1151" s="1">
        <v>1</v>
      </c>
      <c r="H1151" s="7">
        <v>45560</v>
      </c>
      <c r="I1151" s="1" t="s">
        <v>7449</v>
      </c>
      <c r="J1151" s="7">
        <v>45560</v>
      </c>
      <c r="K1151" s="1" t="s">
        <v>7449</v>
      </c>
    </row>
    <row r="1152" spans="1:11" x14ac:dyDescent="0.25">
      <c r="A1152" s="1">
        <v>1151</v>
      </c>
      <c r="B1152" s="1" t="s">
        <v>3483</v>
      </c>
      <c r="C1152" s="1" t="s">
        <v>3484</v>
      </c>
      <c r="F1152" s="1" t="s">
        <v>3485</v>
      </c>
      <c r="G1152" s="1">
        <v>1</v>
      </c>
      <c r="H1152" s="7">
        <v>45560</v>
      </c>
      <c r="I1152" s="1" t="s">
        <v>7449</v>
      </c>
      <c r="J1152" s="7">
        <v>45560</v>
      </c>
      <c r="K1152" s="1" t="s">
        <v>7449</v>
      </c>
    </row>
    <row r="1153" spans="1:11" x14ac:dyDescent="0.25">
      <c r="A1153" s="1">
        <v>1152</v>
      </c>
      <c r="B1153" s="1" t="s">
        <v>3486</v>
      </c>
      <c r="C1153" s="1" t="s">
        <v>3487</v>
      </c>
      <c r="F1153" s="1" t="s">
        <v>3488</v>
      </c>
      <c r="G1153" s="1">
        <v>1</v>
      </c>
      <c r="H1153" s="7">
        <v>45560</v>
      </c>
      <c r="I1153" s="1" t="s">
        <v>7449</v>
      </c>
      <c r="J1153" s="7">
        <v>45560</v>
      </c>
      <c r="K1153" s="1" t="s">
        <v>7449</v>
      </c>
    </row>
    <row r="1154" spans="1:11" x14ac:dyDescent="0.25">
      <c r="A1154" s="1">
        <v>1153</v>
      </c>
      <c r="B1154" s="1" t="s">
        <v>3489</v>
      </c>
      <c r="C1154" s="1" t="s">
        <v>3490</v>
      </c>
      <c r="F1154" s="1" t="s">
        <v>3491</v>
      </c>
      <c r="G1154" s="1">
        <v>1</v>
      </c>
      <c r="H1154" s="7">
        <v>45560</v>
      </c>
      <c r="I1154" s="1" t="s">
        <v>7449</v>
      </c>
      <c r="J1154" s="7">
        <v>45560</v>
      </c>
      <c r="K1154" s="1" t="s">
        <v>7449</v>
      </c>
    </row>
    <row r="1155" spans="1:11" x14ac:dyDescent="0.25">
      <c r="A1155" s="1">
        <v>1154</v>
      </c>
      <c r="B1155" s="1" t="s">
        <v>3492</v>
      </c>
      <c r="C1155" s="1" t="s">
        <v>3493</v>
      </c>
      <c r="D1155" s="1" t="s">
        <v>3494</v>
      </c>
      <c r="F1155" s="1" t="s">
        <v>3495</v>
      </c>
      <c r="G1155" s="1">
        <v>1</v>
      </c>
      <c r="H1155" s="7">
        <v>45560</v>
      </c>
      <c r="I1155" s="1" t="s">
        <v>7449</v>
      </c>
      <c r="J1155" s="7">
        <v>45560</v>
      </c>
      <c r="K1155" s="1" t="s">
        <v>7449</v>
      </c>
    </row>
    <row r="1156" spans="1:11" x14ac:dyDescent="0.25">
      <c r="A1156" s="1">
        <v>1155</v>
      </c>
      <c r="B1156" s="1" t="s">
        <v>3496</v>
      </c>
      <c r="C1156" s="1" t="s">
        <v>3497</v>
      </c>
      <c r="F1156" s="1" t="s">
        <v>3498</v>
      </c>
      <c r="G1156" s="1">
        <v>1</v>
      </c>
      <c r="H1156" s="7">
        <v>45560</v>
      </c>
      <c r="I1156" s="1" t="s">
        <v>7449</v>
      </c>
      <c r="J1156" s="7">
        <v>45560</v>
      </c>
      <c r="K1156" s="1" t="s">
        <v>7449</v>
      </c>
    </row>
    <row r="1157" spans="1:11" x14ac:dyDescent="0.25">
      <c r="A1157" s="1">
        <v>1156</v>
      </c>
      <c r="B1157" s="1" t="s">
        <v>3499</v>
      </c>
      <c r="C1157" s="1" t="s">
        <v>3500</v>
      </c>
      <c r="F1157" s="1" t="s">
        <v>3501</v>
      </c>
      <c r="G1157" s="1">
        <v>1</v>
      </c>
      <c r="H1157" s="7">
        <v>45560</v>
      </c>
      <c r="I1157" s="1" t="s">
        <v>7449</v>
      </c>
      <c r="J1157" s="7">
        <v>45560</v>
      </c>
      <c r="K1157" s="1" t="s">
        <v>7449</v>
      </c>
    </row>
    <row r="1158" spans="1:11" x14ac:dyDescent="0.25">
      <c r="A1158" s="1">
        <v>1157</v>
      </c>
      <c r="B1158" s="1" t="s">
        <v>3502</v>
      </c>
      <c r="C1158" s="1" t="s">
        <v>3503</v>
      </c>
      <c r="F1158" s="1" t="s">
        <v>3504</v>
      </c>
      <c r="G1158" s="1">
        <v>1</v>
      </c>
      <c r="H1158" s="7">
        <v>45560</v>
      </c>
      <c r="I1158" s="1" t="s">
        <v>7449</v>
      </c>
      <c r="J1158" s="7">
        <v>45560</v>
      </c>
      <c r="K1158" s="1" t="s">
        <v>7449</v>
      </c>
    </row>
    <row r="1159" spans="1:11" x14ac:dyDescent="0.25">
      <c r="A1159" s="1">
        <v>1158</v>
      </c>
      <c r="B1159" s="1" t="s">
        <v>3505</v>
      </c>
      <c r="C1159" s="1" t="s">
        <v>3506</v>
      </c>
      <c r="F1159" s="1" t="s">
        <v>3507</v>
      </c>
      <c r="G1159" s="1">
        <v>1</v>
      </c>
      <c r="H1159" s="7">
        <v>45560</v>
      </c>
      <c r="I1159" s="1" t="s">
        <v>7449</v>
      </c>
      <c r="J1159" s="7">
        <v>45560</v>
      </c>
      <c r="K1159" s="1" t="s">
        <v>7449</v>
      </c>
    </row>
    <row r="1160" spans="1:11" x14ac:dyDescent="0.25">
      <c r="A1160" s="1">
        <v>1159</v>
      </c>
      <c r="B1160" s="1" t="s">
        <v>3508</v>
      </c>
      <c r="C1160" s="1" t="s">
        <v>3509</v>
      </c>
      <c r="F1160" s="1" t="s">
        <v>3510</v>
      </c>
      <c r="G1160" s="1">
        <v>1</v>
      </c>
      <c r="H1160" s="7">
        <v>45560</v>
      </c>
      <c r="I1160" s="1" t="s">
        <v>7449</v>
      </c>
      <c r="J1160" s="7">
        <v>45560</v>
      </c>
      <c r="K1160" s="1" t="s">
        <v>7449</v>
      </c>
    </row>
    <row r="1161" spans="1:11" x14ac:dyDescent="0.25">
      <c r="A1161" s="1">
        <v>1160</v>
      </c>
      <c r="B1161" s="1" t="s">
        <v>3511</v>
      </c>
      <c r="C1161" s="1" t="s">
        <v>3512</v>
      </c>
      <c r="F1161" s="1" t="s">
        <v>3513</v>
      </c>
      <c r="G1161" s="1">
        <v>1</v>
      </c>
      <c r="H1161" s="7">
        <v>45560</v>
      </c>
      <c r="I1161" s="1" t="s">
        <v>7449</v>
      </c>
      <c r="J1161" s="7">
        <v>45560</v>
      </c>
      <c r="K1161" s="1" t="s">
        <v>7449</v>
      </c>
    </row>
    <row r="1162" spans="1:11" x14ac:dyDescent="0.25">
      <c r="A1162" s="1">
        <v>1161</v>
      </c>
      <c r="B1162" s="1" t="s">
        <v>3514</v>
      </c>
      <c r="C1162" s="1" t="s">
        <v>3515</v>
      </c>
      <c r="F1162" s="1" t="s">
        <v>3516</v>
      </c>
      <c r="G1162" s="1">
        <v>1</v>
      </c>
      <c r="H1162" s="7">
        <v>45560</v>
      </c>
      <c r="I1162" s="1" t="s">
        <v>7449</v>
      </c>
      <c r="J1162" s="7">
        <v>45560</v>
      </c>
      <c r="K1162" s="1" t="s">
        <v>7449</v>
      </c>
    </row>
    <row r="1163" spans="1:11" x14ac:dyDescent="0.25">
      <c r="A1163" s="1">
        <v>1162</v>
      </c>
      <c r="B1163" s="1" t="s">
        <v>3517</v>
      </c>
      <c r="C1163" s="1" t="s">
        <v>3518</v>
      </c>
      <c r="F1163" s="1" t="s">
        <v>3519</v>
      </c>
      <c r="G1163" s="1">
        <v>1</v>
      </c>
      <c r="H1163" s="7">
        <v>45560</v>
      </c>
      <c r="I1163" s="1" t="s">
        <v>7449</v>
      </c>
      <c r="J1163" s="7">
        <v>45560</v>
      </c>
      <c r="K1163" s="1" t="s">
        <v>7449</v>
      </c>
    </row>
    <row r="1164" spans="1:11" x14ac:dyDescent="0.25">
      <c r="A1164" s="1">
        <v>1163</v>
      </c>
      <c r="B1164" s="1" t="s">
        <v>3520</v>
      </c>
      <c r="C1164" s="1" t="s">
        <v>3521</v>
      </c>
      <c r="F1164" s="1" t="s">
        <v>3522</v>
      </c>
      <c r="G1164" s="1">
        <v>1</v>
      </c>
      <c r="H1164" s="7">
        <v>45560</v>
      </c>
      <c r="I1164" s="1" t="s">
        <v>7449</v>
      </c>
      <c r="J1164" s="7">
        <v>45560</v>
      </c>
      <c r="K1164" s="1" t="s">
        <v>7449</v>
      </c>
    </row>
    <row r="1165" spans="1:11" x14ac:dyDescent="0.25">
      <c r="A1165" s="1">
        <v>1164</v>
      </c>
      <c r="B1165" s="1" t="s">
        <v>3523</v>
      </c>
      <c r="C1165" s="1" t="s">
        <v>3524</v>
      </c>
      <c r="F1165" s="1" t="s">
        <v>3525</v>
      </c>
      <c r="G1165" s="1">
        <v>1</v>
      </c>
      <c r="H1165" s="7">
        <v>45560</v>
      </c>
      <c r="I1165" s="1" t="s">
        <v>7449</v>
      </c>
      <c r="J1165" s="7">
        <v>45560</v>
      </c>
      <c r="K1165" s="1" t="s">
        <v>7449</v>
      </c>
    </row>
    <row r="1166" spans="1:11" x14ac:dyDescent="0.25">
      <c r="A1166" s="1">
        <v>1165</v>
      </c>
      <c r="B1166" s="1" t="s">
        <v>3526</v>
      </c>
      <c r="C1166" s="1" t="s">
        <v>3527</v>
      </c>
      <c r="F1166" s="1" t="s">
        <v>3528</v>
      </c>
      <c r="G1166" s="1">
        <v>1</v>
      </c>
      <c r="H1166" s="7">
        <v>45560</v>
      </c>
      <c r="I1166" s="1" t="s">
        <v>7449</v>
      </c>
      <c r="J1166" s="7">
        <v>45560</v>
      </c>
      <c r="K1166" s="1" t="s">
        <v>7449</v>
      </c>
    </row>
    <row r="1167" spans="1:11" x14ac:dyDescent="0.25">
      <c r="A1167" s="1">
        <v>1166</v>
      </c>
      <c r="B1167" s="1" t="s">
        <v>3529</v>
      </c>
      <c r="C1167" s="1" t="s">
        <v>3530</v>
      </c>
      <c r="F1167" s="1" t="s">
        <v>3531</v>
      </c>
      <c r="G1167" s="1">
        <v>1</v>
      </c>
      <c r="H1167" s="7">
        <v>45560</v>
      </c>
      <c r="I1167" s="1" t="s">
        <v>7449</v>
      </c>
      <c r="J1167" s="7">
        <v>45560</v>
      </c>
      <c r="K1167" s="1" t="s">
        <v>7449</v>
      </c>
    </row>
    <row r="1168" spans="1:11" x14ac:dyDescent="0.25">
      <c r="A1168" s="1">
        <v>1167</v>
      </c>
      <c r="B1168" s="1" t="s">
        <v>3532</v>
      </c>
      <c r="C1168" s="1" t="s">
        <v>3533</v>
      </c>
      <c r="F1168" s="1" t="s">
        <v>3534</v>
      </c>
      <c r="G1168" s="1">
        <v>1</v>
      </c>
      <c r="H1168" s="7">
        <v>45560</v>
      </c>
      <c r="I1168" s="1" t="s">
        <v>7449</v>
      </c>
      <c r="J1168" s="7">
        <v>45560</v>
      </c>
      <c r="K1168" s="1" t="s">
        <v>7449</v>
      </c>
    </row>
    <row r="1169" spans="1:11" x14ac:dyDescent="0.25">
      <c r="A1169" s="1">
        <v>1168</v>
      </c>
      <c r="B1169" s="1" t="s">
        <v>3535</v>
      </c>
      <c r="C1169" s="1" t="s">
        <v>3536</v>
      </c>
      <c r="F1169" s="1" t="s">
        <v>3537</v>
      </c>
      <c r="G1169" s="1">
        <v>1</v>
      </c>
      <c r="H1169" s="7">
        <v>45560</v>
      </c>
      <c r="I1169" s="1" t="s">
        <v>7449</v>
      </c>
      <c r="J1169" s="7">
        <v>45560</v>
      </c>
      <c r="K1169" s="1" t="s">
        <v>7449</v>
      </c>
    </row>
    <row r="1170" spans="1:11" x14ac:dyDescent="0.25">
      <c r="A1170" s="1">
        <v>1169</v>
      </c>
      <c r="B1170" s="1" t="s">
        <v>3538</v>
      </c>
      <c r="C1170" s="1" t="s">
        <v>3539</v>
      </c>
      <c r="F1170" s="1" t="s">
        <v>3540</v>
      </c>
      <c r="G1170" s="1">
        <v>1</v>
      </c>
      <c r="H1170" s="7">
        <v>45560</v>
      </c>
      <c r="I1170" s="1" t="s">
        <v>7449</v>
      </c>
      <c r="J1170" s="7">
        <v>45560</v>
      </c>
      <c r="K1170" s="1" t="s">
        <v>7449</v>
      </c>
    </row>
    <row r="1171" spans="1:11" x14ac:dyDescent="0.25">
      <c r="A1171" s="1">
        <v>1170</v>
      </c>
      <c r="B1171" s="1" t="s">
        <v>3541</v>
      </c>
      <c r="C1171" s="1" t="s">
        <v>3542</v>
      </c>
      <c r="D1171" s="1" t="s">
        <v>3543</v>
      </c>
      <c r="F1171" s="1" t="s">
        <v>3544</v>
      </c>
      <c r="G1171" s="1">
        <v>1</v>
      </c>
      <c r="H1171" s="7">
        <v>45560</v>
      </c>
      <c r="I1171" s="1" t="s">
        <v>7449</v>
      </c>
      <c r="J1171" s="7">
        <v>45560</v>
      </c>
      <c r="K1171" s="1" t="s">
        <v>7449</v>
      </c>
    </row>
    <row r="1172" spans="1:11" x14ac:dyDescent="0.25">
      <c r="A1172" s="1">
        <v>1171</v>
      </c>
      <c r="B1172" s="1" t="s">
        <v>3545</v>
      </c>
      <c r="C1172" s="1" t="s">
        <v>3546</v>
      </c>
      <c r="F1172" s="1" t="s">
        <v>3547</v>
      </c>
      <c r="G1172" s="1">
        <v>1</v>
      </c>
      <c r="H1172" s="7">
        <v>45560</v>
      </c>
      <c r="I1172" s="1" t="s">
        <v>7449</v>
      </c>
      <c r="J1172" s="7">
        <v>45560</v>
      </c>
      <c r="K1172" s="1" t="s">
        <v>7449</v>
      </c>
    </row>
    <row r="1173" spans="1:11" x14ac:dyDescent="0.25">
      <c r="A1173" s="1">
        <v>1172</v>
      </c>
      <c r="B1173" s="1" t="s">
        <v>3548</v>
      </c>
      <c r="C1173" s="1" t="s">
        <v>3549</v>
      </c>
      <c r="F1173" s="1" t="s">
        <v>3550</v>
      </c>
      <c r="G1173" s="1">
        <v>1</v>
      </c>
      <c r="H1173" s="7">
        <v>45560</v>
      </c>
      <c r="I1173" s="1" t="s">
        <v>7449</v>
      </c>
      <c r="J1173" s="7">
        <v>45560</v>
      </c>
      <c r="K1173" s="1" t="s">
        <v>7449</v>
      </c>
    </row>
    <row r="1174" spans="1:11" x14ac:dyDescent="0.25">
      <c r="A1174" s="1">
        <v>1173</v>
      </c>
      <c r="B1174" s="1" t="s">
        <v>3551</v>
      </c>
      <c r="C1174" s="1" t="s">
        <v>3552</v>
      </c>
      <c r="D1174" s="1" t="s">
        <v>3553</v>
      </c>
      <c r="F1174" s="1" t="s">
        <v>3554</v>
      </c>
      <c r="G1174" s="1">
        <v>1</v>
      </c>
      <c r="H1174" s="7">
        <v>45560</v>
      </c>
      <c r="I1174" s="1" t="s">
        <v>7449</v>
      </c>
      <c r="J1174" s="7">
        <v>45560</v>
      </c>
      <c r="K1174" s="1" t="s">
        <v>7449</v>
      </c>
    </row>
    <row r="1175" spans="1:11" x14ac:dyDescent="0.25">
      <c r="A1175" s="1">
        <v>1174</v>
      </c>
      <c r="B1175" s="1" t="s">
        <v>3555</v>
      </c>
      <c r="C1175" s="1" t="s">
        <v>3556</v>
      </c>
      <c r="F1175" s="1" t="s">
        <v>3557</v>
      </c>
      <c r="G1175" s="1">
        <v>1</v>
      </c>
      <c r="H1175" s="7">
        <v>45560</v>
      </c>
      <c r="I1175" s="1" t="s">
        <v>7449</v>
      </c>
      <c r="J1175" s="7">
        <v>45560</v>
      </c>
      <c r="K1175" s="1" t="s">
        <v>7449</v>
      </c>
    </row>
    <row r="1176" spans="1:11" x14ac:dyDescent="0.25">
      <c r="A1176" s="1">
        <v>1175</v>
      </c>
      <c r="B1176" s="1" t="s">
        <v>3558</v>
      </c>
      <c r="C1176" s="1" t="s">
        <v>3559</v>
      </c>
      <c r="F1176" s="1" t="s">
        <v>3560</v>
      </c>
      <c r="G1176" s="1">
        <v>1</v>
      </c>
      <c r="H1176" s="7">
        <v>45560</v>
      </c>
      <c r="I1176" s="1" t="s">
        <v>7449</v>
      </c>
      <c r="J1176" s="7">
        <v>45560</v>
      </c>
      <c r="K1176" s="1" t="s">
        <v>7449</v>
      </c>
    </row>
    <row r="1177" spans="1:11" x14ac:dyDescent="0.25">
      <c r="A1177" s="1">
        <v>1176</v>
      </c>
      <c r="B1177" s="1" t="s">
        <v>3561</v>
      </c>
      <c r="C1177" s="1" t="s">
        <v>3562</v>
      </c>
      <c r="F1177" s="1" t="s">
        <v>3563</v>
      </c>
      <c r="G1177" s="1">
        <v>1</v>
      </c>
      <c r="H1177" s="7">
        <v>45560</v>
      </c>
      <c r="I1177" s="1" t="s">
        <v>7449</v>
      </c>
      <c r="J1177" s="7">
        <v>45560</v>
      </c>
      <c r="K1177" s="1" t="s">
        <v>7449</v>
      </c>
    </row>
    <row r="1178" spans="1:11" x14ac:dyDescent="0.25">
      <c r="A1178" s="1">
        <v>1177</v>
      </c>
      <c r="B1178" s="1" t="s">
        <v>3564</v>
      </c>
      <c r="C1178" s="1" t="s">
        <v>3565</v>
      </c>
      <c r="F1178" s="1" t="s">
        <v>3566</v>
      </c>
      <c r="G1178" s="1">
        <v>1</v>
      </c>
      <c r="H1178" s="7">
        <v>45560</v>
      </c>
      <c r="I1178" s="1" t="s">
        <v>7449</v>
      </c>
      <c r="J1178" s="7">
        <v>45560</v>
      </c>
      <c r="K1178" s="1" t="s">
        <v>7449</v>
      </c>
    </row>
    <row r="1179" spans="1:11" x14ac:dyDescent="0.25">
      <c r="A1179" s="1">
        <v>1178</v>
      </c>
      <c r="B1179" s="1" t="s">
        <v>3567</v>
      </c>
      <c r="C1179" s="1" t="s">
        <v>3568</v>
      </c>
      <c r="F1179" s="1" t="s">
        <v>3569</v>
      </c>
      <c r="G1179" s="1">
        <v>1</v>
      </c>
      <c r="H1179" s="7">
        <v>45560</v>
      </c>
      <c r="I1179" s="1" t="s">
        <v>7449</v>
      </c>
      <c r="J1179" s="7">
        <v>45560</v>
      </c>
      <c r="K1179" s="1" t="s">
        <v>7449</v>
      </c>
    </row>
    <row r="1180" spans="1:11" x14ac:dyDescent="0.25">
      <c r="A1180" s="1">
        <v>1179</v>
      </c>
      <c r="B1180" s="1" t="s">
        <v>3570</v>
      </c>
      <c r="C1180" s="1" t="s">
        <v>3571</v>
      </c>
      <c r="F1180" s="1" t="s">
        <v>3572</v>
      </c>
      <c r="G1180" s="1">
        <v>1</v>
      </c>
      <c r="H1180" s="7">
        <v>45560</v>
      </c>
      <c r="I1180" s="1" t="s">
        <v>7449</v>
      </c>
      <c r="J1180" s="7">
        <v>45560</v>
      </c>
      <c r="K1180" s="1" t="s">
        <v>7449</v>
      </c>
    </row>
    <row r="1181" spans="1:11" x14ac:dyDescent="0.25">
      <c r="A1181" s="1">
        <v>1180</v>
      </c>
      <c r="B1181" s="1" t="s">
        <v>3573</v>
      </c>
      <c r="C1181" s="1" t="s">
        <v>3574</v>
      </c>
      <c r="F1181" s="1" t="s">
        <v>3575</v>
      </c>
      <c r="G1181" s="1">
        <v>1</v>
      </c>
      <c r="H1181" s="7">
        <v>45560</v>
      </c>
      <c r="I1181" s="1" t="s">
        <v>7449</v>
      </c>
      <c r="J1181" s="7">
        <v>45560</v>
      </c>
      <c r="K1181" s="1" t="s">
        <v>7449</v>
      </c>
    </row>
    <row r="1182" spans="1:11" x14ac:dyDescent="0.25">
      <c r="A1182" s="1">
        <v>1181</v>
      </c>
      <c r="B1182" s="1" t="s">
        <v>3576</v>
      </c>
      <c r="C1182" s="1" t="s">
        <v>3577</v>
      </c>
      <c r="F1182" s="1" t="s">
        <v>3578</v>
      </c>
      <c r="G1182" s="1">
        <v>1</v>
      </c>
      <c r="H1182" s="7">
        <v>45560</v>
      </c>
      <c r="I1182" s="1" t="s">
        <v>7449</v>
      </c>
      <c r="J1182" s="7">
        <v>45560</v>
      </c>
      <c r="K1182" s="1" t="s">
        <v>7449</v>
      </c>
    </row>
    <row r="1183" spans="1:11" x14ac:dyDescent="0.25">
      <c r="A1183" s="1">
        <v>1182</v>
      </c>
      <c r="B1183" s="1" t="s">
        <v>3579</v>
      </c>
      <c r="C1183" s="1" t="s">
        <v>3580</v>
      </c>
      <c r="F1183" s="1" t="s">
        <v>3581</v>
      </c>
      <c r="G1183" s="1">
        <v>1</v>
      </c>
      <c r="H1183" s="7">
        <v>45560</v>
      </c>
      <c r="I1183" s="1" t="s">
        <v>7449</v>
      </c>
      <c r="J1183" s="7">
        <v>45560</v>
      </c>
      <c r="K1183" s="1" t="s">
        <v>7449</v>
      </c>
    </row>
    <row r="1184" spans="1:11" x14ac:dyDescent="0.25">
      <c r="A1184" s="1">
        <v>1183</v>
      </c>
      <c r="B1184" s="1" t="s">
        <v>3582</v>
      </c>
      <c r="C1184" s="1" t="s">
        <v>3583</v>
      </c>
      <c r="F1184" s="1" t="s">
        <v>3584</v>
      </c>
      <c r="G1184" s="1">
        <v>1</v>
      </c>
      <c r="H1184" s="7">
        <v>45560</v>
      </c>
      <c r="I1184" s="1" t="s">
        <v>7449</v>
      </c>
      <c r="J1184" s="7">
        <v>45560</v>
      </c>
      <c r="K1184" s="1" t="s">
        <v>7449</v>
      </c>
    </row>
    <row r="1185" spans="1:11" x14ac:dyDescent="0.25">
      <c r="A1185" s="1">
        <v>1184</v>
      </c>
      <c r="B1185" s="1" t="s">
        <v>3585</v>
      </c>
      <c r="C1185" s="1" t="s">
        <v>3586</v>
      </c>
      <c r="F1185" s="1" t="s">
        <v>3587</v>
      </c>
      <c r="G1185" s="1">
        <v>1</v>
      </c>
      <c r="H1185" s="7">
        <v>45560</v>
      </c>
      <c r="I1185" s="1" t="s">
        <v>7449</v>
      </c>
      <c r="J1185" s="7">
        <v>45560</v>
      </c>
      <c r="K1185" s="1" t="s">
        <v>7449</v>
      </c>
    </row>
    <row r="1186" spans="1:11" x14ac:dyDescent="0.25">
      <c r="A1186" s="1">
        <v>1185</v>
      </c>
      <c r="B1186" s="1" t="s">
        <v>3588</v>
      </c>
      <c r="C1186" s="1" t="s">
        <v>3589</v>
      </c>
      <c r="F1186" s="1" t="s">
        <v>3590</v>
      </c>
      <c r="G1186" s="1">
        <v>1</v>
      </c>
      <c r="H1186" s="7">
        <v>45560</v>
      </c>
      <c r="I1186" s="1" t="s">
        <v>7449</v>
      </c>
      <c r="J1186" s="7">
        <v>45560</v>
      </c>
      <c r="K1186" s="1" t="s">
        <v>7449</v>
      </c>
    </row>
    <row r="1187" spans="1:11" x14ac:dyDescent="0.25">
      <c r="A1187" s="1">
        <v>1186</v>
      </c>
      <c r="B1187" s="1" t="s">
        <v>3591</v>
      </c>
      <c r="C1187" s="1" t="s">
        <v>3592</v>
      </c>
      <c r="F1187" s="1" t="s">
        <v>3593</v>
      </c>
      <c r="G1187" s="1">
        <v>1</v>
      </c>
      <c r="H1187" s="7">
        <v>45560</v>
      </c>
      <c r="I1187" s="1" t="s">
        <v>7449</v>
      </c>
      <c r="J1187" s="7">
        <v>45560</v>
      </c>
      <c r="K1187" s="1" t="s">
        <v>7449</v>
      </c>
    </row>
    <row r="1188" spans="1:11" x14ac:dyDescent="0.25">
      <c r="A1188" s="1">
        <v>1187</v>
      </c>
      <c r="B1188" s="1" t="s">
        <v>3594</v>
      </c>
      <c r="C1188" s="1" t="s">
        <v>3595</v>
      </c>
      <c r="F1188" s="1" t="s">
        <v>3596</v>
      </c>
      <c r="G1188" s="1">
        <v>1</v>
      </c>
      <c r="H1188" s="7">
        <v>45560</v>
      </c>
      <c r="I1188" s="1" t="s">
        <v>7449</v>
      </c>
      <c r="J1188" s="7">
        <v>45560</v>
      </c>
      <c r="K1188" s="1" t="s">
        <v>7449</v>
      </c>
    </row>
    <row r="1189" spans="1:11" x14ac:dyDescent="0.25">
      <c r="A1189" s="1">
        <v>1188</v>
      </c>
      <c r="B1189" s="1" t="s">
        <v>3597</v>
      </c>
      <c r="C1189" s="1" t="s">
        <v>3598</v>
      </c>
      <c r="F1189" s="1" t="s">
        <v>3599</v>
      </c>
      <c r="G1189" s="1">
        <v>1</v>
      </c>
      <c r="H1189" s="7">
        <v>45560</v>
      </c>
      <c r="I1189" s="1" t="s">
        <v>7449</v>
      </c>
      <c r="J1189" s="7">
        <v>45560</v>
      </c>
      <c r="K1189" s="1" t="s">
        <v>7449</v>
      </c>
    </row>
    <row r="1190" spans="1:11" x14ac:dyDescent="0.25">
      <c r="A1190" s="1">
        <v>1189</v>
      </c>
      <c r="B1190" s="1" t="s">
        <v>3600</v>
      </c>
      <c r="C1190" s="1" t="s">
        <v>3601</v>
      </c>
      <c r="F1190" s="1" t="s">
        <v>3602</v>
      </c>
      <c r="G1190" s="1">
        <v>1</v>
      </c>
      <c r="H1190" s="7">
        <v>45560</v>
      </c>
      <c r="I1190" s="1" t="s">
        <v>7449</v>
      </c>
      <c r="J1190" s="7">
        <v>45560</v>
      </c>
      <c r="K1190" s="1" t="s">
        <v>7449</v>
      </c>
    </row>
    <row r="1191" spans="1:11" x14ac:dyDescent="0.25">
      <c r="A1191" s="1">
        <v>1190</v>
      </c>
      <c r="B1191" s="1" t="s">
        <v>3603</v>
      </c>
      <c r="C1191" s="1" t="s">
        <v>3604</v>
      </c>
      <c r="F1191" s="1" t="s">
        <v>3605</v>
      </c>
      <c r="G1191" s="1">
        <v>1</v>
      </c>
      <c r="H1191" s="7">
        <v>45560</v>
      </c>
      <c r="I1191" s="1" t="s">
        <v>7449</v>
      </c>
      <c r="J1191" s="7">
        <v>45560</v>
      </c>
      <c r="K1191" s="1" t="s">
        <v>7449</v>
      </c>
    </row>
    <row r="1192" spans="1:11" x14ac:dyDescent="0.25">
      <c r="A1192" s="1">
        <v>1191</v>
      </c>
      <c r="B1192" s="1" t="s">
        <v>3606</v>
      </c>
      <c r="C1192" s="1" t="s">
        <v>3607</v>
      </c>
      <c r="D1192" s="1" t="s">
        <v>3608</v>
      </c>
      <c r="F1192" s="1" t="s">
        <v>3609</v>
      </c>
      <c r="G1192" s="1">
        <v>1</v>
      </c>
      <c r="H1192" s="7">
        <v>45560</v>
      </c>
      <c r="I1192" s="1" t="s">
        <v>7449</v>
      </c>
      <c r="J1192" s="7">
        <v>45560</v>
      </c>
      <c r="K1192" s="1" t="s">
        <v>7449</v>
      </c>
    </row>
    <row r="1193" spans="1:11" x14ac:dyDescent="0.25">
      <c r="A1193" s="1">
        <v>1192</v>
      </c>
      <c r="B1193" s="1" t="s">
        <v>3610</v>
      </c>
      <c r="C1193" s="1" t="s">
        <v>3611</v>
      </c>
      <c r="F1193" s="1" t="s">
        <v>3612</v>
      </c>
      <c r="G1193" s="1">
        <v>1</v>
      </c>
      <c r="H1193" s="7">
        <v>45560</v>
      </c>
      <c r="I1193" s="1" t="s">
        <v>7449</v>
      </c>
      <c r="J1193" s="7">
        <v>45560</v>
      </c>
      <c r="K1193" s="1" t="s">
        <v>7449</v>
      </c>
    </row>
    <row r="1194" spans="1:11" x14ac:dyDescent="0.25">
      <c r="A1194" s="1">
        <v>1193</v>
      </c>
      <c r="B1194" s="1" t="s">
        <v>3613</v>
      </c>
      <c r="C1194" s="1" t="s">
        <v>3614</v>
      </c>
      <c r="F1194" s="1" t="s">
        <v>3615</v>
      </c>
      <c r="G1194" s="1">
        <v>1</v>
      </c>
      <c r="H1194" s="7">
        <v>45560</v>
      </c>
      <c r="I1194" s="1" t="s">
        <v>7449</v>
      </c>
      <c r="J1194" s="7">
        <v>45560</v>
      </c>
      <c r="K1194" s="1" t="s">
        <v>7449</v>
      </c>
    </row>
    <row r="1195" spans="1:11" x14ac:dyDescent="0.25">
      <c r="A1195" s="1">
        <v>1194</v>
      </c>
      <c r="B1195" s="1" t="s">
        <v>3616</v>
      </c>
      <c r="C1195" s="1" t="s">
        <v>3617</v>
      </c>
      <c r="F1195" s="1" t="s">
        <v>3618</v>
      </c>
      <c r="G1195" s="1">
        <v>1</v>
      </c>
      <c r="H1195" s="7">
        <v>45560</v>
      </c>
      <c r="I1195" s="1" t="s">
        <v>7449</v>
      </c>
      <c r="J1195" s="7">
        <v>45560</v>
      </c>
      <c r="K1195" s="1" t="s">
        <v>7449</v>
      </c>
    </row>
    <row r="1196" spans="1:11" x14ac:dyDescent="0.25">
      <c r="A1196" s="1">
        <v>1195</v>
      </c>
      <c r="B1196" s="1" t="s">
        <v>3619</v>
      </c>
      <c r="C1196" s="1" t="s">
        <v>3620</v>
      </c>
      <c r="F1196" s="1" t="s">
        <v>3621</v>
      </c>
      <c r="G1196" s="1">
        <v>1</v>
      </c>
      <c r="H1196" s="7">
        <v>45560</v>
      </c>
      <c r="I1196" s="1" t="s">
        <v>7449</v>
      </c>
      <c r="J1196" s="7">
        <v>45560</v>
      </c>
      <c r="K1196" s="1" t="s">
        <v>7449</v>
      </c>
    </row>
    <row r="1197" spans="1:11" x14ac:dyDescent="0.25">
      <c r="A1197" s="1">
        <v>1196</v>
      </c>
      <c r="B1197" s="1" t="s">
        <v>3622</v>
      </c>
      <c r="C1197" s="1" t="s">
        <v>3623</v>
      </c>
      <c r="F1197" s="1" t="s">
        <v>3624</v>
      </c>
      <c r="G1197" s="1">
        <v>1</v>
      </c>
      <c r="H1197" s="7">
        <v>45560</v>
      </c>
      <c r="I1197" s="1" t="s">
        <v>7449</v>
      </c>
      <c r="J1197" s="7">
        <v>45560</v>
      </c>
      <c r="K1197" s="1" t="s">
        <v>7449</v>
      </c>
    </row>
    <row r="1198" spans="1:11" x14ac:dyDescent="0.25">
      <c r="A1198" s="1">
        <v>1197</v>
      </c>
      <c r="B1198" s="1" t="s">
        <v>3625</v>
      </c>
      <c r="C1198" s="1" t="s">
        <v>3626</v>
      </c>
      <c r="D1198" s="1" t="s">
        <v>3627</v>
      </c>
      <c r="F1198" s="1" t="s">
        <v>3628</v>
      </c>
      <c r="G1198" s="1">
        <v>1</v>
      </c>
      <c r="H1198" s="7">
        <v>45560</v>
      </c>
      <c r="I1198" s="1" t="s">
        <v>7449</v>
      </c>
      <c r="J1198" s="7">
        <v>45560</v>
      </c>
      <c r="K1198" s="1" t="s">
        <v>7449</v>
      </c>
    </row>
    <row r="1199" spans="1:11" x14ac:dyDescent="0.25">
      <c r="A1199" s="1">
        <v>1198</v>
      </c>
      <c r="B1199" s="1" t="s">
        <v>3629</v>
      </c>
      <c r="C1199" s="1" t="s">
        <v>3630</v>
      </c>
      <c r="F1199" s="1" t="s">
        <v>3631</v>
      </c>
      <c r="G1199" s="1">
        <v>1</v>
      </c>
      <c r="H1199" s="7">
        <v>45560</v>
      </c>
      <c r="I1199" s="1" t="s">
        <v>7449</v>
      </c>
      <c r="J1199" s="7">
        <v>45560</v>
      </c>
      <c r="K1199" s="1" t="s">
        <v>7449</v>
      </c>
    </row>
    <row r="1200" spans="1:11" x14ac:dyDescent="0.25">
      <c r="A1200" s="1">
        <v>1199</v>
      </c>
      <c r="B1200" s="1" t="s">
        <v>3632</v>
      </c>
      <c r="C1200" s="1" t="s">
        <v>3633</v>
      </c>
      <c r="F1200" s="1" t="s">
        <v>3634</v>
      </c>
      <c r="G1200" s="1">
        <v>1</v>
      </c>
      <c r="H1200" s="7">
        <v>45560</v>
      </c>
      <c r="I1200" s="1" t="s">
        <v>7449</v>
      </c>
      <c r="J1200" s="7">
        <v>45560</v>
      </c>
      <c r="K1200" s="1" t="s">
        <v>7449</v>
      </c>
    </row>
    <row r="1201" spans="1:11" x14ac:dyDescent="0.25">
      <c r="A1201" s="1">
        <v>1200</v>
      </c>
      <c r="B1201" s="1" t="s">
        <v>3635</v>
      </c>
      <c r="C1201" s="1" t="s">
        <v>3636</v>
      </c>
      <c r="F1201" s="1" t="s">
        <v>3637</v>
      </c>
      <c r="G1201" s="1">
        <v>1</v>
      </c>
      <c r="H1201" s="7">
        <v>45560</v>
      </c>
      <c r="I1201" s="1" t="s">
        <v>7449</v>
      </c>
      <c r="J1201" s="7">
        <v>45560</v>
      </c>
      <c r="K1201" s="1" t="s">
        <v>7449</v>
      </c>
    </row>
    <row r="1202" spans="1:11" x14ac:dyDescent="0.25">
      <c r="A1202" s="1">
        <v>1201</v>
      </c>
      <c r="B1202" s="1" t="s">
        <v>3638</v>
      </c>
      <c r="C1202" s="1" t="s">
        <v>3639</v>
      </c>
      <c r="E1202" s="1" t="s">
        <v>73</v>
      </c>
      <c r="F1202" s="1" t="s">
        <v>3640</v>
      </c>
      <c r="G1202" s="1">
        <v>1</v>
      </c>
      <c r="H1202" s="7">
        <v>45560</v>
      </c>
      <c r="I1202" s="1" t="s">
        <v>7449</v>
      </c>
      <c r="J1202" s="7">
        <v>45560</v>
      </c>
      <c r="K1202" s="1" t="s">
        <v>7449</v>
      </c>
    </row>
    <row r="1203" spans="1:11" x14ac:dyDescent="0.25">
      <c r="A1203" s="1">
        <v>1202</v>
      </c>
      <c r="B1203" s="1" t="s">
        <v>3641</v>
      </c>
      <c r="C1203" s="1" t="s">
        <v>3642</v>
      </c>
      <c r="F1203" s="1" t="s">
        <v>3643</v>
      </c>
      <c r="G1203" s="1">
        <v>1</v>
      </c>
      <c r="H1203" s="7">
        <v>45560</v>
      </c>
      <c r="I1203" s="1" t="s">
        <v>7449</v>
      </c>
      <c r="J1203" s="7">
        <v>45560</v>
      </c>
      <c r="K1203" s="1" t="s">
        <v>7449</v>
      </c>
    </row>
    <row r="1204" spans="1:11" x14ac:dyDescent="0.25">
      <c r="A1204" s="1">
        <v>1203</v>
      </c>
      <c r="B1204" s="1" t="s">
        <v>3644</v>
      </c>
      <c r="C1204" s="1" t="s">
        <v>3645</v>
      </c>
      <c r="F1204" s="1" t="s">
        <v>3646</v>
      </c>
      <c r="G1204" s="1">
        <v>1</v>
      </c>
      <c r="H1204" s="7">
        <v>45560</v>
      </c>
      <c r="I1204" s="1" t="s">
        <v>7449</v>
      </c>
      <c r="J1204" s="7">
        <v>45560</v>
      </c>
      <c r="K1204" s="1" t="s">
        <v>7449</v>
      </c>
    </row>
    <row r="1205" spans="1:11" x14ac:dyDescent="0.25">
      <c r="A1205" s="1">
        <v>1204</v>
      </c>
      <c r="B1205" s="1" t="s">
        <v>3647</v>
      </c>
      <c r="C1205" s="1" t="s">
        <v>3648</v>
      </c>
      <c r="F1205" s="1" t="s">
        <v>3649</v>
      </c>
      <c r="G1205" s="1">
        <v>1</v>
      </c>
      <c r="H1205" s="7">
        <v>45560</v>
      </c>
      <c r="I1205" s="1" t="s">
        <v>7449</v>
      </c>
      <c r="J1205" s="7">
        <v>45560</v>
      </c>
      <c r="K1205" s="1" t="s">
        <v>7449</v>
      </c>
    </row>
    <row r="1206" spans="1:11" x14ac:dyDescent="0.25">
      <c r="A1206" s="1">
        <v>1205</v>
      </c>
      <c r="B1206" s="1" t="s">
        <v>3650</v>
      </c>
      <c r="C1206" s="1" t="s">
        <v>3651</v>
      </c>
      <c r="F1206" s="1" t="s">
        <v>3652</v>
      </c>
      <c r="G1206" s="1">
        <v>1</v>
      </c>
      <c r="H1206" s="7">
        <v>45560</v>
      </c>
      <c r="I1206" s="1" t="s">
        <v>7449</v>
      </c>
      <c r="J1206" s="7">
        <v>45560</v>
      </c>
      <c r="K1206" s="1" t="s">
        <v>7449</v>
      </c>
    </row>
    <row r="1207" spans="1:11" x14ac:dyDescent="0.25">
      <c r="A1207" s="1">
        <v>1206</v>
      </c>
      <c r="B1207" s="1" t="s">
        <v>3653</v>
      </c>
      <c r="C1207" s="1" t="s">
        <v>3654</v>
      </c>
      <c r="E1207" s="1" t="s">
        <v>73</v>
      </c>
      <c r="F1207" s="1" t="s">
        <v>3655</v>
      </c>
      <c r="G1207" s="1">
        <v>1</v>
      </c>
      <c r="H1207" s="7">
        <v>45560</v>
      </c>
      <c r="I1207" s="1" t="s">
        <v>7449</v>
      </c>
      <c r="J1207" s="7">
        <v>45560</v>
      </c>
      <c r="K1207" s="1" t="s">
        <v>7449</v>
      </c>
    </row>
    <row r="1208" spans="1:11" x14ac:dyDescent="0.25">
      <c r="A1208" s="1">
        <v>1207</v>
      </c>
      <c r="B1208" s="1" t="s">
        <v>3656</v>
      </c>
      <c r="C1208" s="1" t="s">
        <v>3657</v>
      </c>
      <c r="F1208" s="1" t="s">
        <v>3658</v>
      </c>
      <c r="G1208" s="1">
        <v>1</v>
      </c>
      <c r="H1208" s="7">
        <v>45560</v>
      </c>
      <c r="I1208" s="1" t="s">
        <v>7449</v>
      </c>
      <c r="J1208" s="7">
        <v>45560</v>
      </c>
      <c r="K1208" s="1" t="s">
        <v>7449</v>
      </c>
    </row>
    <row r="1209" spans="1:11" x14ac:dyDescent="0.25">
      <c r="A1209" s="1">
        <v>1208</v>
      </c>
      <c r="B1209" s="1" t="s">
        <v>3659</v>
      </c>
      <c r="C1209" s="1" t="s">
        <v>3660</v>
      </c>
      <c r="F1209" s="1" t="s">
        <v>3661</v>
      </c>
      <c r="G1209" s="1">
        <v>1</v>
      </c>
      <c r="H1209" s="7">
        <v>45560</v>
      </c>
      <c r="I1209" s="1" t="s">
        <v>7449</v>
      </c>
      <c r="J1209" s="7">
        <v>45560</v>
      </c>
      <c r="K1209" s="1" t="s">
        <v>7449</v>
      </c>
    </row>
    <row r="1210" spans="1:11" x14ac:dyDescent="0.25">
      <c r="A1210" s="1">
        <v>1209</v>
      </c>
      <c r="B1210" s="1" t="s">
        <v>3662</v>
      </c>
      <c r="C1210" s="1" t="s">
        <v>3663</v>
      </c>
      <c r="F1210" s="1" t="s">
        <v>3664</v>
      </c>
      <c r="G1210" s="1">
        <v>1</v>
      </c>
      <c r="H1210" s="7">
        <v>45560</v>
      </c>
      <c r="I1210" s="1" t="s">
        <v>7449</v>
      </c>
      <c r="J1210" s="7">
        <v>45560</v>
      </c>
      <c r="K1210" s="1" t="s">
        <v>7449</v>
      </c>
    </row>
    <row r="1211" spans="1:11" x14ac:dyDescent="0.25">
      <c r="A1211" s="1">
        <v>1210</v>
      </c>
      <c r="B1211" s="1" t="s">
        <v>3665</v>
      </c>
      <c r="C1211" s="1" t="s">
        <v>3666</v>
      </c>
      <c r="F1211" s="1" t="s">
        <v>3667</v>
      </c>
      <c r="G1211" s="1">
        <v>1</v>
      </c>
      <c r="H1211" s="7">
        <v>45560</v>
      </c>
      <c r="I1211" s="1" t="s">
        <v>7449</v>
      </c>
      <c r="J1211" s="7">
        <v>45560</v>
      </c>
      <c r="K1211" s="1" t="s">
        <v>7449</v>
      </c>
    </row>
    <row r="1212" spans="1:11" x14ac:dyDescent="0.25">
      <c r="A1212" s="1">
        <v>1211</v>
      </c>
      <c r="B1212" s="1" t="s">
        <v>3668</v>
      </c>
      <c r="C1212" s="1" t="s">
        <v>3669</v>
      </c>
      <c r="F1212" s="1" t="s">
        <v>3670</v>
      </c>
      <c r="G1212" s="1">
        <v>1</v>
      </c>
      <c r="H1212" s="7">
        <v>45560</v>
      </c>
      <c r="I1212" s="1" t="s">
        <v>7449</v>
      </c>
      <c r="J1212" s="7">
        <v>45560</v>
      </c>
      <c r="K1212" s="1" t="s">
        <v>7449</v>
      </c>
    </row>
    <row r="1213" spans="1:11" x14ac:dyDescent="0.25">
      <c r="A1213" s="1">
        <v>1212</v>
      </c>
      <c r="B1213" s="1" t="s">
        <v>3671</v>
      </c>
      <c r="C1213" s="1" t="s">
        <v>3672</v>
      </c>
      <c r="E1213" s="1" t="s">
        <v>52</v>
      </c>
      <c r="G1213" s="1">
        <v>1</v>
      </c>
      <c r="H1213" s="7">
        <v>45560</v>
      </c>
      <c r="I1213" s="1" t="s">
        <v>7449</v>
      </c>
      <c r="J1213" s="7">
        <v>45560</v>
      </c>
      <c r="K1213" s="1" t="s">
        <v>7449</v>
      </c>
    </row>
    <row r="1214" spans="1:11" x14ac:dyDescent="0.25">
      <c r="A1214" s="1">
        <v>1213</v>
      </c>
      <c r="B1214" s="1" t="s">
        <v>3673</v>
      </c>
      <c r="C1214" s="1" t="s">
        <v>3674</v>
      </c>
      <c r="D1214" s="1" t="s">
        <v>3675</v>
      </c>
      <c r="F1214" s="1" t="s">
        <v>3676</v>
      </c>
      <c r="G1214" s="1">
        <v>1</v>
      </c>
      <c r="H1214" s="7">
        <v>45560</v>
      </c>
      <c r="I1214" s="1" t="s">
        <v>7449</v>
      </c>
      <c r="J1214" s="7">
        <v>45560</v>
      </c>
      <c r="K1214" s="1" t="s">
        <v>7449</v>
      </c>
    </row>
    <row r="1215" spans="1:11" x14ac:dyDescent="0.25">
      <c r="A1215" s="1">
        <v>1214</v>
      </c>
      <c r="B1215" s="1" t="s">
        <v>3677</v>
      </c>
      <c r="C1215" s="1" t="s">
        <v>3678</v>
      </c>
      <c r="F1215" s="1" t="s">
        <v>3679</v>
      </c>
      <c r="G1215" s="1">
        <v>1</v>
      </c>
      <c r="H1215" s="7">
        <v>45560</v>
      </c>
      <c r="I1215" s="1" t="s">
        <v>7449</v>
      </c>
      <c r="J1215" s="7">
        <v>45560</v>
      </c>
      <c r="K1215" s="1" t="s">
        <v>7449</v>
      </c>
    </row>
    <row r="1216" spans="1:11" x14ac:dyDescent="0.25">
      <c r="A1216" s="1">
        <v>1215</v>
      </c>
      <c r="B1216" s="1" t="s">
        <v>3680</v>
      </c>
      <c r="C1216" s="1" t="s">
        <v>3681</v>
      </c>
      <c r="F1216" s="1" t="s">
        <v>3682</v>
      </c>
      <c r="G1216" s="1">
        <v>1</v>
      </c>
      <c r="H1216" s="7">
        <v>45560</v>
      </c>
      <c r="I1216" s="1" t="s">
        <v>7449</v>
      </c>
      <c r="J1216" s="7">
        <v>45560</v>
      </c>
      <c r="K1216" s="1" t="s">
        <v>7449</v>
      </c>
    </row>
    <row r="1217" spans="1:11" x14ac:dyDescent="0.25">
      <c r="A1217" s="1">
        <v>1216</v>
      </c>
      <c r="B1217" s="1" t="s">
        <v>3683</v>
      </c>
      <c r="C1217" s="1" t="s">
        <v>3684</v>
      </c>
      <c r="D1217" s="1" t="s">
        <v>3685</v>
      </c>
      <c r="G1217" s="1">
        <v>1</v>
      </c>
      <c r="H1217" s="7">
        <v>45560</v>
      </c>
      <c r="I1217" s="1" t="s">
        <v>7449</v>
      </c>
      <c r="J1217" s="7">
        <v>45560</v>
      </c>
      <c r="K1217" s="1" t="s">
        <v>7449</v>
      </c>
    </row>
    <row r="1218" spans="1:11" x14ac:dyDescent="0.25">
      <c r="A1218" s="1">
        <v>1217</v>
      </c>
      <c r="B1218" s="1" t="s">
        <v>3686</v>
      </c>
      <c r="C1218" s="1" t="s">
        <v>3687</v>
      </c>
      <c r="E1218" s="1" t="s">
        <v>52</v>
      </c>
      <c r="G1218" s="1">
        <v>1</v>
      </c>
      <c r="H1218" s="7">
        <v>45560</v>
      </c>
      <c r="I1218" s="1" t="s">
        <v>7449</v>
      </c>
      <c r="J1218" s="7">
        <v>45560</v>
      </c>
      <c r="K1218" s="1" t="s">
        <v>7449</v>
      </c>
    </row>
    <row r="1219" spans="1:11" x14ac:dyDescent="0.25">
      <c r="A1219" s="1">
        <v>1218</v>
      </c>
      <c r="B1219" s="1" t="s">
        <v>3688</v>
      </c>
      <c r="C1219" s="1" t="s">
        <v>3689</v>
      </c>
      <c r="D1219" s="1" t="s">
        <v>3690</v>
      </c>
      <c r="F1219" s="1" t="s">
        <v>3691</v>
      </c>
      <c r="G1219" s="1">
        <v>1</v>
      </c>
      <c r="H1219" s="7">
        <v>45560</v>
      </c>
      <c r="I1219" s="1" t="s">
        <v>7449</v>
      </c>
      <c r="J1219" s="7">
        <v>45560</v>
      </c>
      <c r="K1219" s="1" t="s">
        <v>7449</v>
      </c>
    </row>
    <row r="1220" spans="1:11" x14ac:dyDescent="0.25">
      <c r="A1220" s="1">
        <v>1219</v>
      </c>
      <c r="B1220" s="1" t="s">
        <v>3692</v>
      </c>
      <c r="C1220" s="1" t="s">
        <v>3693</v>
      </c>
      <c r="D1220" s="1" t="s">
        <v>3694</v>
      </c>
      <c r="G1220" s="1">
        <v>1</v>
      </c>
      <c r="H1220" s="7">
        <v>45560</v>
      </c>
      <c r="I1220" s="1" t="s">
        <v>7449</v>
      </c>
      <c r="J1220" s="7">
        <v>45560</v>
      </c>
      <c r="K1220" s="1" t="s">
        <v>7449</v>
      </c>
    </row>
    <row r="1221" spans="1:11" x14ac:dyDescent="0.25">
      <c r="A1221" s="1">
        <v>1220</v>
      </c>
      <c r="B1221" s="1" t="s">
        <v>3695</v>
      </c>
      <c r="C1221" s="1" t="s">
        <v>3696</v>
      </c>
      <c r="D1221" s="1" t="s">
        <v>3697</v>
      </c>
      <c r="G1221" s="1">
        <v>1</v>
      </c>
      <c r="H1221" s="7">
        <v>45560</v>
      </c>
      <c r="I1221" s="1" t="s">
        <v>7449</v>
      </c>
      <c r="J1221" s="7">
        <v>45560</v>
      </c>
      <c r="K1221" s="1" t="s">
        <v>7449</v>
      </c>
    </row>
    <row r="1222" spans="1:11" x14ac:dyDescent="0.25">
      <c r="A1222" s="1">
        <v>1221</v>
      </c>
      <c r="B1222" s="1" t="s">
        <v>3698</v>
      </c>
      <c r="C1222" s="1" t="s">
        <v>3699</v>
      </c>
      <c r="D1222" s="1" t="s">
        <v>3700</v>
      </c>
      <c r="G1222" s="1">
        <v>1</v>
      </c>
      <c r="H1222" s="7">
        <v>45560</v>
      </c>
      <c r="I1222" s="1" t="s">
        <v>7449</v>
      </c>
      <c r="J1222" s="7">
        <v>45560</v>
      </c>
      <c r="K1222" s="1" t="s">
        <v>7449</v>
      </c>
    </row>
    <row r="1223" spans="1:11" x14ac:dyDescent="0.25">
      <c r="A1223" s="1">
        <v>1222</v>
      </c>
      <c r="B1223" s="1" t="s">
        <v>3701</v>
      </c>
      <c r="C1223" s="1" t="s">
        <v>3702</v>
      </c>
      <c r="F1223" s="1" t="s">
        <v>3703</v>
      </c>
      <c r="G1223" s="1">
        <v>1</v>
      </c>
      <c r="H1223" s="7">
        <v>45560</v>
      </c>
      <c r="I1223" s="1" t="s">
        <v>7449</v>
      </c>
      <c r="J1223" s="7">
        <v>45560</v>
      </c>
      <c r="K1223" s="1" t="s">
        <v>7449</v>
      </c>
    </row>
    <row r="1224" spans="1:11" x14ac:dyDescent="0.25">
      <c r="A1224" s="1">
        <v>1223</v>
      </c>
      <c r="B1224" s="1" t="s">
        <v>3704</v>
      </c>
      <c r="C1224" s="1" t="s">
        <v>3705</v>
      </c>
      <c r="F1224" s="1" t="s">
        <v>3706</v>
      </c>
      <c r="G1224" s="1">
        <v>1</v>
      </c>
      <c r="H1224" s="7">
        <v>45560</v>
      </c>
      <c r="I1224" s="1" t="s">
        <v>7449</v>
      </c>
      <c r="J1224" s="7">
        <v>45560</v>
      </c>
      <c r="K1224" s="1" t="s">
        <v>7449</v>
      </c>
    </row>
    <row r="1225" spans="1:11" x14ac:dyDescent="0.25">
      <c r="A1225" s="1">
        <v>1224</v>
      </c>
      <c r="B1225" s="1" t="s">
        <v>3707</v>
      </c>
      <c r="C1225" s="1" t="s">
        <v>3708</v>
      </c>
      <c r="F1225" s="1" t="s">
        <v>3709</v>
      </c>
      <c r="G1225" s="1">
        <v>1</v>
      </c>
      <c r="H1225" s="7">
        <v>45560</v>
      </c>
      <c r="I1225" s="1" t="s">
        <v>7449</v>
      </c>
      <c r="J1225" s="7">
        <v>45560</v>
      </c>
      <c r="K1225" s="1" t="s">
        <v>7449</v>
      </c>
    </row>
    <row r="1226" spans="1:11" x14ac:dyDescent="0.25">
      <c r="A1226" s="1">
        <v>1225</v>
      </c>
      <c r="B1226" s="1" t="s">
        <v>3710</v>
      </c>
      <c r="C1226" s="1" t="s">
        <v>3711</v>
      </c>
      <c r="F1226" s="1" t="s">
        <v>3712</v>
      </c>
      <c r="G1226" s="1">
        <v>1</v>
      </c>
      <c r="H1226" s="7">
        <v>45560</v>
      </c>
      <c r="I1226" s="1" t="s">
        <v>7449</v>
      </c>
      <c r="J1226" s="7">
        <v>45560</v>
      </c>
      <c r="K1226" s="1" t="s">
        <v>7449</v>
      </c>
    </row>
    <row r="1227" spans="1:11" x14ac:dyDescent="0.25">
      <c r="A1227" s="1">
        <v>1226</v>
      </c>
      <c r="B1227" s="1" t="s">
        <v>3713</v>
      </c>
      <c r="C1227" s="1" t="s">
        <v>3714</v>
      </c>
      <c r="F1227" s="1" t="s">
        <v>3715</v>
      </c>
      <c r="G1227" s="1">
        <v>1</v>
      </c>
      <c r="H1227" s="7">
        <v>45560</v>
      </c>
      <c r="I1227" s="1" t="s">
        <v>7449</v>
      </c>
      <c r="J1227" s="7">
        <v>45560</v>
      </c>
      <c r="K1227" s="1" t="s">
        <v>7449</v>
      </c>
    </row>
    <row r="1228" spans="1:11" x14ac:dyDescent="0.25">
      <c r="A1228" s="1">
        <v>1227</v>
      </c>
      <c r="B1228" s="1" t="s">
        <v>3716</v>
      </c>
      <c r="C1228" s="1" t="s">
        <v>3717</v>
      </c>
      <c r="F1228" s="1" t="s">
        <v>3718</v>
      </c>
      <c r="G1228" s="1">
        <v>1</v>
      </c>
      <c r="H1228" s="7">
        <v>45560</v>
      </c>
      <c r="I1228" s="1" t="s">
        <v>7449</v>
      </c>
      <c r="J1228" s="7">
        <v>45560</v>
      </c>
      <c r="K1228" s="1" t="s">
        <v>7449</v>
      </c>
    </row>
    <row r="1229" spans="1:11" x14ac:dyDescent="0.25">
      <c r="A1229" s="1">
        <v>1228</v>
      </c>
      <c r="B1229" s="1" t="s">
        <v>3719</v>
      </c>
      <c r="C1229" s="1" t="s">
        <v>3720</v>
      </c>
      <c r="F1229" s="1" t="s">
        <v>3721</v>
      </c>
      <c r="G1229" s="1">
        <v>1</v>
      </c>
      <c r="H1229" s="7">
        <v>45560</v>
      </c>
      <c r="I1229" s="1" t="s">
        <v>7449</v>
      </c>
      <c r="J1229" s="7">
        <v>45560</v>
      </c>
      <c r="K1229" s="1" t="s">
        <v>7449</v>
      </c>
    </row>
    <row r="1230" spans="1:11" x14ac:dyDescent="0.25">
      <c r="A1230" s="1">
        <v>1229</v>
      </c>
      <c r="B1230" s="1" t="s">
        <v>3722</v>
      </c>
      <c r="C1230" s="1" t="s">
        <v>3723</v>
      </c>
      <c r="F1230" s="1" t="s">
        <v>3724</v>
      </c>
      <c r="G1230" s="1">
        <v>1</v>
      </c>
      <c r="H1230" s="7">
        <v>45560</v>
      </c>
      <c r="I1230" s="1" t="s">
        <v>7449</v>
      </c>
      <c r="J1230" s="7">
        <v>45560</v>
      </c>
      <c r="K1230" s="1" t="s">
        <v>7449</v>
      </c>
    </row>
    <row r="1231" spans="1:11" x14ac:dyDescent="0.25">
      <c r="A1231" s="1">
        <v>1230</v>
      </c>
      <c r="B1231" s="1" t="s">
        <v>3725</v>
      </c>
      <c r="C1231" s="1" t="s">
        <v>3726</v>
      </c>
      <c r="F1231" s="1" t="s">
        <v>3727</v>
      </c>
      <c r="G1231" s="1">
        <v>1</v>
      </c>
      <c r="H1231" s="7">
        <v>45560</v>
      </c>
      <c r="I1231" s="1" t="s">
        <v>7449</v>
      </c>
      <c r="J1231" s="7">
        <v>45560</v>
      </c>
      <c r="K1231" s="1" t="s">
        <v>7449</v>
      </c>
    </row>
    <row r="1232" spans="1:11" x14ac:dyDescent="0.25">
      <c r="A1232" s="1">
        <v>1231</v>
      </c>
      <c r="B1232" s="1" t="s">
        <v>3728</v>
      </c>
      <c r="C1232" s="1" t="s">
        <v>3729</v>
      </c>
      <c r="F1232" s="1" t="s">
        <v>3730</v>
      </c>
      <c r="G1232" s="1">
        <v>1</v>
      </c>
      <c r="H1232" s="7">
        <v>45560</v>
      </c>
      <c r="I1232" s="1" t="s">
        <v>7449</v>
      </c>
      <c r="J1232" s="7">
        <v>45560</v>
      </c>
      <c r="K1232" s="1" t="s">
        <v>7449</v>
      </c>
    </row>
    <row r="1233" spans="1:11" x14ac:dyDescent="0.25">
      <c r="A1233" s="1">
        <v>1232</v>
      </c>
      <c r="B1233" s="1" t="s">
        <v>3731</v>
      </c>
      <c r="C1233" s="1" t="s">
        <v>3732</v>
      </c>
      <c r="D1233" s="1" t="s">
        <v>3733</v>
      </c>
      <c r="G1233" s="1">
        <v>1</v>
      </c>
      <c r="H1233" s="7">
        <v>45560</v>
      </c>
      <c r="I1233" s="1" t="s">
        <v>7449</v>
      </c>
      <c r="J1233" s="7">
        <v>45560</v>
      </c>
      <c r="K1233" s="1" t="s">
        <v>7449</v>
      </c>
    </row>
    <row r="1234" spans="1:11" x14ac:dyDescent="0.25">
      <c r="A1234" s="1">
        <v>1233</v>
      </c>
      <c r="B1234" s="1" t="s">
        <v>3734</v>
      </c>
      <c r="C1234" s="1" t="s">
        <v>3735</v>
      </c>
      <c r="F1234" s="1" t="s">
        <v>3736</v>
      </c>
      <c r="G1234" s="1">
        <v>1</v>
      </c>
      <c r="H1234" s="7">
        <v>45560</v>
      </c>
      <c r="I1234" s="1" t="s">
        <v>7449</v>
      </c>
      <c r="J1234" s="7">
        <v>45560</v>
      </c>
      <c r="K1234" s="1" t="s">
        <v>7449</v>
      </c>
    </row>
    <row r="1235" spans="1:11" x14ac:dyDescent="0.25">
      <c r="A1235" s="1">
        <v>1234</v>
      </c>
      <c r="B1235" s="1" t="s">
        <v>3737</v>
      </c>
      <c r="C1235" s="1" t="s">
        <v>3738</v>
      </c>
      <c r="F1235" s="1" t="s">
        <v>3739</v>
      </c>
      <c r="G1235" s="1">
        <v>1</v>
      </c>
      <c r="H1235" s="7">
        <v>45560</v>
      </c>
      <c r="I1235" s="1" t="s">
        <v>7449</v>
      </c>
      <c r="J1235" s="7">
        <v>45560</v>
      </c>
      <c r="K1235" s="1" t="s">
        <v>7449</v>
      </c>
    </row>
    <row r="1236" spans="1:11" x14ac:dyDescent="0.25">
      <c r="A1236" s="1">
        <v>1235</v>
      </c>
      <c r="B1236" s="1" t="s">
        <v>3740</v>
      </c>
      <c r="C1236" s="1" t="s">
        <v>3741</v>
      </c>
      <c r="F1236" s="1" t="s">
        <v>3742</v>
      </c>
      <c r="G1236" s="1">
        <v>1</v>
      </c>
      <c r="H1236" s="7">
        <v>45560</v>
      </c>
      <c r="I1236" s="1" t="s">
        <v>7449</v>
      </c>
      <c r="J1236" s="7">
        <v>45560</v>
      </c>
      <c r="K1236" s="1" t="s">
        <v>7449</v>
      </c>
    </row>
    <row r="1237" spans="1:11" x14ac:dyDescent="0.25">
      <c r="A1237" s="1">
        <v>1236</v>
      </c>
      <c r="B1237" s="1" t="s">
        <v>3743</v>
      </c>
      <c r="C1237" s="1" t="s">
        <v>3744</v>
      </c>
      <c r="F1237" s="1" t="s">
        <v>3745</v>
      </c>
      <c r="G1237" s="1">
        <v>1</v>
      </c>
      <c r="H1237" s="7">
        <v>45560</v>
      </c>
      <c r="I1237" s="1" t="s">
        <v>7449</v>
      </c>
      <c r="J1237" s="7">
        <v>45560</v>
      </c>
      <c r="K1237" s="1" t="s">
        <v>7449</v>
      </c>
    </row>
    <row r="1238" spans="1:11" x14ac:dyDescent="0.25">
      <c r="A1238" s="1">
        <v>1237</v>
      </c>
      <c r="B1238" s="1" t="s">
        <v>3746</v>
      </c>
      <c r="C1238" s="1" t="s">
        <v>3747</v>
      </c>
      <c r="E1238" s="1" t="s">
        <v>73</v>
      </c>
      <c r="F1238" s="1" t="s">
        <v>3748</v>
      </c>
      <c r="G1238" s="1">
        <v>1</v>
      </c>
      <c r="H1238" s="7">
        <v>45560</v>
      </c>
      <c r="I1238" s="1" t="s">
        <v>7449</v>
      </c>
      <c r="J1238" s="7">
        <v>45560</v>
      </c>
      <c r="K1238" s="1" t="s">
        <v>7449</v>
      </c>
    </row>
    <row r="1239" spans="1:11" x14ac:dyDescent="0.25">
      <c r="A1239" s="1">
        <v>1238</v>
      </c>
      <c r="B1239" s="1" t="s">
        <v>3749</v>
      </c>
      <c r="C1239" s="1" t="s">
        <v>3750</v>
      </c>
      <c r="E1239" s="1" t="s">
        <v>73</v>
      </c>
      <c r="F1239" s="1" t="s">
        <v>3751</v>
      </c>
      <c r="G1239" s="1">
        <v>1</v>
      </c>
      <c r="H1239" s="7">
        <v>45560</v>
      </c>
      <c r="I1239" s="1" t="s">
        <v>7449</v>
      </c>
      <c r="J1239" s="7">
        <v>45560</v>
      </c>
      <c r="K1239" s="1" t="s">
        <v>7449</v>
      </c>
    </row>
    <row r="1240" spans="1:11" x14ac:dyDescent="0.25">
      <c r="A1240" s="1">
        <v>1239</v>
      </c>
      <c r="B1240" s="1" t="s">
        <v>3752</v>
      </c>
      <c r="C1240" s="1" t="s">
        <v>3753</v>
      </c>
      <c r="F1240" s="1" t="s">
        <v>3754</v>
      </c>
      <c r="G1240" s="1">
        <v>1</v>
      </c>
      <c r="H1240" s="7">
        <v>45560</v>
      </c>
      <c r="I1240" s="1" t="s">
        <v>7449</v>
      </c>
      <c r="J1240" s="7">
        <v>45560</v>
      </c>
      <c r="K1240" s="1" t="s">
        <v>7449</v>
      </c>
    </row>
    <row r="1241" spans="1:11" x14ac:dyDescent="0.25">
      <c r="A1241" s="1">
        <v>1240</v>
      </c>
      <c r="B1241" s="1" t="s">
        <v>3755</v>
      </c>
      <c r="C1241" s="1" t="s">
        <v>3756</v>
      </c>
      <c r="F1241" s="1" t="s">
        <v>3757</v>
      </c>
      <c r="G1241" s="1">
        <v>1</v>
      </c>
      <c r="H1241" s="7">
        <v>45560</v>
      </c>
      <c r="I1241" s="1" t="s">
        <v>7449</v>
      </c>
      <c r="J1241" s="7">
        <v>45560</v>
      </c>
      <c r="K1241" s="1" t="s">
        <v>7449</v>
      </c>
    </row>
    <row r="1242" spans="1:11" x14ac:dyDescent="0.25">
      <c r="A1242" s="1">
        <v>1241</v>
      </c>
      <c r="B1242" s="1" t="s">
        <v>3758</v>
      </c>
      <c r="C1242" s="1" t="s">
        <v>3759</v>
      </c>
      <c r="F1242" s="1" t="s">
        <v>3760</v>
      </c>
      <c r="G1242" s="1">
        <v>1</v>
      </c>
      <c r="H1242" s="7">
        <v>45560</v>
      </c>
      <c r="I1242" s="1" t="s">
        <v>7449</v>
      </c>
      <c r="J1242" s="7">
        <v>45560</v>
      </c>
      <c r="K1242" s="1" t="s">
        <v>7449</v>
      </c>
    </row>
    <row r="1243" spans="1:11" x14ac:dyDescent="0.25">
      <c r="A1243" s="1">
        <v>1242</v>
      </c>
      <c r="B1243" s="1" t="s">
        <v>3761</v>
      </c>
      <c r="C1243" s="1" t="s">
        <v>3762</v>
      </c>
      <c r="D1243" s="1" t="s">
        <v>3763</v>
      </c>
      <c r="F1243" s="1" t="s">
        <v>3764</v>
      </c>
      <c r="G1243" s="1">
        <v>1</v>
      </c>
      <c r="H1243" s="7">
        <v>45560</v>
      </c>
      <c r="I1243" s="1" t="s">
        <v>7449</v>
      </c>
      <c r="J1243" s="7">
        <v>45560</v>
      </c>
      <c r="K1243" s="1" t="s">
        <v>7449</v>
      </c>
    </row>
    <row r="1244" spans="1:11" x14ac:dyDescent="0.25">
      <c r="A1244" s="1">
        <v>1243</v>
      </c>
      <c r="B1244" s="1" t="s">
        <v>3765</v>
      </c>
      <c r="C1244" s="1" t="s">
        <v>3766</v>
      </c>
      <c r="F1244" s="1" t="s">
        <v>3767</v>
      </c>
      <c r="G1244" s="1">
        <v>1</v>
      </c>
      <c r="H1244" s="7">
        <v>45560</v>
      </c>
      <c r="I1244" s="1" t="s">
        <v>7449</v>
      </c>
      <c r="J1244" s="7">
        <v>45560</v>
      </c>
      <c r="K1244" s="1" t="s">
        <v>7449</v>
      </c>
    </row>
    <row r="1245" spans="1:11" x14ac:dyDescent="0.25">
      <c r="A1245" s="1">
        <v>1244</v>
      </c>
      <c r="B1245" s="1" t="s">
        <v>3768</v>
      </c>
      <c r="C1245" s="1" t="s">
        <v>3769</v>
      </c>
      <c r="F1245" s="1" t="s">
        <v>3770</v>
      </c>
      <c r="G1245" s="1">
        <v>1</v>
      </c>
      <c r="H1245" s="7">
        <v>45560</v>
      </c>
      <c r="I1245" s="1" t="s">
        <v>7449</v>
      </c>
      <c r="J1245" s="7">
        <v>45560</v>
      </c>
      <c r="K1245" s="1" t="s">
        <v>7449</v>
      </c>
    </row>
    <row r="1246" spans="1:11" x14ac:dyDescent="0.25">
      <c r="A1246" s="1">
        <v>1245</v>
      </c>
      <c r="B1246" s="1" t="s">
        <v>3771</v>
      </c>
      <c r="C1246" s="1" t="s">
        <v>3772</v>
      </c>
      <c r="D1246" s="1" t="s">
        <v>3773</v>
      </c>
      <c r="F1246" s="1" t="s">
        <v>3774</v>
      </c>
      <c r="G1246" s="1">
        <v>1</v>
      </c>
      <c r="H1246" s="7">
        <v>45560</v>
      </c>
      <c r="I1246" s="1" t="s">
        <v>7449</v>
      </c>
      <c r="J1246" s="7">
        <v>45560</v>
      </c>
      <c r="K1246" s="1" t="s">
        <v>7449</v>
      </c>
    </row>
    <row r="1247" spans="1:11" x14ac:dyDescent="0.25">
      <c r="A1247" s="1">
        <v>1246</v>
      </c>
      <c r="B1247" s="1" t="s">
        <v>3775</v>
      </c>
      <c r="C1247" s="1" t="s">
        <v>3776</v>
      </c>
      <c r="F1247" s="1" t="s">
        <v>3777</v>
      </c>
      <c r="G1247" s="1">
        <v>1</v>
      </c>
      <c r="H1247" s="7">
        <v>45560</v>
      </c>
      <c r="I1247" s="1" t="s">
        <v>7449</v>
      </c>
      <c r="J1247" s="7">
        <v>45560</v>
      </c>
      <c r="K1247" s="1" t="s">
        <v>7449</v>
      </c>
    </row>
    <row r="1248" spans="1:11" x14ac:dyDescent="0.25">
      <c r="A1248" s="1">
        <v>1247</v>
      </c>
      <c r="B1248" s="1" t="s">
        <v>3778</v>
      </c>
      <c r="C1248" s="1" t="s">
        <v>3779</v>
      </c>
      <c r="F1248" s="1" t="s">
        <v>3780</v>
      </c>
      <c r="G1248" s="1">
        <v>1</v>
      </c>
      <c r="H1248" s="7">
        <v>45560</v>
      </c>
      <c r="I1248" s="1" t="s">
        <v>7449</v>
      </c>
      <c r="J1248" s="7">
        <v>45560</v>
      </c>
      <c r="K1248" s="1" t="s">
        <v>7449</v>
      </c>
    </row>
    <row r="1249" spans="1:11" x14ac:dyDescent="0.25">
      <c r="A1249" s="1">
        <v>1248</v>
      </c>
      <c r="B1249" s="1" t="s">
        <v>3781</v>
      </c>
      <c r="C1249" s="1" t="s">
        <v>3782</v>
      </c>
      <c r="F1249" s="1" t="s">
        <v>3783</v>
      </c>
      <c r="G1249" s="1">
        <v>1</v>
      </c>
      <c r="H1249" s="7">
        <v>45560</v>
      </c>
      <c r="I1249" s="1" t="s">
        <v>7449</v>
      </c>
      <c r="J1249" s="7">
        <v>45560</v>
      </c>
      <c r="K1249" s="1" t="s">
        <v>7449</v>
      </c>
    </row>
    <row r="1250" spans="1:11" x14ac:dyDescent="0.25">
      <c r="A1250" s="1">
        <v>1249</v>
      </c>
      <c r="B1250" s="1" t="s">
        <v>3784</v>
      </c>
      <c r="C1250" s="1" t="s">
        <v>3785</v>
      </c>
      <c r="F1250" s="1" t="s">
        <v>3786</v>
      </c>
      <c r="G1250" s="1">
        <v>1</v>
      </c>
      <c r="H1250" s="7">
        <v>45560</v>
      </c>
      <c r="I1250" s="1" t="s">
        <v>7449</v>
      </c>
      <c r="J1250" s="7">
        <v>45560</v>
      </c>
      <c r="K1250" s="1" t="s">
        <v>7449</v>
      </c>
    </row>
    <row r="1251" spans="1:11" x14ac:dyDescent="0.25">
      <c r="A1251" s="1">
        <v>1250</v>
      </c>
      <c r="B1251" s="1" t="s">
        <v>3787</v>
      </c>
      <c r="C1251" s="1" t="s">
        <v>3788</v>
      </c>
      <c r="F1251" s="1" t="s">
        <v>3789</v>
      </c>
      <c r="G1251" s="1">
        <v>1</v>
      </c>
      <c r="H1251" s="7">
        <v>45560</v>
      </c>
      <c r="I1251" s="1" t="s">
        <v>7449</v>
      </c>
      <c r="J1251" s="7">
        <v>45560</v>
      </c>
      <c r="K1251" s="1" t="s">
        <v>7449</v>
      </c>
    </row>
    <row r="1252" spans="1:11" x14ac:dyDescent="0.25">
      <c r="A1252" s="1">
        <v>1251</v>
      </c>
      <c r="B1252" s="1" t="s">
        <v>3790</v>
      </c>
      <c r="C1252" s="1" t="s">
        <v>3791</v>
      </c>
      <c r="F1252" s="1" t="s">
        <v>3792</v>
      </c>
      <c r="G1252" s="1">
        <v>1</v>
      </c>
      <c r="H1252" s="7">
        <v>45560</v>
      </c>
      <c r="I1252" s="1" t="s">
        <v>7449</v>
      </c>
      <c r="J1252" s="7">
        <v>45560</v>
      </c>
      <c r="K1252" s="1" t="s">
        <v>7449</v>
      </c>
    </row>
    <row r="1253" spans="1:11" x14ac:dyDescent="0.25">
      <c r="A1253" s="1">
        <v>1252</v>
      </c>
      <c r="B1253" s="1" t="s">
        <v>3793</v>
      </c>
      <c r="C1253" s="1" t="s">
        <v>3794</v>
      </c>
      <c r="F1253" s="1" t="s">
        <v>3795</v>
      </c>
      <c r="G1253" s="1">
        <v>1</v>
      </c>
      <c r="H1253" s="7">
        <v>45560</v>
      </c>
      <c r="I1253" s="1" t="s">
        <v>7449</v>
      </c>
      <c r="J1253" s="7">
        <v>45560</v>
      </c>
      <c r="K1253" s="1" t="s">
        <v>7449</v>
      </c>
    </row>
    <row r="1254" spans="1:11" x14ac:dyDescent="0.25">
      <c r="A1254" s="1">
        <v>1253</v>
      </c>
      <c r="B1254" s="1" t="s">
        <v>3796</v>
      </c>
      <c r="C1254" s="1" t="s">
        <v>3797</v>
      </c>
      <c r="D1254" s="1" t="s">
        <v>3798</v>
      </c>
      <c r="F1254" s="1" t="s">
        <v>3799</v>
      </c>
      <c r="G1254" s="1">
        <v>1</v>
      </c>
      <c r="H1254" s="7">
        <v>45560</v>
      </c>
      <c r="I1254" s="1" t="s">
        <v>7449</v>
      </c>
      <c r="J1254" s="7">
        <v>45560</v>
      </c>
      <c r="K1254" s="1" t="s">
        <v>7449</v>
      </c>
    </row>
    <row r="1255" spans="1:11" x14ac:dyDescent="0.25">
      <c r="A1255" s="1">
        <v>1254</v>
      </c>
      <c r="B1255" s="1" t="s">
        <v>3800</v>
      </c>
      <c r="C1255" s="1" t="s">
        <v>3801</v>
      </c>
      <c r="F1255" s="1" t="s">
        <v>3802</v>
      </c>
      <c r="G1255" s="1">
        <v>1</v>
      </c>
      <c r="H1255" s="7">
        <v>45560</v>
      </c>
      <c r="I1255" s="1" t="s">
        <v>7449</v>
      </c>
      <c r="J1255" s="7">
        <v>45560</v>
      </c>
      <c r="K1255" s="1" t="s">
        <v>7449</v>
      </c>
    </row>
    <row r="1256" spans="1:11" x14ac:dyDescent="0.25">
      <c r="A1256" s="1">
        <v>1255</v>
      </c>
      <c r="B1256" s="1" t="s">
        <v>3803</v>
      </c>
      <c r="C1256" s="1" t="s">
        <v>3804</v>
      </c>
      <c r="D1256" s="1" t="s">
        <v>3805</v>
      </c>
      <c r="F1256" s="1" t="s">
        <v>3806</v>
      </c>
      <c r="G1256" s="1">
        <v>1</v>
      </c>
      <c r="H1256" s="7">
        <v>45560</v>
      </c>
      <c r="I1256" s="1" t="s">
        <v>7449</v>
      </c>
      <c r="J1256" s="7">
        <v>45560</v>
      </c>
      <c r="K1256" s="1" t="s">
        <v>7449</v>
      </c>
    </row>
    <row r="1257" spans="1:11" x14ac:dyDescent="0.25">
      <c r="A1257" s="1">
        <v>1256</v>
      </c>
      <c r="B1257" s="1" t="s">
        <v>3807</v>
      </c>
      <c r="C1257" s="1" t="s">
        <v>3808</v>
      </c>
      <c r="D1257" s="1" t="s">
        <v>3809</v>
      </c>
      <c r="F1257" s="1" t="s">
        <v>3810</v>
      </c>
      <c r="G1257" s="1">
        <v>1</v>
      </c>
      <c r="H1257" s="7">
        <v>45560</v>
      </c>
      <c r="I1257" s="1" t="s">
        <v>7449</v>
      </c>
      <c r="J1257" s="7">
        <v>45560</v>
      </c>
      <c r="K1257" s="1" t="s">
        <v>7449</v>
      </c>
    </row>
    <row r="1258" spans="1:11" x14ac:dyDescent="0.25">
      <c r="A1258" s="1">
        <v>1257</v>
      </c>
      <c r="B1258" s="1" t="s">
        <v>3811</v>
      </c>
      <c r="C1258" s="1" t="s">
        <v>3812</v>
      </c>
      <c r="F1258" s="1" t="s">
        <v>3813</v>
      </c>
      <c r="G1258" s="1">
        <v>1</v>
      </c>
      <c r="H1258" s="7">
        <v>45560</v>
      </c>
      <c r="I1258" s="1" t="s">
        <v>7449</v>
      </c>
      <c r="J1258" s="7">
        <v>45560</v>
      </c>
      <c r="K1258" s="1" t="s">
        <v>7449</v>
      </c>
    </row>
    <row r="1259" spans="1:11" x14ac:dyDescent="0.25">
      <c r="A1259" s="1">
        <v>1258</v>
      </c>
      <c r="B1259" s="1" t="s">
        <v>3814</v>
      </c>
      <c r="C1259" s="1" t="s">
        <v>3815</v>
      </c>
      <c r="F1259" s="1" t="s">
        <v>3816</v>
      </c>
      <c r="G1259" s="1">
        <v>1</v>
      </c>
      <c r="H1259" s="7">
        <v>45560</v>
      </c>
      <c r="I1259" s="1" t="s">
        <v>7449</v>
      </c>
      <c r="J1259" s="7">
        <v>45560</v>
      </c>
      <c r="K1259" s="1" t="s">
        <v>7449</v>
      </c>
    </row>
    <row r="1260" spans="1:11" x14ac:dyDescent="0.25">
      <c r="A1260" s="1">
        <v>1259</v>
      </c>
      <c r="B1260" s="1" t="s">
        <v>3817</v>
      </c>
      <c r="C1260" s="1" t="s">
        <v>3818</v>
      </c>
      <c r="F1260" s="1" t="s">
        <v>3819</v>
      </c>
      <c r="G1260" s="1">
        <v>1</v>
      </c>
      <c r="H1260" s="7">
        <v>45560</v>
      </c>
      <c r="I1260" s="1" t="s">
        <v>7449</v>
      </c>
      <c r="J1260" s="7">
        <v>45560</v>
      </c>
      <c r="K1260" s="1" t="s">
        <v>7449</v>
      </c>
    </row>
    <row r="1261" spans="1:11" x14ac:dyDescent="0.25">
      <c r="A1261" s="1">
        <v>1260</v>
      </c>
      <c r="B1261" s="1" t="s">
        <v>3820</v>
      </c>
      <c r="C1261" s="1" t="s">
        <v>3821</v>
      </c>
      <c r="F1261" s="1" t="s">
        <v>3822</v>
      </c>
      <c r="G1261" s="1">
        <v>1</v>
      </c>
      <c r="H1261" s="7">
        <v>45560</v>
      </c>
      <c r="I1261" s="1" t="s">
        <v>7449</v>
      </c>
      <c r="J1261" s="7">
        <v>45560</v>
      </c>
      <c r="K1261" s="1" t="s">
        <v>7449</v>
      </c>
    </row>
    <row r="1262" spans="1:11" x14ac:dyDescent="0.25">
      <c r="A1262" s="1">
        <v>1261</v>
      </c>
      <c r="B1262" s="1" t="s">
        <v>3823</v>
      </c>
      <c r="C1262" s="1" t="s">
        <v>3824</v>
      </c>
      <c r="F1262" s="1" t="s">
        <v>3825</v>
      </c>
      <c r="G1262" s="1">
        <v>1</v>
      </c>
      <c r="H1262" s="7">
        <v>45560</v>
      </c>
      <c r="I1262" s="1" t="s">
        <v>7449</v>
      </c>
      <c r="J1262" s="7">
        <v>45560</v>
      </c>
      <c r="K1262" s="1" t="s">
        <v>7449</v>
      </c>
    </row>
    <row r="1263" spans="1:11" x14ac:dyDescent="0.25">
      <c r="A1263" s="1">
        <v>1262</v>
      </c>
      <c r="B1263" s="1" t="s">
        <v>3826</v>
      </c>
      <c r="C1263" s="1" t="s">
        <v>3827</v>
      </c>
      <c r="D1263" s="1" t="s">
        <v>3828</v>
      </c>
      <c r="E1263" s="1" t="s">
        <v>73</v>
      </c>
      <c r="F1263" s="1" t="s">
        <v>3829</v>
      </c>
      <c r="G1263" s="1">
        <v>1</v>
      </c>
      <c r="H1263" s="7">
        <v>45560</v>
      </c>
      <c r="I1263" s="1" t="s">
        <v>7449</v>
      </c>
      <c r="J1263" s="7">
        <v>45560</v>
      </c>
      <c r="K1263" s="1" t="s">
        <v>7449</v>
      </c>
    </row>
    <row r="1264" spans="1:11" x14ac:dyDescent="0.25">
      <c r="A1264" s="1">
        <v>1263</v>
      </c>
      <c r="B1264" s="1" t="s">
        <v>3830</v>
      </c>
      <c r="C1264" s="1" t="s">
        <v>3831</v>
      </c>
      <c r="D1264" s="1" t="s">
        <v>3832</v>
      </c>
      <c r="F1264" s="1" t="s">
        <v>3833</v>
      </c>
      <c r="G1264" s="1">
        <v>1</v>
      </c>
      <c r="H1264" s="7">
        <v>45560</v>
      </c>
      <c r="I1264" s="1" t="s">
        <v>7449</v>
      </c>
      <c r="J1264" s="7">
        <v>45560</v>
      </c>
      <c r="K1264" s="1" t="s">
        <v>7449</v>
      </c>
    </row>
    <row r="1265" spans="1:11" x14ac:dyDescent="0.25">
      <c r="A1265" s="1">
        <v>1264</v>
      </c>
      <c r="B1265" s="1" t="s">
        <v>3834</v>
      </c>
      <c r="C1265" s="1" t="s">
        <v>3835</v>
      </c>
      <c r="F1265" s="1" t="s">
        <v>3836</v>
      </c>
      <c r="G1265" s="1">
        <v>1</v>
      </c>
      <c r="H1265" s="7">
        <v>45560</v>
      </c>
      <c r="I1265" s="1" t="s">
        <v>7449</v>
      </c>
      <c r="J1265" s="7">
        <v>45560</v>
      </c>
      <c r="K1265" s="1" t="s">
        <v>7449</v>
      </c>
    </row>
    <row r="1266" spans="1:11" x14ac:dyDescent="0.25">
      <c r="A1266" s="1">
        <v>1265</v>
      </c>
      <c r="B1266" s="1" t="s">
        <v>3837</v>
      </c>
      <c r="C1266" s="1" t="s">
        <v>3838</v>
      </c>
      <c r="F1266" s="1" t="s">
        <v>3839</v>
      </c>
      <c r="G1266" s="1">
        <v>1</v>
      </c>
      <c r="H1266" s="7">
        <v>45560</v>
      </c>
      <c r="I1266" s="1" t="s">
        <v>7449</v>
      </c>
      <c r="J1266" s="7">
        <v>45560</v>
      </c>
      <c r="K1266" s="1" t="s">
        <v>7449</v>
      </c>
    </row>
    <row r="1267" spans="1:11" x14ac:dyDescent="0.25">
      <c r="A1267" s="1">
        <v>1266</v>
      </c>
      <c r="B1267" s="1" t="s">
        <v>3840</v>
      </c>
      <c r="C1267" s="1" t="s">
        <v>3841</v>
      </c>
      <c r="F1267" s="1" t="s">
        <v>3842</v>
      </c>
      <c r="G1267" s="1">
        <v>1</v>
      </c>
      <c r="H1267" s="7">
        <v>45560</v>
      </c>
      <c r="I1267" s="1" t="s">
        <v>7449</v>
      </c>
      <c r="J1267" s="7">
        <v>45560</v>
      </c>
      <c r="K1267" s="1" t="s">
        <v>7449</v>
      </c>
    </row>
    <row r="1268" spans="1:11" x14ac:dyDescent="0.25">
      <c r="A1268" s="1">
        <v>1267</v>
      </c>
      <c r="B1268" s="1" t="s">
        <v>3843</v>
      </c>
      <c r="C1268" s="1" t="s">
        <v>3844</v>
      </c>
      <c r="F1268" s="1" t="s">
        <v>3845</v>
      </c>
      <c r="G1268" s="1">
        <v>1</v>
      </c>
      <c r="H1268" s="7">
        <v>45560</v>
      </c>
      <c r="I1268" s="1" t="s">
        <v>7449</v>
      </c>
      <c r="J1268" s="7">
        <v>45560</v>
      </c>
      <c r="K1268" s="1" t="s">
        <v>7449</v>
      </c>
    </row>
    <row r="1269" spans="1:11" x14ac:dyDescent="0.25">
      <c r="A1269" s="1">
        <v>1268</v>
      </c>
      <c r="B1269" s="1" t="s">
        <v>3846</v>
      </c>
      <c r="C1269" s="1" t="s">
        <v>3847</v>
      </c>
      <c r="F1269" s="1" t="s">
        <v>3848</v>
      </c>
      <c r="G1269" s="1">
        <v>1</v>
      </c>
      <c r="H1269" s="7">
        <v>45560</v>
      </c>
      <c r="I1269" s="1" t="s">
        <v>7449</v>
      </c>
      <c r="J1269" s="7">
        <v>45560</v>
      </c>
      <c r="K1269" s="1" t="s">
        <v>7449</v>
      </c>
    </row>
    <row r="1270" spans="1:11" x14ac:dyDescent="0.25">
      <c r="A1270" s="1">
        <v>1269</v>
      </c>
      <c r="B1270" s="1" t="s">
        <v>3849</v>
      </c>
      <c r="C1270" s="1" t="s">
        <v>3850</v>
      </c>
      <c r="F1270" s="1" t="s">
        <v>3851</v>
      </c>
      <c r="G1270" s="1">
        <v>1</v>
      </c>
      <c r="H1270" s="7">
        <v>45560</v>
      </c>
      <c r="I1270" s="1" t="s">
        <v>7449</v>
      </c>
      <c r="J1270" s="7">
        <v>45560</v>
      </c>
      <c r="K1270" s="1" t="s">
        <v>7449</v>
      </c>
    </row>
    <row r="1271" spans="1:11" x14ac:dyDescent="0.25">
      <c r="A1271" s="1">
        <v>1270</v>
      </c>
      <c r="B1271" s="1" t="s">
        <v>3852</v>
      </c>
      <c r="C1271" s="1" t="s">
        <v>3853</v>
      </c>
      <c r="F1271" s="1" t="s">
        <v>3854</v>
      </c>
      <c r="G1271" s="1">
        <v>1</v>
      </c>
      <c r="H1271" s="7">
        <v>45560</v>
      </c>
      <c r="I1271" s="1" t="s">
        <v>7449</v>
      </c>
      <c r="J1271" s="7">
        <v>45560</v>
      </c>
      <c r="K1271" s="1" t="s">
        <v>7449</v>
      </c>
    </row>
    <row r="1272" spans="1:11" x14ac:dyDescent="0.25">
      <c r="A1272" s="1">
        <v>1271</v>
      </c>
      <c r="B1272" s="1" t="s">
        <v>3855</v>
      </c>
      <c r="C1272" s="1" t="s">
        <v>3856</v>
      </c>
      <c r="F1272" s="1" t="s">
        <v>3857</v>
      </c>
      <c r="G1272" s="1">
        <v>1</v>
      </c>
      <c r="H1272" s="7">
        <v>45560</v>
      </c>
      <c r="I1272" s="1" t="s">
        <v>7449</v>
      </c>
      <c r="J1272" s="7">
        <v>45560</v>
      </c>
      <c r="K1272" s="1" t="s">
        <v>7449</v>
      </c>
    </row>
    <row r="1273" spans="1:11" x14ac:dyDescent="0.25">
      <c r="A1273" s="1">
        <v>1272</v>
      </c>
      <c r="B1273" s="1" t="s">
        <v>3858</v>
      </c>
      <c r="C1273" s="1" t="s">
        <v>3859</v>
      </c>
      <c r="F1273" s="1" t="s">
        <v>3860</v>
      </c>
      <c r="G1273" s="1">
        <v>1</v>
      </c>
      <c r="H1273" s="7">
        <v>45560</v>
      </c>
      <c r="I1273" s="1" t="s">
        <v>7449</v>
      </c>
      <c r="J1273" s="7">
        <v>45560</v>
      </c>
      <c r="K1273" s="1" t="s">
        <v>7449</v>
      </c>
    </row>
    <row r="1274" spans="1:11" x14ac:dyDescent="0.25">
      <c r="A1274" s="1">
        <v>1273</v>
      </c>
      <c r="B1274" s="1" t="s">
        <v>3861</v>
      </c>
      <c r="C1274" s="1" t="s">
        <v>3862</v>
      </c>
      <c r="F1274" s="1" t="s">
        <v>3863</v>
      </c>
      <c r="G1274" s="1">
        <v>1</v>
      </c>
      <c r="H1274" s="7">
        <v>45560</v>
      </c>
      <c r="I1274" s="1" t="s">
        <v>7449</v>
      </c>
      <c r="J1274" s="7">
        <v>45560</v>
      </c>
      <c r="K1274" s="1" t="s">
        <v>7449</v>
      </c>
    </row>
    <row r="1275" spans="1:11" x14ac:dyDescent="0.25">
      <c r="A1275" s="1">
        <v>1274</v>
      </c>
      <c r="B1275" s="1" t="s">
        <v>3864</v>
      </c>
      <c r="C1275" s="1" t="s">
        <v>3865</v>
      </c>
      <c r="F1275" s="1" t="s">
        <v>3866</v>
      </c>
      <c r="G1275" s="1">
        <v>1</v>
      </c>
      <c r="H1275" s="7">
        <v>45560</v>
      </c>
      <c r="I1275" s="1" t="s">
        <v>7449</v>
      </c>
      <c r="J1275" s="7">
        <v>45560</v>
      </c>
      <c r="K1275" s="1" t="s">
        <v>7449</v>
      </c>
    </row>
    <row r="1276" spans="1:11" x14ac:dyDescent="0.25">
      <c r="A1276" s="1">
        <v>1275</v>
      </c>
      <c r="B1276" s="1" t="s">
        <v>3867</v>
      </c>
      <c r="C1276" s="1" t="s">
        <v>3868</v>
      </c>
      <c r="F1276" s="1" t="s">
        <v>3869</v>
      </c>
      <c r="G1276" s="1">
        <v>1</v>
      </c>
      <c r="H1276" s="7">
        <v>45560</v>
      </c>
      <c r="I1276" s="1" t="s">
        <v>7449</v>
      </c>
      <c r="J1276" s="7">
        <v>45560</v>
      </c>
      <c r="K1276" s="1" t="s">
        <v>7449</v>
      </c>
    </row>
    <row r="1277" spans="1:11" x14ac:dyDescent="0.25">
      <c r="A1277" s="1">
        <v>1276</v>
      </c>
      <c r="B1277" s="1" t="s">
        <v>3870</v>
      </c>
      <c r="C1277" s="1" t="s">
        <v>3871</v>
      </c>
      <c r="F1277" s="1" t="s">
        <v>3872</v>
      </c>
      <c r="G1277" s="1">
        <v>1</v>
      </c>
      <c r="H1277" s="7">
        <v>45560</v>
      </c>
      <c r="I1277" s="1" t="s">
        <v>7449</v>
      </c>
      <c r="J1277" s="7">
        <v>45560</v>
      </c>
      <c r="K1277" s="1" t="s">
        <v>7449</v>
      </c>
    </row>
    <row r="1278" spans="1:11" x14ac:dyDescent="0.25">
      <c r="A1278" s="1">
        <v>1277</v>
      </c>
      <c r="B1278" s="1" t="s">
        <v>3873</v>
      </c>
      <c r="C1278" s="1" t="s">
        <v>3874</v>
      </c>
      <c r="F1278" s="1" t="s">
        <v>3875</v>
      </c>
      <c r="G1278" s="1">
        <v>1</v>
      </c>
      <c r="H1278" s="7">
        <v>45560</v>
      </c>
      <c r="I1278" s="1" t="s">
        <v>7449</v>
      </c>
      <c r="J1278" s="7">
        <v>45560</v>
      </c>
      <c r="K1278" s="1" t="s">
        <v>7449</v>
      </c>
    </row>
    <row r="1279" spans="1:11" x14ac:dyDescent="0.25">
      <c r="A1279" s="1">
        <v>1278</v>
      </c>
      <c r="B1279" s="1" t="s">
        <v>3876</v>
      </c>
      <c r="C1279" s="1" t="s">
        <v>3877</v>
      </c>
      <c r="F1279" s="1" t="s">
        <v>3878</v>
      </c>
      <c r="G1279" s="1">
        <v>1</v>
      </c>
      <c r="H1279" s="7">
        <v>45560</v>
      </c>
      <c r="I1279" s="1" t="s">
        <v>7449</v>
      </c>
      <c r="J1279" s="7">
        <v>45560</v>
      </c>
      <c r="K1279" s="1" t="s">
        <v>7449</v>
      </c>
    </row>
    <row r="1280" spans="1:11" x14ac:dyDescent="0.25">
      <c r="A1280" s="1">
        <v>1279</v>
      </c>
      <c r="B1280" s="1" t="s">
        <v>3879</v>
      </c>
      <c r="C1280" s="1" t="s">
        <v>3880</v>
      </c>
      <c r="F1280" s="1" t="s">
        <v>3881</v>
      </c>
      <c r="G1280" s="1">
        <v>1</v>
      </c>
      <c r="H1280" s="7">
        <v>45560</v>
      </c>
      <c r="I1280" s="1" t="s">
        <v>7449</v>
      </c>
      <c r="J1280" s="7">
        <v>45560</v>
      </c>
      <c r="K1280" s="1" t="s">
        <v>7449</v>
      </c>
    </row>
    <row r="1281" spans="1:11" x14ac:dyDescent="0.25">
      <c r="A1281" s="1">
        <v>1280</v>
      </c>
      <c r="B1281" s="1" t="s">
        <v>3882</v>
      </c>
      <c r="C1281" s="1" t="s">
        <v>3883</v>
      </c>
      <c r="F1281" s="1" t="s">
        <v>3884</v>
      </c>
      <c r="G1281" s="1">
        <v>1</v>
      </c>
      <c r="H1281" s="7">
        <v>45560</v>
      </c>
      <c r="I1281" s="1" t="s">
        <v>7449</v>
      </c>
      <c r="J1281" s="7">
        <v>45560</v>
      </c>
      <c r="K1281" s="1" t="s">
        <v>7449</v>
      </c>
    </row>
    <row r="1282" spans="1:11" x14ac:dyDescent="0.25">
      <c r="A1282" s="1">
        <v>1281</v>
      </c>
      <c r="B1282" s="1" t="s">
        <v>3885</v>
      </c>
      <c r="C1282" s="1" t="s">
        <v>3886</v>
      </c>
      <c r="F1282" s="1" t="s">
        <v>3887</v>
      </c>
      <c r="G1282" s="1">
        <v>1</v>
      </c>
      <c r="H1282" s="7">
        <v>45560</v>
      </c>
      <c r="I1282" s="1" t="s">
        <v>7449</v>
      </c>
      <c r="J1282" s="7">
        <v>45560</v>
      </c>
      <c r="K1282" s="1" t="s">
        <v>7449</v>
      </c>
    </row>
    <row r="1283" spans="1:11" x14ac:dyDescent="0.25">
      <c r="A1283" s="1">
        <v>1282</v>
      </c>
      <c r="B1283" s="1" t="s">
        <v>3888</v>
      </c>
      <c r="C1283" s="1" t="s">
        <v>3889</v>
      </c>
      <c r="F1283" s="1" t="s">
        <v>3890</v>
      </c>
      <c r="G1283" s="1">
        <v>1</v>
      </c>
      <c r="H1283" s="7">
        <v>45560</v>
      </c>
      <c r="I1283" s="1" t="s">
        <v>7449</v>
      </c>
      <c r="J1283" s="7">
        <v>45560</v>
      </c>
      <c r="K1283" s="1" t="s">
        <v>7449</v>
      </c>
    </row>
    <row r="1284" spans="1:11" x14ac:dyDescent="0.25">
      <c r="A1284" s="1">
        <v>1283</v>
      </c>
      <c r="B1284" s="1" t="s">
        <v>3891</v>
      </c>
      <c r="C1284" s="1" t="s">
        <v>3892</v>
      </c>
      <c r="F1284" s="1" t="s">
        <v>3893</v>
      </c>
      <c r="G1284" s="1">
        <v>1</v>
      </c>
      <c r="H1284" s="7">
        <v>45560</v>
      </c>
      <c r="I1284" s="1" t="s">
        <v>7449</v>
      </c>
      <c r="J1284" s="7">
        <v>45560</v>
      </c>
      <c r="K1284" s="1" t="s">
        <v>7449</v>
      </c>
    </row>
    <row r="1285" spans="1:11" x14ac:dyDescent="0.25">
      <c r="A1285" s="1">
        <v>1284</v>
      </c>
      <c r="B1285" s="1" t="s">
        <v>3894</v>
      </c>
      <c r="C1285" s="1" t="s">
        <v>3895</v>
      </c>
      <c r="F1285" s="1" t="s">
        <v>3896</v>
      </c>
      <c r="G1285" s="1">
        <v>1</v>
      </c>
      <c r="H1285" s="7">
        <v>45560</v>
      </c>
      <c r="I1285" s="1" t="s">
        <v>7449</v>
      </c>
      <c r="J1285" s="7">
        <v>45560</v>
      </c>
      <c r="K1285" s="1" t="s">
        <v>7449</v>
      </c>
    </row>
    <row r="1286" spans="1:11" x14ac:dyDescent="0.25">
      <c r="A1286" s="1">
        <v>1285</v>
      </c>
      <c r="B1286" s="1" t="s">
        <v>3897</v>
      </c>
      <c r="C1286" s="1" t="s">
        <v>3898</v>
      </c>
      <c r="F1286" s="1" t="s">
        <v>3899</v>
      </c>
      <c r="G1286" s="1">
        <v>1</v>
      </c>
      <c r="H1286" s="7">
        <v>45560</v>
      </c>
      <c r="I1286" s="1" t="s">
        <v>7449</v>
      </c>
      <c r="J1286" s="7">
        <v>45560</v>
      </c>
      <c r="K1286" s="1" t="s">
        <v>7449</v>
      </c>
    </row>
    <row r="1287" spans="1:11" x14ac:dyDescent="0.25">
      <c r="A1287" s="1">
        <v>1286</v>
      </c>
      <c r="B1287" s="1" t="s">
        <v>3900</v>
      </c>
      <c r="C1287" s="1" t="s">
        <v>3901</v>
      </c>
      <c r="F1287" s="1" t="s">
        <v>3902</v>
      </c>
      <c r="G1287" s="1">
        <v>1</v>
      </c>
      <c r="H1287" s="7">
        <v>45560</v>
      </c>
      <c r="I1287" s="1" t="s">
        <v>7449</v>
      </c>
      <c r="J1287" s="7">
        <v>45560</v>
      </c>
      <c r="K1287" s="1" t="s">
        <v>7449</v>
      </c>
    </row>
    <row r="1288" spans="1:11" x14ac:dyDescent="0.25">
      <c r="A1288" s="1">
        <v>1287</v>
      </c>
      <c r="B1288" s="1" t="s">
        <v>3903</v>
      </c>
      <c r="C1288" s="1" t="s">
        <v>3904</v>
      </c>
      <c r="F1288" s="1" t="s">
        <v>3905</v>
      </c>
      <c r="G1288" s="1">
        <v>1</v>
      </c>
      <c r="H1288" s="7">
        <v>45560</v>
      </c>
      <c r="I1288" s="1" t="s">
        <v>7449</v>
      </c>
      <c r="J1288" s="7">
        <v>45560</v>
      </c>
      <c r="K1288" s="1" t="s">
        <v>7449</v>
      </c>
    </row>
    <row r="1289" spans="1:11" x14ac:dyDescent="0.25">
      <c r="A1289" s="1">
        <v>1288</v>
      </c>
      <c r="B1289" s="1" t="s">
        <v>3906</v>
      </c>
      <c r="C1289" s="1" t="s">
        <v>3907</v>
      </c>
      <c r="F1289" s="1" t="s">
        <v>3908</v>
      </c>
      <c r="G1289" s="1">
        <v>1</v>
      </c>
      <c r="H1289" s="7">
        <v>45560</v>
      </c>
      <c r="I1289" s="1" t="s">
        <v>7449</v>
      </c>
      <c r="J1289" s="7">
        <v>45560</v>
      </c>
      <c r="K1289" s="1" t="s">
        <v>7449</v>
      </c>
    </row>
    <row r="1290" spans="1:11" x14ac:dyDescent="0.25">
      <c r="A1290" s="1">
        <v>1289</v>
      </c>
      <c r="B1290" s="1" t="s">
        <v>3909</v>
      </c>
      <c r="C1290" s="1" t="s">
        <v>3910</v>
      </c>
      <c r="F1290" s="1" t="s">
        <v>3911</v>
      </c>
      <c r="G1290" s="1">
        <v>1</v>
      </c>
      <c r="H1290" s="7">
        <v>45560</v>
      </c>
      <c r="I1290" s="1" t="s">
        <v>7449</v>
      </c>
      <c r="J1290" s="7">
        <v>45560</v>
      </c>
      <c r="K1290" s="1" t="s">
        <v>7449</v>
      </c>
    </row>
    <row r="1291" spans="1:11" x14ac:dyDescent="0.25">
      <c r="A1291" s="1">
        <v>1290</v>
      </c>
      <c r="B1291" s="1" t="s">
        <v>3912</v>
      </c>
      <c r="C1291" s="1" t="s">
        <v>3913</v>
      </c>
      <c r="F1291" s="1" t="s">
        <v>3914</v>
      </c>
      <c r="G1291" s="1">
        <v>1</v>
      </c>
      <c r="H1291" s="7">
        <v>45560</v>
      </c>
      <c r="I1291" s="1" t="s">
        <v>7449</v>
      </c>
      <c r="J1291" s="7">
        <v>45560</v>
      </c>
      <c r="K1291" s="1" t="s">
        <v>7449</v>
      </c>
    </row>
    <row r="1292" spans="1:11" x14ac:dyDescent="0.25">
      <c r="A1292" s="1">
        <v>1291</v>
      </c>
      <c r="B1292" s="1" t="s">
        <v>3915</v>
      </c>
      <c r="C1292" s="1" t="s">
        <v>3916</v>
      </c>
      <c r="F1292" s="1" t="s">
        <v>3917</v>
      </c>
      <c r="G1292" s="1">
        <v>1</v>
      </c>
      <c r="H1292" s="7">
        <v>45560</v>
      </c>
      <c r="I1292" s="1" t="s">
        <v>7449</v>
      </c>
      <c r="J1292" s="7">
        <v>45560</v>
      </c>
      <c r="K1292" s="1" t="s">
        <v>7449</v>
      </c>
    </row>
    <row r="1293" spans="1:11" x14ac:dyDescent="0.25">
      <c r="A1293" s="1">
        <v>1292</v>
      </c>
      <c r="B1293" s="1" t="s">
        <v>3918</v>
      </c>
      <c r="C1293" s="1" t="s">
        <v>3919</v>
      </c>
      <c r="F1293" s="1" t="s">
        <v>3920</v>
      </c>
      <c r="G1293" s="1">
        <v>1</v>
      </c>
      <c r="H1293" s="7">
        <v>45560</v>
      </c>
      <c r="I1293" s="1" t="s">
        <v>7449</v>
      </c>
      <c r="J1293" s="7">
        <v>45560</v>
      </c>
      <c r="K1293" s="1" t="s">
        <v>7449</v>
      </c>
    </row>
    <row r="1294" spans="1:11" x14ac:dyDescent="0.25">
      <c r="A1294" s="1">
        <v>1293</v>
      </c>
      <c r="B1294" s="1" t="s">
        <v>3921</v>
      </c>
      <c r="C1294" s="1" t="s">
        <v>3922</v>
      </c>
      <c r="F1294" s="1" t="s">
        <v>3923</v>
      </c>
      <c r="G1294" s="1">
        <v>1</v>
      </c>
      <c r="H1294" s="7">
        <v>45560</v>
      </c>
      <c r="I1294" s="1" t="s">
        <v>7449</v>
      </c>
      <c r="J1294" s="7">
        <v>45560</v>
      </c>
      <c r="K1294" s="1" t="s">
        <v>7449</v>
      </c>
    </row>
    <row r="1295" spans="1:11" x14ac:dyDescent="0.25">
      <c r="A1295" s="1">
        <v>1294</v>
      </c>
      <c r="B1295" s="1" t="s">
        <v>3924</v>
      </c>
      <c r="C1295" s="1" t="s">
        <v>3925</v>
      </c>
      <c r="F1295" s="1" t="s">
        <v>3926</v>
      </c>
      <c r="G1295" s="1">
        <v>1</v>
      </c>
      <c r="H1295" s="7">
        <v>45560</v>
      </c>
      <c r="I1295" s="1" t="s">
        <v>7449</v>
      </c>
      <c r="J1295" s="7">
        <v>45560</v>
      </c>
      <c r="K1295" s="1" t="s">
        <v>7449</v>
      </c>
    </row>
    <row r="1296" spans="1:11" x14ac:dyDescent="0.25">
      <c r="A1296" s="1">
        <v>1295</v>
      </c>
      <c r="B1296" s="1" t="s">
        <v>3927</v>
      </c>
      <c r="C1296" s="1" t="s">
        <v>3928</v>
      </c>
      <c r="F1296" s="1" t="s">
        <v>3929</v>
      </c>
      <c r="G1296" s="1">
        <v>1</v>
      </c>
      <c r="H1296" s="7">
        <v>45560</v>
      </c>
      <c r="I1296" s="1" t="s">
        <v>7449</v>
      </c>
      <c r="J1296" s="7">
        <v>45560</v>
      </c>
      <c r="K1296" s="1" t="s">
        <v>7449</v>
      </c>
    </row>
    <row r="1297" spans="1:11" x14ac:dyDescent="0.25">
      <c r="A1297" s="1">
        <v>1296</v>
      </c>
      <c r="B1297" s="1" t="s">
        <v>3930</v>
      </c>
      <c r="C1297" s="1" t="s">
        <v>3931</v>
      </c>
      <c r="F1297" s="1" t="s">
        <v>3932</v>
      </c>
      <c r="G1297" s="1">
        <v>1</v>
      </c>
      <c r="H1297" s="7">
        <v>45560</v>
      </c>
      <c r="I1297" s="1" t="s">
        <v>7449</v>
      </c>
      <c r="J1297" s="7">
        <v>45560</v>
      </c>
      <c r="K1297" s="1" t="s">
        <v>7449</v>
      </c>
    </row>
    <row r="1298" spans="1:11" x14ac:dyDescent="0.25">
      <c r="A1298" s="1">
        <v>1297</v>
      </c>
      <c r="B1298" s="1" t="s">
        <v>3933</v>
      </c>
      <c r="C1298" s="1" t="s">
        <v>3934</v>
      </c>
      <c r="F1298" s="1" t="s">
        <v>3935</v>
      </c>
      <c r="G1298" s="1">
        <v>1</v>
      </c>
      <c r="H1298" s="7">
        <v>45560</v>
      </c>
      <c r="I1298" s="1" t="s">
        <v>7449</v>
      </c>
      <c r="J1298" s="7">
        <v>45560</v>
      </c>
      <c r="K1298" s="1" t="s">
        <v>7449</v>
      </c>
    </row>
    <row r="1299" spans="1:11" x14ac:dyDescent="0.25">
      <c r="A1299" s="1">
        <v>1298</v>
      </c>
      <c r="B1299" s="1" t="s">
        <v>3936</v>
      </c>
      <c r="C1299" s="1" t="s">
        <v>3937</v>
      </c>
      <c r="F1299" s="1" t="s">
        <v>3938</v>
      </c>
      <c r="G1299" s="1">
        <v>1</v>
      </c>
      <c r="H1299" s="7">
        <v>45560</v>
      </c>
      <c r="I1299" s="1" t="s">
        <v>7449</v>
      </c>
      <c r="J1299" s="7">
        <v>45560</v>
      </c>
      <c r="K1299" s="1" t="s">
        <v>7449</v>
      </c>
    </row>
    <row r="1300" spans="1:11" x14ac:dyDescent="0.25">
      <c r="A1300" s="1">
        <v>1299</v>
      </c>
      <c r="B1300" s="1" t="s">
        <v>3939</v>
      </c>
      <c r="C1300" s="1" t="s">
        <v>3940</v>
      </c>
      <c r="F1300" s="1" t="s">
        <v>3941</v>
      </c>
      <c r="G1300" s="1">
        <v>1</v>
      </c>
      <c r="H1300" s="7">
        <v>45560</v>
      </c>
      <c r="I1300" s="1" t="s">
        <v>7449</v>
      </c>
      <c r="J1300" s="7">
        <v>45560</v>
      </c>
      <c r="K1300" s="1" t="s">
        <v>7449</v>
      </c>
    </row>
    <row r="1301" spans="1:11" x14ac:dyDescent="0.25">
      <c r="A1301" s="1">
        <v>1300</v>
      </c>
      <c r="B1301" s="1" t="s">
        <v>3942</v>
      </c>
      <c r="C1301" s="1" t="s">
        <v>3943</v>
      </c>
      <c r="F1301" s="1" t="s">
        <v>3944</v>
      </c>
      <c r="G1301" s="1">
        <v>1</v>
      </c>
      <c r="H1301" s="7">
        <v>45560</v>
      </c>
      <c r="I1301" s="1" t="s">
        <v>7449</v>
      </c>
      <c r="J1301" s="7">
        <v>45560</v>
      </c>
      <c r="K1301" s="1" t="s">
        <v>7449</v>
      </c>
    </row>
    <row r="1302" spans="1:11" x14ac:dyDescent="0.25">
      <c r="A1302" s="1">
        <v>1301</v>
      </c>
      <c r="B1302" s="1" t="s">
        <v>3945</v>
      </c>
      <c r="C1302" s="1" t="s">
        <v>3946</v>
      </c>
      <c r="F1302" s="1" t="s">
        <v>3947</v>
      </c>
      <c r="G1302" s="1">
        <v>1</v>
      </c>
      <c r="H1302" s="7">
        <v>45560</v>
      </c>
      <c r="I1302" s="1" t="s">
        <v>7449</v>
      </c>
      <c r="J1302" s="7">
        <v>45560</v>
      </c>
      <c r="K1302" s="1" t="s">
        <v>7449</v>
      </c>
    </row>
    <row r="1303" spans="1:11" x14ac:dyDescent="0.25">
      <c r="A1303" s="1">
        <v>1302</v>
      </c>
      <c r="B1303" s="1" t="s">
        <v>3948</v>
      </c>
      <c r="C1303" s="1" t="s">
        <v>3949</v>
      </c>
      <c r="F1303" s="1" t="s">
        <v>3950</v>
      </c>
      <c r="G1303" s="1">
        <v>1</v>
      </c>
      <c r="H1303" s="7">
        <v>45560</v>
      </c>
      <c r="I1303" s="1" t="s">
        <v>7449</v>
      </c>
      <c r="J1303" s="7">
        <v>45560</v>
      </c>
      <c r="K1303" s="1" t="s">
        <v>7449</v>
      </c>
    </row>
    <row r="1304" spans="1:11" x14ac:dyDescent="0.25">
      <c r="A1304" s="1">
        <v>1303</v>
      </c>
      <c r="B1304" s="1" t="s">
        <v>3951</v>
      </c>
      <c r="C1304" s="1" t="s">
        <v>3952</v>
      </c>
      <c r="F1304" s="1" t="s">
        <v>3953</v>
      </c>
      <c r="G1304" s="1">
        <v>1</v>
      </c>
      <c r="H1304" s="7">
        <v>45560</v>
      </c>
      <c r="I1304" s="1" t="s">
        <v>7449</v>
      </c>
      <c r="J1304" s="7">
        <v>45560</v>
      </c>
      <c r="K1304" s="1" t="s">
        <v>7449</v>
      </c>
    </row>
    <row r="1305" spans="1:11" x14ac:dyDescent="0.25">
      <c r="A1305" s="1">
        <v>1304</v>
      </c>
      <c r="B1305" s="1" t="s">
        <v>3954</v>
      </c>
      <c r="C1305" s="1" t="s">
        <v>3955</v>
      </c>
      <c r="F1305" s="1" t="s">
        <v>3956</v>
      </c>
      <c r="G1305" s="1">
        <v>1</v>
      </c>
      <c r="H1305" s="7">
        <v>45560</v>
      </c>
      <c r="I1305" s="1" t="s">
        <v>7449</v>
      </c>
      <c r="J1305" s="7">
        <v>45560</v>
      </c>
      <c r="K1305" s="1" t="s">
        <v>7449</v>
      </c>
    </row>
    <row r="1306" spans="1:11" x14ac:dyDescent="0.25">
      <c r="A1306" s="1">
        <v>1305</v>
      </c>
      <c r="B1306" s="1" t="s">
        <v>3957</v>
      </c>
      <c r="C1306" s="1" t="s">
        <v>3958</v>
      </c>
      <c r="F1306" s="1" t="s">
        <v>3959</v>
      </c>
      <c r="G1306" s="1">
        <v>1</v>
      </c>
      <c r="H1306" s="7">
        <v>45560</v>
      </c>
      <c r="I1306" s="1" t="s">
        <v>7449</v>
      </c>
      <c r="J1306" s="7">
        <v>45560</v>
      </c>
      <c r="K1306" s="1" t="s">
        <v>7449</v>
      </c>
    </row>
    <row r="1307" spans="1:11" x14ac:dyDescent="0.25">
      <c r="A1307" s="1">
        <v>1306</v>
      </c>
      <c r="B1307" s="1" t="s">
        <v>3960</v>
      </c>
      <c r="C1307" s="1" t="s">
        <v>3961</v>
      </c>
      <c r="F1307" s="1" t="s">
        <v>3962</v>
      </c>
      <c r="G1307" s="1">
        <v>1</v>
      </c>
      <c r="H1307" s="7">
        <v>45560</v>
      </c>
      <c r="I1307" s="1" t="s">
        <v>7449</v>
      </c>
      <c r="J1307" s="7">
        <v>45560</v>
      </c>
      <c r="K1307" s="1" t="s">
        <v>7449</v>
      </c>
    </row>
    <row r="1308" spans="1:11" x14ac:dyDescent="0.25">
      <c r="A1308" s="1">
        <v>1307</v>
      </c>
      <c r="B1308" s="1" t="s">
        <v>3963</v>
      </c>
      <c r="C1308" s="1" t="s">
        <v>3964</v>
      </c>
      <c r="F1308" s="1" t="s">
        <v>3965</v>
      </c>
      <c r="G1308" s="1">
        <v>1</v>
      </c>
      <c r="H1308" s="7">
        <v>45560</v>
      </c>
      <c r="I1308" s="1" t="s">
        <v>7449</v>
      </c>
      <c r="J1308" s="7">
        <v>45560</v>
      </c>
      <c r="K1308" s="1" t="s">
        <v>7449</v>
      </c>
    </row>
    <row r="1309" spans="1:11" x14ac:dyDescent="0.25">
      <c r="A1309" s="1">
        <v>1308</v>
      </c>
      <c r="B1309" s="1" t="s">
        <v>3966</v>
      </c>
      <c r="C1309" s="1" t="s">
        <v>3967</v>
      </c>
      <c r="F1309" s="1" t="s">
        <v>3968</v>
      </c>
      <c r="G1309" s="1">
        <v>1</v>
      </c>
      <c r="H1309" s="7">
        <v>45560</v>
      </c>
      <c r="I1309" s="1" t="s">
        <v>7449</v>
      </c>
      <c r="J1309" s="7">
        <v>45560</v>
      </c>
      <c r="K1309" s="1" t="s">
        <v>7449</v>
      </c>
    </row>
    <row r="1310" spans="1:11" x14ac:dyDescent="0.25">
      <c r="A1310" s="1">
        <v>1309</v>
      </c>
      <c r="B1310" s="1" t="s">
        <v>3969</v>
      </c>
      <c r="C1310" s="1" t="s">
        <v>3970</v>
      </c>
      <c r="F1310" s="1" t="s">
        <v>3971</v>
      </c>
      <c r="G1310" s="1">
        <v>1</v>
      </c>
      <c r="H1310" s="7">
        <v>45560</v>
      </c>
      <c r="I1310" s="1" t="s">
        <v>7449</v>
      </c>
      <c r="J1310" s="7">
        <v>45560</v>
      </c>
      <c r="K1310" s="1" t="s">
        <v>7449</v>
      </c>
    </row>
    <row r="1311" spans="1:11" x14ac:dyDescent="0.25">
      <c r="A1311" s="1">
        <v>1310</v>
      </c>
      <c r="B1311" s="1" t="s">
        <v>3972</v>
      </c>
      <c r="C1311" s="1" t="s">
        <v>3973</v>
      </c>
      <c r="F1311" s="1" t="s">
        <v>3974</v>
      </c>
      <c r="G1311" s="1">
        <v>1</v>
      </c>
      <c r="H1311" s="7">
        <v>45560</v>
      </c>
      <c r="I1311" s="1" t="s">
        <v>7449</v>
      </c>
      <c r="J1311" s="7">
        <v>45560</v>
      </c>
      <c r="K1311" s="1" t="s">
        <v>7449</v>
      </c>
    </row>
    <row r="1312" spans="1:11" x14ac:dyDescent="0.25">
      <c r="A1312" s="1">
        <v>1311</v>
      </c>
      <c r="B1312" s="1" t="s">
        <v>3975</v>
      </c>
      <c r="C1312" s="1" t="s">
        <v>3976</v>
      </c>
      <c r="D1312" s="1" t="s">
        <v>3977</v>
      </c>
      <c r="G1312" s="1">
        <v>1</v>
      </c>
      <c r="H1312" s="7">
        <v>45560</v>
      </c>
      <c r="I1312" s="1" t="s">
        <v>7449</v>
      </c>
      <c r="J1312" s="7">
        <v>45560</v>
      </c>
      <c r="K1312" s="1" t="s">
        <v>7449</v>
      </c>
    </row>
    <row r="1313" spans="1:11" x14ac:dyDescent="0.25">
      <c r="A1313" s="1">
        <v>1312</v>
      </c>
      <c r="B1313" s="1" t="s">
        <v>3978</v>
      </c>
      <c r="C1313" s="1" t="s">
        <v>3979</v>
      </c>
      <c r="D1313" s="1" t="s">
        <v>3980</v>
      </c>
      <c r="F1313" s="1" t="s">
        <v>3981</v>
      </c>
      <c r="G1313" s="1">
        <v>1</v>
      </c>
      <c r="H1313" s="7">
        <v>45560</v>
      </c>
      <c r="I1313" s="1" t="s">
        <v>7449</v>
      </c>
      <c r="J1313" s="7">
        <v>45560</v>
      </c>
      <c r="K1313" s="1" t="s">
        <v>7449</v>
      </c>
    </row>
    <row r="1314" spans="1:11" x14ac:dyDescent="0.25">
      <c r="A1314" s="1">
        <v>1313</v>
      </c>
      <c r="B1314" s="1" t="s">
        <v>3982</v>
      </c>
      <c r="C1314" s="1" t="s">
        <v>3983</v>
      </c>
      <c r="D1314" s="1" t="s">
        <v>3984</v>
      </c>
      <c r="G1314" s="1">
        <v>1</v>
      </c>
      <c r="H1314" s="7">
        <v>45560</v>
      </c>
      <c r="I1314" s="1" t="s">
        <v>7449</v>
      </c>
      <c r="J1314" s="7">
        <v>45560</v>
      </c>
      <c r="K1314" s="1" t="s">
        <v>7449</v>
      </c>
    </row>
    <row r="1315" spans="1:11" x14ac:dyDescent="0.25">
      <c r="A1315" s="1">
        <v>1314</v>
      </c>
      <c r="B1315" s="1" t="s">
        <v>3985</v>
      </c>
      <c r="C1315" s="1" t="s">
        <v>3986</v>
      </c>
      <c r="F1315" s="1" t="s">
        <v>3987</v>
      </c>
      <c r="G1315" s="1">
        <v>1</v>
      </c>
      <c r="H1315" s="7">
        <v>45560</v>
      </c>
      <c r="I1315" s="1" t="s">
        <v>7449</v>
      </c>
      <c r="J1315" s="7">
        <v>45560</v>
      </c>
      <c r="K1315" s="1" t="s">
        <v>7449</v>
      </c>
    </row>
    <row r="1316" spans="1:11" x14ac:dyDescent="0.25">
      <c r="A1316" s="1">
        <v>1315</v>
      </c>
      <c r="B1316" s="1" t="s">
        <v>3988</v>
      </c>
      <c r="C1316" s="1" t="s">
        <v>3989</v>
      </c>
      <c r="D1316" s="1" t="s">
        <v>3990</v>
      </c>
      <c r="F1316" s="1" t="s">
        <v>3991</v>
      </c>
      <c r="G1316" s="1">
        <v>1</v>
      </c>
      <c r="H1316" s="7">
        <v>45560</v>
      </c>
      <c r="I1316" s="1" t="s">
        <v>7449</v>
      </c>
      <c r="J1316" s="7">
        <v>45560</v>
      </c>
      <c r="K1316" s="1" t="s">
        <v>7449</v>
      </c>
    </row>
    <row r="1317" spans="1:11" x14ac:dyDescent="0.25">
      <c r="A1317" s="1">
        <v>1316</v>
      </c>
      <c r="B1317" s="1" t="s">
        <v>3992</v>
      </c>
      <c r="C1317" s="1" t="s">
        <v>3993</v>
      </c>
      <c r="E1317" s="1" t="s">
        <v>52</v>
      </c>
      <c r="G1317" s="1">
        <v>1</v>
      </c>
      <c r="H1317" s="7">
        <v>45560</v>
      </c>
      <c r="I1317" s="1" t="s">
        <v>7449</v>
      </c>
      <c r="J1317" s="7">
        <v>45560</v>
      </c>
      <c r="K1317" s="1" t="s">
        <v>7449</v>
      </c>
    </row>
    <row r="1318" spans="1:11" x14ac:dyDescent="0.25">
      <c r="A1318" s="1">
        <v>1317</v>
      </c>
      <c r="B1318" s="1" t="s">
        <v>3994</v>
      </c>
      <c r="C1318" s="1" t="s">
        <v>3995</v>
      </c>
      <c r="D1318" s="1" t="s">
        <v>3996</v>
      </c>
      <c r="F1318" s="1" t="s">
        <v>3997</v>
      </c>
      <c r="G1318" s="1">
        <v>1</v>
      </c>
      <c r="H1318" s="7">
        <v>45560</v>
      </c>
      <c r="I1318" s="1" t="s">
        <v>7449</v>
      </c>
      <c r="J1318" s="7">
        <v>45560</v>
      </c>
      <c r="K1318" s="1" t="s">
        <v>7449</v>
      </c>
    </row>
    <row r="1319" spans="1:11" x14ac:dyDescent="0.25">
      <c r="A1319" s="1">
        <v>1318</v>
      </c>
      <c r="B1319" s="1" t="s">
        <v>3998</v>
      </c>
      <c r="C1319" s="1" t="s">
        <v>3999</v>
      </c>
      <c r="D1319" s="1" t="s">
        <v>4000</v>
      </c>
      <c r="F1319" s="1" t="s">
        <v>4001</v>
      </c>
      <c r="G1319" s="1">
        <v>1</v>
      </c>
      <c r="H1319" s="7">
        <v>45560</v>
      </c>
      <c r="I1319" s="1" t="s">
        <v>7449</v>
      </c>
      <c r="J1319" s="7">
        <v>45560</v>
      </c>
      <c r="K1319" s="1" t="s">
        <v>7449</v>
      </c>
    </row>
    <row r="1320" spans="1:11" x14ac:dyDescent="0.25">
      <c r="A1320" s="1">
        <v>1319</v>
      </c>
      <c r="B1320" s="1" t="s">
        <v>4002</v>
      </c>
      <c r="C1320" s="1" t="s">
        <v>4003</v>
      </c>
      <c r="E1320" s="1" t="s">
        <v>52</v>
      </c>
      <c r="G1320" s="1">
        <v>1</v>
      </c>
      <c r="H1320" s="7">
        <v>45560</v>
      </c>
      <c r="I1320" s="1" t="s">
        <v>7449</v>
      </c>
      <c r="J1320" s="7">
        <v>45560</v>
      </c>
      <c r="K1320" s="1" t="s">
        <v>7449</v>
      </c>
    </row>
    <row r="1321" spans="1:11" x14ac:dyDescent="0.25">
      <c r="A1321" s="1">
        <v>1320</v>
      </c>
      <c r="B1321" s="1" t="s">
        <v>4004</v>
      </c>
      <c r="C1321" s="1" t="s">
        <v>4005</v>
      </c>
      <c r="D1321" s="1" t="s">
        <v>4006</v>
      </c>
      <c r="F1321" s="1" t="s">
        <v>4007</v>
      </c>
      <c r="G1321" s="1">
        <v>1</v>
      </c>
      <c r="H1321" s="7">
        <v>45560</v>
      </c>
      <c r="I1321" s="1" t="s">
        <v>7449</v>
      </c>
      <c r="J1321" s="7">
        <v>45560</v>
      </c>
      <c r="K1321" s="1" t="s">
        <v>7449</v>
      </c>
    </row>
    <row r="1322" spans="1:11" x14ac:dyDescent="0.25">
      <c r="A1322" s="1">
        <v>1321</v>
      </c>
      <c r="B1322" s="1" t="s">
        <v>4008</v>
      </c>
      <c r="C1322" s="1" t="s">
        <v>4009</v>
      </c>
      <c r="F1322" s="1" t="s">
        <v>4010</v>
      </c>
      <c r="G1322" s="1">
        <v>1</v>
      </c>
      <c r="H1322" s="7">
        <v>45560</v>
      </c>
      <c r="I1322" s="1" t="s">
        <v>7449</v>
      </c>
      <c r="J1322" s="7">
        <v>45560</v>
      </c>
      <c r="K1322" s="1" t="s">
        <v>7449</v>
      </c>
    </row>
    <row r="1323" spans="1:11" x14ac:dyDescent="0.25">
      <c r="A1323" s="1">
        <v>1322</v>
      </c>
      <c r="B1323" s="1" t="s">
        <v>4011</v>
      </c>
      <c r="C1323" s="1" t="s">
        <v>4012</v>
      </c>
      <c r="D1323" s="1" t="s">
        <v>4013</v>
      </c>
      <c r="F1323" s="1" t="s">
        <v>4014</v>
      </c>
      <c r="G1323" s="1">
        <v>1</v>
      </c>
      <c r="H1323" s="7">
        <v>45560</v>
      </c>
      <c r="I1323" s="1" t="s">
        <v>7449</v>
      </c>
      <c r="J1323" s="7">
        <v>45560</v>
      </c>
      <c r="K1323" s="1" t="s">
        <v>7449</v>
      </c>
    </row>
    <row r="1324" spans="1:11" x14ac:dyDescent="0.25">
      <c r="A1324" s="1">
        <v>1323</v>
      </c>
      <c r="B1324" s="1" t="s">
        <v>4015</v>
      </c>
      <c r="C1324" s="1" t="s">
        <v>4016</v>
      </c>
      <c r="D1324" s="1" t="s">
        <v>4017</v>
      </c>
      <c r="F1324" s="1" t="s">
        <v>4018</v>
      </c>
      <c r="G1324" s="1">
        <v>1</v>
      </c>
      <c r="H1324" s="7">
        <v>45560</v>
      </c>
      <c r="I1324" s="1" t="s">
        <v>7449</v>
      </c>
      <c r="J1324" s="7">
        <v>45560</v>
      </c>
      <c r="K1324" s="1" t="s">
        <v>7449</v>
      </c>
    </row>
    <row r="1325" spans="1:11" x14ac:dyDescent="0.25">
      <c r="A1325" s="1">
        <v>1324</v>
      </c>
      <c r="B1325" s="1" t="s">
        <v>4019</v>
      </c>
      <c r="C1325" s="1" t="s">
        <v>4020</v>
      </c>
      <c r="G1325" s="1">
        <v>1</v>
      </c>
      <c r="H1325" s="7">
        <v>45560</v>
      </c>
      <c r="I1325" s="1" t="s">
        <v>7449</v>
      </c>
      <c r="J1325" s="7">
        <v>45560</v>
      </c>
      <c r="K1325" s="1" t="s">
        <v>7449</v>
      </c>
    </row>
    <row r="1326" spans="1:11" x14ac:dyDescent="0.25">
      <c r="A1326" s="1">
        <v>1325</v>
      </c>
      <c r="B1326" s="1" t="s">
        <v>4021</v>
      </c>
      <c r="C1326" s="1" t="s">
        <v>4022</v>
      </c>
      <c r="D1326" s="1" t="s">
        <v>4023</v>
      </c>
      <c r="G1326" s="1">
        <v>1</v>
      </c>
      <c r="H1326" s="7">
        <v>45560</v>
      </c>
      <c r="I1326" s="1" t="s">
        <v>7449</v>
      </c>
      <c r="J1326" s="7">
        <v>45560</v>
      </c>
      <c r="K1326" s="1" t="s">
        <v>7449</v>
      </c>
    </row>
    <row r="1327" spans="1:11" x14ac:dyDescent="0.25">
      <c r="A1327" s="1">
        <v>1326</v>
      </c>
      <c r="B1327" s="1" t="s">
        <v>4024</v>
      </c>
      <c r="C1327" s="1" t="s">
        <v>4025</v>
      </c>
      <c r="D1327" s="1" t="s">
        <v>4026</v>
      </c>
      <c r="G1327" s="1">
        <v>1</v>
      </c>
      <c r="H1327" s="7">
        <v>45560</v>
      </c>
      <c r="I1327" s="1" t="s">
        <v>7449</v>
      </c>
      <c r="J1327" s="7">
        <v>45560</v>
      </c>
      <c r="K1327" s="1" t="s">
        <v>7449</v>
      </c>
    </row>
    <row r="1328" spans="1:11" x14ac:dyDescent="0.25">
      <c r="A1328" s="1">
        <v>1327</v>
      </c>
      <c r="B1328" s="1" t="s">
        <v>4027</v>
      </c>
      <c r="C1328" s="1" t="s">
        <v>4028</v>
      </c>
      <c r="D1328" s="1" t="s">
        <v>4029</v>
      </c>
      <c r="G1328" s="1">
        <v>1</v>
      </c>
      <c r="H1328" s="7">
        <v>45560</v>
      </c>
      <c r="I1328" s="1" t="s">
        <v>7449</v>
      </c>
      <c r="J1328" s="7">
        <v>45560</v>
      </c>
      <c r="K1328" s="1" t="s">
        <v>7449</v>
      </c>
    </row>
    <row r="1329" spans="1:11" x14ac:dyDescent="0.25">
      <c r="A1329" s="1">
        <v>1328</v>
      </c>
      <c r="B1329" s="1" t="s">
        <v>4030</v>
      </c>
      <c r="C1329" s="1" t="s">
        <v>4031</v>
      </c>
      <c r="F1329" s="1" t="s">
        <v>4032</v>
      </c>
      <c r="G1329" s="1">
        <v>1</v>
      </c>
      <c r="H1329" s="7">
        <v>45560</v>
      </c>
      <c r="I1329" s="1" t="s">
        <v>7449</v>
      </c>
      <c r="J1329" s="7">
        <v>45560</v>
      </c>
      <c r="K1329" s="1" t="s">
        <v>7449</v>
      </c>
    </row>
    <row r="1330" spans="1:11" x14ac:dyDescent="0.25">
      <c r="A1330" s="1">
        <v>1329</v>
      </c>
      <c r="B1330" s="1" t="s">
        <v>4033</v>
      </c>
      <c r="C1330" s="1" t="s">
        <v>4034</v>
      </c>
      <c r="F1330" s="1" t="s">
        <v>4035</v>
      </c>
      <c r="G1330" s="1">
        <v>1</v>
      </c>
      <c r="H1330" s="7">
        <v>45560</v>
      </c>
      <c r="I1330" s="1" t="s">
        <v>7449</v>
      </c>
      <c r="J1330" s="7">
        <v>45560</v>
      </c>
      <c r="K1330" s="1" t="s">
        <v>7449</v>
      </c>
    </row>
    <row r="1331" spans="1:11" x14ac:dyDescent="0.25">
      <c r="A1331" s="1">
        <v>1330</v>
      </c>
      <c r="B1331" s="1" t="s">
        <v>4036</v>
      </c>
      <c r="C1331" s="1" t="s">
        <v>4037</v>
      </c>
      <c r="D1331" s="1" t="s">
        <v>4038</v>
      </c>
      <c r="G1331" s="1">
        <v>1</v>
      </c>
      <c r="H1331" s="7">
        <v>45560</v>
      </c>
      <c r="I1331" s="1" t="s">
        <v>7449</v>
      </c>
      <c r="J1331" s="7">
        <v>45560</v>
      </c>
      <c r="K1331" s="1" t="s">
        <v>7449</v>
      </c>
    </row>
    <row r="1332" spans="1:11" x14ac:dyDescent="0.25">
      <c r="A1332" s="1">
        <v>1331</v>
      </c>
      <c r="B1332" s="1" t="s">
        <v>4039</v>
      </c>
      <c r="C1332" s="1" t="s">
        <v>4040</v>
      </c>
      <c r="D1332" s="1" t="s">
        <v>4041</v>
      </c>
      <c r="F1332" s="1" t="s">
        <v>4042</v>
      </c>
      <c r="G1332" s="1">
        <v>1</v>
      </c>
      <c r="H1332" s="7">
        <v>45560</v>
      </c>
      <c r="I1332" s="1" t="s">
        <v>7449</v>
      </c>
      <c r="J1332" s="7">
        <v>45560</v>
      </c>
      <c r="K1332" s="1" t="s">
        <v>7449</v>
      </c>
    </row>
    <row r="1333" spans="1:11" x14ac:dyDescent="0.25">
      <c r="A1333" s="1">
        <v>1332</v>
      </c>
      <c r="B1333" s="1" t="s">
        <v>4043</v>
      </c>
      <c r="C1333" s="1" t="s">
        <v>4044</v>
      </c>
      <c r="D1333" s="1" t="s">
        <v>4045</v>
      </c>
      <c r="F1333" s="1" t="s">
        <v>4046</v>
      </c>
      <c r="G1333" s="1">
        <v>1</v>
      </c>
      <c r="H1333" s="7">
        <v>45560</v>
      </c>
      <c r="I1333" s="1" t="s">
        <v>7449</v>
      </c>
      <c r="J1333" s="7">
        <v>45560</v>
      </c>
      <c r="K1333" s="1" t="s">
        <v>7449</v>
      </c>
    </row>
    <row r="1334" spans="1:11" x14ac:dyDescent="0.25">
      <c r="A1334" s="1">
        <v>1333</v>
      </c>
      <c r="B1334" s="1" t="s">
        <v>4047</v>
      </c>
      <c r="C1334" s="1" t="s">
        <v>4048</v>
      </c>
      <c r="F1334" s="1" t="s">
        <v>4049</v>
      </c>
      <c r="G1334" s="1">
        <v>1</v>
      </c>
      <c r="H1334" s="7">
        <v>45560</v>
      </c>
      <c r="I1334" s="1" t="s">
        <v>7449</v>
      </c>
      <c r="J1334" s="7">
        <v>45560</v>
      </c>
      <c r="K1334" s="1" t="s">
        <v>7449</v>
      </c>
    </row>
    <row r="1335" spans="1:11" x14ac:dyDescent="0.25">
      <c r="A1335" s="1">
        <v>1334</v>
      </c>
      <c r="B1335" s="1" t="s">
        <v>4050</v>
      </c>
      <c r="C1335" s="1" t="s">
        <v>4051</v>
      </c>
      <c r="D1335" s="1" t="s">
        <v>4052</v>
      </c>
      <c r="F1335" s="1" t="s">
        <v>4053</v>
      </c>
      <c r="G1335" s="1">
        <v>1</v>
      </c>
      <c r="H1335" s="7">
        <v>45560</v>
      </c>
      <c r="I1335" s="1" t="s">
        <v>7449</v>
      </c>
      <c r="J1335" s="7">
        <v>45560</v>
      </c>
      <c r="K1335" s="1" t="s">
        <v>7449</v>
      </c>
    </row>
    <row r="1336" spans="1:11" x14ac:dyDescent="0.25">
      <c r="A1336" s="1">
        <v>1335</v>
      </c>
      <c r="B1336" s="1" t="s">
        <v>4054</v>
      </c>
      <c r="C1336" s="1" t="s">
        <v>4055</v>
      </c>
      <c r="D1336" s="1" t="s">
        <v>4056</v>
      </c>
      <c r="F1336" s="1" t="s">
        <v>4057</v>
      </c>
      <c r="G1336" s="1">
        <v>1</v>
      </c>
      <c r="H1336" s="7">
        <v>45560</v>
      </c>
      <c r="I1336" s="1" t="s">
        <v>7449</v>
      </c>
      <c r="J1336" s="7">
        <v>45560</v>
      </c>
      <c r="K1336" s="1" t="s">
        <v>7449</v>
      </c>
    </row>
    <row r="1337" spans="1:11" x14ac:dyDescent="0.25">
      <c r="A1337" s="1">
        <v>1336</v>
      </c>
      <c r="B1337" s="1" t="s">
        <v>4058</v>
      </c>
      <c r="C1337" s="1" t="s">
        <v>4059</v>
      </c>
      <c r="D1337" s="1" t="s">
        <v>4060</v>
      </c>
      <c r="F1337" s="1" t="s">
        <v>4061</v>
      </c>
      <c r="G1337" s="1">
        <v>1</v>
      </c>
      <c r="H1337" s="7">
        <v>45560</v>
      </c>
      <c r="I1337" s="1" t="s">
        <v>7449</v>
      </c>
      <c r="J1337" s="7">
        <v>45560</v>
      </c>
      <c r="K1337" s="1" t="s">
        <v>7449</v>
      </c>
    </row>
    <row r="1338" spans="1:11" x14ac:dyDescent="0.25">
      <c r="A1338" s="1">
        <v>1337</v>
      </c>
      <c r="B1338" s="1" t="s">
        <v>4062</v>
      </c>
      <c r="C1338" s="1" t="s">
        <v>4063</v>
      </c>
      <c r="D1338" s="1" t="s">
        <v>4064</v>
      </c>
      <c r="F1338" s="1" t="s">
        <v>4065</v>
      </c>
      <c r="G1338" s="1">
        <v>1</v>
      </c>
      <c r="H1338" s="7">
        <v>45560</v>
      </c>
      <c r="I1338" s="1" t="s">
        <v>7449</v>
      </c>
      <c r="J1338" s="7">
        <v>45560</v>
      </c>
      <c r="K1338" s="1" t="s">
        <v>7449</v>
      </c>
    </row>
    <row r="1339" spans="1:11" x14ac:dyDescent="0.25">
      <c r="A1339" s="1">
        <v>1338</v>
      </c>
      <c r="B1339" s="1" t="s">
        <v>4066</v>
      </c>
      <c r="C1339" s="1" t="s">
        <v>4067</v>
      </c>
      <c r="F1339" s="1" t="s">
        <v>4068</v>
      </c>
      <c r="G1339" s="1">
        <v>1</v>
      </c>
      <c r="H1339" s="7">
        <v>45560</v>
      </c>
      <c r="I1339" s="1" t="s">
        <v>7449</v>
      </c>
      <c r="J1339" s="7">
        <v>45560</v>
      </c>
      <c r="K1339" s="1" t="s">
        <v>7449</v>
      </c>
    </row>
    <row r="1340" spans="1:11" x14ac:dyDescent="0.25">
      <c r="A1340" s="1">
        <v>1339</v>
      </c>
      <c r="B1340" s="1" t="s">
        <v>4069</v>
      </c>
      <c r="C1340" s="1" t="s">
        <v>4070</v>
      </c>
      <c r="D1340" s="1" t="s">
        <v>4071</v>
      </c>
      <c r="G1340" s="1">
        <v>1</v>
      </c>
      <c r="H1340" s="7">
        <v>45560</v>
      </c>
      <c r="I1340" s="1" t="s">
        <v>7449</v>
      </c>
      <c r="J1340" s="7">
        <v>45560</v>
      </c>
      <c r="K1340" s="1" t="s">
        <v>7449</v>
      </c>
    </row>
    <row r="1341" spans="1:11" x14ac:dyDescent="0.25">
      <c r="A1341" s="1">
        <v>1340</v>
      </c>
      <c r="B1341" s="1" t="s">
        <v>4072</v>
      </c>
      <c r="C1341" s="1" t="s">
        <v>4073</v>
      </c>
      <c r="D1341" s="1" t="s">
        <v>4074</v>
      </c>
      <c r="F1341" s="1" t="s">
        <v>4075</v>
      </c>
      <c r="G1341" s="1">
        <v>1</v>
      </c>
      <c r="H1341" s="7">
        <v>45560</v>
      </c>
      <c r="I1341" s="1" t="s">
        <v>7449</v>
      </c>
      <c r="J1341" s="7">
        <v>45560</v>
      </c>
      <c r="K1341" s="1" t="s">
        <v>7449</v>
      </c>
    </row>
    <row r="1342" spans="1:11" x14ac:dyDescent="0.25">
      <c r="A1342" s="1">
        <v>1341</v>
      </c>
      <c r="B1342" s="1" t="s">
        <v>4076</v>
      </c>
      <c r="C1342" s="1" t="s">
        <v>4077</v>
      </c>
      <c r="D1342" s="1" t="s">
        <v>4078</v>
      </c>
      <c r="G1342" s="1">
        <v>1</v>
      </c>
      <c r="H1342" s="7">
        <v>45560</v>
      </c>
      <c r="I1342" s="1" t="s">
        <v>7449</v>
      </c>
      <c r="J1342" s="7">
        <v>45560</v>
      </c>
      <c r="K1342" s="1" t="s">
        <v>7449</v>
      </c>
    </row>
    <row r="1343" spans="1:11" x14ac:dyDescent="0.25">
      <c r="A1343" s="1">
        <v>1342</v>
      </c>
      <c r="B1343" s="1" t="s">
        <v>4079</v>
      </c>
      <c r="C1343" s="1" t="s">
        <v>4080</v>
      </c>
      <c r="F1343" s="1" t="s">
        <v>4081</v>
      </c>
      <c r="G1343" s="1">
        <v>1</v>
      </c>
      <c r="H1343" s="7">
        <v>45560</v>
      </c>
      <c r="I1343" s="1" t="s">
        <v>7449</v>
      </c>
      <c r="J1343" s="7">
        <v>45560</v>
      </c>
      <c r="K1343" s="1" t="s">
        <v>7449</v>
      </c>
    </row>
    <row r="1344" spans="1:11" x14ac:dyDescent="0.25">
      <c r="A1344" s="1">
        <v>1343</v>
      </c>
      <c r="B1344" s="1" t="s">
        <v>4082</v>
      </c>
      <c r="C1344" s="1" t="s">
        <v>4083</v>
      </c>
      <c r="D1344" s="1" t="s">
        <v>4084</v>
      </c>
      <c r="F1344" s="1" t="s">
        <v>4085</v>
      </c>
      <c r="G1344" s="1">
        <v>1</v>
      </c>
      <c r="H1344" s="7">
        <v>45560</v>
      </c>
      <c r="I1344" s="1" t="s">
        <v>7449</v>
      </c>
      <c r="J1344" s="7">
        <v>45560</v>
      </c>
      <c r="K1344" s="1" t="s">
        <v>7449</v>
      </c>
    </row>
    <row r="1345" spans="1:11" x14ac:dyDescent="0.25">
      <c r="A1345" s="1">
        <v>1344</v>
      </c>
      <c r="B1345" s="1" t="s">
        <v>4086</v>
      </c>
      <c r="C1345" s="1" t="s">
        <v>4087</v>
      </c>
      <c r="D1345" s="1" t="s">
        <v>4088</v>
      </c>
      <c r="F1345" s="1" t="s">
        <v>4089</v>
      </c>
      <c r="G1345" s="1">
        <v>1</v>
      </c>
      <c r="H1345" s="7">
        <v>45560</v>
      </c>
      <c r="I1345" s="1" t="s">
        <v>7449</v>
      </c>
      <c r="J1345" s="7">
        <v>45560</v>
      </c>
      <c r="K1345" s="1" t="s">
        <v>7449</v>
      </c>
    </row>
    <row r="1346" spans="1:11" x14ac:dyDescent="0.25">
      <c r="A1346" s="1">
        <v>1345</v>
      </c>
      <c r="B1346" s="1" t="s">
        <v>4090</v>
      </c>
      <c r="C1346" s="1" t="s">
        <v>4091</v>
      </c>
      <c r="D1346" s="1" t="s">
        <v>4092</v>
      </c>
      <c r="G1346" s="1">
        <v>1</v>
      </c>
      <c r="H1346" s="7">
        <v>45560</v>
      </c>
      <c r="I1346" s="1" t="s">
        <v>7449</v>
      </c>
      <c r="J1346" s="7">
        <v>45560</v>
      </c>
      <c r="K1346" s="1" t="s">
        <v>7449</v>
      </c>
    </row>
    <row r="1347" spans="1:11" x14ac:dyDescent="0.25">
      <c r="A1347" s="1">
        <v>1346</v>
      </c>
      <c r="B1347" s="1" t="s">
        <v>4093</v>
      </c>
      <c r="C1347" s="1" t="s">
        <v>4094</v>
      </c>
      <c r="F1347" s="1" t="s">
        <v>4095</v>
      </c>
      <c r="G1347" s="1">
        <v>1</v>
      </c>
      <c r="H1347" s="7">
        <v>45560</v>
      </c>
      <c r="I1347" s="1" t="s">
        <v>7449</v>
      </c>
      <c r="J1347" s="7">
        <v>45560</v>
      </c>
      <c r="K1347" s="1" t="s">
        <v>7449</v>
      </c>
    </row>
    <row r="1348" spans="1:11" x14ac:dyDescent="0.25">
      <c r="A1348" s="1">
        <v>1347</v>
      </c>
      <c r="B1348" s="1" t="s">
        <v>4096</v>
      </c>
      <c r="C1348" s="1" t="s">
        <v>4097</v>
      </c>
      <c r="E1348" s="1" t="s">
        <v>52</v>
      </c>
      <c r="G1348" s="1">
        <v>1</v>
      </c>
      <c r="H1348" s="7">
        <v>45560</v>
      </c>
      <c r="I1348" s="1" t="s">
        <v>7449</v>
      </c>
      <c r="J1348" s="7">
        <v>45560</v>
      </c>
      <c r="K1348" s="1" t="s">
        <v>7449</v>
      </c>
    </row>
    <row r="1349" spans="1:11" x14ac:dyDescent="0.25">
      <c r="A1349" s="1">
        <v>1348</v>
      </c>
      <c r="B1349" s="1" t="s">
        <v>4098</v>
      </c>
      <c r="C1349" s="1" t="s">
        <v>4099</v>
      </c>
      <c r="D1349" s="1" t="s">
        <v>4100</v>
      </c>
      <c r="F1349" s="1" t="s">
        <v>4101</v>
      </c>
      <c r="G1349" s="1">
        <v>1</v>
      </c>
      <c r="H1349" s="7">
        <v>45560</v>
      </c>
      <c r="I1349" s="1" t="s">
        <v>7449</v>
      </c>
      <c r="J1349" s="7">
        <v>45560</v>
      </c>
      <c r="K1349" s="1" t="s">
        <v>7449</v>
      </c>
    </row>
    <row r="1350" spans="1:11" x14ac:dyDescent="0.25">
      <c r="A1350" s="1">
        <v>1349</v>
      </c>
      <c r="B1350" s="1" t="s">
        <v>4102</v>
      </c>
      <c r="C1350" s="1" t="s">
        <v>4103</v>
      </c>
      <c r="D1350" s="1" t="s">
        <v>4104</v>
      </c>
      <c r="F1350" s="1" t="s">
        <v>4105</v>
      </c>
      <c r="G1350" s="1">
        <v>1</v>
      </c>
      <c r="H1350" s="7">
        <v>45560</v>
      </c>
      <c r="I1350" s="1" t="s">
        <v>7449</v>
      </c>
      <c r="J1350" s="7">
        <v>45560</v>
      </c>
      <c r="K1350" s="1" t="s">
        <v>7449</v>
      </c>
    </row>
    <row r="1351" spans="1:11" x14ac:dyDescent="0.25">
      <c r="A1351" s="1">
        <v>1350</v>
      </c>
      <c r="B1351" s="1" t="s">
        <v>4106</v>
      </c>
      <c r="C1351" s="1" t="s">
        <v>4107</v>
      </c>
      <c r="D1351" s="1" t="s">
        <v>4108</v>
      </c>
      <c r="G1351" s="1">
        <v>1</v>
      </c>
      <c r="H1351" s="7">
        <v>45560</v>
      </c>
      <c r="I1351" s="1" t="s">
        <v>7449</v>
      </c>
      <c r="J1351" s="7">
        <v>45560</v>
      </c>
      <c r="K1351" s="1" t="s">
        <v>7449</v>
      </c>
    </row>
    <row r="1352" spans="1:11" x14ac:dyDescent="0.25">
      <c r="A1352" s="1">
        <v>1351</v>
      </c>
      <c r="B1352" s="1" t="s">
        <v>4109</v>
      </c>
      <c r="C1352" s="1" t="s">
        <v>4110</v>
      </c>
      <c r="F1352" s="1" t="s">
        <v>4111</v>
      </c>
      <c r="G1352" s="1">
        <v>1</v>
      </c>
      <c r="H1352" s="7">
        <v>45560</v>
      </c>
      <c r="I1352" s="1" t="s">
        <v>7449</v>
      </c>
      <c r="J1352" s="7">
        <v>45560</v>
      </c>
      <c r="K1352" s="1" t="s">
        <v>7449</v>
      </c>
    </row>
    <row r="1353" spans="1:11" x14ac:dyDescent="0.25">
      <c r="A1353" s="1">
        <v>1352</v>
      </c>
      <c r="B1353" s="1" t="s">
        <v>4112</v>
      </c>
      <c r="C1353" s="1" t="s">
        <v>4113</v>
      </c>
      <c r="D1353" s="1" t="s">
        <v>4114</v>
      </c>
      <c r="F1353" s="1" t="s">
        <v>4115</v>
      </c>
      <c r="G1353" s="1">
        <v>1</v>
      </c>
      <c r="H1353" s="7">
        <v>45560</v>
      </c>
      <c r="I1353" s="1" t="s">
        <v>7449</v>
      </c>
      <c r="J1353" s="7">
        <v>45560</v>
      </c>
      <c r="K1353" s="1" t="s">
        <v>7449</v>
      </c>
    </row>
    <row r="1354" spans="1:11" x14ac:dyDescent="0.25">
      <c r="A1354" s="1">
        <v>1353</v>
      </c>
      <c r="B1354" s="1" t="s">
        <v>4116</v>
      </c>
      <c r="C1354" s="1" t="s">
        <v>4117</v>
      </c>
      <c r="F1354" s="1" t="s">
        <v>4118</v>
      </c>
      <c r="G1354" s="1">
        <v>1</v>
      </c>
      <c r="H1354" s="7">
        <v>45560</v>
      </c>
      <c r="I1354" s="1" t="s">
        <v>7449</v>
      </c>
      <c r="J1354" s="7">
        <v>45560</v>
      </c>
      <c r="K1354" s="1" t="s">
        <v>7449</v>
      </c>
    </row>
    <row r="1355" spans="1:11" x14ac:dyDescent="0.25">
      <c r="A1355" s="1">
        <v>1354</v>
      </c>
      <c r="B1355" s="1" t="s">
        <v>4119</v>
      </c>
      <c r="C1355" s="1" t="s">
        <v>4120</v>
      </c>
      <c r="F1355" s="1" t="s">
        <v>4121</v>
      </c>
      <c r="G1355" s="1">
        <v>1</v>
      </c>
      <c r="H1355" s="7">
        <v>45560</v>
      </c>
      <c r="I1355" s="1" t="s">
        <v>7449</v>
      </c>
      <c r="J1355" s="7">
        <v>45560</v>
      </c>
      <c r="K1355" s="1" t="s">
        <v>7449</v>
      </c>
    </row>
    <row r="1356" spans="1:11" x14ac:dyDescent="0.25">
      <c r="A1356" s="1">
        <v>1355</v>
      </c>
      <c r="B1356" s="1" t="s">
        <v>4122</v>
      </c>
      <c r="C1356" s="1" t="s">
        <v>4123</v>
      </c>
      <c r="F1356" s="1" t="s">
        <v>4124</v>
      </c>
      <c r="G1356" s="1">
        <v>1</v>
      </c>
      <c r="H1356" s="7">
        <v>45560</v>
      </c>
      <c r="I1356" s="1" t="s">
        <v>7449</v>
      </c>
      <c r="J1356" s="7">
        <v>45560</v>
      </c>
      <c r="K1356" s="1" t="s">
        <v>7449</v>
      </c>
    </row>
    <row r="1357" spans="1:11" x14ac:dyDescent="0.25">
      <c r="A1357" s="1">
        <v>1356</v>
      </c>
      <c r="B1357" s="1" t="s">
        <v>4125</v>
      </c>
      <c r="C1357" s="1" t="s">
        <v>4126</v>
      </c>
      <c r="F1357" s="1" t="s">
        <v>4127</v>
      </c>
      <c r="G1357" s="1">
        <v>1</v>
      </c>
      <c r="H1357" s="7">
        <v>45560</v>
      </c>
      <c r="I1357" s="1" t="s">
        <v>7449</v>
      </c>
      <c r="J1357" s="7">
        <v>45560</v>
      </c>
      <c r="K1357" s="1" t="s">
        <v>7449</v>
      </c>
    </row>
    <row r="1358" spans="1:11" x14ac:dyDescent="0.25">
      <c r="A1358" s="1">
        <v>1357</v>
      </c>
      <c r="B1358" s="1" t="s">
        <v>4128</v>
      </c>
      <c r="C1358" s="1" t="s">
        <v>4129</v>
      </c>
      <c r="F1358" s="1" t="s">
        <v>4130</v>
      </c>
      <c r="G1358" s="1">
        <v>1</v>
      </c>
      <c r="H1358" s="7">
        <v>45560</v>
      </c>
      <c r="I1358" s="1" t="s">
        <v>7449</v>
      </c>
      <c r="J1358" s="7">
        <v>45560</v>
      </c>
      <c r="K1358" s="1" t="s">
        <v>7449</v>
      </c>
    </row>
    <row r="1359" spans="1:11" x14ac:dyDescent="0.25">
      <c r="A1359" s="1">
        <v>1358</v>
      </c>
      <c r="B1359" s="1" t="s">
        <v>4131</v>
      </c>
      <c r="C1359" s="1" t="s">
        <v>4132</v>
      </c>
      <c r="D1359" s="1" t="s">
        <v>4133</v>
      </c>
      <c r="E1359" s="1" t="s">
        <v>4134</v>
      </c>
      <c r="G1359" s="1">
        <v>1</v>
      </c>
      <c r="H1359" s="7">
        <v>45560</v>
      </c>
      <c r="I1359" s="1" t="s">
        <v>7449</v>
      </c>
      <c r="J1359" s="7">
        <v>45560</v>
      </c>
      <c r="K1359" s="1" t="s">
        <v>7449</v>
      </c>
    </row>
    <row r="1360" spans="1:11" x14ac:dyDescent="0.25">
      <c r="A1360" s="1">
        <v>1359</v>
      </c>
      <c r="B1360" s="1" t="s">
        <v>4135</v>
      </c>
      <c r="C1360" s="1" t="s">
        <v>4136</v>
      </c>
      <c r="D1360" s="1" t="s">
        <v>4137</v>
      </c>
      <c r="F1360" s="1" t="s">
        <v>4138</v>
      </c>
      <c r="G1360" s="1">
        <v>1</v>
      </c>
      <c r="H1360" s="7">
        <v>45560</v>
      </c>
      <c r="I1360" s="1" t="s">
        <v>7449</v>
      </c>
      <c r="J1360" s="7">
        <v>45560</v>
      </c>
      <c r="K1360" s="1" t="s">
        <v>7449</v>
      </c>
    </row>
    <row r="1361" spans="1:11" x14ac:dyDescent="0.25">
      <c r="A1361" s="1">
        <v>1360</v>
      </c>
      <c r="B1361" s="1" t="s">
        <v>4139</v>
      </c>
      <c r="C1361" s="1" t="s">
        <v>4140</v>
      </c>
      <c r="D1361" s="1" t="s">
        <v>4141</v>
      </c>
      <c r="E1361" s="1" t="s">
        <v>4134</v>
      </c>
      <c r="G1361" s="1">
        <v>1</v>
      </c>
      <c r="H1361" s="7">
        <v>45560</v>
      </c>
      <c r="I1361" s="1" t="s">
        <v>7449</v>
      </c>
      <c r="J1361" s="7">
        <v>45560</v>
      </c>
      <c r="K1361" s="1" t="s">
        <v>7449</v>
      </c>
    </row>
    <row r="1362" spans="1:11" x14ac:dyDescent="0.25">
      <c r="A1362" s="1">
        <v>1361</v>
      </c>
      <c r="B1362" s="1" t="s">
        <v>4142</v>
      </c>
      <c r="C1362" s="1" t="s">
        <v>4143</v>
      </c>
      <c r="F1362" s="1" t="s">
        <v>4144</v>
      </c>
      <c r="G1362" s="1">
        <v>1</v>
      </c>
      <c r="H1362" s="7">
        <v>45560</v>
      </c>
      <c r="I1362" s="1" t="s">
        <v>7449</v>
      </c>
      <c r="J1362" s="7">
        <v>45560</v>
      </c>
      <c r="K1362" s="1" t="s">
        <v>7449</v>
      </c>
    </row>
    <row r="1363" spans="1:11" x14ac:dyDescent="0.25">
      <c r="A1363" s="1">
        <v>1362</v>
      </c>
      <c r="B1363" s="1" t="s">
        <v>4145</v>
      </c>
      <c r="C1363" s="1" t="s">
        <v>4146</v>
      </c>
      <c r="F1363" s="1" t="s">
        <v>4147</v>
      </c>
      <c r="G1363" s="1">
        <v>1</v>
      </c>
      <c r="H1363" s="7">
        <v>45560</v>
      </c>
      <c r="I1363" s="1" t="s">
        <v>7449</v>
      </c>
      <c r="J1363" s="7">
        <v>45560</v>
      </c>
      <c r="K1363" s="1" t="s">
        <v>7449</v>
      </c>
    </row>
    <row r="1364" spans="1:11" x14ac:dyDescent="0.25">
      <c r="A1364" s="1">
        <v>1363</v>
      </c>
      <c r="B1364" s="1" t="s">
        <v>4148</v>
      </c>
      <c r="C1364" s="1" t="s">
        <v>4149</v>
      </c>
      <c r="F1364" s="1" t="s">
        <v>4150</v>
      </c>
      <c r="G1364" s="1">
        <v>1</v>
      </c>
      <c r="H1364" s="7">
        <v>45560</v>
      </c>
      <c r="I1364" s="1" t="s">
        <v>7449</v>
      </c>
      <c r="J1364" s="7">
        <v>45560</v>
      </c>
      <c r="K1364" s="1" t="s">
        <v>7449</v>
      </c>
    </row>
    <row r="1365" spans="1:11" x14ac:dyDescent="0.25">
      <c r="A1365" s="1">
        <v>1364</v>
      </c>
      <c r="B1365" s="1" t="s">
        <v>4151</v>
      </c>
      <c r="C1365" s="1" t="s">
        <v>4152</v>
      </c>
      <c r="F1365" s="1" t="s">
        <v>4153</v>
      </c>
      <c r="G1365" s="1">
        <v>1</v>
      </c>
      <c r="H1365" s="7">
        <v>45560</v>
      </c>
      <c r="I1365" s="1" t="s">
        <v>7449</v>
      </c>
      <c r="J1365" s="7">
        <v>45560</v>
      </c>
      <c r="K1365" s="1" t="s">
        <v>7449</v>
      </c>
    </row>
    <row r="1366" spans="1:11" x14ac:dyDescent="0.25">
      <c r="A1366" s="1">
        <v>1365</v>
      </c>
      <c r="B1366" s="1" t="s">
        <v>4154</v>
      </c>
      <c r="C1366" s="1" t="s">
        <v>4155</v>
      </c>
      <c r="F1366" s="1" t="s">
        <v>4156</v>
      </c>
      <c r="G1366" s="1">
        <v>1</v>
      </c>
      <c r="H1366" s="7">
        <v>45560</v>
      </c>
      <c r="I1366" s="1" t="s">
        <v>7449</v>
      </c>
      <c r="J1366" s="7">
        <v>45560</v>
      </c>
      <c r="K1366" s="1" t="s">
        <v>7449</v>
      </c>
    </row>
    <row r="1367" spans="1:11" x14ac:dyDescent="0.25">
      <c r="A1367" s="1">
        <v>1366</v>
      </c>
      <c r="B1367" s="1" t="s">
        <v>4157</v>
      </c>
      <c r="C1367" s="1" t="s">
        <v>4158</v>
      </c>
      <c r="F1367" s="1" t="s">
        <v>4159</v>
      </c>
      <c r="G1367" s="1">
        <v>1</v>
      </c>
      <c r="H1367" s="7">
        <v>45560</v>
      </c>
      <c r="I1367" s="1" t="s">
        <v>7449</v>
      </c>
      <c r="J1367" s="7">
        <v>45560</v>
      </c>
      <c r="K1367" s="1" t="s">
        <v>7449</v>
      </c>
    </row>
    <row r="1368" spans="1:11" x14ac:dyDescent="0.25">
      <c r="A1368" s="1">
        <v>1367</v>
      </c>
      <c r="B1368" s="1" t="s">
        <v>4160</v>
      </c>
      <c r="C1368" s="1" t="s">
        <v>4161</v>
      </c>
      <c r="F1368" s="1" t="s">
        <v>4162</v>
      </c>
      <c r="G1368" s="1">
        <v>1</v>
      </c>
      <c r="H1368" s="7">
        <v>45560</v>
      </c>
      <c r="I1368" s="1" t="s">
        <v>7449</v>
      </c>
      <c r="J1368" s="7">
        <v>45560</v>
      </c>
      <c r="K1368" s="1" t="s">
        <v>7449</v>
      </c>
    </row>
    <row r="1369" spans="1:11" x14ac:dyDescent="0.25">
      <c r="A1369" s="1">
        <v>1368</v>
      </c>
      <c r="B1369" s="1" t="s">
        <v>4163</v>
      </c>
      <c r="C1369" s="1" t="s">
        <v>4164</v>
      </c>
      <c r="F1369" s="1" t="s">
        <v>4165</v>
      </c>
      <c r="G1369" s="1">
        <v>1</v>
      </c>
      <c r="H1369" s="7">
        <v>45560</v>
      </c>
      <c r="I1369" s="1" t="s">
        <v>7449</v>
      </c>
      <c r="J1369" s="7">
        <v>45560</v>
      </c>
      <c r="K1369" s="1" t="s">
        <v>7449</v>
      </c>
    </row>
    <row r="1370" spans="1:11" x14ac:dyDescent="0.25">
      <c r="A1370" s="1">
        <v>1369</v>
      </c>
      <c r="B1370" s="1" t="s">
        <v>4166</v>
      </c>
      <c r="C1370" s="1" t="s">
        <v>4167</v>
      </c>
      <c r="F1370" s="1" t="s">
        <v>4168</v>
      </c>
      <c r="G1370" s="1">
        <v>1</v>
      </c>
      <c r="H1370" s="7">
        <v>45560</v>
      </c>
      <c r="I1370" s="1" t="s">
        <v>7449</v>
      </c>
      <c r="J1370" s="7">
        <v>45560</v>
      </c>
      <c r="K1370" s="1" t="s">
        <v>7449</v>
      </c>
    </row>
    <row r="1371" spans="1:11" x14ac:dyDescent="0.25">
      <c r="A1371" s="1">
        <v>1370</v>
      </c>
      <c r="B1371" s="1" t="s">
        <v>4169</v>
      </c>
      <c r="C1371" s="1" t="s">
        <v>4170</v>
      </c>
      <c r="F1371" s="1" t="s">
        <v>4171</v>
      </c>
      <c r="G1371" s="1">
        <v>1</v>
      </c>
      <c r="H1371" s="7">
        <v>45560</v>
      </c>
      <c r="I1371" s="1" t="s">
        <v>7449</v>
      </c>
      <c r="J1371" s="7">
        <v>45560</v>
      </c>
      <c r="K1371" s="1" t="s">
        <v>7449</v>
      </c>
    </row>
    <row r="1372" spans="1:11" x14ac:dyDescent="0.25">
      <c r="A1372" s="1">
        <v>1371</v>
      </c>
      <c r="B1372" s="1" t="s">
        <v>4172</v>
      </c>
      <c r="C1372" s="1" t="s">
        <v>4173</v>
      </c>
      <c r="F1372" s="1" t="s">
        <v>4174</v>
      </c>
      <c r="G1372" s="1">
        <v>1</v>
      </c>
      <c r="H1372" s="7">
        <v>45560</v>
      </c>
      <c r="I1372" s="1" t="s">
        <v>7449</v>
      </c>
      <c r="J1372" s="7">
        <v>45560</v>
      </c>
      <c r="K1372" s="1" t="s">
        <v>7449</v>
      </c>
    </row>
    <row r="1373" spans="1:11" x14ac:dyDescent="0.25">
      <c r="A1373" s="1">
        <v>1372</v>
      </c>
      <c r="B1373" s="1" t="s">
        <v>4175</v>
      </c>
      <c r="C1373" s="1" t="s">
        <v>4176</v>
      </c>
      <c r="F1373" s="1" t="s">
        <v>4177</v>
      </c>
      <c r="G1373" s="1">
        <v>1</v>
      </c>
      <c r="H1373" s="7">
        <v>45560</v>
      </c>
      <c r="I1373" s="1" t="s">
        <v>7449</v>
      </c>
      <c r="J1373" s="7">
        <v>45560</v>
      </c>
      <c r="K1373" s="1" t="s">
        <v>7449</v>
      </c>
    </row>
    <row r="1374" spans="1:11" x14ac:dyDescent="0.25">
      <c r="A1374" s="1">
        <v>1373</v>
      </c>
      <c r="B1374" s="1" t="s">
        <v>4178</v>
      </c>
      <c r="C1374" s="1" t="s">
        <v>4179</v>
      </c>
      <c r="F1374" s="1" t="s">
        <v>4180</v>
      </c>
      <c r="G1374" s="1">
        <v>1</v>
      </c>
      <c r="H1374" s="7">
        <v>45560</v>
      </c>
      <c r="I1374" s="1" t="s">
        <v>7449</v>
      </c>
      <c r="J1374" s="7">
        <v>45560</v>
      </c>
      <c r="K1374" s="1" t="s">
        <v>7449</v>
      </c>
    </row>
    <row r="1375" spans="1:11" x14ac:dyDescent="0.25">
      <c r="A1375" s="1">
        <v>1374</v>
      </c>
      <c r="B1375" s="1" t="s">
        <v>4181</v>
      </c>
      <c r="C1375" s="1" t="s">
        <v>4182</v>
      </c>
      <c r="F1375" s="1" t="s">
        <v>4183</v>
      </c>
      <c r="G1375" s="1">
        <v>1</v>
      </c>
      <c r="H1375" s="7">
        <v>45560</v>
      </c>
      <c r="I1375" s="1" t="s">
        <v>7449</v>
      </c>
      <c r="J1375" s="7">
        <v>45560</v>
      </c>
      <c r="K1375" s="1" t="s">
        <v>7449</v>
      </c>
    </row>
    <row r="1376" spans="1:11" x14ac:dyDescent="0.25">
      <c r="A1376" s="1">
        <v>1375</v>
      </c>
      <c r="B1376" s="1" t="s">
        <v>4184</v>
      </c>
      <c r="C1376" s="1" t="s">
        <v>4185</v>
      </c>
      <c r="F1376" s="1" t="s">
        <v>4186</v>
      </c>
      <c r="G1376" s="1">
        <v>1</v>
      </c>
      <c r="H1376" s="7">
        <v>45560</v>
      </c>
      <c r="I1376" s="1" t="s">
        <v>7449</v>
      </c>
      <c r="J1376" s="7">
        <v>45560</v>
      </c>
      <c r="K1376" s="1" t="s">
        <v>7449</v>
      </c>
    </row>
    <row r="1377" spans="1:11" x14ac:dyDescent="0.25">
      <c r="A1377" s="1">
        <v>1376</v>
      </c>
      <c r="B1377" s="1" t="s">
        <v>4187</v>
      </c>
      <c r="C1377" s="1" t="s">
        <v>4188</v>
      </c>
      <c r="F1377" s="1" t="s">
        <v>4189</v>
      </c>
      <c r="G1377" s="1">
        <v>1</v>
      </c>
      <c r="H1377" s="7">
        <v>45560</v>
      </c>
      <c r="I1377" s="1" t="s">
        <v>7449</v>
      </c>
      <c r="J1377" s="7">
        <v>45560</v>
      </c>
      <c r="K1377" s="1" t="s">
        <v>7449</v>
      </c>
    </row>
    <row r="1378" spans="1:11" x14ac:dyDescent="0.25">
      <c r="A1378" s="1">
        <v>1377</v>
      </c>
      <c r="B1378" s="1" t="s">
        <v>4190</v>
      </c>
      <c r="C1378" s="1" t="s">
        <v>4191</v>
      </c>
      <c r="F1378" s="1" t="s">
        <v>4192</v>
      </c>
      <c r="G1378" s="1">
        <v>1</v>
      </c>
      <c r="H1378" s="7">
        <v>45560</v>
      </c>
      <c r="I1378" s="1" t="s">
        <v>7449</v>
      </c>
      <c r="J1378" s="7">
        <v>45560</v>
      </c>
      <c r="K1378" s="1" t="s">
        <v>7449</v>
      </c>
    </row>
    <row r="1379" spans="1:11" x14ac:dyDescent="0.25">
      <c r="A1379" s="1">
        <v>1378</v>
      </c>
      <c r="B1379" s="1" t="s">
        <v>4193</v>
      </c>
      <c r="C1379" s="1" t="s">
        <v>4194</v>
      </c>
      <c r="F1379" s="1" t="s">
        <v>4195</v>
      </c>
      <c r="G1379" s="1">
        <v>1</v>
      </c>
      <c r="H1379" s="7">
        <v>45560</v>
      </c>
      <c r="I1379" s="1" t="s">
        <v>7449</v>
      </c>
      <c r="J1379" s="7">
        <v>45560</v>
      </c>
      <c r="K1379" s="1" t="s">
        <v>7449</v>
      </c>
    </row>
    <row r="1380" spans="1:11" x14ac:dyDescent="0.25">
      <c r="A1380" s="1">
        <v>1379</v>
      </c>
      <c r="B1380" s="1" t="s">
        <v>4196</v>
      </c>
      <c r="C1380" s="1" t="s">
        <v>4197</v>
      </c>
      <c r="F1380" s="1" t="s">
        <v>4198</v>
      </c>
      <c r="G1380" s="1">
        <v>1</v>
      </c>
      <c r="H1380" s="7">
        <v>45560</v>
      </c>
      <c r="I1380" s="1" t="s">
        <v>7449</v>
      </c>
      <c r="J1380" s="7">
        <v>45560</v>
      </c>
      <c r="K1380" s="1" t="s">
        <v>7449</v>
      </c>
    </row>
    <row r="1381" spans="1:11" x14ac:dyDescent="0.25">
      <c r="A1381" s="1">
        <v>1380</v>
      </c>
      <c r="B1381" s="1" t="s">
        <v>4199</v>
      </c>
      <c r="C1381" s="1" t="s">
        <v>4200</v>
      </c>
      <c r="F1381" s="1" t="s">
        <v>4201</v>
      </c>
      <c r="G1381" s="1">
        <v>1</v>
      </c>
      <c r="H1381" s="7">
        <v>45560</v>
      </c>
      <c r="I1381" s="1" t="s">
        <v>7449</v>
      </c>
      <c r="J1381" s="7">
        <v>45560</v>
      </c>
      <c r="K1381" s="1" t="s">
        <v>7449</v>
      </c>
    </row>
    <row r="1382" spans="1:11" x14ac:dyDescent="0.25">
      <c r="A1382" s="1">
        <v>1381</v>
      </c>
      <c r="B1382" s="1" t="s">
        <v>4202</v>
      </c>
      <c r="C1382" s="1" t="s">
        <v>4203</v>
      </c>
      <c r="F1382" s="1" t="s">
        <v>4204</v>
      </c>
      <c r="G1382" s="1">
        <v>1</v>
      </c>
      <c r="H1382" s="7">
        <v>45560</v>
      </c>
      <c r="I1382" s="1" t="s">
        <v>7449</v>
      </c>
      <c r="J1382" s="7">
        <v>45560</v>
      </c>
      <c r="K1382" s="1" t="s">
        <v>7449</v>
      </c>
    </row>
    <row r="1383" spans="1:11" x14ac:dyDescent="0.25">
      <c r="A1383" s="1">
        <v>1382</v>
      </c>
      <c r="B1383" s="1" t="s">
        <v>4205</v>
      </c>
      <c r="C1383" s="1" t="s">
        <v>4206</v>
      </c>
      <c r="F1383" s="1" t="s">
        <v>4207</v>
      </c>
      <c r="G1383" s="1">
        <v>1</v>
      </c>
      <c r="H1383" s="7">
        <v>45560</v>
      </c>
      <c r="I1383" s="1" t="s">
        <v>7449</v>
      </c>
      <c r="J1383" s="7">
        <v>45560</v>
      </c>
      <c r="K1383" s="1" t="s">
        <v>7449</v>
      </c>
    </row>
    <row r="1384" spans="1:11" x14ac:dyDescent="0.25">
      <c r="A1384" s="1">
        <v>1383</v>
      </c>
      <c r="B1384" s="1" t="s">
        <v>4208</v>
      </c>
      <c r="C1384" s="1" t="s">
        <v>4209</v>
      </c>
      <c r="F1384" s="1" t="s">
        <v>4210</v>
      </c>
      <c r="G1384" s="1">
        <v>1</v>
      </c>
      <c r="H1384" s="7">
        <v>45560</v>
      </c>
      <c r="I1384" s="1" t="s">
        <v>7449</v>
      </c>
      <c r="J1384" s="7">
        <v>45560</v>
      </c>
      <c r="K1384" s="1" t="s">
        <v>7449</v>
      </c>
    </row>
    <row r="1385" spans="1:11" x14ac:dyDescent="0.25">
      <c r="A1385" s="1">
        <v>1384</v>
      </c>
      <c r="B1385" s="1" t="s">
        <v>4211</v>
      </c>
      <c r="C1385" s="1" t="s">
        <v>4212</v>
      </c>
      <c r="F1385" s="1" t="s">
        <v>4213</v>
      </c>
      <c r="G1385" s="1">
        <v>1</v>
      </c>
      <c r="H1385" s="7">
        <v>45560</v>
      </c>
      <c r="I1385" s="1" t="s">
        <v>7449</v>
      </c>
      <c r="J1385" s="7">
        <v>45560</v>
      </c>
      <c r="K1385" s="1" t="s">
        <v>7449</v>
      </c>
    </row>
    <row r="1386" spans="1:11" x14ac:dyDescent="0.25">
      <c r="A1386" s="1">
        <v>1385</v>
      </c>
      <c r="B1386" s="1" t="s">
        <v>4214</v>
      </c>
      <c r="C1386" s="1" t="s">
        <v>4215</v>
      </c>
      <c r="F1386" s="1" t="s">
        <v>4216</v>
      </c>
      <c r="G1386" s="1">
        <v>1</v>
      </c>
      <c r="H1386" s="7">
        <v>45560</v>
      </c>
      <c r="I1386" s="1" t="s">
        <v>7449</v>
      </c>
      <c r="J1386" s="7">
        <v>45560</v>
      </c>
      <c r="K1386" s="1" t="s">
        <v>7449</v>
      </c>
    </row>
    <row r="1387" spans="1:11" x14ac:dyDescent="0.25">
      <c r="A1387" s="1">
        <v>1386</v>
      </c>
      <c r="B1387" s="1" t="s">
        <v>4217</v>
      </c>
      <c r="C1387" s="1" t="s">
        <v>4218</v>
      </c>
      <c r="F1387" s="1" t="s">
        <v>4219</v>
      </c>
      <c r="G1387" s="1">
        <v>1</v>
      </c>
      <c r="H1387" s="7">
        <v>45560</v>
      </c>
      <c r="I1387" s="1" t="s">
        <v>7449</v>
      </c>
      <c r="J1387" s="7">
        <v>45560</v>
      </c>
      <c r="K1387" s="1" t="s">
        <v>7449</v>
      </c>
    </row>
    <row r="1388" spans="1:11" x14ac:dyDescent="0.25">
      <c r="A1388" s="1">
        <v>1387</v>
      </c>
      <c r="B1388" s="1" t="s">
        <v>4220</v>
      </c>
      <c r="C1388" s="1" t="s">
        <v>4221</v>
      </c>
      <c r="F1388" s="1" t="s">
        <v>4222</v>
      </c>
      <c r="G1388" s="1">
        <v>1</v>
      </c>
      <c r="H1388" s="7">
        <v>45560</v>
      </c>
      <c r="I1388" s="1" t="s">
        <v>7449</v>
      </c>
      <c r="J1388" s="7">
        <v>45560</v>
      </c>
      <c r="K1388" s="1" t="s">
        <v>7449</v>
      </c>
    </row>
    <row r="1389" spans="1:11" x14ac:dyDescent="0.25">
      <c r="A1389" s="1">
        <v>1388</v>
      </c>
      <c r="B1389" s="1" t="s">
        <v>4223</v>
      </c>
      <c r="C1389" s="1" t="s">
        <v>4224</v>
      </c>
      <c r="F1389" s="1" t="s">
        <v>4225</v>
      </c>
      <c r="G1389" s="1">
        <v>1</v>
      </c>
      <c r="H1389" s="7">
        <v>45560</v>
      </c>
      <c r="I1389" s="1" t="s">
        <v>7449</v>
      </c>
      <c r="J1389" s="7">
        <v>45560</v>
      </c>
      <c r="K1389" s="1" t="s">
        <v>7449</v>
      </c>
    </row>
    <row r="1390" spans="1:11" x14ac:dyDescent="0.25">
      <c r="A1390" s="1">
        <v>1389</v>
      </c>
      <c r="B1390" s="1" t="s">
        <v>4226</v>
      </c>
      <c r="C1390" s="1" t="s">
        <v>4227</v>
      </c>
      <c r="F1390" s="1" t="s">
        <v>4228</v>
      </c>
      <c r="G1390" s="1">
        <v>1</v>
      </c>
      <c r="H1390" s="7">
        <v>45560</v>
      </c>
      <c r="I1390" s="1" t="s">
        <v>7449</v>
      </c>
      <c r="J1390" s="7">
        <v>45560</v>
      </c>
      <c r="K1390" s="1" t="s">
        <v>7449</v>
      </c>
    </row>
    <row r="1391" spans="1:11" x14ac:dyDescent="0.25">
      <c r="A1391" s="1">
        <v>1390</v>
      </c>
      <c r="B1391" s="1" t="s">
        <v>4229</v>
      </c>
      <c r="C1391" s="1" t="s">
        <v>4230</v>
      </c>
      <c r="F1391" s="1" t="s">
        <v>4231</v>
      </c>
      <c r="G1391" s="1">
        <v>1</v>
      </c>
      <c r="H1391" s="7">
        <v>45560</v>
      </c>
      <c r="I1391" s="1" t="s">
        <v>7449</v>
      </c>
      <c r="J1391" s="7">
        <v>45560</v>
      </c>
      <c r="K1391" s="1" t="s">
        <v>7449</v>
      </c>
    </row>
    <row r="1392" spans="1:11" x14ac:dyDescent="0.25">
      <c r="A1392" s="1">
        <v>1391</v>
      </c>
      <c r="B1392" s="1" t="s">
        <v>4232</v>
      </c>
      <c r="C1392" s="1" t="s">
        <v>4233</v>
      </c>
      <c r="F1392" s="1" t="s">
        <v>4234</v>
      </c>
      <c r="G1392" s="1">
        <v>1</v>
      </c>
      <c r="H1392" s="7">
        <v>45560</v>
      </c>
      <c r="I1392" s="1" t="s">
        <v>7449</v>
      </c>
      <c r="J1392" s="7">
        <v>45560</v>
      </c>
      <c r="K1392" s="1" t="s">
        <v>7449</v>
      </c>
    </row>
    <row r="1393" spans="1:11" x14ac:dyDescent="0.25">
      <c r="A1393" s="1">
        <v>1392</v>
      </c>
      <c r="B1393" s="1" t="s">
        <v>4235</v>
      </c>
      <c r="C1393" s="1" t="s">
        <v>4236</v>
      </c>
      <c r="F1393" s="1" t="s">
        <v>4237</v>
      </c>
      <c r="G1393" s="1">
        <v>1</v>
      </c>
      <c r="H1393" s="7">
        <v>45560</v>
      </c>
      <c r="I1393" s="1" t="s">
        <v>7449</v>
      </c>
      <c r="J1393" s="7">
        <v>45560</v>
      </c>
      <c r="K1393" s="1" t="s">
        <v>7449</v>
      </c>
    </row>
    <row r="1394" spans="1:11" x14ac:dyDescent="0.25">
      <c r="A1394" s="1">
        <v>1393</v>
      </c>
      <c r="B1394" s="1" t="s">
        <v>4238</v>
      </c>
      <c r="C1394" s="1" t="s">
        <v>4239</v>
      </c>
      <c r="F1394" s="1" t="s">
        <v>4240</v>
      </c>
      <c r="G1394" s="1">
        <v>1</v>
      </c>
      <c r="H1394" s="7">
        <v>45560</v>
      </c>
      <c r="I1394" s="1" t="s">
        <v>7449</v>
      </c>
      <c r="J1394" s="7">
        <v>45560</v>
      </c>
      <c r="K1394" s="1" t="s">
        <v>7449</v>
      </c>
    </row>
    <row r="1395" spans="1:11" x14ac:dyDescent="0.25">
      <c r="A1395" s="1">
        <v>1394</v>
      </c>
      <c r="B1395" s="1" t="s">
        <v>4241</v>
      </c>
      <c r="C1395" s="1" t="s">
        <v>4242</v>
      </c>
      <c r="F1395" s="1" t="s">
        <v>4243</v>
      </c>
      <c r="G1395" s="1">
        <v>1</v>
      </c>
      <c r="H1395" s="7">
        <v>45560</v>
      </c>
      <c r="I1395" s="1" t="s">
        <v>7449</v>
      </c>
      <c r="J1395" s="7">
        <v>45560</v>
      </c>
      <c r="K1395" s="1" t="s">
        <v>7449</v>
      </c>
    </row>
    <row r="1396" spans="1:11" x14ac:dyDescent="0.25">
      <c r="A1396" s="1">
        <v>1395</v>
      </c>
      <c r="B1396" s="1" t="s">
        <v>4244</v>
      </c>
      <c r="C1396" s="1" t="s">
        <v>4245</v>
      </c>
      <c r="F1396" s="1" t="s">
        <v>4246</v>
      </c>
      <c r="G1396" s="1">
        <v>1</v>
      </c>
      <c r="H1396" s="7">
        <v>45560</v>
      </c>
      <c r="I1396" s="1" t="s">
        <v>7449</v>
      </c>
      <c r="J1396" s="7">
        <v>45560</v>
      </c>
      <c r="K1396" s="1" t="s">
        <v>7449</v>
      </c>
    </row>
    <row r="1397" spans="1:11" x14ac:dyDescent="0.25">
      <c r="A1397" s="1">
        <v>1396</v>
      </c>
      <c r="B1397" s="1" t="s">
        <v>4247</v>
      </c>
      <c r="C1397" s="1" t="s">
        <v>4248</v>
      </c>
      <c r="D1397" s="1" t="s">
        <v>4249</v>
      </c>
      <c r="F1397" s="1" t="s">
        <v>4250</v>
      </c>
      <c r="G1397" s="1">
        <v>1</v>
      </c>
      <c r="H1397" s="7">
        <v>45560</v>
      </c>
      <c r="I1397" s="1" t="s">
        <v>7449</v>
      </c>
      <c r="J1397" s="7">
        <v>45560</v>
      </c>
      <c r="K1397" s="1" t="s">
        <v>7449</v>
      </c>
    </row>
    <row r="1398" spans="1:11" x14ac:dyDescent="0.25">
      <c r="A1398" s="1">
        <v>1397</v>
      </c>
      <c r="B1398" s="1" t="s">
        <v>4251</v>
      </c>
      <c r="C1398" s="1" t="s">
        <v>4252</v>
      </c>
      <c r="F1398" s="1" t="s">
        <v>4253</v>
      </c>
      <c r="G1398" s="1">
        <v>1</v>
      </c>
      <c r="H1398" s="7">
        <v>45560</v>
      </c>
      <c r="I1398" s="1" t="s">
        <v>7449</v>
      </c>
      <c r="J1398" s="7">
        <v>45560</v>
      </c>
      <c r="K1398" s="1" t="s">
        <v>7449</v>
      </c>
    </row>
    <row r="1399" spans="1:11" x14ac:dyDescent="0.25">
      <c r="A1399" s="1">
        <v>1398</v>
      </c>
      <c r="B1399" s="1" t="s">
        <v>4254</v>
      </c>
      <c r="C1399" s="1" t="s">
        <v>4255</v>
      </c>
      <c r="F1399" s="1" t="s">
        <v>4256</v>
      </c>
      <c r="G1399" s="1">
        <v>1</v>
      </c>
      <c r="H1399" s="7">
        <v>45560</v>
      </c>
      <c r="I1399" s="1" t="s">
        <v>7449</v>
      </c>
      <c r="J1399" s="7">
        <v>45560</v>
      </c>
      <c r="K1399" s="1" t="s">
        <v>7449</v>
      </c>
    </row>
    <row r="1400" spans="1:11" x14ac:dyDescent="0.25">
      <c r="A1400" s="1">
        <v>1399</v>
      </c>
      <c r="B1400" s="1" t="s">
        <v>4257</v>
      </c>
      <c r="C1400" s="1" t="s">
        <v>4258</v>
      </c>
      <c r="F1400" s="1" t="s">
        <v>4259</v>
      </c>
      <c r="G1400" s="1">
        <v>1</v>
      </c>
      <c r="H1400" s="7">
        <v>45560</v>
      </c>
      <c r="I1400" s="1" t="s">
        <v>7449</v>
      </c>
      <c r="J1400" s="7">
        <v>45560</v>
      </c>
      <c r="K1400" s="1" t="s">
        <v>7449</v>
      </c>
    </row>
    <row r="1401" spans="1:11" x14ac:dyDescent="0.25">
      <c r="A1401" s="1">
        <v>1400</v>
      </c>
      <c r="B1401" s="1" t="s">
        <v>4260</v>
      </c>
      <c r="C1401" s="1" t="s">
        <v>4261</v>
      </c>
      <c r="F1401" s="1" t="s">
        <v>4262</v>
      </c>
      <c r="G1401" s="1">
        <v>1</v>
      </c>
      <c r="H1401" s="7">
        <v>45560</v>
      </c>
      <c r="I1401" s="1" t="s">
        <v>7449</v>
      </c>
      <c r="J1401" s="7">
        <v>45560</v>
      </c>
      <c r="K1401" s="1" t="s">
        <v>7449</v>
      </c>
    </row>
    <row r="1402" spans="1:11" x14ac:dyDescent="0.25">
      <c r="A1402" s="1">
        <v>1401</v>
      </c>
      <c r="B1402" s="1" t="s">
        <v>4263</v>
      </c>
      <c r="C1402" s="1" t="s">
        <v>4264</v>
      </c>
      <c r="F1402" s="1" t="s">
        <v>4265</v>
      </c>
      <c r="G1402" s="1">
        <v>1</v>
      </c>
      <c r="H1402" s="7">
        <v>45560</v>
      </c>
      <c r="I1402" s="1" t="s">
        <v>7449</v>
      </c>
      <c r="J1402" s="7">
        <v>45560</v>
      </c>
      <c r="K1402" s="1" t="s">
        <v>7449</v>
      </c>
    </row>
    <row r="1403" spans="1:11" x14ac:dyDescent="0.25">
      <c r="A1403" s="1">
        <v>1402</v>
      </c>
      <c r="B1403" s="1" t="s">
        <v>4266</v>
      </c>
      <c r="C1403" s="1" t="s">
        <v>4267</v>
      </c>
      <c r="F1403" s="1" t="s">
        <v>4268</v>
      </c>
      <c r="G1403" s="1">
        <v>1</v>
      </c>
      <c r="H1403" s="7">
        <v>45560</v>
      </c>
      <c r="I1403" s="1" t="s">
        <v>7449</v>
      </c>
      <c r="J1403" s="7">
        <v>45560</v>
      </c>
      <c r="K1403" s="1" t="s">
        <v>7449</v>
      </c>
    </row>
    <row r="1404" spans="1:11" x14ac:dyDescent="0.25">
      <c r="A1404" s="1">
        <v>1403</v>
      </c>
      <c r="B1404" s="1" t="s">
        <v>4269</v>
      </c>
      <c r="C1404" s="1" t="s">
        <v>4270</v>
      </c>
      <c r="F1404" s="1" t="s">
        <v>4271</v>
      </c>
      <c r="G1404" s="1">
        <v>1</v>
      </c>
      <c r="H1404" s="7">
        <v>45560</v>
      </c>
      <c r="I1404" s="1" t="s">
        <v>7449</v>
      </c>
      <c r="J1404" s="7">
        <v>45560</v>
      </c>
      <c r="K1404" s="1" t="s">
        <v>7449</v>
      </c>
    </row>
    <row r="1405" spans="1:11" x14ac:dyDescent="0.25">
      <c r="A1405" s="1">
        <v>1404</v>
      </c>
      <c r="B1405" s="1" t="s">
        <v>4272</v>
      </c>
      <c r="C1405" s="1" t="s">
        <v>4273</v>
      </c>
      <c r="F1405" s="1" t="s">
        <v>4274</v>
      </c>
      <c r="G1405" s="1">
        <v>1</v>
      </c>
      <c r="H1405" s="7">
        <v>45560</v>
      </c>
      <c r="I1405" s="1" t="s">
        <v>7449</v>
      </c>
      <c r="J1405" s="7">
        <v>45560</v>
      </c>
      <c r="K1405" s="1" t="s">
        <v>7449</v>
      </c>
    </row>
    <row r="1406" spans="1:11" x14ac:dyDescent="0.25">
      <c r="A1406" s="1">
        <v>1405</v>
      </c>
      <c r="B1406" s="1" t="s">
        <v>4275</v>
      </c>
      <c r="C1406" s="1" t="s">
        <v>4276</v>
      </c>
      <c r="F1406" s="1" t="s">
        <v>4277</v>
      </c>
      <c r="G1406" s="1">
        <v>1</v>
      </c>
      <c r="H1406" s="7">
        <v>45560</v>
      </c>
      <c r="I1406" s="1" t="s">
        <v>7449</v>
      </c>
      <c r="J1406" s="7">
        <v>45560</v>
      </c>
      <c r="K1406" s="1" t="s">
        <v>7449</v>
      </c>
    </row>
    <row r="1407" spans="1:11" x14ac:dyDescent="0.25">
      <c r="A1407" s="1">
        <v>1406</v>
      </c>
      <c r="B1407" s="1" t="s">
        <v>4278</v>
      </c>
      <c r="C1407" s="1" t="s">
        <v>4279</v>
      </c>
      <c r="F1407" s="1" t="s">
        <v>4280</v>
      </c>
      <c r="G1407" s="1">
        <v>1</v>
      </c>
      <c r="H1407" s="7">
        <v>45560</v>
      </c>
      <c r="I1407" s="1" t="s">
        <v>7449</v>
      </c>
      <c r="J1407" s="7">
        <v>45560</v>
      </c>
      <c r="K1407" s="1" t="s">
        <v>7449</v>
      </c>
    </row>
    <row r="1408" spans="1:11" x14ac:dyDescent="0.25">
      <c r="A1408" s="1">
        <v>1407</v>
      </c>
      <c r="B1408" s="1" t="s">
        <v>4281</v>
      </c>
      <c r="C1408" s="1" t="s">
        <v>4282</v>
      </c>
      <c r="F1408" s="1" t="s">
        <v>4283</v>
      </c>
      <c r="G1408" s="1">
        <v>1</v>
      </c>
      <c r="H1408" s="7">
        <v>45560</v>
      </c>
      <c r="I1408" s="1" t="s">
        <v>7449</v>
      </c>
      <c r="J1408" s="7">
        <v>45560</v>
      </c>
      <c r="K1408" s="1" t="s">
        <v>7449</v>
      </c>
    </row>
    <row r="1409" spans="1:11" x14ac:dyDescent="0.25">
      <c r="A1409" s="1">
        <v>1408</v>
      </c>
      <c r="B1409" s="1" t="s">
        <v>4284</v>
      </c>
      <c r="C1409" s="1" t="s">
        <v>4285</v>
      </c>
      <c r="F1409" s="1" t="s">
        <v>4286</v>
      </c>
      <c r="G1409" s="1">
        <v>1</v>
      </c>
      <c r="H1409" s="7">
        <v>45560</v>
      </c>
      <c r="I1409" s="1" t="s">
        <v>7449</v>
      </c>
      <c r="J1409" s="7">
        <v>45560</v>
      </c>
      <c r="K1409" s="1" t="s">
        <v>7449</v>
      </c>
    </row>
    <row r="1410" spans="1:11" x14ac:dyDescent="0.25">
      <c r="A1410" s="1">
        <v>1409</v>
      </c>
      <c r="B1410" s="1" t="s">
        <v>4287</v>
      </c>
      <c r="C1410" s="1" t="s">
        <v>4288</v>
      </c>
      <c r="F1410" s="1" t="s">
        <v>4289</v>
      </c>
      <c r="G1410" s="1">
        <v>1</v>
      </c>
      <c r="H1410" s="7">
        <v>45560</v>
      </c>
      <c r="I1410" s="1" t="s">
        <v>7449</v>
      </c>
      <c r="J1410" s="7">
        <v>45560</v>
      </c>
      <c r="K1410" s="1" t="s">
        <v>7449</v>
      </c>
    </row>
    <row r="1411" spans="1:11" x14ac:dyDescent="0.25">
      <c r="A1411" s="1">
        <v>1410</v>
      </c>
      <c r="B1411" s="1" t="s">
        <v>4290</v>
      </c>
      <c r="C1411" s="1" t="s">
        <v>4291</v>
      </c>
      <c r="F1411" s="1" t="s">
        <v>4292</v>
      </c>
      <c r="G1411" s="1">
        <v>1</v>
      </c>
      <c r="H1411" s="7">
        <v>45560</v>
      </c>
      <c r="I1411" s="1" t="s">
        <v>7449</v>
      </c>
      <c r="J1411" s="7">
        <v>45560</v>
      </c>
      <c r="K1411" s="1" t="s">
        <v>7449</v>
      </c>
    </row>
    <row r="1412" spans="1:11" x14ac:dyDescent="0.25">
      <c r="A1412" s="1">
        <v>1411</v>
      </c>
      <c r="B1412" s="1" t="s">
        <v>4293</v>
      </c>
      <c r="C1412" s="1" t="s">
        <v>4294</v>
      </c>
      <c r="F1412" s="1" t="s">
        <v>4295</v>
      </c>
      <c r="G1412" s="1">
        <v>1</v>
      </c>
      <c r="H1412" s="7">
        <v>45560</v>
      </c>
      <c r="I1412" s="1" t="s">
        <v>7449</v>
      </c>
      <c r="J1412" s="7">
        <v>45560</v>
      </c>
      <c r="K1412" s="1" t="s">
        <v>7449</v>
      </c>
    </row>
    <row r="1413" spans="1:11" x14ac:dyDescent="0.25">
      <c r="A1413" s="1">
        <v>1412</v>
      </c>
      <c r="B1413" s="1" t="s">
        <v>4296</v>
      </c>
      <c r="C1413" s="1" t="s">
        <v>4297</v>
      </c>
      <c r="F1413" s="1" t="s">
        <v>4298</v>
      </c>
      <c r="G1413" s="1">
        <v>1</v>
      </c>
      <c r="H1413" s="7">
        <v>45560</v>
      </c>
      <c r="I1413" s="1" t="s">
        <v>7449</v>
      </c>
      <c r="J1413" s="7">
        <v>45560</v>
      </c>
      <c r="K1413" s="1" t="s">
        <v>7449</v>
      </c>
    </row>
    <row r="1414" spans="1:11" x14ac:dyDescent="0.25">
      <c r="A1414" s="1">
        <v>1413</v>
      </c>
      <c r="B1414" s="1" t="s">
        <v>4299</v>
      </c>
      <c r="C1414" s="1" t="s">
        <v>4300</v>
      </c>
      <c r="F1414" s="1" t="s">
        <v>4301</v>
      </c>
      <c r="G1414" s="1">
        <v>1</v>
      </c>
      <c r="H1414" s="7">
        <v>45560</v>
      </c>
      <c r="I1414" s="1" t="s">
        <v>7449</v>
      </c>
      <c r="J1414" s="7">
        <v>45560</v>
      </c>
      <c r="K1414" s="1" t="s">
        <v>7449</v>
      </c>
    </row>
    <row r="1415" spans="1:11" x14ac:dyDescent="0.25">
      <c r="A1415" s="1">
        <v>1414</v>
      </c>
      <c r="B1415" s="1" t="s">
        <v>4302</v>
      </c>
      <c r="C1415" s="1" t="s">
        <v>4303</v>
      </c>
      <c r="D1415" s="1" t="s">
        <v>4304</v>
      </c>
      <c r="E1415" s="1" t="s">
        <v>52</v>
      </c>
      <c r="F1415" s="1" t="s">
        <v>4305</v>
      </c>
      <c r="G1415" s="1">
        <v>1</v>
      </c>
      <c r="H1415" s="7">
        <v>45560</v>
      </c>
      <c r="I1415" s="1" t="s">
        <v>7449</v>
      </c>
      <c r="J1415" s="7">
        <v>45560</v>
      </c>
      <c r="K1415" s="1" t="s">
        <v>7449</v>
      </c>
    </row>
    <row r="1416" spans="1:11" x14ac:dyDescent="0.25">
      <c r="A1416" s="1">
        <v>1415</v>
      </c>
      <c r="B1416" s="1" t="s">
        <v>4306</v>
      </c>
      <c r="C1416" s="1" t="s">
        <v>4307</v>
      </c>
      <c r="D1416" s="1" t="s">
        <v>4308</v>
      </c>
      <c r="E1416" s="1" t="s">
        <v>52</v>
      </c>
      <c r="F1416" s="1" t="s">
        <v>4309</v>
      </c>
      <c r="G1416" s="1">
        <v>1</v>
      </c>
      <c r="H1416" s="7">
        <v>45560</v>
      </c>
      <c r="I1416" s="1" t="s">
        <v>7449</v>
      </c>
      <c r="J1416" s="7">
        <v>45560</v>
      </c>
      <c r="K1416" s="1" t="s">
        <v>7449</v>
      </c>
    </row>
    <row r="1417" spans="1:11" x14ac:dyDescent="0.25">
      <c r="A1417" s="1">
        <v>1416</v>
      </c>
      <c r="B1417" s="1" t="s">
        <v>4310</v>
      </c>
      <c r="C1417" s="1" t="s">
        <v>4311</v>
      </c>
      <c r="F1417" s="1" t="s">
        <v>4312</v>
      </c>
      <c r="G1417" s="1">
        <v>1</v>
      </c>
      <c r="H1417" s="7">
        <v>45560</v>
      </c>
      <c r="I1417" s="1" t="s">
        <v>7449</v>
      </c>
      <c r="J1417" s="7">
        <v>45560</v>
      </c>
      <c r="K1417" s="1" t="s">
        <v>7449</v>
      </c>
    </row>
    <row r="1418" spans="1:11" x14ac:dyDescent="0.25">
      <c r="A1418" s="1">
        <v>1417</v>
      </c>
      <c r="B1418" s="1" t="s">
        <v>4313</v>
      </c>
      <c r="C1418" s="1" t="s">
        <v>4314</v>
      </c>
      <c r="F1418" s="1" t="s">
        <v>4315</v>
      </c>
      <c r="G1418" s="1">
        <v>1</v>
      </c>
      <c r="H1418" s="7">
        <v>45560</v>
      </c>
      <c r="I1418" s="1" t="s">
        <v>7449</v>
      </c>
      <c r="J1418" s="7">
        <v>45560</v>
      </c>
      <c r="K1418" s="1" t="s">
        <v>7449</v>
      </c>
    </row>
    <row r="1419" spans="1:11" x14ac:dyDescent="0.25">
      <c r="A1419" s="1">
        <v>1418</v>
      </c>
      <c r="B1419" s="1" t="s">
        <v>4316</v>
      </c>
      <c r="C1419" s="1" t="s">
        <v>4317</v>
      </c>
      <c r="F1419" s="1" t="s">
        <v>4318</v>
      </c>
      <c r="G1419" s="1">
        <v>1</v>
      </c>
      <c r="H1419" s="7">
        <v>45560</v>
      </c>
      <c r="I1419" s="1" t="s">
        <v>7449</v>
      </c>
      <c r="J1419" s="7">
        <v>45560</v>
      </c>
      <c r="K1419" s="1" t="s">
        <v>7449</v>
      </c>
    </row>
    <row r="1420" spans="1:11" x14ac:dyDescent="0.25">
      <c r="A1420" s="1">
        <v>1419</v>
      </c>
      <c r="B1420" s="1" t="s">
        <v>4319</v>
      </c>
      <c r="C1420" s="1" t="s">
        <v>4320</v>
      </c>
      <c r="F1420" s="1" t="s">
        <v>4321</v>
      </c>
      <c r="G1420" s="1">
        <v>1</v>
      </c>
      <c r="H1420" s="7">
        <v>45560</v>
      </c>
      <c r="I1420" s="1" t="s">
        <v>7449</v>
      </c>
      <c r="J1420" s="7">
        <v>45560</v>
      </c>
      <c r="K1420" s="1" t="s">
        <v>7449</v>
      </c>
    </row>
    <row r="1421" spans="1:11" x14ac:dyDescent="0.25">
      <c r="A1421" s="1">
        <v>1420</v>
      </c>
      <c r="B1421" s="1" t="s">
        <v>4322</v>
      </c>
      <c r="C1421" s="1" t="s">
        <v>4323</v>
      </c>
      <c r="F1421" s="1" t="s">
        <v>4324</v>
      </c>
      <c r="G1421" s="1">
        <v>1</v>
      </c>
      <c r="H1421" s="7">
        <v>45560</v>
      </c>
      <c r="I1421" s="1" t="s">
        <v>7449</v>
      </c>
      <c r="J1421" s="7">
        <v>45560</v>
      </c>
      <c r="K1421" s="1" t="s">
        <v>7449</v>
      </c>
    </row>
    <row r="1422" spans="1:11" x14ac:dyDescent="0.25">
      <c r="A1422" s="1">
        <v>1421</v>
      </c>
      <c r="B1422" s="1" t="s">
        <v>4325</v>
      </c>
      <c r="C1422" s="1" t="s">
        <v>4326</v>
      </c>
      <c r="F1422" s="1" t="s">
        <v>4327</v>
      </c>
      <c r="G1422" s="1">
        <v>1</v>
      </c>
      <c r="H1422" s="7">
        <v>45560</v>
      </c>
      <c r="I1422" s="1" t="s">
        <v>7449</v>
      </c>
      <c r="J1422" s="7">
        <v>45560</v>
      </c>
      <c r="K1422" s="1" t="s">
        <v>7449</v>
      </c>
    </row>
    <row r="1423" spans="1:11" x14ac:dyDescent="0.25">
      <c r="A1423" s="1">
        <v>1422</v>
      </c>
      <c r="B1423" s="1" t="s">
        <v>4328</v>
      </c>
      <c r="C1423" s="1" t="s">
        <v>4329</v>
      </c>
      <c r="F1423" s="1" t="s">
        <v>4330</v>
      </c>
      <c r="G1423" s="1">
        <v>1</v>
      </c>
      <c r="H1423" s="7">
        <v>45560</v>
      </c>
      <c r="I1423" s="1" t="s">
        <v>7449</v>
      </c>
      <c r="J1423" s="7">
        <v>45560</v>
      </c>
      <c r="K1423" s="1" t="s">
        <v>7449</v>
      </c>
    </row>
    <row r="1424" spans="1:11" x14ac:dyDescent="0.25">
      <c r="A1424" s="1">
        <v>1423</v>
      </c>
      <c r="B1424" s="1" t="s">
        <v>4331</v>
      </c>
      <c r="C1424" s="1" t="s">
        <v>4332</v>
      </c>
      <c r="F1424" s="1" t="s">
        <v>4333</v>
      </c>
      <c r="G1424" s="1">
        <v>1</v>
      </c>
      <c r="H1424" s="7">
        <v>45560</v>
      </c>
      <c r="I1424" s="1" t="s">
        <v>7449</v>
      </c>
      <c r="J1424" s="7">
        <v>45560</v>
      </c>
      <c r="K1424" s="1" t="s">
        <v>7449</v>
      </c>
    </row>
    <row r="1425" spans="1:11" x14ac:dyDescent="0.25">
      <c r="A1425" s="1">
        <v>1424</v>
      </c>
      <c r="B1425" s="1" t="s">
        <v>4334</v>
      </c>
      <c r="C1425" s="1" t="s">
        <v>4335</v>
      </c>
      <c r="F1425" s="1" t="s">
        <v>4336</v>
      </c>
      <c r="G1425" s="1">
        <v>1</v>
      </c>
      <c r="H1425" s="7">
        <v>45560</v>
      </c>
      <c r="I1425" s="1" t="s">
        <v>7449</v>
      </c>
      <c r="J1425" s="7">
        <v>45560</v>
      </c>
      <c r="K1425" s="1" t="s">
        <v>7449</v>
      </c>
    </row>
    <row r="1426" spans="1:11" x14ac:dyDescent="0.25">
      <c r="A1426" s="1">
        <v>1425</v>
      </c>
      <c r="B1426" s="1" t="s">
        <v>4337</v>
      </c>
      <c r="C1426" s="1" t="s">
        <v>4338</v>
      </c>
      <c r="F1426" s="1" t="s">
        <v>4339</v>
      </c>
      <c r="G1426" s="1">
        <v>1</v>
      </c>
      <c r="H1426" s="7">
        <v>45560</v>
      </c>
      <c r="I1426" s="1" t="s">
        <v>7449</v>
      </c>
      <c r="J1426" s="7">
        <v>45560</v>
      </c>
      <c r="K1426" s="1" t="s">
        <v>7449</v>
      </c>
    </row>
    <row r="1427" spans="1:11" x14ac:dyDescent="0.25">
      <c r="A1427" s="1">
        <v>1426</v>
      </c>
      <c r="B1427" s="1" t="s">
        <v>4340</v>
      </c>
      <c r="C1427" s="1" t="s">
        <v>4341</v>
      </c>
      <c r="F1427" s="1" t="s">
        <v>4342</v>
      </c>
      <c r="G1427" s="1">
        <v>1</v>
      </c>
      <c r="H1427" s="7">
        <v>45560</v>
      </c>
      <c r="I1427" s="1" t="s">
        <v>7449</v>
      </c>
      <c r="J1427" s="7">
        <v>45560</v>
      </c>
      <c r="K1427" s="1" t="s">
        <v>7449</v>
      </c>
    </row>
    <row r="1428" spans="1:11" x14ac:dyDescent="0.25">
      <c r="A1428" s="1">
        <v>1427</v>
      </c>
      <c r="B1428" s="1" t="s">
        <v>4343</v>
      </c>
      <c r="C1428" s="1" t="s">
        <v>4344</v>
      </c>
      <c r="F1428" s="1" t="s">
        <v>4345</v>
      </c>
      <c r="G1428" s="1">
        <v>1</v>
      </c>
      <c r="H1428" s="7">
        <v>45560</v>
      </c>
      <c r="I1428" s="1" t="s">
        <v>7449</v>
      </c>
      <c r="J1428" s="7">
        <v>45560</v>
      </c>
      <c r="K1428" s="1" t="s">
        <v>7449</v>
      </c>
    </row>
    <row r="1429" spans="1:11" x14ac:dyDescent="0.25">
      <c r="A1429" s="1">
        <v>1428</v>
      </c>
      <c r="B1429" s="1" t="s">
        <v>4346</v>
      </c>
      <c r="C1429" s="1" t="s">
        <v>4347</v>
      </c>
      <c r="F1429" s="1" t="s">
        <v>4348</v>
      </c>
      <c r="G1429" s="1">
        <v>1</v>
      </c>
      <c r="H1429" s="7">
        <v>45560</v>
      </c>
      <c r="I1429" s="1" t="s">
        <v>7449</v>
      </c>
      <c r="J1429" s="7">
        <v>45560</v>
      </c>
      <c r="K1429" s="1" t="s">
        <v>7449</v>
      </c>
    </row>
    <row r="1430" spans="1:11" x14ac:dyDescent="0.25">
      <c r="A1430" s="1">
        <v>1429</v>
      </c>
      <c r="B1430" s="1" t="s">
        <v>4349</v>
      </c>
      <c r="C1430" s="1" t="s">
        <v>4350</v>
      </c>
      <c r="F1430" s="1" t="s">
        <v>4351</v>
      </c>
      <c r="G1430" s="1">
        <v>1</v>
      </c>
      <c r="H1430" s="7">
        <v>45560</v>
      </c>
      <c r="I1430" s="1" t="s">
        <v>7449</v>
      </c>
      <c r="J1430" s="7">
        <v>45560</v>
      </c>
      <c r="K1430" s="1" t="s">
        <v>7449</v>
      </c>
    </row>
    <row r="1431" spans="1:11" x14ac:dyDescent="0.25">
      <c r="A1431" s="1">
        <v>1430</v>
      </c>
      <c r="B1431" s="1" t="s">
        <v>4352</v>
      </c>
      <c r="C1431" s="1" t="s">
        <v>4353</v>
      </c>
      <c r="F1431" s="1" t="s">
        <v>4354</v>
      </c>
      <c r="G1431" s="1">
        <v>1</v>
      </c>
      <c r="H1431" s="7">
        <v>45560</v>
      </c>
      <c r="I1431" s="1" t="s">
        <v>7449</v>
      </c>
      <c r="J1431" s="7">
        <v>45560</v>
      </c>
      <c r="K1431" s="1" t="s">
        <v>7449</v>
      </c>
    </row>
    <row r="1432" spans="1:11" x14ac:dyDescent="0.25">
      <c r="A1432" s="1">
        <v>1431</v>
      </c>
      <c r="B1432" s="1" t="s">
        <v>4355</v>
      </c>
      <c r="C1432" s="1" t="s">
        <v>4356</v>
      </c>
      <c r="F1432" s="1" t="s">
        <v>4357</v>
      </c>
      <c r="G1432" s="1">
        <v>1</v>
      </c>
      <c r="H1432" s="7">
        <v>45560</v>
      </c>
      <c r="I1432" s="1" t="s">
        <v>7449</v>
      </c>
      <c r="J1432" s="7">
        <v>45560</v>
      </c>
      <c r="K1432" s="1" t="s">
        <v>7449</v>
      </c>
    </row>
    <row r="1433" spans="1:11" x14ac:dyDescent="0.25">
      <c r="A1433" s="1">
        <v>1432</v>
      </c>
      <c r="B1433" s="1" t="s">
        <v>4358</v>
      </c>
      <c r="C1433" s="1" t="s">
        <v>4359</v>
      </c>
      <c r="F1433" s="1" t="s">
        <v>4360</v>
      </c>
      <c r="G1433" s="1">
        <v>1</v>
      </c>
      <c r="H1433" s="7">
        <v>45560</v>
      </c>
      <c r="I1433" s="1" t="s">
        <v>7449</v>
      </c>
      <c r="J1433" s="7">
        <v>45560</v>
      </c>
      <c r="K1433" s="1" t="s">
        <v>7449</v>
      </c>
    </row>
    <row r="1434" spans="1:11" x14ac:dyDescent="0.25">
      <c r="A1434" s="1">
        <v>1433</v>
      </c>
      <c r="B1434" s="1" t="s">
        <v>4361</v>
      </c>
      <c r="C1434" s="1" t="s">
        <v>4362</v>
      </c>
      <c r="F1434" s="1" t="s">
        <v>4363</v>
      </c>
      <c r="G1434" s="1">
        <v>1</v>
      </c>
      <c r="H1434" s="7">
        <v>45560</v>
      </c>
      <c r="I1434" s="1" t="s">
        <v>7449</v>
      </c>
      <c r="J1434" s="7">
        <v>45560</v>
      </c>
      <c r="K1434" s="1" t="s">
        <v>7449</v>
      </c>
    </row>
    <row r="1435" spans="1:11" x14ac:dyDescent="0.25">
      <c r="A1435" s="1">
        <v>1434</v>
      </c>
      <c r="B1435" s="1" t="s">
        <v>4364</v>
      </c>
      <c r="C1435" s="1" t="s">
        <v>4365</v>
      </c>
      <c r="F1435" s="1" t="s">
        <v>4366</v>
      </c>
      <c r="G1435" s="1">
        <v>1</v>
      </c>
      <c r="H1435" s="7">
        <v>45560</v>
      </c>
      <c r="I1435" s="1" t="s">
        <v>7449</v>
      </c>
      <c r="J1435" s="7">
        <v>45560</v>
      </c>
      <c r="K1435" s="1" t="s">
        <v>7449</v>
      </c>
    </row>
    <row r="1436" spans="1:11" x14ac:dyDescent="0.25">
      <c r="A1436" s="1">
        <v>1435</v>
      </c>
      <c r="B1436" s="1" t="s">
        <v>4367</v>
      </c>
      <c r="C1436" s="1" t="s">
        <v>4368</v>
      </c>
      <c r="F1436" s="1" t="s">
        <v>4369</v>
      </c>
      <c r="G1436" s="1">
        <v>1</v>
      </c>
      <c r="H1436" s="7">
        <v>45560</v>
      </c>
      <c r="I1436" s="1" t="s">
        <v>7449</v>
      </c>
      <c r="J1436" s="7">
        <v>45560</v>
      </c>
      <c r="K1436" s="1" t="s">
        <v>7449</v>
      </c>
    </row>
    <row r="1437" spans="1:11" x14ac:dyDescent="0.25">
      <c r="A1437" s="1">
        <v>1436</v>
      </c>
      <c r="B1437" s="1" t="s">
        <v>4370</v>
      </c>
      <c r="C1437" s="1" t="s">
        <v>4371</v>
      </c>
      <c r="F1437" s="1" t="s">
        <v>4372</v>
      </c>
      <c r="G1437" s="1">
        <v>1</v>
      </c>
      <c r="H1437" s="7">
        <v>45560</v>
      </c>
      <c r="I1437" s="1" t="s">
        <v>7449</v>
      </c>
      <c r="J1437" s="7">
        <v>45560</v>
      </c>
      <c r="K1437" s="1" t="s">
        <v>7449</v>
      </c>
    </row>
    <row r="1438" spans="1:11" x14ac:dyDescent="0.25">
      <c r="A1438" s="1">
        <v>1437</v>
      </c>
      <c r="B1438" s="1" t="s">
        <v>4373</v>
      </c>
      <c r="C1438" s="1" t="s">
        <v>4374</v>
      </c>
      <c r="F1438" s="1" t="s">
        <v>4375</v>
      </c>
      <c r="G1438" s="1">
        <v>1</v>
      </c>
      <c r="H1438" s="7">
        <v>45560</v>
      </c>
      <c r="I1438" s="1" t="s">
        <v>7449</v>
      </c>
      <c r="J1438" s="7">
        <v>45560</v>
      </c>
      <c r="K1438" s="1" t="s">
        <v>7449</v>
      </c>
    </row>
    <row r="1439" spans="1:11" x14ac:dyDescent="0.25">
      <c r="A1439" s="1">
        <v>1438</v>
      </c>
      <c r="B1439" s="1" t="s">
        <v>4376</v>
      </c>
      <c r="C1439" s="1" t="s">
        <v>4377</v>
      </c>
      <c r="F1439" s="1" t="s">
        <v>4378</v>
      </c>
      <c r="G1439" s="1">
        <v>1</v>
      </c>
      <c r="H1439" s="7">
        <v>45560</v>
      </c>
      <c r="I1439" s="1" t="s">
        <v>7449</v>
      </c>
      <c r="J1439" s="7">
        <v>45560</v>
      </c>
      <c r="K1439" s="1" t="s">
        <v>7449</v>
      </c>
    </row>
    <row r="1440" spans="1:11" x14ac:dyDescent="0.25">
      <c r="A1440" s="1">
        <v>1439</v>
      </c>
      <c r="B1440" s="1" t="s">
        <v>4379</v>
      </c>
      <c r="C1440" s="1" t="s">
        <v>4380</v>
      </c>
      <c r="F1440" s="1" t="s">
        <v>4381</v>
      </c>
      <c r="G1440" s="1">
        <v>1</v>
      </c>
      <c r="H1440" s="7">
        <v>45560</v>
      </c>
      <c r="I1440" s="1" t="s">
        <v>7449</v>
      </c>
      <c r="J1440" s="7">
        <v>45560</v>
      </c>
      <c r="K1440" s="1" t="s">
        <v>7449</v>
      </c>
    </row>
    <row r="1441" spans="1:11" x14ac:dyDescent="0.25">
      <c r="A1441" s="1">
        <v>1440</v>
      </c>
      <c r="B1441" s="1" t="s">
        <v>4382</v>
      </c>
      <c r="C1441" s="1" t="s">
        <v>4383</v>
      </c>
      <c r="F1441" s="1" t="s">
        <v>4384</v>
      </c>
      <c r="G1441" s="1">
        <v>1</v>
      </c>
      <c r="H1441" s="7">
        <v>45560</v>
      </c>
      <c r="I1441" s="1" t="s">
        <v>7449</v>
      </c>
      <c r="J1441" s="7">
        <v>45560</v>
      </c>
      <c r="K1441" s="1" t="s">
        <v>7449</v>
      </c>
    </row>
    <row r="1442" spans="1:11" x14ac:dyDescent="0.25">
      <c r="A1442" s="1">
        <v>1441</v>
      </c>
      <c r="B1442" s="1" t="s">
        <v>4385</v>
      </c>
      <c r="C1442" s="1" t="s">
        <v>4386</v>
      </c>
      <c r="F1442" s="1" t="s">
        <v>4387</v>
      </c>
      <c r="G1442" s="1">
        <v>1</v>
      </c>
      <c r="H1442" s="7">
        <v>45560</v>
      </c>
      <c r="I1442" s="1" t="s">
        <v>7449</v>
      </c>
      <c r="J1442" s="7">
        <v>45560</v>
      </c>
      <c r="K1442" s="1" t="s">
        <v>7449</v>
      </c>
    </row>
    <row r="1443" spans="1:11" x14ac:dyDescent="0.25">
      <c r="A1443" s="1">
        <v>1442</v>
      </c>
      <c r="B1443" s="1" t="s">
        <v>4388</v>
      </c>
      <c r="C1443" s="1" t="s">
        <v>4389</v>
      </c>
      <c r="F1443" s="1" t="s">
        <v>4390</v>
      </c>
      <c r="G1443" s="1">
        <v>1</v>
      </c>
      <c r="H1443" s="7">
        <v>45560</v>
      </c>
      <c r="I1443" s="1" t="s">
        <v>7449</v>
      </c>
      <c r="J1443" s="7">
        <v>45560</v>
      </c>
      <c r="K1443" s="1" t="s">
        <v>7449</v>
      </c>
    </row>
    <row r="1444" spans="1:11" x14ac:dyDescent="0.25">
      <c r="A1444" s="1">
        <v>1443</v>
      </c>
      <c r="B1444" s="1" t="s">
        <v>4391</v>
      </c>
      <c r="C1444" s="1" t="s">
        <v>4392</v>
      </c>
      <c r="F1444" s="1" t="s">
        <v>4393</v>
      </c>
      <c r="G1444" s="1">
        <v>1</v>
      </c>
      <c r="H1444" s="7">
        <v>45560</v>
      </c>
      <c r="I1444" s="1" t="s">
        <v>7449</v>
      </c>
      <c r="J1444" s="7">
        <v>45560</v>
      </c>
      <c r="K1444" s="1" t="s">
        <v>7449</v>
      </c>
    </row>
    <row r="1445" spans="1:11" x14ac:dyDescent="0.25">
      <c r="A1445" s="1">
        <v>1444</v>
      </c>
      <c r="B1445" s="1" t="s">
        <v>4394</v>
      </c>
      <c r="C1445" s="1" t="s">
        <v>4395</v>
      </c>
      <c r="F1445" s="1" t="s">
        <v>4396</v>
      </c>
      <c r="G1445" s="1">
        <v>1</v>
      </c>
      <c r="H1445" s="7">
        <v>45560</v>
      </c>
      <c r="I1445" s="1" t="s">
        <v>7449</v>
      </c>
      <c r="J1445" s="7">
        <v>45560</v>
      </c>
      <c r="K1445" s="1" t="s">
        <v>7449</v>
      </c>
    </row>
    <row r="1446" spans="1:11" x14ac:dyDescent="0.25">
      <c r="A1446" s="1">
        <v>1445</v>
      </c>
      <c r="B1446" s="1" t="s">
        <v>4397</v>
      </c>
      <c r="C1446" s="1" t="s">
        <v>4398</v>
      </c>
      <c r="F1446" s="1" t="s">
        <v>4399</v>
      </c>
      <c r="G1446" s="1">
        <v>1</v>
      </c>
      <c r="H1446" s="7">
        <v>45560</v>
      </c>
      <c r="I1446" s="1" t="s">
        <v>7449</v>
      </c>
      <c r="J1446" s="7">
        <v>45560</v>
      </c>
      <c r="K1446" s="1" t="s">
        <v>7449</v>
      </c>
    </row>
    <row r="1447" spans="1:11" x14ac:dyDescent="0.25">
      <c r="A1447" s="1">
        <v>1446</v>
      </c>
      <c r="B1447" s="1" t="s">
        <v>4400</v>
      </c>
      <c r="C1447" s="1" t="s">
        <v>4401</v>
      </c>
      <c r="F1447" s="1" t="s">
        <v>4402</v>
      </c>
      <c r="G1447" s="1">
        <v>1</v>
      </c>
      <c r="H1447" s="7">
        <v>45560</v>
      </c>
      <c r="I1447" s="1" t="s">
        <v>7449</v>
      </c>
      <c r="J1447" s="7">
        <v>45560</v>
      </c>
      <c r="K1447" s="1" t="s">
        <v>7449</v>
      </c>
    </row>
    <row r="1448" spans="1:11" x14ac:dyDescent="0.25">
      <c r="A1448" s="1">
        <v>1447</v>
      </c>
      <c r="B1448" s="1" t="s">
        <v>4403</v>
      </c>
      <c r="C1448" s="1" t="s">
        <v>4404</v>
      </c>
      <c r="F1448" s="1" t="s">
        <v>4405</v>
      </c>
      <c r="G1448" s="1">
        <v>1</v>
      </c>
      <c r="H1448" s="7">
        <v>45560</v>
      </c>
      <c r="I1448" s="1" t="s">
        <v>7449</v>
      </c>
      <c r="J1448" s="7">
        <v>45560</v>
      </c>
      <c r="K1448" s="1" t="s">
        <v>7449</v>
      </c>
    </row>
    <row r="1449" spans="1:11" x14ac:dyDescent="0.25">
      <c r="A1449" s="1">
        <v>1448</v>
      </c>
      <c r="B1449" s="1" t="s">
        <v>4406</v>
      </c>
      <c r="C1449" s="1" t="s">
        <v>4407</v>
      </c>
      <c r="D1449" s="1" t="s">
        <v>4408</v>
      </c>
      <c r="F1449" s="1" t="s">
        <v>4409</v>
      </c>
      <c r="G1449" s="1">
        <v>1</v>
      </c>
      <c r="H1449" s="7">
        <v>45560</v>
      </c>
      <c r="I1449" s="1" t="s">
        <v>7449</v>
      </c>
      <c r="J1449" s="7">
        <v>45560</v>
      </c>
      <c r="K1449" s="1" t="s">
        <v>7449</v>
      </c>
    </row>
    <row r="1450" spans="1:11" x14ac:dyDescent="0.25">
      <c r="A1450" s="1">
        <v>1449</v>
      </c>
      <c r="B1450" s="1" t="s">
        <v>4410</v>
      </c>
      <c r="C1450" s="1" t="s">
        <v>4411</v>
      </c>
      <c r="D1450" s="1" t="s">
        <v>4412</v>
      </c>
      <c r="F1450" s="1" t="s">
        <v>4413</v>
      </c>
      <c r="G1450" s="1">
        <v>1</v>
      </c>
      <c r="H1450" s="7">
        <v>45560</v>
      </c>
      <c r="I1450" s="1" t="s">
        <v>7449</v>
      </c>
      <c r="J1450" s="7">
        <v>45560</v>
      </c>
      <c r="K1450" s="1" t="s">
        <v>7449</v>
      </c>
    </row>
    <row r="1451" spans="1:11" x14ac:dyDescent="0.25">
      <c r="A1451" s="1">
        <v>1450</v>
      </c>
      <c r="B1451" s="1" t="s">
        <v>4414</v>
      </c>
      <c r="C1451" s="1" t="s">
        <v>4415</v>
      </c>
      <c r="F1451" s="1" t="s">
        <v>4416</v>
      </c>
      <c r="G1451" s="1">
        <v>1</v>
      </c>
      <c r="H1451" s="7">
        <v>45560</v>
      </c>
      <c r="I1451" s="1" t="s">
        <v>7449</v>
      </c>
      <c r="J1451" s="7">
        <v>45560</v>
      </c>
      <c r="K1451" s="1" t="s">
        <v>7449</v>
      </c>
    </row>
    <row r="1452" spans="1:11" x14ac:dyDescent="0.25">
      <c r="A1452" s="1">
        <v>1451</v>
      </c>
      <c r="B1452" s="1" t="s">
        <v>4417</v>
      </c>
      <c r="C1452" s="1" t="s">
        <v>4418</v>
      </c>
      <c r="F1452" s="1" t="s">
        <v>4419</v>
      </c>
      <c r="G1452" s="1">
        <v>1</v>
      </c>
      <c r="H1452" s="7">
        <v>45560</v>
      </c>
      <c r="I1452" s="1" t="s">
        <v>7449</v>
      </c>
      <c r="J1452" s="7">
        <v>45560</v>
      </c>
      <c r="K1452" s="1" t="s">
        <v>7449</v>
      </c>
    </row>
    <row r="1453" spans="1:11" x14ac:dyDescent="0.25">
      <c r="A1453" s="1">
        <v>1452</v>
      </c>
      <c r="B1453" s="1" t="s">
        <v>4420</v>
      </c>
      <c r="C1453" s="1" t="s">
        <v>4421</v>
      </c>
      <c r="F1453" s="1" t="s">
        <v>4422</v>
      </c>
      <c r="G1453" s="1">
        <v>1</v>
      </c>
      <c r="H1453" s="7">
        <v>45560</v>
      </c>
      <c r="I1453" s="1" t="s">
        <v>7449</v>
      </c>
      <c r="J1453" s="7">
        <v>45560</v>
      </c>
      <c r="K1453" s="1" t="s">
        <v>7449</v>
      </c>
    </row>
    <row r="1454" spans="1:11" x14ac:dyDescent="0.25">
      <c r="A1454" s="1">
        <v>1453</v>
      </c>
      <c r="B1454" s="1" t="s">
        <v>4423</v>
      </c>
      <c r="C1454" s="1" t="s">
        <v>4424</v>
      </c>
      <c r="D1454" s="1" t="s">
        <v>4425</v>
      </c>
      <c r="G1454" s="1">
        <v>1</v>
      </c>
      <c r="H1454" s="7">
        <v>45560</v>
      </c>
      <c r="I1454" s="1" t="s">
        <v>7449</v>
      </c>
      <c r="J1454" s="7">
        <v>45560</v>
      </c>
      <c r="K1454" s="1" t="s">
        <v>7449</v>
      </c>
    </row>
    <row r="1455" spans="1:11" x14ac:dyDescent="0.25">
      <c r="A1455" s="1">
        <v>1454</v>
      </c>
      <c r="B1455" s="1" t="s">
        <v>4426</v>
      </c>
      <c r="C1455" s="1" t="s">
        <v>4427</v>
      </c>
      <c r="D1455" s="1" t="s">
        <v>4428</v>
      </c>
      <c r="F1455" s="1" t="s">
        <v>4429</v>
      </c>
      <c r="G1455" s="1">
        <v>1</v>
      </c>
      <c r="H1455" s="7">
        <v>45560</v>
      </c>
      <c r="I1455" s="1" t="s">
        <v>7449</v>
      </c>
      <c r="J1455" s="7">
        <v>45560</v>
      </c>
      <c r="K1455" s="1" t="s">
        <v>7449</v>
      </c>
    </row>
    <row r="1456" spans="1:11" x14ac:dyDescent="0.25">
      <c r="A1456" s="1">
        <v>1455</v>
      </c>
      <c r="B1456" s="1" t="s">
        <v>4430</v>
      </c>
      <c r="C1456" s="1" t="s">
        <v>4431</v>
      </c>
      <c r="G1456" s="1">
        <v>1</v>
      </c>
      <c r="H1456" s="7">
        <v>45560</v>
      </c>
      <c r="I1456" s="1" t="s">
        <v>7449</v>
      </c>
      <c r="J1456" s="7">
        <v>45560</v>
      </c>
      <c r="K1456" s="1" t="s">
        <v>7449</v>
      </c>
    </row>
    <row r="1457" spans="1:11" x14ac:dyDescent="0.25">
      <c r="A1457" s="1">
        <v>1456</v>
      </c>
      <c r="B1457" s="1" t="s">
        <v>4432</v>
      </c>
      <c r="C1457" s="1" t="s">
        <v>4433</v>
      </c>
      <c r="E1457" s="1" t="s">
        <v>52</v>
      </c>
      <c r="G1457" s="1">
        <v>1</v>
      </c>
      <c r="H1457" s="7">
        <v>45560</v>
      </c>
      <c r="I1457" s="1" t="s">
        <v>7449</v>
      </c>
      <c r="J1457" s="7">
        <v>45560</v>
      </c>
      <c r="K1457" s="1" t="s">
        <v>7449</v>
      </c>
    </row>
    <row r="1458" spans="1:11" x14ac:dyDescent="0.25">
      <c r="A1458" s="1">
        <v>1457</v>
      </c>
      <c r="B1458" s="1" t="s">
        <v>4434</v>
      </c>
      <c r="C1458" s="1" t="s">
        <v>4435</v>
      </c>
      <c r="F1458" s="1" t="s">
        <v>4436</v>
      </c>
      <c r="G1458" s="1">
        <v>1</v>
      </c>
      <c r="H1458" s="7">
        <v>45560</v>
      </c>
      <c r="I1458" s="1" t="s">
        <v>7449</v>
      </c>
      <c r="J1458" s="7">
        <v>45560</v>
      </c>
      <c r="K1458" s="1" t="s">
        <v>7449</v>
      </c>
    </row>
    <row r="1459" spans="1:11" x14ac:dyDescent="0.25">
      <c r="A1459" s="1">
        <v>1458</v>
      </c>
      <c r="B1459" s="1" t="s">
        <v>4437</v>
      </c>
      <c r="C1459" s="1" t="s">
        <v>4438</v>
      </c>
      <c r="E1459" s="1" t="s">
        <v>52</v>
      </c>
      <c r="G1459" s="1">
        <v>1</v>
      </c>
      <c r="H1459" s="7">
        <v>45560</v>
      </c>
      <c r="I1459" s="1" t="s">
        <v>7449</v>
      </c>
      <c r="J1459" s="7">
        <v>45560</v>
      </c>
      <c r="K1459" s="1" t="s">
        <v>7449</v>
      </c>
    </row>
    <row r="1460" spans="1:11" x14ac:dyDescent="0.25">
      <c r="A1460" s="1">
        <v>1459</v>
      </c>
      <c r="B1460" s="1" t="s">
        <v>4439</v>
      </c>
      <c r="C1460" s="1" t="s">
        <v>4440</v>
      </c>
      <c r="D1460" s="1" t="s">
        <v>4441</v>
      </c>
      <c r="G1460" s="1">
        <v>1</v>
      </c>
      <c r="H1460" s="7">
        <v>45560</v>
      </c>
      <c r="I1460" s="1" t="s">
        <v>7449</v>
      </c>
      <c r="J1460" s="7">
        <v>45560</v>
      </c>
      <c r="K1460" s="1" t="s">
        <v>7449</v>
      </c>
    </row>
    <row r="1461" spans="1:11" x14ac:dyDescent="0.25">
      <c r="A1461" s="1">
        <v>1460</v>
      </c>
      <c r="B1461" s="1" t="s">
        <v>4442</v>
      </c>
      <c r="C1461" s="1" t="s">
        <v>4443</v>
      </c>
      <c r="D1461" s="1" t="s">
        <v>4444</v>
      </c>
      <c r="G1461" s="1">
        <v>1</v>
      </c>
      <c r="H1461" s="7">
        <v>45560</v>
      </c>
      <c r="I1461" s="1" t="s">
        <v>7449</v>
      </c>
      <c r="J1461" s="7">
        <v>45560</v>
      </c>
      <c r="K1461" s="1" t="s">
        <v>7449</v>
      </c>
    </row>
    <row r="1462" spans="1:11" x14ac:dyDescent="0.25">
      <c r="A1462" s="1">
        <v>1461</v>
      </c>
      <c r="B1462" s="1" t="s">
        <v>4445</v>
      </c>
      <c r="C1462" s="1" t="s">
        <v>4446</v>
      </c>
      <c r="D1462" s="1" t="s">
        <v>4447</v>
      </c>
      <c r="G1462" s="1">
        <v>1</v>
      </c>
      <c r="H1462" s="7">
        <v>45560</v>
      </c>
      <c r="I1462" s="1" t="s">
        <v>7449</v>
      </c>
      <c r="J1462" s="7">
        <v>45560</v>
      </c>
      <c r="K1462" s="1" t="s">
        <v>7449</v>
      </c>
    </row>
    <row r="1463" spans="1:11" x14ac:dyDescent="0.25">
      <c r="A1463" s="1">
        <v>1462</v>
      </c>
      <c r="B1463" s="1" t="s">
        <v>4448</v>
      </c>
      <c r="C1463" s="1" t="s">
        <v>4449</v>
      </c>
      <c r="E1463" s="1" t="s">
        <v>52</v>
      </c>
      <c r="G1463" s="1">
        <v>1</v>
      </c>
      <c r="H1463" s="7">
        <v>45560</v>
      </c>
      <c r="I1463" s="1" t="s">
        <v>7449</v>
      </c>
      <c r="J1463" s="7">
        <v>45560</v>
      </c>
      <c r="K1463" s="1" t="s">
        <v>7449</v>
      </c>
    </row>
    <row r="1464" spans="1:11" x14ac:dyDescent="0.25">
      <c r="A1464" s="1">
        <v>1463</v>
      </c>
      <c r="B1464" s="1" t="s">
        <v>4450</v>
      </c>
      <c r="C1464" s="1" t="s">
        <v>4451</v>
      </c>
      <c r="E1464" s="1" t="s">
        <v>52</v>
      </c>
      <c r="G1464" s="1">
        <v>1</v>
      </c>
      <c r="H1464" s="7">
        <v>45560</v>
      </c>
      <c r="I1464" s="1" t="s">
        <v>7449</v>
      </c>
      <c r="J1464" s="7">
        <v>45560</v>
      </c>
      <c r="K1464" s="1" t="s">
        <v>7449</v>
      </c>
    </row>
    <row r="1465" spans="1:11" x14ac:dyDescent="0.25">
      <c r="A1465" s="1">
        <v>1464</v>
      </c>
      <c r="B1465" s="1" t="s">
        <v>4452</v>
      </c>
      <c r="C1465" s="1" t="s">
        <v>4453</v>
      </c>
      <c r="D1465" s="1" t="s">
        <v>4454</v>
      </c>
      <c r="G1465" s="1">
        <v>1</v>
      </c>
      <c r="H1465" s="7">
        <v>45560</v>
      </c>
      <c r="I1465" s="1" t="s">
        <v>7449</v>
      </c>
      <c r="J1465" s="7">
        <v>45560</v>
      </c>
      <c r="K1465" s="1" t="s">
        <v>7449</v>
      </c>
    </row>
    <row r="1466" spans="1:11" x14ac:dyDescent="0.25">
      <c r="A1466" s="1">
        <v>1465</v>
      </c>
      <c r="B1466" s="1" t="s">
        <v>4455</v>
      </c>
      <c r="C1466" s="1" t="s">
        <v>4456</v>
      </c>
      <c r="D1466" s="1" t="s">
        <v>4457</v>
      </c>
      <c r="G1466" s="1">
        <v>1</v>
      </c>
      <c r="H1466" s="7">
        <v>45560</v>
      </c>
      <c r="I1466" s="1" t="s">
        <v>7449</v>
      </c>
      <c r="J1466" s="7">
        <v>45560</v>
      </c>
      <c r="K1466" s="1" t="s">
        <v>7449</v>
      </c>
    </row>
    <row r="1467" spans="1:11" x14ac:dyDescent="0.25">
      <c r="A1467" s="1">
        <v>1466</v>
      </c>
      <c r="B1467" s="1" t="s">
        <v>4458</v>
      </c>
      <c r="C1467" s="1" t="s">
        <v>4459</v>
      </c>
      <c r="D1467" s="1" t="s">
        <v>4460</v>
      </c>
      <c r="G1467" s="1">
        <v>1</v>
      </c>
      <c r="H1467" s="7">
        <v>45560</v>
      </c>
      <c r="I1467" s="1" t="s">
        <v>7449</v>
      </c>
      <c r="J1467" s="7">
        <v>45560</v>
      </c>
      <c r="K1467" s="1" t="s">
        <v>7449</v>
      </c>
    </row>
    <row r="1468" spans="1:11" x14ac:dyDescent="0.25">
      <c r="A1468" s="1">
        <v>1467</v>
      </c>
      <c r="B1468" s="1" t="s">
        <v>4461</v>
      </c>
      <c r="C1468" s="1" t="s">
        <v>4462</v>
      </c>
      <c r="D1468" s="1" t="s">
        <v>4463</v>
      </c>
      <c r="G1468" s="1">
        <v>1</v>
      </c>
      <c r="H1468" s="7">
        <v>45560</v>
      </c>
      <c r="I1468" s="1" t="s">
        <v>7449</v>
      </c>
      <c r="J1468" s="7">
        <v>45560</v>
      </c>
      <c r="K1468" s="1" t="s">
        <v>7449</v>
      </c>
    </row>
    <row r="1469" spans="1:11" x14ac:dyDescent="0.25">
      <c r="A1469" s="1">
        <v>1468</v>
      </c>
      <c r="B1469" s="1" t="s">
        <v>4464</v>
      </c>
      <c r="C1469" s="1" t="s">
        <v>4465</v>
      </c>
      <c r="D1469" s="1" t="s">
        <v>4466</v>
      </c>
      <c r="G1469" s="1">
        <v>1</v>
      </c>
      <c r="H1469" s="7">
        <v>45560</v>
      </c>
      <c r="I1469" s="1" t="s">
        <v>7449</v>
      </c>
      <c r="J1469" s="7">
        <v>45560</v>
      </c>
      <c r="K1469" s="1" t="s">
        <v>7449</v>
      </c>
    </row>
    <row r="1470" spans="1:11" x14ac:dyDescent="0.25">
      <c r="A1470" s="1">
        <v>1469</v>
      </c>
      <c r="B1470" s="1" t="s">
        <v>4467</v>
      </c>
      <c r="C1470" s="1" t="s">
        <v>4468</v>
      </c>
      <c r="D1470" s="1" t="s">
        <v>4469</v>
      </c>
      <c r="G1470" s="1">
        <v>1</v>
      </c>
      <c r="H1470" s="7">
        <v>45560</v>
      </c>
      <c r="I1470" s="1" t="s">
        <v>7449</v>
      </c>
      <c r="J1470" s="7">
        <v>45560</v>
      </c>
      <c r="K1470" s="1" t="s">
        <v>7449</v>
      </c>
    </row>
    <row r="1471" spans="1:11" x14ac:dyDescent="0.25">
      <c r="A1471" s="1">
        <v>1470</v>
      </c>
      <c r="B1471" s="1" t="s">
        <v>4470</v>
      </c>
      <c r="C1471" s="1" t="s">
        <v>4471</v>
      </c>
      <c r="D1471" s="1" t="s">
        <v>4472</v>
      </c>
      <c r="G1471" s="1">
        <v>1</v>
      </c>
      <c r="H1471" s="7">
        <v>45560</v>
      </c>
      <c r="I1471" s="1" t="s">
        <v>7449</v>
      </c>
      <c r="J1471" s="7">
        <v>45560</v>
      </c>
      <c r="K1471" s="1" t="s">
        <v>7449</v>
      </c>
    </row>
    <row r="1472" spans="1:11" x14ac:dyDescent="0.25">
      <c r="A1472" s="1">
        <v>1471</v>
      </c>
      <c r="B1472" s="1" t="s">
        <v>4473</v>
      </c>
      <c r="C1472" s="1" t="s">
        <v>4474</v>
      </c>
      <c r="D1472" s="1" t="s">
        <v>4475</v>
      </c>
      <c r="G1472" s="1">
        <v>1</v>
      </c>
      <c r="H1472" s="7">
        <v>45560</v>
      </c>
      <c r="I1472" s="1" t="s">
        <v>7449</v>
      </c>
      <c r="J1472" s="7">
        <v>45560</v>
      </c>
      <c r="K1472" s="1" t="s">
        <v>7449</v>
      </c>
    </row>
    <row r="1473" spans="1:11" x14ac:dyDescent="0.25">
      <c r="A1473" s="1">
        <v>1472</v>
      </c>
      <c r="B1473" s="1" t="s">
        <v>4476</v>
      </c>
      <c r="C1473" s="1" t="s">
        <v>4477</v>
      </c>
      <c r="D1473" s="1" t="s">
        <v>4478</v>
      </c>
      <c r="F1473" s="1" t="s">
        <v>4479</v>
      </c>
      <c r="G1473" s="1">
        <v>1</v>
      </c>
      <c r="H1473" s="7">
        <v>45560</v>
      </c>
      <c r="I1473" s="1" t="s">
        <v>7449</v>
      </c>
      <c r="J1473" s="7">
        <v>45560</v>
      </c>
      <c r="K1473" s="1" t="s">
        <v>7449</v>
      </c>
    </row>
    <row r="1474" spans="1:11" x14ac:dyDescent="0.25">
      <c r="A1474" s="1">
        <v>1473</v>
      </c>
      <c r="B1474" s="1" t="s">
        <v>4480</v>
      </c>
      <c r="C1474" s="1" t="s">
        <v>4481</v>
      </c>
      <c r="D1474" s="1" t="s">
        <v>4482</v>
      </c>
      <c r="F1474" s="1" t="s">
        <v>4483</v>
      </c>
      <c r="G1474" s="1">
        <v>1</v>
      </c>
      <c r="H1474" s="7">
        <v>45560</v>
      </c>
      <c r="I1474" s="1" t="s">
        <v>7449</v>
      </c>
      <c r="J1474" s="7">
        <v>45560</v>
      </c>
      <c r="K1474" s="1" t="s">
        <v>7449</v>
      </c>
    </row>
    <row r="1475" spans="1:11" x14ac:dyDescent="0.25">
      <c r="A1475" s="1">
        <v>1474</v>
      </c>
      <c r="B1475" s="1" t="s">
        <v>4484</v>
      </c>
      <c r="C1475" s="1" t="s">
        <v>4485</v>
      </c>
      <c r="D1475" s="1" t="s">
        <v>4486</v>
      </c>
      <c r="G1475" s="1">
        <v>1</v>
      </c>
      <c r="H1475" s="7">
        <v>45560</v>
      </c>
      <c r="I1475" s="1" t="s">
        <v>7449</v>
      </c>
      <c r="J1475" s="7">
        <v>45560</v>
      </c>
      <c r="K1475" s="1" t="s">
        <v>7449</v>
      </c>
    </row>
    <row r="1476" spans="1:11" x14ac:dyDescent="0.25">
      <c r="A1476" s="1">
        <v>1475</v>
      </c>
      <c r="B1476" s="1" t="s">
        <v>4487</v>
      </c>
      <c r="C1476" s="1" t="s">
        <v>4488</v>
      </c>
      <c r="D1476" s="1" t="s">
        <v>4489</v>
      </c>
      <c r="F1476" s="1" t="s">
        <v>4490</v>
      </c>
      <c r="G1476" s="1">
        <v>1</v>
      </c>
      <c r="H1476" s="7">
        <v>45560</v>
      </c>
      <c r="I1476" s="1" t="s">
        <v>7449</v>
      </c>
      <c r="J1476" s="7">
        <v>45560</v>
      </c>
      <c r="K1476" s="1" t="s">
        <v>7449</v>
      </c>
    </row>
    <row r="1477" spans="1:11" x14ac:dyDescent="0.25">
      <c r="A1477" s="1">
        <v>1476</v>
      </c>
      <c r="B1477" s="1" t="s">
        <v>4491</v>
      </c>
      <c r="C1477" s="1" t="s">
        <v>4492</v>
      </c>
      <c r="D1477" s="1" t="s">
        <v>4493</v>
      </c>
      <c r="F1477" s="1" t="s">
        <v>4494</v>
      </c>
      <c r="G1477" s="1">
        <v>1</v>
      </c>
      <c r="H1477" s="7">
        <v>45560</v>
      </c>
      <c r="I1477" s="1" t="s">
        <v>7449</v>
      </c>
      <c r="J1477" s="7">
        <v>45560</v>
      </c>
      <c r="K1477" s="1" t="s">
        <v>7449</v>
      </c>
    </row>
    <row r="1478" spans="1:11" x14ac:dyDescent="0.25">
      <c r="A1478" s="1">
        <v>1477</v>
      </c>
      <c r="B1478" s="1" t="s">
        <v>4495</v>
      </c>
      <c r="C1478" s="1" t="s">
        <v>4496</v>
      </c>
      <c r="E1478" s="1" t="s">
        <v>52</v>
      </c>
      <c r="G1478" s="1">
        <v>1</v>
      </c>
      <c r="H1478" s="7">
        <v>45560</v>
      </c>
      <c r="I1478" s="1" t="s">
        <v>7449</v>
      </c>
      <c r="J1478" s="7">
        <v>45560</v>
      </c>
      <c r="K1478" s="1" t="s">
        <v>7449</v>
      </c>
    </row>
    <row r="1479" spans="1:11" x14ac:dyDescent="0.25">
      <c r="A1479" s="1">
        <v>1478</v>
      </c>
      <c r="B1479" s="1" t="s">
        <v>4497</v>
      </c>
      <c r="C1479" s="1" t="s">
        <v>4498</v>
      </c>
      <c r="D1479" s="1" t="s">
        <v>4499</v>
      </c>
      <c r="G1479" s="1">
        <v>1</v>
      </c>
      <c r="H1479" s="7">
        <v>45560</v>
      </c>
      <c r="I1479" s="1" t="s">
        <v>7449</v>
      </c>
      <c r="J1479" s="7">
        <v>45560</v>
      </c>
      <c r="K1479" s="1" t="s">
        <v>7449</v>
      </c>
    </row>
    <row r="1480" spans="1:11" x14ac:dyDescent="0.25">
      <c r="A1480" s="1">
        <v>1479</v>
      </c>
      <c r="B1480" s="1" t="s">
        <v>4500</v>
      </c>
      <c r="C1480" s="1" t="s">
        <v>4501</v>
      </c>
      <c r="E1480" s="1" t="s">
        <v>52</v>
      </c>
      <c r="G1480" s="1">
        <v>1</v>
      </c>
      <c r="H1480" s="7">
        <v>45560</v>
      </c>
      <c r="I1480" s="1" t="s">
        <v>7449</v>
      </c>
      <c r="J1480" s="7">
        <v>45560</v>
      </c>
      <c r="K1480" s="1" t="s">
        <v>7449</v>
      </c>
    </row>
    <row r="1481" spans="1:11" x14ac:dyDescent="0.25">
      <c r="A1481" s="1">
        <v>1480</v>
      </c>
      <c r="B1481" s="1" t="s">
        <v>4502</v>
      </c>
      <c r="C1481" s="1" t="s">
        <v>4503</v>
      </c>
      <c r="F1481" s="1" t="s">
        <v>4504</v>
      </c>
      <c r="G1481" s="1">
        <v>1</v>
      </c>
      <c r="H1481" s="7">
        <v>45560</v>
      </c>
      <c r="I1481" s="1" t="s">
        <v>7449</v>
      </c>
      <c r="J1481" s="7">
        <v>45560</v>
      </c>
      <c r="K1481" s="1" t="s">
        <v>7449</v>
      </c>
    </row>
    <row r="1482" spans="1:11" x14ac:dyDescent="0.25">
      <c r="A1482" s="1">
        <v>1481</v>
      </c>
      <c r="B1482" s="1" t="s">
        <v>4505</v>
      </c>
      <c r="C1482" s="1" t="s">
        <v>4506</v>
      </c>
      <c r="F1482" s="1" t="s">
        <v>4507</v>
      </c>
      <c r="G1482" s="1">
        <v>1</v>
      </c>
      <c r="H1482" s="7">
        <v>45560</v>
      </c>
      <c r="I1482" s="1" t="s">
        <v>7449</v>
      </c>
      <c r="J1482" s="7">
        <v>45560</v>
      </c>
      <c r="K1482" s="1" t="s">
        <v>7449</v>
      </c>
    </row>
    <row r="1483" spans="1:11" x14ac:dyDescent="0.25">
      <c r="A1483" s="1">
        <v>1482</v>
      </c>
      <c r="B1483" s="1" t="s">
        <v>4508</v>
      </c>
      <c r="C1483" s="1" t="s">
        <v>4509</v>
      </c>
      <c r="F1483" s="1" t="s">
        <v>4510</v>
      </c>
      <c r="G1483" s="1">
        <v>1</v>
      </c>
      <c r="H1483" s="7">
        <v>45560</v>
      </c>
      <c r="I1483" s="1" t="s">
        <v>7449</v>
      </c>
      <c r="J1483" s="7">
        <v>45560</v>
      </c>
      <c r="K1483" s="1" t="s">
        <v>7449</v>
      </c>
    </row>
    <row r="1484" spans="1:11" x14ac:dyDescent="0.25">
      <c r="A1484" s="1">
        <v>1483</v>
      </c>
      <c r="B1484" s="1" t="s">
        <v>4511</v>
      </c>
      <c r="C1484" s="1" t="s">
        <v>4512</v>
      </c>
      <c r="F1484" s="1" t="s">
        <v>4513</v>
      </c>
      <c r="G1484" s="1">
        <v>1</v>
      </c>
      <c r="H1484" s="7">
        <v>45560</v>
      </c>
      <c r="I1484" s="1" t="s">
        <v>7449</v>
      </c>
      <c r="J1484" s="7">
        <v>45560</v>
      </c>
      <c r="K1484" s="1" t="s">
        <v>7449</v>
      </c>
    </row>
    <row r="1485" spans="1:11" x14ac:dyDescent="0.25">
      <c r="A1485" s="1">
        <v>1484</v>
      </c>
      <c r="B1485" s="1" t="s">
        <v>4514</v>
      </c>
      <c r="C1485" s="1" t="s">
        <v>4515</v>
      </c>
      <c r="F1485" s="1" t="s">
        <v>4516</v>
      </c>
      <c r="G1485" s="1">
        <v>1</v>
      </c>
      <c r="H1485" s="7">
        <v>45560</v>
      </c>
      <c r="I1485" s="1" t="s">
        <v>7449</v>
      </c>
      <c r="J1485" s="7">
        <v>45560</v>
      </c>
      <c r="K1485" s="1" t="s">
        <v>7449</v>
      </c>
    </row>
    <row r="1486" spans="1:11" x14ac:dyDescent="0.25">
      <c r="A1486" s="1">
        <v>1485</v>
      </c>
      <c r="B1486" s="1" t="s">
        <v>4517</v>
      </c>
      <c r="C1486" s="1" t="s">
        <v>4518</v>
      </c>
      <c r="F1486" s="1" t="s">
        <v>4519</v>
      </c>
      <c r="G1486" s="1">
        <v>1</v>
      </c>
      <c r="H1486" s="7">
        <v>45560</v>
      </c>
      <c r="I1486" s="1" t="s">
        <v>7449</v>
      </c>
      <c r="J1486" s="7">
        <v>45560</v>
      </c>
      <c r="K1486" s="1" t="s">
        <v>7449</v>
      </c>
    </row>
    <row r="1487" spans="1:11" x14ac:dyDescent="0.25">
      <c r="A1487" s="1">
        <v>1486</v>
      </c>
      <c r="B1487" s="1" t="s">
        <v>4520</v>
      </c>
      <c r="C1487" s="1" t="s">
        <v>4521</v>
      </c>
      <c r="F1487" s="1" t="s">
        <v>4522</v>
      </c>
      <c r="G1487" s="1">
        <v>1</v>
      </c>
      <c r="H1487" s="7">
        <v>45560</v>
      </c>
      <c r="I1487" s="1" t="s">
        <v>7449</v>
      </c>
      <c r="J1487" s="7">
        <v>45560</v>
      </c>
      <c r="K1487" s="1" t="s">
        <v>7449</v>
      </c>
    </row>
    <row r="1488" spans="1:11" x14ac:dyDescent="0.25">
      <c r="A1488" s="1">
        <v>1487</v>
      </c>
      <c r="B1488" s="1" t="s">
        <v>4523</v>
      </c>
      <c r="C1488" s="1" t="s">
        <v>4524</v>
      </c>
      <c r="F1488" s="1" t="s">
        <v>4525</v>
      </c>
      <c r="G1488" s="1">
        <v>1</v>
      </c>
      <c r="H1488" s="7">
        <v>45560</v>
      </c>
      <c r="I1488" s="1" t="s">
        <v>7449</v>
      </c>
      <c r="J1488" s="7">
        <v>45560</v>
      </c>
      <c r="K1488" s="1" t="s">
        <v>7449</v>
      </c>
    </row>
    <row r="1489" spans="1:11" x14ac:dyDescent="0.25">
      <c r="A1489" s="1">
        <v>1488</v>
      </c>
      <c r="B1489" s="1" t="s">
        <v>4526</v>
      </c>
      <c r="C1489" s="1" t="s">
        <v>4527</v>
      </c>
      <c r="F1489" s="1" t="s">
        <v>4528</v>
      </c>
      <c r="G1489" s="1">
        <v>1</v>
      </c>
      <c r="H1489" s="7">
        <v>45560</v>
      </c>
      <c r="I1489" s="1" t="s">
        <v>7449</v>
      </c>
      <c r="J1489" s="7">
        <v>45560</v>
      </c>
      <c r="K1489" s="1" t="s">
        <v>7449</v>
      </c>
    </row>
    <row r="1490" spans="1:11" x14ac:dyDescent="0.25">
      <c r="A1490" s="1">
        <v>1489</v>
      </c>
      <c r="B1490" s="1" t="s">
        <v>4529</v>
      </c>
      <c r="C1490" s="1" t="s">
        <v>4530</v>
      </c>
      <c r="F1490" s="1" t="s">
        <v>4531</v>
      </c>
      <c r="G1490" s="1">
        <v>1</v>
      </c>
      <c r="H1490" s="7">
        <v>45560</v>
      </c>
      <c r="I1490" s="1" t="s">
        <v>7449</v>
      </c>
      <c r="J1490" s="7">
        <v>45560</v>
      </c>
      <c r="K1490" s="1" t="s">
        <v>7449</v>
      </c>
    </row>
    <row r="1491" spans="1:11" x14ac:dyDescent="0.25">
      <c r="A1491" s="1">
        <v>1490</v>
      </c>
      <c r="B1491" s="1" t="s">
        <v>4532</v>
      </c>
      <c r="C1491" s="1" t="s">
        <v>4533</v>
      </c>
      <c r="D1491" s="1" t="s">
        <v>4534</v>
      </c>
      <c r="F1491" s="1" t="s">
        <v>4535</v>
      </c>
      <c r="G1491" s="1">
        <v>1</v>
      </c>
      <c r="H1491" s="7">
        <v>45560</v>
      </c>
      <c r="I1491" s="1" t="s">
        <v>7449</v>
      </c>
      <c r="J1491" s="7">
        <v>45560</v>
      </c>
      <c r="K1491" s="1" t="s">
        <v>7449</v>
      </c>
    </row>
    <row r="1492" spans="1:11" x14ac:dyDescent="0.25">
      <c r="A1492" s="1">
        <v>1491</v>
      </c>
      <c r="B1492" s="1" t="s">
        <v>4536</v>
      </c>
      <c r="C1492" s="1" t="s">
        <v>4537</v>
      </c>
      <c r="F1492" s="1" t="s">
        <v>4538</v>
      </c>
      <c r="G1492" s="1">
        <v>1</v>
      </c>
      <c r="H1492" s="7">
        <v>45560</v>
      </c>
      <c r="I1492" s="1" t="s">
        <v>7449</v>
      </c>
      <c r="J1492" s="7">
        <v>45560</v>
      </c>
      <c r="K1492" s="1" t="s">
        <v>7449</v>
      </c>
    </row>
    <row r="1493" spans="1:11" x14ac:dyDescent="0.25">
      <c r="A1493" s="1">
        <v>1492</v>
      </c>
      <c r="B1493" s="1" t="s">
        <v>4539</v>
      </c>
      <c r="C1493" s="1" t="s">
        <v>4540</v>
      </c>
      <c r="F1493" s="1" t="s">
        <v>4541</v>
      </c>
      <c r="G1493" s="1">
        <v>1</v>
      </c>
      <c r="H1493" s="7">
        <v>45560</v>
      </c>
      <c r="I1493" s="1" t="s">
        <v>7449</v>
      </c>
      <c r="J1493" s="7">
        <v>45560</v>
      </c>
      <c r="K1493" s="1" t="s">
        <v>7449</v>
      </c>
    </row>
    <row r="1494" spans="1:11" x14ac:dyDescent="0.25">
      <c r="A1494" s="1">
        <v>1493</v>
      </c>
      <c r="B1494" s="1" t="s">
        <v>4542</v>
      </c>
      <c r="C1494" s="1" t="s">
        <v>4543</v>
      </c>
      <c r="F1494" s="1" t="s">
        <v>4544</v>
      </c>
      <c r="G1494" s="1">
        <v>1</v>
      </c>
      <c r="H1494" s="7">
        <v>45560</v>
      </c>
      <c r="I1494" s="1" t="s">
        <v>7449</v>
      </c>
      <c r="J1494" s="7">
        <v>45560</v>
      </c>
      <c r="K1494" s="1" t="s">
        <v>7449</v>
      </c>
    </row>
    <row r="1495" spans="1:11" x14ac:dyDescent="0.25">
      <c r="A1495" s="1">
        <v>1494</v>
      </c>
      <c r="B1495" s="1" t="s">
        <v>4545</v>
      </c>
      <c r="C1495" s="1" t="s">
        <v>4546</v>
      </c>
      <c r="F1495" s="1" t="s">
        <v>4547</v>
      </c>
      <c r="G1495" s="1">
        <v>1</v>
      </c>
      <c r="H1495" s="7">
        <v>45560</v>
      </c>
      <c r="I1495" s="1" t="s">
        <v>7449</v>
      </c>
      <c r="J1495" s="7">
        <v>45560</v>
      </c>
      <c r="K1495" s="1" t="s">
        <v>7449</v>
      </c>
    </row>
    <row r="1496" spans="1:11" x14ac:dyDescent="0.25">
      <c r="A1496" s="1">
        <v>1495</v>
      </c>
      <c r="B1496" s="1" t="s">
        <v>4548</v>
      </c>
      <c r="C1496" s="1" t="s">
        <v>4549</v>
      </c>
      <c r="F1496" s="1" t="s">
        <v>4550</v>
      </c>
      <c r="G1496" s="1">
        <v>1</v>
      </c>
      <c r="H1496" s="7">
        <v>45560</v>
      </c>
      <c r="I1496" s="1" t="s">
        <v>7449</v>
      </c>
      <c r="J1496" s="7">
        <v>45560</v>
      </c>
      <c r="K1496" s="1" t="s">
        <v>7449</v>
      </c>
    </row>
    <row r="1497" spans="1:11" x14ac:dyDescent="0.25">
      <c r="A1497" s="1">
        <v>1496</v>
      </c>
      <c r="B1497" s="1" t="s">
        <v>4551</v>
      </c>
      <c r="C1497" s="1" t="s">
        <v>4552</v>
      </c>
      <c r="D1497" s="1" t="s">
        <v>4553</v>
      </c>
      <c r="F1497" s="1" t="s">
        <v>4554</v>
      </c>
      <c r="G1497" s="1">
        <v>1</v>
      </c>
      <c r="H1497" s="7">
        <v>45560</v>
      </c>
      <c r="I1497" s="1" t="s">
        <v>7449</v>
      </c>
      <c r="J1497" s="7">
        <v>45560</v>
      </c>
      <c r="K1497" s="1" t="s">
        <v>7449</v>
      </c>
    </row>
    <row r="1498" spans="1:11" x14ac:dyDescent="0.25">
      <c r="A1498" s="1">
        <v>1497</v>
      </c>
      <c r="B1498" s="1" t="s">
        <v>4555</v>
      </c>
      <c r="C1498" s="1" t="s">
        <v>4556</v>
      </c>
      <c r="F1498" s="1" t="s">
        <v>4557</v>
      </c>
      <c r="G1498" s="1">
        <v>1</v>
      </c>
      <c r="H1498" s="7">
        <v>45560</v>
      </c>
      <c r="I1498" s="1" t="s">
        <v>7449</v>
      </c>
      <c r="J1498" s="7">
        <v>45560</v>
      </c>
      <c r="K1498" s="1" t="s">
        <v>7449</v>
      </c>
    </row>
    <row r="1499" spans="1:11" x14ac:dyDescent="0.25">
      <c r="A1499" s="1">
        <v>1498</v>
      </c>
      <c r="B1499" s="1" t="s">
        <v>4558</v>
      </c>
      <c r="C1499" s="1" t="s">
        <v>4559</v>
      </c>
      <c r="F1499" s="1" t="s">
        <v>4560</v>
      </c>
      <c r="G1499" s="1">
        <v>1</v>
      </c>
      <c r="H1499" s="7">
        <v>45560</v>
      </c>
      <c r="I1499" s="1" t="s">
        <v>7449</v>
      </c>
      <c r="J1499" s="7">
        <v>45560</v>
      </c>
      <c r="K1499" s="1" t="s">
        <v>7449</v>
      </c>
    </row>
    <row r="1500" spans="1:11" x14ac:dyDescent="0.25">
      <c r="A1500" s="1">
        <v>1499</v>
      </c>
      <c r="B1500" s="1" t="s">
        <v>4561</v>
      </c>
      <c r="C1500" s="1" t="s">
        <v>4562</v>
      </c>
      <c r="F1500" s="1" t="s">
        <v>4563</v>
      </c>
      <c r="G1500" s="1">
        <v>1</v>
      </c>
      <c r="H1500" s="7">
        <v>45560</v>
      </c>
      <c r="I1500" s="1" t="s">
        <v>7449</v>
      </c>
      <c r="J1500" s="7">
        <v>45560</v>
      </c>
      <c r="K1500" s="1" t="s">
        <v>7449</v>
      </c>
    </row>
    <row r="1501" spans="1:11" x14ac:dyDescent="0.25">
      <c r="A1501" s="1">
        <v>1500</v>
      </c>
      <c r="B1501" s="1" t="s">
        <v>4564</v>
      </c>
      <c r="C1501" s="1" t="s">
        <v>4565</v>
      </c>
      <c r="F1501" s="1" t="s">
        <v>4566</v>
      </c>
      <c r="G1501" s="1">
        <v>1</v>
      </c>
      <c r="H1501" s="7">
        <v>45560</v>
      </c>
      <c r="I1501" s="1" t="s">
        <v>7449</v>
      </c>
      <c r="J1501" s="7">
        <v>45560</v>
      </c>
      <c r="K1501" s="1" t="s">
        <v>7449</v>
      </c>
    </row>
    <row r="1502" spans="1:11" x14ac:dyDescent="0.25">
      <c r="A1502" s="1">
        <v>1501</v>
      </c>
      <c r="B1502" s="1" t="s">
        <v>4567</v>
      </c>
      <c r="C1502" s="1" t="s">
        <v>4568</v>
      </c>
      <c r="F1502" s="1" t="s">
        <v>4569</v>
      </c>
      <c r="G1502" s="1">
        <v>1</v>
      </c>
      <c r="H1502" s="7">
        <v>45560</v>
      </c>
      <c r="I1502" s="1" t="s">
        <v>7449</v>
      </c>
      <c r="J1502" s="7">
        <v>45560</v>
      </c>
      <c r="K1502" s="1" t="s">
        <v>7449</v>
      </c>
    </row>
    <row r="1503" spans="1:11" x14ac:dyDescent="0.25">
      <c r="A1503" s="1">
        <v>1502</v>
      </c>
      <c r="B1503" s="1" t="s">
        <v>4570</v>
      </c>
      <c r="C1503" s="1" t="s">
        <v>4571</v>
      </c>
      <c r="F1503" s="1" t="s">
        <v>4572</v>
      </c>
      <c r="G1503" s="1">
        <v>1</v>
      </c>
      <c r="H1503" s="7">
        <v>45560</v>
      </c>
      <c r="I1503" s="1" t="s">
        <v>7449</v>
      </c>
      <c r="J1503" s="7">
        <v>45560</v>
      </c>
      <c r="K1503" s="1" t="s">
        <v>7449</v>
      </c>
    </row>
    <row r="1504" spans="1:11" x14ac:dyDescent="0.25">
      <c r="A1504" s="1">
        <v>1503</v>
      </c>
      <c r="B1504" s="1" t="s">
        <v>4573</v>
      </c>
      <c r="C1504" s="1" t="s">
        <v>4574</v>
      </c>
      <c r="F1504" s="1" t="s">
        <v>4575</v>
      </c>
      <c r="G1504" s="1">
        <v>1</v>
      </c>
      <c r="H1504" s="7">
        <v>45560</v>
      </c>
      <c r="I1504" s="1" t="s">
        <v>7449</v>
      </c>
      <c r="J1504" s="7">
        <v>45560</v>
      </c>
      <c r="K1504" s="1" t="s">
        <v>7449</v>
      </c>
    </row>
    <row r="1505" spans="1:11" x14ac:dyDescent="0.25">
      <c r="A1505" s="1">
        <v>1504</v>
      </c>
      <c r="B1505" s="1" t="s">
        <v>4576</v>
      </c>
      <c r="C1505" s="1" t="s">
        <v>4577</v>
      </c>
      <c r="F1505" s="1" t="s">
        <v>4578</v>
      </c>
      <c r="G1505" s="1">
        <v>1</v>
      </c>
      <c r="H1505" s="7">
        <v>45560</v>
      </c>
      <c r="I1505" s="1" t="s">
        <v>7449</v>
      </c>
      <c r="J1505" s="7">
        <v>45560</v>
      </c>
      <c r="K1505" s="1" t="s">
        <v>7449</v>
      </c>
    </row>
    <row r="1506" spans="1:11" x14ac:dyDescent="0.25">
      <c r="A1506" s="1">
        <v>1505</v>
      </c>
      <c r="B1506" s="1" t="s">
        <v>4579</v>
      </c>
      <c r="C1506" s="1" t="s">
        <v>4580</v>
      </c>
      <c r="F1506" s="1" t="s">
        <v>4581</v>
      </c>
      <c r="G1506" s="1">
        <v>1</v>
      </c>
      <c r="H1506" s="7">
        <v>45560</v>
      </c>
      <c r="I1506" s="1" t="s">
        <v>7449</v>
      </c>
      <c r="J1506" s="7">
        <v>45560</v>
      </c>
      <c r="K1506" s="1" t="s">
        <v>7449</v>
      </c>
    </row>
    <row r="1507" spans="1:11" x14ac:dyDescent="0.25">
      <c r="A1507" s="1">
        <v>1506</v>
      </c>
      <c r="B1507" s="1" t="s">
        <v>4582</v>
      </c>
      <c r="C1507" s="1" t="s">
        <v>4583</v>
      </c>
      <c r="D1507" s="1" t="s">
        <v>4584</v>
      </c>
      <c r="F1507" s="1" t="s">
        <v>4585</v>
      </c>
      <c r="G1507" s="1">
        <v>1</v>
      </c>
      <c r="H1507" s="7">
        <v>45560</v>
      </c>
      <c r="I1507" s="1" t="s">
        <v>7449</v>
      </c>
      <c r="J1507" s="7">
        <v>45560</v>
      </c>
      <c r="K1507" s="1" t="s">
        <v>7449</v>
      </c>
    </row>
    <row r="1508" spans="1:11" x14ac:dyDescent="0.25">
      <c r="A1508" s="1">
        <v>1507</v>
      </c>
      <c r="B1508" s="1" t="s">
        <v>4586</v>
      </c>
      <c r="C1508" s="1" t="s">
        <v>4587</v>
      </c>
      <c r="D1508" s="1" t="s">
        <v>4588</v>
      </c>
      <c r="F1508" s="1" t="s">
        <v>4589</v>
      </c>
      <c r="G1508" s="1">
        <v>1</v>
      </c>
      <c r="H1508" s="7">
        <v>45560</v>
      </c>
      <c r="I1508" s="1" t="s">
        <v>7449</v>
      </c>
      <c r="J1508" s="7">
        <v>45560</v>
      </c>
      <c r="K1508" s="1" t="s">
        <v>7449</v>
      </c>
    </row>
    <row r="1509" spans="1:11" x14ac:dyDescent="0.25">
      <c r="A1509" s="1">
        <v>1508</v>
      </c>
      <c r="B1509" s="1" t="s">
        <v>4590</v>
      </c>
      <c r="C1509" s="1" t="s">
        <v>4591</v>
      </c>
      <c r="D1509" s="1" t="s">
        <v>4592</v>
      </c>
      <c r="F1509" s="1" t="s">
        <v>4593</v>
      </c>
      <c r="G1509" s="1">
        <v>1</v>
      </c>
      <c r="H1509" s="7">
        <v>45560</v>
      </c>
      <c r="I1509" s="1" t="s">
        <v>7449</v>
      </c>
      <c r="J1509" s="7">
        <v>45560</v>
      </c>
      <c r="K1509" s="1" t="s">
        <v>7449</v>
      </c>
    </row>
    <row r="1510" spans="1:11" x14ac:dyDescent="0.25">
      <c r="A1510" s="1">
        <v>1509</v>
      </c>
      <c r="B1510" s="1" t="s">
        <v>4594</v>
      </c>
      <c r="C1510" s="1" t="s">
        <v>4595</v>
      </c>
      <c r="D1510" s="1" t="s">
        <v>4596</v>
      </c>
      <c r="F1510" s="1" t="s">
        <v>4597</v>
      </c>
      <c r="G1510" s="1">
        <v>1</v>
      </c>
      <c r="H1510" s="7">
        <v>45560</v>
      </c>
      <c r="I1510" s="1" t="s">
        <v>7449</v>
      </c>
      <c r="J1510" s="7">
        <v>45560</v>
      </c>
      <c r="K1510" s="1" t="s">
        <v>7449</v>
      </c>
    </row>
    <row r="1511" spans="1:11" x14ac:dyDescent="0.25">
      <c r="A1511" s="1">
        <v>1510</v>
      </c>
      <c r="B1511" s="1" t="s">
        <v>4598</v>
      </c>
      <c r="C1511" s="1" t="s">
        <v>4599</v>
      </c>
      <c r="D1511" s="1" t="s">
        <v>4600</v>
      </c>
      <c r="G1511" s="1">
        <v>1</v>
      </c>
      <c r="H1511" s="7">
        <v>45560</v>
      </c>
      <c r="I1511" s="1" t="s">
        <v>7449</v>
      </c>
      <c r="J1511" s="7">
        <v>45560</v>
      </c>
      <c r="K1511" s="1" t="s">
        <v>7449</v>
      </c>
    </row>
    <row r="1512" spans="1:11" x14ac:dyDescent="0.25">
      <c r="A1512" s="1">
        <v>1511</v>
      </c>
      <c r="B1512" s="1" t="s">
        <v>4601</v>
      </c>
      <c r="C1512" s="1" t="s">
        <v>4602</v>
      </c>
      <c r="D1512" s="1" t="s">
        <v>4603</v>
      </c>
      <c r="F1512" s="1" t="s">
        <v>4604</v>
      </c>
      <c r="G1512" s="1">
        <v>1</v>
      </c>
      <c r="H1512" s="7">
        <v>45560</v>
      </c>
      <c r="I1512" s="1" t="s">
        <v>7449</v>
      </c>
      <c r="J1512" s="7">
        <v>45560</v>
      </c>
      <c r="K1512" s="1" t="s">
        <v>7449</v>
      </c>
    </row>
    <row r="1513" spans="1:11" x14ac:dyDescent="0.25">
      <c r="A1513" s="1">
        <v>1512</v>
      </c>
      <c r="B1513" s="1" t="s">
        <v>4605</v>
      </c>
      <c r="C1513" s="1" t="s">
        <v>4606</v>
      </c>
      <c r="D1513" s="1" t="s">
        <v>4607</v>
      </c>
      <c r="F1513" s="1" t="s">
        <v>4608</v>
      </c>
      <c r="G1513" s="1">
        <v>1</v>
      </c>
      <c r="H1513" s="7">
        <v>45560</v>
      </c>
      <c r="I1513" s="1" t="s">
        <v>7449</v>
      </c>
      <c r="J1513" s="7">
        <v>45560</v>
      </c>
      <c r="K1513" s="1" t="s">
        <v>7449</v>
      </c>
    </row>
    <row r="1514" spans="1:11" x14ac:dyDescent="0.25">
      <c r="A1514" s="1">
        <v>1513</v>
      </c>
      <c r="B1514" s="1" t="s">
        <v>4609</v>
      </c>
      <c r="C1514" s="1" t="s">
        <v>4610</v>
      </c>
      <c r="D1514" s="1" t="s">
        <v>4611</v>
      </c>
      <c r="F1514" s="1" t="s">
        <v>4612</v>
      </c>
      <c r="G1514" s="1">
        <v>1</v>
      </c>
      <c r="H1514" s="7">
        <v>45560</v>
      </c>
      <c r="I1514" s="1" t="s">
        <v>7449</v>
      </c>
      <c r="J1514" s="7">
        <v>45560</v>
      </c>
      <c r="K1514" s="1" t="s">
        <v>7449</v>
      </c>
    </row>
    <row r="1515" spans="1:11" x14ac:dyDescent="0.25">
      <c r="A1515" s="1">
        <v>1514</v>
      </c>
      <c r="B1515" s="1" t="s">
        <v>4613</v>
      </c>
      <c r="C1515" s="1" t="s">
        <v>4614</v>
      </c>
      <c r="D1515" s="1" t="s">
        <v>4615</v>
      </c>
      <c r="F1515" s="1" t="s">
        <v>345</v>
      </c>
      <c r="G1515" s="1">
        <v>1</v>
      </c>
      <c r="H1515" s="7">
        <v>45560</v>
      </c>
      <c r="I1515" s="1" t="s">
        <v>7449</v>
      </c>
      <c r="J1515" s="7">
        <v>45560</v>
      </c>
      <c r="K1515" s="1" t="s">
        <v>7449</v>
      </c>
    </row>
    <row r="1516" spans="1:11" x14ac:dyDescent="0.25">
      <c r="A1516" s="1">
        <v>1515</v>
      </c>
      <c r="B1516" s="1" t="s">
        <v>4616</v>
      </c>
      <c r="C1516" s="1" t="s">
        <v>4617</v>
      </c>
      <c r="D1516" s="1" t="s">
        <v>4618</v>
      </c>
      <c r="F1516" s="1" t="s">
        <v>4619</v>
      </c>
      <c r="G1516" s="1">
        <v>1</v>
      </c>
      <c r="H1516" s="7">
        <v>45560</v>
      </c>
      <c r="I1516" s="1" t="s">
        <v>7449</v>
      </c>
      <c r="J1516" s="7">
        <v>45560</v>
      </c>
      <c r="K1516" s="1" t="s">
        <v>7449</v>
      </c>
    </row>
    <row r="1517" spans="1:11" x14ac:dyDescent="0.25">
      <c r="A1517" s="1">
        <v>1516</v>
      </c>
      <c r="B1517" s="1" t="s">
        <v>4620</v>
      </c>
      <c r="C1517" s="1" t="s">
        <v>4621</v>
      </c>
      <c r="D1517" s="1" t="s">
        <v>4622</v>
      </c>
      <c r="F1517" s="1" t="s">
        <v>4623</v>
      </c>
      <c r="G1517" s="1">
        <v>1</v>
      </c>
      <c r="H1517" s="7">
        <v>45560</v>
      </c>
      <c r="I1517" s="1" t="s">
        <v>7449</v>
      </c>
      <c r="J1517" s="7">
        <v>45560</v>
      </c>
      <c r="K1517" s="1" t="s">
        <v>7449</v>
      </c>
    </row>
    <row r="1518" spans="1:11" x14ac:dyDescent="0.25">
      <c r="A1518" s="1">
        <v>1517</v>
      </c>
      <c r="B1518" s="1" t="s">
        <v>4624</v>
      </c>
      <c r="C1518" s="1" t="s">
        <v>4625</v>
      </c>
      <c r="F1518" s="1" t="s">
        <v>4626</v>
      </c>
      <c r="G1518" s="1">
        <v>1</v>
      </c>
      <c r="H1518" s="7">
        <v>45560</v>
      </c>
      <c r="I1518" s="1" t="s">
        <v>7449</v>
      </c>
      <c r="J1518" s="7">
        <v>45560</v>
      </c>
      <c r="K1518" s="1" t="s">
        <v>7449</v>
      </c>
    </row>
    <row r="1519" spans="1:11" x14ac:dyDescent="0.25">
      <c r="A1519" s="1">
        <v>1518</v>
      </c>
      <c r="B1519" s="1" t="s">
        <v>4627</v>
      </c>
      <c r="C1519" s="1" t="s">
        <v>4628</v>
      </c>
      <c r="D1519" s="1" t="s">
        <v>4629</v>
      </c>
      <c r="F1519" s="1" t="s">
        <v>4630</v>
      </c>
      <c r="G1519" s="1">
        <v>1</v>
      </c>
      <c r="H1519" s="7">
        <v>45560</v>
      </c>
      <c r="I1519" s="1" t="s">
        <v>7449</v>
      </c>
      <c r="J1519" s="7">
        <v>45560</v>
      </c>
      <c r="K1519" s="1" t="s">
        <v>7449</v>
      </c>
    </row>
    <row r="1520" spans="1:11" x14ac:dyDescent="0.25">
      <c r="A1520" s="1">
        <v>1519</v>
      </c>
      <c r="B1520" s="1" t="s">
        <v>4631</v>
      </c>
      <c r="C1520" s="1" t="s">
        <v>4632</v>
      </c>
      <c r="D1520" s="1" t="s">
        <v>4633</v>
      </c>
      <c r="F1520" s="1" t="s">
        <v>4634</v>
      </c>
      <c r="G1520" s="1">
        <v>1</v>
      </c>
      <c r="H1520" s="7">
        <v>45560</v>
      </c>
      <c r="I1520" s="1" t="s">
        <v>7449</v>
      </c>
      <c r="J1520" s="7">
        <v>45560</v>
      </c>
      <c r="K1520" s="1" t="s">
        <v>7449</v>
      </c>
    </row>
    <row r="1521" spans="1:11" x14ac:dyDescent="0.25">
      <c r="A1521" s="1">
        <v>1520</v>
      </c>
      <c r="B1521" s="1" t="s">
        <v>4635</v>
      </c>
      <c r="C1521" s="1" t="s">
        <v>4636</v>
      </c>
      <c r="D1521" s="1" t="s">
        <v>4637</v>
      </c>
      <c r="F1521" s="1" t="s">
        <v>4638</v>
      </c>
      <c r="G1521" s="1">
        <v>1</v>
      </c>
      <c r="H1521" s="7">
        <v>45560</v>
      </c>
      <c r="I1521" s="1" t="s">
        <v>7449</v>
      </c>
      <c r="J1521" s="7">
        <v>45560</v>
      </c>
      <c r="K1521" s="1" t="s">
        <v>7449</v>
      </c>
    </row>
    <row r="1522" spans="1:11" x14ac:dyDescent="0.25">
      <c r="A1522" s="1">
        <v>1521</v>
      </c>
      <c r="B1522" s="1" t="s">
        <v>4639</v>
      </c>
      <c r="C1522" s="1" t="s">
        <v>4640</v>
      </c>
      <c r="F1522" s="1" t="s">
        <v>4641</v>
      </c>
      <c r="G1522" s="1">
        <v>1</v>
      </c>
      <c r="H1522" s="7">
        <v>45560</v>
      </c>
      <c r="I1522" s="1" t="s">
        <v>7449</v>
      </c>
      <c r="J1522" s="7">
        <v>45560</v>
      </c>
      <c r="K1522" s="1" t="s">
        <v>7449</v>
      </c>
    </row>
    <row r="1523" spans="1:11" x14ac:dyDescent="0.25">
      <c r="A1523" s="1">
        <v>1522</v>
      </c>
      <c r="B1523" s="1" t="s">
        <v>4642</v>
      </c>
      <c r="C1523" s="1" t="s">
        <v>4643</v>
      </c>
      <c r="D1523" s="1" t="s">
        <v>4644</v>
      </c>
      <c r="F1523" s="1" t="s">
        <v>4645</v>
      </c>
      <c r="G1523" s="1">
        <v>1</v>
      </c>
      <c r="H1523" s="7">
        <v>45560</v>
      </c>
      <c r="I1523" s="1" t="s">
        <v>7449</v>
      </c>
      <c r="J1523" s="7">
        <v>45560</v>
      </c>
      <c r="K1523" s="1" t="s">
        <v>7449</v>
      </c>
    </row>
    <row r="1524" spans="1:11" x14ac:dyDescent="0.25">
      <c r="A1524" s="1">
        <v>1523</v>
      </c>
      <c r="B1524" s="1" t="s">
        <v>4646</v>
      </c>
      <c r="C1524" s="1" t="s">
        <v>4647</v>
      </c>
      <c r="D1524" s="1" t="s">
        <v>4648</v>
      </c>
      <c r="F1524" s="1" t="s">
        <v>4649</v>
      </c>
      <c r="G1524" s="1">
        <v>1</v>
      </c>
      <c r="H1524" s="7">
        <v>45560</v>
      </c>
      <c r="I1524" s="1" t="s">
        <v>7449</v>
      </c>
      <c r="J1524" s="7">
        <v>45560</v>
      </c>
      <c r="K1524" s="1" t="s">
        <v>7449</v>
      </c>
    </row>
    <row r="1525" spans="1:11" x14ac:dyDescent="0.25">
      <c r="A1525" s="1">
        <v>1524</v>
      </c>
      <c r="B1525" s="1" t="s">
        <v>4650</v>
      </c>
      <c r="C1525" s="1" t="s">
        <v>4651</v>
      </c>
      <c r="D1525" s="1" t="s">
        <v>4652</v>
      </c>
      <c r="F1525" s="1" t="s">
        <v>4653</v>
      </c>
      <c r="G1525" s="1">
        <v>1</v>
      </c>
      <c r="H1525" s="7">
        <v>45560</v>
      </c>
      <c r="I1525" s="1" t="s">
        <v>7449</v>
      </c>
      <c r="J1525" s="7">
        <v>45560</v>
      </c>
      <c r="K1525" s="1" t="s">
        <v>7449</v>
      </c>
    </row>
    <row r="1526" spans="1:11" x14ac:dyDescent="0.25">
      <c r="A1526" s="1">
        <v>1525</v>
      </c>
      <c r="B1526" s="1" t="s">
        <v>4654</v>
      </c>
      <c r="C1526" s="1" t="s">
        <v>4655</v>
      </c>
      <c r="D1526" s="1" t="s">
        <v>4656</v>
      </c>
      <c r="F1526" s="1" t="s">
        <v>4657</v>
      </c>
      <c r="G1526" s="1">
        <v>1</v>
      </c>
      <c r="H1526" s="7">
        <v>45560</v>
      </c>
      <c r="I1526" s="1" t="s">
        <v>7449</v>
      </c>
      <c r="J1526" s="7">
        <v>45560</v>
      </c>
      <c r="K1526" s="1" t="s">
        <v>7449</v>
      </c>
    </row>
    <row r="1527" spans="1:11" x14ac:dyDescent="0.25">
      <c r="A1527" s="1">
        <v>1526</v>
      </c>
      <c r="B1527" s="1" t="s">
        <v>4658</v>
      </c>
      <c r="C1527" s="1" t="s">
        <v>4659</v>
      </c>
      <c r="D1527" s="1" t="s">
        <v>4660</v>
      </c>
      <c r="F1527" s="1" t="s">
        <v>4661</v>
      </c>
      <c r="G1527" s="1">
        <v>1</v>
      </c>
      <c r="H1527" s="7">
        <v>45560</v>
      </c>
      <c r="I1527" s="1" t="s">
        <v>7449</v>
      </c>
      <c r="J1527" s="7">
        <v>45560</v>
      </c>
      <c r="K1527" s="1" t="s">
        <v>7449</v>
      </c>
    </row>
    <row r="1528" spans="1:11" x14ac:dyDescent="0.25">
      <c r="A1528" s="1">
        <v>1527</v>
      </c>
      <c r="B1528" s="1" t="s">
        <v>4662</v>
      </c>
      <c r="C1528" s="1" t="s">
        <v>4663</v>
      </c>
      <c r="D1528" s="1" t="s">
        <v>4664</v>
      </c>
      <c r="F1528" s="1" t="s">
        <v>4665</v>
      </c>
      <c r="G1528" s="1">
        <v>1</v>
      </c>
      <c r="H1528" s="7">
        <v>45560</v>
      </c>
      <c r="I1528" s="1" t="s">
        <v>7449</v>
      </c>
      <c r="J1528" s="7">
        <v>45560</v>
      </c>
      <c r="K1528" s="1" t="s">
        <v>7449</v>
      </c>
    </row>
    <row r="1529" spans="1:11" x14ac:dyDescent="0.25">
      <c r="A1529" s="1">
        <v>1528</v>
      </c>
      <c r="B1529" s="1" t="s">
        <v>4666</v>
      </c>
      <c r="C1529" s="1" t="s">
        <v>4667</v>
      </c>
      <c r="D1529" s="1" t="s">
        <v>4668</v>
      </c>
      <c r="F1529" s="1" t="s">
        <v>4669</v>
      </c>
      <c r="G1529" s="1">
        <v>1</v>
      </c>
      <c r="H1529" s="7">
        <v>45560</v>
      </c>
      <c r="I1529" s="1" t="s">
        <v>7449</v>
      </c>
      <c r="J1529" s="7">
        <v>45560</v>
      </c>
      <c r="K1529" s="1" t="s">
        <v>7449</v>
      </c>
    </row>
    <row r="1530" spans="1:11" x14ac:dyDescent="0.25">
      <c r="A1530" s="1">
        <v>1529</v>
      </c>
      <c r="B1530" s="1" t="s">
        <v>4670</v>
      </c>
      <c r="C1530" s="1" t="s">
        <v>4671</v>
      </c>
      <c r="D1530" s="1" t="s">
        <v>4668</v>
      </c>
      <c r="F1530" s="1" t="s">
        <v>4672</v>
      </c>
      <c r="G1530" s="1">
        <v>1</v>
      </c>
      <c r="H1530" s="7">
        <v>45560</v>
      </c>
      <c r="I1530" s="1" t="s">
        <v>7449</v>
      </c>
      <c r="J1530" s="7">
        <v>45560</v>
      </c>
      <c r="K1530" s="1" t="s">
        <v>7449</v>
      </c>
    </row>
    <row r="1531" spans="1:11" x14ac:dyDescent="0.25">
      <c r="A1531" s="1">
        <v>1530</v>
      </c>
      <c r="B1531" s="1" t="s">
        <v>4673</v>
      </c>
      <c r="C1531" s="1" t="s">
        <v>4674</v>
      </c>
      <c r="D1531" s="1" t="s">
        <v>4675</v>
      </c>
      <c r="F1531" s="1" t="s">
        <v>4676</v>
      </c>
      <c r="G1531" s="1">
        <v>1</v>
      </c>
      <c r="H1531" s="7">
        <v>45560</v>
      </c>
      <c r="I1531" s="1" t="s">
        <v>7449</v>
      </c>
      <c r="J1531" s="7">
        <v>45560</v>
      </c>
      <c r="K1531" s="1" t="s">
        <v>7449</v>
      </c>
    </row>
    <row r="1532" spans="1:11" x14ac:dyDescent="0.25">
      <c r="A1532" s="1">
        <v>1531</v>
      </c>
      <c r="B1532" s="1" t="s">
        <v>4677</v>
      </c>
      <c r="C1532" s="1" t="s">
        <v>4678</v>
      </c>
      <c r="D1532" s="1" t="s">
        <v>4679</v>
      </c>
      <c r="F1532" s="1" t="s">
        <v>4680</v>
      </c>
      <c r="G1532" s="1">
        <v>1</v>
      </c>
      <c r="H1532" s="7">
        <v>45560</v>
      </c>
      <c r="I1532" s="1" t="s">
        <v>7449</v>
      </c>
      <c r="J1532" s="7">
        <v>45560</v>
      </c>
      <c r="K1532" s="1" t="s">
        <v>7449</v>
      </c>
    </row>
    <row r="1533" spans="1:11" x14ac:dyDescent="0.25">
      <c r="A1533" s="1">
        <v>1532</v>
      </c>
      <c r="B1533" s="1" t="s">
        <v>4681</v>
      </c>
      <c r="C1533" s="1" t="s">
        <v>4682</v>
      </c>
      <c r="D1533" s="1" t="s">
        <v>4683</v>
      </c>
      <c r="F1533" s="1" t="s">
        <v>4684</v>
      </c>
      <c r="G1533" s="1">
        <v>1</v>
      </c>
      <c r="H1533" s="7">
        <v>45560</v>
      </c>
      <c r="I1533" s="1" t="s">
        <v>7449</v>
      </c>
      <c r="J1533" s="7">
        <v>45560</v>
      </c>
      <c r="K1533" s="1" t="s">
        <v>7449</v>
      </c>
    </row>
    <row r="1534" spans="1:11" x14ac:dyDescent="0.25">
      <c r="A1534" s="1">
        <v>1533</v>
      </c>
      <c r="B1534" s="1" t="s">
        <v>4685</v>
      </c>
      <c r="C1534" s="1" t="s">
        <v>4686</v>
      </c>
      <c r="D1534" s="1" t="s">
        <v>4687</v>
      </c>
      <c r="F1534" s="1" t="s">
        <v>4688</v>
      </c>
      <c r="G1534" s="1">
        <v>1</v>
      </c>
      <c r="H1534" s="7">
        <v>45560</v>
      </c>
      <c r="I1534" s="1" t="s">
        <v>7449</v>
      </c>
      <c r="J1534" s="7">
        <v>45560</v>
      </c>
      <c r="K1534" s="1" t="s">
        <v>7449</v>
      </c>
    </row>
    <row r="1535" spans="1:11" x14ac:dyDescent="0.25">
      <c r="A1535" s="1">
        <v>1534</v>
      </c>
      <c r="B1535" s="1" t="s">
        <v>4689</v>
      </c>
      <c r="C1535" s="1" t="s">
        <v>4690</v>
      </c>
      <c r="D1535" s="1" t="s">
        <v>4691</v>
      </c>
      <c r="F1535" s="1" t="s">
        <v>4692</v>
      </c>
      <c r="G1535" s="1">
        <v>1</v>
      </c>
      <c r="H1535" s="7">
        <v>45560</v>
      </c>
      <c r="I1535" s="1" t="s">
        <v>7449</v>
      </c>
      <c r="J1535" s="7">
        <v>45560</v>
      </c>
      <c r="K1535" s="1" t="s">
        <v>7449</v>
      </c>
    </row>
    <row r="1536" spans="1:11" x14ac:dyDescent="0.25">
      <c r="A1536" s="1">
        <v>1535</v>
      </c>
      <c r="B1536" s="1" t="s">
        <v>4693</v>
      </c>
      <c r="C1536" s="1" t="s">
        <v>4694</v>
      </c>
      <c r="D1536" s="1" t="s">
        <v>4695</v>
      </c>
      <c r="F1536" s="1" t="s">
        <v>4696</v>
      </c>
      <c r="G1536" s="1">
        <v>1</v>
      </c>
      <c r="H1536" s="7">
        <v>45560</v>
      </c>
      <c r="I1536" s="1" t="s">
        <v>7449</v>
      </c>
      <c r="J1536" s="7">
        <v>45560</v>
      </c>
      <c r="K1536" s="1" t="s">
        <v>7449</v>
      </c>
    </row>
    <row r="1537" spans="1:11" x14ac:dyDescent="0.25">
      <c r="A1537" s="1">
        <v>1536</v>
      </c>
      <c r="B1537" s="1" t="s">
        <v>4697</v>
      </c>
      <c r="C1537" s="1" t="s">
        <v>4698</v>
      </c>
      <c r="D1537" s="1" t="s">
        <v>4699</v>
      </c>
      <c r="F1537" s="1" t="s">
        <v>4700</v>
      </c>
      <c r="G1537" s="1">
        <v>1</v>
      </c>
      <c r="H1537" s="7">
        <v>45560</v>
      </c>
      <c r="I1537" s="1" t="s">
        <v>7449</v>
      </c>
      <c r="J1537" s="7">
        <v>45560</v>
      </c>
      <c r="K1537" s="1" t="s">
        <v>7449</v>
      </c>
    </row>
    <row r="1538" spans="1:11" x14ac:dyDescent="0.25">
      <c r="A1538" s="1">
        <v>1537</v>
      </c>
      <c r="B1538" s="1" t="s">
        <v>4701</v>
      </c>
      <c r="C1538" s="1" t="s">
        <v>4702</v>
      </c>
      <c r="D1538" s="1" t="s">
        <v>4703</v>
      </c>
      <c r="F1538" s="1" t="s">
        <v>4704</v>
      </c>
      <c r="G1538" s="1">
        <v>1</v>
      </c>
      <c r="H1538" s="7">
        <v>45560</v>
      </c>
      <c r="I1538" s="1" t="s">
        <v>7449</v>
      </c>
      <c r="J1538" s="7">
        <v>45560</v>
      </c>
      <c r="K1538" s="1" t="s">
        <v>7449</v>
      </c>
    </row>
    <row r="1539" spans="1:11" x14ac:dyDescent="0.25">
      <c r="A1539" s="1">
        <v>1538</v>
      </c>
      <c r="B1539" s="1" t="s">
        <v>4705</v>
      </c>
      <c r="C1539" s="1" t="s">
        <v>4706</v>
      </c>
      <c r="D1539" s="1" t="s">
        <v>4707</v>
      </c>
      <c r="F1539" s="1" t="s">
        <v>4708</v>
      </c>
      <c r="G1539" s="1">
        <v>1</v>
      </c>
      <c r="H1539" s="7">
        <v>45560</v>
      </c>
      <c r="I1539" s="1" t="s">
        <v>7449</v>
      </c>
      <c r="J1539" s="7">
        <v>45560</v>
      </c>
      <c r="K1539" s="1" t="s">
        <v>7449</v>
      </c>
    </row>
    <row r="1540" spans="1:11" x14ac:dyDescent="0.25">
      <c r="A1540" s="1">
        <v>1539</v>
      </c>
      <c r="B1540" s="1" t="s">
        <v>4709</v>
      </c>
      <c r="C1540" s="1" t="s">
        <v>4710</v>
      </c>
      <c r="D1540" s="1" t="s">
        <v>4711</v>
      </c>
      <c r="F1540" s="1" t="s">
        <v>4712</v>
      </c>
      <c r="G1540" s="1">
        <v>1</v>
      </c>
      <c r="H1540" s="7">
        <v>45560</v>
      </c>
      <c r="I1540" s="1" t="s">
        <v>7449</v>
      </c>
      <c r="J1540" s="7">
        <v>45560</v>
      </c>
      <c r="K1540" s="1" t="s">
        <v>7449</v>
      </c>
    </row>
    <row r="1541" spans="1:11" x14ac:dyDescent="0.25">
      <c r="A1541" s="1">
        <v>1540</v>
      </c>
      <c r="B1541" s="1" t="s">
        <v>4713</v>
      </c>
      <c r="C1541" s="1" t="s">
        <v>4714</v>
      </c>
      <c r="F1541" s="1" t="s">
        <v>4715</v>
      </c>
      <c r="G1541" s="1">
        <v>1</v>
      </c>
      <c r="H1541" s="7">
        <v>45560</v>
      </c>
      <c r="I1541" s="1" t="s">
        <v>7449</v>
      </c>
      <c r="J1541" s="7">
        <v>45560</v>
      </c>
      <c r="K1541" s="1" t="s">
        <v>7449</v>
      </c>
    </row>
    <row r="1542" spans="1:11" x14ac:dyDescent="0.25">
      <c r="A1542" s="1">
        <v>1541</v>
      </c>
      <c r="B1542" s="1" t="s">
        <v>4716</v>
      </c>
      <c r="C1542" s="1" t="s">
        <v>4717</v>
      </c>
      <c r="F1542" s="1" t="s">
        <v>4718</v>
      </c>
      <c r="G1542" s="1">
        <v>1</v>
      </c>
      <c r="H1542" s="7">
        <v>45560</v>
      </c>
      <c r="I1542" s="1" t="s">
        <v>7449</v>
      </c>
      <c r="J1542" s="7">
        <v>45560</v>
      </c>
      <c r="K1542" s="1" t="s">
        <v>7449</v>
      </c>
    </row>
    <row r="1543" spans="1:11" x14ac:dyDescent="0.25">
      <c r="A1543" s="1">
        <v>1542</v>
      </c>
      <c r="B1543" s="1" t="s">
        <v>4719</v>
      </c>
      <c r="C1543" s="1" t="s">
        <v>4720</v>
      </c>
      <c r="F1543" s="1" t="s">
        <v>4721</v>
      </c>
      <c r="G1543" s="1">
        <v>1</v>
      </c>
      <c r="H1543" s="7">
        <v>45560</v>
      </c>
      <c r="I1543" s="1" t="s">
        <v>7449</v>
      </c>
      <c r="J1543" s="7">
        <v>45560</v>
      </c>
      <c r="K1543" s="1" t="s">
        <v>7449</v>
      </c>
    </row>
    <row r="1544" spans="1:11" x14ac:dyDescent="0.25">
      <c r="A1544" s="1">
        <v>1543</v>
      </c>
      <c r="B1544" s="1" t="s">
        <v>4722</v>
      </c>
      <c r="C1544" s="1" t="s">
        <v>4723</v>
      </c>
      <c r="D1544" s="1" t="s">
        <v>4724</v>
      </c>
      <c r="F1544" s="1" t="s">
        <v>4725</v>
      </c>
      <c r="G1544" s="1">
        <v>1</v>
      </c>
      <c r="H1544" s="7">
        <v>45560</v>
      </c>
      <c r="I1544" s="1" t="s">
        <v>7449</v>
      </c>
      <c r="J1544" s="7">
        <v>45560</v>
      </c>
      <c r="K1544" s="1" t="s">
        <v>7449</v>
      </c>
    </row>
    <row r="1545" spans="1:11" x14ac:dyDescent="0.25">
      <c r="A1545" s="1">
        <v>1544</v>
      </c>
      <c r="B1545" s="1" t="s">
        <v>4726</v>
      </c>
      <c r="C1545" s="1" t="s">
        <v>4727</v>
      </c>
      <c r="D1545" s="1" t="s">
        <v>4728</v>
      </c>
      <c r="F1545" s="1" t="s">
        <v>4729</v>
      </c>
      <c r="G1545" s="1">
        <v>1</v>
      </c>
      <c r="H1545" s="7">
        <v>45560</v>
      </c>
      <c r="I1545" s="1" t="s">
        <v>7449</v>
      </c>
      <c r="J1545" s="7">
        <v>45560</v>
      </c>
      <c r="K1545" s="1" t="s">
        <v>7449</v>
      </c>
    </row>
    <row r="1546" spans="1:11" x14ac:dyDescent="0.25">
      <c r="A1546" s="1">
        <v>1545</v>
      </c>
      <c r="B1546" s="1" t="s">
        <v>4730</v>
      </c>
      <c r="C1546" s="1" t="s">
        <v>4731</v>
      </c>
      <c r="D1546" s="1" t="s">
        <v>4732</v>
      </c>
      <c r="F1546" s="1" t="s">
        <v>4733</v>
      </c>
      <c r="G1546" s="1">
        <v>1</v>
      </c>
      <c r="H1546" s="7">
        <v>45560</v>
      </c>
      <c r="I1546" s="1" t="s">
        <v>7449</v>
      </c>
      <c r="J1546" s="7">
        <v>45560</v>
      </c>
      <c r="K1546" s="1" t="s">
        <v>7449</v>
      </c>
    </row>
    <row r="1547" spans="1:11" x14ac:dyDescent="0.25">
      <c r="A1547" s="1">
        <v>1546</v>
      </c>
      <c r="B1547" s="1" t="s">
        <v>4734</v>
      </c>
      <c r="C1547" s="1" t="s">
        <v>4735</v>
      </c>
      <c r="F1547" s="1" t="s">
        <v>4736</v>
      </c>
      <c r="G1547" s="1">
        <v>1</v>
      </c>
      <c r="H1547" s="7">
        <v>45560</v>
      </c>
      <c r="I1547" s="1" t="s">
        <v>7449</v>
      </c>
      <c r="J1547" s="7">
        <v>45560</v>
      </c>
      <c r="K1547" s="1" t="s">
        <v>7449</v>
      </c>
    </row>
    <row r="1548" spans="1:11" x14ac:dyDescent="0.25">
      <c r="A1548" s="1">
        <v>1547</v>
      </c>
      <c r="B1548" s="1" t="s">
        <v>4737</v>
      </c>
      <c r="C1548" s="1" t="s">
        <v>4738</v>
      </c>
      <c r="D1548" s="1" t="s">
        <v>4739</v>
      </c>
      <c r="F1548" s="1" t="s">
        <v>4740</v>
      </c>
      <c r="G1548" s="1">
        <v>1</v>
      </c>
      <c r="H1548" s="7">
        <v>45560</v>
      </c>
      <c r="I1548" s="1" t="s">
        <v>7449</v>
      </c>
      <c r="J1548" s="7">
        <v>45560</v>
      </c>
      <c r="K1548" s="1" t="s">
        <v>7449</v>
      </c>
    </row>
    <row r="1549" spans="1:11" x14ac:dyDescent="0.25">
      <c r="A1549" s="1">
        <v>1548</v>
      </c>
      <c r="B1549" s="1" t="s">
        <v>4741</v>
      </c>
      <c r="C1549" s="1" t="s">
        <v>4742</v>
      </c>
      <c r="D1549" s="1" t="s">
        <v>4743</v>
      </c>
      <c r="F1549" s="1" t="s">
        <v>4744</v>
      </c>
      <c r="G1549" s="1">
        <v>1</v>
      </c>
      <c r="H1549" s="7">
        <v>45560</v>
      </c>
      <c r="I1549" s="1" t="s">
        <v>7449</v>
      </c>
      <c r="J1549" s="7">
        <v>45560</v>
      </c>
      <c r="K1549" s="1" t="s">
        <v>7449</v>
      </c>
    </row>
    <row r="1550" spans="1:11" x14ac:dyDescent="0.25">
      <c r="A1550" s="1">
        <v>1549</v>
      </c>
      <c r="B1550" s="1" t="s">
        <v>4745</v>
      </c>
      <c r="C1550" s="1" t="s">
        <v>4746</v>
      </c>
      <c r="D1550" s="1" t="s">
        <v>4747</v>
      </c>
      <c r="F1550" s="1" t="s">
        <v>4748</v>
      </c>
      <c r="G1550" s="1">
        <v>1</v>
      </c>
      <c r="H1550" s="7">
        <v>45560</v>
      </c>
      <c r="I1550" s="1" t="s">
        <v>7449</v>
      </c>
      <c r="J1550" s="7">
        <v>45560</v>
      </c>
      <c r="K1550" s="1" t="s">
        <v>7449</v>
      </c>
    </row>
    <row r="1551" spans="1:11" x14ac:dyDescent="0.25">
      <c r="A1551" s="1">
        <v>1550</v>
      </c>
      <c r="B1551" s="1" t="s">
        <v>4749</v>
      </c>
      <c r="C1551" s="1" t="s">
        <v>4750</v>
      </c>
      <c r="D1551" s="1" t="s">
        <v>4751</v>
      </c>
      <c r="F1551" s="1" t="s">
        <v>4752</v>
      </c>
      <c r="G1551" s="1">
        <v>1</v>
      </c>
      <c r="H1551" s="7">
        <v>45560</v>
      </c>
      <c r="I1551" s="1" t="s">
        <v>7449</v>
      </c>
      <c r="J1551" s="7">
        <v>45560</v>
      </c>
      <c r="K1551" s="1" t="s">
        <v>7449</v>
      </c>
    </row>
    <row r="1552" spans="1:11" x14ac:dyDescent="0.25">
      <c r="A1552" s="1">
        <v>1551</v>
      </c>
      <c r="B1552" s="1" t="s">
        <v>4753</v>
      </c>
      <c r="C1552" s="1" t="s">
        <v>4754</v>
      </c>
      <c r="D1552" s="1" t="s">
        <v>4755</v>
      </c>
      <c r="F1552" s="1" t="s">
        <v>4756</v>
      </c>
      <c r="G1552" s="1">
        <v>1</v>
      </c>
      <c r="H1552" s="7">
        <v>45560</v>
      </c>
      <c r="I1552" s="1" t="s">
        <v>7449</v>
      </c>
      <c r="J1552" s="7">
        <v>45560</v>
      </c>
      <c r="K1552" s="1" t="s">
        <v>7449</v>
      </c>
    </row>
    <row r="1553" spans="1:11" x14ac:dyDescent="0.25">
      <c r="A1553" s="1">
        <v>1552</v>
      </c>
      <c r="B1553" s="1" t="s">
        <v>4757</v>
      </c>
      <c r="C1553" s="1" t="s">
        <v>4758</v>
      </c>
      <c r="D1553" s="1" t="s">
        <v>4759</v>
      </c>
      <c r="F1553" s="1" t="s">
        <v>4760</v>
      </c>
      <c r="G1553" s="1">
        <v>1</v>
      </c>
      <c r="H1553" s="7">
        <v>45560</v>
      </c>
      <c r="I1553" s="1" t="s">
        <v>7449</v>
      </c>
      <c r="J1553" s="7">
        <v>45560</v>
      </c>
      <c r="K1553" s="1" t="s">
        <v>7449</v>
      </c>
    </row>
    <row r="1554" spans="1:11" x14ac:dyDescent="0.25">
      <c r="A1554" s="1">
        <v>1553</v>
      </c>
      <c r="B1554" s="1" t="s">
        <v>4761</v>
      </c>
      <c r="C1554" s="1" t="s">
        <v>4762</v>
      </c>
      <c r="F1554" s="1" t="s">
        <v>4763</v>
      </c>
      <c r="G1554" s="1">
        <v>1</v>
      </c>
      <c r="H1554" s="7">
        <v>45560</v>
      </c>
      <c r="I1554" s="1" t="s">
        <v>7449</v>
      </c>
      <c r="J1554" s="7">
        <v>45560</v>
      </c>
      <c r="K1554" s="1" t="s">
        <v>7449</v>
      </c>
    </row>
    <row r="1555" spans="1:11" x14ac:dyDescent="0.25">
      <c r="A1555" s="1">
        <v>1554</v>
      </c>
      <c r="B1555" s="1" t="s">
        <v>4764</v>
      </c>
      <c r="C1555" s="1" t="s">
        <v>4765</v>
      </c>
      <c r="D1555" s="1" t="s">
        <v>4766</v>
      </c>
      <c r="F1555" s="1" t="s">
        <v>4767</v>
      </c>
      <c r="G1555" s="1">
        <v>1</v>
      </c>
      <c r="H1555" s="7">
        <v>45560</v>
      </c>
      <c r="I1555" s="1" t="s">
        <v>7449</v>
      </c>
      <c r="J1555" s="7">
        <v>45560</v>
      </c>
      <c r="K1555" s="1" t="s">
        <v>7449</v>
      </c>
    </row>
    <row r="1556" spans="1:11" x14ac:dyDescent="0.25">
      <c r="A1556" s="1">
        <v>1555</v>
      </c>
      <c r="B1556" s="1" t="s">
        <v>4768</v>
      </c>
      <c r="C1556" s="1" t="s">
        <v>4769</v>
      </c>
      <c r="D1556" s="1" t="s">
        <v>4770</v>
      </c>
      <c r="F1556" s="1" t="s">
        <v>4771</v>
      </c>
      <c r="G1556" s="1">
        <v>1</v>
      </c>
      <c r="H1556" s="7">
        <v>45560</v>
      </c>
      <c r="I1556" s="1" t="s">
        <v>7449</v>
      </c>
      <c r="J1556" s="7">
        <v>45560</v>
      </c>
      <c r="K1556" s="1" t="s">
        <v>7449</v>
      </c>
    </row>
    <row r="1557" spans="1:11" x14ac:dyDescent="0.25">
      <c r="A1557" s="1">
        <v>1556</v>
      </c>
      <c r="B1557" s="1" t="s">
        <v>4772</v>
      </c>
      <c r="C1557" s="1" t="s">
        <v>4773</v>
      </c>
      <c r="D1557" s="1" t="s">
        <v>4774</v>
      </c>
      <c r="F1557" s="1" t="s">
        <v>4775</v>
      </c>
      <c r="G1557" s="1">
        <v>1</v>
      </c>
      <c r="H1557" s="7">
        <v>45560</v>
      </c>
      <c r="I1557" s="1" t="s">
        <v>7449</v>
      </c>
      <c r="J1557" s="7">
        <v>45560</v>
      </c>
      <c r="K1557" s="1" t="s">
        <v>7449</v>
      </c>
    </row>
    <row r="1558" spans="1:11" x14ac:dyDescent="0.25">
      <c r="A1558" s="1">
        <v>1557</v>
      </c>
      <c r="B1558" s="1" t="s">
        <v>4776</v>
      </c>
      <c r="C1558" s="1" t="s">
        <v>4777</v>
      </c>
      <c r="D1558" s="1" t="s">
        <v>4778</v>
      </c>
      <c r="G1558" s="1">
        <v>1</v>
      </c>
      <c r="H1558" s="7">
        <v>45560</v>
      </c>
      <c r="I1558" s="1" t="s">
        <v>7449</v>
      </c>
      <c r="J1558" s="7">
        <v>45560</v>
      </c>
      <c r="K1558" s="1" t="s">
        <v>7449</v>
      </c>
    </row>
    <row r="1559" spans="1:11" x14ac:dyDescent="0.25">
      <c r="A1559" s="1">
        <v>1558</v>
      </c>
      <c r="B1559" s="1" t="s">
        <v>4779</v>
      </c>
      <c r="C1559" s="1" t="s">
        <v>4780</v>
      </c>
      <c r="D1559" s="1" t="s">
        <v>4781</v>
      </c>
      <c r="F1559" s="1" t="s">
        <v>4782</v>
      </c>
      <c r="G1559" s="1">
        <v>1</v>
      </c>
      <c r="H1559" s="7">
        <v>45560</v>
      </c>
      <c r="I1559" s="1" t="s">
        <v>7449</v>
      </c>
      <c r="J1559" s="7">
        <v>45560</v>
      </c>
      <c r="K1559" s="1" t="s">
        <v>7449</v>
      </c>
    </row>
    <row r="1560" spans="1:11" x14ac:dyDescent="0.25">
      <c r="A1560" s="1">
        <v>1559</v>
      </c>
      <c r="B1560" s="1" t="s">
        <v>4783</v>
      </c>
      <c r="C1560" s="1" t="s">
        <v>4784</v>
      </c>
      <c r="D1560" s="1" t="s">
        <v>4785</v>
      </c>
      <c r="F1560" s="1" t="s">
        <v>4786</v>
      </c>
      <c r="G1560" s="1">
        <v>1</v>
      </c>
      <c r="H1560" s="7">
        <v>45560</v>
      </c>
      <c r="I1560" s="1" t="s">
        <v>7449</v>
      </c>
      <c r="J1560" s="7">
        <v>45560</v>
      </c>
      <c r="K1560" s="1" t="s">
        <v>7449</v>
      </c>
    </row>
    <row r="1561" spans="1:11" x14ac:dyDescent="0.25">
      <c r="A1561" s="1">
        <v>1560</v>
      </c>
      <c r="B1561" s="1" t="s">
        <v>4787</v>
      </c>
      <c r="C1561" s="1" t="s">
        <v>4788</v>
      </c>
      <c r="D1561" s="1" t="s">
        <v>4789</v>
      </c>
      <c r="F1561" s="1" t="s">
        <v>4790</v>
      </c>
      <c r="G1561" s="1">
        <v>1</v>
      </c>
      <c r="H1561" s="7">
        <v>45560</v>
      </c>
      <c r="I1561" s="1" t="s">
        <v>7449</v>
      </c>
      <c r="J1561" s="7">
        <v>45560</v>
      </c>
      <c r="K1561" s="1" t="s">
        <v>7449</v>
      </c>
    </row>
    <row r="1562" spans="1:11" x14ac:dyDescent="0.25">
      <c r="A1562" s="1">
        <v>1561</v>
      </c>
      <c r="B1562" s="1" t="s">
        <v>4791</v>
      </c>
      <c r="C1562" s="1" t="s">
        <v>4792</v>
      </c>
      <c r="D1562" s="1" t="s">
        <v>4793</v>
      </c>
      <c r="F1562" s="1" t="s">
        <v>4794</v>
      </c>
      <c r="G1562" s="1">
        <v>1</v>
      </c>
      <c r="H1562" s="7">
        <v>45560</v>
      </c>
      <c r="I1562" s="1" t="s">
        <v>7449</v>
      </c>
      <c r="J1562" s="7">
        <v>45560</v>
      </c>
      <c r="K1562" s="1" t="s">
        <v>7449</v>
      </c>
    </row>
    <row r="1563" spans="1:11" x14ac:dyDescent="0.25">
      <c r="A1563" s="1">
        <v>1562</v>
      </c>
      <c r="B1563" s="1" t="s">
        <v>4795</v>
      </c>
      <c r="C1563" s="1" t="s">
        <v>4796</v>
      </c>
      <c r="F1563" s="1" t="s">
        <v>4797</v>
      </c>
      <c r="G1563" s="1">
        <v>1</v>
      </c>
      <c r="H1563" s="7">
        <v>45560</v>
      </c>
      <c r="I1563" s="1" t="s">
        <v>7449</v>
      </c>
      <c r="J1563" s="7">
        <v>45560</v>
      </c>
      <c r="K1563" s="1" t="s">
        <v>7449</v>
      </c>
    </row>
    <row r="1564" spans="1:11" x14ac:dyDescent="0.25">
      <c r="A1564" s="1">
        <v>1563</v>
      </c>
      <c r="B1564" s="1" t="s">
        <v>4798</v>
      </c>
      <c r="C1564" s="1" t="s">
        <v>4799</v>
      </c>
      <c r="D1564" s="1" t="s">
        <v>4800</v>
      </c>
      <c r="F1564" s="1" t="s">
        <v>4801</v>
      </c>
      <c r="G1564" s="1">
        <v>1</v>
      </c>
      <c r="H1564" s="7">
        <v>45560</v>
      </c>
      <c r="I1564" s="1" t="s">
        <v>7449</v>
      </c>
      <c r="J1564" s="7">
        <v>45560</v>
      </c>
      <c r="K1564" s="1" t="s">
        <v>7449</v>
      </c>
    </row>
    <row r="1565" spans="1:11" x14ac:dyDescent="0.25">
      <c r="A1565" s="1">
        <v>1564</v>
      </c>
      <c r="B1565" s="1" t="s">
        <v>4802</v>
      </c>
      <c r="C1565" s="1" t="s">
        <v>4803</v>
      </c>
      <c r="D1565" s="1" t="s">
        <v>4804</v>
      </c>
      <c r="F1565" s="1" t="s">
        <v>4805</v>
      </c>
      <c r="G1565" s="1">
        <v>1</v>
      </c>
      <c r="H1565" s="7">
        <v>45560</v>
      </c>
      <c r="I1565" s="1" t="s">
        <v>7449</v>
      </c>
      <c r="J1565" s="7">
        <v>45560</v>
      </c>
      <c r="K1565" s="1" t="s">
        <v>7449</v>
      </c>
    </row>
    <row r="1566" spans="1:11" x14ac:dyDescent="0.25">
      <c r="A1566" s="1">
        <v>1565</v>
      </c>
      <c r="B1566" s="1" t="s">
        <v>4806</v>
      </c>
      <c r="C1566" s="1" t="s">
        <v>4807</v>
      </c>
      <c r="D1566" s="1" t="s">
        <v>4808</v>
      </c>
      <c r="F1566" s="1" t="s">
        <v>4809</v>
      </c>
      <c r="G1566" s="1">
        <v>1</v>
      </c>
      <c r="H1566" s="7">
        <v>45560</v>
      </c>
      <c r="I1566" s="1" t="s">
        <v>7449</v>
      </c>
      <c r="J1566" s="7">
        <v>45560</v>
      </c>
      <c r="K1566" s="1" t="s">
        <v>7449</v>
      </c>
    </row>
    <row r="1567" spans="1:11" x14ac:dyDescent="0.25">
      <c r="A1567" s="1">
        <v>1566</v>
      </c>
      <c r="B1567" s="1" t="s">
        <v>4810</v>
      </c>
      <c r="C1567" s="1" t="s">
        <v>4811</v>
      </c>
      <c r="D1567" s="1" t="s">
        <v>4812</v>
      </c>
      <c r="F1567" s="1" t="s">
        <v>4813</v>
      </c>
      <c r="G1567" s="1">
        <v>1</v>
      </c>
      <c r="H1567" s="7">
        <v>45560</v>
      </c>
      <c r="I1567" s="1" t="s">
        <v>7449</v>
      </c>
      <c r="J1567" s="7">
        <v>45560</v>
      </c>
      <c r="K1567" s="1" t="s">
        <v>7449</v>
      </c>
    </row>
    <row r="1568" spans="1:11" x14ac:dyDescent="0.25">
      <c r="A1568" s="1">
        <v>1567</v>
      </c>
      <c r="B1568" s="1" t="s">
        <v>4814</v>
      </c>
      <c r="C1568" s="1" t="s">
        <v>4815</v>
      </c>
      <c r="D1568" s="1" t="s">
        <v>4816</v>
      </c>
      <c r="F1568" s="1" t="s">
        <v>4817</v>
      </c>
      <c r="G1568" s="1">
        <v>1</v>
      </c>
      <c r="H1568" s="7">
        <v>45560</v>
      </c>
      <c r="I1568" s="1" t="s">
        <v>7449</v>
      </c>
      <c r="J1568" s="7">
        <v>45560</v>
      </c>
      <c r="K1568" s="1" t="s">
        <v>7449</v>
      </c>
    </row>
    <row r="1569" spans="1:11" x14ac:dyDescent="0.25">
      <c r="A1569" s="1">
        <v>1568</v>
      </c>
      <c r="B1569" s="1" t="s">
        <v>4818</v>
      </c>
      <c r="C1569" s="1" t="s">
        <v>4819</v>
      </c>
      <c r="D1569" s="1" t="s">
        <v>4820</v>
      </c>
      <c r="F1569" s="1" t="s">
        <v>4821</v>
      </c>
      <c r="G1569" s="1">
        <v>1</v>
      </c>
      <c r="H1569" s="7">
        <v>45560</v>
      </c>
      <c r="I1569" s="1" t="s">
        <v>7449</v>
      </c>
      <c r="J1569" s="7">
        <v>45560</v>
      </c>
      <c r="K1569" s="1" t="s">
        <v>7449</v>
      </c>
    </row>
    <row r="1570" spans="1:11" x14ac:dyDescent="0.25">
      <c r="A1570" s="1">
        <v>1569</v>
      </c>
      <c r="B1570" s="1" t="s">
        <v>4822</v>
      </c>
      <c r="C1570" s="1" t="s">
        <v>4823</v>
      </c>
      <c r="D1570" s="1" t="s">
        <v>4824</v>
      </c>
      <c r="F1570" s="1" t="s">
        <v>4825</v>
      </c>
      <c r="G1570" s="1">
        <v>1</v>
      </c>
      <c r="H1570" s="7">
        <v>45560</v>
      </c>
      <c r="I1570" s="1" t="s">
        <v>7449</v>
      </c>
      <c r="J1570" s="7">
        <v>45560</v>
      </c>
      <c r="K1570" s="1" t="s">
        <v>7449</v>
      </c>
    </row>
    <row r="1571" spans="1:11" x14ac:dyDescent="0.25">
      <c r="A1571" s="1">
        <v>1570</v>
      </c>
      <c r="B1571" s="1" t="s">
        <v>4826</v>
      </c>
      <c r="C1571" s="1" t="s">
        <v>4827</v>
      </c>
      <c r="D1571" s="1" t="s">
        <v>4828</v>
      </c>
      <c r="F1571" s="1" t="s">
        <v>4829</v>
      </c>
      <c r="G1571" s="1">
        <v>1</v>
      </c>
      <c r="H1571" s="7">
        <v>45560</v>
      </c>
      <c r="I1571" s="1" t="s">
        <v>7449</v>
      </c>
      <c r="J1571" s="7">
        <v>45560</v>
      </c>
      <c r="K1571" s="1" t="s">
        <v>7449</v>
      </c>
    </row>
    <row r="1572" spans="1:11" x14ac:dyDescent="0.25">
      <c r="A1572" s="1">
        <v>1571</v>
      </c>
      <c r="B1572" s="1" t="s">
        <v>4830</v>
      </c>
      <c r="C1572" s="1" t="s">
        <v>4831</v>
      </c>
      <c r="D1572" s="1" t="s">
        <v>4832</v>
      </c>
      <c r="F1572" s="1" t="s">
        <v>4833</v>
      </c>
      <c r="G1572" s="1">
        <v>1</v>
      </c>
      <c r="H1572" s="7">
        <v>45560</v>
      </c>
      <c r="I1572" s="1" t="s">
        <v>7449</v>
      </c>
      <c r="J1572" s="7">
        <v>45560</v>
      </c>
      <c r="K1572" s="1" t="s">
        <v>7449</v>
      </c>
    </row>
    <row r="1573" spans="1:11" x14ac:dyDescent="0.25">
      <c r="A1573" s="1">
        <v>1572</v>
      </c>
      <c r="B1573" s="1" t="s">
        <v>4834</v>
      </c>
      <c r="C1573" s="1" t="s">
        <v>4835</v>
      </c>
      <c r="D1573" s="1" t="s">
        <v>4836</v>
      </c>
      <c r="F1573" s="1" t="s">
        <v>4837</v>
      </c>
      <c r="G1573" s="1">
        <v>1</v>
      </c>
      <c r="H1573" s="7">
        <v>45560</v>
      </c>
      <c r="I1573" s="1" t="s">
        <v>7449</v>
      </c>
      <c r="J1573" s="7">
        <v>45560</v>
      </c>
      <c r="K1573" s="1" t="s">
        <v>7449</v>
      </c>
    </row>
    <row r="1574" spans="1:11" x14ac:dyDescent="0.25">
      <c r="A1574" s="1">
        <v>1573</v>
      </c>
      <c r="B1574" s="1" t="s">
        <v>3078</v>
      </c>
      <c r="C1574" s="1" t="s">
        <v>4838</v>
      </c>
      <c r="E1574" s="1" t="s">
        <v>52</v>
      </c>
      <c r="G1574" s="1">
        <v>1</v>
      </c>
      <c r="H1574" s="7">
        <v>45560</v>
      </c>
      <c r="I1574" s="1" t="s">
        <v>7449</v>
      </c>
      <c r="J1574" s="7">
        <v>45560</v>
      </c>
      <c r="K1574" s="1" t="s">
        <v>7449</v>
      </c>
    </row>
    <row r="1575" spans="1:11" x14ac:dyDescent="0.25">
      <c r="A1575" s="1">
        <v>1574</v>
      </c>
      <c r="B1575" s="1" t="s">
        <v>4839</v>
      </c>
      <c r="C1575" s="1" t="s">
        <v>4840</v>
      </c>
      <c r="D1575" s="1" t="s">
        <v>4841</v>
      </c>
      <c r="F1575" s="1" t="s">
        <v>4842</v>
      </c>
      <c r="G1575" s="1">
        <v>1</v>
      </c>
      <c r="H1575" s="7">
        <v>45560</v>
      </c>
      <c r="I1575" s="1" t="s">
        <v>7449</v>
      </c>
      <c r="J1575" s="7">
        <v>45560</v>
      </c>
      <c r="K1575" s="1" t="s">
        <v>7449</v>
      </c>
    </row>
    <row r="1576" spans="1:11" x14ac:dyDescent="0.25">
      <c r="A1576" s="1">
        <v>1575</v>
      </c>
      <c r="B1576" s="1" t="s">
        <v>4843</v>
      </c>
      <c r="C1576" s="1" t="s">
        <v>4844</v>
      </c>
      <c r="F1576" s="1" t="s">
        <v>4845</v>
      </c>
      <c r="G1576" s="1">
        <v>1</v>
      </c>
      <c r="H1576" s="7">
        <v>45560</v>
      </c>
      <c r="I1576" s="1" t="s">
        <v>7449</v>
      </c>
      <c r="J1576" s="7">
        <v>45560</v>
      </c>
      <c r="K1576" s="1" t="s">
        <v>7449</v>
      </c>
    </row>
    <row r="1577" spans="1:11" x14ac:dyDescent="0.25">
      <c r="A1577" s="1">
        <v>1576</v>
      </c>
      <c r="B1577" s="1" t="s">
        <v>4846</v>
      </c>
      <c r="C1577" s="1" t="s">
        <v>4847</v>
      </c>
      <c r="D1577" s="1" t="s">
        <v>4848</v>
      </c>
      <c r="F1577" s="1" t="s">
        <v>4849</v>
      </c>
      <c r="G1577" s="1">
        <v>1</v>
      </c>
      <c r="H1577" s="7">
        <v>45560</v>
      </c>
      <c r="I1577" s="1" t="s">
        <v>7449</v>
      </c>
      <c r="J1577" s="7">
        <v>45560</v>
      </c>
      <c r="K1577" s="1" t="s">
        <v>7449</v>
      </c>
    </row>
    <row r="1578" spans="1:11" x14ac:dyDescent="0.25">
      <c r="A1578" s="1">
        <v>1577</v>
      </c>
      <c r="B1578" s="1" t="s">
        <v>4850</v>
      </c>
      <c r="C1578" s="1" t="s">
        <v>4851</v>
      </c>
      <c r="D1578" s="1" t="s">
        <v>4852</v>
      </c>
      <c r="F1578" s="1" t="s">
        <v>4121</v>
      </c>
      <c r="G1578" s="1">
        <v>1</v>
      </c>
      <c r="H1578" s="7">
        <v>45560</v>
      </c>
      <c r="I1578" s="1" t="s">
        <v>7449</v>
      </c>
      <c r="J1578" s="7">
        <v>45560</v>
      </c>
      <c r="K1578" s="1" t="s">
        <v>7449</v>
      </c>
    </row>
    <row r="1579" spans="1:11" x14ac:dyDescent="0.25">
      <c r="A1579" s="1">
        <v>1578</v>
      </c>
      <c r="B1579" s="1" t="s">
        <v>4853</v>
      </c>
      <c r="C1579" s="1" t="s">
        <v>4854</v>
      </c>
      <c r="D1579" s="1" t="s">
        <v>4855</v>
      </c>
      <c r="F1579" s="1" t="s">
        <v>3199</v>
      </c>
      <c r="G1579" s="1">
        <v>1</v>
      </c>
      <c r="H1579" s="7">
        <v>45560</v>
      </c>
      <c r="I1579" s="1" t="s">
        <v>7449</v>
      </c>
      <c r="J1579" s="7">
        <v>45560</v>
      </c>
      <c r="K1579" s="1" t="s">
        <v>7449</v>
      </c>
    </row>
    <row r="1580" spans="1:11" x14ac:dyDescent="0.25">
      <c r="A1580" s="1">
        <v>1579</v>
      </c>
      <c r="B1580" s="1" t="s">
        <v>4856</v>
      </c>
      <c r="C1580" s="1" t="s">
        <v>4857</v>
      </c>
      <c r="D1580" s="1" t="s">
        <v>4858</v>
      </c>
      <c r="G1580" s="1">
        <v>1</v>
      </c>
      <c r="H1580" s="7">
        <v>45560</v>
      </c>
      <c r="I1580" s="1" t="s">
        <v>7449</v>
      </c>
      <c r="J1580" s="7">
        <v>45560</v>
      </c>
      <c r="K1580" s="1" t="s">
        <v>7449</v>
      </c>
    </row>
    <row r="1581" spans="1:11" x14ac:dyDescent="0.25">
      <c r="A1581" s="1">
        <v>1580</v>
      </c>
      <c r="B1581" s="1" t="s">
        <v>4859</v>
      </c>
      <c r="C1581" s="1" t="s">
        <v>4860</v>
      </c>
      <c r="G1581" s="1">
        <v>1</v>
      </c>
      <c r="H1581" s="7">
        <v>45560</v>
      </c>
      <c r="I1581" s="1" t="s">
        <v>7449</v>
      </c>
      <c r="J1581" s="7">
        <v>45560</v>
      </c>
      <c r="K1581" s="1" t="s">
        <v>7449</v>
      </c>
    </row>
    <row r="1582" spans="1:11" x14ac:dyDescent="0.25">
      <c r="A1582" s="1">
        <v>1581</v>
      </c>
      <c r="B1582" s="1" t="s">
        <v>4861</v>
      </c>
      <c r="C1582" s="1" t="s">
        <v>4862</v>
      </c>
      <c r="F1582" s="1" t="s">
        <v>4863</v>
      </c>
      <c r="G1582" s="1">
        <v>1</v>
      </c>
      <c r="H1582" s="7">
        <v>45560</v>
      </c>
      <c r="I1582" s="1" t="s">
        <v>7449</v>
      </c>
      <c r="J1582" s="7">
        <v>45560</v>
      </c>
      <c r="K1582" s="1" t="s">
        <v>7449</v>
      </c>
    </row>
    <row r="1583" spans="1:11" x14ac:dyDescent="0.25">
      <c r="A1583" s="1">
        <v>1582</v>
      </c>
      <c r="B1583" s="1" t="s">
        <v>1717</v>
      </c>
      <c r="C1583" s="1" t="s">
        <v>4864</v>
      </c>
      <c r="F1583" s="1" t="s">
        <v>4865</v>
      </c>
      <c r="G1583" s="1">
        <v>1</v>
      </c>
      <c r="H1583" s="7">
        <v>45560</v>
      </c>
      <c r="I1583" s="1" t="s">
        <v>7449</v>
      </c>
      <c r="J1583" s="7">
        <v>45560</v>
      </c>
      <c r="K1583" s="1" t="s">
        <v>7449</v>
      </c>
    </row>
    <row r="1584" spans="1:11" x14ac:dyDescent="0.25">
      <c r="A1584" s="1">
        <v>1583</v>
      </c>
      <c r="B1584" s="1" t="s">
        <v>4866</v>
      </c>
      <c r="C1584" s="1" t="s">
        <v>4867</v>
      </c>
      <c r="F1584" s="1" t="s">
        <v>4868</v>
      </c>
      <c r="G1584" s="1">
        <v>1</v>
      </c>
      <c r="H1584" s="7">
        <v>45560</v>
      </c>
      <c r="I1584" s="1" t="s">
        <v>7449</v>
      </c>
      <c r="J1584" s="7">
        <v>45560</v>
      </c>
      <c r="K1584" s="1" t="s">
        <v>7449</v>
      </c>
    </row>
    <row r="1585" spans="1:11" x14ac:dyDescent="0.25">
      <c r="A1585" s="1">
        <v>1584</v>
      </c>
      <c r="B1585" s="1" t="s">
        <v>4869</v>
      </c>
      <c r="C1585" s="1" t="s">
        <v>4870</v>
      </c>
      <c r="D1585" s="1" t="s">
        <v>4871</v>
      </c>
      <c r="G1585" s="1">
        <v>1</v>
      </c>
      <c r="H1585" s="7">
        <v>45560</v>
      </c>
      <c r="I1585" s="1" t="s">
        <v>7449</v>
      </c>
      <c r="J1585" s="7">
        <v>45560</v>
      </c>
      <c r="K1585" s="1" t="s">
        <v>7449</v>
      </c>
    </row>
    <row r="1586" spans="1:11" x14ac:dyDescent="0.25">
      <c r="A1586" s="1">
        <v>1585</v>
      </c>
      <c r="B1586" s="1" t="s">
        <v>4872</v>
      </c>
      <c r="C1586" s="1" t="s">
        <v>4873</v>
      </c>
      <c r="E1586" s="1" t="s">
        <v>52</v>
      </c>
      <c r="G1586" s="1">
        <v>1</v>
      </c>
      <c r="H1586" s="7">
        <v>45560</v>
      </c>
      <c r="I1586" s="1" t="s">
        <v>7449</v>
      </c>
      <c r="J1586" s="7">
        <v>45560</v>
      </c>
      <c r="K1586" s="1" t="s">
        <v>7449</v>
      </c>
    </row>
    <row r="1587" spans="1:11" x14ac:dyDescent="0.25">
      <c r="A1587" s="1">
        <v>1586</v>
      </c>
      <c r="B1587" s="1" t="s">
        <v>4874</v>
      </c>
      <c r="C1587" s="1" t="s">
        <v>4875</v>
      </c>
      <c r="D1587" s="1" t="s">
        <v>4876</v>
      </c>
      <c r="F1587" s="1" t="s">
        <v>4877</v>
      </c>
      <c r="G1587" s="1">
        <v>1</v>
      </c>
      <c r="H1587" s="7">
        <v>45560</v>
      </c>
      <c r="I1587" s="1" t="s">
        <v>7449</v>
      </c>
      <c r="J1587" s="7">
        <v>45560</v>
      </c>
      <c r="K1587" s="1" t="s">
        <v>7449</v>
      </c>
    </row>
    <row r="1588" spans="1:11" x14ac:dyDescent="0.25">
      <c r="A1588" s="1">
        <v>1587</v>
      </c>
      <c r="B1588" s="1" t="s">
        <v>4878</v>
      </c>
      <c r="C1588" s="1" t="s">
        <v>4879</v>
      </c>
      <c r="D1588" s="1" t="s">
        <v>4880</v>
      </c>
      <c r="F1588" s="1" t="s">
        <v>4881</v>
      </c>
      <c r="G1588" s="1">
        <v>1</v>
      </c>
      <c r="H1588" s="7">
        <v>45560</v>
      </c>
      <c r="I1588" s="1" t="s">
        <v>7449</v>
      </c>
      <c r="J1588" s="7">
        <v>45560</v>
      </c>
      <c r="K1588" s="1" t="s">
        <v>7449</v>
      </c>
    </row>
    <row r="1589" spans="1:11" x14ac:dyDescent="0.25">
      <c r="A1589" s="1">
        <v>1588</v>
      </c>
      <c r="B1589" s="1" t="s">
        <v>4882</v>
      </c>
      <c r="C1589" s="1" t="s">
        <v>4883</v>
      </c>
      <c r="D1589" s="1" t="s">
        <v>4884</v>
      </c>
      <c r="F1589" s="1" t="s">
        <v>4885</v>
      </c>
      <c r="G1589" s="1">
        <v>1</v>
      </c>
      <c r="H1589" s="7">
        <v>45560</v>
      </c>
      <c r="I1589" s="1" t="s">
        <v>7449</v>
      </c>
      <c r="J1589" s="7">
        <v>45560</v>
      </c>
      <c r="K1589" s="1" t="s">
        <v>7449</v>
      </c>
    </row>
    <row r="1590" spans="1:11" x14ac:dyDescent="0.25">
      <c r="A1590" s="1">
        <v>1589</v>
      </c>
      <c r="B1590" s="1" t="s">
        <v>4886</v>
      </c>
      <c r="C1590" s="1" t="s">
        <v>4887</v>
      </c>
      <c r="D1590" s="1" t="s">
        <v>4888</v>
      </c>
      <c r="G1590" s="1">
        <v>1</v>
      </c>
      <c r="H1590" s="7">
        <v>45560</v>
      </c>
      <c r="I1590" s="1" t="s">
        <v>7449</v>
      </c>
      <c r="J1590" s="7">
        <v>45560</v>
      </c>
      <c r="K1590" s="1" t="s">
        <v>7449</v>
      </c>
    </row>
    <row r="1591" spans="1:11" x14ac:dyDescent="0.25">
      <c r="A1591" s="1">
        <v>1590</v>
      </c>
      <c r="B1591" s="1" t="s">
        <v>4889</v>
      </c>
      <c r="C1591" s="1" t="s">
        <v>4890</v>
      </c>
      <c r="D1591" s="1" t="s">
        <v>4891</v>
      </c>
      <c r="F1591" s="1" t="s">
        <v>4892</v>
      </c>
      <c r="G1591" s="1">
        <v>1</v>
      </c>
      <c r="H1591" s="7">
        <v>45560</v>
      </c>
      <c r="I1591" s="1" t="s">
        <v>7449</v>
      </c>
      <c r="J1591" s="7">
        <v>45560</v>
      </c>
      <c r="K1591" s="1" t="s">
        <v>7449</v>
      </c>
    </row>
    <row r="1592" spans="1:11" x14ac:dyDescent="0.25">
      <c r="A1592" s="1">
        <v>1591</v>
      </c>
      <c r="B1592" s="1" t="s">
        <v>4893</v>
      </c>
      <c r="C1592" s="1" t="s">
        <v>4894</v>
      </c>
      <c r="D1592" s="1" t="s">
        <v>4895</v>
      </c>
      <c r="G1592" s="1">
        <v>1</v>
      </c>
      <c r="H1592" s="7">
        <v>45560</v>
      </c>
      <c r="I1592" s="1" t="s">
        <v>7449</v>
      </c>
      <c r="J1592" s="7">
        <v>45560</v>
      </c>
      <c r="K1592" s="1" t="s">
        <v>7449</v>
      </c>
    </row>
    <row r="1593" spans="1:11" x14ac:dyDescent="0.25">
      <c r="A1593" s="1">
        <v>1592</v>
      </c>
      <c r="B1593" s="1" t="s">
        <v>4896</v>
      </c>
      <c r="C1593" s="1" t="s">
        <v>4897</v>
      </c>
      <c r="D1593" s="1" t="s">
        <v>4898</v>
      </c>
      <c r="G1593" s="1">
        <v>1</v>
      </c>
      <c r="H1593" s="7">
        <v>45560</v>
      </c>
      <c r="I1593" s="1" t="s">
        <v>7449</v>
      </c>
      <c r="J1593" s="7">
        <v>45560</v>
      </c>
      <c r="K1593" s="1" t="s">
        <v>7449</v>
      </c>
    </row>
    <row r="1594" spans="1:11" x14ac:dyDescent="0.25">
      <c r="A1594" s="1">
        <v>1593</v>
      </c>
      <c r="B1594" s="1" t="s">
        <v>4899</v>
      </c>
      <c r="C1594" s="1" t="s">
        <v>4900</v>
      </c>
      <c r="E1594" s="1" t="s">
        <v>52</v>
      </c>
      <c r="F1594" s="1" t="s">
        <v>4901</v>
      </c>
      <c r="G1594" s="1">
        <v>1</v>
      </c>
      <c r="H1594" s="7">
        <v>45560</v>
      </c>
      <c r="I1594" s="1" t="s">
        <v>7449</v>
      </c>
      <c r="J1594" s="7">
        <v>45560</v>
      </c>
      <c r="K1594" s="1" t="s">
        <v>7449</v>
      </c>
    </row>
    <row r="1595" spans="1:11" x14ac:dyDescent="0.25">
      <c r="A1595" s="1">
        <v>1594</v>
      </c>
      <c r="B1595" s="1" t="s">
        <v>4902</v>
      </c>
      <c r="C1595" s="1" t="s">
        <v>4903</v>
      </c>
      <c r="D1595" s="1" t="s">
        <v>4904</v>
      </c>
      <c r="G1595" s="1">
        <v>1</v>
      </c>
      <c r="H1595" s="7">
        <v>45560</v>
      </c>
      <c r="I1595" s="1" t="s">
        <v>7449</v>
      </c>
      <c r="J1595" s="7">
        <v>45560</v>
      </c>
      <c r="K1595" s="1" t="s">
        <v>7449</v>
      </c>
    </row>
    <row r="1596" spans="1:11" x14ac:dyDescent="0.25">
      <c r="A1596" s="1">
        <v>1595</v>
      </c>
      <c r="B1596" s="1" t="s">
        <v>4905</v>
      </c>
      <c r="C1596" s="1" t="s">
        <v>4906</v>
      </c>
      <c r="D1596" s="1" t="s">
        <v>4907</v>
      </c>
      <c r="F1596" s="1" t="s">
        <v>4908</v>
      </c>
      <c r="G1596" s="1">
        <v>1</v>
      </c>
      <c r="H1596" s="7">
        <v>45560</v>
      </c>
      <c r="I1596" s="1" t="s">
        <v>7449</v>
      </c>
      <c r="J1596" s="7">
        <v>45560</v>
      </c>
      <c r="K1596" s="1" t="s">
        <v>7449</v>
      </c>
    </row>
    <row r="1597" spans="1:11" x14ac:dyDescent="0.25">
      <c r="A1597" s="1">
        <v>1596</v>
      </c>
      <c r="B1597" s="1" t="s">
        <v>4909</v>
      </c>
      <c r="C1597" s="1" t="s">
        <v>4910</v>
      </c>
      <c r="D1597" s="1" t="s">
        <v>4911</v>
      </c>
      <c r="F1597" s="1" t="s">
        <v>4912</v>
      </c>
      <c r="G1597" s="1">
        <v>1</v>
      </c>
      <c r="H1597" s="7">
        <v>45560</v>
      </c>
      <c r="I1597" s="1" t="s">
        <v>7449</v>
      </c>
      <c r="J1597" s="7">
        <v>45560</v>
      </c>
      <c r="K1597" s="1" t="s">
        <v>7449</v>
      </c>
    </row>
    <row r="1598" spans="1:11" x14ac:dyDescent="0.25">
      <c r="A1598" s="1">
        <v>1597</v>
      </c>
      <c r="B1598" s="1" t="s">
        <v>4913</v>
      </c>
      <c r="C1598" s="1" t="s">
        <v>4914</v>
      </c>
      <c r="D1598" s="1" t="s">
        <v>4911</v>
      </c>
      <c r="F1598" s="1" t="s">
        <v>4915</v>
      </c>
      <c r="G1598" s="1">
        <v>1</v>
      </c>
      <c r="H1598" s="7">
        <v>45560</v>
      </c>
      <c r="I1598" s="1" t="s">
        <v>7449</v>
      </c>
      <c r="J1598" s="7">
        <v>45560</v>
      </c>
      <c r="K1598" s="1" t="s">
        <v>7449</v>
      </c>
    </row>
    <row r="1599" spans="1:11" x14ac:dyDescent="0.25">
      <c r="A1599" s="1">
        <v>1598</v>
      </c>
      <c r="B1599" s="1" t="s">
        <v>4916</v>
      </c>
      <c r="C1599" s="1" t="s">
        <v>4917</v>
      </c>
      <c r="D1599" s="1" t="s">
        <v>4918</v>
      </c>
      <c r="F1599" s="1" t="s">
        <v>4919</v>
      </c>
      <c r="G1599" s="1">
        <v>1</v>
      </c>
      <c r="H1599" s="7">
        <v>45560</v>
      </c>
      <c r="I1599" s="1" t="s">
        <v>7449</v>
      </c>
      <c r="J1599" s="7">
        <v>45560</v>
      </c>
      <c r="K1599" s="1" t="s">
        <v>7449</v>
      </c>
    </row>
    <row r="1600" spans="1:11" x14ac:dyDescent="0.25">
      <c r="A1600" s="1">
        <v>1599</v>
      </c>
      <c r="B1600" s="1" t="s">
        <v>4920</v>
      </c>
      <c r="C1600" s="1" t="s">
        <v>4921</v>
      </c>
      <c r="D1600" s="1" t="s">
        <v>4922</v>
      </c>
      <c r="G1600" s="1">
        <v>1</v>
      </c>
      <c r="H1600" s="7">
        <v>45560</v>
      </c>
      <c r="I1600" s="1" t="s">
        <v>7449</v>
      </c>
      <c r="J1600" s="7">
        <v>45560</v>
      </c>
      <c r="K1600" s="1" t="s">
        <v>7449</v>
      </c>
    </row>
    <row r="1601" spans="1:11" x14ac:dyDescent="0.25">
      <c r="A1601" s="1">
        <v>1600</v>
      </c>
      <c r="B1601" s="1" t="s">
        <v>4923</v>
      </c>
      <c r="C1601" s="1" t="s">
        <v>4924</v>
      </c>
      <c r="D1601" s="1" t="s">
        <v>4925</v>
      </c>
      <c r="F1601" s="1" t="s">
        <v>4926</v>
      </c>
      <c r="G1601" s="1">
        <v>1</v>
      </c>
      <c r="H1601" s="7">
        <v>45560</v>
      </c>
      <c r="I1601" s="1" t="s">
        <v>7449</v>
      </c>
      <c r="J1601" s="7">
        <v>45560</v>
      </c>
      <c r="K1601" s="1" t="s">
        <v>7449</v>
      </c>
    </row>
    <row r="1602" spans="1:11" x14ac:dyDescent="0.25">
      <c r="A1602" s="1">
        <v>1601</v>
      </c>
      <c r="B1602" s="1" t="s">
        <v>4927</v>
      </c>
      <c r="C1602" s="1" t="s">
        <v>4928</v>
      </c>
      <c r="F1602" s="1" t="s">
        <v>4929</v>
      </c>
      <c r="G1602" s="1">
        <v>1</v>
      </c>
      <c r="H1602" s="7">
        <v>45560</v>
      </c>
      <c r="I1602" s="1" t="s">
        <v>7449</v>
      </c>
      <c r="J1602" s="7">
        <v>45560</v>
      </c>
      <c r="K1602" s="1" t="s">
        <v>7449</v>
      </c>
    </row>
    <row r="1603" spans="1:11" x14ac:dyDescent="0.25">
      <c r="A1603" s="1">
        <v>1602</v>
      </c>
      <c r="B1603" s="1" t="s">
        <v>4930</v>
      </c>
      <c r="C1603" s="1" t="s">
        <v>4931</v>
      </c>
      <c r="E1603" s="1" t="s">
        <v>52</v>
      </c>
      <c r="G1603" s="1">
        <v>1</v>
      </c>
      <c r="H1603" s="7">
        <v>45560</v>
      </c>
      <c r="I1603" s="1" t="s">
        <v>7449</v>
      </c>
      <c r="J1603" s="7">
        <v>45560</v>
      </c>
      <c r="K1603" s="1" t="s">
        <v>7449</v>
      </c>
    </row>
    <row r="1604" spans="1:11" x14ac:dyDescent="0.25">
      <c r="A1604" s="1">
        <v>1603</v>
      </c>
      <c r="B1604" s="1" t="s">
        <v>4932</v>
      </c>
      <c r="C1604" s="1" t="s">
        <v>4933</v>
      </c>
      <c r="F1604" s="1" t="s">
        <v>4934</v>
      </c>
      <c r="G1604" s="1">
        <v>1</v>
      </c>
      <c r="H1604" s="7">
        <v>45560</v>
      </c>
      <c r="I1604" s="1" t="s">
        <v>7449</v>
      </c>
      <c r="J1604" s="7">
        <v>45560</v>
      </c>
      <c r="K1604" s="1" t="s">
        <v>7449</v>
      </c>
    </row>
    <row r="1605" spans="1:11" x14ac:dyDescent="0.25">
      <c r="A1605" s="1">
        <v>1604</v>
      </c>
      <c r="B1605" s="1" t="s">
        <v>4935</v>
      </c>
      <c r="C1605" s="1" t="s">
        <v>4936</v>
      </c>
      <c r="F1605" s="1" t="s">
        <v>4937</v>
      </c>
      <c r="G1605" s="1">
        <v>1</v>
      </c>
      <c r="H1605" s="7">
        <v>45560</v>
      </c>
      <c r="I1605" s="1" t="s">
        <v>7449</v>
      </c>
      <c r="J1605" s="7">
        <v>45560</v>
      </c>
      <c r="K1605" s="1" t="s">
        <v>7449</v>
      </c>
    </row>
    <row r="1606" spans="1:11" x14ac:dyDescent="0.25">
      <c r="A1606" s="1">
        <v>1605</v>
      </c>
      <c r="B1606" s="1" t="s">
        <v>4938</v>
      </c>
      <c r="C1606" s="1" t="s">
        <v>4939</v>
      </c>
      <c r="D1606" s="1" t="s">
        <v>4940</v>
      </c>
      <c r="F1606" s="1" t="s">
        <v>4941</v>
      </c>
      <c r="G1606" s="1">
        <v>1</v>
      </c>
      <c r="H1606" s="7">
        <v>45560</v>
      </c>
      <c r="I1606" s="1" t="s">
        <v>7449</v>
      </c>
      <c r="J1606" s="7">
        <v>45560</v>
      </c>
      <c r="K1606" s="1" t="s">
        <v>7449</v>
      </c>
    </row>
    <row r="1607" spans="1:11" x14ac:dyDescent="0.25">
      <c r="A1607" s="1">
        <v>1606</v>
      </c>
      <c r="B1607" s="1" t="s">
        <v>4942</v>
      </c>
      <c r="C1607" s="1" t="s">
        <v>4943</v>
      </c>
      <c r="D1607" s="1" t="s">
        <v>4944</v>
      </c>
      <c r="F1607" s="1" t="s">
        <v>4945</v>
      </c>
      <c r="G1607" s="1">
        <v>1</v>
      </c>
      <c r="H1607" s="7">
        <v>45560</v>
      </c>
      <c r="I1607" s="1" t="s">
        <v>7449</v>
      </c>
      <c r="J1607" s="7">
        <v>45560</v>
      </c>
      <c r="K1607" s="1" t="s">
        <v>7449</v>
      </c>
    </row>
    <row r="1608" spans="1:11" x14ac:dyDescent="0.25">
      <c r="A1608" s="1">
        <v>1607</v>
      </c>
      <c r="B1608" s="1" t="s">
        <v>4946</v>
      </c>
      <c r="C1608" s="1" t="s">
        <v>4947</v>
      </c>
      <c r="D1608" s="1" t="s">
        <v>4948</v>
      </c>
      <c r="F1608" s="1" t="s">
        <v>4949</v>
      </c>
      <c r="G1608" s="1">
        <v>1</v>
      </c>
      <c r="H1608" s="7">
        <v>45560</v>
      </c>
      <c r="I1608" s="1" t="s">
        <v>7449</v>
      </c>
      <c r="J1608" s="7">
        <v>45560</v>
      </c>
      <c r="K1608" s="1" t="s">
        <v>7449</v>
      </c>
    </row>
    <row r="1609" spans="1:11" x14ac:dyDescent="0.25">
      <c r="A1609" s="1">
        <v>1608</v>
      </c>
      <c r="B1609" s="1" t="s">
        <v>4950</v>
      </c>
      <c r="C1609" s="1" t="s">
        <v>4951</v>
      </c>
      <c r="D1609" s="1" t="s">
        <v>4952</v>
      </c>
      <c r="F1609" s="1" t="s">
        <v>4953</v>
      </c>
      <c r="G1609" s="1">
        <v>1</v>
      </c>
      <c r="H1609" s="7">
        <v>45560</v>
      </c>
      <c r="I1609" s="1" t="s">
        <v>7449</v>
      </c>
      <c r="J1609" s="7">
        <v>45560</v>
      </c>
      <c r="K1609" s="1" t="s">
        <v>7449</v>
      </c>
    </row>
    <row r="1610" spans="1:11" x14ac:dyDescent="0.25">
      <c r="A1610" s="1">
        <v>1609</v>
      </c>
      <c r="B1610" s="1" t="s">
        <v>4954</v>
      </c>
      <c r="C1610" s="1" t="s">
        <v>4955</v>
      </c>
      <c r="D1610" s="1" t="s">
        <v>4956</v>
      </c>
      <c r="F1610" s="1" t="s">
        <v>4957</v>
      </c>
      <c r="G1610" s="1">
        <v>1</v>
      </c>
      <c r="H1610" s="7">
        <v>45560</v>
      </c>
      <c r="I1610" s="1" t="s">
        <v>7449</v>
      </c>
      <c r="J1610" s="7">
        <v>45560</v>
      </c>
      <c r="K1610" s="1" t="s">
        <v>7449</v>
      </c>
    </row>
    <row r="1611" spans="1:11" x14ac:dyDescent="0.25">
      <c r="A1611" s="1">
        <v>1610</v>
      </c>
      <c r="B1611" s="1" t="s">
        <v>982</v>
      </c>
      <c r="C1611" s="1" t="s">
        <v>4958</v>
      </c>
      <c r="E1611" s="1" t="s">
        <v>52</v>
      </c>
      <c r="G1611" s="1">
        <v>1</v>
      </c>
      <c r="H1611" s="7">
        <v>45560</v>
      </c>
      <c r="I1611" s="1" t="s">
        <v>7449</v>
      </c>
      <c r="J1611" s="7">
        <v>45560</v>
      </c>
      <c r="K1611" s="1" t="s">
        <v>7449</v>
      </c>
    </row>
    <row r="1612" spans="1:11" x14ac:dyDescent="0.25">
      <c r="A1612" s="1">
        <v>1611</v>
      </c>
      <c r="B1612" s="1" t="s">
        <v>4959</v>
      </c>
      <c r="C1612" s="1" t="s">
        <v>4960</v>
      </c>
      <c r="F1612" s="1" t="s">
        <v>4961</v>
      </c>
      <c r="G1612" s="1">
        <v>1</v>
      </c>
      <c r="H1612" s="7">
        <v>45560</v>
      </c>
      <c r="I1612" s="1" t="s">
        <v>7449</v>
      </c>
      <c r="J1612" s="7">
        <v>45560</v>
      </c>
      <c r="K1612" s="1" t="s">
        <v>7449</v>
      </c>
    </row>
    <row r="1613" spans="1:11" x14ac:dyDescent="0.25">
      <c r="A1613" s="1">
        <v>1612</v>
      </c>
      <c r="B1613" s="1" t="s">
        <v>4962</v>
      </c>
      <c r="C1613" s="1" t="s">
        <v>4963</v>
      </c>
      <c r="D1613" s="1" t="s">
        <v>4964</v>
      </c>
      <c r="F1613" s="1" t="s">
        <v>4965</v>
      </c>
      <c r="G1613" s="1">
        <v>1</v>
      </c>
      <c r="H1613" s="7">
        <v>45560</v>
      </c>
      <c r="I1613" s="1" t="s">
        <v>7449</v>
      </c>
      <c r="J1613" s="7">
        <v>45560</v>
      </c>
      <c r="K1613" s="1" t="s">
        <v>7449</v>
      </c>
    </row>
    <row r="1614" spans="1:11" x14ac:dyDescent="0.25">
      <c r="A1614" s="1">
        <v>1613</v>
      </c>
      <c r="B1614" s="1" t="s">
        <v>4966</v>
      </c>
      <c r="C1614" s="1" t="s">
        <v>4967</v>
      </c>
      <c r="D1614" s="1" t="s">
        <v>4968</v>
      </c>
      <c r="G1614" s="1">
        <v>1</v>
      </c>
      <c r="H1614" s="7">
        <v>45560</v>
      </c>
      <c r="I1614" s="1" t="s">
        <v>7449</v>
      </c>
      <c r="J1614" s="7">
        <v>45560</v>
      </c>
      <c r="K1614" s="1" t="s">
        <v>7449</v>
      </c>
    </row>
    <row r="1615" spans="1:11" x14ac:dyDescent="0.25">
      <c r="A1615" s="1">
        <v>1614</v>
      </c>
      <c r="B1615" s="1" t="s">
        <v>4969</v>
      </c>
      <c r="C1615" s="1" t="s">
        <v>4970</v>
      </c>
      <c r="D1615" s="1" t="s">
        <v>4971</v>
      </c>
      <c r="F1615" s="1" t="s">
        <v>4972</v>
      </c>
      <c r="G1615" s="1">
        <v>1</v>
      </c>
      <c r="H1615" s="7">
        <v>45560</v>
      </c>
      <c r="I1615" s="1" t="s">
        <v>7449</v>
      </c>
      <c r="J1615" s="7">
        <v>45560</v>
      </c>
      <c r="K1615" s="1" t="s">
        <v>7449</v>
      </c>
    </row>
    <row r="1616" spans="1:11" x14ac:dyDescent="0.25">
      <c r="A1616" s="1">
        <v>1615</v>
      </c>
      <c r="B1616" s="1" t="s">
        <v>4973</v>
      </c>
      <c r="C1616" s="1" t="s">
        <v>4974</v>
      </c>
      <c r="D1616" s="1" t="s">
        <v>4975</v>
      </c>
      <c r="F1616" s="1" t="s">
        <v>4976</v>
      </c>
      <c r="G1616" s="1">
        <v>1</v>
      </c>
      <c r="H1616" s="7">
        <v>45560</v>
      </c>
      <c r="I1616" s="1" t="s">
        <v>7449</v>
      </c>
      <c r="J1616" s="7">
        <v>45560</v>
      </c>
      <c r="K1616" s="1" t="s">
        <v>7449</v>
      </c>
    </row>
    <row r="1617" spans="1:11" x14ac:dyDescent="0.25">
      <c r="A1617" s="1">
        <v>1616</v>
      </c>
      <c r="B1617" s="1" t="s">
        <v>4977</v>
      </c>
      <c r="C1617" s="1" t="s">
        <v>4978</v>
      </c>
      <c r="D1617" s="1" t="s">
        <v>4979</v>
      </c>
      <c r="F1617" s="1" t="s">
        <v>4980</v>
      </c>
      <c r="G1617" s="1">
        <v>1</v>
      </c>
      <c r="H1617" s="7">
        <v>45560</v>
      </c>
      <c r="I1617" s="1" t="s">
        <v>7449</v>
      </c>
      <c r="J1617" s="7">
        <v>45560</v>
      </c>
      <c r="K1617" s="1" t="s">
        <v>7449</v>
      </c>
    </row>
    <row r="1618" spans="1:11" x14ac:dyDescent="0.25">
      <c r="A1618" s="1">
        <v>1617</v>
      </c>
      <c r="B1618" s="1" t="s">
        <v>4981</v>
      </c>
      <c r="C1618" s="1" t="s">
        <v>4982</v>
      </c>
      <c r="D1618" s="1" t="s">
        <v>4983</v>
      </c>
      <c r="F1618" s="1" t="s">
        <v>4984</v>
      </c>
      <c r="G1618" s="1">
        <v>1</v>
      </c>
      <c r="H1618" s="7">
        <v>45560</v>
      </c>
      <c r="I1618" s="1" t="s">
        <v>7449</v>
      </c>
      <c r="J1618" s="7">
        <v>45560</v>
      </c>
      <c r="K1618" s="1" t="s">
        <v>7449</v>
      </c>
    </row>
    <row r="1619" spans="1:11" x14ac:dyDescent="0.25">
      <c r="A1619" s="1">
        <v>1618</v>
      </c>
      <c r="B1619" s="1" t="s">
        <v>4985</v>
      </c>
      <c r="C1619" s="1" t="s">
        <v>4986</v>
      </c>
      <c r="D1619" s="1" t="s">
        <v>4987</v>
      </c>
      <c r="F1619" s="1" t="s">
        <v>4988</v>
      </c>
      <c r="G1619" s="1">
        <v>1</v>
      </c>
      <c r="H1619" s="7">
        <v>45560</v>
      </c>
      <c r="I1619" s="1" t="s">
        <v>7449</v>
      </c>
      <c r="J1619" s="7">
        <v>45560</v>
      </c>
      <c r="K1619" s="1" t="s">
        <v>7449</v>
      </c>
    </row>
    <row r="1620" spans="1:11" x14ac:dyDescent="0.25">
      <c r="A1620" s="1">
        <v>1619</v>
      </c>
      <c r="B1620" s="1" t="s">
        <v>4989</v>
      </c>
      <c r="C1620" s="1" t="s">
        <v>4990</v>
      </c>
      <c r="D1620" s="1" t="s">
        <v>4991</v>
      </c>
      <c r="F1620" s="1" t="s">
        <v>4992</v>
      </c>
      <c r="G1620" s="1">
        <v>1</v>
      </c>
      <c r="H1620" s="7">
        <v>45560</v>
      </c>
      <c r="I1620" s="1" t="s">
        <v>7449</v>
      </c>
      <c r="J1620" s="7">
        <v>45560</v>
      </c>
      <c r="K1620" s="1" t="s">
        <v>7449</v>
      </c>
    </row>
    <row r="1621" spans="1:11" x14ac:dyDescent="0.25">
      <c r="A1621" s="1">
        <v>1620</v>
      </c>
      <c r="B1621" s="1" t="s">
        <v>4993</v>
      </c>
      <c r="C1621" s="1" t="s">
        <v>4994</v>
      </c>
      <c r="D1621" s="1" t="s">
        <v>4995</v>
      </c>
      <c r="F1621" s="1" t="s">
        <v>4996</v>
      </c>
      <c r="G1621" s="1">
        <v>1</v>
      </c>
      <c r="H1621" s="7">
        <v>45560</v>
      </c>
      <c r="I1621" s="1" t="s">
        <v>7449</v>
      </c>
      <c r="J1621" s="7">
        <v>45560</v>
      </c>
      <c r="K1621" s="1" t="s">
        <v>7449</v>
      </c>
    </row>
    <row r="1622" spans="1:11" x14ac:dyDescent="0.25">
      <c r="A1622" s="1">
        <v>1621</v>
      </c>
      <c r="B1622" s="1" t="s">
        <v>4997</v>
      </c>
      <c r="C1622" s="1" t="s">
        <v>4998</v>
      </c>
      <c r="D1622" s="1" t="s">
        <v>4999</v>
      </c>
      <c r="F1622" s="1" t="s">
        <v>5000</v>
      </c>
      <c r="G1622" s="1">
        <v>1</v>
      </c>
      <c r="H1622" s="7">
        <v>45560</v>
      </c>
      <c r="I1622" s="1" t="s">
        <v>7449</v>
      </c>
      <c r="J1622" s="7">
        <v>45560</v>
      </c>
      <c r="K1622" s="1" t="s">
        <v>7449</v>
      </c>
    </row>
    <row r="1623" spans="1:11" x14ac:dyDescent="0.25">
      <c r="A1623" s="1">
        <v>1622</v>
      </c>
      <c r="B1623" s="1" t="s">
        <v>5001</v>
      </c>
      <c r="C1623" s="1" t="s">
        <v>5002</v>
      </c>
      <c r="D1623" s="1" t="s">
        <v>5003</v>
      </c>
      <c r="F1623" s="1" t="s">
        <v>5004</v>
      </c>
      <c r="G1623" s="1">
        <v>1</v>
      </c>
      <c r="H1623" s="7">
        <v>45560</v>
      </c>
      <c r="I1623" s="1" t="s">
        <v>7449</v>
      </c>
      <c r="J1623" s="7">
        <v>45560</v>
      </c>
      <c r="K1623" s="1" t="s">
        <v>7449</v>
      </c>
    </row>
    <row r="1624" spans="1:11" x14ac:dyDescent="0.25">
      <c r="A1624" s="1">
        <v>1623</v>
      </c>
      <c r="B1624" s="1" t="s">
        <v>5005</v>
      </c>
      <c r="C1624" s="1" t="s">
        <v>5006</v>
      </c>
      <c r="D1624" s="1" t="s">
        <v>5007</v>
      </c>
      <c r="F1624" s="1" t="s">
        <v>5008</v>
      </c>
      <c r="G1624" s="1">
        <v>1</v>
      </c>
      <c r="H1624" s="7">
        <v>45560</v>
      </c>
      <c r="I1624" s="1" t="s">
        <v>7449</v>
      </c>
      <c r="J1624" s="7">
        <v>45560</v>
      </c>
      <c r="K1624" s="1" t="s">
        <v>7449</v>
      </c>
    </row>
    <row r="1625" spans="1:11" x14ac:dyDescent="0.25">
      <c r="A1625" s="1">
        <v>1624</v>
      </c>
      <c r="B1625" s="1" t="s">
        <v>5009</v>
      </c>
      <c r="C1625" s="1" t="s">
        <v>5010</v>
      </c>
      <c r="E1625" s="1" t="s">
        <v>52</v>
      </c>
      <c r="G1625" s="1">
        <v>1</v>
      </c>
      <c r="H1625" s="7">
        <v>45560</v>
      </c>
      <c r="I1625" s="1" t="s">
        <v>7449</v>
      </c>
      <c r="J1625" s="7">
        <v>45560</v>
      </c>
      <c r="K1625" s="1" t="s">
        <v>7449</v>
      </c>
    </row>
    <row r="1626" spans="1:11" x14ac:dyDescent="0.25">
      <c r="A1626" s="1">
        <v>1625</v>
      </c>
      <c r="B1626" s="1" t="s">
        <v>5011</v>
      </c>
      <c r="C1626" s="1" t="s">
        <v>5012</v>
      </c>
      <c r="D1626" s="1" t="s">
        <v>5013</v>
      </c>
      <c r="F1626" s="1" t="s">
        <v>5014</v>
      </c>
      <c r="G1626" s="1">
        <v>1</v>
      </c>
      <c r="H1626" s="7">
        <v>45560</v>
      </c>
      <c r="I1626" s="1" t="s">
        <v>7449</v>
      </c>
      <c r="J1626" s="7">
        <v>45560</v>
      </c>
      <c r="K1626" s="1" t="s">
        <v>7449</v>
      </c>
    </row>
    <row r="1627" spans="1:11" x14ac:dyDescent="0.25">
      <c r="A1627" s="1">
        <v>1626</v>
      </c>
      <c r="B1627" s="1" t="s">
        <v>5015</v>
      </c>
      <c r="C1627" s="1" t="s">
        <v>5016</v>
      </c>
      <c r="D1627" s="1" t="s">
        <v>5017</v>
      </c>
      <c r="F1627" s="1" t="s">
        <v>5018</v>
      </c>
      <c r="G1627" s="1">
        <v>1</v>
      </c>
      <c r="H1627" s="7">
        <v>45560</v>
      </c>
      <c r="I1627" s="1" t="s">
        <v>7449</v>
      </c>
      <c r="J1627" s="7">
        <v>45560</v>
      </c>
      <c r="K1627" s="1" t="s">
        <v>7449</v>
      </c>
    </row>
    <row r="1628" spans="1:11" x14ac:dyDescent="0.25">
      <c r="A1628" s="1">
        <v>1627</v>
      </c>
      <c r="B1628" s="1" t="s">
        <v>5019</v>
      </c>
      <c r="C1628" s="1" t="s">
        <v>5020</v>
      </c>
      <c r="D1628" s="1" t="s">
        <v>5021</v>
      </c>
      <c r="F1628" s="1" t="s">
        <v>5022</v>
      </c>
      <c r="G1628" s="1">
        <v>1</v>
      </c>
      <c r="H1628" s="7">
        <v>45560</v>
      </c>
      <c r="I1628" s="1" t="s">
        <v>7449</v>
      </c>
      <c r="J1628" s="7">
        <v>45560</v>
      </c>
      <c r="K1628" s="1" t="s">
        <v>7449</v>
      </c>
    </row>
    <row r="1629" spans="1:11" x14ac:dyDescent="0.25">
      <c r="A1629" s="1">
        <v>1628</v>
      </c>
      <c r="B1629" s="1" t="s">
        <v>5023</v>
      </c>
      <c r="C1629" s="1" t="s">
        <v>5024</v>
      </c>
      <c r="D1629" s="1" t="s">
        <v>5025</v>
      </c>
      <c r="F1629" s="1" t="s">
        <v>5026</v>
      </c>
      <c r="G1629" s="1">
        <v>1</v>
      </c>
      <c r="H1629" s="7">
        <v>45560</v>
      </c>
      <c r="I1629" s="1" t="s">
        <v>7449</v>
      </c>
      <c r="J1629" s="7">
        <v>45560</v>
      </c>
      <c r="K1629" s="1" t="s">
        <v>7449</v>
      </c>
    </row>
    <row r="1630" spans="1:11" x14ac:dyDescent="0.25">
      <c r="A1630" s="1">
        <v>1629</v>
      </c>
      <c r="B1630" s="1" t="s">
        <v>5027</v>
      </c>
      <c r="C1630" s="1" t="s">
        <v>5028</v>
      </c>
      <c r="D1630" s="1" t="s">
        <v>5029</v>
      </c>
      <c r="F1630" s="1" t="s">
        <v>5030</v>
      </c>
      <c r="G1630" s="1">
        <v>1</v>
      </c>
      <c r="H1630" s="7">
        <v>45560</v>
      </c>
      <c r="I1630" s="1" t="s">
        <v>7449</v>
      </c>
      <c r="J1630" s="7">
        <v>45560</v>
      </c>
      <c r="K1630" s="1" t="s">
        <v>7449</v>
      </c>
    </row>
    <row r="1631" spans="1:11" x14ac:dyDescent="0.25">
      <c r="A1631" s="1">
        <v>1630</v>
      </c>
      <c r="B1631" s="1" t="s">
        <v>5031</v>
      </c>
      <c r="C1631" s="1" t="s">
        <v>5032</v>
      </c>
      <c r="D1631" s="1" t="s">
        <v>5033</v>
      </c>
      <c r="F1631" s="1" t="s">
        <v>5034</v>
      </c>
      <c r="G1631" s="1">
        <v>1</v>
      </c>
      <c r="H1631" s="7">
        <v>45560</v>
      </c>
      <c r="I1631" s="1" t="s">
        <v>7449</v>
      </c>
      <c r="J1631" s="7">
        <v>45560</v>
      </c>
      <c r="K1631" s="1" t="s">
        <v>7449</v>
      </c>
    </row>
    <row r="1632" spans="1:11" x14ac:dyDescent="0.25">
      <c r="A1632" s="1">
        <v>1631</v>
      </c>
      <c r="B1632" s="1" t="s">
        <v>5035</v>
      </c>
      <c r="C1632" s="1" t="s">
        <v>5036</v>
      </c>
      <c r="D1632" s="1" t="s">
        <v>5037</v>
      </c>
      <c r="F1632" s="1" t="s">
        <v>5038</v>
      </c>
      <c r="G1632" s="1">
        <v>1</v>
      </c>
      <c r="H1632" s="7">
        <v>45560</v>
      </c>
      <c r="I1632" s="1" t="s">
        <v>7449</v>
      </c>
      <c r="J1632" s="7">
        <v>45560</v>
      </c>
      <c r="K1632" s="1" t="s">
        <v>7449</v>
      </c>
    </row>
    <row r="1633" spans="1:11" x14ac:dyDescent="0.25">
      <c r="A1633" s="1">
        <v>1632</v>
      </c>
      <c r="B1633" s="1" t="s">
        <v>5039</v>
      </c>
      <c r="C1633" s="1" t="s">
        <v>5040</v>
      </c>
      <c r="D1633" s="1" t="s">
        <v>5041</v>
      </c>
      <c r="F1633" s="1" t="s">
        <v>5042</v>
      </c>
      <c r="G1633" s="1">
        <v>1</v>
      </c>
      <c r="H1633" s="7">
        <v>45560</v>
      </c>
      <c r="I1633" s="1" t="s">
        <v>7449</v>
      </c>
      <c r="J1633" s="7">
        <v>45560</v>
      </c>
      <c r="K1633" s="1" t="s">
        <v>7449</v>
      </c>
    </row>
    <row r="1634" spans="1:11" x14ac:dyDescent="0.25">
      <c r="A1634" s="1">
        <v>1633</v>
      </c>
      <c r="B1634" s="1" t="s">
        <v>5043</v>
      </c>
      <c r="C1634" s="1" t="s">
        <v>5044</v>
      </c>
      <c r="D1634" s="1" t="s">
        <v>5045</v>
      </c>
      <c r="F1634" s="1" t="s">
        <v>5046</v>
      </c>
      <c r="G1634" s="1">
        <v>1</v>
      </c>
      <c r="H1634" s="7">
        <v>45560</v>
      </c>
      <c r="I1634" s="1" t="s">
        <v>7449</v>
      </c>
      <c r="J1634" s="7">
        <v>45560</v>
      </c>
      <c r="K1634" s="1" t="s">
        <v>7449</v>
      </c>
    </row>
    <row r="1635" spans="1:11" x14ac:dyDescent="0.25">
      <c r="A1635" s="1">
        <v>1634</v>
      </c>
      <c r="B1635" s="1" t="s">
        <v>5047</v>
      </c>
      <c r="C1635" s="1" t="s">
        <v>5048</v>
      </c>
      <c r="D1635" s="1" t="s">
        <v>5049</v>
      </c>
      <c r="F1635" s="1" t="s">
        <v>5050</v>
      </c>
      <c r="G1635" s="1">
        <v>1</v>
      </c>
      <c r="H1635" s="7">
        <v>45560</v>
      </c>
      <c r="I1635" s="1" t="s">
        <v>7449</v>
      </c>
      <c r="J1635" s="7">
        <v>45560</v>
      </c>
      <c r="K1635" s="1" t="s">
        <v>7449</v>
      </c>
    </row>
    <row r="1636" spans="1:11" x14ac:dyDescent="0.25">
      <c r="A1636" s="1">
        <v>1635</v>
      </c>
      <c r="B1636" s="1" t="s">
        <v>5051</v>
      </c>
      <c r="C1636" s="1" t="s">
        <v>5052</v>
      </c>
      <c r="G1636" s="1">
        <v>1</v>
      </c>
      <c r="H1636" s="7">
        <v>45560</v>
      </c>
      <c r="I1636" s="1" t="s">
        <v>7449</v>
      </c>
      <c r="J1636" s="7">
        <v>45560</v>
      </c>
      <c r="K1636" s="1" t="s">
        <v>7449</v>
      </c>
    </row>
    <row r="1637" spans="1:11" x14ac:dyDescent="0.25">
      <c r="A1637" s="1">
        <v>1636</v>
      </c>
      <c r="B1637" s="1" t="s">
        <v>5053</v>
      </c>
      <c r="C1637" s="1" t="s">
        <v>5054</v>
      </c>
      <c r="D1637" s="1" t="s">
        <v>5055</v>
      </c>
      <c r="F1637" s="1" t="s">
        <v>5056</v>
      </c>
      <c r="G1637" s="1">
        <v>1</v>
      </c>
      <c r="H1637" s="7">
        <v>45560</v>
      </c>
      <c r="I1637" s="1" t="s">
        <v>7449</v>
      </c>
      <c r="J1637" s="7">
        <v>45560</v>
      </c>
      <c r="K1637" s="1" t="s">
        <v>7449</v>
      </c>
    </row>
    <row r="1638" spans="1:11" x14ac:dyDescent="0.25">
      <c r="A1638" s="1">
        <v>1637</v>
      </c>
      <c r="B1638" s="1" t="s">
        <v>5057</v>
      </c>
      <c r="C1638" s="1" t="s">
        <v>5058</v>
      </c>
      <c r="D1638" s="1" t="s">
        <v>5059</v>
      </c>
      <c r="F1638" s="1" t="s">
        <v>5060</v>
      </c>
      <c r="G1638" s="1">
        <v>1</v>
      </c>
      <c r="H1638" s="7">
        <v>45560</v>
      </c>
      <c r="I1638" s="1" t="s">
        <v>7449</v>
      </c>
      <c r="J1638" s="7">
        <v>45560</v>
      </c>
      <c r="K1638" s="1" t="s">
        <v>7449</v>
      </c>
    </row>
    <row r="1639" spans="1:11" x14ac:dyDescent="0.25">
      <c r="A1639" s="1">
        <v>1638</v>
      </c>
      <c r="B1639" s="1" t="s">
        <v>5061</v>
      </c>
      <c r="C1639" s="1" t="s">
        <v>5062</v>
      </c>
      <c r="D1639" s="1" t="s">
        <v>5063</v>
      </c>
      <c r="F1639" s="1" t="s">
        <v>5064</v>
      </c>
      <c r="G1639" s="1">
        <v>1</v>
      </c>
      <c r="H1639" s="7">
        <v>45560</v>
      </c>
      <c r="I1639" s="1" t="s">
        <v>7449</v>
      </c>
      <c r="J1639" s="7">
        <v>45560</v>
      </c>
      <c r="K1639" s="1" t="s">
        <v>7449</v>
      </c>
    </row>
    <row r="1640" spans="1:11" x14ac:dyDescent="0.25">
      <c r="A1640" s="1">
        <v>1639</v>
      </c>
      <c r="B1640" s="1" t="s">
        <v>5065</v>
      </c>
      <c r="C1640" s="1" t="s">
        <v>5066</v>
      </c>
      <c r="D1640" s="1" t="s">
        <v>5067</v>
      </c>
      <c r="F1640" s="1" t="s">
        <v>5068</v>
      </c>
      <c r="G1640" s="1">
        <v>1</v>
      </c>
      <c r="H1640" s="7">
        <v>45560</v>
      </c>
      <c r="I1640" s="1" t="s">
        <v>7449</v>
      </c>
      <c r="J1640" s="7">
        <v>45560</v>
      </c>
      <c r="K1640" s="1" t="s">
        <v>7449</v>
      </c>
    </row>
    <row r="1641" spans="1:11" x14ac:dyDescent="0.25">
      <c r="A1641" s="1">
        <v>1640</v>
      </c>
      <c r="B1641" s="1" t="s">
        <v>5069</v>
      </c>
      <c r="C1641" s="1" t="s">
        <v>5070</v>
      </c>
      <c r="D1641" s="1" t="s">
        <v>5071</v>
      </c>
      <c r="F1641" s="1" t="s">
        <v>5072</v>
      </c>
      <c r="G1641" s="1">
        <v>1</v>
      </c>
      <c r="H1641" s="7">
        <v>45560</v>
      </c>
      <c r="I1641" s="1" t="s">
        <v>7449</v>
      </c>
      <c r="J1641" s="7">
        <v>45560</v>
      </c>
      <c r="K1641" s="1" t="s">
        <v>7449</v>
      </c>
    </row>
    <row r="1642" spans="1:11" x14ac:dyDescent="0.25">
      <c r="A1642" s="1">
        <v>1641</v>
      </c>
      <c r="B1642" s="1" t="s">
        <v>5073</v>
      </c>
      <c r="C1642" s="1" t="s">
        <v>5074</v>
      </c>
      <c r="D1642" s="1" t="s">
        <v>5075</v>
      </c>
      <c r="F1642" s="1" t="s">
        <v>5076</v>
      </c>
      <c r="G1642" s="1">
        <v>1</v>
      </c>
      <c r="H1642" s="7">
        <v>45560</v>
      </c>
      <c r="I1642" s="1" t="s">
        <v>7449</v>
      </c>
      <c r="J1642" s="7">
        <v>45560</v>
      </c>
      <c r="K1642" s="1" t="s">
        <v>7449</v>
      </c>
    </row>
    <row r="1643" spans="1:11" x14ac:dyDescent="0.25">
      <c r="A1643" s="1">
        <v>1642</v>
      </c>
      <c r="B1643" s="1" t="s">
        <v>5077</v>
      </c>
      <c r="C1643" s="1" t="s">
        <v>5078</v>
      </c>
      <c r="D1643" s="1" t="s">
        <v>5079</v>
      </c>
      <c r="F1643" s="1" t="s">
        <v>5080</v>
      </c>
      <c r="G1643" s="1">
        <v>1</v>
      </c>
      <c r="H1643" s="7">
        <v>45560</v>
      </c>
      <c r="I1643" s="1" t="s">
        <v>7449</v>
      </c>
      <c r="J1643" s="7">
        <v>45560</v>
      </c>
      <c r="K1643" s="1" t="s">
        <v>7449</v>
      </c>
    </row>
    <row r="1644" spans="1:11" x14ac:dyDescent="0.25">
      <c r="A1644" s="1">
        <v>1643</v>
      </c>
      <c r="B1644" s="1" t="s">
        <v>5081</v>
      </c>
      <c r="C1644" s="1" t="s">
        <v>5082</v>
      </c>
      <c r="D1644" s="1" t="s">
        <v>5083</v>
      </c>
      <c r="F1644" s="1" t="s">
        <v>5084</v>
      </c>
      <c r="G1644" s="1">
        <v>1</v>
      </c>
      <c r="H1644" s="7">
        <v>45560</v>
      </c>
      <c r="I1644" s="1" t="s">
        <v>7449</v>
      </c>
      <c r="J1644" s="7">
        <v>45560</v>
      </c>
      <c r="K1644" s="1" t="s">
        <v>7449</v>
      </c>
    </row>
    <row r="1645" spans="1:11" x14ac:dyDescent="0.25">
      <c r="A1645" s="1">
        <v>1644</v>
      </c>
      <c r="B1645" s="1" t="s">
        <v>5085</v>
      </c>
      <c r="C1645" s="1" t="s">
        <v>5086</v>
      </c>
      <c r="D1645" s="1" t="s">
        <v>5087</v>
      </c>
      <c r="F1645" s="1" t="s">
        <v>5088</v>
      </c>
      <c r="G1645" s="1">
        <v>1</v>
      </c>
      <c r="H1645" s="7">
        <v>45560</v>
      </c>
      <c r="I1645" s="1" t="s">
        <v>7449</v>
      </c>
      <c r="J1645" s="7">
        <v>45560</v>
      </c>
      <c r="K1645" s="1" t="s">
        <v>7449</v>
      </c>
    </row>
    <row r="1646" spans="1:11" x14ac:dyDescent="0.25">
      <c r="A1646" s="1">
        <v>1645</v>
      </c>
      <c r="B1646" s="1" t="s">
        <v>5089</v>
      </c>
      <c r="C1646" s="1" t="s">
        <v>5090</v>
      </c>
      <c r="D1646" s="1" t="s">
        <v>5091</v>
      </c>
      <c r="F1646" s="1" t="s">
        <v>5092</v>
      </c>
      <c r="G1646" s="1">
        <v>1</v>
      </c>
      <c r="H1646" s="7">
        <v>45560</v>
      </c>
      <c r="I1646" s="1" t="s">
        <v>7449</v>
      </c>
      <c r="J1646" s="7">
        <v>45560</v>
      </c>
      <c r="K1646" s="1" t="s">
        <v>7449</v>
      </c>
    </row>
    <row r="1647" spans="1:11" x14ac:dyDescent="0.25">
      <c r="A1647" s="1">
        <v>1646</v>
      </c>
      <c r="B1647" s="1" t="s">
        <v>5093</v>
      </c>
      <c r="C1647" s="1" t="s">
        <v>5094</v>
      </c>
      <c r="D1647" s="1" t="s">
        <v>5095</v>
      </c>
      <c r="F1647" s="1" t="s">
        <v>5096</v>
      </c>
      <c r="G1647" s="1">
        <v>1</v>
      </c>
      <c r="H1647" s="7">
        <v>45560</v>
      </c>
      <c r="I1647" s="1" t="s">
        <v>7449</v>
      </c>
      <c r="J1647" s="7">
        <v>45560</v>
      </c>
      <c r="K1647" s="1" t="s">
        <v>7449</v>
      </c>
    </row>
    <row r="1648" spans="1:11" x14ac:dyDescent="0.25">
      <c r="A1648" s="1">
        <v>1647</v>
      </c>
      <c r="B1648" s="1" t="s">
        <v>5097</v>
      </c>
      <c r="C1648" s="1" t="s">
        <v>5098</v>
      </c>
      <c r="D1648" s="1" t="s">
        <v>5099</v>
      </c>
      <c r="F1648" s="1" t="s">
        <v>5100</v>
      </c>
      <c r="G1648" s="1">
        <v>1</v>
      </c>
      <c r="H1648" s="7">
        <v>45560</v>
      </c>
      <c r="I1648" s="1" t="s">
        <v>7449</v>
      </c>
      <c r="J1648" s="7">
        <v>45560</v>
      </c>
      <c r="K1648" s="1" t="s">
        <v>7449</v>
      </c>
    </row>
    <row r="1649" spans="1:11" x14ac:dyDescent="0.25">
      <c r="A1649" s="1">
        <v>1648</v>
      </c>
      <c r="B1649" s="1" t="s">
        <v>5101</v>
      </c>
      <c r="C1649" s="1" t="s">
        <v>5102</v>
      </c>
      <c r="D1649" s="1" t="s">
        <v>5103</v>
      </c>
      <c r="F1649" s="1" t="s">
        <v>5104</v>
      </c>
      <c r="G1649" s="1">
        <v>1</v>
      </c>
      <c r="H1649" s="7">
        <v>45560</v>
      </c>
      <c r="I1649" s="1" t="s">
        <v>7449</v>
      </c>
      <c r="J1649" s="7">
        <v>45560</v>
      </c>
      <c r="K1649" s="1" t="s">
        <v>7449</v>
      </c>
    </row>
    <row r="1650" spans="1:11" x14ac:dyDescent="0.25">
      <c r="A1650" s="1">
        <v>1649</v>
      </c>
      <c r="B1650" s="1" t="s">
        <v>5105</v>
      </c>
      <c r="C1650" s="1" t="s">
        <v>5106</v>
      </c>
      <c r="D1650" s="1" t="s">
        <v>5107</v>
      </c>
      <c r="F1650" s="1" t="s">
        <v>5108</v>
      </c>
      <c r="G1650" s="1">
        <v>1</v>
      </c>
      <c r="H1650" s="7">
        <v>45560</v>
      </c>
      <c r="I1650" s="1" t="s">
        <v>7449</v>
      </c>
      <c r="J1650" s="7">
        <v>45560</v>
      </c>
      <c r="K1650" s="1" t="s">
        <v>7449</v>
      </c>
    </row>
    <row r="1651" spans="1:11" x14ac:dyDescent="0.25">
      <c r="A1651" s="1">
        <v>1650</v>
      </c>
      <c r="B1651" s="1" t="s">
        <v>5109</v>
      </c>
      <c r="C1651" s="1" t="s">
        <v>5110</v>
      </c>
      <c r="D1651" s="1" t="s">
        <v>5107</v>
      </c>
      <c r="F1651" s="1" t="s">
        <v>5111</v>
      </c>
      <c r="G1651" s="1">
        <v>1</v>
      </c>
      <c r="H1651" s="7">
        <v>45560</v>
      </c>
      <c r="I1651" s="1" t="s">
        <v>7449</v>
      </c>
      <c r="J1651" s="7">
        <v>45560</v>
      </c>
      <c r="K1651" s="1" t="s">
        <v>7449</v>
      </c>
    </row>
    <row r="1652" spans="1:11" x14ac:dyDescent="0.25">
      <c r="A1652" s="1">
        <v>1651</v>
      </c>
      <c r="B1652" s="1" t="s">
        <v>5112</v>
      </c>
      <c r="C1652" s="1" t="s">
        <v>5113</v>
      </c>
      <c r="D1652" s="1" t="s">
        <v>5114</v>
      </c>
      <c r="F1652" s="1" t="s">
        <v>5115</v>
      </c>
      <c r="G1652" s="1">
        <v>1</v>
      </c>
      <c r="H1652" s="7">
        <v>45560</v>
      </c>
      <c r="I1652" s="1" t="s">
        <v>7449</v>
      </c>
      <c r="J1652" s="7">
        <v>45560</v>
      </c>
      <c r="K1652" s="1" t="s">
        <v>7449</v>
      </c>
    </row>
    <row r="1653" spans="1:11" x14ac:dyDescent="0.25">
      <c r="A1653" s="1">
        <v>1652</v>
      </c>
      <c r="B1653" s="1" t="s">
        <v>5116</v>
      </c>
      <c r="C1653" s="1" t="s">
        <v>5117</v>
      </c>
      <c r="D1653" s="1" t="s">
        <v>5118</v>
      </c>
      <c r="F1653" s="1" t="s">
        <v>5119</v>
      </c>
      <c r="G1653" s="1">
        <v>1</v>
      </c>
      <c r="H1653" s="7">
        <v>45560</v>
      </c>
      <c r="I1653" s="1" t="s">
        <v>7449</v>
      </c>
      <c r="J1653" s="7">
        <v>45560</v>
      </c>
      <c r="K1653" s="1" t="s">
        <v>7449</v>
      </c>
    </row>
    <row r="1654" spans="1:11" x14ac:dyDescent="0.25">
      <c r="A1654" s="1">
        <v>1653</v>
      </c>
      <c r="B1654" s="1" t="s">
        <v>5120</v>
      </c>
      <c r="C1654" s="1" t="s">
        <v>5121</v>
      </c>
      <c r="D1654" s="1" t="s">
        <v>5122</v>
      </c>
      <c r="F1654" s="1" t="s">
        <v>5123</v>
      </c>
      <c r="G1654" s="1">
        <v>1</v>
      </c>
      <c r="H1654" s="7">
        <v>45560</v>
      </c>
      <c r="I1654" s="1" t="s">
        <v>7449</v>
      </c>
      <c r="J1654" s="7">
        <v>45560</v>
      </c>
      <c r="K1654" s="1" t="s">
        <v>7449</v>
      </c>
    </row>
    <row r="1655" spans="1:11" x14ac:dyDescent="0.25">
      <c r="A1655" s="1">
        <v>1654</v>
      </c>
      <c r="B1655" s="1" t="s">
        <v>5124</v>
      </c>
      <c r="C1655" s="1" t="s">
        <v>5125</v>
      </c>
      <c r="D1655" s="1" t="s">
        <v>5126</v>
      </c>
      <c r="F1655" s="1" t="s">
        <v>5127</v>
      </c>
      <c r="G1655" s="1">
        <v>1</v>
      </c>
      <c r="H1655" s="7">
        <v>45560</v>
      </c>
      <c r="I1655" s="1" t="s">
        <v>7449</v>
      </c>
      <c r="J1655" s="7">
        <v>45560</v>
      </c>
      <c r="K1655" s="1" t="s">
        <v>7449</v>
      </c>
    </row>
    <row r="1656" spans="1:11" x14ac:dyDescent="0.25">
      <c r="A1656" s="1">
        <v>1655</v>
      </c>
      <c r="B1656" s="1" t="s">
        <v>5128</v>
      </c>
      <c r="C1656" s="1" t="s">
        <v>5129</v>
      </c>
      <c r="D1656" s="1" t="s">
        <v>5130</v>
      </c>
      <c r="F1656" s="1" t="s">
        <v>5131</v>
      </c>
      <c r="G1656" s="1">
        <v>1</v>
      </c>
      <c r="H1656" s="7">
        <v>45560</v>
      </c>
      <c r="I1656" s="1" t="s">
        <v>7449</v>
      </c>
      <c r="J1656" s="7">
        <v>45560</v>
      </c>
      <c r="K1656" s="1" t="s">
        <v>7449</v>
      </c>
    </row>
    <row r="1657" spans="1:11" x14ac:dyDescent="0.25">
      <c r="A1657" s="1">
        <v>1656</v>
      </c>
      <c r="B1657" s="1" t="s">
        <v>5132</v>
      </c>
      <c r="C1657" s="1" t="s">
        <v>5133</v>
      </c>
      <c r="D1657" s="1" t="s">
        <v>5134</v>
      </c>
      <c r="F1657" s="1" t="s">
        <v>5135</v>
      </c>
      <c r="G1657" s="1">
        <v>1</v>
      </c>
      <c r="H1657" s="7">
        <v>45560</v>
      </c>
      <c r="I1657" s="1" t="s">
        <v>7449</v>
      </c>
      <c r="J1657" s="7">
        <v>45560</v>
      </c>
      <c r="K1657" s="1" t="s">
        <v>7449</v>
      </c>
    </row>
    <row r="1658" spans="1:11" x14ac:dyDescent="0.25">
      <c r="A1658" s="1">
        <v>1657</v>
      </c>
      <c r="B1658" s="1" t="s">
        <v>5136</v>
      </c>
      <c r="C1658" s="1" t="s">
        <v>5137</v>
      </c>
      <c r="D1658" s="1" t="s">
        <v>5134</v>
      </c>
      <c r="F1658" s="1" t="s">
        <v>5138</v>
      </c>
      <c r="G1658" s="1">
        <v>1</v>
      </c>
      <c r="H1658" s="7">
        <v>45560</v>
      </c>
      <c r="I1658" s="1" t="s">
        <v>7449</v>
      </c>
      <c r="J1658" s="7">
        <v>45560</v>
      </c>
      <c r="K1658" s="1" t="s">
        <v>7449</v>
      </c>
    </row>
    <row r="1659" spans="1:11" x14ac:dyDescent="0.25">
      <c r="A1659" s="1">
        <v>1658</v>
      </c>
      <c r="B1659" s="1" t="s">
        <v>5139</v>
      </c>
      <c r="C1659" s="1" t="s">
        <v>5140</v>
      </c>
      <c r="D1659" s="1" t="s">
        <v>5134</v>
      </c>
      <c r="F1659" s="1" t="s">
        <v>5141</v>
      </c>
      <c r="G1659" s="1">
        <v>1</v>
      </c>
      <c r="H1659" s="7">
        <v>45560</v>
      </c>
      <c r="I1659" s="1" t="s">
        <v>7449</v>
      </c>
      <c r="J1659" s="7">
        <v>45560</v>
      </c>
      <c r="K1659" s="1" t="s">
        <v>7449</v>
      </c>
    </row>
    <row r="1660" spans="1:11" x14ac:dyDescent="0.25">
      <c r="A1660" s="1">
        <v>1659</v>
      </c>
      <c r="B1660" s="1" t="s">
        <v>5142</v>
      </c>
      <c r="C1660" s="1" t="s">
        <v>5143</v>
      </c>
      <c r="D1660" s="1" t="s">
        <v>5134</v>
      </c>
      <c r="F1660" s="1" t="s">
        <v>5144</v>
      </c>
      <c r="G1660" s="1">
        <v>1</v>
      </c>
      <c r="H1660" s="7">
        <v>45560</v>
      </c>
      <c r="I1660" s="1" t="s">
        <v>7449</v>
      </c>
      <c r="J1660" s="7">
        <v>45560</v>
      </c>
      <c r="K1660" s="1" t="s">
        <v>7449</v>
      </c>
    </row>
    <row r="1661" spans="1:11" x14ac:dyDescent="0.25">
      <c r="A1661" s="1">
        <v>1660</v>
      </c>
      <c r="B1661" s="1" t="s">
        <v>5145</v>
      </c>
      <c r="C1661" s="1" t="s">
        <v>5146</v>
      </c>
      <c r="D1661" s="1" t="s">
        <v>5134</v>
      </c>
      <c r="F1661" s="1" t="s">
        <v>5147</v>
      </c>
      <c r="G1661" s="1">
        <v>1</v>
      </c>
      <c r="H1661" s="7">
        <v>45560</v>
      </c>
      <c r="I1661" s="1" t="s">
        <v>7449</v>
      </c>
      <c r="J1661" s="7">
        <v>45560</v>
      </c>
      <c r="K1661" s="1" t="s">
        <v>7449</v>
      </c>
    </row>
    <row r="1662" spans="1:11" x14ac:dyDescent="0.25">
      <c r="A1662" s="1">
        <v>1661</v>
      </c>
      <c r="B1662" s="1" t="s">
        <v>5148</v>
      </c>
      <c r="C1662" s="1" t="s">
        <v>5149</v>
      </c>
      <c r="D1662" s="1" t="s">
        <v>5134</v>
      </c>
      <c r="F1662" s="1" t="s">
        <v>5150</v>
      </c>
      <c r="G1662" s="1">
        <v>1</v>
      </c>
      <c r="H1662" s="7">
        <v>45560</v>
      </c>
      <c r="I1662" s="1" t="s">
        <v>7449</v>
      </c>
      <c r="J1662" s="7">
        <v>45560</v>
      </c>
      <c r="K1662" s="1" t="s">
        <v>7449</v>
      </c>
    </row>
    <row r="1663" spans="1:11" x14ac:dyDescent="0.25">
      <c r="A1663" s="1">
        <v>1662</v>
      </c>
      <c r="B1663" s="1" t="s">
        <v>5151</v>
      </c>
      <c r="C1663" s="1" t="s">
        <v>5152</v>
      </c>
      <c r="D1663" s="1" t="s">
        <v>5134</v>
      </c>
      <c r="F1663" s="1" t="s">
        <v>5153</v>
      </c>
      <c r="G1663" s="1">
        <v>1</v>
      </c>
      <c r="H1663" s="7">
        <v>45560</v>
      </c>
      <c r="I1663" s="1" t="s">
        <v>7449</v>
      </c>
      <c r="J1663" s="7">
        <v>45560</v>
      </c>
      <c r="K1663" s="1" t="s">
        <v>7449</v>
      </c>
    </row>
    <row r="1664" spans="1:11" x14ac:dyDescent="0.25">
      <c r="A1664" s="1">
        <v>1663</v>
      </c>
      <c r="B1664" s="1" t="s">
        <v>5154</v>
      </c>
      <c r="C1664" s="1" t="s">
        <v>5155</v>
      </c>
      <c r="D1664" s="1" t="s">
        <v>5134</v>
      </c>
      <c r="F1664" s="1" t="s">
        <v>5156</v>
      </c>
      <c r="G1664" s="1">
        <v>1</v>
      </c>
      <c r="H1664" s="7">
        <v>45560</v>
      </c>
      <c r="I1664" s="1" t="s">
        <v>7449</v>
      </c>
      <c r="J1664" s="7">
        <v>45560</v>
      </c>
      <c r="K1664" s="1" t="s">
        <v>7449</v>
      </c>
    </row>
    <row r="1665" spans="1:11" x14ac:dyDescent="0.25">
      <c r="A1665" s="1">
        <v>1664</v>
      </c>
      <c r="B1665" s="1" t="s">
        <v>5157</v>
      </c>
      <c r="C1665" s="1" t="s">
        <v>5158</v>
      </c>
      <c r="D1665" s="1" t="s">
        <v>5159</v>
      </c>
      <c r="F1665" s="1" t="s">
        <v>5160</v>
      </c>
      <c r="G1665" s="1">
        <v>1</v>
      </c>
      <c r="H1665" s="7">
        <v>45560</v>
      </c>
      <c r="I1665" s="1" t="s">
        <v>7449</v>
      </c>
      <c r="J1665" s="7">
        <v>45560</v>
      </c>
      <c r="K1665" s="1" t="s">
        <v>7449</v>
      </c>
    </row>
    <row r="1666" spans="1:11" x14ac:dyDescent="0.25">
      <c r="A1666" s="1">
        <v>1665</v>
      </c>
      <c r="B1666" s="1" t="s">
        <v>5161</v>
      </c>
      <c r="C1666" s="1" t="s">
        <v>5162</v>
      </c>
      <c r="D1666" s="1" t="s">
        <v>5159</v>
      </c>
      <c r="F1666" s="1" t="s">
        <v>5163</v>
      </c>
      <c r="G1666" s="1">
        <v>1</v>
      </c>
      <c r="H1666" s="7">
        <v>45560</v>
      </c>
      <c r="I1666" s="1" t="s">
        <v>7449</v>
      </c>
      <c r="J1666" s="7">
        <v>45560</v>
      </c>
      <c r="K1666" s="1" t="s">
        <v>7449</v>
      </c>
    </row>
    <row r="1667" spans="1:11" x14ac:dyDescent="0.25">
      <c r="A1667" s="1">
        <v>1666</v>
      </c>
      <c r="B1667" s="1" t="s">
        <v>5164</v>
      </c>
      <c r="C1667" s="1" t="s">
        <v>5165</v>
      </c>
      <c r="D1667" s="1" t="s">
        <v>5166</v>
      </c>
      <c r="F1667" s="1" t="s">
        <v>5167</v>
      </c>
      <c r="G1667" s="1">
        <v>1</v>
      </c>
      <c r="H1667" s="7">
        <v>45560</v>
      </c>
      <c r="I1667" s="1" t="s">
        <v>7449</v>
      </c>
      <c r="J1667" s="7">
        <v>45560</v>
      </c>
      <c r="K1667" s="1" t="s">
        <v>7449</v>
      </c>
    </row>
    <row r="1668" spans="1:11" x14ac:dyDescent="0.25">
      <c r="A1668" s="1">
        <v>1667</v>
      </c>
      <c r="B1668" s="1" t="s">
        <v>5168</v>
      </c>
      <c r="C1668" s="1" t="s">
        <v>5169</v>
      </c>
      <c r="D1668" s="1" t="s">
        <v>5166</v>
      </c>
      <c r="F1668" s="1" t="s">
        <v>5170</v>
      </c>
      <c r="G1668" s="1">
        <v>1</v>
      </c>
      <c r="H1668" s="7">
        <v>45560</v>
      </c>
      <c r="I1668" s="1" t="s">
        <v>7449</v>
      </c>
      <c r="J1668" s="7">
        <v>45560</v>
      </c>
      <c r="K1668" s="1" t="s">
        <v>7449</v>
      </c>
    </row>
    <row r="1669" spans="1:11" x14ac:dyDescent="0.25">
      <c r="A1669" s="1">
        <v>1668</v>
      </c>
      <c r="B1669" s="1" t="s">
        <v>5171</v>
      </c>
      <c r="C1669" s="1" t="s">
        <v>5172</v>
      </c>
      <c r="D1669" s="1" t="s">
        <v>5166</v>
      </c>
      <c r="F1669" s="1" t="s">
        <v>5173</v>
      </c>
      <c r="G1669" s="1">
        <v>1</v>
      </c>
      <c r="H1669" s="7">
        <v>45560</v>
      </c>
      <c r="I1669" s="1" t="s">
        <v>7449</v>
      </c>
      <c r="J1669" s="7">
        <v>45560</v>
      </c>
      <c r="K1669" s="1" t="s">
        <v>7449</v>
      </c>
    </row>
    <row r="1670" spans="1:11" x14ac:dyDescent="0.25">
      <c r="A1670" s="1">
        <v>1669</v>
      </c>
      <c r="B1670" s="1" t="s">
        <v>5174</v>
      </c>
      <c r="C1670" s="1" t="s">
        <v>5175</v>
      </c>
      <c r="D1670" s="1" t="s">
        <v>5166</v>
      </c>
      <c r="F1670" s="1" t="s">
        <v>5176</v>
      </c>
      <c r="G1670" s="1">
        <v>1</v>
      </c>
      <c r="H1670" s="7">
        <v>45560</v>
      </c>
      <c r="I1670" s="1" t="s">
        <v>7449</v>
      </c>
      <c r="J1670" s="7">
        <v>45560</v>
      </c>
      <c r="K1670" s="1" t="s">
        <v>7449</v>
      </c>
    </row>
    <row r="1671" spans="1:11" x14ac:dyDescent="0.25">
      <c r="A1671" s="1">
        <v>1670</v>
      </c>
      <c r="B1671" s="1" t="s">
        <v>5177</v>
      </c>
      <c r="C1671" s="1" t="s">
        <v>5178</v>
      </c>
      <c r="D1671" s="1" t="s">
        <v>5179</v>
      </c>
      <c r="F1671" s="1" t="s">
        <v>5180</v>
      </c>
      <c r="G1671" s="1">
        <v>1</v>
      </c>
      <c r="H1671" s="7">
        <v>45560</v>
      </c>
      <c r="I1671" s="1" t="s">
        <v>7449</v>
      </c>
      <c r="J1671" s="7">
        <v>45560</v>
      </c>
      <c r="K1671" s="1" t="s">
        <v>7449</v>
      </c>
    </row>
    <row r="1672" spans="1:11" x14ac:dyDescent="0.25">
      <c r="A1672" s="1">
        <v>1671</v>
      </c>
      <c r="B1672" s="1" t="s">
        <v>5181</v>
      </c>
      <c r="C1672" s="1" t="s">
        <v>5182</v>
      </c>
      <c r="D1672" s="1" t="s">
        <v>5183</v>
      </c>
      <c r="F1672" s="1" t="s">
        <v>5184</v>
      </c>
      <c r="G1672" s="1">
        <v>1</v>
      </c>
      <c r="H1672" s="7">
        <v>45560</v>
      </c>
      <c r="I1672" s="1" t="s">
        <v>7449</v>
      </c>
      <c r="J1672" s="7">
        <v>45560</v>
      </c>
      <c r="K1672" s="1" t="s">
        <v>7449</v>
      </c>
    </row>
    <row r="1673" spans="1:11" x14ac:dyDescent="0.25">
      <c r="A1673" s="1">
        <v>1672</v>
      </c>
      <c r="B1673" s="1" t="s">
        <v>5185</v>
      </c>
      <c r="C1673" s="1" t="s">
        <v>5186</v>
      </c>
      <c r="D1673" s="1" t="s">
        <v>5187</v>
      </c>
      <c r="F1673" s="1" t="s">
        <v>5188</v>
      </c>
      <c r="G1673" s="1">
        <v>1</v>
      </c>
      <c r="H1673" s="7">
        <v>45560</v>
      </c>
      <c r="I1673" s="1" t="s">
        <v>7449</v>
      </c>
      <c r="J1673" s="7">
        <v>45560</v>
      </c>
      <c r="K1673" s="1" t="s">
        <v>7449</v>
      </c>
    </row>
    <row r="1674" spans="1:11" x14ac:dyDescent="0.25">
      <c r="A1674" s="1">
        <v>1673</v>
      </c>
      <c r="B1674" s="1" t="s">
        <v>5189</v>
      </c>
      <c r="C1674" s="1" t="s">
        <v>5190</v>
      </c>
      <c r="D1674" s="1" t="s">
        <v>5191</v>
      </c>
      <c r="F1674" s="1" t="s">
        <v>5192</v>
      </c>
      <c r="G1674" s="1">
        <v>1</v>
      </c>
      <c r="H1674" s="7">
        <v>45560</v>
      </c>
      <c r="I1674" s="1" t="s">
        <v>7449</v>
      </c>
      <c r="J1674" s="7">
        <v>45560</v>
      </c>
      <c r="K1674" s="1" t="s">
        <v>7449</v>
      </c>
    </row>
    <row r="1675" spans="1:11" x14ac:dyDescent="0.25">
      <c r="A1675" s="1">
        <v>1674</v>
      </c>
      <c r="B1675" s="1" t="s">
        <v>5193</v>
      </c>
      <c r="C1675" s="1" t="s">
        <v>5194</v>
      </c>
      <c r="D1675" s="1" t="s">
        <v>5195</v>
      </c>
      <c r="F1675" s="1" t="s">
        <v>5196</v>
      </c>
      <c r="G1675" s="1">
        <v>1</v>
      </c>
      <c r="H1675" s="7">
        <v>45560</v>
      </c>
      <c r="I1675" s="1" t="s">
        <v>7449</v>
      </c>
      <c r="J1675" s="7">
        <v>45560</v>
      </c>
      <c r="K1675" s="1" t="s">
        <v>7449</v>
      </c>
    </row>
    <row r="1676" spans="1:11" x14ac:dyDescent="0.25">
      <c r="A1676" s="1">
        <v>1675</v>
      </c>
      <c r="B1676" s="1" t="s">
        <v>5197</v>
      </c>
      <c r="C1676" s="1" t="s">
        <v>5198</v>
      </c>
      <c r="D1676" s="1" t="s">
        <v>5199</v>
      </c>
      <c r="F1676" s="1" t="s">
        <v>5200</v>
      </c>
      <c r="G1676" s="1">
        <v>1</v>
      </c>
      <c r="H1676" s="7">
        <v>45560</v>
      </c>
      <c r="I1676" s="1" t="s">
        <v>7449</v>
      </c>
      <c r="J1676" s="7">
        <v>45560</v>
      </c>
      <c r="K1676" s="1" t="s">
        <v>7449</v>
      </c>
    </row>
    <row r="1677" spans="1:11" x14ac:dyDescent="0.25">
      <c r="A1677" s="1">
        <v>1676</v>
      </c>
      <c r="B1677" s="1" t="s">
        <v>5201</v>
      </c>
      <c r="C1677" s="1" t="s">
        <v>5202</v>
      </c>
      <c r="D1677" s="1" t="s">
        <v>5203</v>
      </c>
      <c r="F1677" s="1" t="s">
        <v>5204</v>
      </c>
      <c r="G1677" s="1">
        <v>1</v>
      </c>
      <c r="H1677" s="7">
        <v>45560</v>
      </c>
      <c r="I1677" s="1" t="s">
        <v>7449</v>
      </c>
      <c r="J1677" s="7">
        <v>45560</v>
      </c>
      <c r="K1677" s="1" t="s">
        <v>7449</v>
      </c>
    </row>
    <row r="1678" spans="1:11" x14ac:dyDescent="0.25">
      <c r="A1678" s="1">
        <v>1677</v>
      </c>
      <c r="B1678" s="1" t="s">
        <v>5205</v>
      </c>
      <c r="C1678" s="1" t="s">
        <v>5206</v>
      </c>
      <c r="D1678" s="1" t="s">
        <v>5207</v>
      </c>
      <c r="F1678" s="1" t="s">
        <v>5208</v>
      </c>
      <c r="G1678" s="1">
        <v>1</v>
      </c>
      <c r="H1678" s="7">
        <v>45560</v>
      </c>
      <c r="I1678" s="1" t="s">
        <v>7449</v>
      </c>
      <c r="J1678" s="7">
        <v>45560</v>
      </c>
      <c r="K1678" s="1" t="s">
        <v>7449</v>
      </c>
    </row>
    <row r="1679" spans="1:11" x14ac:dyDescent="0.25">
      <c r="A1679" s="1">
        <v>1678</v>
      </c>
      <c r="B1679" s="1" t="s">
        <v>5209</v>
      </c>
      <c r="C1679" s="1" t="s">
        <v>5210</v>
      </c>
      <c r="D1679" s="1" t="s">
        <v>5211</v>
      </c>
      <c r="F1679" s="1" t="s">
        <v>5212</v>
      </c>
      <c r="G1679" s="1">
        <v>1</v>
      </c>
      <c r="H1679" s="7">
        <v>45560</v>
      </c>
      <c r="I1679" s="1" t="s">
        <v>7449</v>
      </c>
      <c r="J1679" s="7">
        <v>45560</v>
      </c>
      <c r="K1679" s="1" t="s">
        <v>7449</v>
      </c>
    </row>
    <row r="1680" spans="1:11" x14ac:dyDescent="0.25">
      <c r="A1680" s="1">
        <v>1679</v>
      </c>
      <c r="B1680" s="1" t="s">
        <v>5213</v>
      </c>
      <c r="C1680" s="1" t="s">
        <v>5214</v>
      </c>
      <c r="D1680" s="1" t="s">
        <v>5215</v>
      </c>
      <c r="F1680" s="1" t="s">
        <v>5216</v>
      </c>
      <c r="G1680" s="1">
        <v>1</v>
      </c>
      <c r="H1680" s="7">
        <v>45560</v>
      </c>
      <c r="I1680" s="1" t="s">
        <v>7449</v>
      </c>
      <c r="J1680" s="7">
        <v>45560</v>
      </c>
      <c r="K1680" s="1" t="s">
        <v>7449</v>
      </c>
    </row>
    <row r="1681" spans="1:11" x14ac:dyDescent="0.25">
      <c r="A1681" s="1">
        <v>1680</v>
      </c>
      <c r="B1681" s="1" t="s">
        <v>5217</v>
      </c>
      <c r="C1681" s="1" t="s">
        <v>5218</v>
      </c>
      <c r="D1681" s="1" t="s">
        <v>5219</v>
      </c>
      <c r="F1681" s="1" t="s">
        <v>5220</v>
      </c>
      <c r="G1681" s="1">
        <v>1</v>
      </c>
      <c r="H1681" s="7">
        <v>45560</v>
      </c>
      <c r="I1681" s="1" t="s">
        <v>7449</v>
      </c>
      <c r="J1681" s="7">
        <v>45560</v>
      </c>
      <c r="K1681" s="1" t="s">
        <v>7449</v>
      </c>
    </row>
    <row r="1682" spans="1:11" x14ac:dyDescent="0.25">
      <c r="A1682" s="1">
        <v>1681</v>
      </c>
      <c r="B1682" s="1" t="s">
        <v>5221</v>
      </c>
      <c r="C1682" s="1" t="s">
        <v>5222</v>
      </c>
      <c r="D1682" s="1" t="s">
        <v>5223</v>
      </c>
      <c r="F1682" s="1" t="s">
        <v>5224</v>
      </c>
      <c r="G1682" s="1">
        <v>1</v>
      </c>
      <c r="H1682" s="7">
        <v>45560</v>
      </c>
      <c r="I1682" s="1" t="s">
        <v>7449</v>
      </c>
      <c r="J1682" s="7">
        <v>45560</v>
      </c>
      <c r="K1682" s="1" t="s">
        <v>7449</v>
      </c>
    </row>
    <row r="1683" spans="1:11" x14ac:dyDescent="0.25">
      <c r="A1683" s="1">
        <v>1682</v>
      </c>
      <c r="B1683" s="1" t="s">
        <v>5225</v>
      </c>
      <c r="C1683" s="1" t="s">
        <v>5226</v>
      </c>
      <c r="D1683" s="1" t="s">
        <v>5223</v>
      </c>
      <c r="F1683" s="1" t="s">
        <v>5227</v>
      </c>
      <c r="G1683" s="1">
        <v>1</v>
      </c>
      <c r="H1683" s="7">
        <v>45560</v>
      </c>
      <c r="I1683" s="1" t="s">
        <v>7449</v>
      </c>
      <c r="J1683" s="7">
        <v>45560</v>
      </c>
      <c r="K1683" s="1" t="s">
        <v>7449</v>
      </c>
    </row>
    <row r="1684" spans="1:11" x14ac:dyDescent="0.25">
      <c r="A1684" s="1">
        <v>1683</v>
      </c>
      <c r="B1684" s="1" t="s">
        <v>5228</v>
      </c>
      <c r="C1684" s="1" t="s">
        <v>5229</v>
      </c>
      <c r="D1684" s="1" t="s">
        <v>5223</v>
      </c>
      <c r="F1684" s="1" t="s">
        <v>5230</v>
      </c>
      <c r="G1684" s="1">
        <v>1</v>
      </c>
      <c r="H1684" s="7">
        <v>45560</v>
      </c>
      <c r="I1684" s="1" t="s">
        <v>7449</v>
      </c>
      <c r="J1684" s="7">
        <v>45560</v>
      </c>
      <c r="K1684" s="1" t="s">
        <v>7449</v>
      </c>
    </row>
    <row r="1685" spans="1:11" x14ac:dyDescent="0.25">
      <c r="A1685" s="1">
        <v>1684</v>
      </c>
      <c r="B1685" s="1" t="s">
        <v>5231</v>
      </c>
      <c r="C1685" s="1" t="s">
        <v>5232</v>
      </c>
      <c r="D1685" s="1" t="s">
        <v>5233</v>
      </c>
      <c r="F1685" s="1" t="s">
        <v>5234</v>
      </c>
      <c r="G1685" s="1">
        <v>1</v>
      </c>
      <c r="H1685" s="7">
        <v>45560</v>
      </c>
      <c r="I1685" s="1" t="s">
        <v>7449</v>
      </c>
      <c r="J1685" s="7">
        <v>45560</v>
      </c>
      <c r="K1685" s="1" t="s">
        <v>7449</v>
      </c>
    </row>
    <row r="1686" spans="1:11" x14ac:dyDescent="0.25">
      <c r="A1686" s="1">
        <v>1685</v>
      </c>
      <c r="B1686" s="1" t="s">
        <v>5235</v>
      </c>
      <c r="C1686" s="1" t="s">
        <v>5236</v>
      </c>
      <c r="D1686" s="1" t="s">
        <v>5237</v>
      </c>
      <c r="F1686" s="1" t="s">
        <v>5238</v>
      </c>
      <c r="G1686" s="1">
        <v>1</v>
      </c>
      <c r="H1686" s="7">
        <v>45560</v>
      </c>
      <c r="I1686" s="1" t="s">
        <v>7449</v>
      </c>
      <c r="J1686" s="7">
        <v>45560</v>
      </c>
      <c r="K1686" s="1" t="s">
        <v>7449</v>
      </c>
    </row>
    <row r="1687" spans="1:11" x14ac:dyDescent="0.25">
      <c r="A1687" s="1">
        <v>1686</v>
      </c>
      <c r="B1687" s="1" t="s">
        <v>5239</v>
      </c>
      <c r="C1687" s="1" t="s">
        <v>5240</v>
      </c>
      <c r="D1687" s="1" t="s">
        <v>5241</v>
      </c>
      <c r="F1687" s="1" t="s">
        <v>5242</v>
      </c>
      <c r="G1687" s="1">
        <v>1</v>
      </c>
      <c r="H1687" s="7">
        <v>45560</v>
      </c>
      <c r="I1687" s="1" t="s">
        <v>7449</v>
      </c>
      <c r="J1687" s="7">
        <v>45560</v>
      </c>
      <c r="K1687" s="1" t="s">
        <v>7449</v>
      </c>
    </row>
    <row r="1688" spans="1:11" x14ac:dyDescent="0.25">
      <c r="A1688" s="1">
        <v>1687</v>
      </c>
      <c r="B1688" s="1" t="s">
        <v>5243</v>
      </c>
      <c r="C1688" s="1" t="s">
        <v>5244</v>
      </c>
      <c r="D1688" s="1" t="s">
        <v>5245</v>
      </c>
      <c r="F1688" s="1" t="s">
        <v>5246</v>
      </c>
      <c r="G1688" s="1">
        <v>1</v>
      </c>
      <c r="H1688" s="7">
        <v>45560</v>
      </c>
      <c r="I1688" s="1" t="s">
        <v>7449</v>
      </c>
      <c r="J1688" s="7">
        <v>45560</v>
      </c>
      <c r="K1688" s="1" t="s">
        <v>7449</v>
      </c>
    </row>
    <row r="1689" spans="1:11" x14ac:dyDescent="0.25">
      <c r="A1689" s="1">
        <v>1688</v>
      </c>
      <c r="B1689" s="1" t="s">
        <v>5247</v>
      </c>
      <c r="C1689" s="1" t="s">
        <v>5248</v>
      </c>
      <c r="D1689" s="1" t="s">
        <v>5249</v>
      </c>
      <c r="F1689" s="1" t="s">
        <v>5250</v>
      </c>
      <c r="G1689" s="1">
        <v>1</v>
      </c>
      <c r="H1689" s="7">
        <v>45560</v>
      </c>
      <c r="I1689" s="1" t="s">
        <v>7449</v>
      </c>
      <c r="J1689" s="7">
        <v>45560</v>
      </c>
      <c r="K1689" s="1" t="s">
        <v>7449</v>
      </c>
    </row>
    <row r="1690" spans="1:11" x14ac:dyDescent="0.25">
      <c r="A1690" s="1">
        <v>1689</v>
      </c>
      <c r="B1690" s="1" t="s">
        <v>5251</v>
      </c>
      <c r="C1690" s="1" t="s">
        <v>5252</v>
      </c>
      <c r="F1690" s="1" t="s">
        <v>5253</v>
      </c>
      <c r="G1690" s="1">
        <v>1</v>
      </c>
      <c r="H1690" s="7">
        <v>45560</v>
      </c>
      <c r="I1690" s="1" t="s">
        <v>7449</v>
      </c>
      <c r="J1690" s="7">
        <v>45560</v>
      </c>
      <c r="K1690" s="1" t="s">
        <v>7449</v>
      </c>
    </row>
    <row r="1691" spans="1:11" x14ac:dyDescent="0.25">
      <c r="A1691" s="1">
        <v>1690</v>
      </c>
      <c r="B1691" s="1" t="s">
        <v>5254</v>
      </c>
      <c r="C1691" s="1" t="s">
        <v>5255</v>
      </c>
      <c r="D1691" s="1" t="s">
        <v>5256</v>
      </c>
      <c r="F1691" s="1" t="s">
        <v>5257</v>
      </c>
      <c r="G1691" s="1">
        <v>1</v>
      </c>
      <c r="H1691" s="7">
        <v>45560</v>
      </c>
      <c r="I1691" s="1" t="s">
        <v>7449</v>
      </c>
      <c r="J1691" s="7">
        <v>45560</v>
      </c>
      <c r="K1691" s="1" t="s">
        <v>7449</v>
      </c>
    </row>
    <row r="1692" spans="1:11" x14ac:dyDescent="0.25">
      <c r="A1692" s="1">
        <v>1691</v>
      </c>
      <c r="B1692" s="1" t="s">
        <v>5258</v>
      </c>
      <c r="C1692" s="1" t="s">
        <v>5259</v>
      </c>
      <c r="D1692" s="1" t="s">
        <v>5256</v>
      </c>
      <c r="F1692" s="1" t="s">
        <v>5260</v>
      </c>
      <c r="G1692" s="1">
        <v>1</v>
      </c>
      <c r="H1692" s="7">
        <v>45560</v>
      </c>
      <c r="I1692" s="1" t="s">
        <v>7449</v>
      </c>
      <c r="J1692" s="7">
        <v>45560</v>
      </c>
      <c r="K1692" s="1" t="s">
        <v>7449</v>
      </c>
    </row>
    <row r="1693" spans="1:11" x14ac:dyDescent="0.25">
      <c r="A1693" s="1">
        <v>1692</v>
      </c>
      <c r="B1693" s="1" t="s">
        <v>5261</v>
      </c>
      <c r="C1693" s="1" t="s">
        <v>5262</v>
      </c>
      <c r="D1693" s="1" t="s">
        <v>5256</v>
      </c>
      <c r="F1693" s="1" t="s">
        <v>5263</v>
      </c>
      <c r="G1693" s="1">
        <v>1</v>
      </c>
      <c r="H1693" s="7">
        <v>45560</v>
      </c>
      <c r="I1693" s="1" t="s">
        <v>7449</v>
      </c>
      <c r="J1693" s="7">
        <v>45560</v>
      </c>
      <c r="K1693" s="1" t="s">
        <v>7449</v>
      </c>
    </row>
    <row r="1694" spans="1:11" x14ac:dyDescent="0.25">
      <c r="A1694" s="1">
        <v>1693</v>
      </c>
      <c r="B1694" s="1" t="s">
        <v>5264</v>
      </c>
      <c r="C1694" s="1" t="s">
        <v>5265</v>
      </c>
      <c r="D1694" s="1" t="s">
        <v>5256</v>
      </c>
      <c r="F1694" s="1" t="s">
        <v>5266</v>
      </c>
      <c r="G1694" s="1">
        <v>1</v>
      </c>
      <c r="H1694" s="7">
        <v>45560</v>
      </c>
      <c r="I1694" s="1" t="s">
        <v>7449</v>
      </c>
      <c r="J1694" s="7">
        <v>45560</v>
      </c>
      <c r="K1694" s="1" t="s">
        <v>7449</v>
      </c>
    </row>
    <row r="1695" spans="1:11" x14ac:dyDescent="0.25">
      <c r="A1695" s="1">
        <v>1694</v>
      </c>
      <c r="B1695" s="1" t="s">
        <v>5267</v>
      </c>
      <c r="C1695" s="1" t="s">
        <v>5268</v>
      </c>
      <c r="D1695" s="1" t="s">
        <v>5269</v>
      </c>
      <c r="F1695" s="1" t="s">
        <v>5270</v>
      </c>
      <c r="G1695" s="1">
        <v>1</v>
      </c>
      <c r="H1695" s="7">
        <v>45560</v>
      </c>
      <c r="I1695" s="1" t="s">
        <v>7449</v>
      </c>
      <c r="J1695" s="7">
        <v>45560</v>
      </c>
      <c r="K1695" s="1" t="s">
        <v>7449</v>
      </c>
    </row>
    <row r="1696" spans="1:11" x14ac:dyDescent="0.25">
      <c r="A1696" s="1">
        <v>1695</v>
      </c>
      <c r="B1696" s="1" t="s">
        <v>5271</v>
      </c>
      <c r="C1696" s="1" t="s">
        <v>5272</v>
      </c>
      <c r="D1696" s="1" t="s">
        <v>5269</v>
      </c>
      <c r="F1696" s="1" t="s">
        <v>5273</v>
      </c>
      <c r="G1696" s="1">
        <v>1</v>
      </c>
      <c r="H1696" s="7">
        <v>45560</v>
      </c>
      <c r="I1696" s="1" t="s">
        <v>7449</v>
      </c>
      <c r="J1696" s="7">
        <v>45560</v>
      </c>
      <c r="K1696" s="1" t="s">
        <v>7449</v>
      </c>
    </row>
    <row r="1697" spans="1:11" x14ac:dyDescent="0.25">
      <c r="A1697" s="1">
        <v>1696</v>
      </c>
      <c r="B1697" s="1" t="s">
        <v>5274</v>
      </c>
      <c r="C1697" s="1" t="s">
        <v>5275</v>
      </c>
      <c r="D1697" s="1" t="s">
        <v>5276</v>
      </c>
      <c r="F1697" s="1" t="s">
        <v>5277</v>
      </c>
      <c r="G1697" s="1">
        <v>1</v>
      </c>
      <c r="H1697" s="7">
        <v>45560</v>
      </c>
      <c r="I1697" s="1" t="s">
        <v>7449</v>
      </c>
      <c r="J1697" s="7">
        <v>45560</v>
      </c>
      <c r="K1697" s="1" t="s">
        <v>7449</v>
      </c>
    </row>
    <row r="1698" spans="1:11" x14ac:dyDescent="0.25">
      <c r="A1698" s="1">
        <v>1697</v>
      </c>
      <c r="B1698" s="1" t="s">
        <v>5278</v>
      </c>
      <c r="C1698" s="1" t="s">
        <v>5279</v>
      </c>
      <c r="F1698" s="1" t="s">
        <v>5280</v>
      </c>
      <c r="G1698" s="1">
        <v>1</v>
      </c>
      <c r="H1698" s="7">
        <v>45560</v>
      </c>
      <c r="I1698" s="1" t="s">
        <v>7449</v>
      </c>
      <c r="J1698" s="7">
        <v>45560</v>
      </c>
      <c r="K1698" s="1" t="s">
        <v>7449</v>
      </c>
    </row>
    <row r="1699" spans="1:11" x14ac:dyDescent="0.25">
      <c r="A1699" s="1">
        <v>1698</v>
      </c>
      <c r="B1699" s="1" t="s">
        <v>5281</v>
      </c>
      <c r="C1699" s="1" t="s">
        <v>5282</v>
      </c>
      <c r="D1699" s="1" t="s">
        <v>5283</v>
      </c>
      <c r="F1699" s="1" t="s">
        <v>5284</v>
      </c>
      <c r="G1699" s="1">
        <v>1</v>
      </c>
      <c r="H1699" s="7">
        <v>45560</v>
      </c>
      <c r="I1699" s="1" t="s">
        <v>7449</v>
      </c>
      <c r="J1699" s="7">
        <v>45560</v>
      </c>
      <c r="K1699" s="1" t="s">
        <v>7449</v>
      </c>
    </row>
    <row r="1700" spans="1:11" x14ac:dyDescent="0.25">
      <c r="A1700" s="1">
        <v>1699</v>
      </c>
      <c r="B1700" s="1" t="s">
        <v>5285</v>
      </c>
      <c r="C1700" s="1" t="s">
        <v>5286</v>
      </c>
      <c r="D1700" s="1" t="s">
        <v>5287</v>
      </c>
      <c r="F1700" s="1" t="s">
        <v>5288</v>
      </c>
      <c r="G1700" s="1">
        <v>1</v>
      </c>
      <c r="H1700" s="7">
        <v>45560</v>
      </c>
      <c r="I1700" s="1" t="s">
        <v>7449</v>
      </c>
      <c r="J1700" s="7">
        <v>45560</v>
      </c>
      <c r="K1700" s="1" t="s">
        <v>7449</v>
      </c>
    </row>
    <row r="1701" spans="1:11" x14ac:dyDescent="0.25">
      <c r="A1701" s="1">
        <v>1700</v>
      </c>
      <c r="B1701" s="1" t="s">
        <v>5289</v>
      </c>
      <c r="C1701" s="1" t="s">
        <v>5290</v>
      </c>
      <c r="D1701" s="1" t="s">
        <v>5291</v>
      </c>
      <c r="F1701" s="1" t="s">
        <v>5292</v>
      </c>
      <c r="G1701" s="1">
        <v>1</v>
      </c>
      <c r="H1701" s="7">
        <v>45560</v>
      </c>
      <c r="I1701" s="1" t="s">
        <v>7449</v>
      </c>
      <c r="J1701" s="7">
        <v>45560</v>
      </c>
      <c r="K1701" s="1" t="s">
        <v>7449</v>
      </c>
    </row>
    <row r="1702" spans="1:11" x14ac:dyDescent="0.25">
      <c r="A1702" s="1">
        <v>1701</v>
      </c>
      <c r="B1702" s="1" t="s">
        <v>5293</v>
      </c>
      <c r="C1702" s="1" t="s">
        <v>5294</v>
      </c>
      <c r="D1702" s="1" t="s">
        <v>5295</v>
      </c>
      <c r="F1702" s="1" t="s">
        <v>5296</v>
      </c>
      <c r="G1702" s="1">
        <v>1</v>
      </c>
      <c r="H1702" s="7">
        <v>45560</v>
      </c>
      <c r="I1702" s="1" t="s">
        <v>7449</v>
      </c>
      <c r="J1702" s="7">
        <v>45560</v>
      </c>
      <c r="K1702" s="1" t="s">
        <v>7449</v>
      </c>
    </row>
    <row r="1703" spans="1:11" x14ac:dyDescent="0.25">
      <c r="A1703" s="1">
        <v>1702</v>
      </c>
      <c r="B1703" s="1" t="s">
        <v>5297</v>
      </c>
      <c r="C1703" s="1" t="s">
        <v>5298</v>
      </c>
      <c r="D1703" s="1" t="s">
        <v>5299</v>
      </c>
      <c r="F1703" s="1" t="s">
        <v>5300</v>
      </c>
      <c r="G1703" s="1">
        <v>1</v>
      </c>
      <c r="H1703" s="7">
        <v>45560</v>
      </c>
      <c r="I1703" s="1" t="s">
        <v>7449</v>
      </c>
      <c r="J1703" s="7">
        <v>45560</v>
      </c>
      <c r="K1703" s="1" t="s">
        <v>7449</v>
      </c>
    </row>
    <row r="1704" spans="1:11" x14ac:dyDescent="0.25">
      <c r="A1704" s="1">
        <v>1703</v>
      </c>
      <c r="B1704" s="1" t="s">
        <v>5301</v>
      </c>
      <c r="C1704" s="1" t="s">
        <v>5302</v>
      </c>
      <c r="D1704" s="1" t="s">
        <v>5303</v>
      </c>
      <c r="F1704" s="1" t="s">
        <v>5304</v>
      </c>
      <c r="G1704" s="1">
        <v>1</v>
      </c>
      <c r="H1704" s="7">
        <v>45560</v>
      </c>
      <c r="I1704" s="1" t="s">
        <v>7449</v>
      </c>
      <c r="J1704" s="7">
        <v>45560</v>
      </c>
      <c r="K1704" s="1" t="s">
        <v>7449</v>
      </c>
    </row>
    <row r="1705" spans="1:11" x14ac:dyDescent="0.25">
      <c r="A1705" s="1">
        <v>1704</v>
      </c>
      <c r="B1705" s="1" t="s">
        <v>5305</v>
      </c>
      <c r="C1705" s="1" t="s">
        <v>5306</v>
      </c>
      <c r="D1705" s="1" t="s">
        <v>5307</v>
      </c>
      <c r="F1705" s="1" t="s">
        <v>5308</v>
      </c>
      <c r="G1705" s="1">
        <v>1</v>
      </c>
      <c r="H1705" s="7">
        <v>45560</v>
      </c>
      <c r="I1705" s="1" t="s">
        <v>7449</v>
      </c>
      <c r="J1705" s="7">
        <v>45560</v>
      </c>
      <c r="K1705" s="1" t="s">
        <v>7449</v>
      </c>
    </row>
    <row r="1706" spans="1:11" x14ac:dyDescent="0.25">
      <c r="A1706" s="1">
        <v>1705</v>
      </c>
      <c r="B1706" s="1" t="s">
        <v>5309</v>
      </c>
      <c r="C1706" s="1" t="s">
        <v>5310</v>
      </c>
      <c r="D1706" s="1" t="s">
        <v>5311</v>
      </c>
      <c r="F1706" s="1" t="s">
        <v>5312</v>
      </c>
      <c r="G1706" s="1">
        <v>1</v>
      </c>
      <c r="H1706" s="7">
        <v>45560</v>
      </c>
      <c r="I1706" s="1" t="s">
        <v>7449</v>
      </c>
      <c r="J1706" s="7">
        <v>45560</v>
      </c>
      <c r="K1706" s="1" t="s">
        <v>7449</v>
      </c>
    </row>
    <row r="1707" spans="1:11" x14ac:dyDescent="0.25">
      <c r="A1707" s="1">
        <v>1706</v>
      </c>
      <c r="B1707" s="1" t="s">
        <v>5313</v>
      </c>
      <c r="C1707" s="1" t="s">
        <v>5314</v>
      </c>
      <c r="F1707" s="1" t="s">
        <v>5315</v>
      </c>
      <c r="G1707" s="1">
        <v>1</v>
      </c>
      <c r="H1707" s="7">
        <v>45560</v>
      </c>
      <c r="I1707" s="1" t="s">
        <v>7449</v>
      </c>
      <c r="J1707" s="7">
        <v>45560</v>
      </c>
      <c r="K1707" s="1" t="s">
        <v>7449</v>
      </c>
    </row>
    <row r="1708" spans="1:11" x14ac:dyDescent="0.25">
      <c r="A1708" s="1">
        <v>1707</v>
      </c>
      <c r="B1708" s="1" t="s">
        <v>5316</v>
      </c>
      <c r="C1708" s="1" t="s">
        <v>5317</v>
      </c>
      <c r="D1708" s="1" t="s">
        <v>5318</v>
      </c>
      <c r="G1708" s="1">
        <v>1</v>
      </c>
      <c r="H1708" s="7">
        <v>45560</v>
      </c>
      <c r="I1708" s="1" t="s">
        <v>7449</v>
      </c>
      <c r="J1708" s="7">
        <v>45560</v>
      </c>
      <c r="K1708" s="1" t="s">
        <v>7449</v>
      </c>
    </row>
    <row r="1709" spans="1:11" x14ac:dyDescent="0.25">
      <c r="A1709" s="1">
        <v>1708</v>
      </c>
      <c r="B1709" s="1" t="s">
        <v>5319</v>
      </c>
      <c r="C1709" s="1" t="s">
        <v>5320</v>
      </c>
      <c r="E1709" s="1" t="s">
        <v>52</v>
      </c>
      <c r="G1709" s="1">
        <v>1</v>
      </c>
      <c r="H1709" s="7">
        <v>45560</v>
      </c>
      <c r="I1709" s="1" t="s">
        <v>7449</v>
      </c>
      <c r="J1709" s="7">
        <v>45560</v>
      </c>
      <c r="K1709" s="1" t="s">
        <v>7449</v>
      </c>
    </row>
    <row r="1710" spans="1:11" x14ac:dyDescent="0.25">
      <c r="A1710" s="1">
        <v>1709</v>
      </c>
      <c r="B1710" s="1" t="s">
        <v>5321</v>
      </c>
      <c r="C1710" s="1" t="s">
        <v>5322</v>
      </c>
      <c r="E1710" s="1" t="s">
        <v>52</v>
      </c>
      <c r="G1710" s="1">
        <v>1</v>
      </c>
      <c r="H1710" s="7">
        <v>45560</v>
      </c>
      <c r="I1710" s="1" t="s">
        <v>7449</v>
      </c>
      <c r="J1710" s="7">
        <v>45560</v>
      </c>
      <c r="K1710" s="1" t="s">
        <v>7449</v>
      </c>
    </row>
    <row r="1711" spans="1:11" x14ac:dyDescent="0.25">
      <c r="A1711" s="1">
        <v>1710</v>
      </c>
      <c r="B1711" s="1" t="s">
        <v>5323</v>
      </c>
      <c r="C1711" s="1" t="s">
        <v>5324</v>
      </c>
      <c r="E1711" s="1" t="s">
        <v>52</v>
      </c>
      <c r="G1711" s="1">
        <v>1</v>
      </c>
      <c r="H1711" s="7">
        <v>45560</v>
      </c>
      <c r="I1711" s="1" t="s">
        <v>7449</v>
      </c>
      <c r="J1711" s="7">
        <v>45560</v>
      </c>
      <c r="K1711" s="1" t="s">
        <v>7449</v>
      </c>
    </row>
    <row r="1712" spans="1:11" x14ac:dyDescent="0.25">
      <c r="A1712" s="1">
        <v>1711</v>
      </c>
      <c r="B1712" s="1" t="s">
        <v>5325</v>
      </c>
      <c r="C1712" s="1" t="s">
        <v>5326</v>
      </c>
      <c r="D1712" s="1" t="s">
        <v>5327</v>
      </c>
      <c r="G1712" s="1">
        <v>1</v>
      </c>
      <c r="H1712" s="7">
        <v>45560</v>
      </c>
      <c r="I1712" s="1" t="s">
        <v>7449</v>
      </c>
      <c r="J1712" s="7">
        <v>45560</v>
      </c>
      <c r="K1712" s="1" t="s">
        <v>7449</v>
      </c>
    </row>
    <row r="1713" spans="1:11" x14ac:dyDescent="0.25">
      <c r="A1713" s="1">
        <v>1712</v>
      </c>
      <c r="B1713" s="1" t="s">
        <v>5328</v>
      </c>
      <c r="C1713" s="1" t="s">
        <v>5329</v>
      </c>
      <c r="E1713" s="1" t="s">
        <v>52</v>
      </c>
      <c r="G1713" s="1">
        <v>1</v>
      </c>
      <c r="H1713" s="7">
        <v>45560</v>
      </c>
      <c r="I1713" s="1" t="s">
        <v>7449</v>
      </c>
      <c r="J1713" s="7">
        <v>45560</v>
      </c>
      <c r="K1713" s="1" t="s">
        <v>7449</v>
      </c>
    </row>
    <row r="1714" spans="1:11" x14ac:dyDescent="0.25">
      <c r="A1714" s="1">
        <v>1713</v>
      </c>
      <c r="B1714" s="1" t="s">
        <v>5330</v>
      </c>
      <c r="C1714" s="1" t="s">
        <v>5331</v>
      </c>
      <c r="E1714" s="1" t="s">
        <v>52</v>
      </c>
      <c r="G1714" s="1">
        <v>1</v>
      </c>
      <c r="H1714" s="7">
        <v>45560</v>
      </c>
      <c r="I1714" s="1" t="s">
        <v>7449</v>
      </c>
      <c r="J1714" s="7">
        <v>45560</v>
      </c>
      <c r="K1714" s="1" t="s">
        <v>7449</v>
      </c>
    </row>
    <row r="1715" spans="1:11" x14ac:dyDescent="0.25">
      <c r="A1715" s="1">
        <v>1714</v>
      </c>
      <c r="B1715" s="1" t="s">
        <v>5332</v>
      </c>
      <c r="C1715" s="1" t="s">
        <v>5333</v>
      </c>
      <c r="F1715" s="1" t="s">
        <v>5334</v>
      </c>
      <c r="G1715" s="1">
        <v>1</v>
      </c>
      <c r="H1715" s="7">
        <v>45560</v>
      </c>
      <c r="I1715" s="1" t="s">
        <v>7449</v>
      </c>
      <c r="J1715" s="7">
        <v>45560</v>
      </c>
      <c r="K1715" s="1" t="s">
        <v>7449</v>
      </c>
    </row>
    <row r="1716" spans="1:11" x14ac:dyDescent="0.25">
      <c r="A1716" s="1">
        <v>1715</v>
      </c>
      <c r="B1716" s="1" t="s">
        <v>5335</v>
      </c>
      <c r="C1716" s="1" t="s">
        <v>5336</v>
      </c>
      <c r="D1716" s="1" t="s">
        <v>5337</v>
      </c>
      <c r="G1716" s="1">
        <v>1</v>
      </c>
      <c r="H1716" s="7">
        <v>45560</v>
      </c>
      <c r="I1716" s="1" t="s">
        <v>7449</v>
      </c>
      <c r="J1716" s="7">
        <v>45560</v>
      </c>
      <c r="K1716" s="1" t="s">
        <v>7449</v>
      </c>
    </row>
    <row r="1717" spans="1:11" x14ac:dyDescent="0.25">
      <c r="A1717" s="1">
        <v>1716</v>
      </c>
      <c r="B1717" s="1" t="s">
        <v>5338</v>
      </c>
      <c r="C1717" s="1" t="s">
        <v>5339</v>
      </c>
      <c r="E1717" s="1" t="s">
        <v>52</v>
      </c>
      <c r="G1717" s="1">
        <v>1</v>
      </c>
      <c r="H1717" s="7">
        <v>45560</v>
      </c>
      <c r="I1717" s="1" t="s">
        <v>7449</v>
      </c>
      <c r="J1717" s="7">
        <v>45560</v>
      </c>
      <c r="K1717" s="1" t="s">
        <v>7449</v>
      </c>
    </row>
    <row r="1718" spans="1:11" x14ac:dyDescent="0.25">
      <c r="A1718" s="1">
        <v>1717</v>
      </c>
      <c r="B1718" s="1" t="s">
        <v>5340</v>
      </c>
      <c r="C1718" s="1" t="s">
        <v>5341</v>
      </c>
      <c r="E1718" s="1" t="s">
        <v>52</v>
      </c>
      <c r="G1718" s="1">
        <v>1</v>
      </c>
      <c r="H1718" s="7">
        <v>45560</v>
      </c>
      <c r="I1718" s="1" t="s">
        <v>7449</v>
      </c>
      <c r="J1718" s="7">
        <v>45560</v>
      </c>
      <c r="K1718" s="1" t="s">
        <v>7449</v>
      </c>
    </row>
    <row r="1719" spans="1:11" x14ac:dyDescent="0.25">
      <c r="A1719" s="1">
        <v>1718</v>
      </c>
      <c r="B1719" s="1" t="s">
        <v>5342</v>
      </c>
      <c r="C1719" s="1" t="s">
        <v>5343</v>
      </c>
      <c r="E1719" s="1" t="s">
        <v>52</v>
      </c>
      <c r="G1719" s="1">
        <v>1</v>
      </c>
      <c r="H1719" s="7">
        <v>45560</v>
      </c>
      <c r="I1719" s="1" t="s">
        <v>7449</v>
      </c>
      <c r="J1719" s="7">
        <v>45560</v>
      </c>
      <c r="K1719" s="1" t="s">
        <v>7449</v>
      </c>
    </row>
    <row r="1720" spans="1:11" x14ac:dyDescent="0.25">
      <c r="A1720" s="1">
        <v>1719</v>
      </c>
      <c r="B1720" s="1" t="s">
        <v>5344</v>
      </c>
      <c r="C1720" s="1" t="s">
        <v>5345</v>
      </c>
      <c r="D1720" s="1" t="s">
        <v>5346</v>
      </c>
      <c r="F1720" s="1" t="s">
        <v>5347</v>
      </c>
      <c r="G1720" s="1">
        <v>1</v>
      </c>
      <c r="H1720" s="7">
        <v>45560</v>
      </c>
      <c r="I1720" s="1" t="s">
        <v>7449</v>
      </c>
      <c r="J1720" s="7">
        <v>45560</v>
      </c>
      <c r="K1720" s="1" t="s">
        <v>7449</v>
      </c>
    </row>
    <row r="1721" spans="1:11" x14ac:dyDescent="0.25">
      <c r="A1721" s="1">
        <v>1720</v>
      </c>
      <c r="B1721" s="1" t="s">
        <v>5348</v>
      </c>
      <c r="C1721" s="1" t="s">
        <v>5349</v>
      </c>
      <c r="D1721" s="1" t="s">
        <v>5350</v>
      </c>
      <c r="G1721" s="1">
        <v>1</v>
      </c>
      <c r="H1721" s="7">
        <v>45560</v>
      </c>
      <c r="I1721" s="1" t="s">
        <v>7449</v>
      </c>
      <c r="J1721" s="7">
        <v>45560</v>
      </c>
      <c r="K1721" s="1" t="s">
        <v>7449</v>
      </c>
    </row>
    <row r="1722" spans="1:11" x14ac:dyDescent="0.25">
      <c r="A1722" s="1">
        <v>1721</v>
      </c>
      <c r="B1722" s="1" t="s">
        <v>5351</v>
      </c>
      <c r="C1722" s="1" t="s">
        <v>5352</v>
      </c>
      <c r="E1722" s="1" t="s">
        <v>52</v>
      </c>
      <c r="G1722" s="1">
        <v>1</v>
      </c>
      <c r="H1722" s="7">
        <v>45560</v>
      </c>
      <c r="I1722" s="1" t="s">
        <v>7449</v>
      </c>
      <c r="J1722" s="7">
        <v>45560</v>
      </c>
      <c r="K1722" s="1" t="s">
        <v>7449</v>
      </c>
    </row>
    <row r="1723" spans="1:11" x14ac:dyDescent="0.25">
      <c r="A1723" s="1">
        <v>1722</v>
      </c>
      <c r="B1723" s="1" t="s">
        <v>5353</v>
      </c>
      <c r="C1723" s="1" t="s">
        <v>5354</v>
      </c>
      <c r="D1723" s="1" t="s">
        <v>5355</v>
      </c>
      <c r="G1723" s="1">
        <v>1</v>
      </c>
      <c r="H1723" s="7">
        <v>45560</v>
      </c>
      <c r="I1723" s="1" t="s">
        <v>7449</v>
      </c>
      <c r="J1723" s="7">
        <v>45560</v>
      </c>
      <c r="K1723" s="1" t="s">
        <v>7449</v>
      </c>
    </row>
    <row r="1724" spans="1:11" x14ac:dyDescent="0.25">
      <c r="A1724" s="1">
        <v>1723</v>
      </c>
      <c r="B1724" s="1" t="s">
        <v>5356</v>
      </c>
      <c r="C1724" s="1" t="s">
        <v>5357</v>
      </c>
      <c r="D1724" s="1" t="s">
        <v>5358</v>
      </c>
      <c r="G1724" s="1">
        <v>1</v>
      </c>
      <c r="H1724" s="7">
        <v>45560</v>
      </c>
      <c r="I1724" s="1" t="s">
        <v>7449</v>
      </c>
      <c r="J1724" s="7">
        <v>45560</v>
      </c>
      <c r="K1724" s="1" t="s">
        <v>7449</v>
      </c>
    </row>
    <row r="1725" spans="1:11" x14ac:dyDescent="0.25">
      <c r="A1725" s="1">
        <v>1724</v>
      </c>
      <c r="B1725" s="1" t="s">
        <v>5359</v>
      </c>
      <c r="C1725" s="1" t="s">
        <v>5360</v>
      </c>
      <c r="D1725" s="1" t="s">
        <v>5361</v>
      </c>
      <c r="F1725" s="1" t="s">
        <v>5362</v>
      </c>
      <c r="G1725" s="1">
        <v>1</v>
      </c>
      <c r="H1725" s="7">
        <v>45560</v>
      </c>
      <c r="I1725" s="1" t="s">
        <v>7449</v>
      </c>
      <c r="J1725" s="7">
        <v>45560</v>
      </c>
      <c r="K1725" s="1" t="s">
        <v>7449</v>
      </c>
    </row>
    <row r="1726" spans="1:11" x14ac:dyDescent="0.25">
      <c r="A1726" s="1">
        <v>1725</v>
      </c>
      <c r="B1726" s="1" t="s">
        <v>5363</v>
      </c>
      <c r="C1726" s="1" t="s">
        <v>5364</v>
      </c>
      <c r="D1726" s="1" t="s">
        <v>5365</v>
      </c>
      <c r="G1726" s="1">
        <v>1</v>
      </c>
      <c r="H1726" s="7">
        <v>45560</v>
      </c>
      <c r="I1726" s="1" t="s">
        <v>7449</v>
      </c>
      <c r="J1726" s="7">
        <v>45560</v>
      </c>
      <c r="K1726" s="1" t="s">
        <v>7449</v>
      </c>
    </row>
    <row r="1727" spans="1:11" x14ac:dyDescent="0.25">
      <c r="A1727" s="1">
        <v>1726</v>
      </c>
      <c r="B1727" s="1" t="s">
        <v>5366</v>
      </c>
      <c r="C1727" s="1" t="s">
        <v>5367</v>
      </c>
      <c r="E1727" s="1" t="s">
        <v>52</v>
      </c>
      <c r="G1727" s="1">
        <v>1</v>
      </c>
      <c r="H1727" s="7">
        <v>45560</v>
      </c>
      <c r="I1727" s="1" t="s">
        <v>7449</v>
      </c>
      <c r="J1727" s="7">
        <v>45560</v>
      </c>
      <c r="K1727" s="1" t="s">
        <v>7449</v>
      </c>
    </row>
    <row r="1728" spans="1:11" x14ac:dyDescent="0.25">
      <c r="A1728" s="1">
        <v>1727</v>
      </c>
      <c r="B1728" s="1" t="s">
        <v>5368</v>
      </c>
      <c r="C1728" s="1" t="s">
        <v>5369</v>
      </c>
      <c r="D1728" s="1" t="s">
        <v>5370</v>
      </c>
      <c r="E1728" s="1" t="s">
        <v>73</v>
      </c>
      <c r="G1728" s="1">
        <v>1</v>
      </c>
      <c r="H1728" s="7">
        <v>45560</v>
      </c>
      <c r="I1728" s="1" t="s">
        <v>7449</v>
      </c>
      <c r="J1728" s="7">
        <v>45560</v>
      </c>
      <c r="K1728" s="1" t="s">
        <v>7449</v>
      </c>
    </row>
    <row r="1729" spans="1:11" x14ac:dyDescent="0.25">
      <c r="A1729" s="1">
        <v>1728</v>
      </c>
      <c r="B1729" s="1" t="s">
        <v>5371</v>
      </c>
      <c r="C1729" s="1" t="s">
        <v>5372</v>
      </c>
      <c r="D1729" s="1" t="s">
        <v>5373</v>
      </c>
      <c r="G1729" s="1">
        <v>1</v>
      </c>
      <c r="H1729" s="7">
        <v>45560</v>
      </c>
      <c r="I1729" s="1" t="s">
        <v>7449</v>
      </c>
      <c r="J1729" s="7">
        <v>45560</v>
      </c>
      <c r="K1729" s="1" t="s">
        <v>7449</v>
      </c>
    </row>
    <row r="1730" spans="1:11" x14ac:dyDescent="0.25">
      <c r="A1730" s="1">
        <v>1729</v>
      </c>
      <c r="B1730" s="1" t="s">
        <v>5374</v>
      </c>
      <c r="C1730" s="1" t="s">
        <v>5375</v>
      </c>
      <c r="E1730" s="1" t="s">
        <v>73</v>
      </c>
      <c r="G1730" s="1">
        <v>1</v>
      </c>
      <c r="H1730" s="7">
        <v>45560</v>
      </c>
      <c r="I1730" s="1" t="s">
        <v>7449</v>
      </c>
      <c r="J1730" s="7">
        <v>45560</v>
      </c>
      <c r="K1730" s="1" t="s">
        <v>7449</v>
      </c>
    </row>
    <row r="1731" spans="1:11" x14ac:dyDescent="0.25">
      <c r="A1731" s="1">
        <v>1730</v>
      </c>
      <c r="B1731" s="1" t="s">
        <v>5376</v>
      </c>
      <c r="C1731" s="1" t="s">
        <v>5377</v>
      </c>
      <c r="E1731" s="1" t="s">
        <v>73</v>
      </c>
      <c r="G1731" s="1">
        <v>1</v>
      </c>
      <c r="H1731" s="7">
        <v>45560</v>
      </c>
      <c r="I1731" s="1" t="s">
        <v>7449</v>
      </c>
      <c r="J1731" s="7">
        <v>45560</v>
      </c>
      <c r="K1731" s="1" t="s">
        <v>7449</v>
      </c>
    </row>
    <row r="1732" spans="1:11" x14ac:dyDescent="0.25">
      <c r="A1732" s="1">
        <v>1731</v>
      </c>
      <c r="B1732" s="1" t="s">
        <v>5378</v>
      </c>
      <c r="C1732" s="1" t="s">
        <v>5379</v>
      </c>
      <c r="D1732" s="1" t="s">
        <v>5380</v>
      </c>
      <c r="G1732" s="1">
        <v>1</v>
      </c>
      <c r="H1732" s="7">
        <v>45560</v>
      </c>
      <c r="I1732" s="1" t="s">
        <v>7449</v>
      </c>
      <c r="J1732" s="7">
        <v>45560</v>
      </c>
      <c r="K1732" s="1" t="s">
        <v>7449</v>
      </c>
    </row>
    <row r="1733" spans="1:11" x14ac:dyDescent="0.25">
      <c r="A1733" s="1">
        <v>1732</v>
      </c>
      <c r="B1733" s="1" t="s">
        <v>5381</v>
      </c>
      <c r="C1733" s="1" t="s">
        <v>5382</v>
      </c>
      <c r="D1733" s="1" t="s">
        <v>5383</v>
      </c>
      <c r="E1733" s="1" t="s">
        <v>73</v>
      </c>
      <c r="G1733" s="1">
        <v>1</v>
      </c>
      <c r="H1733" s="7">
        <v>45560</v>
      </c>
      <c r="I1733" s="1" t="s">
        <v>7449</v>
      </c>
      <c r="J1733" s="7">
        <v>45560</v>
      </c>
      <c r="K1733" s="1" t="s">
        <v>7449</v>
      </c>
    </row>
    <row r="1734" spans="1:11" x14ac:dyDescent="0.25">
      <c r="A1734" s="1">
        <v>1733</v>
      </c>
      <c r="B1734" s="1" t="s">
        <v>5384</v>
      </c>
      <c r="C1734" s="1" t="s">
        <v>5385</v>
      </c>
      <c r="E1734" s="1" t="s">
        <v>52</v>
      </c>
      <c r="G1734" s="1">
        <v>1</v>
      </c>
      <c r="H1734" s="7">
        <v>45560</v>
      </c>
      <c r="I1734" s="1" t="s">
        <v>7449</v>
      </c>
      <c r="J1734" s="7">
        <v>45560</v>
      </c>
      <c r="K1734" s="1" t="s">
        <v>7449</v>
      </c>
    </row>
    <row r="1735" spans="1:11" x14ac:dyDescent="0.25">
      <c r="A1735" s="1">
        <v>1734</v>
      </c>
      <c r="B1735" s="1" t="s">
        <v>5386</v>
      </c>
      <c r="C1735" s="1" t="s">
        <v>5387</v>
      </c>
      <c r="E1735" s="1" t="s">
        <v>52</v>
      </c>
      <c r="G1735" s="1">
        <v>1</v>
      </c>
      <c r="H1735" s="7">
        <v>45560</v>
      </c>
      <c r="I1735" s="1" t="s">
        <v>7449</v>
      </c>
      <c r="J1735" s="7">
        <v>45560</v>
      </c>
      <c r="K1735" s="1" t="s">
        <v>7449</v>
      </c>
    </row>
    <row r="1736" spans="1:11" x14ac:dyDescent="0.25">
      <c r="A1736" s="1">
        <v>1735</v>
      </c>
      <c r="B1736" s="1" t="s">
        <v>5388</v>
      </c>
      <c r="C1736" s="1" t="s">
        <v>5389</v>
      </c>
      <c r="D1736" s="1" t="s">
        <v>5390</v>
      </c>
      <c r="F1736" s="1" t="s">
        <v>5391</v>
      </c>
      <c r="G1736" s="1">
        <v>1</v>
      </c>
      <c r="H1736" s="7">
        <v>45560</v>
      </c>
      <c r="I1736" s="1" t="s">
        <v>7449</v>
      </c>
      <c r="J1736" s="7">
        <v>45560</v>
      </c>
      <c r="K1736" s="1" t="s">
        <v>7449</v>
      </c>
    </row>
    <row r="1737" spans="1:11" x14ac:dyDescent="0.25">
      <c r="A1737" s="1">
        <v>1736</v>
      </c>
      <c r="B1737" s="1" t="s">
        <v>5392</v>
      </c>
      <c r="C1737" s="1" t="s">
        <v>5393</v>
      </c>
      <c r="D1737" s="1" t="s">
        <v>5394</v>
      </c>
      <c r="G1737" s="1">
        <v>1</v>
      </c>
      <c r="H1737" s="7">
        <v>45560</v>
      </c>
      <c r="I1737" s="1" t="s">
        <v>7449</v>
      </c>
      <c r="J1737" s="7">
        <v>45560</v>
      </c>
      <c r="K1737" s="1" t="s">
        <v>7449</v>
      </c>
    </row>
    <row r="1738" spans="1:11" x14ac:dyDescent="0.25">
      <c r="A1738" s="1">
        <v>1737</v>
      </c>
      <c r="B1738" s="1" t="s">
        <v>5395</v>
      </c>
      <c r="C1738" s="1" t="s">
        <v>5396</v>
      </c>
      <c r="D1738" s="1" t="s">
        <v>5397</v>
      </c>
      <c r="G1738" s="1">
        <v>1</v>
      </c>
      <c r="H1738" s="7">
        <v>45560</v>
      </c>
      <c r="I1738" s="1" t="s">
        <v>7449</v>
      </c>
      <c r="J1738" s="7">
        <v>45560</v>
      </c>
      <c r="K1738" s="1" t="s">
        <v>7449</v>
      </c>
    </row>
    <row r="1739" spans="1:11" x14ac:dyDescent="0.25">
      <c r="A1739" s="1">
        <v>1738</v>
      </c>
      <c r="B1739" s="1" t="s">
        <v>5398</v>
      </c>
      <c r="C1739" s="1" t="s">
        <v>5398</v>
      </c>
      <c r="D1739" s="1" t="s">
        <v>5399</v>
      </c>
      <c r="F1739" s="1" t="s">
        <v>5400</v>
      </c>
      <c r="G1739" s="1">
        <v>1</v>
      </c>
      <c r="H1739" s="7">
        <v>45560</v>
      </c>
      <c r="I1739" s="1" t="s">
        <v>7449</v>
      </c>
      <c r="J1739" s="7">
        <v>45560</v>
      </c>
      <c r="K1739" s="1" t="s">
        <v>7449</v>
      </c>
    </row>
    <row r="1740" spans="1:11" x14ac:dyDescent="0.25">
      <c r="A1740" s="1">
        <v>1739</v>
      </c>
      <c r="B1740" s="1" t="s">
        <v>5401</v>
      </c>
      <c r="C1740" s="1" t="s">
        <v>5402</v>
      </c>
      <c r="F1740" s="1" t="s">
        <v>5403</v>
      </c>
      <c r="G1740" s="1">
        <v>1</v>
      </c>
      <c r="H1740" s="7">
        <v>45560</v>
      </c>
      <c r="I1740" s="1" t="s">
        <v>7449</v>
      </c>
      <c r="J1740" s="7">
        <v>45560</v>
      </c>
      <c r="K1740" s="1" t="s">
        <v>7449</v>
      </c>
    </row>
    <row r="1741" spans="1:11" x14ac:dyDescent="0.25">
      <c r="A1741" s="1">
        <v>1740</v>
      </c>
      <c r="B1741" s="1" t="s">
        <v>5404</v>
      </c>
      <c r="C1741" s="1" t="s">
        <v>5405</v>
      </c>
      <c r="D1741" s="1" t="s">
        <v>5406</v>
      </c>
      <c r="F1741" s="1" t="s">
        <v>5407</v>
      </c>
      <c r="G1741" s="1">
        <v>1</v>
      </c>
      <c r="H1741" s="7">
        <v>45560</v>
      </c>
      <c r="I1741" s="1" t="s">
        <v>7449</v>
      </c>
      <c r="J1741" s="7">
        <v>45560</v>
      </c>
      <c r="K1741" s="1" t="s">
        <v>7449</v>
      </c>
    </row>
    <row r="1742" spans="1:11" x14ac:dyDescent="0.25">
      <c r="A1742" s="1">
        <v>1741</v>
      </c>
      <c r="B1742" s="1" t="s">
        <v>5408</v>
      </c>
      <c r="C1742" s="1" t="s">
        <v>5409</v>
      </c>
      <c r="E1742" s="1" t="s">
        <v>52</v>
      </c>
      <c r="G1742" s="1">
        <v>1</v>
      </c>
      <c r="H1742" s="7">
        <v>45560</v>
      </c>
      <c r="I1742" s="1" t="s">
        <v>7449</v>
      </c>
      <c r="J1742" s="7">
        <v>45560</v>
      </c>
      <c r="K1742" s="1" t="s">
        <v>7449</v>
      </c>
    </row>
    <row r="1743" spans="1:11" x14ac:dyDescent="0.25">
      <c r="A1743" s="1">
        <v>1742</v>
      </c>
      <c r="B1743" s="1" t="s">
        <v>5410</v>
      </c>
      <c r="C1743" s="1" t="s">
        <v>5411</v>
      </c>
      <c r="D1743" s="1" t="s">
        <v>5412</v>
      </c>
      <c r="F1743" s="1" t="s">
        <v>5413</v>
      </c>
      <c r="G1743" s="1">
        <v>1</v>
      </c>
      <c r="H1743" s="7">
        <v>45560</v>
      </c>
      <c r="I1743" s="1" t="s">
        <v>7449</v>
      </c>
      <c r="J1743" s="7">
        <v>45560</v>
      </c>
      <c r="K1743" s="1" t="s">
        <v>7449</v>
      </c>
    </row>
    <row r="1744" spans="1:11" x14ac:dyDescent="0.25">
      <c r="A1744" s="1">
        <v>1743</v>
      </c>
      <c r="B1744" s="1" t="s">
        <v>5414</v>
      </c>
      <c r="C1744" s="1" t="s">
        <v>5415</v>
      </c>
      <c r="D1744" s="1" t="s">
        <v>5416</v>
      </c>
      <c r="G1744" s="1">
        <v>1</v>
      </c>
      <c r="H1744" s="7">
        <v>45560</v>
      </c>
      <c r="I1744" s="1" t="s">
        <v>7449</v>
      </c>
      <c r="J1744" s="7">
        <v>45560</v>
      </c>
      <c r="K1744" s="1" t="s">
        <v>7449</v>
      </c>
    </row>
    <row r="1745" spans="1:11" x14ac:dyDescent="0.25">
      <c r="A1745" s="1">
        <v>1744</v>
      </c>
      <c r="B1745" s="1" t="s">
        <v>5417</v>
      </c>
      <c r="C1745" s="1" t="s">
        <v>5418</v>
      </c>
      <c r="D1745" s="1" t="s">
        <v>5419</v>
      </c>
      <c r="E1745" s="1" t="s">
        <v>73</v>
      </c>
      <c r="G1745" s="1">
        <v>1</v>
      </c>
      <c r="H1745" s="7">
        <v>45560</v>
      </c>
      <c r="I1745" s="1" t="s">
        <v>7449</v>
      </c>
      <c r="J1745" s="7">
        <v>45560</v>
      </c>
      <c r="K1745" s="1" t="s">
        <v>7449</v>
      </c>
    </row>
    <row r="1746" spans="1:11" x14ac:dyDescent="0.25">
      <c r="A1746" s="1">
        <v>1745</v>
      </c>
      <c r="B1746" s="1" t="s">
        <v>5420</v>
      </c>
      <c r="C1746" s="1" t="s">
        <v>5421</v>
      </c>
      <c r="F1746" s="1" t="s">
        <v>5422</v>
      </c>
      <c r="G1746" s="1">
        <v>1</v>
      </c>
      <c r="H1746" s="7">
        <v>45560</v>
      </c>
      <c r="I1746" s="1" t="s">
        <v>7449</v>
      </c>
      <c r="J1746" s="7">
        <v>45560</v>
      </c>
      <c r="K1746" s="1" t="s">
        <v>7449</v>
      </c>
    </row>
    <row r="1747" spans="1:11" x14ac:dyDescent="0.25">
      <c r="A1747" s="1">
        <v>1746</v>
      </c>
      <c r="B1747" s="1" t="s">
        <v>5423</v>
      </c>
      <c r="C1747" s="1" t="s">
        <v>5424</v>
      </c>
      <c r="F1747" s="1" t="s">
        <v>5425</v>
      </c>
      <c r="G1747" s="1">
        <v>1</v>
      </c>
      <c r="H1747" s="7">
        <v>45560</v>
      </c>
      <c r="I1747" s="1" t="s">
        <v>7449</v>
      </c>
      <c r="J1747" s="7">
        <v>45560</v>
      </c>
      <c r="K1747" s="1" t="s">
        <v>7449</v>
      </c>
    </row>
    <row r="1748" spans="1:11" x14ac:dyDescent="0.25">
      <c r="A1748" s="1">
        <v>1747</v>
      </c>
      <c r="B1748" s="1" t="s">
        <v>5426</v>
      </c>
      <c r="C1748" s="1" t="s">
        <v>5427</v>
      </c>
      <c r="E1748" s="1" t="s">
        <v>52</v>
      </c>
      <c r="G1748" s="1">
        <v>1</v>
      </c>
      <c r="H1748" s="7">
        <v>45560</v>
      </c>
      <c r="I1748" s="1" t="s">
        <v>7449</v>
      </c>
      <c r="J1748" s="7">
        <v>45560</v>
      </c>
      <c r="K1748" s="1" t="s">
        <v>7449</v>
      </c>
    </row>
    <row r="1749" spans="1:11" x14ac:dyDescent="0.25">
      <c r="A1749" s="1">
        <v>1748</v>
      </c>
      <c r="B1749" s="1" t="s">
        <v>5428</v>
      </c>
      <c r="C1749" s="1" t="s">
        <v>5429</v>
      </c>
      <c r="D1749" s="1" t="s">
        <v>5430</v>
      </c>
      <c r="F1749" s="1" t="s">
        <v>5431</v>
      </c>
      <c r="G1749" s="1">
        <v>1</v>
      </c>
      <c r="H1749" s="7">
        <v>45560</v>
      </c>
      <c r="I1749" s="1" t="s">
        <v>7449</v>
      </c>
      <c r="J1749" s="7">
        <v>45560</v>
      </c>
      <c r="K1749" s="1" t="s">
        <v>7449</v>
      </c>
    </row>
    <row r="1750" spans="1:11" x14ac:dyDescent="0.25">
      <c r="A1750" s="1">
        <v>1749</v>
      </c>
      <c r="B1750" s="1" t="s">
        <v>5432</v>
      </c>
      <c r="C1750" s="1" t="s">
        <v>5433</v>
      </c>
      <c r="D1750" s="1" t="s">
        <v>5434</v>
      </c>
      <c r="F1750" s="1" t="s">
        <v>5435</v>
      </c>
      <c r="G1750" s="1">
        <v>1</v>
      </c>
      <c r="H1750" s="7">
        <v>45560</v>
      </c>
      <c r="I1750" s="1" t="s">
        <v>7449</v>
      </c>
      <c r="J1750" s="7">
        <v>45560</v>
      </c>
      <c r="K1750" s="1" t="s">
        <v>7449</v>
      </c>
    </row>
    <row r="1751" spans="1:11" x14ac:dyDescent="0.25">
      <c r="A1751" s="1">
        <v>1750</v>
      </c>
      <c r="B1751" s="1" t="s">
        <v>5436</v>
      </c>
      <c r="C1751" s="1" t="s">
        <v>5437</v>
      </c>
      <c r="D1751" s="1" t="s">
        <v>5438</v>
      </c>
      <c r="F1751" s="1" t="s">
        <v>5439</v>
      </c>
      <c r="G1751" s="1">
        <v>1</v>
      </c>
      <c r="H1751" s="7">
        <v>45560</v>
      </c>
      <c r="I1751" s="1" t="s">
        <v>7449</v>
      </c>
      <c r="J1751" s="7">
        <v>45560</v>
      </c>
      <c r="K1751" s="1" t="s">
        <v>7449</v>
      </c>
    </row>
    <row r="1752" spans="1:11" x14ac:dyDescent="0.25">
      <c r="A1752" s="1">
        <v>1751</v>
      </c>
      <c r="B1752" s="1" t="s">
        <v>5440</v>
      </c>
      <c r="C1752" s="1" t="s">
        <v>5441</v>
      </c>
      <c r="D1752" s="1" t="s">
        <v>5442</v>
      </c>
      <c r="F1752" s="1" t="s">
        <v>5400</v>
      </c>
      <c r="G1752" s="1">
        <v>1</v>
      </c>
      <c r="H1752" s="7">
        <v>45560</v>
      </c>
      <c r="I1752" s="1" t="s">
        <v>7449</v>
      </c>
      <c r="J1752" s="7">
        <v>45560</v>
      </c>
      <c r="K1752" s="1" t="s">
        <v>7449</v>
      </c>
    </row>
    <row r="1753" spans="1:11" x14ac:dyDescent="0.25">
      <c r="A1753" s="1">
        <v>1752</v>
      </c>
      <c r="B1753" s="1" t="s">
        <v>5443</v>
      </c>
      <c r="C1753" s="1" t="s">
        <v>5444</v>
      </c>
      <c r="D1753" s="1" t="s">
        <v>5445</v>
      </c>
      <c r="F1753" s="1" t="s">
        <v>5446</v>
      </c>
      <c r="G1753" s="1">
        <v>1</v>
      </c>
      <c r="H1753" s="7">
        <v>45560</v>
      </c>
      <c r="I1753" s="1" t="s">
        <v>7449</v>
      </c>
      <c r="J1753" s="7">
        <v>45560</v>
      </c>
      <c r="K1753" s="1" t="s">
        <v>7449</v>
      </c>
    </row>
    <row r="1754" spans="1:11" x14ac:dyDescent="0.25">
      <c r="A1754" s="1">
        <v>1753</v>
      </c>
      <c r="B1754" s="1" t="s">
        <v>5447</v>
      </c>
      <c r="C1754" s="1" t="s">
        <v>5448</v>
      </c>
      <c r="D1754" s="1" t="s">
        <v>5449</v>
      </c>
      <c r="F1754" s="1" t="s">
        <v>5450</v>
      </c>
      <c r="G1754" s="1">
        <v>1</v>
      </c>
      <c r="H1754" s="7">
        <v>45560</v>
      </c>
      <c r="I1754" s="1" t="s">
        <v>7449</v>
      </c>
      <c r="J1754" s="7">
        <v>45560</v>
      </c>
      <c r="K1754" s="1" t="s">
        <v>7449</v>
      </c>
    </row>
    <row r="1755" spans="1:11" x14ac:dyDescent="0.25">
      <c r="A1755" s="1">
        <v>1754</v>
      </c>
      <c r="B1755" s="1" t="s">
        <v>5451</v>
      </c>
      <c r="C1755" s="1" t="s">
        <v>5452</v>
      </c>
      <c r="D1755" s="1" t="s">
        <v>5453</v>
      </c>
      <c r="F1755" s="1" t="s">
        <v>5454</v>
      </c>
      <c r="G1755" s="1">
        <v>1</v>
      </c>
      <c r="H1755" s="7">
        <v>45560</v>
      </c>
      <c r="I1755" s="1" t="s">
        <v>7449</v>
      </c>
      <c r="J1755" s="7">
        <v>45560</v>
      </c>
      <c r="K1755" s="1" t="s">
        <v>7449</v>
      </c>
    </row>
    <row r="1756" spans="1:11" x14ac:dyDescent="0.25">
      <c r="A1756" s="1">
        <v>1755</v>
      </c>
      <c r="B1756" s="1" t="s">
        <v>5455</v>
      </c>
      <c r="C1756" s="1" t="s">
        <v>5456</v>
      </c>
      <c r="D1756" s="1" t="s">
        <v>5457</v>
      </c>
      <c r="F1756" s="1" t="s">
        <v>5458</v>
      </c>
      <c r="G1756" s="1">
        <v>1</v>
      </c>
      <c r="H1756" s="7">
        <v>45560</v>
      </c>
      <c r="I1756" s="1" t="s">
        <v>7449</v>
      </c>
      <c r="J1756" s="7">
        <v>45560</v>
      </c>
      <c r="K1756" s="1" t="s">
        <v>7449</v>
      </c>
    </row>
    <row r="1757" spans="1:11" x14ac:dyDescent="0.25">
      <c r="A1757" s="1">
        <v>1756</v>
      </c>
      <c r="B1757" s="1" t="s">
        <v>5459</v>
      </c>
      <c r="C1757" s="1" t="s">
        <v>5460</v>
      </c>
      <c r="D1757" s="1" t="s">
        <v>5461</v>
      </c>
      <c r="F1757" s="1" t="s">
        <v>5462</v>
      </c>
      <c r="G1757" s="1">
        <v>1</v>
      </c>
      <c r="H1757" s="7">
        <v>45560</v>
      </c>
      <c r="I1757" s="1" t="s">
        <v>7449</v>
      </c>
      <c r="J1757" s="7">
        <v>45560</v>
      </c>
      <c r="K1757" s="1" t="s">
        <v>7449</v>
      </c>
    </row>
    <row r="1758" spans="1:11" x14ac:dyDescent="0.25">
      <c r="A1758" s="1">
        <v>1757</v>
      </c>
      <c r="B1758" s="1" t="s">
        <v>5463</v>
      </c>
      <c r="C1758" s="1" t="s">
        <v>5464</v>
      </c>
      <c r="D1758" s="1" t="s">
        <v>5465</v>
      </c>
      <c r="F1758" s="1" t="s">
        <v>5466</v>
      </c>
      <c r="G1758" s="1">
        <v>1</v>
      </c>
      <c r="H1758" s="7">
        <v>45560</v>
      </c>
      <c r="I1758" s="1" t="s">
        <v>7449</v>
      </c>
      <c r="J1758" s="7">
        <v>45560</v>
      </c>
      <c r="K1758" s="1" t="s">
        <v>7449</v>
      </c>
    </row>
    <row r="1759" spans="1:11" x14ac:dyDescent="0.25">
      <c r="A1759" s="1">
        <v>1758</v>
      </c>
      <c r="B1759" s="1" t="s">
        <v>5467</v>
      </c>
      <c r="C1759" s="1" t="s">
        <v>5468</v>
      </c>
      <c r="D1759" s="1" t="s">
        <v>5469</v>
      </c>
      <c r="F1759" s="1" t="s">
        <v>5470</v>
      </c>
      <c r="G1759" s="1">
        <v>1</v>
      </c>
      <c r="H1759" s="7">
        <v>45560</v>
      </c>
      <c r="I1759" s="1" t="s">
        <v>7449</v>
      </c>
      <c r="J1759" s="7">
        <v>45560</v>
      </c>
      <c r="K1759" s="1" t="s">
        <v>7449</v>
      </c>
    </row>
    <row r="1760" spans="1:11" x14ac:dyDescent="0.25">
      <c r="A1760" s="1">
        <v>1759</v>
      </c>
      <c r="B1760" s="1" t="s">
        <v>5471</v>
      </c>
      <c r="C1760" s="1" t="s">
        <v>5472</v>
      </c>
      <c r="F1760" s="1" t="s">
        <v>5473</v>
      </c>
      <c r="G1760" s="1">
        <v>1</v>
      </c>
      <c r="H1760" s="7">
        <v>45560</v>
      </c>
      <c r="I1760" s="1" t="s">
        <v>7449</v>
      </c>
      <c r="J1760" s="7">
        <v>45560</v>
      </c>
      <c r="K1760" s="1" t="s">
        <v>7449</v>
      </c>
    </row>
    <row r="1761" spans="1:11" x14ac:dyDescent="0.25">
      <c r="A1761" s="1">
        <v>1760</v>
      </c>
      <c r="B1761" s="1" t="s">
        <v>5474</v>
      </c>
      <c r="C1761" s="1" t="s">
        <v>5475</v>
      </c>
      <c r="D1761" s="1" t="s">
        <v>5476</v>
      </c>
      <c r="F1761" s="1" t="s">
        <v>5477</v>
      </c>
      <c r="G1761" s="1">
        <v>1</v>
      </c>
      <c r="H1761" s="7">
        <v>45560</v>
      </c>
      <c r="I1761" s="1" t="s">
        <v>7449</v>
      </c>
      <c r="J1761" s="7">
        <v>45560</v>
      </c>
      <c r="K1761" s="1" t="s">
        <v>7449</v>
      </c>
    </row>
    <row r="1762" spans="1:11" x14ac:dyDescent="0.25">
      <c r="A1762" s="1">
        <v>1761</v>
      </c>
      <c r="B1762" s="1" t="s">
        <v>5478</v>
      </c>
      <c r="C1762" s="1" t="s">
        <v>5479</v>
      </c>
      <c r="D1762" s="1" t="s">
        <v>5480</v>
      </c>
      <c r="F1762" s="1" t="s">
        <v>5481</v>
      </c>
      <c r="G1762" s="1">
        <v>1</v>
      </c>
      <c r="H1762" s="7">
        <v>45560</v>
      </c>
      <c r="I1762" s="1" t="s">
        <v>7449</v>
      </c>
      <c r="J1762" s="7">
        <v>45560</v>
      </c>
      <c r="K1762" s="1" t="s">
        <v>7449</v>
      </c>
    </row>
    <row r="1763" spans="1:11" x14ac:dyDescent="0.25">
      <c r="A1763" s="1">
        <v>1762</v>
      </c>
      <c r="B1763" s="1" t="s">
        <v>5482</v>
      </c>
      <c r="C1763" s="1" t="s">
        <v>5483</v>
      </c>
      <c r="D1763" s="1" t="s">
        <v>5484</v>
      </c>
      <c r="F1763" s="1" t="s">
        <v>5485</v>
      </c>
      <c r="G1763" s="1">
        <v>1</v>
      </c>
      <c r="H1763" s="7">
        <v>45560</v>
      </c>
      <c r="I1763" s="1" t="s">
        <v>7449</v>
      </c>
      <c r="J1763" s="7">
        <v>45560</v>
      </c>
      <c r="K1763" s="1" t="s">
        <v>7449</v>
      </c>
    </row>
    <row r="1764" spans="1:11" x14ac:dyDescent="0.25">
      <c r="A1764" s="1">
        <v>1763</v>
      </c>
      <c r="B1764" s="1" t="s">
        <v>5486</v>
      </c>
      <c r="C1764" s="1" t="s">
        <v>5487</v>
      </c>
      <c r="D1764" s="1" t="s">
        <v>5488</v>
      </c>
      <c r="F1764" s="1" t="s">
        <v>5489</v>
      </c>
      <c r="G1764" s="1">
        <v>1</v>
      </c>
      <c r="H1764" s="7">
        <v>45560</v>
      </c>
      <c r="I1764" s="1" t="s">
        <v>7449</v>
      </c>
      <c r="J1764" s="7">
        <v>45560</v>
      </c>
      <c r="K1764" s="1" t="s">
        <v>7449</v>
      </c>
    </row>
    <row r="1765" spans="1:11" x14ac:dyDescent="0.25">
      <c r="A1765" s="1">
        <v>1764</v>
      </c>
      <c r="B1765" s="1" t="s">
        <v>5490</v>
      </c>
      <c r="C1765" s="1" t="s">
        <v>5491</v>
      </c>
      <c r="D1765" s="1" t="s">
        <v>5492</v>
      </c>
      <c r="F1765" s="1" t="s">
        <v>5493</v>
      </c>
      <c r="G1765" s="1">
        <v>1</v>
      </c>
      <c r="H1765" s="7">
        <v>45560</v>
      </c>
      <c r="I1765" s="1" t="s">
        <v>7449</v>
      </c>
      <c r="J1765" s="7">
        <v>45560</v>
      </c>
      <c r="K1765" s="1" t="s">
        <v>7449</v>
      </c>
    </row>
    <row r="1766" spans="1:11" x14ac:dyDescent="0.25">
      <c r="A1766" s="1">
        <v>1765</v>
      </c>
      <c r="B1766" s="1" t="s">
        <v>5494</v>
      </c>
      <c r="C1766" s="1" t="s">
        <v>5495</v>
      </c>
      <c r="D1766" s="1" t="s">
        <v>5496</v>
      </c>
      <c r="F1766" s="1" t="s">
        <v>5497</v>
      </c>
      <c r="G1766" s="1">
        <v>1</v>
      </c>
      <c r="H1766" s="7">
        <v>45560</v>
      </c>
      <c r="I1766" s="1" t="s">
        <v>7449</v>
      </c>
      <c r="J1766" s="7">
        <v>45560</v>
      </c>
      <c r="K1766" s="1" t="s">
        <v>7449</v>
      </c>
    </row>
    <row r="1767" spans="1:11" x14ac:dyDescent="0.25">
      <c r="A1767" s="1">
        <v>1766</v>
      </c>
      <c r="B1767" s="1" t="s">
        <v>5498</v>
      </c>
      <c r="C1767" s="1" t="s">
        <v>5499</v>
      </c>
      <c r="D1767" s="1" t="s">
        <v>5500</v>
      </c>
      <c r="F1767" s="1" t="s">
        <v>5501</v>
      </c>
      <c r="G1767" s="1">
        <v>1</v>
      </c>
      <c r="H1767" s="7">
        <v>45560</v>
      </c>
      <c r="I1767" s="1" t="s">
        <v>7449</v>
      </c>
      <c r="J1767" s="7">
        <v>45560</v>
      </c>
      <c r="K1767" s="1" t="s">
        <v>7449</v>
      </c>
    </row>
    <row r="1768" spans="1:11" x14ac:dyDescent="0.25">
      <c r="A1768" s="1">
        <v>1767</v>
      </c>
      <c r="B1768" s="1" t="s">
        <v>5502</v>
      </c>
      <c r="C1768" s="1" t="s">
        <v>5503</v>
      </c>
      <c r="D1768" s="1" t="s">
        <v>5504</v>
      </c>
      <c r="F1768" s="1" t="s">
        <v>5505</v>
      </c>
      <c r="G1768" s="1">
        <v>1</v>
      </c>
      <c r="H1768" s="7">
        <v>45560</v>
      </c>
      <c r="I1768" s="1" t="s">
        <v>7449</v>
      </c>
      <c r="J1768" s="7">
        <v>45560</v>
      </c>
      <c r="K1768" s="1" t="s">
        <v>7449</v>
      </c>
    </row>
    <row r="1769" spans="1:11" x14ac:dyDescent="0.25">
      <c r="A1769" s="1">
        <v>1768</v>
      </c>
      <c r="B1769" s="1" t="s">
        <v>5506</v>
      </c>
      <c r="C1769" s="1" t="s">
        <v>5507</v>
      </c>
      <c r="D1769" s="1" t="s">
        <v>5508</v>
      </c>
      <c r="F1769" s="1" t="s">
        <v>5509</v>
      </c>
      <c r="G1769" s="1">
        <v>1</v>
      </c>
      <c r="H1769" s="7">
        <v>45560</v>
      </c>
      <c r="I1769" s="1" t="s">
        <v>7449</v>
      </c>
      <c r="J1769" s="7">
        <v>45560</v>
      </c>
      <c r="K1769" s="1" t="s">
        <v>7449</v>
      </c>
    </row>
    <row r="1770" spans="1:11" x14ac:dyDescent="0.25">
      <c r="A1770" s="1">
        <v>1769</v>
      </c>
      <c r="B1770" s="1" t="s">
        <v>5510</v>
      </c>
      <c r="C1770" s="1" t="s">
        <v>5511</v>
      </c>
      <c r="D1770" s="1" t="s">
        <v>5512</v>
      </c>
      <c r="F1770" s="1" t="s">
        <v>5513</v>
      </c>
      <c r="G1770" s="1">
        <v>1</v>
      </c>
      <c r="H1770" s="7">
        <v>45560</v>
      </c>
      <c r="I1770" s="1" t="s">
        <v>7449</v>
      </c>
      <c r="J1770" s="7">
        <v>45560</v>
      </c>
      <c r="K1770" s="1" t="s">
        <v>7449</v>
      </c>
    </row>
    <row r="1771" spans="1:11" x14ac:dyDescent="0.25">
      <c r="A1771" s="1">
        <v>1770</v>
      </c>
      <c r="B1771" s="1" t="s">
        <v>5514</v>
      </c>
      <c r="C1771" s="1" t="s">
        <v>5515</v>
      </c>
      <c r="E1771" s="1" t="s">
        <v>52</v>
      </c>
      <c r="G1771" s="1">
        <v>1</v>
      </c>
      <c r="H1771" s="7">
        <v>45560</v>
      </c>
      <c r="I1771" s="1" t="s">
        <v>7449</v>
      </c>
      <c r="J1771" s="7">
        <v>45560</v>
      </c>
      <c r="K1771" s="1" t="s">
        <v>7449</v>
      </c>
    </row>
    <row r="1772" spans="1:11" x14ac:dyDescent="0.25">
      <c r="A1772" s="1">
        <v>1771</v>
      </c>
      <c r="B1772" s="1" t="s">
        <v>5516</v>
      </c>
      <c r="C1772" s="1" t="s">
        <v>5517</v>
      </c>
      <c r="D1772" s="1" t="s">
        <v>5518</v>
      </c>
      <c r="F1772" s="1" t="s">
        <v>5519</v>
      </c>
      <c r="G1772" s="1">
        <v>1</v>
      </c>
      <c r="H1772" s="7">
        <v>45560</v>
      </c>
      <c r="I1772" s="1" t="s">
        <v>7449</v>
      </c>
      <c r="J1772" s="7">
        <v>45560</v>
      </c>
      <c r="K1772" s="1" t="s">
        <v>7449</v>
      </c>
    </row>
    <row r="1773" spans="1:11" x14ac:dyDescent="0.25">
      <c r="A1773" s="1">
        <v>1772</v>
      </c>
      <c r="B1773" s="1" t="s">
        <v>5520</v>
      </c>
      <c r="C1773" s="1" t="s">
        <v>5521</v>
      </c>
      <c r="D1773" s="1" t="s">
        <v>5518</v>
      </c>
      <c r="F1773" s="1" t="s">
        <v>5522</v>
      </c>
      <c r="G1773" s="1">
        <v>1</v>
      </c>
      <c r="H1773" s="7">
        <v>45560</v>
      </c>
      <c r="I1773" s="1" t="s">
        <v>7449</v>
      </c>
      <c r="J1773" s="7">
        <v>45560</v>
      </c>
      <c r="K1773" s="1" t="s">
        <v>7449</v>
      </c>
    </row>
    <row r="1774" spans="1:11" x14ac:dyDescent="0.25">
      <c r="A1774" s="1">
        <v>1773</v>
      </c>
      <c r="B1774" s="1" t="s">
        <v>5523</v>
      </c>
      <c r="C1774" s="1" t="s">
        <v>5524</v>
      </c>
      <c r="D1774" s="1" t="s">
        <v>5525</v>
      </c>
      <c r="F1774" s="1" t="s">
        <v>5526</v>
      </c>
      <c r="G1774" s="1">
        <v>1</v>
      </c>
      <c r="H1774" s="7">
        <v>45560</v>
      </c>
      <c r="I1774" s="1" t="s">
        <v>7449</v>
      </c>
      <c r="J1774" s="7">
        <v>45560</v>
      </c>
      <c r="K1774" s="1" t="s">
        <v>7449</v>
      </c>
    </row>
    <row r="1775" spans="1:11" x14ac:dyDescent="0.25">
      <c r="A1775" s="1">
        <v>1774</v>
      </c>
      <c r="B1775" s="1" t="s">
        <v>5527</v>
      </c>
      <c r="C1775" s="1" t="s">
        <v>5528</v>
      </c>
      <c r="D1775" s="1" t="s">
        <v>5529</v>
      </c>
      <c r="F1775" s="1" t="s">
        <v>5530</v>
      </c>
      <c r="G1775" s="1">
        <v>1</v>
      </c>
      <c r="H1775" s="7">
        <v>45560</v>
      </c>
      <c r="I1775" s="1" t="s">
        <v>7449</v>
      </c>
      <c r="J1775" s="7">
        <v>45560</v>
      </c>
      <c r="K1775" s="1" t="s">
        <v>7449</v>
      </c>
    </row>
    <row r="1776" spans="1:11" x14ac:dyDescent="0.25">
      <c r="A1776" s="1">
        <v>1775</v>
      </c>
      <c r="B1776" s="1" t="s">
        <v>5531</v>
      </c>
      <c r="C1776" s="1" t="s">
        <v>5532</v>
      </c>
      <c r="D1776" s="1" t="s">
        <v>5533</v>
      </c>
      <c r="F1776" s="1" t="s">
        <v>5534</v>
      </c>
      <c r="G1776" s="1">
        <v>1</v>
      </c>
      <c r="H1776" s="7">
        <v>45560</v>
      </c>
      <c r="I1776" s="1" t="s">
        <v>7449</v>
      </c>
      <c r="J1776" s="7">
        <v>45560</v>
      </c>
      <c r="K1776" s="1" t="s">
        <v>7449</v>
      </c>
    </row>
    <row r="1777" spans="1:11" x14ac:dyDescent="0.25">
      <c r="A1777" s="1">
        <v>1776</v>
      </c>
      <c r="B1777" s="1" t="s">
        <v>5535</v>
      </c>
      <c r="C1777" s="1" t="s">
        <v>5536</v>
      </c>
      <c r="D1777" s="1" t="s">
        <v>5537</v>
      </c>
      <c r="F1777" s="1" t="s">
        <v>3314</v>
      </c>
      <c r="G1777" s="1">
        <v>1</v>
      </c>
      <c r="H1777" s="7">
        <v>45560</v>
      </c>
      <c r="I1777" s="1" t="s">
        <v>7449</v>
      </c>
      <c r="J1777" s="7">
        <v>45560</v>
      </c>
      <c r="K1777" s="1" t="s">
        <v>7449</v>
      </c>
    </row>
    <row r="1778" spans="1:11" x14ac:dyDescent="0.25">
      <c r="A1778" s="1">
        <v>1777</v>
      </c>
      <c r="B1778" s="1" t="s">
        <v>5538</v>
      </c>
      <c r="C1778" s="1" t="s">
        <v>5539</v>
      </c>
      <c r="D1778" s="1" t="s">
        <v>5540</v>
      </c>
      <c r="F1778" s="1" t="s">
        <v>5541</v>
      </c>
      <c r="G1778" s="1">
        <v>1</v>
      </c>
      <c r="H1778" s="7">
        <v>45560</v>
      </c>
      <c r="I1778" s="1" t="s">
        <v>7449</v>
      </c>
      <c r="J1778" s="7">
        <v>45560</v>
      </c>
      <c r="K1778" s="1" t="s">
        <v>7449</v>
      </c>
    </row>
    <row r="1779" spans="1:11" x14ac:dyDescent="0.25">
      <c r="A1779" s="1">
        <v>1778</v>
      </c>
      <c r="B1779" s="1" t="s">
        <v>5542</v>
      </c>
      <c r="C1779" s="1" t="s">
        <v>5543</v>
      </c>
      <c r="D1779" s="1" t="s">
        <v>5544</v>
      </c>
      <c r="F1779" s="1" t="s">
        <v>5545</v>
      </c>
      <c r="G1779" s="1">
        <v>1</v>
      </c>
      <c r="H1779" s="7">
        <v>45560</v>
      </c>
      <c r="I1779" s="1" t="s">
        <v>7449</v>
      </c>
      <c r="J1779" s="7">
        <v>45560</v>
      </c>
      <c r="K1779" s="1" t="s">
        <v>7449</v>
      </c>
    </row>
    <row r="1780" spans="1:11" x14ac:dyDescent="0.25">
      <c r="A1780" s="1">
        <v>1779</v>
      </c>
      <c r="B1780" s="1" t="s">
        <v>5546</v>
      </c>
      <c r="C1780" s="1" t="s">
        <v>5547</v>
      </c>
      <c r="D1780" s="1" t="s">
        <v>5544</v>
      </c>
      <c r="F1780" s="1" t="s">
        <v>5548</v>
      </c>
      <c r="G1780" s="1">
        <v>1</v>
      </c>
      <c r="H1780" s="7">
        <v>45560</v>
      </c>
      <c r="I1780" s="1" t="s">
        <v>7449</v>
      </c>
      <c r="J1780" s="7">
        <v>45560</v>
      </c>
      <c r="K1780" s="1" t="s">
        <v>7449</v>
      </c>
    </row>
    <row r="1781" spans="1:11" x14ac:dyDescent="0.25">
      <c r="A1781" s="1">
        <v>1780</v>
      </c>
      <c r="B1781" s="1" t="s">
        <v>5549</v>
      </c>
      <c r="C1781" s="1" t="s">
        <v>5550</v>
      </c>
      <c r="D1781" s="1" t="s">
        <v>5544</v>
      </c>
      <c r="F1781" s="1" t="s">
        <v>5551</v>
      </c>
      <c r="G1781" s="1">
        <v>1</v>
      </c>
      <c r="H1781" s="7">
        <v>45560</v>
      </c>
      <c r="I1781" s="1" t="s">
        <v>7449</v>
      </c>
      <c r="J1781" s="7">
        <v>45560</v>
      </c>
      <c r="K1781" s="1" t="s">
        <v>7449</v>
      </c>
    </row>
    <row r="1782" spans="1:11" x14ac:dyDescent="0.25">
      <c r="A1782" s="1">
        <v>1781</v>
      </c>
      <c r="B1782" s="1" t="s">
        <v>5552</v>
      </c>
      <c r="C1782" s="1" t="s">
        <v>5553</v>
      </c>
      <c r="E1782" s="1" t="s">
        <v>52</v>
      </c>
      <c r="G1782" s="1">
        <v>1</v>
      </c>
      <c r="H1782" s="7">
        <v>45560</v>
      </c>
      <c r="I1782" s="1" t="s">
        <v>7449</v>
      </c>
      <c r="J1782" s="7">
        <v>45560</v>
      </c>
      <c r="K1782" s="1" t="s">
        <v>7449</v>
      </c>
    </row>
    <row r="1783" spans="1:11" x14ac:dyDescent="0.25">
      <c r="A1783" s="1">
        <v>1782</v>
      </c>
      <c r="B1783" s="1" t="s">
        <v>5554</v>
      </c>
      <c r="C1783" s="1" t="s">
        <v>5555</v>
      </c>
      <c r="D1783" s="1" t="s">
        <v>5556</v>
      </c>
      <c r="F1783" s="1" t="s">
        <v>5557</v>
      </c>
      <c r="G1783" s="1">
        <v>1</v>
      </c>
      <c r="H1783" s="7">
        <v>45560</v>
      </c>
      <c r="I1783" s="1" t="s">
        <v>7449</v>
      </c>
      <c r="J1783" s="7">
        <v>45560</v>
      </c>
      <c r="K1783" s="1" t="s">
        <v>7449</v>
      </c>
    </row>
    <row r="1784" spans="1:11" x14ac:dyDescent="0.25">
      <c r="A1784" s="1">
        <v>1783</v>
      </c>
      <c r="B1784" s="1" t="s">
        <v>5558</v>
      </c>
      <c r="C1784" s="1" t="s">
        <v>5559</v>
      </c>
      <c r="D1784" s="1" t="s">
        <v>5560</v>
      </c>
      <c r="F1784" s="1" t="s">
        <v>5561</v>
      </c>
      <c r="G1784" s="1">
        <v>1</v>
      </c>
      <c r="H1784" s="7">
        <v>45560</v>
      </c>
      <c r="I1784" s="1" t="s">
        <v>7449</v>
      </c>
      <c r="J1784" s="7">
        <v>45560</v>
      </c>
      <c r="K1784" s="1" t="s">
        <v>7449</v>
      </c>
    </row>
    <row r="1785" spans="1:11" x14ac:dyDescent="0.25">
      <c r="A1785" s="1">
        <v>1784</v>
      </c>
      <c r="B1785" s="1" t="s">
        <v>5562</v>
      </c>
      <c r="C1785" s="1" t="s">
        <v>5563</v>
      </c>
      <c r="D1785" s="1" t="s">
        <v>5564</v>
      </c>
      <c r="F1785" s="1" t="s">
        <v>5565</v>
      </c>
      <c r="G1785" s="1">
        <v>1</v>
      </c>
      <c r="H1785" s="7">
        <v>45560</v>
      </c>
      <c r="I1785" s="1" t="s">
        <v>7449</v>
      </c>
      <c r="J1785" s="7">
        <v>45560</v>
      </c>
      <c r="K1785" s="1" t="s">
        <v>7449</v>
      </c>
    </row>
    <row r="1786" spans="1:11" x14ac:dyDescent="0.25">
      <c r="A1786" s="1">
        <v>1785</v>
      </c>
      <c r="B1786" s="1" t="s">
        <v>5566</v>
      </c>
      <c r="C1786" s="1" t="s">
        <v>5567</v>
      </c>
      <c r="D1786" s="1" t="s">
        <v>5568</v>
      </c>
      <c r="F1786" s="1" t="s">
        <v>5569</v>
      </c>
      <c r="G1786" s="1">
        <v>1</v>
      </c>
      <c r="H1786" s="7">
        <v>45560</v>
      </c>
      <c r="I1786" s="1" t="s">
        <v>7449</v>
      </c>
      <c r="J1786" s="7">
        <v>45560</v>
      </c>
      <c r="K1786" s="1" t="s">
        <v>7449</v>
      </c>
    </row>
    <row r="1787" spans="1:11" x14ac:dyDescent="0.25">
      <c r="A1787" s="1">
        <v>1786</v>
      </c>
      <c r="B1787" s="1" t="s">
        <v>5570</v>
      </c>
      <c r="C1787" s="1" t="s">
        <v>5571</v>
      </c>
      <c r="D1787" s="1" t="s">
        <v>5572</v>
      </c>
      <c r="F1787" s="1" t="s">
        <v>5573</v>
      </c>
      <c r="G1787" s="1">
        <v>1</v>
      </c>
      <c r="H1787" s="7">
        <v>45560</v>
      </c>
      <c r="I1787" s="1" t="s">
        <v>7449</v>
      </c>
      <c r="J1787" s="7">
        <v>45560</v>
      </c>
      <c r="K1787" s="1" t="s">
        <v>7449</v>
      </c>
    </row>
    <row r="1788" spans="1:11" ht="30" x14ac:dyDescent="0.25">
      <c r="A1788" s="1">
        <v>1787</v>
      </c>
      <c r="B1788" s="1" t="s">
        <v>5574</v>
      </c>
      <c r="C1788" s="1" t="s">
        <v>5575</v>
      </c>
      <c r="D1788" s="8" t="s">
        <v>5576</v>
      </c>
      <c r="F1788" s="1" t="s">
        <v>5577</v>
      </c>
      <c r="G1788" s="1">
        <v>1</v>
      </c>
      <c r="H1788" s="7">
        <v>45560</v>
      </c>
      <c r="I1788" s="1" t="s">
        <v>7449</v>
      </c>
      <c r="J1788" s="7">
        <v>45560</v>
      </c>
      <c r="K1788" s="1" t="s">
        <v>7449</v>
      </c>
    </row>
    <row r="1789" spans="1:11" ht="30" x14ac:dyDescent="0.25">
      <c r="A1789" s="1">
        <v>1788</v>
      </c>
      <c r="B1789" s="1" t="s">
        <v>5578</v>
      </c>
      <c r="C1789" s="1" t="s">
        <v>5579</v>
      </c>
      <c r="D1789" s="8" t="s">
        <v>5580</v>
      </c>
      <c r="F1789" s="1" t="s">
        <v>5581</v>
      </c>
      <c r="G1789" s="1">
        <v>1</v>
      </c>
      <c r="H1789" s="7">
        <v>45560</v>
      </c>
      <c r="I1789" s="1" t="s">
        <v>7449</v>
      </c>
      <c r="J1789" s="7">
        <v>45560</v>
      </c>
      <c r="K1789" s="1" t="s">
        <v>7449</v>
      </c>
    </row>
    <row r="1790" spans="1:11" x14ac:dyDescent="0.25">
      <c r="A1790" s="1">
        <v>1789</v>
      </c>
      <c r="B1790" s="1" t="s">
        <v>5582</v>
      </c>
      <c r="C1790" s="1" t="s">
        <v>5583</v>
      </c>
      <c r="D1790" s="1" t="s">
        <v>5584</v>
      </c>
      <c r="F1790" s="1" t="s">
        <v>5585</v>
      </c>
      <c r="G1790" s="1">
        <v>1</v>
      </c>
      <c r="H1790" s="7">
        <v>45560</v>
      </c>
      <c r="I1790" s="1" t="s">
        <v>7449</v>
      </c>
      <c r="J1790" s="7">
        <v>45560</v>
      </c>
      <c r="K1790" s="1" t="s">
        <v>7449</v>
      </c>
    </row>
    <row r="1791" spans="1:11" x14ac:dyDescent="0.25">
      <c r="A1791" s="1">
        <v>1790</v>
      </c>
      <c r="B1791" s="1" t="s">
        <v>5586</v>
      </c>
      <c r="C1791" s="1" t="s">
        <v>5587</v>
      </c>
      <c r="D1791" s="1" t="s">
        <v>5588</v>
      </c>
      <c r="F1791" s="1" t="s">
        <v>5589</v>
      </c>
      <c r="G1791" s="1">
        <v>1</v>
      </c>
      <c r="H1791" s="7">
        <v>45560</v>
      </c>
      <c r="I1791" s="1" t="s">
        <v>7449</v>
      </c>
      <c r="J1791" s="7">
        <v>45560</v>
      </c>
      <c r="K1791" s="1" t="s">
        <v>7449</v>
      </c>
    </row>
    <row r="1792" spans="1:11" ht="30" x14ac:dyDescent="0.25">
      <c r="A1792" s="1">
        <v>1791</v>
      </c>
      <c r="B1792" s="1" t="s">
        <v>5590</v>
      </c>
      <c r="C1792" s="1" t="s">
        <v>5591</v>
      </c>
      <c r="D1792" s="8" t="s">
        <v>5592</v>
      </c>
      <c r="F1792" s="1" t="s">
        <v>5593</v>
      </c>
      <c r="G1792" s="1">
        <v>1</v>
      </c>
      <c r="H1792" s="7">
        <v>45560</v>
      </c>
      <c r="I1792" s="1" t="s">
        <v>7449</v>
      </c>
      <c r="J1792" s="7">
        <v>45560</v>
      </c>
      <c r="K1792" s="1" t="s">
        <v>7449</v>
      </c>
    </row>
    <row r="1793" spans="1:11" x14ac:dyDescent="0.25">
      <c r="A1793" s="1">
        <v>1792</v>
      </c>
      <c r="B1793" s="1" t="s">
        <v>5594</v>
      </c>
      <c r="C1793" s="1" t="s">
        <v>5595</v>
      </c>
      <c r="D1793" s="1" t="s">
        <v>5596</v>
      </c>
      <c r="G1793" s="1">
        <v>1</v>
      </c>
      <c r="H1793" s="7">
        <v>45560</v>
      </c>
      <c r="I1793" s="1" t="s">
        <v>7449</v>
      </c>
      <c r="J1793" s="7">
        <v>45560</v>
      </c>
      <c r="K1793" s="1" t="s">
        <v>7449</v>
      </c>
    </row>
    <row r="1794" spans="1:11" x14ac:dyDescent="0.25">
      <c r="A1794" s="1">
        <v>1793</v>
      </c>
      <c r="B1794" s="1" t="s">
        <v>5597</v>
      </c>
      <c r="C1794" s="1" t="s">
        <v>5598</v>
      </c>
      <c r="D1794" s="1" t="s">
        <v>5599</v>
      </c>
      <c r="F1794" s="1" t="s">
        <v>5600</v>
      </c>
      <c r="G1794" s="1">
        <v>1</v>
      </c>
      <c r="H1794" s="7">
        <v>45560</v>
      </c>
      <c r="I1794" s="1" t="s">
        <v>7449</v>
      </c>
      <c r="J1794" s="7">
        <v>45560</v>
      </c>
      <c r="K1794" s="1" t="s">
        <v>7449</v>
      </c>
    </row>
    <row r="1795" spans="1:11" x14ac:dyDescent="0.25">
      <c r="A1795" s="1">
        <v>1794</v>
      </c>
      <c r="B1795" s="1" t="s">
        <v>5601</v>
      </c>
      <c r="C1795" s="1" t="s">
        <v>5602</v>
      </c>
      <c r="D1795" s="1" t="s">
        <v>5603</v>
      </c>
      <c r="F1795" s="1" t="s">
        <v>5604</v>
      </c>
      <c r="G1795" s="1">
        <v>1</v>
      </c>
      <c r="H1795" s="7">
        <v>45560</v>
      </c>
      <c r="I1795" s="1" t="s">
        <v>7449</v>
      </c>
      <c r="J1795" s="7">
        <v>45560</v>
      </c>
      <c r="K1795" s="1" t="s">
        <v>7449</v>
      </c>
    </row>
    <row r="1796" spans="1:11" x14ac:dyDescent="0.25">
      <c r="A1796" s="1">
        <v>1795</v>
      </c>
      <c r="B1796" s="1" t="s">
        <v>5605</v>
      </c>
      <c r="C1796" s="1" t="s">
        <v>5606</v>
      </c>
      <c r="D1796" s="1" t="s">
        <v>5607</v>
      </c>
      <c r="F1796" s="1" t="s">
        <v>5608</v>
      </c>
      <c r="G1796" s="1">
        <v>1</v>
      </c>
      <c r="H1796" s="7">
        <v>45560</v>
      </c>
      <c r="I1796" s="1" t="s">
        <v>7449</v>
      </c>
      <c r="J1796" s="7">
        <v>45560</v>
      </c>
      <c r="K1796" s="1" t="s">
        <v>7449</v>
      </c>
    </row>
    <row r="1797" spans="1:11" x14ac:dyDescent="0.25">
      <c r="A1797" s="1">
        <v>1796</v>
      </c>
      <c r="B1797" s="1" t="s">
        <v>5609</v>
      </c>
      <c r="C1797" s="1" t="s">
        <v>5610</v>
      </c>
      <c r="D1797" s="1" t="s">
        <v>5611</v>
      </c>
      <c r="F1797" s="1" t="s">
        <v>5612</v>
      </c>
      <c r="G1797" s="1">
        <v>1</v>
      </c>
      <c r="H1797" s="7">
        <v>45560</v>
      </c>
      <c r="I1797" s="1" t="s">
        <v>7449</v>
      </c>
      <c r="J1797" s="7">
        <v>45560</v>
      </c>
      <c r="K1797" s="1" t="s">
        <v>7449</v>
      </c>
    </row>
    <row r="1798" spans="1:11" x14ac:dyDescent="0.25">
      <c r="A1798" s="1">
        <v>1797</v>
      </c>
      <c r="B1798" s="1" t="s">
        <v>5613</v>
      </c>
      <c r="C1798" s="1" t="s">
        <v>5614</v>
      </c>
      <c r="D1798" s="1" t="s">
        <v>5615</v>
      </c>
      <c r="F1798" s="1" t="s">
        <v>5616</v>
      </c>
      <c r="G1798" s="1">
        <v>1</v>
      </c>
      <c r="H1798" s="7">
        <v>45560</v>
      </c>
      <c r="I1798" s="1" t="s">
        <v>7449</v>
      </c>
      <c r="J1798" s="7">
        <v>45560</v>
      </c>
      <c r="K1798" s="1" t="s">
        <v>7449</v>
      </c>
    </row>
    <row r="1799" spans="1:11" x14ac:dyDescent="0.25">
      <c r="A1799" s="1">
        <v>1798</v>
      </c>
      <c r="B1799" s="1" t="s">
        <v>5617</v>
      </c>
      <c r="C1799" s="1" t="s">
        <v>5618</v>
      </c>
      <c r="D1799" s="1" t="s">
        <v>5619</v>
      </c>
      <c r="F1799" s="1" t="s">
        <v>5620</v>
      </c>
      <c r="G1799" s="1">
        <v>1</v>
      </c>
      <c r="H1799" s="7">
        <v>45560</v>
      </c>
      <c r="I1799" s="1" t="s">
        <v>7449</v>
      </c>
      <c r="J1799" s="7">
        <v>45560</v>
      </c>
      <c r="K1799" s="1" t="s">
        <v>7449</v>
      </c>
    </row>
    <row r="1800" spans="1:11" x14ac:dyDescent="0.25">
      <c r="A1800" s="1">
        <v>1799</v>
      </c>
      <c r="B1800" s="1" t="s">
        <v>5621</v>
      </c>
      <c r="C1800" s="1" t="s">
        <v>5622</v>
      </c>
      <c r="D1800" s="1" t="s">
        <v>5623</v>
      </c>
      <c r="F1800" s="1" t="s">
        <v>5624</v>
      </c>
      <c r="G1800" s="1">
        <v>1</v>
      </c>
      <c r="H1800" s="7">
        <v>45560</v>
      </c>
      <c r="I1800" s="1" t="s">
        <v>7449</v>
      </c>
      <c r="J1800" s="7">
        <v>45560</v>
      </c>
      <c r="K1800" s="1" t="s">
        <v>7449</v>
      </c>
    </row>
    <row r="1801" spans="1:11" x14ac:dyDescent="0.25">
      <c r="A1801" s="1">
        <v>1800</v>
      </c>
      <c r="B1801" s="1" t="s">
        <v>5625</v>
      </c>
      <c r="C1801" s="1" t="s">
        <v>5626</v>
      </c>
      <c r="D1801" s="1" t="s">
        <v>5627</v>
      </c>
      <c r="F1801" s="1" t="s">
        <v>5628</v>
      </c>
      <c r="G1801" s="1">
        <v>1</v>
      </c>
      <c r="H1801" s="7">
        <v>45560</v>
      </c>
      <c r="I1801" s="1" t="s">
        <v>7449</v>
      </c>
      <c r="J1801" s="7">
        <v>45560</v>
      </c>
      <c r="K1801" s="1" t="s">
        <v>7449</v>
      </c>
    </row>
    <row r="1802" spans="1:11" x14ac:dyDescent="0.25">
      <c r="A1802" s="1">
        <v>1801</v>
      </c>
      <c r="B1802" s="1" t="s">
        <v>5629</v>
      </c>
      <c r="C1802" s="1" t="s">
        <v>5630</v>
      </c>
      <c r="D1802" s="1" t="s">
        <v>5631</v>
      </c>
      <c r="F1802" s="1" t="s">
        <v>5632</v>
      </c>
      <c r="G1802" s="1">
        <v>1</v>
      </c>
      <c r="H1802" s="7">
        <v>45560</v>
      </c>
      <c r="I1802" s="1" t="s">
        <v>7449</v>
      </c>
      <c r="J1802" s="7">
        <v>45560</v>
      </c>
      <c r="K1802" s="1" t="s">
        <v>7449</v>
      </c>
    </row>
    <row r="1803" spans="1:11" x14ac:dyDescent="0.25">
      <c r="A1803" s="1">
        <v>1802</v>
      </c>
      <c r="B1803" s="1" t="s">
        <v>5633</v>
      </c>
      <c r="C1803" s="1" t="s">
        <v>5634</v>
      </c>
      <c r="D1803" s="1" t="s">
        <v>5635</v>
      </c>
      <c r="F1803" s="1" t="s">
        <v>5636</v>
      </c>
      <c r="G1803" s="1">
        <v>1</v>
      </c>
      <c r="H1803" s="7">
        <v>45560</v>
      </c>
      <c r="I1803" s="1" t="s">
        <v>7449</v>
      </c>
      <c r="J1803" s="7">
        <v>45560</v>
      </c>
      <c r="K1803" s="1" t="s">
        <v>7449</v>
      </c>
    </row>
    <row r="1804" spans="1:11" x14ac:dyDescent="0.25">
      <c r="A1804" s="1">
        <v>1803</v>
      </c>
      <c r="B1804" s="1" t="s">
        <v>5637</v>
      </c>
      <c r="C1804" s="1" t="s">
        <v>5638</v>
      </c>
      <c r="E1804" s="1" t="s">
        <v>52</v>
      </c>
      <c r="G1804" s="1">
        <v>1</v>
      </c>
      <c r="H1804" s="7">
        <v>45560</v>
      </c>
      <c r="I1804" s="1" t="s">
        <v>7449</v>
      </c>
      <c r="J1804" s="7">
        <v>45560</v>
      </c>
      <c r="K1804" s="1" t="s">
        <v>7449</v>
      </c>
    </row>
    <row r="1805" spans="1:11" x14ac:dyDescent="0.25">
      <c r="A1805" s="1">
        <v>1804</v>
      </c>
      <c r="B1805" s="1" t="s">
        <v>5639</v>
      </c>
      <c r="C1805" s="1" t="s">
        <v>5640</v>
      </c>
      <c r="D1805" s="1" t="s">
        <v>5641</v>
      </c>
      <c r="F1805" s="1" t="s">
        <v>5642</v>
      </c>
      <c r="G1805" s="1">
        <v>1</v>
      </c>
      <c r="H1805" s="7">
        <v>45560</v>
      </c>
      <c r="I1805" s="1" t="s">
        <v>7449</v>
      </c>
      <c r="J1805" s="7">
        <v>45560</v>
      </c>
      <c r="K1805" s="1" t="s">
        <v>7449</v>
      </c>
    </row>
    <row r="1806" spans="1:11" x14ac:dyDescent="0.25">
      <c r="A1806" s="1">
        <v>1805</v>
      </c>
      <c r="B1806" s="1" t="s">
        <v>5643</v>
      </c>
      <c r="C1806" s="1" t="s">
        <v>5644</v>
      </c>
      <c r="D1806" s="1" t="s">
        <v>5645</v>
      </c>
      <c r="F1806" s="1" t="s">
        <v>5646</v>
      </c>
      <c r="G1806" s="1">
        <v>1</v>
      </c>
      <c r="H1806" s="7">
        <v>45560</v>
      </c>
      <c r="I1806" s="1" t="s">
        <v>7449</v>
      </c>
      <c r="J1806" s="7">
        <v>45560</v>
      </c>
      <c r="K1806" s="1" t="s">
        <v>7449</v>
      </c>
    </row>
    <row r="1807" spans="1:11" x14ac:dyDescent="0.25">
      <c r="A1807" s="1">
        <v>1806</v>
      </c>
      <c r="B1807" s="1" t="s">
        <v>5647</v>
      </c>
      <c r="C1807" s="1" t="s">
        <v>5648</v>
      </c>
      <c r="D1807" s="1" t="s">
        <v>5649</v>
      </c>
      <c r="F1807" s="1" t="s">
        <v>5650</v>
      </c>
      <c r="G1807" s="1">
        <v>1</v>
      </c>
      <c r="H1807" s="7">
        <v>45560</v>
      </c>
      <c r="I1807" s="1" t="s">
        <v>7449</v>
      </c>
      <c r="J1807" s="7">
        <v>45560</v>
      </c>
      <c r="K1807" s="1" t="s">
        <v>7449</v>
      </c>
    </row>
    <row r="1808" spans="1:11" x14ac:dyDescent="0.25">
      <c r="A1808" s="1">
        <v>1807</v>
      </c>
      <c r="B1808" s="1" t="s">
        <v>5651</v>
      </c>
      <c r="C1808" s="1" t="s">
        <v>5652</v>
      </c>
      <c r="D1808" s="1" t="s">
        <v>5653</v>
      </c>
      <c r="F1808" s="1" t="s">
        <v>5654</v>
      </c>
      <c r="G1808" s="1">
        <v>1</v>
      </c>
      <c r="H1808" s="7">
        <v>45560</v>
      </c>
      <c r="I1808" s="1" t="s">
        <v>7449</v>
      </c>
      <c r="J1808" s="7">
        <v>45560</v>
      </c>
      <c r="K1808" s="1" t="s">
        <v>7449</v>
      </c>
    </row>
    <row r="1809" spans="1:11" x14ac:dyDescent="0.25">
      <c r="A1809" s="1">
        <v>1808</v>
      </c>
      <c r="B1809" s="1" t="s">
        <v>5655</v>
      </c>
      <c r="C1809" s="1" t="s">
        <v>5656</v>
      </c>
      <c r="D1809" s="1" t="s">
        <v>5657</v>
      </c>
      <c r="F1809" s="1" t="s">
        <v>5658</v>
      </c>
      <c r="G1809" s="1">
        <v>1</v>
      </c>
      <c r="H1809" s="7">
        <v>45560</v>
      </c>
      <c r="I1809" s="1" t="s">
        <v>7449</v>
      </c>
      <c r="J1809" s="7">
        <v>45560</v>
      </c>
      <c r="K1809" s="1" t="s">
        <v>7449</v>
      </c>
    </row>
    <row r="1810" spans="1:11" x14ac:dyDescent="0.25">
      <c r="A1810" s="1">
        <v>1809</v>
      </c>
      <c r="B1810" s="1" t="s">
        <v>5659</v>
      </c>
      <c r="C1810" s="1" t="s">
        <v>5660</v>
      </c>
      <c r="D1810" s="1" t="s">
        <v>5661</v>
      </c>
      <c r="F1810" s="1" t="s">
        <v>5662</v>
      </c>
      <c r="G1810" s="1">
        <v>1</v>
      </c>
      <c r="H1810" s="7">
        <v>45560</v>
      </c>
      <c r="I1810" s="1" t="s">
        <v>7449</v>
      </c>
      <c r="J1810" s="7">
        <v>45560</v>
      </c>
      <c r="K1810" s="1" t="s">
        <v>7449</v>
      </c>
    </row>
    <row r="1811" spans="1:11" x14ac:dyDescent="0.25">
      <c r="A1811" s="1">
        <v>1810</v>
      </c>
      <c r="B1811" s="1" t="s">
        <v>5663</v>
      </c>
      <c r="C1811" s="1" t="s">
        <v>5664</v>
      </c>
      <c r="D1811" s="1" t="s">
        <v>5665</v>
      </c>
      <c r="F1811" s="1" t="s">
        <v>5666</v>
      </c>
      <c r="G1811" s="1">
        <v>1</v>
      </c>
      <c r="H1811" s="7">
        <v>45560</v>
      </c>
      <c r="I1811" s="1" t="s">
        <v>7449</v>
      </c>
      <c r="J1811" s="7">
        <v>45560</v>
      </c>
      <c r="K1811" s="1" t="s">
        <v>7449</v>
      </c>
    </row>
    <row r="1812" spans="1:11" x14ac:dyDescent="0.25">
      <c r="A1812" s="1">
        <v>1811</v>
      </c>
      <c r="B1812" s="1" t="s">
        <v>5667</v>
      </c>
      <c r="C1812" s="1" t="s">
        <v>5668</v>
      </c>
      <c r="D1812" s="1" t="s">
        <v>5669</v>
      </c>
      <c r="F1812" s="1" t="s">
        <v>5670</v>
      </c>
      <c r="G1812" s="1">
        <v>1</v>
      </c>
      <c r="H1812" s="7">
        <v>45560</v>
      </c>
      <c r="I1812" s="1" t="s">
        <v>7449</v>
      </c>
      <c r="J1812" s="7">
        <v>45560</v>
      </c>
      <c r="K1812" s="1" t="s">
        <v>7449</v>
      </c>
    </row>
    <row r="1813" spans="1:11" x14ac:dyDescent="0.25">
      <c r="A1813" s="1">
        <v>1812</v>
      </c>
      <c r="B1813" s="1" t="s">
        <v>5671</v>
      </c>
      <c r="C1813" s="1" t="s">
        <v>5672</v>
      </c>
      <c r="D1813" s="1" t="s">
        <v>5673</v>
      </c>
      <c r="F1813" s="1" t="s">
        <v>5674</v>
      </c>
      <c r="G1813" s="1">
        <v>1</v>
      </c>
      <c r="H1813" s="7">
        <v>45560</v>
      </c>
      <c r="I1813" s="1" t="s">
        <v>7449</v>
      </c>
      <c r="J1813" s="7">
        <v>45560</v>
      </c>
      <c r="K1813" s="1" t="s">
        <v>7449</v>
      </c>
    </row>
    <row r="1814" spans="1:11" x14ac:dyDescent="0.25">
      <c r="A1814" s="1">
        <v>1813</v>
      </c>
      <c r="B1814" s="1" t="s">
        <v>5675</v>
      </c>
      <c r="C1814" s="1" t="s">
        <v>5676</v>
      </c>
      <c r="D1814" s="1" t="s">
        <v>5677</v>
      </c>
      <c r="F1814" s="1" t="s">
        <v>5678</v>
      </c>
      <c r="G1814" s="1">
        <v>1</v>
      </c>
      <c r="H1814" s="7">
        <v>45560</v>
      </c>
      <c r="I1814" s="1" t="s">
        <v>7449</v>
      </c>
      <c r="J1814" s="7">
        <v>45560</v>
      </c>
      <c r="K1814" s="1" t="s">
        <v>7449</v>
      </c>
    </row>
    <row r="1815" spans="1:11" x14ac:dyDescent="0.25">
      <c r="A1815" s="1">
        <v>1814</v>
      </c>
      <c r="B1815" s="1" t="s">
        <v>5679</v>
      </c>
      <c r="C1815" s="1" t="s">
        <v>5680</v>
      </c>
      <c r="E1815" s="1" t="s">
        <v>52</v>
      </c>
      <c r="G1815" s="1">
        <v>1</v>
      </c>
      <c r="H1815" s="7">
        <v>45560</v>
      </c>
      <c r="I1815" s="1" t="s">
        <v>7449</v>
      </c>
      <c r="J1815" s="7">
        <v>45560</v>
      </c>
      <c r="K1815" s="1" t="s">
        <v>7449</v>
      </c>
    </row>
    <row r="1816" spans="1:11" x14ac:dyDescent="0.25">
      <c r="A1816" s="1">
        <v>1815</v>
      </c>
      <c r="B1816" s="1" t="s">
        <v>5681</v>
      </c>
      <c r="C1816" s="1" t="s">
        <v>5682</v>
      </c>
      <c r="D1816" s="1" t="s">
        <v>5683</v>
      </c>
      <c r="F1816" s="1" t="s">
        <v>5684</v>
      </c>
      <c r="G1816" s="1">
        <v>1</v>
      </c>
      <c r="H1816" s="7">
        <v>45560</v>
      </c>
      <c r="I1816" s="1" t="s">
        <v>7449</v>
      </c>
      <c r="J1816" s="7">
        <v>45560</v>
      </c>
      <c r="K1816" s="1" t="s">
        <v>7449</v>
      </c>
    </row>
    <row r="1817" spans="1:11" x14ac:dyDescent="0.25">
      <c r="A1817" s="1">
        <v>1816</v>
      </c>
      <c r="B1817" s="1" t="s">
        <v>5685</v>
      </c>
      <c r="C1817" s="1" t="s">
        <v>5686</v>
      </c>
      <c r="D1817" s="1" t="s">
        <v>5687</v>
      </c>
      <c r="F1817" s="1" t="s">
        <v>5688</v>
      </c>
      <c r="G1817" s="1">
        <v>1</v>
      </c>
      <c r="H1817" s="7">
        <v>45560</v>
      </c>
      <c r="I1817" s="1" t="s">
        <v>7449</v>
      </c>
      <c r="J1817" s="7">
        <v>45560</v>
      </c>
      <c r="K1817" s="1" t="s">
        <v>7449</v>
      </c>
    </row>
    <row r="1818" spans="1:11" x14ac:dyDescent="0.25">
      <c r="A1818" s="1">
        <v>1817</v>
      </c>
      <c r="B1818" s="1" t="s">
        <v>5689</v>
      </c>
      <c r="C1818" s="1" t="s">
        <v>5690</v>
      </c>
      <c r="D1818" s="1" t="s">
        <v>5691</v>
      </c>
      <c r="F1818" s="1" t="s">
        <v>5692</v>
      </c>
      <c r="G1818" s="1">
        <v>1</v>
      </c>
      <c r="H1818" s="7">
        <v>45560</v>
      </c>
      <c r="I1818" s="1" t="s">
        <v>7449</v>
      </c>
      <c r="J1818" s="7">
        <v>45560</v>
      </c>
      <c r="K1818" s="1" t="s">
        <v>7449</v>
      </c>
    </row>
    <row r="1819" spans="1:11" x14ac:dyDescent="0.25">
      <c r="A1819" s="1">
        <v>1818</v>
      </c>
      <c r="B1819" s="1" t="s">
        <v>5693</v>
      </c>
      <c r="C1819" s="1" t="s">
        <v>5694</v>
      </c>
      <c r="D1819" s="1" t="s">
        <v>5695</v>
      </c>
      <c r="F1819" s="1" t="s">
        <v>5696</v>
      </c>
      <c r="G1819" s="1">
        <v>1</v>
      </c>
      <c r="H1819" s="7">
        <v>45560</v>
      </c>
      <c r="I1819" s="1" t="s">
        <v>7449</v>
      </c>
      <c r="J1819" s="7">
        <v>45560</v>
      </c>
      <c r="K1819" s="1" t="s">
        <v>7449</v>
      </c>
    </row>
    <row r="1820" spans="1:11" x14ac:dyDescent="0.25">
      <c r="A1820" s="1">
        <v>1819</v>
      </c>
      <c r="B1820" s="1" t="s">
        <v>5697</v>
      </c>
      <c r="C1820" s="1" t="s">
        <v>5698</v>
      </c>
      <c r="D1820" s="1" t="s">
        <v>5699</v>
      </c>
      <c r="F1820" s="1" t="s">
        <v>5700</v>
      </c>
      <c r="G1820" s="1">
        <v>1</v>
      </c>
      <c r="H1820" s="7">
        <v>45560</v>
      </c>
      <c r="I1820" s="1" t="s">
        <v>7449</v>
      </c>
      <c r="J1820" s="7">
        <v>45560</v>
      </c>
      <c r="K1820" s="1" t="s">
        <v>7449</v>
      </c>
    </row>
    <row r="1821" spans="1:11" x14ac:dyDescent="0.25">
      <c r="A1821" s="1">
        <v>1820</v>
      </c>
      <c r="B1821" s="1" t="s">
        <v>5701</v>
      </c>
      <c r="C1821" s="1" t="s">
        <v>5702</v>
      </c>
      <c r="D1821" s="1" t="s">
        <v>5703</v>
      </c>
      <c r="F1821" s="1" t="s">
        <v>5704</v>
      </c>
      <c r="G1821" s="1">
        <v>1</v>
      </c>
      <c r="H1821" s="7">
        <v>45560</v>
      </c>
      <c r="I1821" s="1" t="s">
        <v>7449</v>
      </c>
      <c r="J1821" s="7">
        <v>45560</v>
      </c>
      <c r="K1821" s="1" t="s">
        <v>7449</v>
      </c>
    </row>
    <row r="1822" spans="1:11" x14ac:dyDescent="0.25">
      <c r="A1822" s="1">
        <v>1821</v>
      </c>
      <c r="B1822" s="1" t="s">
        <v>5705</v>
      </c>
      <c r="C1822" s="1" t="s">
        <v>5706</v>
      </c>
      <c r="D1822" s="1" t="s">
        <v>5707</v>
      </c>
      <c r="F1822" s="1" t="s">
        <v>5708</v>
      </c>
      <c r="G1822" s="1">
        <v>1</v>
      </c>
      <c r="H1822" s="7">
        <v>45560</v>
      </c>
      <c r="I1822" s="1" t="s">
        <v>7449</v>
      </c>
      <c r="J1822" s="7">
        <v>45560</v>
      </c>
      <c r="K1822" s="1" t="s">
        <v>7449</v>
      </c>
    </row>
    <row r="1823" spans="1:11" x14ac:dyDescent="0.25">
      <c r="A1823" s="1">
        <v>1822</v>
      </c>
      <c r="B1823" s="1" t="s">
        <v>5709</v>
      </c>
      <c r="C1823" s="1" t="s">
        <v>5710</v>
      </c>
      <c r="D1823" s="1" t="s">
        <v>5711</v>
      </c>
      <c r="F1823" s="1" t="s">
        <v>5712</v>
      </c>
      <c r="G1823" s="1">
        <v>1</v>
      </c>
      <c r="H1823" s="7">
        <v>45560</v>
      </c>
      <c r="I1823" s="1" t="s">
        <v>7449</v>
      </c>
      <c r="J1823" s="7">
        <v>45560</v>
      </c>
      <c r="K1823" s="1" t="s">
        <v>7449</v>
      </c>
    </row>
    <row r="1824" spans="1:11" x14ac:dyDescent="0.25">
      <c r="A1824" s="1">
        <v>1823</v>
      </c>
      <c r="B1824" s="1" t="s">
        <v>5713</v>
      </c>
      <c r="C1824" s="1" t="s">
        <v>5714</v>
      </c>
      <c r="D1824" s="1" t="s">
        <v>5715</v>
      </c>
      <c r="F1824" s="1" t="s">
        <v>5716</v>
      </c>
      <c r="G1824" s="1">
        <v>1</v>
      </c>
      <c r="H1824" s="7">
        <v>45560</v>
      </c>
      <c r="I1824" s="1" t="s">
        <v>7449</v>
      </c>
      <c r="J1824" s="7">
        <v>45560</v>
      </c>
      <c r="K1824" s="1" t="s">
        <v>7449</v>
      </c>
    </row>
    <row r="1825" spans="1:11" x14ac:dyDescent="0.25">
      <c r="A1825" s="1">
        <v>1824</v>
      </c>
      <c r="B1825" s="1" t="s">
        <v>5717</v>
      </c>
      <c r="C1825" s="1" t="s">
        <v>5718</v>
      </c>
      <c r="D1825" s="1" t="s">
        <v>5719</v>
      </c>
      <c r="F1825" s="1" t="s">
        <v>5720</v>
      </c>
      <c r="G1825" s="1">
        <v>1</v>
      </c>
      <c r="H1825" s="7">
        <v>45560</v>
      </c>
      <c r="I1825" s="1" t="s">
        <v>7449</v>
      </c>
      <c r="J1825" s="7">
        <v>45560</v>
      </c>
      <c r="K1825" s="1" t="s">
        <v>7449</v>
      </c>
    </row>
    <row r="1826" spans="1:11" x14ac:dyDescent="0.25">
      <c r="A1826" s="1">
        <v>1825</v>
      </c>
      <c r="B1826" s="1" t="s">
        <v>5721</v>
      </c>
      <c r="C1826" s="1" t="s">
        <v>5722</v>
      </c>
      <c r="E1826" s="1" t="s">
        <v>52</v>
      </c>
      <c r="G1826" s="1">
        <v>1</v>
      </c>
      <c r="H1826" s="7">
        <v>45560</v>
      </c>
      <c r="I1826" s="1" t="s">
        <v>7449</v>
      </c>
      <c r="J1826" s="7">
        <v>45560</v>
      </c>
      <c r="K1826" s="1" t="s">
        <v>7449</v>
      </c>
    </row>
    <row r="1827" spans="1:11" x14ac:dyDescent="0.25">
      <c r="A1827" s="1">
        <v>1826</v>
      </c>
      <c r="B1827" s="1" t="s">
        <v>5723</v>
      </c>
      <c r="C1827" s="1" t="s">
        <v>5724</v>
      </c>
      <c r="D1827" s="1" t="s">
        <v>5725</v>
      </c>
      <c r="F1827" s="1" t="s">
        <v>5726</v>
      </c>
      <c r="G1827" s="1">
        <v>1</v>
      </c>
      <c r="H1827" s="7">
        <v>45560</v>
      </c>
      <c r="I1827" s="1" t="s">
        <v>7449</v>
      </c>
      <c r="J1827" s="7">
        <v>45560</v>
      </c>
      <c r="K1827" s="1" t="s">
        <v>7449</v>
      </c>
    </row>
    <row r="1828" spans="1:11" x14ac:dyDescent="0.25">
      <c r="A1828" s="1">
        <v>1827</v>
      </c>
      <c r="B1828" s="1" t="s">
        <v>5727</v>
      </c>
      <c r="C1828" s="1" t="s">
        <v>5728</v>
      </c>
      <c r="D1828" s="1" t="s">
        <v>5729</v>
      </c>
      <c r="F1828" s="1" t="s">
        <v>5730</v>
      </c>
      <c r="G1828" s="1">
        <v>1</v>
      </c>
      <c r="H1828" s="7">
        <v>45560</v>
      </c>
      <c r="I1828" s="1" t="s">
        <v>7449</v>
      </c>
      <c r="J1828" s="7">
        <v>45560</v>
      </c>
      <c r="K1828" s="1" t="s">
        <v>7449</v>
      </c>
    </row>
    <row r="1829" spans="1:11" x14ac:dyDescent="0.25">
      <c r="A1829" s="1">
        <v>1828</v>
      </c>
      <c r="B1829" s="1" t="s">
        <v>5731</v>
      </c>
      <c r="C1829" s="1" t="s">
        <v>5732</v>
      </c>
      <c r="D1829" s="1" t="s">
        <v>5733</v>
      </c>
      <c r="F1829" s="1" t="s">
        <v>5734</v>
      </c>
      <c r="G1829" s="1">
        <v>1</v>
      </c>
      <c r="H1829" s="7">
        <v>45560</v>
      </c>
      <c r="I1829" s="1" t="s">
        <v>7449</v>
      </c>
      <c r="J1829" s="7">
        <v>45560</v>
      </c>
      <c r="K1829" s="1" t="s">
        <v>7449</v>
      </c>
    </row>
    <row r="1830" spans="1:11" x14ac:dyDescent="0.25">
      <c r="A1830" s="1">
        <v>1829</v>
      </c>
      <c r="B1830" s="1" t="s">
        <v>5735</v>
      </c>
      <c r="C1830" s="1" t="s">
        <v>5736</v>
      </c>
      <c r="D1830" s="1" t="s">
        <v>5737</v>
      </c>
      <c r="F1830" s="1" t="s">
        <v>5738</v>
      </c>
      <c r="G1830" s="1">
        <v>1</v>
      </c>
      <c r="H1830" s="7">
        <v>45560</v>
      </c>
      <c r="I1830" s="1" t="s">
        <v>7449</v>
      </c>
      <c r="J1830" s="7">
        <v>45560</v>
      </c>
      <c r="K1830" s="1" t="s">
        <v>7449</v>
      </c>
    </row>
    <row r="1831" spans="1:11" x14ac:dyDescent="0.25">
      <c r="A1831" s="1">
        <v>1830</v>
      </c>
      <c r="B1831" s="1" t="s">
        <v>5739</v>
      </c>
      <c r="C1831" s="1" t="s">
        <v>5740</v>
      </c>
      <c r="D1831" s="1" t="s">
        <v>5741</v>
      </c>
      <c r="F1831" s="1" t="s">
        <v>5742</v>
      </c>
      <c r="G1831" s="1">
        <v>1</v>
      </c>
      <c r="H1831" s="7">
        <v>45560</v>
      </c>
      <c r="I1831" s="1" t="s">
        <v>7449</v>
      </c>
      <c r="J1831" s="7">
        <v>45560</v>
      </c>
      <c r="K1831" s="1" t="s">
        <v>7449</v>
      </c>
    </row>
    <row r="1832" spans="1:11" x14ac:dyDescent="0.25">
      <c r="A1832" s="1">
        <v>1831</v>
      </c>
      <c r="B1832" s="1" t="s">
        <v>5743</v>
      </c>
      <c r="C1832" s="1" t="s">
        <v>5744</v>
      </c>
      <c r="D1832" s="1" t="s">
        <v>5745</v>
      </c>
      <c r="F1832" s="1" t="s">
        <v>5746</v>
      </c>
      <c r="G1832" s="1">
        <v>1</v>
      </c>
      <c r="H1832" s="7">
        <v>45560</v>
      </c>
      <c r="I1832" s="1" t="s">
        <v>7449</v>
      </c>
      <c r="J1832" s="7">
        <v>45560</v>
      </c>
      <c r="K1832" s="1" t="s">
        <v>7449</v>
      </c>
    </row>
    <row r="1833" spans="1:11" x14ac:dyDescent="0.25">
      <c r="A1833" s="1">
        <v>1832</v>
      </c>
      <c r="B1833" s="1" t="s">
        <v>5747</v>
      </c>
      <c r="C1833" s="1" t="s">
        <v>5748</v>
      </c>
      <c r="D1833" s="1" t="s">
        <v>5749</v>
      </c>
      <c r="F1833" s="1" t="s">
        <v>5750</v>
      </c>
      <c r="G1833" s="1">
        <v>1</v>
      </c>
      <c r="H1833" s="7">
        <v>45560</v>
      </c>
      <c r="I1833" s="1" t="s">
        <v>7449</v>
      </c>
      <c r="J1833" s="7">
        <v>45560</v>
      </c>
      <c r="K1833" s="1" t="s">
        <v>7449</v>
      </c>
    </row>
    <row r="1834" spans="1:11" x14ac:dyDescent="0.25">
      <c r="A1834" s="1">
        <v>1833</v>
      </c>
      <c r="B1834" s="1" t="s">
        <v>5751</v>
      </c>
      <c r="C1834" s="1" t="s">
        <v>5752</v>
      </c>
      <c r="D1834" s="1" t="s">
        <v>5753</v>
      </c>
      <c r="F1834" s="1" t="s">
        <v>5754</v>
      </c>
      <c r="G1834" s="1">
        <v>1</v>
      </c>
      <c r="H1834" s="7">
        <v>45560</v>
      </c>
      <c r="I1834" s="1" t="s">
        <v>7449</v>
      </c>
      <c r="J1834" s="7">
        <v>45560</v>
      </c>
      <c r="K1834" s="1" t="s">
        <v>7449</v>
      </c>
    </row>
    <row r="1835" spans="1:11" x14ac:dyDescent="0.25">
      <c r="A1835" s="1">
        <v>1834</v>
      </c>
      <c r="B1835" s="1" t="s">
        <v>5755</v>
      </c>
      <c r="C1835" s="1" t="s">
        <v>5756</v>
      </c>
      <c r="D1835" s="1" t="s">
        <v>5757</v>
      </c>
      <c r="F1835" s="1" t="s">
        <v>5758</v>
      </c>
      <c r="G1835" s="1">
        <v>1</v>
      </c>
      <c r="H1835" s="7">
        <v>45560</v>
      </c>
      <c r="I1835" s="1" t="s">
        <v>7449</v>
      </c>
      <c r="J1835" s="7">
        <v>45560</v>
      </c>
      <c r="K1835" s="1" t="s">
        <v>7449</v>
      </c>
    </row>
    <row r="1836" spans="1:11" x14ac:dyDescent="0.25">
      <c r="A1836" s="1">
        <v>1835</v>
      </c>
      <c r="B1836" s="1" t="s">
        <v>5759</v>
      </c>
      <c r="C1836" s="1" t="s">
        <v>5760</v>
      </c>
      <c r="D1836" s="1" t="s">
        <v>109</v>
      </c>
      <c r="F1836" s="1" t="s">
        <v>5761</v>
      </c>
      <c r="G1836" s="1">
        <v>1</v>
      </c>
      <c r="H1836" s="7">
        <v>45560</v>
      </c>
      <c r="I1836" s="1" t="s">
        <v>7449</v>
      </c>
      <c r="J1836" s="7">
        <v>45560</v>
      </c>
      <c r="K1836" s="1" t="s">
        <v>7449</v>
      </c>
    </row>
    <row r="1837" spans="1:11" x14ac:dyDescent="0.25">
      <c r="A1837" s="1">
        <v>1836</v>
      </c>
      <c r="B1837" s="1" t="s">
        <v>5762</v>
      </c>
      <c r="C1837" s="1" t="s">
        <v>5763</v>
      </c>
      <c r="E1837" s="1" t="s">
        <v>52</v>
      </c>
      <c r="G1837" s="1">
        <v>1</v>
      </c>
      <c r="H1837" s="7">
        <v>45560</v>
      </c>
      <c r="I1837" s="1" t="s">
        <v>7449</v>
      </c>
      <c r="J1837" s="7">
        <v>45560</v>
      </c>
      <c r="K1837" s="1" t="s">
        <v>7449</v>
      </c>
    </row>
    <row r="1838" spans="1:11" x14ac:dyDescent="0.25">
      <c r="A1838" s="1">
        <v>1837</v>
      </c>
      <c r="B1838" s="1" t="s">
        <v>5764</v>
      </c>
      <c r="C1838" s="1" t="s">
        <v>5765</v>
      </c>
      <c r="D1838" s="1" t="s">
        <v>109</v>
      </c>
      <c r="F1838" s="1" t="s">
        <v>5766</v>
      </c>
      <c r="G1838" s="1">
        <v>1</v>
      </c>
      <c r="H1838" s="7">
        <v>45560</v>
      </c>
      <c r="I1838" s="1" t="s">
        <v>7449</v>
      </c>
      <c r="J1838" s="7">
        <v>45560</v>
      </c>
      <c r="K1838" s="1" t="s">
        <v>7449</v>
      </c>
    </row>
    <row r="1839" spans="1:11" x14ac:dyDescent="0.25">
      <c r="A1839" s="1">
        <v>1838</v>
      </c>
      <c r="B1839" s="1" t="s">
        <v>5767</v>
      </c>
      <c r="C1839" s="1" t="s">
        <v>5768</v>
      </c>
      <c r="D1839" s="1" t="s">
        <v>5769</v>
      </c>
      <c r="F1839" s="1" t="s">
        <v>5770</v>
      </c>
      <c r="G1839" s="1">
        <v>1</v>
      </c>
      <c r="H1839" s="7">
        <v>45560</v>
      </c>
      <c r="I1839" s="1" t="s">
        <v>7449</v>
      </c>
      <c r="J1839" s="7">
        <v>45560</v>
      </c>
      <c r="K1839" s="1" t="s">
        <v>7449</v>
      </c>
    </row>
    <row r="1840" spans="1:11" x14ac:dyDescent="0.25">
      <c r="A1840" s="1">
        <v>1839</v>
      </c>
      <c r="B1840" s="1" t="s">
        <v>5771</v>
      </c>
      <c r="C1840" s="1" t="s">
        <v>5772</v>
      </c>
      <c r="D1840" s="1" t="s">
        <v>5773</v>
      </c>
      <c r="F1840" s="1" t="s">
        <v>5774</v>
      </c>
      <c r="G1840" s="1">
        <v>1</v>
      </c>
      <c r="H1840" s="7">
        <v>45560</v>
      </c>
      <c r="I1840" s="1" t="s">
        <v>7449</v>
      </c>
      <c r="J1840" s="7">
        <v>45560</v>
      </c>
      <c r="K1840" s="1" t="s">
        <v>7449</v>
      </c>
    </row>
    <row r="1841" spans="1:11" x14ac:dyDescent="0.25">
      <c r="A1841" s="1">
        <v>1840</v>
      </c>
      <c r="B1841" s="1" t="s">
        <v>5775</v>
      </c>
      <c r="C1841" s="1" t="s">
        <v>5776</v>
      </c>
      <c r="D1841" s="1" t="s">
        <v>5777</v>
      </c>
      <c r="F1841" s="1" t="s">
        <v>5778</v>
      </c>
      <c r="G1841" s="1">
        <v>1</v>
      </c>
      <c r="H1841" s="7">
        <v>45560</v>
      </c>
      <c r="I1841" s="1" t="s">
        <v>7449</v>
      </c>
      <c r="J1841" s="7">
        <v>45560</v>
      </c>
      <c r="K1841" s="1" t="s">
        <v>7449</v>
      </c>
    </row>
    <row r="1842" spans="1:11" x14ac:dyDescent="0.25">
      <c r="A1842" s="1">
        <v>1841</v>
      </c>
      <c r="B1842" s="1" t="s">
        <v>5779</v>
      </c>
      <c r="C1842" s="1" t="s">
        <v>5780</v>
      </c>
      <c r="D1842" s="1" t="s">
        <v>5781</v>
      </c>
      <c r="F1842" s="1" t="s">
        <v>5782</v>
      </c>
      <c r="G1842" s="1">
        <v>1</v>
      </c>
      <c r="H1842" s="7">
        <v>45560</v>
      </c>
      <c r="I1842" s="1" t="s">
        <v>7449</v>
      </c>
      <c r="J1842" s="7">
        <v>45560</v>
      </c>
      <c r="K1842" s="1" t="s">
        <v>7449</v>
      </c>
    </row>
    <row r="1843" spans="1:11" x14ac:dyDescent="0.25">
      <c r="A1843" s="1">
        <v>1842</v>
      </c>
      <c r="B1843" s="1" t="s">
        <v>5783</v>
      </c>
      <c r="C1843" s="1" t="s">
        <v>5784</v>
      </c>
      <c r="D1843" s="1" t="s">
        <v>5785</v>
      </c>
      <c r="F1843" s="1" t="s">
        <v>5786</v>
      </c>
      <c r="G1843" s="1">
        <v>1</v>
      </c>
      <c r="H1843" s="7">
        <v>45560</v>
      </c>
      <c r="I1843" s="1" t="s">
        <v>7449</v>
      </c>
      <c r="J1843" s="7">
        <v>45560</v>
      </c>
      <c r="K1843" s="1" t="s">
        <v>7449</v>
      </c>
    </row>
    <row r="1844" spans="1:11" x14ac:dyDescent="0.25">
      <c r="A1844" s="1">
        <v>1843</v>
      </c>
      <c r="B1844" s="1" t="s">
        <v>5787</v>
      </c>
      <c r="C1844" s="1" t="s">
        <v>5788</v>
      </c>
      <c r="D1844" s="1" t="s">
        <v>5789</v>
      </c>
      <c r="F1844" s="1" t="s">
        <v>5790</v>
      </c>
      <c r="G1844" s="1">
        <v>1</v>
      </c>
      <c r="H1844" s="7">
        <v>45560</v>
      </c>
      <c r="I1844" s="1" t="s">
        <v>7449</v>
      </c>
      <c r="J1844" s="7">
        <v>45560</v>
      </c>
      <c r="K1844" s="1" t="s">
        <v>7449</v>
      </c>
    </row>
    <row r="1845" spans="1:11" x14ac:dyDescent="0.25">
      <c r="A1845" s="1">
        <v>1844</v>
      </c>
      <c r="B1845" s="1" t="s">
        <v>5791</v>
      </c>
      <c r="C1845" s="1" t="s">
        <v>5792</v>
      </c>
      <c r="D1845" s="1" t="s">
        <v>5793</v>
      </c>
      <c r="F1845" s="1" t="s">
        <v>5794</v>
      </c>
      <c r="G1845" s="1">
        <v>1</v>
      </c>
      <c r="H1845" s="7">
        <v>45560</v>
      </c>
      <c r="I1845" s="1" t="s">
        <v>7449</v>
      </c>
      <c r="J1845" s="7">
        <v>45560</v>
      </c>
      <c r="K1845" s="1" t="s">
        <v>7449</v>
      </c>
    </row>
    <row r="1846" spans="1:11" x14ac:dyDescent="0.25">
      <c r="A1846" s="1">
        <v>1845</v>
      </c>
      <c r="B1846" s="1" t="s">
        <v>5795</v>
      </c>
      <c r="C1846" s="1" t="s">
        <v>5796</v>
      </c>
      <c r="D1846" s="1" t="s">
        <v>5797</v>
      </c>
      <c r="F1846" s="1" t="s">
        <v>5798</v>
      </c>
      <c r="G1846" s="1">
        <v>1</v>
      </c>
      <c r="H1846" s="7">
        <v>45560</v>
      </c>
      <c r="I1846" s="1" t="s">
        <v>7449</v>
      </c>
      <c r="J1846" s="7">
        <v>45560</v>
      </c>
      <c r="K1846" s="1" t="s">
        <v>7449</v>
      </c>
    </row>
    <row r="1847" spans="1:11" x14ac:dyDescent="0.25">
      <c r="A1847" s="1">
        <v>1846</v>
      </c>
      <c r="B1847" s="1" t="s">
        <v>5799</v>
      </c>
      <c r="C1847" s="1" t="s">
        <v>5800</v>
      </c>
      <c r="D1847" s="1" t="s">
        <v>5801</v>
      </c>
      <c r="F1847" s="1" t="s">
        <v>5802</v>
      </c>
      <c r="G1847" s="1">
        <v>1</v>
      </c>
      <c r="H1847" s="7">
        <v>45560</v>
      </c>
      <c r="I1847" s="1" t="s">
        <v>7449</v>
      </c>
      <c r="J1847" s="7">
        <v>45560</v>
      </c>
      <c r="K1847" s="1" t="s">
        <v>7449</v>
      </c>
    </row>
    <row r="1848" spans="1:11" x14ac:dyDescent="0.25">
      <c r="A1848" s="1">
        <v>1847</v>
      </c>
      <c r="B1848" s="1" t="s">
        <v>5803</v>
      </c>
      <c r="C1848" s="1" t="s">
        <v>5804</v>
      </c>
      <c r="D1848" s="1" t="s">
        <v>5805</v>
      </c>
      <c r="F1848" s="1" t="s">
        <v>5806</v>
      </c>
      <c r="G1848" s="1">
        <v>1</v>
      </c>
      <c r="H1848" s="7">
        <v>45560</v>
      </c>
      <c r="I1848" s="1" t="s">
        <v>7449</v>
      </c>
      <c r="J1848" s="7">
        <v>45560</v>
      </c>
      <c r="K1848" s="1" t="s">
        <v>7449</v>
      </c>
    </row>
    <row r="1849" spans="1:11" x14ac:dyDescent="0.25">
      <c r="A1849" s="1">
        <v>1848</v>
      </c>
      <c r="B1849" s="1" t="s">
        <v>5807</v>
      </c>
      <c r="C1849" s="1" t="s">
        <v>5808</v>
      </c>
      <c r="E1849" s="1" t="s">
        <v>52</v>
      </c>
      <c r="G1849" s="1">
        <v>1</v>
      </c>
      <c r="H1849" s="7">
        <v>45560</v>
      </c>
      <c r="I1849" s="1" t="s">
        <v>7449</v>
      </c>
      <c r="J1849" s="7">
        <v>45560</v>
      </c>
      <c r="K1849" s="1" t="s">
        <v>7449</v>
      </c>
    </row>
    <row r="1850" spans="1:11" x14ac:dyDescent="0.25">
      <c r="A1850" s="1">
        <v>1849</v>
      </c>
      <c r="B1850" s="1" t="s">
        <v>5809</v>
      </c>
      <c r="C1850" s="1" t="s">
        <v>5810</v>
      </c>
      <c r="D1850" s="1" t="s">
        <v>5811</v>
      </c>
      <c r="G1850" s="1">
        <v>1</v>
      </c>
      <c r="H1850" s="7">
        <v>45560</v>
      </c>
      <c r="I1850" s="1" t="s">
        <v>7449</v>
      </c>
      <c r="J1850" s="7">
        <v>45560</v>
      </c>
      <c r="K1850" s="1" t="s">
        <v>7449</v>
      </c>
    </row>
    <row r="1851" spans="1:11" x14ac:dyDescent="0.25">
      <c r="A1851" s="1">
        <v>1850</v>
      </c>
      <c r="B1851" s="1" t="s">
        <v>5812</v>
      </c>
      <c r="C1851" s="1" t="s">
        <v>5813</v>
      </c>
      <c r="E1851" s="1" t="s">
        <v>52</v>
      </c>
      <c r="G1851" s="1">
        <v>1</v>
      </c>
      <c r="H1851" s="7">
        <v>45560</v>
      </c>
      <c r="I1851" s="1" t="s">
        <v>7449</v>
      </c>
      <c r="J1851" s="7">
        <v>45560</v>
      </c>
      <c r="K1851" s="1" t="s">
        <v>7449</v>
      </c>
    </row>
    <row r="1852" spans="1:11" x14ac:dyDescent="0.25">
      <c r="A1852" s="1">
        <v>1851</v>
      </c>
      <c r="B1852" s="1" t="s">
        <v>5814</v>
      </c>
      <c r="C1852" s="1" t="s">
        <v>5815</v>
      </c>
      <c r="D1852" s="1" t="s">
        <v>5816</v>
      </c>
      <c r="G1852" s="1">
        <v>1</v>
      </c>
      <c r="H1852" s="7">
        <v>45560</v>
      </c>
      <c r="I1852" s="1" t="s">
        <v>7449</v>
      </c>
      <c r="J1852" s="7">
        <v>45560</v>
      </c>
      <c r="K1852" s="1" t="s">
        <v>7449</v>
      </c>
    </row>
    <row r="1853" spans="1:11" x14ac:dyDescent="0.25">
      <c r="A1853" s="1">
        <v>1852</v>
      </c>
      <c r="B1853" s="1" t="s">
        <v>5817</v>
      </c>
      <c r="C1853" s="1" t="s">
        <v>5818</v>
      </c>
      <c r="D1853" s="1" t="s">
        <v>5819</v>
      </c>
      <c r="G1853" s="1">
        <v>1</v>
      </c>
      <c r="H1853" s="7">
        <v>45560</v>
      </c>
      <c r="I1853" s="1" t="s">
        <v>7449</v>
      </c>
      <c r="J1853" s="7">
        <v>45560</v>
      </c>
      <c r="K1853" s="1" t="s">
        <v>7449</v>
      </c>
    </row>
    <row r="1854" spans="1:11" x14ac:dyDescent="0.25">
      <c r="A1854" s="1">
        <v>1853</v>
      </c>
      <c r="B1854" s="1" t="s">
        <v>5820</v>
      </c>
      <c r="C1854" s="1" t="s">
        <v>5821</v>
      </c>
      <c r="D1854" s="1" t="s">
        <v>5822</v>
      </c>
      <c r="G1854" s="1">
        <v>1</v>
      </c>
      <c r="H1854" s="7">
        <v>45560</v>
      </c>
      <c r="I1854" s="1" t="s">
        <v>7449</v>
      </c>
      <c r="J1854" s="7">
        <v>45560</v>
      </c>
      <c r="K1854" s="1" t="s">
        <v>7449</v>
      </c>
    </row>
    <row r="1855" spans="1:11" x14ac:dyDescent="0.25">
      <c r="A1855" s="1">
        <v>1854</v>
      </c>
      <c r="B1855" s="1" t="s">
        <v>5823</v>
      </c>
      <c r="C1855" s="1" t="s">
        <v>5824</v>
      </c>
      <c r="D1855" s="1" t="s">
        <v>5825</v>
      </c>
      <c r="F1855" s="1" t="s">
        <v>5826</v>
      </c>
      <c r="G1855" s="1">
        <v>1</v>
      </c>
      <c r="H1855" s="7">
        <v>45560</v>
      </c>
      <c r="I1855" s="1" t="s">
        <v>7449</v>
      </c>
      <c r="J1855" s="7">
        <v>45560</v>
      </c>
      <c r="K1855" s="1" t="s">
        <v>7449</v>
      </c>
    </row>
    <row r="1856" spans="1:11" x14ac:dyDescent="0.25">
      <c r="A1856" s="1">
        <v>1855</v>
      </c>
      <c r="B1856" s="1" t="s">
        <v>5827</v>
      </c>
      <c r="C1856" s="1" t="s">
        <v>5828</v>
      </c>
      <c r="E1856" s="1" t="s">
        <v>52</v>
      </c>
      <c r="G1856" s="1">
        <v>1</v>
      </c>
      <c r="H1856" s="7">
        <v>45560</v>
      </c>
      <c r="I1856" s="1" t="s">
        <v>7449</v>
      </c>
      <c r="J1856" s="7">
        <v>45560</v>
      </c>
      <c r="K1856" s="1" t="s">
        <v>7449</v>
      </c>
    </row>
    <row r="1857" spans="1:11" x14ac:dyDescent="0.25">
      <c r="A1857" s="1">
        <v>1856</v>
      </c>
      <c r="B1857" s="1" t="s">
        <v>5829</v>
      </c>
      <c r="C1857" s="1" t="s">
        <v>5830</v>
      </c>
      <c r="F1857" s="1" t="s">
        <v>5831</v>
      </c>
      <c r="G1857" s="1">
        <v>1</v>
      </c>
      <c r="H1857" s="7">
        <v>45560</v>
      </c>
      <c r="I1857" s="1" t="s">
        <v>7449</v>
      </c>
      <c r="J1857" s="7">
        <v>45560</v>
      </c>
      <c r="K1857" s="1" t="s">
        <v>7449</v>
      </c>
    </row>
    <row r="1858" spans="1:11" x14ac:dyDescent="0.25">
      <c r="A1858" s="1">
        <v>1857</v>
      </c>
      <c r="B1858" s="1" t="s">
        <v>5832</v>
      </c>
      <c r="C1858" s="1" t="s">
        <v>5833</v>
      </c>
      <c r="D1858" s="1" t="s">
        <v>5834</v>
      </c>
      <c r="F1858" s="1" t="s">
        <v>5835</v>
      </c>
      <c r="G1858" s="1">
        <v>1</v>
      </c>
      <c r="H1858" s="7">
        <v>45560</v>
      </c>
      <c r="I1858" s="1" t="s">
        <v>7449</v>
      </c>
      <c r="J1858" s="7">
        <v>45560</v>
      </c>
      <c r="K1858" s="1" t="s">
        <v>7449</v>
      </c>
    </row>
    <row r="1859" spans="1:11" x14ac:dyDescent="0.25">
      <c r="A1859" s="1">
        <v>1858</v>
      </c>
      <c r="B1859" s="1" t="s">
        <v>5836</v>
      </c>
      <c r="C1859" s="1" t="s">
        <v>5837</v>
      </c>
      <c r="D1859" s="1" t="s">
        <v>5838</v>
      </c>
      <c r="G1859" s="1">
        <v>1</v>
      </c>
      <c r="H1859" s="7">
        <v>45560</v>
      </c>
      <c r="I1859" s="1" t="s">
        <v>7449</v>
      </c>
      <c r="J1859" s="7">
        <v>45560</v>
      </c>
      <c r="K1859" s="1" t="s">
        <v>7449</v>
      </c>
    </row>
    <row r="1860" spans="1:11" x14ac:dyDescent="0.25">
      <c r="A1860" s="1">
        <v>1859</v>
      </c>
      <c r="B1860" s="1" t="s">
        <v>4980</v>
      </c>
      <c r="C1860" s="1" t="s">
        <v>5839</v>
      </c>
      <c r="F1860" s="1" t="s">
        <v>5840</v>
      </c>
      <c r="G1860" s="1">
        <v>1</v>
      </c>
      <c r="H1860" s="7">
        <v>45560</v>
      </c>
      <c r="I1860" s="1" t="s">
        <v>7449</v>
      </c>
      <c r="J1860" s="7">
        <v>45560</v>
      </c>
      <c r="K1860" s="1" t="s">
        <v>7449</v>
      </c>
    </row>
    <row r="1861" spans="1:11" x14ac:dyDescent="0.25">
      <c r="A1861" s="1">
        <v>1860</v>
      </c>
      <c r="B1861" s="1" t="s">
        <v>5841</v>
      </c>
      <c r="C1861" s="1" t="s">
        <v>5842</v>
      </c>
      <c r="D1861" s="1" t="s">
        <v>5843</v>
      </c>
      <c r="E1861" s="1" t="s">
        <v>73</v>
      </c>
      <c r="F1861" s="1" t="s">
        <v>5844</v>
      </c>
      <c r="G1861" s="1">
        <v>1</v>
      </c>
      <c r="H1861" s="7">
        <v>45560</v>
      </c>
      <c r="I1861" s="1" t="s">
        <v>7449</v>
      </c>
      <c r="J1861" s="7">
        <v>45560</v>
      </c>
      <c r="K1861" s="1" t="s">
        <v>7449</v>
      </c>
    </row>
    <row r="1862" spans="1:11" x14ac:dyDescent="0.25">
      <c r="A1862" s="1">
        <v>1861</v>
      </c>
      <c r="B1862" s="1" t="s">
        <v>5845</v>
      </c>
      <c r="C1862" s="1" t="s">
        <v>5846</v>
      </c>
      <c r="F1862" s="1" t="s">
        <v>5847</v>
      </c>
      <c r="G1862" s="1">
        <v>1</v>
      </c>
      <c r="H1862" s="7">
        <v>45560</v>
      </c>
      <c r="I1862" s="1" t="s">
        <v>7449</v>
      </c>
      <c r="J1862" s="7">
        <v>45560</v>
      </c>
      <c r="K1862" s="1" t="s">
        <v>7449</v>
      </c>
    </row>
    <row r="1863" spans="1:11" x14ac:dyDescent="0.25">
      <c r="A1863" s="1">
        <v>1862</v>
      </c>
      <c r="B1863" s="1" t="s">
        <v>5848</v>
      </c>
      <c r="C1863" s="1" t="s">
        <v>5849</v>
      </c>
      <c r="D1863" s="1" t="s">
        <v>5850</v>
      </c>
      <c r="F1863" s="1" t="s">
        <v>5851</v>
      </c>
      <c r="G1863" s="1">
        <v>1</v>
      </c>
      <c r="H1863" s="7">
        <v>45560</v>
      </c>
      <c r="I1863" s="1" t="s">
        <v>7449</v>
      </c>
      <c r="J1863" s="7">
        <v>45560</v>
      </c>
      <c r="K1863" s="1" t="s">
        <v>7449</v>
      </c>
    </row>
    <row r="1864" spans="1:11" x14ac:dyDescent="0.25">
      <c r="A1864" s="1">
        <v>1863</v>
      </c>
      <c r="B1864" s="1" t="s">
        <v>5852</v>
      </c>
      <c r="C1864" s="1" t="s">
        <v>5853</v>
      </c>
      <c r="F1864" s="1" t="s">
        <v>5854</v>
      </c>
      <c r="G1864" s="1">
        <v>1</v>
      </c>
      <c r="H1864" s="7">
        <v>45560</v>
      </c>
      <c r="I1864" s="1" t="s">
        <v>7449</v>
      </c>
      <c r="J1864" s="7">
        <v>45560</v>
      </c>
      <c r="K1864" s="1" t="s">
        <v>7449</v>
      </c>
    </row>
    <row r="1865" spans="1:11" x14ac:dyDescent="0.25">
      <c r="A1865" s="1">
        <v>1864</v>
      </c>
      <c r="B1865" s="1" t="s">
        <v>5855</v>
      </c>
      <c r="C1865" s="1" t="s">
        <v>5856</v>
      </c>
      <c r="D1865" s="1" t="s">
        <v>5857</v>
      </c>
      <c r="F1865" s="1" t="s">
        <v>5855</v>
      </c>
      <c r="G1865" s="1">
        <v>1</v>
      </c>
      <c r="H1865" s="7">
        <v>45560</v>
      </c>
      <c r="I1865" s="1" t="s">
        <v>7449</v>
      </c>
      <c r="J1865" s="7">
        <v>45560</v>
      </c>
      <c r="K1865" s="1" t="s">
        <v>7449</v>
      </c>
    </row>
    <row r="1866" spans="1:11" x14ac:dyDescent="0.25">
      <c r="A1866" s="1">
        <v>1865</v>
      </c>
      <c r="B1866" s="1" t="s">
        <v>5858</v>
      </c>
      <c r="C1866" s="1" t="s">
        <v>5859</v>
      </c>
      <c r="E1866" s="1" t="s">
        <v>52</v>
      </c>
      <c r="G1866" s="1">
        <v>1</v>
      </c>
      <c r="H1866" s="7">
        <v>45560</v>
      </c>
      <c r="I1866" s="1" t="s">
        <v>7449</v>
      </c>
      <c r="J1866" s="7">
        <v>45560</v>
      </c>
      <c r="K1866" s="1" t="s">
        <v>7449</v>
      </c>
    </row>
    <row r="1867" spans="1:11" x14ac:dyDescent="0.25">
      <c r="A1867" s="1">
        <v>1866</v>
      </c>
      <c r="B1867" s="1" t="s">
        <v>5860</v>
      </c>
      <c r="C1867" s="1" t="s">
        <v>5861</v>
      </c>
      <c r="E1867" s="1" t="s">
        <v>52</v>
      </c>
      <c r="G1867" s="1">
        <v>1</v>
      </c>
      <c r="H1867" s="7">
        <v>45560</v>
      </c>
      <c r="I1867" s="1" t="s">
        <v>7449</v>
      </c>
      <c r="J1867" s="7">
        <v>45560</v>
      </c>
      <c r="K1867" s="1" t="s">
        <v>7449</v>
      </c>
    </row>
    <row r="1868" spans="1:11" x14ac:dyDescent="0.25">
      <c r="A1868" s="1">
        <v>1867</v>
      </c>
      <c r="B1868" s="1" t="s">
        <v>5862</v>
      </c>
      <c r="C1868" s="1" t="s">
        <v>5863</v>
      </c>
      <c r="E1868" s="1" t="s">
        <v>52</v>
      </c>
      <c r="G1868" s="1">
        <v>1</v>
      </c>
      <c r="H1868" s="7">
        <v>45560</v>
      </c>
      <c r="I1868" s="1" t="s">
        <v>7449</v>
      </c>
      <c r="J1868" s="7">
        <v>45560</v>
      </c>
      <c r="K1868" s="1" t="s">
        <v>7449</v>
      </c>
    </row>
    <row r="1869" spans="1:11" x14ac:dyDescent="0.25">
      <c r="A1869" s="1">
        <v>1868</v>
      </c>
      <c r="B1869" s="1" t="s">
        <v>5864</v>
      </c>
      <c r="C1869" s="1" t="s">
        <v>5865</v>
      </c>
      <c r="E1869" s="1" t="s">
        <v>52</v>
      </c>
      <c r="G1869" s="1">
        <v>1</v>
      </c>
      <c r="H1869" s="7">
        <v>45560</v>
      </c>
      <c r="I1869" s="1" t="s">
        <v>7449</v>
      </c>
      <c r="J1869" s="7">
        <v>45560</v>
      </c>
      <c r="K1869" s="1" t="s">
        <v>7449</v>
      </c>
    </row>
    <row r="1870" spans="1:11" x14ac:dyDescent="0.25">
      <c r="A1870" s="1">
        <v>1869</v>
      </c>
      <c r="B1870" s="1" t="s">
        <v>5866</v>
      </c>
      <c r="C1870" s="1" t="s">
        <v>5867</v>
      </c>
      <c r="D1870" s="1" t="s">
        <v>5868</v>
      </c>
      <c r="F1870" s="1" t="s">
        <v>5869</v>
      </c>
      <c r="G1870" s="1">
        <v>1</v>
      </c>
      <c r="H1870" s="7">
        <v>45560</v>
      </c>
      <c r="I1870" s="1" t="s">
        <v>7449</v>
      </c>
      <c r="J1870" s="7">
        <v>45560</v>
      </c>
      <c r="K1870" s="1" t="s">
        <v>7449</v>
      </c>
    </row>
    <row r="1871" spans="1:11" x14ac:dyDescent="0.25">
      <c r="A1871" s="1">
        <v>1870</v>
      </c>
      <c r="B1871" s="1" t="s">
        <v>5870</v>
      </c>
      <c r="C1871" s="1" t="s">
        <v>5871</v>
      </c>
      <c r="D1871" s="1" t="s">
        <v>5872</v>
      </c>
      <c r="F1871" s="1" t="s">
        <v>5873</v>
      </c>
      <c r="G1871" s="1">
        <v>1</v>
      </c>
      <c r="H1871" s="7">
        <v>45560</v>
      </c>
      <c r="I1871" s="1" t="s">
        <v>7449</v>
      </c>
      <c r="J1871" s="7">
        <v>45560</v>
      </c>
      <c r="K1871" s="1" t="s">
        <v>7449</v>
      </c>
    </row>
    <row r="1872" spans="1:11" x14ac:dyDescent="0.25">
      <c r="A1872" s="1">
        <v>1871</v>
      </c>
      <c r="B1872" s="1" t="s">
        <v>5874</v>
      </c>
      <c r="C1872" s="1" t="s">
        <v>5875</v>
      </c>
      <c r="D1872" s="1" t="s">
        <v>5876</v>
      </c>
      <c r="F1872" s="1" t="s">
        <v>5877</v>
      </c>
      <c r="G1872" s="1">
        <v>1</v>
      </c>
      <c r="H1872" s="7">
        <v>45560</v>
      </c>
      <c r="I1872" s="1" t="s">
        <v>7449</v>
      </c>
      <c r="J1872" s="7">
        <v>45560</v>
      </c>
      <c r="K1872" s="1" t="s">
        <v>7449</v>
      </c>
    </row>
    <row r="1873" spans="1:11" x14ac:dyDescent="0.25">
      <c r="A1873" s="1">
        <v>1872</v>
      </c>
      <c r="B1873" s="1" t="s">
        <v>5878</v>
      </c>
      <c r="C1873" s="1" t="s">
        <v>5879</v>
      </c>
      <c r="D1873" s="1" t="s">
        <v>5880</v>
      </c>
      <c r="F1873" s="1" t="s">
        <v>5881</v>
      </c>
      <c r="G1873" s="1">
        <v>1</v>
      </c>
      <c r="H1873" s="7">
        <v>45560</v>
      </c>
      <c r="I1873" s="1" t="s">
        <v>7449</v>
      </c>
      <c r="J1873" s="7">
        <v>45560</v>
      </c>
      <c r="K1873" s="1" t="s">
        <v>7449</v>
      </c>
    </row>
    <row r="1874" spans="1:11" x14ac:dyDescent="0.25">
      <c r="A1874" s="1">
        <v>1873</v>
      </c>
      <c r="B1874" s="1" t="s">
        <v>5882</v>
      </c>
      <c r="C1874" s="1" t="s">
        <v>5883</v>
      </c>
      <c r="D1874" s="1" t="s">
        <v>5884</v>
      </c>
      <c r="F1874" s="1" t="s">
        <v>5885</v>
      </c>
      <c r="G1874" s="1">
        <v>1</v>
      </c>
      <c r="H1874" s="7">
        <v>45560</v>
      </c>
      <c r="I1874" s="1" t="s">
        <v>7449</v>
      </c>
      <c r="J1874" s="7">
        <v>45560</v>
      </c>
      <c r="K1874" s="1" t="s">
        <v>7449</v>
      </c>
    </row>
    <row r="1875" spans="1:11" x14ac:dyDescent="0.25">
      <c r="A1875" s="1">
        <v>1874</v>
      </c>
      <c r="B1875" s="1" t="s">
        <v>5886</v>
      </c>
      <c r="C1875" s="1" t="s">
        <v>5887</v>
      </c>
      <c r="D1875" s="1" t="s">
        <v>5888</v>
      </c>
      <c r="F1875" s="1" t="s">
        <v>5889</v>
      </c>
      <c r="G1875" s="1">
        <v>1</v>
      </c>
      <c r="H1875" s="7">
        <v>45560</v>
      </c>
      <c r="I1875" s="1" t="s">
        <v>7449</v>
      </c>
      <c r="J1875" s="7">
        <v>45560</v>
      </c>
      <c r="K1875" s="1" t="s">
        <v>7449</v>
      </c>
    </row>
    <row r="1876" spans="1:11" x14ac:dyDescent="0.25">
      <c r="A1876" s="1">
        <v>1875</v>
      </c>
      <c r="B1876" s="1" t="s">
        <v>5890</v>
      </c>
      <c r="C1876" s="1" t="s">
        <v>5891</v>
      </c>
      <c r="D1876" s="1" t="s">
        <v>5892</v>
      </c>
      <c r="F1876" s="1" t="s">
        <v>5893</v>
      </c>
      <c r="G1876" s="1">
        <v>1</v>
      </c>
      <c r="H1876" s="7">
        <v>45560</v>
      </c>
      <c r="I1876" s="1" t="s">
        <v>7449</v>
      </c>
      <c r="J1876" s="7">
        <v>45560</v>
      </c>
      <c r="K1876" s="1" t="s">
        <v>7449</v>
      </c>
    </row>
    <row r="1877" spans="1:11" x14ac:dyDescent="0.25">
      <c r="A1877" s="1">
        <v>1876</v>
      </c>
      <c r="B1877" s="1" t="s">
        <v>5894</v>
      </c>
      <c r="C1877" s="1" t="s">
        <v>5895</v>
      </c>
      <c r="D1877" s="1" t="s">
        <v>5896</v>
      </c>
      <c r="F1877" s="1" t="s">
        <v>5897</v>
      </c>
      <c r="G1877" s="1">
        <v>1</v>
      </c>
      <c r="H1877" s="7">
        <v>45560</v>
      </c>
      <c r="I1877" s="1" t="s">
        <v>7449</v>
      </c>
      <c r="J1877" s="7">
        <v>45560</v>
      </c>
      <c r="K1877" s="1" t="s">
        <v>7449</v>
      </c>
    </row>
    <row r="1878" spans="1:11" x14ac:dyDescent="0.25">
      <c r="A1878" s="1">
        <v>1877</v>
      </c>
      <c r="B1878" s="1" t="s">
        <v>5898</v>
      </c>
      <c r="C1878" s="1" t="s">
        <v>5899</v>
      </c>
      <c r="D1878" s="1" t="s">
        <v>5900</v>
      </c>
      <c r="F1878" s="1" t="s">
        <v>5901</v>
      </c>
      <c r="G1878" s="1">
        <v>1</v>
      </c>
      <c r="H1878" s="7">
        <v>45560</v>
      </c>
      <c r="I1878" s="1" t="s">
        <v>7449</v>
      </c>
      <c r="J1878" s="7">
        <v>45560</v>
      </c>
      <c r="K1878" s="1" t="s">
        <v>7449</v>
      </c>
    </row>
    <row r="1879" spans="1:11" x14ac:dyDescent="0.25">
      <c r="A1879" s="1">
        <v>1878</v>
      </c>
      <c r="B1879" s="1" t="s">
        <v>5902</v>
      </c>
      <c r="C1879" s="1" t="s">
        <v>5903</v>
      </c>
      <c r="D1879" s="1" t="s">
        <v>5904</v>
      </c>
      <c r="F1879" s="1" t="s">
        <v>5905</v>
      </c>
      <c r="G1879" s="1">
        <v>1</v>
      </c>
      <c r="H1879" s="7">
        <v>45560</v>
      </c>
      <c r="I1879" s="1" t="s">
        <v>7449</v>
      </c>
      <c r="J1879" s="7">
        <v>45560</v>
      </c>
      <c r="K1879" s="1" t="s">
        <v>7449</v>
      </c>
    </row>
    <row r="1880" spans="1:11" x14ac:dyDescent="0.25">
      <c r="A1880" s="1">
        <v>1879</v>
      </c>
      <c r="B1880" s="1" t="s">
        <v>5906</v>
      </c>
      <c r="C1880" s="1" t="s">
        <v>5907</v>
      </c>
      <c r="D1880" s="1" t="s">
        <v>5908</v>
      </c>
      <c r="F1880" s="1" t="s">
        <v>5909</v>
      </c>
      <c r="G1880" s="1">
        <v>1</v>
      </c>
      <c r="H1880" s="7">
        <v>45560</v>
      </c>
      <c r="I1880" s="1" t="s">
        <v>7449</v>
      </c>
      <c r="J1880" s="7">
        <v>45560</v>
      </c>
      <c r="K1880" s="1" t="s">
        <v>7449</v>
      </c>
    </row>
    <row r="1881" spans="1:11" x14ac:dyDescent="0.25">
      <c r="A1881" s="1">
        <v>1880</v>
      </c>
      <c r="B1881" s="1" t="s">
        <v>5910</v>
      </c>
      <c r="C1881" s="1" t="s">
        <v>5911</v>
      </c>
      <c r="D1881" s="1" t="s">
        <v>5912</v>
      </c>
      <c r="F1881" s="1" t="s">
        <v>5913</v>
      </c>
      <c r="G1881" s="1">
        <v>1</v>
      </c>
      <c r="H1881" s="7">
        <v>45560</v>
      </c>
      <c r="I1881" s="1" t="s">
        <v>7449</v>
      </c>
      <c r="J1881" s="7">
        <v>45560</v>
      </c>
      <c r="K1881" s="1" t="s">
        <v>7449</v>
      </c>
    </row>
    <row r="1882" spans="1:11" x14ac:dyDescent="0.25">
      <c r="A1882" s="1">
        <v>1881</v>
      </c>
      <c r="B1882" s="1" t="s">
        <v>5914</v>
      </c>
      <c r="C1882" s="1" t="s">
        <v>5915</v>
      </c>
      <c r="D1882" s="1" t="s">
        <v>5916</v>
      </c>
      <c r="F1882" s="1" t="s">
        <v>5917</v>
      </c>
      <c r="G1882" s="1">
        <v>1</v>
      </c>
      <c r="H1882" s="7">
        <v>45560</v>
      </c>
      <c r="I1882" s="1" t="s">
        <v>7449</v>
      </c>
      <c r="J1882" s="7">
        <v>45560</v>
      </c>
      <c r="K1882" s="1" t="s">
        <v>7449</v>
      </c>
    </row>
    <row r="1883" spans="1:11" x14ac:dyDescent="0.25">
      <c r="A1883" s="1">
        <v>1882</v>
      </c>
      <c r="B1883" s="1" t="s">
        <v>5918</v>
      </c>
      <c r="C1883" s="1" t="s">
        <v>5919</v>
      </c>
      <c r="D1883" s="1" t="s">
        <v>5920</v>
      </c>
      <c r="F1883" s="1" t="s">
        <v>5921</v>
      </c>
      <c r="G1883" s="1">
        <v>1</v>
      </c>
      <c r="H1883" s="7">
        <v>45560</v>
      </c>
      <c r="I1883" s="1" t="s">
        <v>7449</v>
      </c>
      <c r="J1883" s="7">
        <v>45560</v>
      </c>
      <c r="K1883" s="1" t="s">
        <v>7449</v>
      </c>
    </row>
    <row r="1884" spans="1:11" x14ac:dyDescent="0.25">
      <c r="A1884" s="1">
        <v>1883</v>
      </c>
      <c r="B1884" s="1" t="s">
        <v>5922</v>
      </c>
      <c r="C1884" s="1" t="s">
        <v>5923</v>
      </c>
      <c r="D1884" s="1" t="s">
        <v>5924</v>
      </c>
      <c r="F1884" s="1" t="s">
        <v>5925</v>
      </c>
      <c r="G1884" s="1">
        <v>1</v>
      </c>
      <c r="H1884" s="7">
        <v>45560</v>
      </c>
      <c r="I1884" s="1" t="s">
        <v>7449</v>
      </c>
      <c r="J1884" s="7">
        <v>45560</v>
      </c>
      <c r="K1884" s="1" t="s">
        <v>7449</v>
      </c>
    </row>
    <row r="1885" spans="1:11" x14ac:dyDescent="0.25">
      <c r="A1885" s="1">
        <v>1884</v>
      </c>
      <c r="B1885" s="1" t="s">
        <v>5926</v>
      </c>
      <c r="C1885" s="1" t="s">
        <v>5927</v>
      </c>
      <c r="D1885" s="1" t="s">
        <v>5928</v>
      </c>
      <c r="F1885" s="1" t="s">
        <v>5929</v>
      </c>
      <c r="G1885" s="1">
        <v>1</v>
      </c>
      <c r="H1885" s="7">
        <v>45560</v>
      </c>
      <c r="I1885" s="1" t="s">
        <v>7449</v>
      </c>
      <c r="J1885" s="7">
        <v>45560</v>
      </c>
      <c r="K1885" s="1" t="s">
        <v>7449</v>
      </c>
    </row>
    <row r="1886" spans="1:11" x14ac:dyDescent="0.25">
      <c r="A1886" s="1">
        <v>1885</v>
      </c>
      <c r="B1886" s="1" t="s">
        <v>5930</v>
      </c>
      <c r="C1886" s="1" t="s">
        <v>5931</v>
      </c>
      <c r="D1886" s="1" t="s">
        <v>5932</v>
      </c>
      <c r="F1886" s="9">
        <v>45292</v>
      </c>
      <c r="G1886" s="1">
        <v>1</v>
      </c>
      <c r="H1886" s="7">
        <v>45560</v>
      </c>
      <c r="I1886" s="1" t="s">
        <v>7449</v>
      </c>
      <c r="J1886" s="7">
        <v>45560</v>
      </c>
      <c r="K1886" s="1" t="s">
        <v>7449</v>
      </c>
    </row>
    <row r="1887" spans="1:11" x14ac:dyDescent="0.25">
      <c r="A1887" s="1">
        <v>1886</v>
      </c>
      <c r="B1887" s="1" t="s">
        <v>5933</v>
      </c>
      <c r="C1887" s="1" t="s">
        <v>5934</v>
      </c>
      <c r="D1887" s="1" t="s">
        <v>5935</v>
      </c>
      <c r="F1887" s="1" t="s">
        <v>4578</v>
      </c>
      <c r="G1887" s="1">
        <v>1</v>
      </c>
      <c r="H1887" s="7">
        <v>45560</v>
      </c>
      <c r="I1887" s="1" t="s">
        <v>7449</v>
      </c>
      <c r="J1887" s="7">
        <v>45560</v>
      </c>
      <c r="K1887" s="1" t="s">
        <v>7449</v>
      </c>
    </row>
    <row r="1888" spans="1:11" x14ac:dyDescent="0.25">
      <c r="A1888" s="1">
        <v>1887</v>
      </c>
      <c r="B1888" s="1" t="s">
        <v>5936</v>
      </c>
      <c r="C1888" s="1" t="s">
        <v>5937</v>
      </c>
      <c r="D1888" s="1" t="s">
        <v>5938</v>
      </c>
      <c r="F1888" s="1" t="s">
        <v>5939</v>
      </c>
      <c r="G1888" s="1">
        <v>1</v>
      </c>
      <c r="H1888" s="7">
        <v>45560</v>
      </c>
      <c r="I1888" s="1" t="s">
        <v>7449</v>
      </c>
      <c r="J1888" s="7">
        <v>45560</v>
      </c>
      <c r="K1888" s="1" t="s">
        <v>7449</v>
      </c>
    </row>
    <row r="1889" spans="1:11" x14ac:dyDescent="0.25">
      <c r="A1889" s="1">
        <v>1888</v>
      </c>
      <c r="B1889" s="1" t="s">
        <v>5940</v>
      </c>
      <c r="C1889" s="1" t="s">
        <v>5941</v>
      </c>
      <c r="D1889" s="1" t="s">
        <v>5941</v>
      </c>
      <c r="F1889" s="1" t="s">
        <v>5942</v>
      </c>
      <c r="G1889" s="1">
        <v>1</v>
      </c>
      <c r="H1889" s="7">
        <v>45560</v>
      </c>
      <c r="I1889" s="1" t="s">
        <v>7449</v>
      </c>
      <c r="J1889" s="7">
        <v>45560</v>
      </c>
      <c r="K1889" s="1" t="s">
        <v>7449</v>
      </c>
    </row>
    <row r="1890" spans="1:11" x14ac:dyDescent="0.25">
      <c r="A1890" s="1">
        <v>1889</v>
      </c>
      <c r="B1890" s="1" t="s">
        <v>5943</v>
      </c>
      <c r="C1890" s="1" t="s">
        <v>5944</v>
      </c>
      <c r="D1890" s="1" t="s">
        <v>5945</v>
      </c>
      <c r="G1890" s="1">
        <v>1</v>
      </c>
      <c r="H1890" s="7">
        <v>45560</v>
      </c>
      <c r="I1890" s="1" t="s">
        <v>7449</v>
      </c>
      <c r="J1890" s="7">
        <v>45560</v>
      </c>
      <c r="K1890" s="1" t="s">
        <v>7449</v>
      </c>
    </row>
    <row r="1891" spans="1:11" x14ac:dyDescent="0.25">
      <c r="A1891" s="1">
        <v>1890</v>
      </c>
      <c r="B1891" s="1" t="s">
        <v>5946</v>
      </c>
      <c r="C1891" s="1" t="s">
        <v>5947</v>
      </c>
      <c r="D1891" s="1" t="s">
        <v>5948</v>
      </c>
      <c r="F1891" s="1" t="s">
        <v>1322</v>
      </c>
      <c r="G1891" s="1">
        <v>1</v>
      </c>
      <c r="H1891" s="7">
        <v>45560</v>
      </c>
      <c r="I1891" s="1" t="s">
        <v>7449</v>
      </c>
      <c r="J1891" s="7">
        <v>45560</v>
      </c>
      <c r="K1891" s="1" t="s">
        <v>7449</v>
      </c>
    </row>
    <row r="1892" spans="1:11" x14ac:dyDescent="0.25">
      <c r="A1892" s="1">
        <v>1891</v>
      </c>
      <c r="B1892" s="1" t="s">
        <v>5949</v>
      </c>
      <c r="C1892" s="1" t="s">
        <v>5950</v>
      </c>
      <c r="F1892" s="1" t="s">
        <v>5951</v>
      </c>
      <c r="G1892" s="1">
        <v>1</v>
      </c>
      <c r="H1892" s="7">
        <v>45560</v>
      </c>
      <c r="I1892" s="1" t="s">
        <v>7449</v>
      </c>
      <c r="J1892" s="7">
        <v>45560</v>
      </c>
      <c r="K1892" s="1" t="s">
        <v>7449</v>
      </c>
    </row>
    <row r="1893" spans="1:11" x14ac:dyDescent="0.25">
      <c r="A1893" s="1">
        <v>1892</v>
      </c>
      <c r="B1893" s="1" t="s">
        <v>5952</v>
      </c>
      <c r="C1893" s="1" t="s">
        <v>5953</v>
      </c>
      <c r="F1893" s="1" t="s">
        <v>5954</v>
      </c>
      <c r="G1893" s="1">
        <v>1</v>
      </c>
      <c r="H1893" s="7">
        <v>45560</v>
      </c>
      <c r="I1893" s="1" t="s">
        <v>7449</v>
      </c>
      <c r="J1893" s="7">
        <v>45560</v>
      </c>
      <c r="K1893" s="1" t="s">
        <v>7449</v>
      </c>
    </row>
    <row r="1894" spans="1:11" x14ac:dyDescent="0.25">
      <c r="A1894" s="1">
        <v>1893</v>
      </c>
      <c r="B1894" s="1" t="s">
        <v>5955</v>
      </c>
      <c r="C1894" s="1" t="s">
        <v>5956</v>
      </c>
      <c r="F1894" s="1" t="s">
        <v>5957</v>
      </c>
      <c r="G1894" s="1">
        <v>1</v>
      </c>
      <c r="H1894" s="7">
        <v>45560</v>
      </c>
      <c r="I1894" s="1" t="s">
        <v>7449</v>
      </c>
      <c r="J1894" s="7">
        <v>45560</v>
      </c>
      <c r="K1894" s="1" t="s">
        <v>7449</v>
      </c>
    </row>
    <row r="1895" spans="1:11" x14ac:dyDescent="0.25">
      <c r="A1895" s="1">
        <v>1894</v>
      </c>
      <c r="B1895" s="1" t="s">
        <v>5958</v>
      </c>
      <c r="C1895" s="1" t="s">
        <v>5959</v>
      </c>
      <c r="F1895" s="1" t="s">
        <v>5960</v>
      </c>
      <c r="G1895" s="1">
        <v>1</v>
      </c>
      <c r="H1895" s="7">
        <v>45560</v>
      </c>
      <c r="I1895" s="1" t="s">
        <v>7449</v>
      </c>
      <c r="J1895" s="7">
        <v>45560</v>
      </c>
      <c r="K1895" s="1" t="s">
        <v>7449</v>
      </c>
    </row>
    <row r="1896" spans="1:11" x14ac:dyDescent="0.25">
      <c r="A1896" s="1">
        <v>1895</v>
      </c>
      <c r="B1896" s="1" t="s">
        <v>5961</v>
      </c>
      <c r="C1896" s="1" t="s">
        <v>5962</v>
      </c>
      <c r="D1896" s="1" t="s">
        <v>5963</v>
      </c>
      <c r="F1896" s="1" t="s">
        <v>5964</v>
      </c>
      <c r="G1896" s="1">
        <v>1</v>
      </c>
      <c r="H1896" s="7">
        <v>45560</v>
      </c>
      <c r="I1896" s="1" t="s">
        <v>7449</v>
      </c>
      <c r="J1896" s="7">
        <v>45560</v>
      </c>
      <c r="K1896" s="1" t="s">
        <v>7449</v>
      </c>
    </row>
    <row r="1897" spans="1:11" x14ac:dyDescent="0.25">
      <c r="A1897" s="1">
        <v>1896</v>
      </c>
      <c r="B1897" s="1" t="s">
        <v>5965</v>
      </c>
      <c r="C1897" s="1" t="s">
        <v>5966</v>
      </c>
      <c r="D1897" s="1" t="s">
        <v>5967</v>
      </c>
      <c r="F1897" s="1" t="s">
        <v>5968</v>
      </c>
      <c r="G1897" s="1">
        <v>1</v>
      </c>
      <c r="H1897" s="7">
        <v>45560</v>
      </c>
      <c r="I1897" s="1" t="s">
        <v>7449</v>
      </c>
      <c r="J1897" s="7">
        <v>45560</v>
      </c>
      <c r="K1897" s="1" t="s">
        <v>7449</v>
      </c>
    </row>
    <row r="1898" spans="1:11" x14ac:dyDescent="0.25">
      <c r="A1898" s="1">
        <v>1897</v>
      </c>
      <c r="B1898" s="1" t="s">
        <v>5969</v>
      </c>
      <c r="C1898" s="1" t="s">
        <v>5970</v>
      </c>
      <c r="D1898" s="1" t="s">
        <v>5971</v>
      </c>
      <c r="G1898" s="1">
        <v>1</v>
      </c>
      <c r="H1898" s="7">
        <v>45560</v>
      </c>
      <c r="I1898" s="1" t="s">
        <v>7449</v>
      </c>
      <c r="J1898" s="7">
        <v>45560</v>
      </c>
      <c r="K1898" s="1" t="s">
        <v>7449</v>
      </c>
    </row>
    <row r="1899" spans="1:11" x14ac:dyDescent="0.25">
      <c r="A1899" s="1">
        <v>1898</v>
      </c>
      <c r="B1899" s="1" t="s">
        <v>5972</v>
      </c>
      <c r="C1899" s="1" t="s">
        <v>5973</v>
      </c>
      <c r="D1899" s="1" t="s">
        <v>5971</v>
      </c>
      <c r="G1899" s="1">
        <v>1</v>
      </c>
      <c r="H1899" s="7">
        <v>45560</v>
      </c>
      <c r="I1899" s="1" t="s">
        <v>7449</v>
      </c>
      <c r="J1899" s="7">
        <v>45560</v>
      </c>
      <c r="K1899" s="1" t="s">
        <v>7449</v>
      </c>
    </row>
    <row r="1900" spans="1:11" x14ac:dyDescent="0.25">
      <c r="A1900" s="1">
        <v>1899</v>
      </c>
      <c r="B1900" s="1" t="s">
        <v>5974</v>
      </c>
      <c r="C1900" s="1" t="s">
        <v>5975</v>
      </c>
      <c r="D1900" s="1" t="s">
        <v>5976</v>
      </c>
      <c r="G1900" s="1">
        <v>1</v>
      </c>
      <c r="H1900" s="7">
        <v>45560</v>
      </c>
      <c r="I1900" s="1" t="s">
        <v>7449</v>
      </c>
      <c r="J1900" s="7">
        <v>45560</v>
      </c>
      <c r="K1900" s="1" t="s">
        <v>7449</v>
      </c>
    </row>
    <row r="1901" spans="1:11" x14ac:dyDescent="0.25">
      <c r="A1901" s="1">
        <v>1900</v>
      </c>
      <c r="B1901" s="1" t="s">
        <v>5977</v>
      </c>
      <c r="C1901" s="1" t="s">
        <v>5978</v>
      </c>
      <c r="D1901" s="1" t="s">
        <v>5976</v>
      </c>
      <c r="G1901" s="1">
        <v>1</v>
      </c>
      <c r="H1901" s="7">
        <v>45560</v>
      </c>
      <c r="I1901" s="1" t="s">
        <v>7449</v>
      </c>
      <c r="J1901" s="7">
        <v>45560</v>
      </c>
      <c r="K1901" s="1" t="s">
        <v>7449</v>
      </c>
    </row>
    <row r="1902" spans="1:11" x14ac:dyDescent="0.25">
      <c r="A1902" s="1">
        <v>1901</v>
      </c>
      <c r="B1902" s="1" t="s">
        <v>5979</v>
      </c>
      <c r="C1902" s="1" t="s">
        <v>5980</v>
      </c>
      <c r="D1902" s="1" t="s">
        <v>5981</v>
      </c>
      <c r="E1902" s="1" t="s">
        <v>4134</v>
      </c>
      <c r="G1902" s="1">
        <v>1</v>
      </c>
      <c r="H1902" s="7">
        <v>45560</v>
      </c>
      <c r="I1902" s="1" t="s">
        <v>7449</v>
      </c>
      <c r="J1902" s="7">
        <v>45560</v>
      </c>
      <c r="K1902" s="1" t="s">
        <v>7449</v>
      </c>
    </row>
    <row r="1903" spans="1:11" x14ac:dyDescent="0.25">
      <c r="A1903" s="1">
        <v>1902</v>
      </c>
      <c r="B1903" s="1" t="s">
        <v>5982</v>
      </c>
      <c r="C1903" s="1" t="s">
        <v>5983</v>
      </c>
      <c r="D1903" s="1" t="s">
        <v>5984</v>
      </c>
      <c r="E1903" s="1" t="s">
        <v>4134</v>
      </c>
      <c r="G1903" s="1">
        <v>1</v>
      </c>
      <c r="H1903" s="7">
        <v>45560</v>
      </c>
      <c r="I1903" s="1" t="s">
        <v>7449</v>
      </c>
      <c r="J1903" s="7">
        <v>45560</v>
      </c>
      <c r="K1903" s="1" t="s">
        <v>7449</v>
      </c>
    </row>
    <row r="1904" spans="1:11" x14ac:dyDescent="0.25">
      <c r="A1904" s="1">
        <v>1903</v>
      </c>
      <c r="B1904" s="1" t="s">
        <v>5985</v>
      </c>
      <c r="C1904" s="1" t="s">
        <v>5986</v>
      </c>
      <c r="D1904" s="1" t="s">
        <v>5987</v>
      </c>
      <c r="G1904" s="1">
        <v>1</v>
      </c>
      <c r="H1904" s="7">
        <v>45560</v>
      </c>
      <c r="I1904" s="1" t="s">
        <v>7449</v>
      </c>
      <c r="J1904" s="7">
        <v>45560</v>
      </c>
      <c r="K1904" s="1" t="s">
        <v>7449</v>
      </c>
    </row>
    <row r="1905" spans="1:11" x14ac:dyDescent="0.25">
      <c r="A1905" s="1">
        <v>1904</v>
      </c>
      <c r="B1905" s="1" t="s">
        <v>5988</v>
      </c>
      <c r="C1905" s="1" t="s">
        <v>5989</v>
      </c>
      <c r="D1905" s="1" t="s">
        <v>5990</v>
      </c>
      <c r="G1905" s="1">
        <v>1</v>
      </c>
      <c r="H1905" s="7">
        <v>45560</v>
      </c>
      <c r="I1905" s="1" t="s">
        <v>7449</v>
      </c>
      <c r="J1905" s="7">
        <v>45560</v>
      </c>
      <c r="K1905" s="1" t="s">
        <v>7449</v>
      </c>
    </row>
    <row r="1906" spans="1:11" x14ac:dyDescent="0.25">
      <c r="A1906" s="1">
        <v>1905</v>
      </c>
      <c r="B1906" s="1" t="s">
        <v>5991</v>
      </c>
      <c r="C1906" s="1" t="s">
        <v>5992</v>
      </c>
      <c r="D1906" s="1" t="s">
        <v>5993</v>
      </c>
      <c r="G1906" s="1">
        <v>1</v>
      </c>
      <c r="H1906" s="7">
        <v>45560</v>
      </c>
      <c r="I1906" s="1" t="s">
        <v>7449</v>
      </c>
      <c r="J1906" s="7">
        <v>45560</v>
      </c>
      <c r="K1906" s="1" t="s">
        <v>7449</v>
      </c>
    </row>
    <row r="1907" spans="1:11" x14ac:dyDescent="0.25">
      <c r="A1907" s="1">
        <v>1906</v>
      </c>
      <c r="B1907" s="1" t="s">
        <v>5994</v>
      </c>
      <c r="C1907" s="1" t="s">
        <v>5995</v>
      </c>
      <c r="E1907" s="1" t="s">
        <v>52</v>
      </c>
      <c r="G1907" s="1">
        <v>1</v>
      </c>
      <c r="H1907" s="7">
        <v>45560</v>
      </c>
      <c r="I1907" s="1" t="s">
        <v>7449</v>
      </c>
      <c r="J1907" s="7">
        <v>45560</v>
      </c>
      <c r="K1907" s="1" t="s">
        <v>7449</v>
      </c>
    </row>
    <row r="1908" spans="1:11" x14ac:dyDescent="0.25">
      <c r="A1908" s="1">
        <v>1907</v>
      </c>
      <c r="B1908" s="1" t="s">
        <v>5996</v>
      </c>
      <c r="C1908" s="1" t="s">
        <v>5997</v>
      </c>
      <c r="E1908" s="1" t="s">
        <v>52</v>
      </c>
      <c r="G1908" s="1">
        <v>1</v>
      </c>
      <c r="H1908" s="7">
        <v>45560</v>
      </c>
      <c r="I1908" s="1" t="s">
        <v>7449</v>
      </c>
      <c r="J1908" s="7">
        <v>45560</v>
      </c>
      <c r="K1908" s="1" t="s">
        <v>7449</v>
      </c>
    </row>
    <row r="1909" spans="1:11" x14ac:dyDescent="0.25">
      <c r="A1909" s="1">
        <v>1908</v>
      </c>
      <c r="B1909" s="1" t="s">
        <v>5998</v>
      </c>
      <c r="C1909" s="1" t="s">
        <v>5999</v>
      </c>
      <c r="E1909" s="1" t="s">
        <v>52</v>
      </c>
      <c r="G1909" s="1">
        <v>1</v>
      </c>
      <c r="H1909" s="7">
        <v>45560</v>
      </c>
      <c r="I1909" s="1" t="s">
        <v>7449</v>
      </c>
      <c r="J1909" s="7">
        <v>45560</v>
      </c>
      <c r="K1909" s="1" t="s">
        <v>7449</v>
      </c>
    </row>
    <row r="1910" spans="1:11" x14ac:dyDescent="0.25">
      <c r="A1910" s="1">
        <v>1909</v>
      </c>
      <c r="B1910" s="1" t="s">
        <v>6000</v>
      </c>
      <c r="C1910" s="1" t="s">
        <v>6001</v>
      </c>
      <c r="D1910" s="1" t="s">
        <v>6002</v>
      </c>
      <c r="F1910" s="1" t="s">
        <v>6003</v>
      </c>
      <c r="G1910" s="1">
        <v>1</v>
      </c>
      <c r="H1910" s="7">
        <v>45560</v>
      </c>
      <c r="I1910" s="1" t="s">
        <v>7449</v>
      </c>
      <c r="J1910" s="7">
        <v>45560</v>
      </c>
      <c r="K1910" s="1" t="s">
        <v>7449</v>
      </c>
    </row>
    <row r="1911" spans="1:11" x14ac:dyDescent="0.25">
      <c r="A1911" s="1">
        <v>1910</v>
      </c>
      <c r="B1911" s="1" t="s">
        <v>6004</v>
      </c>
      <c r="C1911" s="1" t="s">
        <v>6005</v>
      </c>
      <c r="D1911" s="1" t="s">
        <v>6006</v>
      </c>
      <c r="E1911" s="1" t="s">
        <v>73</v>
      </c>
      <c r="F1911" s="1" t="s">
        <v>6007</v>
      </c>
      <c r="G1911" s="1">
        <v>1</v>
      </c>
      <c r="H1911" s="7">
        <v>45560</v>
      </c>
      <c r="I1911" s="1" t="s">
        <v>7449</v>
      </c>
      <c r="J1911" s="7">
        <v>45560</v>
      </c>
      <c r="K1911" s="1" t="s">
        <v>7449</v>
      </c>
    </row>
    <row r="1912" spans="1:11" x14ac:dyDescent="0.25">
      <c r="A1912" s="1">
        <v>1911</v>
      </c>
      <c r="B1912" s="1" t="s">
        <v>6008</v>
      </c>
      <c r="C1912" s="1" t="s">
        <v>6009</v>
      </c>
      <c r="F1912" s="1" t="s">
        <v>6010</v>
      </c>
      <c r="G1912" s="1">
        <v>1</v>
      </c>
      <c r="H1912" s="7">
        <v>45560</v>
      </c>
      <c r="I1912" s="1" t="s">
        <v>7449</v>
      </c>
      <c r="J1912" s="7">
        <v>45560</v>
      </c>
      <c r="K1912" s="1" t="s">
        <v>7449</v>
      </c>
    </row>
    <row r="1913" spans="1:11" x14ac:dyDescent="0.25">
      <c r="A1913" s="1">
        <v>1912</v>
      </c>
      <c r="B1913" s="1" t="s">
        <v>6011</v>
      </c>
      <c r="C1913" s="1" t="s">
        <v>6012</v>
      </c>
      <c r="D1913" s="1" t="s">
        <v>6013</v>
      </c>
      <c r="F1913" s="1" t="s">
        <v>6014</v>
      </c>
      <c r="G1913" s="1">
        <v>1</v>
      </c>
      <c r="H1913" s="7">
        <v>45560</v>
      </c>
      <c r="I1913" s="1" t="s">
        <v>7449</v>
      </c>
      <c r="J1913" s="7">
        <v>45560</v>
      </c>
      <c r="K1913" s="1" t="s">
        <v>7449</v>
      </c>
    </row>
    <row r="1914" spans="1:11" x14ac:dyDescent="0.25">
      <c r="A1914" s="1">
        <v>1913</v>
      </c>
      <c r="B1914" s="1" t="s">
        <v>6015</v>
      </c>
      <c r="C1914" s="1" t="s">
        <v>6016</v>
      </c>
      <c r="F1914" s="1" t="s">
        <v>6017</v>
      </c>
      <c r="G1914" s="1">
        <v>1</v>
      </c>
      <c r="H1914" s="7">
        <v>45560</v>
      </c>
      <c r="I1914" s="1" t="s">
        <v>7449</v>
      </c>
      <c r="J1914" s="7">
        <v>45560</v>
      </c>
      <c r="K1914" s="1" t="s">
        <v>7449</v>
      </c>
    </row>
    <row r="1915" spans="1:11" x14ac:dyDescent="0.25">
      <c r="A1915" s="1">
        <v>1914</v>
      </c>
      <c r="B1915" s="1" t="s">
        <v>6018</v>
      </c>
      <c r="C1915" s="1" t="s">
        <v>6019</v>
      </c>
      <c r="D1915" s="1" t="s">
        <v>6020</v>
      </c>
      <c r="F1915" s="1" t="s">
        <v>6021</v>
      </c>
      <c r="G1915" s="1">
        <v>1</v>
      </c>
      <c r="H1915" s="7">
        <v>45560</v>
      </c>
      <c r="I1915" s="1" t="s">
        <v>7449</v>
      </c>
      <c r="J1915" s="7">
        <v>45560</v>
      </c>
      <c r="K1915" s="1" t="s">
        <v>7449</v>
      </c>
    </row>
    <row r="1916" spans="1:11" x14ac:dyDescent="0.25">
      <c r="A1916" s="1">
        <v>1915</v>
      </c>
      <c r="B1916" s="1" t="s">
        <v>6022</v>
      </c>
      <c r="C1916" s="1" t="s">
        <v>6023</v>
      </c>
      <c r="D1916" s="1" t="s">
        <v>6024</v>
      </c>
      <c r="G1916" s="1">
        <v>1</v>
      </c>
      <c r="H1916" s="7">
        <v>45560</v>
      </c>
      <c r="I1916" s="1" t="s">
        <v>7449</v>
      </c>
      <c r="J1916" s="7">
        <v>45560</v>
      </c>
      <c r="K1916" s="1" t="s">
        <v>7449</v>
      </c>
    </row>
    <row r="1917" spans="1:11" x14ac:dyDescent="0.25">
      <c r="A1917" s="1">
        <v>1916</v>
      </c>
      <c r="B1917" s="1" t="s">
        <v>6025</v>
      </c>
      <c r="C1917" s="1" t="s">
        <v>6026</v>
      </c>
      <c r="D1917" s="1" t="s">
        <v>6027</v>
      </c>
      <c r="G1917" s="1">
        <v>1</v>
      </c>
      <c r="H1917" s="7">
        <v>45560</v>
      </c>
      <c r="I1917" s="1" t="s">
        <v>7449</v>
      </c>
      <c r="J1917" s="7">
        <v>45560</v>
      </c>
      <c r="K1917" s="1" t="s">
        <v>7449</v>
      </c>
    </row>
    <row r="1918" spans="1:11" x14ac:dyDescent="0.25">
      <c r="A1918" s="1">
        <v>1917</v>
      </c>
      <c r="B1918" s="1" t="s">
        <v>6028</v>
      </c>
      <c r="C1918" s="1" t="s">
        <v>6029</v>
      </c>
      <c r="D1918" s="1" t="s">
        <v>6030</v>
      </c>
      <c r="G1918" s="1">
        <v>1</v>
      </c>
      <c r="H1918" s="7">
        <v>45560</v>
      </c>
      <c r="I1918" s="1" t="s">
        <v>7449</v>
      </c>
      <c r="J1918" s="7">
        <v>45560</v>
      </c>
      <c r="K1918" s="1" t="s">
        <v>7449</v>
      </c>
    </row>
    <row r="1919" spans="1:11" x14ac:dyDescent="0.25">
      <c r="A1919" s="1">
        <v>1918</v>
      </c>
      <c r="B1919" s="1" t="s">
        <v>6031</v>
      </c>
      <c r="C1919" s="1" t="s">
        <v>6032</v>
      </c>
      <c r="E1919" s="1" t="s">
        <v>52</v>
      </c>
      <c r="G1919" s="1">
        <v>1</v>
      </c>
      <c r="H1919" s="7">
        <v>45560</v>
      </c>
      <c r="I1919" s="1" t="s">
        <v>7449</v>
      </c>
      <c r="J1919" s="7">
        <v>45560</v>
      </c>
      <c r="K1919" s="1" t="s">
        <v>7449</v>
      </c>
    </row>
    <row r="1920" spans="1:11" x14ac:dyDescent="0.25">
      <c r="A1920" s="1">
        <v>1919</v>
      </c>
      <c r="B1920" s="1" t="s">
        <v>6033</v>
      </c>
      <c r="C1920" s="1" t="s">
        <v>6034</v>
      </c>
      <c r="D1920" s="1" t="s">
        <v>6035</v>
      </c>
      <c r="G1920" s="1">
        <v>1</v>
      </c>
      <c r="H1920" s="7">
        <v>45560</v>
      </c>
      <c r="I1920" s="1" t="s">
        <v>7449</v>
      </c>
      <c r="J1920" s="7">
        <v>45560</v>
      </c>
      <c r="K1920" s="1" t="s">
        <v>7449</v>
      </c>
    </row>
    <row r="1921" spans="1:11" x14ac:dyDescent="0.25">
      <c r="A1921" s="1">
        <v>1920</v>
      </c>
      <c r="B1921" s="1" t="s">
        <v>6036</v>
      </c>
      <c r="C1921" s="1" t="s">
        <v>6037</v>
      </c>
      <c r="E1921" s="1" t="s">
        <v>52</v>
      </c>
      <c r="G1921" s="1">
        <v>1</v>
      </c>
      <c r="H1921" s="7">
        <v>45560</v>
      </c>
      <c r="I1921" s="1" t="s">
        <v>7449</v>
      </c>
      <c r="J1921" s="7">
        <v>45560</v>
      </c>
      <c r="K1921" s="1" t="s">
        <v>7449</v>
      </c>
    </row>
    <row r="1922" spans="1:11" x14ac:dyDescent="0.25">
      <c r="A1922" s="1">
        <v>1921</v>
      </c>
      <c r="B1922" s="1" t="s">
        <v>6038</v>
      </c>
      <c r="C1922" s="1" t="s">
        <v>6039</v>
      </c>
      <c r="D1922" s="1" t="s">
        <v>6040</v>
      </c>
      <c r="G1922" s="1">
        <v>1</v>
      </c>
      <c r="H1922" s="7">
        <v>45560</v>
      </c>
      <c r="I1922" s="1" t="s">
        <v>7449</v>
      </c>
      <c r="J1922" s="7">
        <v>45560</v>
      </c>
      <c r="K1922" s="1" t="s">
        <v>7449</v>
      </c>
    </row>
    <row r="1923" spans="1:11" x14ac:dyDescent="0.25">
      <c r="A1923" s="1">
        <v>1922</v>
      </c>
      <c r="B1923" s="1" t="s">
        <v>6041</v>
      </c>
      <c r="C1923" s="1" t="s">
        <v>6042</v>
      </c>
      <c r="D1923" s="1" t="s">
        <v>6043</v>
      </c>
      <c r="G1923" s="1">
        <v>1</v>
      </c>
      <c r="H1923" s="7">
        <v>45560</v>
      </c>
      <c r="I1923" s="1" t="s">
        <v>7449</v>
      </c>
      <c r="J1923" s="7">
        <v>45560</v>
      </c>
      <c r="K1923" s="1" t="s">
        <v>7449</v>
      </c>
    </row>
    <row r="1924" spans="1:11" x14ac:dyDescent="0.25">
      <c r="A1924" s="1">
        <v>1923</v>
      </c>
      <c r="B1924" s="1" t="s">
        <v>6044</v>
      </c>
      <c r="C1924" s="1" t="s">
        <v>6045</v>
      </c>
      <c r="D1924" s="1" t="s">
        <v>6046</v>
      </c>
      <c r="F1924" s="1" t="s">
        <v>4626</v>
      </c>
      <c r="G1924" s="1">
        <v>1</v>
      </c>
      <c r="H1924" s="7">
        <v>45560</v>
      </c>
      <c r="I1924" s="1" t="s">
        <v>7449</v>
      </c>
      <c r="J1924" s="7">
        <v>45560</v>
      </c>
      <c r="K1924" s="1" t="s">
        <v>7449</v>
      </c>
    </row>
    <row r="1925" spans="1:11" x14ac:dyDescent="0.25">
      <c r="A1925" s="1">
        <v>1924</v>
      </c>
      <c r="B1925" s="1" t="s">
        <v>6047</v>
      </c>
      <c r="C1925" s="1" t="s">
        <v>6048</v>
      </c>
      <c r="D1925" s="1" t="s">
        <v>6046</v>
      </c>
      <c r="F1925" s="1" t="s">
        <v>6049</v>
      </c>
      <c r="G1925" s="1">
        <v>1</v>
      </c>
      <c r="H1925" s="7">
        <v>45560</v>
      </c>
      <c r="I1925" s="1" t="s">
        <v>7449</v>
      </c>
      <c r="J1925" s="7">
        <v>45560</v>
      </c>
      <c r="K1925" s="1" t="s">
        <v>7449</v>
      </c>
    </row>
    <row r="1926" spans="1:11" x14ac:dyDescent="0.25">
      <c r="A1926" s="1">
        <v>1925</v>
      </c>
      <c r="B1926" s="1" t="s">
        <v>6050</v>
      </c>
      <c r="C1926" s="1" t="s">
        <v>6051</v>
      </c>
      <c r="E1926" s="1" t="s">
        <v>52</v>
      </c>
      <c r="G1926" s="1">
        <v>1</v>
      </c>
      <c r="H1926" s="7">
        <v>45560</v>
      </c>
      <c r="I1926" s="1" t="s">
        <v>7449</v>
      </c>
      <c r="J1926" s="7">
        <v>45560</v>
      </c>
      <c r="K1926" s="1" t="s">
        <v>7449</v>
      </c>
    </row>
    <row r="1927" spans="1:11" x14ac:dyDescent="0.25">
      <c r="A1927" s="1">
        <v>1926</v>
      </c>
      <c r="B1927" s="1" t="s">
        <v>4721</v>
      </c>
      <c r="C1927" s="1" t="s">
        <v>6052</v>
      </c>
      <c r="D1927" s="1" t="s">
        <v>6053</v>
      </c>
      <c r="G1927" s="1">
        <v>1</v>
      </c>
      <c r="H1927" s="7">
        <v>45560</v>
      </c>
      <c r="I1927" s="1" t="s">
        <v>7449</v>
      </c>
      <c r="J1927" s="7">
        <v>45560</v>
      </c>
      <c r="K1927" s="1" t="s">
        <v>7449</v>
      </c>
    </row>
    <row r="1928" spans="1:11" x14ac:dyDescent="0.25">
      <c r="A1928" s="1">
        <v>1927</v>
      </c>
      <c r="B1928" s="1" t="s">
        <v>6054</v>
      </c>
      <c r="C1928" s="1" t="s">
        <v>6055</v>
      </c>
      <c r="E1928" s="1" t="s">
        <v>52</v>
      </c>
      <c r="G1928" s="1">
        <v>1</v>
      </c>
      <c r="H1928" s="7">
        <v>45560</v>
      </c>
      <c r="I1928" s="1" t="s">
        <v>7449</v>
      </c>
      <c r="J1928" s="7">
        <v>45560</v>
      </c>
      <c r="K1928" s="1" t="s">
        <v>7449</v>
      </c>
    </row>
    <row r="1929" spans="1:11" x14ac:dyDescent="0.25">
      <c r="A1929" s="1">
        <v>1928</v>
      </c>
      <c r="B1929" s="1" t="s">
        <v>6056</v>
      </c>
      <c r="C1929" s="1" t="s">
        <v>6057</v>
      </c>
      <c r="D1929" s="1" t="s">
        <v>6058</v>
      </c>
      <c r="F1929" s="1" t="s">
        <v>6059</v>
      </c>
      <c r="G1929" s="1">
        <v>1</v>
      </c>
      <c r="H1929" s="7">
        <v>45560</v>
      </c>
      <c r="I1929" s="1" t="s">
        <v>7449</v>
      </c>
      <c r="J1929" s="7">
        <v>45560</v>
      </c>
      <c r="K1929" s="1" t="s">
        <v>7449</v>
      </c>
    </row>
    <row r="1930" spans="1:11" x14ac:dyDescent="0.25">
      <c r="A1930" s="1">
        <v>1929</v>
      </c>
      <c r="B1930" s="1" t="s">
        <v>6060</v>
      </c>
      <c r="C1930" s="1" t="s">
        <v>6061</v>
      </c>
      <c r="D1930" s="1" t="s">
        <v>6062</v>
      </c>
      <c r="F1930" s="1" t="s">
        <v>6063</v>
      </c>
      <c r="G1930" s="1">
        <v>1</v>
      </c>
      <c r="H1930" s="7">
        <v>45560</v>
      </c>
      <c r="I1930" s="1" t="s">
        <v>7449</v>
      </c>
      <c r="J1930" s="7">
        <v>45560</v>
      </c>
      <c r="K1930" s="1" t="s">
        <v>7449</v>
      </c>
    </row>
    <row r="1931" spans="1:11" x14ac:dyDescent="0.25">
      <c r="A1931" s="1">
        <v>1930</v>
      </c>
      <c r="B1931" s="1" t="s">
        <v>6064</v>
      </c>
      <c r="C1931" s="1" t="s">
        <v>6065</v>
      </c>
      <c r="E1931" s="1" t="s">
        <v>52</v>
      </c>
      <c r="G1931" s="1">
        <v>1</v>
      </c>
      <c r="H1931" s="7">
        <v>45560</v>
      </c>
      <c r="I1931" s="1" t="s">
        <v>7449</v>
      </c>
      <c r="J1931" s="7">
        <v>45560</v>
      </c>
      <c r="K1931" s="1" t="s">
        <v>7449</v>
      </c>
    </row>
    <row r="1932" spans="1:11" x14ac:dyDescent="0.25">
      <c r="A1932" s="1">
        <v>1931</v>
      </c>
      <c r="B1932" s="1" t="s">
        <v>6066</v>
      </c>
      <c r="C1932" s="1" t="s">
        <v>6067</v>
      </c>
      <c r="E1932" s="1" t="s">
        <v>52</v>
      </c>
      <c r="G1932" s="1">
        <v>1</v>
      </c>
      <c r="H1932" s="7">
        <v>45560</v>
      </c>
      <c r="I1932" s="1" t="s">
        <v>7449</v>
      </c>
      <c r="J1932" s="7">
        <v>45560</v>
      </c>
      <c r="K1932" s="1" t="s">
        <v>7449</v>
      </c>
    </row>
    <row r="1933" spans="1:11" x14ac:dyDescent="0.25">
      <c r="A1933" s="1">
        <v>1932</v>
      </c>
      <c r="B1933" s="1" t="s">
        <v>6068</v>
      </c>
      <c r="C1933" s="1" t="s">
        <v>6069</v>
      </c>
      <c r="E1933" s="1" t="s">
        <v>52</v>
      </c>
      <c r="G1933" s="1">
        <v>1</v>
      </c>
      <c r="H1933" s="7">
        <v>45560</v>
      </c>
      <c r="I1933" s="1" t="s">
        <v>7449</v>
      </c>
      <c r="J1933" s="7">
        <v>45560</v>
      </c>
      <c r="K1933" s="1" t="s">
        <v>7449</v>
      </c>
    </row>
    <row r="1934" spans="1:11" x14ac:dyDescent="0.25">
      <c r="A1934" s="1">
        <v>1933</v>
      </c>
      <c r="B1934" s="1" t="s">
        <v>6070</v>
      </c>
      <c r="C1934" s="1" t="s">
        <v>6071</v>
      </c>
      <c r="E1934" s="1" t="s">
        <v>52</v>
      </c>
      <c r="G1934" s="1">
        <v>1</v>
      </c>
      <c r="H1934" s="7">
        <v>45560</v>
      </c>
      <c r="I1934" s="1" t="s">
        <v>7449</v>
      </c>
      <c r="J1934" s="7">
        <v>45560</v>
      </c>
      <c r="K1934" s="1" t="s">
        <v>7449</v>
      </c>
    </row>
    <row r="1935" spans="1:11" x14ac:dyDescent="0.25">
      <c r="A1935" s="1">
        <v>1934</v>
      </c>
      <c r="B1935" s="1" t="s">
        <v>6072</v>
      </c>
      <c r="C1935" s="1" t="s">
        <v>6073</v>
      </c>
      <c r="D1935" s="1" t="s">
        <v>6074</v>
      </c>
      <c r="G1935" s="1">
        <v>1</v>
      </c>
      <c r="H1935" s="7">
        <v>45560</v>
      </c>
      <c r="I1935" s="1" t="s">
        <v>7449</v>
      </c>
      <c r="J1935" s="7">
        <v>45560</v>
      </c>
      <c r="K1935" s="1" t="s">
        <v>7449</v>
      </c>
    </row>
    <row r="1936" spans="1:11" x14ac:dyDescent="0.25">
      <c r="A1936" s="1">
        <v>1935</v>
      </c>
      <c r="B1936" s="1" t="s">
        <v>6075</v>
      </c>
      <c r="C1936" s="1" t="s">
        <v>6076</v>
      </c>
      <c r="D1936" s="1" t="s">
        <v>6077</v>
      </c>
      <c r="G1936" s="1">
        <v>1</v>
      </c>
      <c r="H1936" s="7">
        <v>45560</v>
      </c>
      <c r="I1936" s="1" t="s">
        <v>7449</v>
      </c>
      <c r="J1936" s="7">
        <v>45560</v>
      </c>
      <c r="K1936" s="1" t="s">
        <v>7449</v>
      </c>
    </row>
    <row r="1937" spans="1:11" ht="75" x14ac:dyDescent="0.25">
      <c r="A1937" s="1">
        <v>1936</v>
      </c>
      <c r="B1937" s="1" t="s">
        <v>6078</v>
      </c>
      <c r="C1937" s="1" t="s">
        <v>6079</v>
      </c>
      <c r="D1937" s="8" t="s">
        <v>6080</v>
      </c>
      <c r="G1937" s="1">
        <v>1</v>
      </c>
      <c r="H1937" s="7">
        <v>45560</v>
      </c>
      <c r="I1937" s="1" t="s">
        <v>7449</v>
      </c>
      <c r="J1937" s="7">
        <v>45560</v>
      </c>
      <c r="K1937" s="1" t="s">
        <v>7449</v>
      </c>
    </row>
    <row r="1938" spans="1:11" x14ac:dyDescent="0.25">
      <c r="A1938" s="1">
        <v>1937</v>
      </c>
      <c r="B1938" s="1" t="s">
        <v>6081</v>
      </c>
      <c r="C1938" s="1" t="s">
        <v>6082</v>
      </c>
      <c r="E1938" s="1" t="s">
        <v>52</v>
      </c>
      <c r="G1938" s="1">
        <v>1</v>
      </c>
      <c r="H1938" s="7">
        <v>45560</v>
      </c>
      <c r="I1938" s="1" t="s">
        <v>7449</v>
      </c>
      <c r="J1938" s="7">
        <v>45560</v>
      </c>
      <c r="K1938" s="1" t="s">
        <v>7449</v>
      </c>
    </row>
    <row r="1939" spans="1:11" x14ac:dyDescent="0.25">
      <c r="A1939" s="1">
        <v>1938</v>
      </c>
      <c r="B1939" s="1" t="s">
        <v>6083</v>
      </c>
      <c r="C1939" s="1" t="s">
        <v>6084</v>
      </c>
      <c r="E1939" s="1" t="s">
        <v>52</v>
      </c>
      <c r="G1939" s="1">
        <v>1</v>
      </c>
      <c r="H1939" s="7">
        <v>45560</v>
      </c>
      <c r="I1939" s="1" t="s">
        <v>7449</v>
      </c>
      <c r="J1939" s="7">
        <v>45560</v>
      </c>
      <c r="K1939" s="1" t="s">
        <v>7449</v>
      </c>
    </row>
    <row r="1940" spans="1:11" x14ac:dyDescent="0.25">
      <c r="A1940" s="1">
        <v>1939</v>
      </c>
      <c r="B1940" s="1" t="s">
        <v>6085</v>
      </c>
      <c r="C1940" s="1" t="s">
        <v>6086</v>
      </c>
      <c r="D1940" s="1" t="s">
        <v>6087</v>
      </c>
      <c r="F1940" s="1" t="s">
        <v>6088</v>
      </c>
      <c r="G1940" s="1">
        <v>1</v>
      </c>
      <c r="H1940" s="7">
        <v>45560</v>
      </c>
      <c r="I1940" s="1" t="s">
        <v>7449</v>
      </c>
      <c r="J1940" s="7">
        <v>45560</v>
      </c>
      <c r="K1940" s="1" t="s">
        <v>7449</v>
      </c>
    </row>
    <row r="1941" spans="1:11" x14ac:dyDescent="0.25">
      <c r="A1941" s="1">
        <v>1940</v>
      </c>
      <c r="B1941" s="1" t="s">
        <v>6089</v>
      </c>
      <c r="C1941" s="1" t="s">
        <v>6090</v>
      </c>
      <c r="D1941" s="1" t="s">
        <v>6091</v>
      </c>
      <c r="G1941" s="1">
        <v>1</v>
      </c>
      <c r="H1941" s="7">
        <v>45560</v>
      </c>
      <c r="I1941" s="1" t="s">
        <v>7449</v>
      </c>
      <c r="J1941" s="7">
        <v>45560</v>
      </c>
      <c r="K1941" s="1" t="s">
        <v>7449</v>
      </c>
    </row>
    <row r="1942" spans="1:11" x14ac:dyDescent="0.25">
      <c r="A1942" s="1">
        <v>1941</v>
      </c>
      <c r="B1942" s="1" t="s">
        <v>6092</v>
      </c>
      <c r="C1942" s="1" t="s">
        <v>6093</v>
      </c>
      <c r="D1942" s="1" t="s">
        <v>6094</v>
      </c>
      <c r="G1942" s="1">
        <v>1</v>
      </c>
      <c r="H1942" s="7">
        <v>45560</v>
      </c>
      <c r="I1942" s="1" t="s">
        <v>7449</v>
      </c>
      <c r="J1942" s="7">
        <v>45560</v>
      </c>
      <c r="K1942" s="1" t="s">
        <v>7449</v>
      </c>
    </row>
    <row r="1943" spans="1:11" x14ac:dyDescent="0.25">
      <c r="A1943" s="1">
        <v>1942</v>
      </c>
      <c r="B1943" s="1" t="s">
        <v>6095</v>
      </c>
      <c r="C1943" s="1" t="s">
        <v>6096</v>
      </c>
      <c r="D1943" s="1" t="s">
        <v>6097</v>
      </c>
      <c r="E1943" s="1" t="s">
        <v>73</v>
      </c>
      <c r="G1943" s="1">
        <v>1</v>
      </c>
      <c r="H1943" s="7">
        <v>45560</v>
      </c>
      <c r="I1943" s="1" t="s">
        <v>7449</v>
      </c>
      <c r="J1943" s="7">
        <v>45560</v>
      </c>
      <c r="K1943" s="1" t="s">
        <v>7449</v>
      </c>
    </row>
    <row r="1944" spans="1:11" x14ac:dyDescent="0.25">
      <c r="A1944" s="1">
        <v>1943</v>
      </c>
      <c r="B1944" s="1" t="s">
        <v>6098</v>
      </c>
      <c r="C1944" s="1" t="s">
        <v>6099</v>
      </c>
      <c r="D1944" s="1" t="s">
        <v>6100</v>
      </c>
      <c r="F1944" s="1" t="s">
        <v>6101</v>
      </c>
      <c r="G1944" s="1">
        <v>1</v>
      </c>
      <c r="H1944" s="7">
        <v>45560</v>
      </c>
      <c r="I1944" s="1" t="s">
        <v>7449</v>
      </c>
      <c r="J1944" s="7">
        <v>45560</v>
      </c>
      <c r="K1944" s="1" t="s">
        <v>7449</v>
      </c>
    </row>
    <row r="1945" spans="1:11" x14ac:dyDescent="0.25">
      <c r="A1945" s="1">
        <v>1944</v>
      </c>
      <c r="B1945" s="1" t="s">
        <v>6102</v>
      </c>
      <c r="C1945" s="1" t="s">
        <v>6103</v>
      </c>
      <c r="E1945" s="1" t="s">
        <v>52</v>
      </c>
      <c r="G1945" s="1">
        <v>1</v>
      </c>
      <c r="H1945" s="7">
        <v>45560</v>
      </c>
      <c r="I1945" s="1" t="s">
        <v>7449</v>
      </c>
      <c r="J1945" s="7">
        <v>45560</v>
      </c>
      <c r="K1945" s="1" t="s">
        <v>7449</v>
      </c>
    </row>
    <row r="1946" spans="1:11" x14ac:dyDescent="0.25">
      <c r="A1946" s="1">
        <v>1945</v>
      </c>
      <c r="B1946" s="1" t="s">
        <v>6104</v>
      </c>
      <c r="C1946" s="1" t="s">
        <v>6105</v>
      </c>
      <c r="D1946" s="1" t="s">
        <v>6106</v>
      </c>
      <c r="G1946" s="1">
        <v>1</v>
      </c>
      <c r="H1946" s="7">
        <v>45560</v>
      </c>
      <c r="I1946" s="1" t="s">
        <v>7449</v>
      </c>
      <c r="J1946" s="7">
        <v>45560</v>
      </c>
      <c r="K1946" s="1" t="s">
        <v>7449</v>
      </c>
    </row>
    <row r="1947" spans="1:11" x14ac:dyDescent="0.25">
      <c r="A1947" s="1">
        <v>1946</v>
      </c>
      <c r="B1947" s="1" t="s">
        <v>6107</v>
      </c>
      <c r="C1947" s="1" t="s">
        <v>6108</v>
      </c>
      <c r="D1947" s="1" t="s">
        <v>6109</v>
      </c>
      <c r="F1947" s="1" t="s">
        <v>6110</v>
      </c>
      <c r="G1947" s="1">
        <v>1</v>
      </c>
      <c r="H1947" s="7">
        <v>45560</v>
      </c>
      <c r="I1947" s="1" t="s">
        <v>7449</v>
      </c>
      <c r="J1947" s="7">
        <v>45560</v>
      </c>
      <c r="K1947" s="1" t="s">
        <v>7449</v>
      </c>
    </row>
    <row r="1948" spans="1:11" x14ac:dyDescent="0.25">
      <c r="A1948" s="1">
        <v>1947</v>
      </c>
      <c r="B1948" s="1" t="s">
        <v>6111</v>
      </c>
      <c r="C1948" s="1" t="s">
        <v>6112</v>
      </c>
      <c r="E1948" s="1" t="s">
        <v>52</v>
      </c>
      <c r="F1948" s="1" t="s">
        <v>6113</v>
      </c>
      <c r="G1948" s="1">
        <v>1</v>
      </c>
      <c r="H1948" s="7">
        <v>45560</v>
      </c>
      <c r="I1948" s="1" t="s">
        <v>7449</v>
      </c>
      <c r="J1948" s="7">
        <v>45560</v>
      </c>
      <c r="K1948" s="1" t="s">
        <v>7449</v>
      </c>
    </row>
    <row r="1949" spans="1:11" x14ac:dyDescent="0.25">
      <c r="A1949" s="1">
        <v>1948</v>
      </c>
      <c r="B1949" s="1" t="s">
        <v>6114</v>
      </c>
      <c r="C1949" s="1" t="s">
        <v>6115</v>
      </c>
      <c r="D1949" s="1" t="s">
        <v>6116</v>
      </c>
      <c r="G1949" s="1">
        <v>1</v>
      </c>
      <c r="H1949" s="7">
        <v>45560</v>
      </c>
      <c r="I1949" s="1" t="s">
        <v>7449</v>
      </c>
      <c r="J1949" s="7">
        <v>45560</v>
      </c>
      <c r="K1949" s="1" t="s">
        <v>7449</v>
      </c>
    </row>
    <row r="1950" spans="1:11" x14ac:dyDescent="0.25">
      <c r="A1950" s="1">
        <v>1949</v>
      </c>
      <c r="B1950" s="1" t="s">
        <v>6117</v>
      </c>
      <c r="C1950" s="1" t="s">
        <v>6118</v>
      </c>
      <c r="D1950" s="1" t="s">
        <v>6119</v>
      </c>
      <c r="G1950" s="1">
        <v>1</v>
      </c>
      <c r="H1950" s="7">
        <v>45560</v>
      </c>
      <c r="I1950" s="1" t="s">
        <v>7449</v>
      </c>
      <c r="J1950" s="7">
        <v>45560</v>
      </c>
      <c r="K1950" s="1" t="s">
        <v>7449</v>
      </c>
    </row>
    <row r="1951" spans="1:11" x14ac:dyDescent="0.25">
      <c r="A1951" s="1">
        <v>1950</v>
      </c>
      <c r="B1951" s="1" t="s">
        <v>6120</v>
      </c>
      <c r="C1951" s="1" t="s">
        <v>6121</v>
      </c>
      <c r="D1951" s="1" t="s">
        <v>6122</v>
      </c>
      <c r="G1951" s="1">
        <v>1</v>
      </c>
      <c r="H1951" s="7">
        <v>45560</v>
      </c>
      <c r="I1951" s="1" t="s">
        <v>7449</v>
      </c>
      <c r="J1951" s="7">
        <v>45560</v>
      </c>
      <c r="K1951" s="1" t="s">
        <v>7449</v>
      </c>
    </row>
    <row r="1952" spans="1:11" x14ac:dyDescent="0.25">
      <c r="A1952" s="1">
        <v>1951</v>
      </c>
      <c r="B1952" s="1" t="s">
        <v>6123</v>
      </c>
      <c r="C1952" s="1" t="s">
        <v>6124</v>
      </c>
      <c r="E1952" s="1" t="s">
        <v>52</v>
      </c>
      <c r="G1952" s="1">
        <v>1</v>
      </c>
      <c r="H1952" s="7">
        <v>45560</v>
      </c>
      <c r="I1952" s="1" t="s">
        <v>7449</v>
      </c>
      <c r="J1952" s="7">
        <v>45560</v>
      </c>
      <c r="K1952" s="1" t="s">
        <v>7449</v>
      </c>
    </row>
    <row r="1953" spans="1:11" x14ac:dyDescent="0.25">
      <c r="A1953" s="1">
        <v>1952</v>
      </c>
      <c r="B1953" s="1" t="s">
        <v>6125</v>
      </c>
      <c r="C1953" s="1" t="s">
        <v>6126</v>
      </c>
      <c r="E1953" s="1" t="s">
        <v>52</v>
      </c>
      <c r="G1953" s="1">
        <v>1</v>
      </c>
      <c r="H1953" s="7">
        <v>45560</v>
      </c>
      <c r="I1953" s="1" t="s">
        <v>7449</v>
      </c>
      <c r="J1953" s="7">
        <v>45560</v>
      </c>
      <c r="K1953" s="1" t="s">
        <v>7449</v>
      </c>
    </row>
    <row r="1954" spans="1:11" x14ac:dyDescent="0.25">
      <c r="A1954" s="1">
        <v>1953</v>
      </c>
      <c r="B1954" s="1" t="s">
        <v>6127</v>
      </c>
      <c r="C1954" s="1" t="s">
        <v>6128</v>
      </c>
      <c r="D1954" s="1" t="s">
        <v>6129</v>
      </c>
      <c r="G1954" s="1">
        <v>1</v>
      </c>
      <c r="H1954" s="7">
        <v>45560</v>
      </c>
      <c r="I1954" s="1" t="s">
        <v>7449</v>
      </c>
      <c r="J1954" s="7">
        <v>45560</v>
      </c>
      <c r="K1954" s="1" t="s">
        <v>7449</v>
      </c>
    </row>
    <row r="1955" spans="1:11" x14ac:dyDescent="0.25">
      <c r="A1955" s="1">
        <v>1954</v>
      </c>
      <c r="B1955" s="1" t="s">
        <v>6130</v>
      </c>
      <c r="C1955" s="1" t="s">
        <v>6131</v>
      </c>
      <c r="F1955" s="1" t="s">
        <v>2644</v>
      </c>
      <c r="G1955" s="1">
        <v>1</v>
      </c>
      <c r="H1955" s="7">
        <v>45560</v>
      </c>
      <c r="I1955" s="1" t="s">
        <v>7449</v>
      </c>
      <c r="J1955" s="7">
        <v>45560</v>
      </c>
      <c r="K1955" s="1" t="s">
        <v>7449</v>
      </c>
    </row>
    <row r="1956" spans="1:11" x14ac:dyDescent="0.25">
      <c r="A1956" s="1">
        <v>1955</v>
      </c>
      <c r="B1956" s="1" t="s">
        <v>6132</v>
      </c>
      <c r="C1956" s="1" t="s">
        <v>6133</v>
      </c>
      <c r="D1956" s="1" t="s">
        <v>6134</v>
      </c>
      <c r="G1956" s="1">
        <v>1</v>
      </c>
      <c r="H1956" s="7">
        <v>45560</v>
      </c>
      <c r="I1956" s="1" t="s">
        <v>7449</v>
      </c>
      <c r="J1956" s="7">
        <v>45560</v>
      </c>
      <c r="K1956" s="1" t="s">
        <v>7449</v>
      </c>
    </row>
    <row r="1957" spans="1:11" x14ac:dyDescent="0.25">
      <c r="A1957" s="1">
        <v>1956</v>
      </c>
      <c r="B1957" s="1" t="s">
        <v>6135</v>
      </c>
      <c r="C1957" s="1" t="s">
        <v>6136</v>
      </c>
      <c r="D1957" s="1" t="s">
        <v>6137</v>
      </c>
      <c r="G1957" s="1">
        <v>1</v>
      </c>
      <c r="H1957" s="7">
        <v>45560</v>
      </c>
      <c r="I1957" s="1" t="s">
        <v>7449</v>
      </c>
      <c r="J1957" s="7">
        <v>45560</v>
      </c>
      <c r="K1957" s="1" t="s">
        <v>7449</v>
      </c>
    </row>
    <row r="1958" spans="1:11" x14ac:dyDescent="0.25">
      <c r="A1958" s="1">
        <v>1957</v>
      </c>
      <c r="B1958" s="1" t="s">
        <v>6138</v>
      </c>
      <c r="C1958" s="1" t="s">
        <v>6139</v>
      </c>
      <c r="D1958" s="1" t="s">
        <v>6140</v>
      </c>
      <c r="F1958" s="1" t="s">
        <v>6141</v>
      </c>
      <c r="G1958" s="1">
        <v>1</v>
      </c>
      <c r="H1958" s="7">
        <v>45560</v>
      </c>
      <c r="I1958" s="1" t="s">
        <v>7449</v>
      </c>
      <c r="J1958" s="7">
        <v>45560</v>
      </c>
      <c r="K1958" s="1" t="s">
        <v>7449</v>
      </c>
    </row>
    <row r="1959" spans="1:11" x14ac:dyDescent="0.25">
      <c r="A1959" s="1">
        <v>1958</v>
      </c>
      <c r="B1959" s="1" t="s">
        <v>6142</v>
      </c>
      <c r="C1959" s="1" t="s">
        <v>6143</v>
      </c>
      <c r="D1959" s="1" t="s">
        <v>6144</v>
      </c>
      <c r="G1959" s="1">
        <v>1</v>
      </c>
      <c r="H1959" s="7">
        <v>45560</v>
      </c>
      <c r="I1959" s="1" t="s">
        <v>7449</v>
      </c>
      <c r="J1959" s="7">
        <v>45560</v>
      </c>
      <c r="K1959" s="1" t="s">
        <v>7449</v>
      </c>
    </row>
    <row r="1960" spans="1:11" x14ac:dyDescent="0.25">
      <c r="A1960" s="1">
        <v>1959</v>
      </c>
      <c r="B1960" s="1" t="s">
        <v>6145</v>
      </c>
      <c r="C1960" s="1" t="s">
        <v>6146</v>
      </c>
      <c r="D1960" s="1" t="s">
        <v>6147</v>
      </c>
      <c r="G1960" s="1">
        <v>1</v>
      </c>
      <c r="H1960" s="7">
        <v>45560</v>
      </c>
      <c r="I1960" s="1" t="s">
        <v>7449</v>
      </c>
      <c r="J1960" s="7">
        <v>45560</v>
      </c>
      <c r="K1960" s="1" t="s">
        <v>7449</v>
      </c>
    </row>
    <row r="1961" spans="1:11" x14ac:dyDescent="0.25">
      <c r="A1961" s="1">
        <v>1960</v>
      </c>
      <c r="B1961" s="1" t="s">
        <v>6148</v>
      </c>
      <c r="C1961" s="1" t="s">
        <v>6149</v>
      </c>
      <c r="D1961" s="1" t="s">
        <v>6150</v>
      </c>
      <c r="G1961" s="1">
        <v>1</v>
      </c>
      <c r="H1961" s="7">
        <v>45560</v>
      </c>
      <c r="I1961" s="1" t="s">
        <v>7449</v>
      </c>
      <c r="J1961" s="7">
        <v>45560</v>
      </c>
      <c r="K1961" s="1" t="s">
        <v>7449</v>
      </c>
    </row>
    <row r="1962" spans="1:11" x14ac:dyDescent="0.25">
      <c r="A1962" s="1">
        <v>1961</v>
      </c>
      <c r="B1962" s="1" t="s">
        <v>6151</v>
      </c>
      <c r="C1962" s="1" t="s">
        <v>6152</v>
      </c>
      <c r="D1962" s="1" t="s">
        <v>6153</v>
      </c>
      <c r="G1962" s="1">
        <v>1</v>
      </c>
      <c r="H1962" s="7">
        <v>45560</v>
      </c>
      <c r="I1962" s="1" t="s">
        <v>7449</v>
      </c>
      <c r="J1962" s="7">
        <v>45560</v>
      </c>
      <c r="K1962" s="1" t="s">
        <v>7449</v>
      </c>
    </row>
    <row r="1963" spans="1:11" x14ac:dyDescent="0.25">
      <c r="A1963" s="1">
        <v>1962</v>
      </c>
      <c r="B1963" s="1" t="s">
        <v>6154</v>
      </c>
      <c r="C1963" s="1" t="s">
        <v>6155</v>
      </c>
      <c r="D1963" s="1" t="s">
        <v>6156</v>
      </c>
      <c r="G1963" s="1">
        <v>1</v>
      </c>
      <c r="H1963" s="7">
        <v>45560</v>
      </c>
      <c r="I1963" s="1" t="s">
        <v>7449</v>
      </c>
      <c r="J1963" s="7">
        <v>45560</v>
      </c>
      <c r="K1963" s="1" t="s">
        <v>7449</v>
      </c>
    </row>
    <row r="1964" spans="1:11" x14ac:dyDescent="0.25">
      <c r="A1964" s="1">
        <v>1963</v>
      </c>
      <c r="B1964" s="1" t="s">
        <v>6157</v>
      </c>
      <c r="C1964" s="1" t="s">
        <v>6158</v>
      </c>
      <c r="E1964" s="1" t="s">
        <v>52</v>
      </c>
      <c r="G1964" s="1">
        <v>1</v>
      </c>
      <c r="H1964" s="7">
        <v>45560</v>
      </c>
      <c r="I1964" s="1" t="s">
        <v>7449</v>
      </c>
      <c r="J1964" s="7">
        <v>45560</v>
      </c>
      <c r="K1964" s="1" t="s">
        <v>7449</v>
      </c>
    </row>
    <row r="1965" spans="1:11" x14ac:dyDescent="0.25">
      <c r="A1965" s="1">
        <v>1964</v>
      </c>
      <c r="B1965" s="1" t="s">
        <v>6159</v>
      </c>
      <c r="C1965" s="1" t="s">
        <v>6160</v>
      </c>
      <c r="D1965" s="1" t="s">
        <v>6161</v>
      </c>
      <c r="G1965" s="1">
        <v>1</v>
      </c>
      <c r="H1965" s="7">
        <v>45560</v>
      </c>
      <c r="I1965" s="1" t="s">
        <v>7449</v>
      </c>
      <c r="J1965" s="7">
        <v>45560</v>
      </c>
      <c r="K1965" s="1" t="s">
        <v>7449</v>
      </c>
    </row>
    <row r="1966" spans="1:11" x14ac:dyDescent="0.25">
      <c r="A1966" s="1">
        <v>1965</v>
      </c>
      <c r="B1966" s="1" t="s">
        <v>6162</v>
      </c>
      <c r="C1966" s="1" t="s">
        <v>6163</v>
      </c>
      <c r="E1966" s="1" t="s">
        <v>52</v>
      </c>
      <c r="G1966" s="1">
        <v>1</v>
      </c>
      <c r="H1966" s="7">
        <v>45560</v>
      </c>
      <c r="I1966" s="1" t="s">
        <v>7449</v>
      </c>
      <c r="J1966" s="7">
        <v>45560</v>
      </c>
      <c r="K1966" s="1" t="s">
        <v>7449</v>
      </c>
    </row>
    <row r="1967" spans="1:11" x14ac:dyDescent="0.25">
      <c r="A1967" s="1">
        <v>1966</v>
      </c>
      <c r="B1967" s="1" t="s">
        <v>6164</v>
      </c>
      <c r="C1967" s="1" t="s">
        <v>6165</v>
      </c>
      <c r="E1967" s="1" t="s">
        <v>52</v>
      </c>
      <c r="G1967" s="1">
        <v>1</v>
      </c>
      <c r="H1967" s="7">
        <v>45560</v>
      </c>
      <c r="I1967" s="1" t="s">
        <v>7449</v>
      </c>
      <c r="J1967" s="7">
        <v>45560</v>
      </c>
      <c r="K1967" s="1" t="s">
        <v>7449</v>
      </c>
    </row>
    <row r="1968" spans="1:11" x14ac:dyDescent="0.25">
      <c r="A1968" s="1">
        <v>1967</v>
      </c>
      <c r="B1968" s="1" t="s">
        <v>6166</v>
      </c>
      <c r="C1968" s="1" t="s">
        <v>6167</v>
      </c>
      <c r="E1968" s="1" t="s">
        <v>52</v>
      </c>
      <c r="G1968" s="1">
        <v>1</v>
      </c>
      <c r="H1968" s="7">
        <v>45560</v>
      </c>
      <c r="I1968" s="1" t="s">
        <v>7449</v>
      </c>
      <c r="J1968" s="7">
        <v>45560</v>
      </c>
      <c r="K1968" s="1" t="s">
        <v>7449</v>
      </c>
    </row>
    <row r="1969" spans="1:11" x14ac:dyDescent="0.25">
      <c r="A1969" s="1">
        <v>1968</v>
      </c>
      <c r="B1969" s="1" t="s">
        <v>6168</v>
      </c>
      <c r="C1969" s="1" t="s">
        <v>6169</v>
      </c>
      <c r="E1969" s="1" t="s">
        <v>52</v>
      </c>
      <c r="G1969" s="1">
        <v>1</v>
      </c>
      <c r="H1969" s="7">
        <v>45560</v>
      </c>
      <c r="I1969" s="1" t="s">
        <v>7449</v>
      </c>
      <c r="J1969" s="7">
        <v>45560</v>
      </c>
      <c r="K1969" s="1" t="s">
        <v>7449</v>
      </c>
    </row>
    <row r="1970" spans="1:11" x14ac:dyDescent="0.25">
      <c r="A1970" s="1">
        <v>1969</v>
      </c>
      <c r="B1970" s="1" t="s">
        <v>6170</v>
      </c>
      <c r="C1970" s="1" t="s">
        <v>6171</v>
      </c>
      <c r="E1970" s="1" t="s">
        <v>52</v>
      </c>
      <c r="G1970" s="1">
        <v>1</v>
      </c>
      <c r="H1970" s="7">
        <v>45560</v>
      </c>
      <c r="I1970" s="1" t="s">
        <v>7449</v>
      </c>
      <c r="J1970" s="7">
        <v>45560</v>
      </c>
      <c r="K1970" s="1" t="s">
        <v>7449</v>
      </c>
    </row>
    <row r="1971" spans="1:11" x14ac:dyDescent="0.25">
      <c r="A1971" s="1">
        <v>1970</v>
      </c>
      <c r="B1971" s="1" t="s">
        <v>6172</v>
      </c>
      <c r="C1971" s="1" t="s">
        <v>6173</v>
      </c>
      <c r="E1971" s="1" t="s">
        <v>52</v>
      </c>
      <c r="G1971" s="1">
        <v>1</v>
      </c>
      <c r="H1971" s="7">
        <v>45560</v>
      </c>
      <c r="I1971" s="1" t="s">
        <v>7449</v>
      </c>
      <c r="J1971" s="7">
        <v>45560</v>
      </c>
      <c r="K1971" s="1" t="s">
        <v>7449</v>
      </c>
    </row>
    <row r="1972" spans="1:11" x14ac:dyDescent="0.25">
      <c r="A1972" s="1">
        <v>1971</v>
      </c>
      <c r="B1972" s="1" t="s">
        <v>6174</v>
      </c>
      <c r="C1972" s="1" t="s">
        <v>6175</v>
      </c>
      <c r="D1972" s="1" t="s">
        <v>6176</v>
      </c>
      <c r="E1972" s="1" t="s">
        <v>73</v>
      </c>
      <c r="G1972" s="1">
        <v>1</v>
      </c>
      <c r="H1972" s="7">
        <v>45560</v>
      </c>
      <c r="I1972" s="1" t="s">
        <v>7449</v>
      </c>
      <c r="J1972" s="7">
        <v>45560</v>
      </c>
      <c r="K1972" s="1" t="s">
        <v>7449</v>
      </c>
    </row>
    <row r="1973" spans="1:11" x14ac:dyDescent="0.25">
      <c r="A1973" s="1">
        <v>1972</v>
      </c>
      <c r="B1973" s="1" t="s">
        <v>6177</v>
      </c>
      <c r="C1973" s="1" t="s">
        <v>6178</v>
      </c>
      <c r="F1973" s="1" t="s">
        <v>6179</v>
      </c>
      <c r="G1973" s="1">
        <v>1</v>
      </c>
      <c r="H1973" s="7">
        <v>45560</v>
      </c>
      <c r="I1973" s="1" t="s">
        <v>7449</v>
      </c>
      <c r="J1973" s="7">
        <v>45560</v>
      </c>
      <c r="K1973" s="1" t="s">
        <v>7449</v>
      </c>
    </row>
    <row r="1974" spans="1:11" x14ac:dyDescent="0.25">
      <c r="A1974" s="1">
        <v>1973</v>
      </c>
      <c r="B1974" s="1" t="s">
        <v>6180</v>
      </c>
      <c r="C1974" s="1" t="s">
        <v>6181</v>
      </c>
      <c r="D1974" s="1" t="s">
        <v>6182</v>
      </c>
      <c r="F1974" s="1" t="s">
        <v>6180</v>
      </c>
      <c r="G1974" s="1">
        <v>1</v>
      </c>
      <c r="H1974" s="7">
        <v>45560</v>
      </c>
      <c r="I1974" s="1" t="s">
        <v>7449</v>
      </c>
      <c r="J1974" s="7">
        <v>45560</v>
      </c>
      <c r="K1974" s="1" t="s">
        <v>7449</v>
      </c>
    </row>
    <row r="1975" spans="1:11" x14ac:dyDescent="0.25">
      <c r="A1975" s="1">
        <v>1974</v>
      </c>
      <c r="B1975" s="1" t="s">
        <v>6183</v>
      </c>
      <c r="C1975" s="1" t="s">
        <v>6184</v>
      </c>
      <c r="E1975" s="1" t="s">
        <v>52</v>
      </c>
      <c r="G1975" s="1">
        <v>1</v>
      </c>
      <c r="H1975" s="7">
        <v>45560</v>
      </c>
      <c r="I1975" s="1" t="s">
        <v>7449</v>
      </c>
      <c r="J1975" s="7">
        <v>45560</v>
      </c>
      <c r="K1975" s="1" t="s">
        <v>7449</v>
      </c>
    </row>
    <row r="1976" spans="1:11" x14ac:dyDescent="0.25">
      <c r="A1976" s="1">
        <v>1975</v>
      </c>
      <c r="B1976" s="1" t="s">
        <v>6185</v>
      </c>
      <c r="C1976" s="1" t="s">
        <v>6186</v>
      </c>
      <c r="E1976" s="1" t="s">
        <v>52</v>
      </c>
      <c r="G1976" s="1">
        <v>1</v>
      </c>
      <c r="H1976" s="7">
        <v>45560</v>
      </c>
      <c r="I1976" s="1" t="s">
        <v>7449</v>
      </c>
      <c r="J1976" s="7">
        <v>45560</v>
      </c>
      <c r="K1976" s="1" t="s">
        <v>7449</v>
      </c>
    </row>
    <row r="1977" spans="1:11" x14ac:dyDescent="0.25">
      <c r="A1977" s="1">
        <v>1976</v>
      </c>
      <c r="B1977" s="1" t="s">
        <v>6187</v>
      </c>
      <c r="C1977" s="1" t="s">
        <v>6188</v>
      </c>
      <c r="E1977" s="1" t="s">
        <v>52</v>
      </c>
      <c r="G1977" s="1">
        <v>1</v>
      </c>
      <c r="H1977" s="7">
        <v>45560</v>
      </c>
      <c r="I1977" s="1" t="s">
        <v>7449</v>
      </c>
      <c r="J1977" s="7">
        <v>45560</v>
      </c>
      <c r="K1977" s="1" t="s">
        <v>7449</v>
      </c>
    </row>
    <row r="1978" spans="1:11" x14ac:dyDescent="0.25">
      <c r="A1978" s="1">
        <v>1977</v>
      </c>
      <c r="B1978" s="1" t="s">
        <v>6189</v>
      </c>
      <c r="C1978" s="1" t="s">
        <v>6190</v>
      </c>
      <c r="E1978" s="1" t="s">
        <v>52</v>
      </c>
      <c r="G1978" s="1">
        <v>1</v>
      </c>
      <c r="H1978" s="7">
        <v>45560</v>
      </c>
      <c r="I1978" s="1" t="s">
        <v>7449</v>
      </c>
      <c r="J1978" s="7">
        <v>45560</v>
      </c>
      <c r="K1978" s="1" t="s">
        <v>7449</v>
      </c>
    </row>
    <row r="1979" spans="1:11" x14ac:dyDescent="0.25">
      <c r="A1979" s="1">
        <v>1978</v>
      </c>
      <c r="B1979" s="1" t="s">
        <v>6191</v>
      </c>
      <c r="C1979" s="1" t="s">
        <v>6192</v>
      </c>
      <c r="D1979" s="1" t="s">
        <v>6193</v>
      </c>
      <c r="G1979" s="1">
        <v>1</v>
      </c>
      <c r="H1979" s="7">
        <v>45560</v>
      </c>
      <c r="I1979" s="1" t="s">
        <v>7449</v>
      </c>
      <c r="J1979" s="7">
        <v>45560</v>
      </c>
      <c r="K1979" s="1" t="s">
        <v>7449</v>
      </c>
    </row>
    <row r="1980" spans="1:11" x14ac:dyDescent="0.25">
      <c r="A1980" s="1">
        <v>1979</v>
      </c>
      <c r="B1980" s="1" t="s">
        <v>6194</v>
      </c>
      <c r="C1980" s="1" t="s">
        <v>6195</v>
      </c>
      <c r="D1980" s="1" t="s">
        <v>6196</v>
      </c>
      <c r="G1980" s="1">
        <v>1</v>
      </c>
      <c r="H1980" s="7">
        <v>45560</v>
      </c>
      <c r="I1980" s="1" t="s">
        <v>7449</v>
      </c>
      <c r="J1980" s="7">
        <v>45560</v>
      </c>
      <c r="K1980" s="1" t="s">
        <v>7449</v>
      </c>
    </row>
    <row r="1981" spans="1:11" x14ac:dyDescent="0.25">
      <c r="A1981" s="1">
        <v>1980</v>
      </c>
      <c r="B1981" s="1" t="s">
        <v>6197</v>
      </c>
      <c r="C1981" s="1" t="s">
        <v>6198</v>
      </c>
      <c r="D1981" s="1" t="s">
        <v>6199</v>
      </c>
      <c r="G1981" s="1">
        <v>1</v>
      </c>
      <c r="H1981" s="7">
        <v>45560</v>
      </c>
      <c r="I1981" s="1" t="s">
        <v>7449</v>
      </c>
      <c r="J1981" s="7">
        <v>45560</v>
      </c>
      <c r="K1981" s="1" t="s">
        <v>7449</v>
      </c>
    </row>
    <row r="1982" spans="1:11" x14ac:dyDescent="0.25">
      <c r="A1982" s="1">
        <v>1981</v>
      </c>
      <c r="B1982" s="1" t="s">
        <v>1563</v>
      </c>
      <c r="C1982" s="1" t="s">
        <v>6200</v>
      </c>
      <c r="E1982" s="1" t="s">
        <v>52</v>
      </c>
      <c r="G1982" s="1">
        <v>1</v>
      </c>
      <c r="H1982" s="7">
        <v>45560</v>
      </c>
      <c r="I1982" s="1" t="s">
        <v>7449</v>
      </c>
      <c r="J1982" s="7">
        <v>45560</v>
      </c>
      <c r="K1982" s="1" t="s">
        <v>7449</v>
      </c>
    </row>
    <row r="1983" spans="1:11" x14ac:dyDescent="0.25">
      <c r="A1983" s="1">
        <v>1982</v>
      </c>
      <c r="B1983" s="1" t="s">
        <v>6201</v>
      </c>
      <c r="C1983" s="1" t="s">
        <v>6202</v>
      </c>
      <c r="D1983" s="1" t="s">
        <v>6203</v>
      </c>
      <c r="F1983" s="1" t="s">
        <v>6204</v>
      </c>
      <c r="G1983" s="1">
        <v>1</v>
      </c>
      <c r="H1983" s="7">
        <v>45560</v>
      </c>
      <c r="I1983" s="1" t="s">
        <v>7449</v>
      </c>
      <c r="J1983" s="7">
        <v>45560</v>
      </c>
      <c r="K1983" s="1" t="s">
        <v>7449</v>
      </c>
    </row>
    <row r="1984" spans="1:11" x14ac:dyDescent="0.25">
      <c r="A1984" s="1">
        <v>1983</v>
      </c>
      <c r="B1984" s="1" t="s">
        <v>6205</v>
      </c>
      <c r="C1984" s="1" t="s">
        <v>6206</v>
      </c>
      <c r="E1984" s="1" t="s">
        <v>52</v>
      </c>
      <c r="G1984" s="1">
        <v>1</v>
      </c>
      <c r="H1984" s="7">
        <v>45560</v>
      </c>
      <c r="I1984" s="1" t="s">
        <v>7449</v>
      </c>
      <c r="J1984" s="7">
        <v>45560</v>
      </c>
      <c r="K1984" s="1" t="s">
        <v>7449</v>
      </c>
    </row>
    <row r="1985" spans="1:11" x14ac:dyDescent="0.25">
      <c r="A1985" s="1">
        <v>1984</v>
      </c>
      <c r="B1985" s="1" t="s">
        <v>6207</v>
      </c>
      <c r="C1985" s="1" t="s">
        <v>6208</v>
      </c>
      <c r="D1985" s="1" t="s">
        <v>6209</v>
      </c>
      <c r="G1985" s="1">
        <v>1</v>
      </c>
      <c r="H1985" s="7">
        <v>45560</v>
      </c>
      <c r="I1985" s="1" t="s">
        <v>7449</v>
      </c>
      <c r="J1985" s="7">
        <v>45560</v>
      </c>
      <c r="K1985" s="1" t="s">
        <v>7449</v>
      </c>
    </row>
    <row r="1986" spans="1:11" x14ac:dyDescent="0.25">
      <c r="A1986" s="1">
        <v>1985</v>
      </c>
      <c r="B1986" s="1" t="s">
        <v>6210</v>
      </c>
      <c r="C1986" s="1" t="s">
        <v>6211</v>
      </c>
      <c r="D1986" s="1" t="s">
        <v>6212</v>
      </c>
      <c r="F1986" s="1" t="s">
        <v>6213</v>
      </c>
      <c r="G1986" s="1">
        <v>1</v>
      </c>
      <c r="H1986" s="7">
        <v>45560</v>
      </c>
      <c r="I1986" s="1" t="s">
        <v>7449</v>
      </c>
      <c r="J1986" s="7">
        <v>45560</v>
      </c>
      <c r="K1986" s="1" t="s">
        <v>7449</v>
      </c>
    </row>
    <row r="1987" spans="1:11" x14ac:dyDescent="0.25">
      <c r="A1987" s="1">
        <v>1986</v>
      </c>
      <c r="B1987" s="1" t="s">
        <v>6214</v>
      </c>
      <c r="C1987" s="1" t="s">
        <v>6215</v>
      </c>
      <c r="D1987" s="1" t="s">
        <v>6216</v>
      </c>
      <c r="G1987" s="1">
        <v>1</v>
      </c>
      <c r="H1987" s="7">
        <v>45560</v>
      </c>
      <c r="I1987" s="1" t="s">
        <v>7449</v>
      </c>
      <c r="J1987" s="7">
        <v>45560</v>
      </c>
      <c r="K1987" s="1" t="s">
        <v>7449</v>
      </c>
    </row>
    <row r="1988" spans="1:11" x14ac:dyDescent="0.25">
      <c r="A1988" s="1">
        <v>1987</v>
      </c>
      <c r="B1988" s="1" t="s">
        <v>6217</v>
      </c>
      <c r="C1988" s="1" t="s">
        <v>6218</v>
      </c>
      <c r="D1988" s="1" t="s">
        <v>6219</v>
      </c>
      <c r="F1988" s="1" t="s">
        <v>6217</v>
      </c>
      <c r="G1988" s="1">
        <v>1</v>
      </c>
      <c r="H1988" s="7">
        <v>45560</v>
      </c>
      <c r="I1988" s="1" t="s">
        <v>7449</v>
      </c>
      <c r="J1988" s="7">
        <v>45560</v>
      </c>
      <c r="K1988" s="1" t="s">
        <v>7449</v>
      </c>
    </row>
    <row r="1989" spans="1:11" x14ac:dyDescent="0.25">
      <c r="A1989" s="1">
        <v>1988</v>
      </c>
      <c r="B1989" s="1" t="s">
        <v>6220</v>
      </c>
      <c r="C1989" s="1" t="s">
        <v>6221</v>
      </c>
      <c r="D1989" s="1" t="s">
        <v>6222</v>
      </c>
      <c r="G1989" s="1">
        <v>1</v>
      </c>
      <c r="H1989" s="7">
        <v>45560</v>
      </c>
      <c r="I1989" s="1" t="s">
        <v>7449</v>
      </c>
      <c r="J1989" s="7">
        <v>45560</v>
      </c>
      <c r="K1989" s="1" t="s">
        <v>7449</v>
      </c>
    </row>
    <row r="1990" spans="1:11" x14ac:dyDescent="0.25">
      <c r="A1990" s="1">
        <v>1989</v>
      </c>
      <c r="B1990" s="1" t="s">
        <v>6223</v>
      </c>
      <c r="C1990" s="1" t="s">
        <v>6224</v>
      </c>
      <c r="E1990" s="1" t="s">
        <v>52</v>
      </c>
      <c r="G1990" s="1">
        <v>1</v>
      </c>
      <c r="H1990" s="7">
        <v>45560</v>
      </c>
      <c r="I1990" s="1" t="s">
        <v>7449</v>
      </c>
      <c r="J1990" s="7">
        <v>45560</v>
      </c>
      <c r="K1990" s="1" t="s">
        <v>7449</v>
      </c>
    </row>
    <row r="1991" spans="1:11" x14ac:dyDescent="0.25">
      <c r="A1991" s="1">
        <v>1990</v>
      </c>
      <c r="B1991" s="1" t="s">
        <v>6225</v>
      </c>
      <c r="C1991" s="1" t="s">
        <v>6226</v>
      </c>
      <c r="D1991" s="1" t="s">
        <v>6227</v>
      </c>
      <c r="F1991" s="1" t="s">
        <v>6228</v>
      </c>
      <c r="G1991" s="1">
        <v>1</v>
      </c>
      <c r="H1991" s="7">
        <v>45560</v>
      </c>
      <c r="I1991" s="1" t="s">
        <v>7449</v>
      </c>
      <c r="J1991" s="7">
        <v>45560</v>
      </c>
      <c r="K1991" s="1" t="s">
        <v>7449</v>
      </c>
    </row>
    <row r="1992" spans="1:11" x14ac:dyDescent="0.25">
      <c r="A1992" s="1">
        <v>1991</v>
      </c>
      <c r="B1992" s="1" t="s">
        <v>6229</v>
      </c>
      <c r="C1992" s="1" t="s">
        <v>6230</v>
      </c>
      <c r="E1992" s="1" t="s">
        <v>52</v>
      </c>
      <c r="G1992" s="1">
        <v>1</v>
      </c>
      <c r="H1992" s="7">
        <v>45560</v>
      </c>
      <c r="I1992" s="1" t="s">
        <v>7449</v>
      </c>
      <c r="J1992" s="7">
        <v>45560</v>
      </c>
      <c r="K1992" s="1" t="s">
        <v>7449</v>
      </c>
    </row>
    <row r="1993" spans="1:11" x14ac:dyDescent="0.25">
      <c r="A1993" s="1">
        <v>1992</v>
      </c>
      <c r="B1993" s="1" t="s">
        <v>6231</v>
      </c>
      <c r="C1993" s="1" t="s">
        <v>6232</v>
      </c>
      <c r="D1993" s="1" t="s">
        <v>6233</v>
      </c>
      <c r="G1993" s="1">
        <v>1</v>
      </c>
      <c r="H1993" s="7">
        <v>45560</v>
      </c>
      <c r="I1993" s="1" t="s">
        <v>7449</v>
      </c>
      <c r="J1993" s="7">
        <v>45560</v>
      </c>
      <c r="K1993" s="1" t="s">
        <v>7449</v>
      </c>
    </row>
    <row r="1994" spans="1:11" x14ac:dyDescent="0.25">
      <c r="A1994" s="1">
        <v>1993</v>
      </c>
      <c r="B1994" s="1" t="s">
        <v>6234</v>
      </c>
      <c r="C1994" s="1" t="s">
        <v>6235</v>
      </c>
      <c r="E1994" s="1" t="s">
        <v>52</v>
      </c>
      <c r="G1994" s="1">
        <v>1</v>
      </c>
      <c r="H1994" s="7">
        <v>45560</v>
      </c>
      <c r="I1994" s="1" t="s">
        <v>7449</v>
      </c>
      <c r="J1994" s="7">
        <v>45560</v>
      </c>
      <c r="K1994" s="1" t="s">
        <v>7449</v>
      </c>
    </row>
    <row r="1995" spans="1:11" x14ac:dyDescent="0.25">
      <c r="A1995" s="1">
        <v>1994</v>
      </c>
      <c r="B1995" s="1" t="s">
        <v>6236</v>
      </c>
      <c r="C1995" s="1" t="s">
        <v>6237</v>
      </c>
      <c r="E1995" s="1" t="s">
        <v>52</v>
      </c>
      <c r="G1995" s="1">
        <v>1</v>
      </c>
      <c r="H1995" s="7">
        <v>45560</v>
      </c>
      <c r="I1995" s="1" t="s">
        <v>7449</v>
      </c>
      <c r="J1995" s="7">
        <v>45560</v>
      </c>
      <c r="K1995" s="1" t="s">
        <v>7449</v>
      </c>
    </row>
    <row r="1996" spans="1:11" x14ac:dyDescent="0.25">
      <c r="A1996" s="1">
        <v>1995</v>
      </c>
      <c r="B1996" s="1" t="s">
        <v>6238</v>
      </c>
      <c r="C1996" s="1" t="s">
        <v>6239</v>
      </c>
      <c r="E1996" s="1" t="s">
        <v>52</v>
      </c>
      <c r="G1996" s="1">
        <v>1</v>
      </c>
      <c r="H1996" s="7">
        <v>45560</v>
      </c>
      <c r="I1996" s="1" t="s">
        <v>7449</v>
      </c>
      <c r="J1996" s="7">
        <v>45560</v>
      </c>
      <c r="K1996" s="1" t="s">
        <v>7449</v>
      </c>
    </row>
    <row r="1997" spans="1:11" x14ac:dyDescent="0.25">
      <c r="A1997" s="1">
        <v>1996</v>
      </c>
      <c r="B1997" s="1" t="s">
        <v>6240</v>
      </c>
      <c r="C1997" s="1" t="s">
        <v>6241</v>
      </c>
      <c r="D1997" s="1" t="s">
        <v>6242</v>
      </c>
      <c r="G1997" s="1">
        <v>1</v>
      </c>
      <c r="H1997" s="7">
        <v>45560</v>
      </c>
      <c r="I1997" s="1" t="s">
        <v>7449</v>
      </c>
      <c r="J1997" s="7">
        <v>45560</v>
      </c>
      <c r="K1997" s="1" t="s">
        <v>7449</v>
      </c>
    </row>
    <row r="1998" spans="1:11" x14ac:dyDescent="0.25">
      <c r="A1998" s="1">
        <v>1997</v>
      </c>
      <c r="B1998" s="1" t="s">
        <v>6243</v>
      </c>
      <c r="C1998" s="1" t="s">
        <v>6244</v>
      </c>
      <c r="E1998" s="1" t="s">
        <v>52</v>
      </c>
      <c r="G1998" s="1">
        <v>1</v>
      </c>
      <c r="H1998" s="7">
        <v>45560</v>
      </c>
      <c r="I1998" s="1" t="s">
        <v>7449</v>
      </c>
      <c r="J1998" s="7">
        <v>45560</v>
      </c>
      <c r="K1998" s="1" t="s">
        <v>7449</v>
      </c>
    </row>
    <row r="1999" spans="1:11" x14ac:dyDescent="0.25">
      <c r="A1999" s="1">
        <v>1998</v>
      </c>
      <c r="B1999" s="1" t="s">
        <v>6245</v>
      </c>
      <c r="C1999" s="1" t="s">
        <v>6246</v>
      </c>
      <c r="D1999" s="1" t="s">
        <v>6247</v>
      </c>
      <c r="G1999" s="1">
        <v>1</v>
      </c>
      <c r="H1999" s="7">
        <v>45560</v>
      </c>
      <c r="I1999" s="1" t="s">
        <v>7449</v>
      </c>
      <c r="J1999" s="7">
        <v>45560</v>
      </c>
      <c r="K1999" s="1" t="s">
        <v>7449</v>
      </c>
    </row>
    <row r="2000" spans="1:11" x14ac:dyDescent="0.25">
      <c r="A2000" s="1">
        <v>1999</v>
      </c>
      <c r="B2000" s="1" t="s">
        <v>6248</v>
      </c>
      <c r="C2000" s="1" t="s">
        <v>6249</v>
      </c>
      <c r="D2000" s="1" t="s">
        <v>6250</v>
      </c>
      <c r="G2000" s="1">
        <v>1</v>
      </c>
      <c r="H2000" s="7">
        <v>45560</v>
      </c>
      <c r="I2000" s="1" t="s">
        <v>7449</v>
      </c>
      <c r="J2000" s="7">
        <v>45560</v>
      </c>
      <c r="K2000" s="1" t="s">
        <v>7449</v>
      </c>
    </row>
    <row r="2001" spans="1:11" x14ac:dyDescent="0.25">
      <c r="A2001" s="1">
        <v>2000</v>
      </c>
      <c r="B2001" s="1" t="s">
        <v>6251</v>
      </c>
      <c r="C2001" s="1" t="s">
        <v>6252</v>
      </c>
      <c r="E2001" s="1" t="s">
        <v>52</v>
      </c>
      <c r="G2001" s="1">
        <v>1</v>
      </c>
      <c r="H2001" s="7">
        <v>45560</v>
      </c>
      <c r="I2001" s="1" t="s">
        <v>7449</v>
      </c>
      <c r="J2001" s="7">
        <v>45560</v>
      </c>
      <c r="K2001" s="1" t="s">
        <v>7449</v>
      </c>
    </row>
    <row r="2002" spans="1:11" x14ac:dyDescent="0.25">
      <c r="A2002" s="1">
        <v>2001</v>
      </c>
      <c r="B2002" s="1" t="s">
        <v>1566</v>
      </c>
      <c r="C2002" s="1" t="s">
        <v>6253</v>
      </c>
      <c r="E2002" s="1" t="s">
        <v>52</v>
      </c>
      <c r="G2002" s="1">
        <v>1</v>
      </c>
      <c r="H2002" s="7">
        <v>45560</v>
      </c>
      <c r="I2002" s="1" t="s">
        <v>7449</v>
      </c>
      <c r="J2002" s="7">
        <v>45560</v>
      </c>
      <c r="K2002" s="1" t="s">
        <v>7449</v>
      </c>
    </row>
    <row r="2003" spans="1:11" x14ac:dyDescent="0.25">
      <c r="A2003" s="1">
        <v>2002</v>
      </c>
      <c r="B2003" s="1" t="s">
        <v>6254</v>
      </c>
      <c r="C2003" s="1" t="s">
        <v>6255</v>
      </c>
      <c r="D2003" s="1" t="s">
        <v>6256</v>
      </c>
      <c r="G2003" s="1">
        <v>1</v>
      </c>
      <c r="H2003" s="7">
        <v>45560</v>
      </c>
      <c r="I2003" s="1" t="s">
        <v>7449</v>
      </c>
      <c r="J2003" s="7">
        <v>45560</v>
      </c>
      <c r="K2003" s="1" t="s">
        <v>7449</v>
      </c>
    </row>
    <row r="2004" spans="1:11" x14ac:dyDescent="0.25">
      <c r="A2004" s="1">
        <v>2003</v>
      </c>
      <c r="B2004" s="1" t="s">
        <v>6257</v>
      </c>
      <c r="C2004" s="1" t="s">
        <v>6258</v>
      </c>
      <c r="D2004" s="1" t="s">
        <v>6259</v>
      </c>
      <c r="G2004" s="1">
        <v>1</v>
      </c>
      <c r="H2004" s="7">
        <v>45560</v>
      </c>
      <c r="I2004" s="1" t="s">
        <v>7449</v>
      </c>
      <c r="J2004" s="7">
        <v>45560</v>
      </c>
      <c r="K2004" s="1" t="s">
        <v>7449</v>
      </c>
    </row>
    <row r="2005" spans="1:11" x14ac:dyDescent="0.25">
      <c r="A2005" s="1">
        <v>2004</v>
      </c>
      <c r="B2005" s="1" t="s">
        <v>6260</v>
      </c>
      <c r="C2005" s="1" t="s">
        <v>6261</v>
      </c>
      <c r="E2005" s="1" t="s">
        <v>73</v>
      </c>
      <c r="F2005" s="1" t="s">
        <v>6261</v>
      </c>
      <c r="G2005" s="1">
        <v>1</v>
      </c>
      <c r="H2005" s="7">
        <v>45560</v>
      </c>
      <c r="I2005" s="1" t="s">
        <v>7449</v>
      </c>
      <c r="J2005" s="7">
        <v>45560</v>
      </c>
      <c r="K2005" s="1" t="s">
        <v>7449</v>
      </c>
    </row>
    <row r="2006" spans="1:11" x14ac:dyDescent="0.25">
      <c r="A2006" s="1">
        <v>2005</v>
      </c>
      <c r="B2006" s="1" t="s">
        <v>6262</v>
      </c>
      <c r="C2006" s="1" t="s">
        <v>6263</v>
      </c>
      <c r="D2006" s="1" t="s">
        <v>6264</v>
      </c>
      <c r="G2006" s="1">
        <v>1</v>
      </c>
      <c r="H2006" s="7">
        <v>45560</v>
      </c>
      <c r="I2006" s="1" t="s">
        <v>7449</v>
      </c>
      <c r="J2006" s="7">
        <v>45560</v>
      </c>
      <c r="K2006" s="1" t="s">
        <v>7449</v>
      </c>
    </row>
    <row r="2007" spans="1:11" x14ac:dyDescent="0.25">
      <c r="A2007" s="1">
        <v>2006</v>
      </c>
      <c r="B2007" s="1" t="s">
        <v>6265</v>
      </c>
      <c r="C2007" s="1" t="s">
        <v>6266</v>
      </c>
      <c r="D2007" s="1" t="s">
        <v>6267</v>
      </c>
      <c r="G2007" s="1">
        <v>1</v>
      </c>
      <c r="H2007" s="7">
        <v>45560</v>
      </c>
      <c r="I2007" s="1" t="s">
        <v>7449</v>
      </c>
      <c r="J2007" s="7">
        <v>45560</v>
      </c>
      <c r="K2007" s="1" t="s">
        <v>7449</v>
      </c>
    </row>
    <row r="2008" spans="1:11" x14ac:dyDescent="0.25">
      <c r="A2008" s="1">
        <v>2007</v>
      </c>
      <c r="B2008" s="1" t="s">
        <v>6268</v>
      </c>
      <c r="C2008" s="1" t="s">
        <v>6269</v>
      </c>
      <c r="E2008" s="1" t="s">
        <v>52</v>
      </c>
      <c r="G2008" s="1">
        <v>1</v>
      </c>
      <c r="H2008" s="7">
        <v>45560</v>
      </c>
      <c r="I2008" s="1" t="s">
        <v>7449</v>
      </c>
      <c r="J2008" s="7">
        <v>45560</v>
      </c>
      <c r="K2008" s="1" t="s">
        <v>7449</v>
      </c>
    </row>
    <row r="2009" spans="1:11" x14ac:dyDescent="0.25">
      <c r="A2009" s="1">
        <v>2008</v>
      </c>
      <c r="B2009" s="1" t="s">
        <v>6270</v>
      </c>
      <c r="C2009" s="1" t="s">
        <v>6271</v>
      </c>
      <c r="E2009" s="1" t="s">
        <v>52</v>
      </c>
      <c r="G2009" s="1">
        <v>1</v>
      </c>
      <c r="H2009" s="7">
        <v>45560</v>
      </c>
      <c r="I2009" s="1" t="s">
        <v>7449</v>
      </c>
      <c r="J2009" s="7">
        <v>45560</v>
      </c>
      <c r="K2009" s="1" t="s">
        <v>7449</v>
      </c>
    </row>
    <row r="2010" spans="1:11" x14ac:dyDescent="0.25">
      <c r="A2010" s="1">
        <v>2009</v>
      </c>
      <c r="B2010" s="1" t="s">
        <v>6272</v>
      </c>
      <c r="C2010" s="1" t="s">
        <v>6273</v>
      </c>
      <c r="E2010" s="1" t="s">
        <v>52</v>
      </c>
      <c r="G2010" s="1">
        <v>1</v>
      </c>
      <c r="H2010" s="7">
        <v>45560</v>
      </c>
      <c r="I2010" s="1" t="s">
        <v>7449</v>
      </c>
      <c r="J2010" s="7">
        <v>45560</v>
      </c>
      <c r="K2010" s="1" t="s">
        <v>7449</v>
      </c>
    </row>
    <row r="2011" spans="1:11" x14ac:dyDescent="0.25">
      <c r="A2011" s="1">
        <v>2010</v>
      </c>
      <c r="B2011" s="1" t="s">
        <v>6274</v>
      </c>
      <c r="C2011" s="1" t="s">
        <v>6275</v>
      </c>
      <c r="E2011" s="1" t="s">
        <v>52</v>
      </c>
      <c r="G2011" s="1">
        <v>1</v>
      </c>
      <c r="H2011" s="7">
        <v>45560</v>
      </c>
      <c r="I2011" s="1" t="s">
        <v>7449</v>
      </c>
      <c r="J2011" s="7">
        <v>45560</v>
      </c>
      <c r="K2011" s="1" t="s">
        <v>7449</v>
      </c>
    </row>
    <row r="2012" spans="1:11" x14ac:dyDescent="0.25">
      <c r="A2012" s="1">
        <v>2011</v>
      </c>
      <c r="B2012" s="1" t="s">
        <v>6276</v>
      </c>
      <c r="C2012" s="1" t="s">
        <v>6277</v>
      </c>
      <c r="E2012" s="1" t="s">
        <v>52</v>
      </c>
      <c r="G2012" s="1">
        <v>1</v>
      </c>
      <c r="H2012" s="7">
        <v>45560</v>
      </c>
      <c r="I2012" s="1" t="s">
        <v>7449</v>
      </c>
      <c r="J2012" s="7">
        <v>45560</v>
      </c>
      <c r="K2012" s="1" t="s">
        <v>7449</v>
      </c>
    </row>
    <row r="2013" spans="1:11" x14ac:dyDescent="0.25">
      <c r="A2013" s="1">
        <v>2012</v>
      </c>
      <c r="B2013" s="1" t="s">
        <v>6278</v>
      </c>
      <c r="C2013" s="1" t="s">
        <v>6279</v>
      </c>
      <c r="F2013" s="1" t="s">
        <v>6280</v>
      </c>
      <c r="G2013" s="1">
        <v>1</v>
      </c>
      <c r="H2013" s="7">
        <v>45560</v>
      </c>
      <c r="I2013" s="1" t="s">
        <v>7449</v>
      </c>
      <c r="J2013" s="7">
        <v>45560</v>
      </c>
      <c r="K2013" s="1" t="s">
        <v>7449</v>
      </c>
    </row>
    <row r="2014" spans="1:11" x14ac:dyDescent="0.25">
      <c r="A2014" s="1">
        <v>2013</v>
      </c>
      <c r="B2014" s="1" t="s">
        <v>6281</v>
      </c>
      <c r="C2014" s="1" t="s">
        <v>6282</v>
      </c>
      <c r="F2014" s="1" t="s">
        <v>6283</v>
      </c>
      <c r="G2014" s="1">
        <v>1</v>
      </c>
      <c r="H2014" s="7">
        <v>45560</v>
      </c>
      <c r="I2014" s="1" t="s">
        <v>7449</v>
      </c>
      <c r="J2014" s="7">
        <v>45560</v>
      </c>
      <c r="K2014" s="1" t="s">
        <v>7449</v>
      </c>
    </row>
    <row r="2015" spans="1:11" x14ac:dyDescent="0.25">
      <c r="A2015" s="1">
        <v>2014</v>
      </c>
      <c r="B2015" s="1" t="s">
        <v>6284</v>
      </c>
      <c r="C2015" s="1" t="s">
        <v>6285</v>
      </c>
      <c r="D2015" s="1" t="s">
        <v>6286</v>
      </c>
      <c r="F2015" s="1" t="s">
        <v>171</v>
      </c>
      <c r="G2015" s="1">
        <v>1</v>
      </c>
      <c r="H2015" s="7">
        <v>45560</v>
      </c>
      <c r="I2015" s="1" t="s">
        <v>7449</v>
      </c>
      <c r="J2015" s="7">
        <v>45560</v>
      </c>
      <c r="K2015" s="1" t="s">
        <v>7449</v>
      </c>
    </row>
    <row r="2016" spans="1:11" x14ac:dyDescent="0.25">
      <c r="A2016" s="1">
        <v>2015</v>
      </c>
      <c r="B2016" s="1" t="s">
        <v>6287</v>
      </c>
      <c r="C2016" s="1" t="s">
        <v>6288</v>
      </c>
      <c r="D2016" s="1" t="s">
        <v>6289</v>
      </c>
      <c r="G2016" s="1">
        <v>1</v>
      </c>
      <c r="H2016" s="7">
        <v>45560</v>
      </c>
      <c r="I2016" s="1" t="s">
        <v>7449</v>
      </c>
      <c r="J2016" s="7">
        <v>45560</v>
      </c>
      <c r="K2016" s="1" t="s">
        <v>7449</v>
      </c>
    </row>
    <row r="2017" spans="1:11" x14ac:dyDescent="0.25">
      <c r="A2017" s="1">
        <v>2016</v>
      </c>
      <c r="B2017" s="1" t="s">
        <v>6290</v>
      </c>
      <c r="C2017" s="1" t="s">
        <v>6291</v>
      </c>
      <c r="E2017" s="1" t="s">
        <v>52</v>
      </c>
      <c r="G2017" s="1">
        <v>1</v>
      </c>
      <c r="H2017" s="7">
        <v>45560</v>
      </c>
      <c r="I2017" s="1" t="s">
        <v>7449</v>
      </c>
      <c r="J2017" s="7">
        <v>45560</v>
      </c>
      <c r="K2017" s="1" t="s">
        <v>7449</v>
      </c>
    </row>
    <row r="2018" spans="1:11" x14ac:dyDescent="0.25">
      <c r="A2018" s="1">
        <v>2017</v>
      </c>
      <c r="B2018" s="1" t="s">
        <v>6292</v>
      </c>
      <c r="C2018" s="1" t="s">
        <v>6293</v>
      </c>
      <c r="D2018" s="1" t="s">
        <v>6294</v>
      </c>
      <c r="G2018" s="1">
        <v>1</v>
      </c>
      <c r="H2018" s="7">
        <v>45560</v>
      </c>
      <c r="I2018" s="1" t="s">
        <v>7449</v>
      </c>
      <c r="J2018" s="7">
        <v>45560</v>
      </c>
      <c r="K2018" s="1" t="s">
        <v>7449</v>
      </c>
    </row>
    <row r="2019" spans="1:11" x14ac:dyDescent="0.25">
      <c r="A2019" s="1">
        <v>2018</v>
      </c>
      <c r="B2019" s="1" t="s">
        <v>6295</v>
      </c>
      <c r="C2019" s="1" t="s">
        <v>6296</v>
      </c>
      <c r="E2019" s="1" t="s">
        <v>52</v>
      </c>
      <c r="G2019" s="1">
        <v>1</v>
      </c>
      <c r="H2019" s="7">
        <v>45560</v>
      </c>
      <c r="I2019" s="1" t="s">
        <v>7449</v>
      </c>
      <c r="J2019" s="7">
        <v>45560</v>
      </c>
      <c r="K2019" s="1" t="s">
        <v>7449</v>
      </c>
    </row>
    <row r="2020" spans="1:11" x14ac:dyDescent="0.25">
      <c r="A2020" s="1">
        <v>2019</v>
      </c>
      <c r="B2020" s="1" t="s">
        <v>6297</v>
      </c>
      <c r="C2020" s="1" t="s">
        <v>6298</v>
      </c>
      <c r="D2020" s="1" t="s">
        <v>6299</v>
      </c>
      <c r="F2020" s="1" t="s">
        <v>6300</v>
      </c>
      <c r="G2020" s="1">
        <v>1</v>
      </c>
      <c r="H2020" s="7">
        <v>45560</v>
      </c>
      <c r="I2020" s="1" t="s">
        <v>7449</v>
      </c>
      <c r="J2020" s="7">
        <v>45560</v>
      </c>
      <c r="K2020" s="1" t="s">
        <v>7449</v>
      </c>
    </row>
    <row r="2021" spans="1:11" x14ac:dyDescent="0.25">
      <c r="A2021" s="1">
        <v>2020</v>
      </c>
      <c r="B2021" s="1" t="s">
        <v>6301</v>
      </c>
      <c r="C2021" s="1" t="s">
        <v>6302</v>
      </c>
      <c r="D2021" s="1" t="s">
        <v>6303</v>
      </c>
      <c r="G2021" s="1">
        <v>1</v>
      </c>
      <c r="H2021" s="7">
        <v>45560</v>
      </c>
      <c r="I2021" s="1" t="s">
        <v>7449</v>
      </c>
      <c r="J2021" s="7">
        <v>45560</v>
      </c>
      <c r="K2021" s="1" t="s">
        <v>7449</v>
      </c>
    </row>
    <row r="2022" spans="1:11" x14ac:dyDescent="0.25">
      <c r="A2022" s="1">
        <v>2021</v>
      </c>
      <c r="B2022" s="1" t="s">
        <v>6304</v>
      </c>
      <c r="C2022" s="1" t="s">
        <v>6305</v>
      </c>
      <c r="D2022" s="1" t="s">
        <v>6306</v>
      </c>
      <c r="G2022" s="1">
        <v>1</v>
      </c>
      <c r="H2022" s="7">
        <v>45560</v>
      </c>
      <c r="I2022" s="1" t="s">
        <v>7449</v>
      </c>
      <c r="J2022" s="7">
        <v>45560</v>
      </c>
      <c r="K2022" s="1" t="s">
        <v>7449</v>
      </c>
    </row>
    <row r="2023" spans="1:11" x14ac:dyDescent="0.25">
      <c r="A2023" s="1">
        <v>2022</v>
      </c>
      <c r="B2023" s="1" t="s">
        <v>6307</v>
      </c>
      <c r="C2023" s="1" t="s">
        <v>6308</v>
      </c>
      <c r="D2023" s="1" t="s">
        <v>6309</v>
      </c>
      <c r="G2023" s="1">
        <v>1</v>
      </c>
      <c r="H2023" s="7">
        <v>45560</v>
      </c>
      <c r="I2023" s="1" t="s">
        <v>7449</v>
      </c>
      <c r="J2023" s="7">
        <v>45560</v>
      </c>
      <c r="K2023" s="1" t="s">
        <v>7449</v>
      </c>
    </row>
    <row r="2024" spans="1:11" x14ac:dyDescent="0.25">
      <c r="A2024" s="1">
        <v>2023</v>
      </c>
      <c r="B2024" s="1" t="s">
        <v>6310</v>
      </c>
      <c r="C2024" s="1" t="s">
        <v>6311</v>
      </c>
      <c r="D2024" s="1" t="s">
        <v>6312</v>
      </c>
      <c r="F2024" s="1" t="s">
        <v>6313</v>
      </c>
      <c r="G2024" s="1">
        <v>1</v>
      </c>
      <c r="H2024" s="7">
        <v>45560</v>
      </c>
      <c r="I2024" s="1" t="s">
        <v>7449</v>
      </c>
      <c r="J2024" s="7">
        <v>45560</v>
      </c>
      <c r="K2024" s="1" t="s">
        <v>7449</v>
      </c>
    </row>
    <row r="2025" spans="1:11" x14ac:dyDescent="0.25">
      <c r="A2025" s="1">
        <v>2024</v>
      </c>
      <c r="B2025" s="1" t="s">
        <v>6314</v>
      </c>
      <c r="C2025" s="1" t="s">
        <v>6315</v>
      </c>
      <c r="D2025" s="1" t="s">
        <v>6316</v>
      </c>
      <c r="F2025" s="1" t="s">
        <v>6317</v>
      </c>
      <c r="G2025" s="1">
        <v>1</v>
      </c>
      <c r="H2025" s="7">
        <v>45560</v>
      </c>
      <c r="I2025" s="1" t="s">
        <v>7449</v>
      </c>
      <c r="J2025" s="7">
        <v>45560</v>
      </c>
      <c r="K2025" s="1" t="s">
        <v>7449</v>
      </c>
    </row>
    <row r="2026" spans="1:11" x14ac:dyDescent="0.25">
      <c r="A2026" s="1">
        <v>2025</v>
      </c>
      <c r="B2026" s="1" t="s">
        <v>6318</v>
      </c>
      <c r="C2026" s="1" t="s">
        <v>6319</v>
      </c>
      <c r="D2026" s="1" t="s">
        <v>6320</v>
      </c>
      <c r="G2026" s="1">
        <v>1</v>
      </c>
      <c r="H2026" s="7">
        <v>45560</v>
      </c>
      <c r="I2026" s="1" t="s">
        <v>7449</v>
      </c>
      <c r="J2026" s="7">
        <v>45560</v>
      </c>
      <c r="K2026" s="1" t="s">
        <v>7449</v>
      </c>
    </row>
    <row r="2027" spans="1:11" x14ac:dyDescent="0.25">
      <c r="A2027" s="1">
        <v>2026</v>
      </c>
      <c r="B2027" s="1" t="s">
        <v>6321</v>
      </c>
      <c r="C2027" s="1" t="s">
        <v>6322</v>
      </c>
      <c r="E2027" s="1" t="s">
        <v>52</v>
      </c>
      <c r="G2027" s="1">
        <v>1</v>
      </c>
      <c r="H2027" s="7">
        <v>45560</v>
      </c>
      <c r="I2027" s="1" t="s">
        <v>7449</v>
      </c>
      <c r="J2027" s="7">
        <v>45560</v>
      </c>
      <c r="K2027" s="1" t="s">
        <v>7449</v>
      </c>
    </row>
    <row r="2028" spans="1:11" x14ac:dyDescent="0.25">
      <c r="A2028" s="1">
        <v>2027</v>
      </c>
      <c r="B2028" s="1" t="s">
        <v>6323</v>
      </c>
      <c r="C2028" s="1" t="s">
        <v>6324</v>
      </c>
      <c r="F2028" s="1" t="s">
        <v>6325</v>
      </c>
      <c r="G2028" s="1">
        <v>1</v>
      </c>
      <c r="H2028" s="7">
        <v>45560</v>
      </c>
      <c r="I2028" s="1" t="s">
        <v>7449</v>
      </c>
      <c r="J2028" s="7">
        <v>45560</v>
      </c>
      <c r="K2028" s="1" t="s">
        <v>7449</v>
      </c>
    </row>
    <row r="2029" spans="1:11" x14ac:dyDescent="0.25">
      <c r="A2029" s="1">
        <v>2028</v>
      </c>
      <c r="B2029" s="1" t="s">
        <v>6326</v>
      </c>
      <c r="C2029" s="1" t="s">
        <v>6327</v>
      </c>
      <c r="E2029" s="1" t="s">
        <v>52</v>
      </c>
      <c r="G2029" s="1">
        <v>1</v>
      </c>
      <c r="H2029" s="7">
        <v>45560</v>
      </c>
      <c r="I2029" s="1" t="s">
        <v>7449</v>
      </c>
      <c r="J2029" s="7">
        <v>45560</v>
      </c>
      <c r="K2029" s="1" t="s">
        <v>7449</v>
      </c>
    </row>
    <row r="2030" spans="1:11" x14ac:dyDescent="0.25">
      <c r="A2030" s="1">
        <v>2029</v>
      </c>
      <c r="B2030" s="1" t="s">
        <v>6328</v>
      </c>
      <c r="C2030" s="1" t="s">
        <v>6329</v>
      </c>
      <c r="D2030" s="1" t="s">
        <v>6330</v>
      </c>
      <c r="G2030" s="1">
        <v>1</v>
      </c>
      <c r="H2030" s="7">
        <v>45560</v>
      </c>
      <c r="I2030" s="1" t="s">
        <v>7449</v>
      </c>
      <c r="J2030" s="7">
        <v>45560</v>
      </c>
      <c r="K2030" s="1" t="s">
        <v>7449</v>
      </c>
    </row>
    <row r="2031" spans="1:11" x14ac:dyDescent="0.25">
      <c r="A2031" s="1">
        <v>2030</v>
      </c>
      <c r="B2031" s="1" t="s">
        <v>6331</v>
      </c>
      <c r="C2031" s="1" t="s">
        <v>6332</v>
      </c>
      <c r="E2031" s="1" t="s">
        <v>52</v>
      </c>
      <c r="G2031" s="1">
        <v>1</v>
      </c>
      <c r="H2031" s="7">
        <v>45560</v>
      </c>
      <c r="I2031" s="1" t="s">
        <v>7449</v>
      </c>
      <c r="J2031" s="7">
        <v>45560</v>
      </c>
      <c r="K2031" s="1" t="s">
        <v>7449</v>
      </c>
    </row>
    <row r="2032" spans="1:11" x14ac:dyDescent="0.25">
      <c r="A2032" s="1">
        <v>2031</v>
      </c>
      <c r="B2032" s="1" t="s">
        <v>6333</v>
      </c>
      <c r="C2032" s="1" t="s">
        <v>6334</v>
      </c>
      <c r="D2032" s="1" t="s">
        <v>6335</v>
      </c>
      <c r="F2032" s="1" t="s">
        <v>6336</v>
      </c>
      <c r="G2032" s="1">
        <v>1</v>
      </c>
      <c r="H2032" s="7">
        <v>45560</v>
      </c>
      <c r="I2032" s="1" t="s">
        <v>7449</v>
      </c>
      <c r="J2032" s="7">
        <v>45560</v>
      </c>
      <c r="K2032" s="1" t="s">
        <v>7449</v>
      </c>
    </row>
    <row r="2033" spans="1:11" x14ac:dyDescent="0.25">
      <c r="A2033" s="1">
        <v>2032</v>
      </c>
      <c r="B2033" s="1" t="s">
        <v>6337</v>
      </c>
      <c r="C2033" s="1" t="s">
        <v>6338</v>
      </c>
      <c r="D2033" s="1" t="s">
        <v>6339</v>
      </c>
      <c r="F2033" s="1" t="s">
        <v>6340</v>
      </c>
      <c r="G2033" s="1">
        <v>1</v>
      </c>
      <c r="H2033" s="7">
        <v>45560</v>
      </c>
      <c r="I2033" s="1" t="s">
        <v>7449</v>
      </c>
      <c r="J2033" s="7">
        <v>45560</v>
      </c>
      <c r="K2033" s="1" t="s">
        <v>7449</v>
      </c>
    </row>
    <row r="2034" spans="1:11" x14ac:dyDescent="0.25">
      <c r="A2034" s="1">
        <v>2033</v>
      </c>
      <c r="B2034" s="1" t="s">
        <v>6341</v>
      </c>
      <c r="C2034" s="1" t="s">
        <v>6342</v>
      </c>
      <c r="D2034" s="1" t="s">
        <v>6343</v>
      </c>
      <c r="E2034" s="1" t="s">
        <v>73</v>
      </c>
      <c r="G2034" s="1">
        <v>1</v>
      </c>
      <c r="H2034" s="7">
        <v>45560</v>
      </c>
      <c r="I2034" s="1" t="s">
        <v>7449</v>
      </c>
      <c r="J2034" s="7">
        <v>45560</v>
      </c>
      <c r="K2034" s="1" t="s">
        <v>7449</v>
      </c>
    </row>
    <row r="2035" spans="1:11" x14ac:dyDescent="0.25">
      <c r="A2035" s="1">
        <v>2034</v>
      </c>
      <c r="B2035" s="1" t="s">
        <v>6344</v>
      </c>
      <c r="C2035" s="1" t="s">
        <v>6345</v>
      </c>
      <c r="D2035" s="1" t="s">
        <v>6346</v>
      </c>
      <c r="F2035" s="1" t="s">
        <v>6347</v>
      </c>
      <c r="G2035" s="1">
        <v>1</v>
      </c>
      <c r="H2035" s="7">
        <v>45560</v>
      </c>
      <c r="I2035" s="1" t="s">
        <v>7449</v>
      </c>
      <c r="J2035" s="7">
        <v>45560</v>
      </c>
      <c r="K2035" s="1" t="s">
        <v>7449</v>
      </c>
    </row>
    <row r="2036" spans="1:11" x14ac:dyDescent="0.25">
      <c r="A2036" s="1">
        <v>2035</v>
      </c>
      <c r="B2036" s="1" t="s">
        <v>6348</v>
      </c>
      <c r="C2036" s="1" t="s">
        <v>6349</v>
      </c>
      <c r="G2036" s="1">
        <v>1</v>
      </c>
      <c r="H2036" s="7">
        <v>45560</v>
      </c>
      <c r="I2036" s="1" t="s">
        <v>7449</v>
      </c>
      <c r="J2036" s="7">
        <v>45560</v>
      </c>
      <c r="K2036" s="1" t="s">
        <v>7449</v>
      </c>
    </row>
    <row r="2037" spans="1:11" x14ac:dyDescent="0.25">
      <c r="A2037" s="1">
        <v>2036</v>
      </c>
      <c r="B2037" s="1" t="s">
        <v>6350</v>
      </c>
      <c r="C2037" s="1" t="s">
        <v>6351</v>
      </c>
      <c r="G2037" s="1">
        <v>1</v>
      </c>
      <c r="H2037" s="7">
        <v>45560</v>
      </c>
      <c r="I2037" s="1" t="s">
        <v>7449</v>
      </c>
      <c r="J2037" s="7">
        <v>45560</v>
      </c>
      <c r="K2037" s="1" t="s">
        <v>7449</v>
      </c>
    </row>
    <row r="2038" spans="1:11" x14ac:dyDescent="0.25">
      <c r="A2038" s="1">
        <v>2037</v>
      </c>
      <c r="B2038" s="1" t="s">
        <v>6352</v>
      </c>
      <c r="C2038" s="1" t="s">
        <v>6353</v>
      </c>
      <c r="G2038" s="1">
        <v>1</v>
      </c>
      <c r="H2038" s="7">
        <v>45560</v>
      </c>
      <c r="I2038" s="1" t="s">
        <v>7449</v>
      </c>
      <c r="J2038" s="7">
        <v>45560</v>
      </c>
      <c r="K2038" s="1" t="s">
        <v>7449</v>
      </c>
    </row>
    <row r="2039" spans="1:11" x14ac:dyDescent="0.25">
      <c r="A2039" s="1">
        <v>2038</v>
      </c>
      <c r="B2039" s="1" t="s">
        <v>6354</v>
      </c>
      <c r="C2039" s="1" t="s">
        <v>6355</v>
      </c>
      <c r="D2039" s="1" t="s">
        <v>6356</v>
      </c>
      <c r="G2039" s="1">
        <v>1</v>
      </c>
      <c r="H2039" s="7">
        <v>45560</v>
      </c>
      <c r="I2039" s="1" t="s">
        <v>7449</v>
      </c>
      <c r="J2039" s="7">
        <v>45560</v>
      </c>
      <c r="K2039" s="1" t="s">
        <v>7449</v>
      </c>
    </row>
    <row r="2040" spans="1:11" x14ac:dyDescent="0.25">
      <c r="A2040" s="1">
        <v>2039</v>
      </c>
      <c r="B2040" s="1" t="s">
        <v>6357</v>
      </c>
      <c r="C2040" s="1" t="s">
        <v>6358</v>
      </c>
      <c r="G2040" s="1">
        <v>1</v>
      </c>
      <c r="H2040" s="7">
        <v>45560</v>
      </c>
      <c r="I2040" s="1" t="s">
        <v>7449</v>
      </c>
      <c r="J2040" s="7">
        <v>45560</v>
      </c>
      <c r="K2040" s="1" t="s">
        <v>7449</v>
      </c>
    </row>
    <row r="2041" spans="1:11" x14ac:dyDescent="0.25">
      <c r="A2041" s="1">
        <v>2040</v>
      </c>
      <c r="B2041" s="1" t="s">
        <v>6359</v>
      </c>
      <c r="C2041" s="1" t="s">
        <v>6360</v>
      </c>
      <c r="G2041" s="1">
        <v>1</v>
      </c>
      <c r="H2041" s="7">
        <v>45560</v>
      </c>
      <c r="I2041" s="1" t="s">
        <v>7449</v>
      </c>
      <c r="J2041" s="7">
        <v>45560</v>
      </c>
      <c r="K2041" s="1" t="s">
        <v>7449</v>
      </c>
    </row>
    <row r="2042" spans="1:11" x14ac:dyDescent="0.25">
      <c r="A2042" s="1">
        <v>2041</v>
      </c>
      <c r="B2042" s="1" t="s">
        <v>6361</v>
      </c>
      <c r="C2042" s="1" t="s">
        <v>6362</v>
      </c>
      <c r="G2042" s="1">
        <v>1</v>
      </c>
      <c r="H2042" s="7">
        <v>45560</v>
      </c>
      <c r="I2042" s="1" t="s">
        <v>7449</v>
      </c>
      <c r="J2042" s="7">
        <v>45560</v>
      </c>
      <c r="K2042" s="1" t="s">
        <v>7449</v>
      </c>
    </row>
    <row r="2043" spans="1:11" x14ac:dyDescent="0.25">
      <c r="A2043" s="1">
        <v>2042</v>
      </c>
      <c r="B2043" s="1" t="s">
        <v>6363</v>
      </c>
      <c r="C2043" s="1" t="s">
        <v>6364</v>
      </c>
      <c r="G2043" s="1">
        <v>1</v>
      </c>
      <c r="H2043" s="7">
        <v>45560</v>
      </c>
      <c r="I2043" s="1" t="s">
        <v>7449</v>
      </c>
      <c r="J2043" s="7">
        <v>45560</v>
      </c>
      <c r="K2043" s="1" t="s">
        <v>7449</v>
      </c>
    </row>
    <row r="2044" spans="1:11" x14ac:dyDescent="0.25">
      <c r="A2044" s="1">
        <v>2043</v>
      </c>
      <c r="B2044" s="1" t="s">
        <v>6365</v>
      </c>
      <c r="C2044" s="1" t="s">
        <v>6366</v>
      </c>
      <c r="G2044" s="1">
        <v>1</v>
      </c>
      <c r="H2044" s="7">
        <v>45560</v>
      </c>
      <c r="I2044" s="1" t="s">
        <v>7449</v>
      </c>
      <c r="J2044" s="7">
        <v>45560</v>
      </c>
      <c r="K2044" s="1" t="s">
        <v>7449</v>
      </c>
    </row>
    <row r="2045" spans="1:11" x14ac:dyDescent="0.25">
      <c r="A2045" s="1">
        <v>2044</v>
      </c>
      <c r="B2045" s="1" t="s">
        <v>6367</v>
      </c>
      <c r="C2045" s="1" t="s">
        <v>6368</v>
      </c>
      <c r="D2045" s="1" t="s">
        <v>6369</v>
      </c>
      <c r="G2045" s="1">
        <v>1</v>
      </c>
      <c r="H2045" s="7">
        <v>45560</v>
      </c>
      <c r="I2045" s="1" t="s">
        <v>7449</v>
      </c>
      <c r="J2045" s="7">
        <v>45560</v>
      </c>
      <c r="K2045" s="1" t="s">
        <v>7449</v>
      </c>
    </row>
    <row r="2046" spans="1:11" x14ac:dyDescent="0.25">
      <c r="A2046" s="1">
        <v>2045</v>
      </c>
      <c r="B2046" s="1" t="s">
        <v>6370</v>
      </c>
      <c r="C2046" s="1" t="s">
        <v>6371</v>
      </c>
      <c r="D2046" s="1" t="s">
        <v>6372</v>
      </c>
      <c r="G2046" s="1">
        <v>1</v>
      </c>
      <c r="H2046" s="7">
        <v>45560</v>
      </c>
      <c r="I2046" s="1" t="s">
        <v>7449</v>
      </c>
      <c r="J2046" s="7">
        <v>45560</v>
      </c>
      <c r="K2046" s="1" t="s">
        <v>7449</v>
      </c>
    </row>
    <row r="2047" spans="1:11" x14ac:dyDescent="0.25">
      <c r="A2047" s="1">
        <v>2046</v>
      </c>
      <c r="B2047" s="1" t="s">
        <v>6373</v>
      </c>
      <c r="C2047" s="1" t="s">
        <v>6374</v>
      </c>
      <c r="G2047" s="1">
        <v>1</v>
      </c>
      <c r="H2047" s="7">
        <v>45560</v>
      </c>
      <c r="I2047" s="1" t="s">
        <v>7449</v>
      </c>
      <c r="J2047" s="7">
        <v>45560</v>
      </c>
      <c r="K2047" s="1" t="s">
        <v>7449</v>
      </c>
    </row>
    <row r="2048" spans="1:11" x14ac:dyDescent="0.25">
      <c r="A2048" s="1">
        <v>2047</v>
      </c>
      <c r="B2048" s="1" t="s">
        <v>6375</v>
      </c>
      <c r="C2048" s="1" t="s">
        <v>6376</v>
      </c>
      <c r="G2048" s="1">
        <v>1</v>
      </c>
      <c r="H2048" s="7">
        <v>45560</v>
      </c>
      <c r="I2048" s="1" t="s">
        <v>7449</v>
      </c>
      <c r="J2048" s="7">
        <v>45560</v>
      </c>
      <c r="K2048" s="1" t="s">
        <v>7449</v>
      </c>
    </row>
    <row r="2049" spans="1:11" x14ac:dyDescent="0.25">
      <c r="A2049" s="1">
        <v>2048</v>
      </c>
      <c r="B2049" s="1" t="s">
        <v>6377</v>
      </c>
      <c r="C2049" s="1" t="s">
        <v>6378</v>
      </c>
      <c r="G2049" s="1">
        <v>1</v>
      </c>
      <c r="H2049" s="7">
        <v>45560</v>
      </c>
      <c r="I2049" s="1" t="s">
        <v>7449</v>
      </c>
      <c r="J2049" s="7">
        <v>45560</v>
      </c>
      <c r="K2049" s="1" t="s">
        <v>7449</v>
      </c>
    </row>
    <row r="2050" spans="1:11" x14ac:dyDescent="0.25">
      <c r="A2050" s="1">
        <v>2049</v>
      </c>
      <c r="B2050" s="1" t="s">
        <v>6379</v>
      </c>
      <c r="C2050" s="1" t="s">
        <v>6380</v>
      </c>
      <c r="G2050" s="1">
        <v>1</v>
      </c>
      <c r="H2050" s="7">
        <v>45560</v>
      </c>
      <c r="I2050" s="1" t="s">
        <v>7449</v>
      </c>
      <c r="J2050" s="7">
        <v>45560</v>
      </c>
      <c r="K2050" s="1" t="s">
        <v>7449</v>
      </c>
    </row>
    <row r="2051" spans="1:11" x14ac:dyDescent="0.25">
      <c r="A2051" s="1">
        <v>2050</v>
      </c>
      <c r="B2051" s="1" t="s">
        <v>6381</v>
      </c>
      <c r="C2051" s="1" t="s">
        <v>6382</v>
      </c>
      <c r="G2051" s="1">
        <v>1</v>
      </c>
      <c r="H2051" s="7">
        <v>45560</v>
      </c>
      <c r="I2051" s="1" t="s">
        <v>7449</v>
      </c>
      <c r="J2051" s="7">
        <v>45560</v>
      </c>
      <c r="K2051" s="1" t="s">
        <v>7449</v>
      </c>
    </row>
    <row r="2052" spans="1:11" x14ac:dyDescent="0.25">
      <c r="A2052" s="1">
        <v>2051</v>
      </c>
      <c r="B2052" s="1" t="s">
        <v>6383</v>
      </c>
      <c r="C2052" s="1" t="s">
        <v>6384</v>
      </c>
      <c r="G2052" s="1">
        <v>1</v>
      </c>
      <c r="H2052" s="7">
        <v>45560</v>
      </c>
      <c r="I2052" s="1" t="s">
        <v>7449</v>
      </c>
      <c r="J2052" s="7">
        <v>45560</v>
      </c>
      <c r="K2052" s="1" t="s">
        <v>7449</v>
      </c>
    </row>
    <row r="2053" spans="1:11" x14ac:dyDescent="0.25">
      <c r="A2053" s="1">
        <v>2052</v>
      </c>
      <c r="B2053" s="1" t="s">
        <v>6385</v>
      </c>
      <c r="C2053" s="1" t="s">
        <v>6386</v>
      </c>
      <c r="G2053" s="1">
        <v>1</v>
      </c>
      <c r="H2053" s="7">
        <v>45560</v>
      </c>
      <c r="I2053" s="1" t="s">
        <v>7449</v>
      </c>
      <c r="J2053" s="7">
        <v>45560</v>
      </c>
      <c r="K2053" s="1" t="s">
        <v>7449</v>
      </c>
    </row>
    <row r="2054" spans="1:11" x14ac:dyDescent="0.25">
      <c r="A2054" s="1">
        <v>2053</v>
      </c>
      <c r="B2054" s="1" t="s">
        <v>6387</v>
      </c>
      <c r="C2054" s="1" t="s">
        <v>6388</v>
      </c>
      <c r="G2054" s="1">
        <v>1</v>
      </c>
      <c r="H2054" s="7">
        <v>45560</v>
      </c>
      <c r="I2054" s="1" t="s">
        <v>7449</v>
      </c>
      <c r="J2054" s="7">
        <v>45560</v>
      </c>
      <c r="K2054" s="1" t="s">
        <v>7449</v>
      </c>
    </row>
    <row r="2055" spans="1:11" x14ac:dyDescent="0.25">
      <c r="A2055" s="1">
        <v>2054</v>
      </c>
      <c r="B2055" s="1" t="s">
        <v>6389</v>
      </c>
      <c r="C2055" s="1" t="s">
        <v>6390</v>
      </c>
      <c r="G2055" s="1">
        <v>1</v>
      </c>
      <c r="H2055" s="7">
        <v>45560</v>
      </c>
      <c r="I2055" s="1" t="s">
        <v>7449</v>
      </c>
      <c r="J2055" s="7">
        <v>45560</v>
      </c>
      <c r="K2055" s="1" t="s">
        <v>7449</v>
      </c>
    </row>
    <row r="2056" spans="1:11" x14ac:dyDescent="0.25">
      <c r="A2056" s="1">
        <v>2055</v>
      </c>
      <c r="B2056" s="1" t="s">
        <v>6391</v>
      </c>
      <c r="C2056" s="1" t="s">
        <v>6392</v>
      </c>
      <c r="G2056" s="1">
        <v>1</v>
      </c>
      <c r="H2056" s="7">
        <v>45560</v>
      </c>
      <c r="I2056" s="1" t="s">
        <v>7449</v>
      </c>
      <c r="J2056" s="7">
        <v>45560</v>
      </c>
      <c r="K2056" s="1" t="s">
        <v>7449</v>
      </c>
    </row>
    <row r="2057" spans="1:11" x14ac:dyDescent="0.25">
      <c r="A2057" s="1">
        <v>2056</v>
      </c>
      <c r="B2057" s="1" t="s">
        <v>6393</v>
      </c>
      <c r="C2057" s="1" t="s">
        <v>6394</v>
      </c>
      <c r="G2057" s="1">
        <v>1</v>
      </c>
      <c r="H2057" s="7">
        <v>45560</v>
      </c>
      <c r="I2057" s="1" t="s">
        <v>7449</v>
      </c>
      <c r="J2057" s="7">
        <v>45560</v>
      </c>
      <c r="K2057" s="1" t="s">
        <v>7449</v>
      </c>
    </row>
    <row r="2058" spans="1:11" x14ac:dyDescent="0.25">
      <c r="A2058" s="1">
        <v>2057</v>
      </c>
      <c r="B2058" s="1" t="s">
        <v>6395</v>
      </c>
      <c r="C2058" s="1" t="s">
        <v>6396</v>
      </c>
      <c r="G2058" s="1">
        <v>1</v>
      </c>
      <c r="H2058" s="7">
        <v>45560</v>
      </c>
      <c r="I2058" s="1" t="s">
        <v>7449</v>
      </c>
      <c r="J2058" s="7">
        <v>45560</v>
      </c>
      <c r="K2058" s="1" t="s">
        <v>7449</v>
      </c>
    </row>
    <row r="2059" spans="1:11" x14ac:dyDescent="0.25">
      <c r="A2059" s="1">
        <v>2058</v>
      </c>
      <c r="B2059" s="1" t="s">
        <v>6397</v>
      </c>
      <c r="C2059" s="1" t="s">
        <v>6398</v>
      </c>
      <c r="D2059" s="1" t="s">
        <v>6399</v>
      </c>
      <c r="G2059" s="1">
        <v>1</v>
      </c>
      <c r="H2059" s="7">
        <v>45560</v>
      </c>
      <c r="I2059" s="1" t="s">
        <v>7449</v>
      </c>
      <c r="J2059" s="7">
        <v>45560</v>
      </c>
      <c r="K2059" s="1" t="s">
        <v>7449</v>
      </c>
    </row>
    <row r="2060" spans="1:11" x14ac:dyDescent="0.25">
      <c r="A2060" s="1">
        <v>2059</v>
      </c>
      <c r="B2060" s="1" t="s">
        <v>6400</v>
      </c>
      <c r="C2060" s="1" t="s">
        <v>6401</v>
      </c>
      <c r="D2060" s="1" t="s">
        <v>6402</v>
      </c>
      <c r="G2060" s="1">
        <v>1</v>
      </c>
      <c r="H2060" s="7">
        <v>45560</v>
      </c>
      <c r="I2060" s="1" t="s">
        <v>7449</v>
      </c>
      <c r="J2060" s="7">
        <v>45560</v>
      </c>
      <c r="K2060" s="1" t="s">
        <v>7449</v>
      </c>
    </row>
    <row r="2061" spans="1:11" x14ac:dyDescent="0.25">
      <c r="A2061" s="1">
        <v>2060</v>
      </c>
      <c r="B2061" s="1" t="s">
        <v>6403</v>
      </c>
      <c r="C2061" s="1" t="s">
        <v>6404</v>
      </c>
      <c r="D2061" s="1" t="s">
        <v>6405</v>
      </c>
      <c r="G2061" s="1">
        <v>1</v>
      </c>
      <c r="H2061" s="7">
        <v>45560</v>
      </c>
      <c r="I2061" s="1" t="s">
        <v>7449</v>
      </c>
      <c r="J2061" s="7">
        <v>45560</v>
      </c>
      <c r="K2061" s="1" t="s">
        <v>7449</v>
      </c>
    </row>
    <row r="2062" spans="1:11" x14ac:dyDescent="0.25">
      <c r="A2062" s="1">
        <v>2061</v>
      </c>
      <c r="B2062" s="1" t="s">
        <v>6406</v>
      </c>
      <c r="C2062" s="1" t="s">
        <v>6407</v>
      </c>
      <c r="D2062" s="1" t="s">
        <v>6408</v>
      </c>
      <c r="G2062" s="1">
        <v>1</v>
      </c>
      <c r="H2062" s="7">
        <v>45560</v>
      </c>
      <c r="I2062" s="1" t="s">
        <v>7449</v>
      </c>
      <c r="J2062" s="7">
        <v>45560</v>
      </c>
      <c r="K2062" s="1" t="s">
        <v>7449</v>
      </c>
    </row>
    <row r="2063" spans="1:11" x14ac:dyDescent="0.25">
      <c r="A2063" s="1">
        <v>2062</v>
      </c>
      <c r="B2063" s="1" t="s">
        <v>6409</v>
      </c>
      <c r="C2063" s="1" t="s">
        <v>6410</v>
      </c>
      <c r="D2063" s="1" t="s">
        <v>6411</v>
      </c>
      <c r="G2063" s="1">
        <v>1</v>
      </c>
      <c r="H2063" s="7">
        <v>45560</v>
      </c>
      <c r="I2063" s="1" t="s">
        <v>7449</v>
      </c>
      <c r="J2063" s="7">
        <v>45560</v>
      </c>
      <c r="K2063" s="1" t="s">
        <v>7449</v>
      </c>
    </row>
    <row r="2064" spans="1:11" x14ac:dyDescent="0.25">
      <c r="A2064" s="1">
        <v>2063</v>
      </c>
      <c r="B2064" s="1" t="s">
        <v>6412</v>
      </c>
      <c r="C2064" s="1" t="s">
        <v>6413</v>
      </c>
      <c r="G2064" s="1">
        <v>1</v>
      </c>
      <c r="H2064" s="7">
        <v>45560</v>
      </c>
      <c r="I2064" s="1" t="s">
        <v>7449</v>
      </c>
      <c r="J2064" s="7">
        <v>45560</v>
      </c>
      <c r="K2064" s="1" t="s">
        <v>7449</v>
      </c>
    </row>
    <row r="2065" spans="1:11" x14ac:dyDescent="0.25">
      <c r="A2065" s="1">
        <v>2064</v>
      </c>
      <c r="B2065" s="1" t="s">
        <v>6414</v>
      </c>
      <c r="C2065" s="1" t="s">
        <v>6415</v>
      </c>
      <c r="D2065" s="1" t="s">
        <v>6416</v>
      </c>
      <c r="G2065" s="1">
        <v>1</v>
      </c>
      <c r="H2065" s="7">
        <v>45560</v>
      </c>
      <c r="I2065" s="1" t="s">
        <v>7449</v>
      </c>
      <c r="J2065" s="7">
        <v>45560</v>
      </c>
      <c r="K2065" s="1" t="s">
        <v>7449</v>
      </c>
    </row>
    <row r="2066" spans="1:11" x14ac:dyDescent="0.25">
      <c r="A2066" s="1">
        <v>2065</v>
      </c>
      <c r="B2066" s="1" t="s">
        <v>6417</v>
      </c>
      <c r="C2066" s="1" t="s">
        <v>6418</v>
      </c>
      <c r="D2066" s="1" t="s">
        <v>6419</v>
      </c>
      <c r="G2066" s="1">
        <v>1</v>
      </c>
      <c r="H2066" s="7">
        <v>45560</v>
      </c>
      <c r="I2066" s="1" t="s">
        <v>7449</v>
      </c>
      <c r="J2066" s="7">
        <v>45560</v>
      </c>
      <c r="K2066" s="1" t="s">
        <v>7449</v>
      </c>
    </row>
    <row r="2067" spans="1:11" x14ac:dyDescent="0.25">
      <c r="A2067" s="1">
        <v>2066</v>
      </c>
      <c r="B2067" s="1" t="s">
        <v>6420</v>
      </c>
      <c r="C2067" s="1" t="s">
        <v>6421</v>
      </c>
      <c r="D2067" s="1" t="s">
        <v>6422</v>
      </c>
      <c r="G2067" s="1">
        <v>1</v>
      </c>
      <c r="H2067" s="7">
        <v>45560</v>
      </c>
      <c r="I2067" s="1" t="s">
        <v>7449</v>
      </c>
      <c r="J2067" s="7">
        <v>45560</v>
      </c>
      <c r="K2067" s="1" t="s">
        <v>7449</v>
      </c>
    </row>
    <row r="2068" spans="1:11" x14ac:dyDescent="0.25">
      <c r="A2068" s="1">
        <v>2067</v>
      </c>
      <c r="B2068" s="1" t="s">
        <v>6423</v>
      </c>
      <c r="C2068" s="1" t="s">
        <v>6424</v>
      </c>
      <c r="D2068" s="1" t="s">
        <v>6425</v>
      </c>
      <c r="G2068" s="1">
        <v>1</v>
      </c>
      <c r="H2068" s="7">
        <v>45560</v>
      </c>
      <c r="I2068" s="1" t="s">
        <v>7449</v>
      </c>
      <c r="J2068" s="7">
        <v>45560</v>
      </c>
      <c r="K2068" s="1" t="s">
        <v>7449</v>
      </c>
    </row>
    <row r="2069" spans="1:11" x14ac:dyDescent="0.25">
      <c r="A2069" s="1">
        <v>2068</v>
      </c>
      <c r="B2069" s="1" t="s">
        <v>6426</v>
      </c>
      <c r="C2069" s="1" t="s">
        <v>6427</v>
      </c>
      <c r="D2069" s="1" t="s">
        <v>6428</v>
      </c>
      <c r="G2069" s="1">
        <v>1</v>
      </c>
      <c r="H2069" s="7">
        <v>45560</v>
      </c>
      <c r="I2069" s="1" t="s">
        <v>7449</v>
      </c>
      <c r="J2069" s="7">
        <v>45560</v>
      </c>
      <c r="K2069" s="1" t="s">
        <v>7449</v>
      </c>
    </row>
    <row r="2070" spans="1:11" x14ac:dyDescent="0.25">
      <c r="A2070" s="1">
        <v>2069</v>
      </c>
      <c r="B2070" s="1" t="s">
        <v>6429</v>
      </c>
      <c r="C2070" s="1" t="s">
        <v>6430</v>
      </c>
      <c r="D2070" s="1" t="s">
        <v>6431</v>
      </c>
      <c r="G2070" s="1">
        <v>1</v>
      </c>
      <c r="H2070" s="7">
        <v>45560</v>
      </c>
      <c r="I2070" s="1" t="s">
        <v>7449</v>
      </c>
      <c r="J2070" s="7">
        <v>45560</v>
      </c>
      <c r="K2070" s="1" t="s">
        <v>7449</v>
      </c>
    </row>
    <row r="2071" spans="1:11" x14ac:dyDescent="0.25">
      <c r="A2071" s="1">
        <v>2070</v>
      </c>
      <c r="B2071" s="1" t="s">
        <v>6432</v>
      </c>
      <c r="C2071" s="1" t="s">
        <v>6433</v>
      </c>
      <c r="D2071" s="1" t="s">
        <v>6434</v>
      </c>
      <c r="G2071" s="1">
        <v>1</v>
      </c>
      <c r="H2071" s="7">
        <v>45560</v>
      </c>
      <c r="I2071" s="1" t="s">
        <v>7449</v>
      </c>
      <c r="J2071" s="7">
        <v>45560</v>
      </c>
      <c r="K2071" s="1" t="s">
        <v>7449</v>
      </c>
    </row>
    <row r="2072" spans="1:11" x14ac:dyDescent="0.25">
      <c r="A2072" s="1">
        <v>2071</v>
      </c>
      <c r="B2072" s="1" t="s">
        <v>6435</v>
      </c>
      <c r="C2072" s="1" t="s">
        <v>6436</v>
      </c>
      <c r="G2072" s="1">
        <v>1</v>
      </c>
      <c r="H2072" s="7">
        <v>45560</v>
      </c>
      <c r="I2072" s="1" t="s">
        <v>7449</v>
      </c>
      <c r="J2072" s="7">
        <v>45560</v>
      </c>
      <c r="K2072" s="1" t="s">
        <v>7449</v>
      </c>
    </row>
    <row r="2073" spans="1:11" x14ac:dyDescent="0.25">
      <c r="A2073" s="1">
        <v>2072</v>
      </c>
      <c r="B2073" s="1" t="s">
        <v>6437</v>
      </c>
      <c r="C2073" s="1" t="s">
        <v>6438</v>
      </c>
      <c r="D2073" s="1" t="s">
        <v>6439</v>
      </c>
      <c r="G2073" s="1">
        <v>1</v>
      </c>
      <c r="H2073" s="7">
        <v>45560</v>
      </c>
      <c r="I2073" s="1" t="s">
        <v>7449</v>
      </c>
      <c r="J2073" s="7">
        <v>45560</v>
      </c>
      <c r="K2073" s="1" t="s">
        <v>7449</v>
      </c>
    </row>
    <row r="2074" spans="1:11" x14ac:dyDescent="0.25">
      <c r="A2074" s="1">
        <v>2073</v>
      </c>
      <c r="B2074" s="1" t="s">
        <v>6440</v>
      </c>
      <c r="C2074" s="1" t="s">
        <v>6441</v>
      </c>
      <c r="D2074" s="1" t="s">
        <v>6442</v>
      </c>
      <c r="G2074" s="1">
        <v>1</v>
      </c>
      <c r="H2074" s="7">
        <v>45560</v>
      </c>
      <c r="I2074" s="1" t="s">
        <v>7449</v>
      </c>
      <c r="J2074" s="7">
        <v>45560</v>
      </c>
      <c r="K2074" s="1" t="s">
        <v>7449</v>
      </c>
    </row>
    <row r="2075" spans="1:11" x14ac:dyDescent="0.25">
      <c r="A2075" s="1">
        <v>2074</v>
      </c>
      <c r="B2075" s="1" t="s">
        <v>6443</v>
      </c>
      <c r="C2075" s="1" t="s">
        <v>6444</v>
      </c>
      <c r="G2075" s="1">
        <v>1</v>
      </c>
      <c r="H2075" s="7">
        <v>45560</v>
      </c>
      <c r="I2075" s="1" t="s">
        <v>7449</v>
      </c>
      <c r="J2075" s="7">
        <v>45560</v>
      </c>
      <c r="K2075" s="1" t="s">
        <v>7449</v>
      </c>
    </row>
    <row r="2076" spans="1:11" x14ac:dyDescent="0.25">
      <c r="A2076" s="1">
        <v>2075</v>
      </c>
      <c r="B2076" s="1" t="s">
        <v>6445</v>
      </c>
      <c r="C2076" s="1" t="s">
        <v>6446</v>
      </c>
      <c r="G2076" s="1">
        <v>1</v>
      </c>
      <c r="H2076" s="7">
        <v>45560</v>
      </c>
      <c r="I2076" s="1" t="s">
        <v>7449</v>
      </c>
      <c r="J2076" s="7">
        <v>45560</v>
      </c>
      <c r="K2076" s="1" t="s">
        <v>7449</v>
      </c>
    </row>
    <row r="2077" spans="1:11" x14ac:dyDescent="0.25">
      <c r="A2077" s="1">
        <v>2076</v>
      </c>
      <c r="B2077" s="1" t="s">
        <v>6447</v>
      </c>
      <c r="C2077" s="1" t="s">
        <v>6448</v>
      </c>
      <c r="G2077" s="1">
        <v>1</v>
      </c>
      <c r="H2077" s="7">
        <v>45560</v>
      </c>
      <c r="I2077" s="1" t="s">
        <v>7449</v>
      </c>
      <c r="J2077" s="7">
        <v>45560</v>
      </c>
      <c r="K2077" s="1" t="s">
        <v>7449</v>
      </c>
    </row>
    <row r="2078" spans="1:11" x14ac:dyDescent="0.25">
      <c r="A2078" s="1">
        <v>2077</v>
      </c>
      <c r="B2078" s="1" t="s">
        <v>6449</v>
      </c>
      <c r="C2078" s="1" t="s">
        <v>6450</v>
      </c>
      <c r="G2078" s="1">
        <v>1</v>
      </c>
      <c r="H2078" s="7">
        <v>45560</v>
      </c>
      <c r="I2078" s="1" t="s">
        <v>7449</v>
      </c>
      <c r="J2078" s="7">
        <v>45560</v>
      </c>
      <c r="K2078" s="1" t="s">
        <v>7449</v>
      </c>
    </row>
    <row r="2079" spans="1:11" x14ac:dyDescent="0.25">
      <c r="A2079" s="1">
        <v>2078</v>
      </c>
      <c r="B2079" s="1" t="s">
        <v>6451</v>
      </c>
      <c r="C2079" s="1" t="s">
        <v>6452</v>
      </c>
      <c r="D2079" s="1" t="s">
        <v>6453</v>
      </c>
      <c r="G2079" s="1">
        <v>1</v>
      </c>
      <c r="H2079" s="7">
        <v>45560</v>
      </c>
      <c r="I2079" s="1" t="s">
        <v>7449</v>
      </c>
      <c r="J2079" s="7">
        <v>45560</v>
      </c>
      <c r="K2079" s="1" t="s">
        <v>7449</v>
      </c>
    </row>
    <row r="2080" spans="1:11" x14ac:dyDescent="0.25">
      <c r="A2080" s="1">
        <v>2079</v>
      </c>
      <c r="B2080" s="1" t="s">
        <v>6454</v>
      </c>
      <c r="C2080" s="1" t="s">
        <v>6455</v>
      </c>
      <c r="G2080" s="1">
        <v>1</v>
      </c>
      <c r="H2080" s="7">
        <v>45560</v>
      </c>
      <c r="I2080" s="1" t="s">
        <v>7449</v>
      </c>
      <c r="J2080" s="7">
        <v>45560</v>
      </c>
      <c r="K2080" s="1" t="s">
        <v>7449</v>
      </c>
    </row>
    <row r="2081" spans="1:11" x14ac:dyDescent="0.25">
      <c r="A2081" s="1">
        <v>2080</v>
      </c>
      <c r="B2081" s="1" t="s">
        <v>6456</v>
      </c>
      <c r="C2081" s="1" t="s">
        <v>6457</v>
      </c>
      <c r="G2081" s="1">
        <v>1</v>
      </c>
      <c r="H2081" s="7">
        <v>45560</v>
      </c>
      <c r="I2081" s="1" t="s">
        <v>7449</v>
      </c>
      <c r="J2081" s="7">
        <v>45560</v>
      </c>
      <c r="K2081" s="1" t="s">
        <v>7449</v>
      </c>
    </row>
    <row r="2082" spans="1:11" x14ac:dyDescent="0.25">
      <c r="A2082" s="1">
        <v>2081</v>
      </c>
      <c r="B2082" s="1" t="s">
        <v>6458</v>
      </c>
      <c r="C2082" s="1" t="s">
        <v>6459</v>
      </c>
      <c r="G2082" s="1">
        <v>1</v>
      </c>
      <c r="H2082" s="7">
        <v>45560</v>
      </c>
      <c r="I2082" s="1" t="s">
        <v>7449</v>
      </c>
      <c r="J2082" s="7">
        <v>45560</v>
      </c>
      <c r="K2082" s="1" t="s">
        <v>7449</v>
      </c>
    </row>
    <row r="2083" spans="1:11" x14ac:dyDescent="0.25">
      <c r="A2083" s="1">
        <v>2082</v>
      </c>
      <c r="B2083" s="1" t="s">
        <v>6460</v>
      </c>
      <c r="C2083" s="1" t="s">
        <v>6461</v>
      </c>
      <c r="G2083" s="1">
        <v>1</v>
      </c>
      <c r="H2083" s="7">
        <v>45560</v>
      </c>
      <c r="I2083" s="1" t="s">
        <v>7449</v>
      </c>
      <c r="J2083" s="7">
        <v>45560</v>
      </c>
      <c r="K2083" s="1" t="s">
        <v>7449</v>
      </c>
    </row>
    <row r="2084" spans="1:11" x14ac:dyDescent="0.25">
      <c r="A2084" s="1">
        <v>2083</v>
      </c>
      <c r="B2084" s="1" t="s">
        <v>6462</v>
      </c>
      <c r="C2084" s="1" t="s">
        <v>6463</v>
      </c>
      <c r="G2084" s="1">
        <v>1</v>
      </c>
      <c r="H2084" s="7">
        <v>45560</v>
      </c>
      <c r="I2084" s="1" t="s">
        <v>7449</v>
      </c>
      <c r="J2084" s="7">
        <v>45560</v>
      </c>
      <c r="K2084" s="1" t="s">
        <v>7449</v>
      </c>
    </row>
    <row r="2085" spans="1:11" x14ac:dyDescent="0.25">
      <c r="A2085" s="1">
        <v>2084</v>
      </c>
      <c r="B2085" s="1" t="s">
        <v>6464</v>
      </c>
      <c r="C2085" s="1" t="s">
        <v>6465</v>
      </c>
      <c r="G2085" s="1">
        <v>1</v>
      </c>
      <c r="H2085" s="7">
        <v>45560</v>
      </c>
      <c r="I2085" s="1" t="s">
        <v>7449</v>
      </c>
      <c r="J2085" s="7">
        <v>45560</v>
      </c>
      <c r="K2085" s="1" t="s">
        <v>7449</v>
      </c>
    </row>
    <row r="2086" spans="1:11" x14ac:dyDescent="0.25">
      <c r="A2086" s="1">
        <v>2085</v>
      </c>
      <c r="B2086" s="1" t="s">
        <v>6466</v>
      </c>
      <c r="C2086" s="1" t="s">
        <v>6467</v>
      </c>
      <c r="D2086" s="1" t="s">
        <v>6468</v>
      </c>
      <c r="G2086" s="1">
        <v>1</v>
      </c>
      <c r="H2086" s="7">
        <v>45560</v>
      </c>
      <c r="I2086" s="1" t="s">
        <v>7449</v>
      </c>
      <c r="J2086" s="7">
        <v>45560</v>
      </c>
      <c r="K2086" s="1" t="s">
        <v>7449</v>
      </c>
    </row>
    <row r="2087" spans="1:11" x14ac:dyDescent="0.25">
      <c r="A2087" s="1">
        <v>2086</v>
      </c>
      <c r="B2087" s="1" t="s">
        <v>6469</v>
      </c>
      <c r="C2087" s="1" t="s">
        <v>6470</v>
      </c>
      <c r="G2087" s="1">
        <v>1</v>
      </c>
      <c r="H2087" s="7">
        <v>45560</v>
      </c>
      <c r="I2087" s="1" t="s">
        <v>7449</v>
      </c>
      <c r="J2087" s="7">
        <v>45560</v>
      </c>
      <c r="K2087" s="1" t="s">
        <v>7449</v>
      </c>
    </row>
    <row r="2088" spans="1:11" x14ac:dyDescent="0.25">
      <c r="A2088" s="1">
        <v>2087</v>
      </c>
      <c r="B2088" s="1" t="s">
        <v>6471</v>
      </c>
      <c r="C2088" s="1" t="s">
        <v>6472</v>
      </c>
      <c r="G2088" s="1">
        <v>1</v>
      </c>
      <c r="H2088" s="7">
        <v>45560</v>
      </c>
      <c r="I2088" s="1" t="s">
        <v>7449</v>
      </c>
      <c r="J2088" s="7">
        <v>45560</v>
      </c>
      <c r="K2088" s="1" t="s">
        <v>7449</v>
      </c>
    </row>
    <row r="2089" spans="1:11" x14ac:dyDescent="0.25">
      <c r="A2089" s="1">
        <v>2088</v>
      </c>
      <c r="B2089" s="1" t="s">
        <v>6473</v>
      </c>
      <c r="C2089" s="1" t="s">
        <v>6474</v>
      </c>
      <c r="G2089" s="1">
        <v>1</v>
      </c>
      <c r="H2089" s="7">
        <v>45560</v>
      </c>
      <c r="I2089" s="1" t="s">
        <v>7449</v>
      </c>
      <c r="J2089" s="7">
        <v>45560</v>
      </c>
      <c r="K2089" s="1" t="s">
        <v>7449</v>
      </c>
    </row>
    <row r="2090" spans="1:11" x14ac:dyDescent="0.25">
      <c r="A2090" s="1">
        <v>2089</v>
      </c>
      <c r="B2090" s="1" t="s">
        <v>6475</v>
      </c>
      <c r="C2090" s="1" t="s">
        <v>6476</v>
      </c>
      <c r="G2090" s="1">
        <v>1</v>
      </c>
      <c r="H2090" s="7">
        <v>45560</v>
      </c>
      <c r="I2090" s="1" t="s">
        <v>7449</v>
      </c>
      <c r="J2090" s="7">
        <v>45560</v>
      </c>
      <c r="K2090" s="1" t="s">
        <v>7449</v>
      </c>
    </row>
    <row r="2091" spans="1:11" x14ac:dyDescent="0.25">
      <c r="A2091" s="1">
        <v>2090</v>
      </c>
      <c r="B2091" s="1" t="s">
        <v>6477</v>
      </c>
      <c r="C2091" s="1" t="s">
        <v>6478</v>
      </c>
      <c r="G2091" s="1">
        <v>1</v>
      </c>
      <c r="H2091" s="7">
        <v>45560</v>
      </c>
      <c r="I2091" s="1" t="s">
        <v>7449</v>
      </c>
      <c r="J2091" s="7">
        <v>45560</v>
      </c>
      <c r="K2091" s="1" t="s">
        <v>7449</v>
      </c>
    </row>
    <row r="2092" spans="1:11" x14ac:dyDescent="0.25">
      <c r="A2092" s="1">
        <v>2091</v>
      </c>
      <c r="B2092" s="1" t="s">
        <v>6479</v>
      </c>
      <c r="C2092" s="1" t="s">
        <v>6480</v>
      </c>
      <c r="G2092" s="1">
        <v>1</v>
      </c>
      <c r="H2092" s="7">
        <v>45560</v>
      </c>
      <c r="I2092" s="1" t="s">
        <v>7449</v>
      </c>
      <c r="J2092" s="7">
        <v>45560</v>
      </c>
      <c r="K2092" s="1" t="s">
        <v>7449</v>
      </c>
    </row>
    <row r="2093" spans="1:11" x14ac:dyDescent="0.25">
      <c r="A2093" s="1">
        <v>2092</v>
      </c>
      <c r="B2093" s="1" t="s">
        <v>6481</v>
      </c>
      <c r="C2093" s="1" t="s">
        <v>6482</v>
      </c>
      <c r="G2093" s="1">
        <v>1</v>
      </c>
      <c r="H2093" s="7">
        <v>45560</v>
      </c>
      <c r="I2093" s="1" t="s">
        <v>7449</v>
      </c>
      <c r="J2093" s="7">
        <v>45560</v>
      </c>
      <c r="K2093" s="1" t="s">
        <v>7449</v>
      </c>
    </row>
    <row r="2094" spans="1:11" x14ac:dyDescent="0.25">
      <c r="A2094" s="1">
        <v>2093</v>
      </c>
      <c r="B2094" s="1" t="s">
        <v>6483</v>
      </c>
      <c r="C2094" s="1" t="s">
        <v>6484</v>
      </c>
      <c r="D2094" s="1" t="s">
        <v>6485</v>
      </c>
      <c r="G2094" s="1">
        <v>1</v>
      </c>
      <c r="H2094" s="7">
        <v>45560</v>
      </c>
      <c r="I2094" s="1" t="s">
        <v>7449</v>
      </c>
      <c r="J2094" s="7">
        <v>45560</v>
      </c>
      <c r="K2094" s="1" t="s">
        <v>7449</v>
      </c>
    </row>
    <row r="2095" spans="1:11" x14ac:dyDescent="0.25">
      <c r="A2095" s="1">
        <v>2094</v>
      </c>
      <c r="B2095" s="1" t="s">
        <v>6486</v>
      </c>
      <c r="C2095" s="1" t="s">
        <v>6487</v>
      </c>
      <c r="G2095" s="1">
        <v>1</v>
      </c>
      <c r="H2095" s="7">
        <v>45560</v>
      </c>
      <c r="I2095" s="1" t="s">
        <v>7449</v>
      </c>
      <c r="J2095" s="7">
        <v>45560</v>
      </c>
      <c r="K2095" s="1" t="s">
        <v>7449</v>
      </c>
    </row>
    <row r="2096" spans="1:11" x14ac:dyDescent="0.25">
      <c r="A2096" s="1">
        <v>2095</v>
      </c>
      <c r="B2096" s="1" t="s">
        <v>6488</v>
      </c>
      <c r="C2096" s="1" t="s">
        <v>6489</v>
      </c>
      <c r="D2096" s="1" t="s">
        <v>6490</v>
      </c>
      <c r="G2096" s="1">
        <v>1</v>
      </c>
      <c r="H2096" s="7">
        <v>45560</v>
      </c>
      <c r="I2096" s="1" t="s">
        <v>7449</v>
      </c>
      <c r="J2096" s="7">
        <v>45560</v>
      </c>
      <c r="K2096" s="1" t="s">
        <v>7449</v>
      </c>
    </row>
    <row r="2097" spans="1:11" x14ac:dyDescent="0.25">
      <c r="A2097" s="1">
        <v>2096</v>
      </c>
      <c r="B2097" s="1" t="s">
        <v>6491</v>
      </c>
      <c r="C2097" s="1" t="s">
        <v>6492</v>
      </c>
      <c r="G2097" s="1">
        <v>1</v>
      </c>
      <c r="H2097" s="7">
        <v>45560</v>
      </c>
      <c r="I2097" s="1" t="s">
        <v>7449</v>
      </c>
      <c r="J2097" s="7">
        <v>45560</v>
      </c>
      <c r="K2097" s="1" t="s">
        <v>7449</v>
      </c>
    </row>
    <row r="2098" spans="1:11" x14ac:dyDescent="0.25">
      <c r="A2098" s="1">
        <v>2097</v>
      </c>
      <c r="B2098" s="1" t="s">
        <v>6493</v>
      </c>
      <c r="C2098" s="1" t="s">
        <v>6494</v>
      </c>
      <c r="D2098" s="1" t="s">
        <v>6495</v>
      </c>
      <c r="G2098" s="1">
        <v>1</v>
      </c>
      <c r="H2098" s="7">
        <v>45560</v>
      </c>
      <c r="I2098" s="1" t="s">
        <v>7449</v>
      </c>
      <c r="J2098" s="7">
        <v>45560</v>
      </c>
      <c r="K2098" s="1" t="s">
        <v>7449</v>
      </c>
    </row>
    <row r="2099" spans="1:11" x14ac:dyDescent="0.25">
      <c r="A2099" s="1">
        <v>2098</v>
      </c>
      <c r="B2099" s="1" t="s">
        <v>6496</v>
      </c>
      <c r="C2099" s="1" t="s">
        <v>6497</v>
      </c>
      <c r="G2099" s="1">
        <v>1</v>
      </c>
      <c r="H2099" s="7">
        <v>45560</v>
      </c>
      <c r="I2099" s="1" t="s">
        <v>7449</v>
      </c>
      <c r="J2099" s="7">
        <v>45560</v>
      </c>
      <c r="K2099" s="1" t="s">
        <v>7449</v>
      </c>
    </row>
    <row r="2100" spans="1:11" x14ac:dyDescent="0.25">
      <c r="A2100" s="1">
        <v>2099</v>
      </c>
      <c r="B2100" s="1" t="s">
        <v>6498</v>
      </c>
      <c r="C2100" s="1" t="s">
        <v>6499</v>
      </c>
      <c r="D2100" s="1" t="s">
        <v>6500</v>
      </c>
      <c r="G2100" s="1">
        <v>1</v>
      </c>
      <c r="H2100" s="7">
        <v>45560</v>
      </c>
      <c r="I2100" s="1" t="s">
        <v>7449</v>
      </c>
      <c r="J2100" s="7">
        <v>45560</v>
      </c>
      <c r="K2100" s="1" t="s">
        <v>7449</v>
      </c>
    </row>
    <row r="2101" spans="1:11" x14ac:dyDescent="0.25">
      <c r="A2101" s="1">
        <v>2100</v>
      </c>
      <c r="B2101" s="1" t="s">
        <v>6501</v>
      </c>
      <c r="C2101" s="1" t="s">
        <v>6502</v>
      </c>
      <c r="D2101" s="1" t="s">
        <v>6503</v>
      </c>
      <c r="G2101" s="1">
        <v>1</v>
      </c>
      <c r="H2101" s="7">
        <v>45560</v>
      </c>
      <c r="I2101" s="1" t="s">
        <v>7449</v>
      </c>
      <c r="J2101" s="7">
        <v>45560</v>
      </c>
      <c r="K2101" s="1" t="s">
        <v>7449</v>
      </c>
    </row>
    <row r="2102" spans="1:11" x14ac:dyDescent="0.25">
      <c r="A2102" s="1">
        <v>2101</v>
      </c>
      <c r="B2102" s="1" t="s">
        <v>6504</v>
      </c>
      <c r="C2102" s="1" t="s">
        <v>6505</v>
      </c>
      <c r="G2102" s="1">
        <v>1</v>
      </c>
      <c r="H2102" s="7">
        <v>45560</v>
      </c>
      <c r="I2102" s="1" t="s">
        <v>7449</v>
      </c>
      <c r="J2102" s="7">
        <v>45560</v>
      </c>
      <c r="K2102" s="1" t="s">
        <v>7449</v>
      </c>
    </row>
    <row r="2103" spans="1:11" x14ac:dyDescent="0.25">
      <c r="A2103" s="1">
        <v>2102</v>
      </c>
      <c r="B2103" s="1" t="s">
        <v>6506</v>
      </c>
      <c r="C2103" s="1" t="s">
        <v>6507</v>
      </c>
      <c r="G2103" s="1">
        <v>1</v>
      </c>
      <c r="H2103" s="7">
        <v>45560</v>
      </c>
      <c r="I2103" s="1" t="s">
        <v>7449</v>
      </c>
      <c r="J2103" s="7">
        <v>45560</v>
      </c>
      <c r="K2103" s="1" t="s">
        <v>7449</v>
      </c>
    </row>
    <row r="2104" spans="1:11" x14ac:dyDescent="0.25">
      <c r="A2104" s="1">
        <v>2103</v>
      </c>
      <c r="B2104" s="1" t="s">
        <v>6508</v>
      </c>
      <c r="C2104" s="1" t="s">
        <v>6509</v>
      </c>
      <c r="G2104" s="1">
        <v>1</v>
      </c>
      <c r="H2104" s="7">
        <v>45560</v>
      </c>
      <c r="I2104" s="1" t="s">
        <v>7449</v>
      </c>
      <c r="J2104" s="7">
        <v>45560</v>
      </c>
      <c r="K2104" s="1" t="s">
        <v>7449</v>
      </c>
    </row>
    <row r="2105" spans="1:11" x14ac:dyDescent="0.25">
      <c r="A2105" s="1">
        <v>2104</v>
      </c>
      <c r="B2105" s="1" t="s">
        <v>6510</v>
      </c>
      <c r="C2105" s="1" t="s">
        <v>6511</v>
      </c>
      <c r="G2105" s="1">
        <v>1</v>
      </c>
      <c r="H2105" s="7">
        <v>45560</v>
      </c>
      <c r="I2105" s="1" t="s">
        <v>7449</v>
      </c>
      <c r="J2105" s="7">
        <v>45560</v>
      </c>
      <c r="K2105" s="1" t="s">
        <v>7449</v>
      </c>
    </row>
    <row r="2106" spans="1:11" x14ac:dyDescent="0.25">
      <c r="A2106" s="1">
        <v>2105</v>
      </c>
      <c r="B2106" s="1" t="s">
        <v>6512</v>
      </c>
      <c r="C2106" s="1" t="s">
        <v>6513</v>
      </c>
      <c r="G2106" s="1">
        <v>1</v>
      </c>
      <c r="H2106" s="7">
        <v>45560</v>
      </c>
      <c r="I2106" s="1" t="s">
        <v>7449</v>
      </c>
      <c r="J2106" s="7">
        <v>45560</v>
      </c>
      <c r="K2106" s="1" t="s">
        <v>7449</v>
      </c>
    </row>
    <row r="2107" spans="1:11" x14ac:dyDescent="0.25">
      <c r="A2107" s="1">
        <v>2106</v>
      </c>
      <c r="B2107" s="1" t="s">
        <v>6514</v>
      </c>
      <c r="C2107" s="1" t="s">
        <v>6515</v>
      </c>
      <c r="G2107" s="1">
        <v>1</v>
      </c>
      <c r="H2107" s="7">
        <v>45560</v>
      </c>
      <c r="I2107" s="1" t="s">
        <v>7449</v>
      </c>
      <c r="J2107" s="7">
        <v>45560</v>
      </c>
      <c r="K2107" s="1" t="s">
        <v>7449</v>
      </c>
    </row>
    <row r="2108" spans="1:11" x14ac:dyDescent="0.25">
      <c r="A2108" s="1">
        <v>2107</v>
      </c>
      <c r="B2108" s="1" t="s">
        <v>6516</v>
      </c>
      <c r="C2108" s="1" t="s">
        <v>6517</v>
      </c>
      <c r="G2108" s="1">
        <v>1</v>
      </c>
      <c r="H2108" s="7">
        <v>45560</v>
      </c>
      <c r="I2108" s="1" t="s">
        <v>7449</v>
      </c>
      <c r="J2108" s="7">
        <v>45560</v>
      </c>
      <c r="K2108" s="1" t="s">
        <v>7449</v>
      </c>
    </row>
    <row r="2109" spans="1:11" x14ac:dyDescent="0.25">
      <c r="A2109" s="1">
        <v>2108</v>
      </c>
      <c r="B2109" s="1" t="s">
        <v>6518</v>
      </c>
      <c r="C2109" s="1" t="s">
        <v>6519</v>
      </c>
      <c r="G2109" s="1">
        <v>1</v>
      </c>
      <c r="H2109" s="7">
        <v>45560</v>
      </c>
      <c r="I2109" s="1" t="s">
        <v>7449</v>
      </c>
      <c r="J2109" s="7">
        <v>45560</v>
      </c>
      <c r="K2109" s="1" t="s">
        <v>7449</v>
      </c>
    </row>
    <row r="2110" spans="1:11" x14ac:dyDescent="0.25">
      <c r="A2110" s="1">
        <v>2109</v>
      </c>
      <c r="B2110" s="1" t="s">
        <v>6520</v>
      </c>
      <c r="C2110" s="1" t="s">
        <v>6521</v>
      </c>
      <c r="G2110" s="1">
        <v>1</v>
      </c>
      <c r="H2110" s="7">
        <v>45560</v>
      </c>
      <c r="I2110" s="1" t="s">
        <v>7449</v>
      </c>
      <c r="J2110" s="7">
        <v>45560</v>
      </c>
      <c r="K2110" s="1" t="s">
        <v>7449</v>
      </c>
    </row>
    <row r="2111" spans="1:11" x14ac:dyDescent="0.25">
      <c r="A2111" s="1">
        <v>2110</v>
      </c>
      <c r="B2111" s="1" t="s">
        <v>6522</v>
      </c>
      <c r="C2111" s="1" t="s">
        <v>6523</v>
      </c>
      <c r="G2111" s="1">
        <v>1</v>
      </c>
      <c r="H2111" s="7">
        <v>45560</v>
      </c>
      <c r="I2111" s="1" t="s">
        <v>7449</v>
      </c>
      <c r="J2111" s="7">
        <v>45560</v>
      </c>
      <c r="K2111" s="1" t="s">
        <v>7449</v>
      </c>
    </row>
    <row r="2112" spans="1:11" x14ac:dyDescent="0.25">
      <c r="A2112" s="1">
        <v>2111</v>
      </c>
      <c r="B2112" s="1" t="s">
        <v>6524</v>
      </c>
      <c r="C2112" s="1" t="s">
        <v>6525</v>
      </c>
      <c r="G2112" s="1">
        <v>1</v>
      </c>
      <c r="H2112" s="7">
        <v>45560</v>
      </c>
      <c r="I2112" s="1" t="s">
        <v>7449</v>
      </c>
      <c r="J2112" s="7">
        <v>45560</v>
      </c>
      <c r="K2112" s="1" t="s">
        <v>7449</v>
      </c>
    </row>
    <row r="2113" spans="1:11" x14ac:dyDescent="0.25">
      <c r="A2113" s="1">
        <v>2112</v>
      </c>
      <c r="B2113" s="1" t="s">
        <v>6526</v>
      </c>
      <c r="C2113" s="1" t="s">
        <v>6527</v>
      </c>
      <c r="G2113" s="1">
        <v>1</v>
      </c>
      <c r="H2113" s="7">
        <v>45560</v>
      </c>
      <c r="I2113" s="1" t="s">
        <v>7449</v>
      </c>
      <c r="J2113" s="7">
        <v>45560</v>
      </c>
      <c r="K2113" s="1" t="s">
        <v>7449</v>
      </c>
    </row>
    <row r="2114" spans="1:11" x14ac:dyDescent="0.25">
      <c r="A2114" s="1">
        <v>2113</v>
      </c>
      <c r="B2114" s="1" t="s">
        <v>6528</v>
      </c>
      <c r="C2114" s="1" t="s">
        <v>6529</v>
      </c>
      <c r="G2114" s="1">
        <v>1</v>
      </c>
      <c r="H2114" s="7">
        <v>45560</v>
      </c>
      <c r="I2114" s="1" t="s">
        <v>7449</v>
      </c>
      <c r="J2114" s="7">
        <v>45560</v>
      </c>
      <c r="K2114" s="1" t="s">
        <v>7449</v>
      </c>
    </row>
    <row r="2115" spans="1:11" x14ac:dyDescent="0.25">
      <c r="A2115" s="1">
        <v>2114</v>
      </c>
      <c r="B2115" s="1" t="s">
        <v>6530</v>
      </c>
      <c r="C2115" s="1" t="s">
        <v>6531</v>
      </c>
      <c r="G2115" s="1">
        <v>1</v>
      </c>
      <c r="H2115" s="7">
        <v>45560</v>
      </c>
      <c r="I2115" s="1" t="s">
        <v>7449</v>
      </c>
      <c r="J2115" s="7">
        <v>45560</v>
      </c>
      <c r="K2115" s="1" t="s">
        <v>7449</v>
      </c>
    </row>
    <row r="2116" spans="1:11" x14ac:dyDescent="0.25">
      <c r="A2116" s="1">
        <v>2115</v>
      </c>
      <c r="B2116" s="1" t="s">
        <v>6532</v>
      </c>
      <c r="C2116" s="1" t="s">
        <v>6533</v>
      </c>
      <c r="G2116" s="1">
        <v>1</v>
      </c>
      <c r="H2116" s="7">
        <v>45560</v>
      </c>
      <c r="I2116" s="1" t="s">
        <v>7449</v>
      </c>
      <c r="J2116" s="7">
        <v>45560</v>
      </c>
      <c r="K2116" s="1" t="s">
        <v>7449</v>
      </c>
    </row>
    <row r="2117" spans="1:11" x14ac:dyDescent="0.25">
      <c r="A2117" s="1">
        <v>2116</v>
      </c>
      <c r="B2117" s="1" t="s">
        <v>6534</v>
      </c>
      <c r="C2117" s="1" t="s">
        <v>6535</v>
      </c>
      <c r="G2117" s="1">
        <v>1</v>
      </c>
      <c r="H2117" s="7">
        <v>45560</v>
      </c>
      <c r="I2117" s="1" t="s">
        <v>7449</v>
      </c>
      <c r="J2117" s="7">
        <v>45560</v>
      </c>
      <c r="K2117" s="1" t="s">
        <v>7449</v>
      </c>
    </row>
    <row r="2118" spans="1:11" x14ac:dyDescent="0.25">
      <c r="A2118" s="1">
        <v>2117</v>
      </c>
      <c r="B2118" s="1" t="s">
        <v>6536</v>
      </c>
      <c r="C2118" s="1" t="s">
        <v>6537</v>
      </c>
      <c r="D2118" s="1" t="s">
        <v>6538</v>
      </c>
      <c r="G2118" s="1">
        <v>1</v>
      </c>
      <c r="H2118" s="7">
        <v>45560</v>
      </c>
      <c r="I2118" s="1" t="s">
        <v>7449</v>
      </c>
      <c r="J2118" s="7">
        <v>45560</v>
      </c>
      <c r="K2118" s="1" t="s">
        <v>7449</v>
      </c>
    </row>
    <row r="2119" spans="1:11" x14ac:dyDescent="0.25">
      <c r="A2119" s="1">
        <v>2118</v>
      </c>
      <c r="B2119" s="1" t="s">
        <v>6539</v>
      </c>
      <c r="C2119" s="1" t="s">
        <v>6540</v>
      </c>
      <c r="G2119" s="1">
        <v>1</v>
      </c>
      <c r="H2119" s="7">
        <v>45560</v>
      </c>
      <c r="I2119" s="1" t="s">
        <v>7449</v>
      </c>
      <c r="J2119" s="7">
        <v>45560</v>
      </c>
      <c r="K2119" s="1" t="s">
        <v>7449</v>
      </c>
    </row>
    <row r="2120" spans="1:11" x14ac:dyDescent="0.25">
      <c r="A2120" s="1">
        <v>2119</v>
      </c>
      <c r="B2120" s="1" t="s">
        <v>6541</v>
      </c>
      <c r="C2120" s="1" t="s">
        <v>6542</v>
      </c>
      <c r="G2120" s="1">
        <v>1</v>
      </c>
      <c r="H2120" s="7">
        <v>45560</v>
      </c>
      <c r="I2120" s="1" t="s">
        <v>7449</v>
      </c>
      <c r="J2120" s="7">
        <v>45560</v>
      </c>
      <c r="K2120" s="1" t="s">
        <v>7449</v>
      </c>
    </row>
    <row r="2121" spans="1:11" x14ac:dyDescent="0.25">
      <c r="A2121" s="1">
        <v>2120</v>
      </c>
      <c r="B2121" s="1" t="s">
        <v>6543</v>
      </c>
      <c r="C2121" s="1" t="s">
        <v>6544</v>
      </c>
      <c r="G2121" s="1">
        <v>1</v>
      </c>
      <c r="H2121" s="7">
        <v>45560</v>
      </c>
      <c r="I2121" s="1" t="s">
        <v>7449</v>
      </c>
      <c r="J2121" s="7">
        <v>45560</v>
      </c>
      <c r="K2121" s="1" t="s">
        <v>7449</v>
      </c>
    </row>
    <row r="2122" spans="1:11" x14ac:dyDescent="0.25">
      <c r="A2122" s="1">
        <v>2121</v>
      </c>
      <c r="B2122" s="1" t="s">
        <v>6545</v>
      </c>
      <c r="C2122" s="1" t="s">
        <v>6546</v>
      </c>
      <c r="D2122" s="1" t="s">
        <v>6547</v>
      </c>
      <c r="G2122" s="1">
        <v>1</v>
      </c>
      <c r="H2122" s="7">
        <v>45560</v>
      </c>
      <c r="I2122" s="1" t="s">
        <v>7449</v>
      </c>
      <c r="J2122" s="7">
        <v>45560</v>
      </c>
      <c r="K2122" s="1" t="s">
        <v>7449</v>
      </c>
    </row>
    <row r="2123" spans="1:11" x14ac:dyDescent="0.25">
      <c r="A2123" s="1">
        <v>2122</v>
      </c>
      <c r="B2123" s="1" t="s">
        <v>6548</v>
      </c>
      <c r="C2123" s="1" t="s">
        <v>6549</v>
      </c>
      <c r="G2123" s="1">
        <v>1</v>
      </c>
      <c r="H2123" s="7">
        <v>45560</v>
      </c>
      <c r="I2123" s="1" t="s">
        <v>7449</v>
      </c>
      <c r="J2123" s="7">
        <v>45560</v>
      </c>
      <c r="K2123" s="1" t="s">
        <v>7449</v>
      </c>
    </row>
    <row r="2124" spans="1:11" x14ac:dyDescent="0.25">
      <c r="A2124" s="1">
        <v>2123</v>
      </c>
      <c r="B2124" s="1" t="s">
        <v>6550</v>
      </c>
      <c r="C2124" s="1" t="s">
        <v>6551</v>
      </c>
      <c r="G2124" s="1">
        <v>1</v>
      </c>
      <c r="H2124" s="7">
        <v>45560</v>
      </c>
      <c r="I2124" s="1" t="s">
        <v>7449</v>
      </c>
      <c r="J2124" s="7">
        <v>45560</v>
      </c>
      <c r="K2124" s="1" t="s">
        <v>7449</v>
      </c>
    </row>
    <row r="2125" spans="1:11" x14ac:dyDescent="0.25">
      <c r="A2125" s="1">
        <v>2124</v>
      </c>
      <c r="B2125" s="1" t="s">
        <v>6552</v>
      </c>
      <c r="C2125" s="1" t="s">
        <v>6553</v>
      </c>
      <c r="G2125" s="1">
        <v>1</v>
      </c>
      <c r="H2125" s="7">
        <v>45560</v>
      </c>
      <c r="I2125" s="1" t="s">
        <v>7449</v>
      </c>
      <c r="J2125" s="7">
        <v>45560</v>
      </c>
      <c r="K2125" s="1" t="s">
        <v>7449</v>
      </c>
    </row>
    <row r="2126" spans="1:11" x14ac:dyDescent="0.25">
      <c r="A2126" s="1">
        <v>2125</v>
      </c>
      <c r="B2126" s="1" t="s">
        <v>6554</v>
      </c>
      <c r="C2126" s="1" t="s">
        <v>6555</v>
      </c>
      <c r="G2126" s="1">
        <v>1</v>
      </c>
      <c r="H2126" s="7">
        <v>45560</v>
      </c>
      <c r="I2126" s="1" t="s">
        <v>7449</v>
      </c>
      <c r="J2126" s="7">
        <v>45560</v>
      </c>
      <c r="K2126" s="1" t="s">
        <v>7449</v>
      </c>
    </row>
    <row r="2127" spans="1:11" x14ac:dyDescent="0.25">
      <c r="A2127" s="1">
        <v>2126</v>
      </c>
      <c r="B2127" s="1" t="s">
        <v>6556</v>
      </c>
      <c r="C2127" s="1" t="s">
        <v>6557</v>
      </c>
      <c r="G2127" s="1">
        <v>1</v>
      </c>
      <c r="H2127" s="7">
        <v>45560</v>
      </c>
      <c r="I2127" s="1" t="s">
        <v>7449</v>
      </c>
      <c r="J2127" s="7">
        <v>45560</v>
      </c>
      <c r="K2127" s="1" t="s">
        <v>7449</v>
      </c>
    </row>
    <row r="2128" spans="1:11" x14ac:dyDescent="0.25">
      <c r="A2128" s="1">
        <v>2127</v>
      </c>
      <c r="B2128" s="1" t="s">
        <v>6558</v>
      </c>
      <c r="C2128" s="1" t="s">
        <v>6559</v>
      </c>
      <c r="G2128" s="1">
        <v>1</v>
      </c>
      <c r="H2128" s="7">
        <v>45560</v>
      </c>
      <c r="I2128" s="1" t="s">
        <v>7449</v>
      </c>
      <c r="J2128" s="7">
        <v>45560</v>
      </c>
      <c r="K2128" s="1" t="s">
        <v>7449</v>
      </c>
    </row>
    <row r="2129" spans="1:11" x14ac:dyDescent="0.25">
      <c r="A2129" s="1">
        <v>2128</v>
      </c>
      <c r="B2129" s="1" t="s">
        <v>6560</v>
      </c>
      <c r="C2129" s="1" t="s">
        <v>6561</v>
      </c>
      <c r="G2129" s="1">
        <v>1</v>
      </c>
      <c r="H2129" s="7">
        <v>45560</v>
      </c>
      <c r="I2129" s="1" t="s">
        <v>7449</v>
      </c>
      <c r="J2129" s="7">
        <v>45560</v>
      </c>
      <c r="K2129" s="1" t="s">
        <v>7449</v>
      </c>
    </row>
    <row r="2130" spans="1:11" x14ac:dyDescent="0.25">
      <c r="A2130" s="1">
        <v>2129</v>
      </c>
      <c r="B2130" s="1" t="s">
        <v>6562</v>
      </c>
      <c r="C2130" s="1" t="s">
        <v>6563</v>
      </c>
      <c r="G2130" s="1">
        <v>1</v>
      </c>
      <c r="H2130" s="7">
        <v>45560</v>
      </c>
      <c r="I2130" s="1" t="s">
        <v>7449</v>
      </c>
      <c r="J2130" s="7">
        <v>45560</v>
      </c>
      <c r="K2130" s="1" t="s">
        <v>7449</v>
      </c>
    </row>
    <row r="2131" spans="1:11" x14ac:dyDescent="0.25">
      <c r="A2131" s="1">
        <v>2130</v>
      </c>
      <c r="B2131" s="1" t="s">
        <v>6564</v>
      </c>
      <c r="C2131" s="1" t="s">
        <v>6565</v>
      </c>
      <c r="G2131" s="1">
        <v>1</v>
      </c>
      <c r="H2131" s="7">
        <v>45560</v>
      </c>
      <c r="I2131" s="1" t="s">
        <v>7449</v>
      </c>
      <c r="J2131" s="7">
        <v>45560</v>
      </c>
      <c r="K2131" s="1" t="s">
        <v>7449</v>
      </c>
    </row>
    <row r="2132" spans="1:11" x14ac:dyDescent="0.25">
      <c r="A2132" s="1">
        <v>2131</v>
      </c>
      <c r="B2132" s="1" t="s">
        <v>6566</v>
      </c>
      <c r="C2132" s="1" t="s">
        <v>6567</v>
      </c>
      <c r="G2132" s="1">
        <v>1</v>
      </c>
      <c r="H2132" s="7">
        <v>45560</v>
      </c>
      <c r="I2132" s="1" t="s">
        <v>7449</v>
      </c>
      <c r="J2132" s="7">
        <v>45560</v>
      </c>
      <c r="K2132" s="1" t="s">
        <v>7449</v>
      </c>
    </row>
    <row r="2133" spans="1:11" x14ac:dyDescent="0.25">
      <c r="A2133" s="1">
        <v>2132</v>
      </c>
      <c r="B2133" s="1" t="s">
        <v>6568</v>
      </c>
      <c r="C2133" s="1" t="s">
        <v>6569</v>
      </c>
      <c r="G2133" s="1">
        <v>1</v>
      </c>
      <c r="H2133" s="7">
        <v>45560</v>
      </c>
      <c r="I2133" s="1" t="s">
        <v>7449</v>
      </c>
      <c r="J2133" s="7">
        <v>45560</v>
      </c>
      <c r="K2133" s="1" t="s">
        <v>7449</v>
      </c>
    </row>
    <row r="2134" spans="1:11" x14ac:dyDescent="0.25">
      <c r="A2134" s="1">
        <v>2133</v>
      </c>
      <c r="B2134" s="1" t="s">
        <v>6570</v>
      </c>
      <c r="C2134" s="1" t="s">
        <v>6571</v>
      </c>
      <c r="G2134" s="1">
        <v>1</v>
      </c>
      <c r="H2134" s="7">
        <v>45560</v>
      </c>
      <c r="I2134" s="1" t="s">
        <v>7449</v>
      </c>
      <c r="J2134" s="7">
        <v>45560</v>
      </c>
      <c r="K2134" s="1" t="s">
        <v>7449</v>
      </c>
    </row>
    <row r="2135" spans="1:11" x14ac:dyDescent="0.25">
      <c r="A2135" s="1">
        <v>2134</v>
      </c>
      <c r="B2135" s="1" t="s">
        <v>6572</v>
      </c>
      <c r="C2135" s="1" t="s">
        <v>6573</v>
      </c>
      <c r="G2135" s="1">
        <v>1</v>
      </c>
      <c r="H2135" s="7">
        <v>45560</v>
      </c>
      <c r="I2135" s="1" t="s">
        <v>7449</v>
      </c>
      <c r="J2135" s="7">
        <v>45560</v>
      </c>
      <c r="K2135" s="1" t="s">
        <v>7449</v>
      </c>
    </row>
    <row r="2136" spans="1:11" x14ac:dyDescent="0.25">
      <c r="A2136" s="1">
        <v>2135</v>
      </c>
      <c r="B2136" s="1" t="s">
        <v>6574</v>
      </c>
      <c r="C2136" s="1" t="s">
        <v>6575</v>
      </c>
      <c r="D2136" s="1" t="s">
        <v>6576</v>
      </c>
      <c r="G2136" s="1">
        <v>1</v>
      </c>
      <c r="H2136" s="7">
        <v>45560</v>
      </c>
      <c r="I2136" s="1" t="s">
        <v>7449</v>
      </c>
      <c r="J2136" s="7">
        <v>45560</v>
      </c>
      <c r="K2136" s="1" t="s">
        <v>7449</v>
      </c>
    </row>
    <row r="2137" spans="1:11" x14ac:dyDescent="0.25">
      <c r="A2137" s="1">
        <v>2136</v>
      </c>
      <c r="B2137" s="1" t="s">
        <v>6577</v>
      </c>
      <c r="C2137" s="1" t="s">
        <v>6578</v>
      </c>
      <c r="G2137" s="1">
        <v>1</v>
      </c>
      <c r="H2137" s="7">
        <v>45560</v>
      </c>
      <c r="I2137" s="1" t="s">
        <v>7449</v>
      </c>
      <c r="J2137" s="7">
        <v>45560</v>
      </c>
      <c r="K2137" s="1" t="s">
        <v>7449</v>
      </c>
    </row>
    <row r="2138" spans="1:11" x14ac:dyDescent="0.25">
      <c r="A2138" s="1">
        <v>2137</v>
      </c>
      <c r="B2138" s="1" t="s">
        <v>6579</v>
      </c>
      <c r="C2138" s="1" t="s">
        <v>6580</v>
      </c>
      <c r="G2138" s="1">
        <v>1</v>
      </c>
      <c r="H2138" s="7">
        <v>45560</v>
      </c>
      <c r="I2138" s="1" t="s">
        <v>7449</v>
      </c>
      <c r="J2138" s="7">
        <v>45560</v>
      </c>
      <c r="K2138" s="1" t="s">
        <v>7449</v>
      </c>
    </row>
    <row r="2139" spans="1:11" x14ac:dyDescent="0.25">
      <c r="A2139" s="1">
        <v>2138</v>
      </c>
      <c r="B2139" s="1" t="s">
        <v>6581</v>
      </c>
      <c r="C2139" s="1" t="s">
        <v>6582</v>
      </c>
      <c r="G2139" s="1">
        <v>1</v>
      </c>
      <c r="H2139" s="7">
        <v>45560</v>
      </c>
      <c r="I2139" s="1" t="s">
        <v>7449</v>
      </c>
      <c r="J2139" s="7">
        <v>45560</v>
      </c>
      <c r="K2139" s="1" t="s">
        <v>7449</v>
      </c>
    </row>
    <row r="2140" spans="1:11" x14ac:dyDescent="0.25">
      <c r="A2140" s="1">
        <v>2139</v>
      </c>
      <c r="B2140" s="1" t="s">
        <v>6583</v>
      </c>
      <c r="C2140" s="1" t="s">
        <v>6584</v>
      </c>
      <c r="G2140" s="1">
        <v>1</v>
      </c>
      <c r="H2140" s="7">
        <v>45560</v>
      </c>
      <c r="I2140" s="1" t="s">
        <v>7449</v>
      </c>
      <c r="J2140" s="7">
        <v>45560</v>
      </c>
      <c r="K2140" s="1" t="s">
        <v>7449</v>
      </c>
    </row>
    <row r="2141" spans="1:11" x14ac:dyDescent="0.25">
      <c r="A2141" s="1">
        <v>2140</v>
      </c>
      <c r="B2141" s="1" t="s">
        <v>6585</v>
      </c>
      <c r="C2141" s="1" t="s">
        <v>6586</v>
      </c>
      <c r="G2141" s="1">
        <v>1</v>
      </c>
      <c r="H2141" s="7">
        <v>45560</v>
      </c>
      <c r="I2141" s="1" t="s">
        <v>7449</v>
      </c>
      <c r="J2141" s="7">
        <v>45560</v>
      </c>
      <c r="K2141" s="1" t="s">
        <v>7449</v>
      </c>
    </row>
    <row r="2142" spans="1:11" x14ac:dyDescent="0.25">
      <c r="A2142" s="1">
        <v>2141</v>
      </c>
      <c r="B2142" s="1" t="s">
        <v>6587</v>
      </c>
      <c r="C2142" s="1" t="s">
        <v>6588</v>
      </c>
      <c r="G2142" s="1">
        <v>1</v>
      </c>
      <c r="H2142" s="7">
        <v>45560</v>
      </c>
      <c r="I2142" s="1" t="s">
        <v>7449</v>
      </c>
      <c r="J2142" s="7">
        <v>45560</v>
      </c>
      <c r="K2142" s="1" t="s">
        <v>7449</v>
      </c>
    </row>
    <row r="2143" spans="1:11" x14ac:dyDescent="0.25">
      <c r="A2143" s="1">
        <v>2142</v>
      </c>
      <c r="B2143" s="1" t="s">
        <v>6589</v>
      </c>
      <c r="C2143" s="1" t="s">
        <v>6590</v>
      </c>
      <c r="G2143" s="1">
        <v>1</v>
      </c>
      <c r="H2143" s="7">
        <v>45560</v>
      </c>
      <c r="I2143" s="1" t="s">
        <v>7449</v>
      </c>
      <c r="J2143" s="7">
        <v>45560</v>
      </c>
      <c r="K2143" s="1" t="s">
        <v>7449</v>
      </c>
    </row>
    <row r="2144" spans="1:11" x14ac:dyDescent="0.25">
      <c r="A2144" s="1">
        <v>2143</v>
      </c>
      <c r="B2144" s="1" t="s">
        <v>6591</v>
      </c>
      <c r="C2144" s="1" t="s">
        <v>6592</v>
      </c>
      <c r="G2144" s="1">
        <v>1</v>
      </c>
      <c r="H2144" s="7">
        <v>45560</v>
      </c>
      <c r="I2144" s="1" t="s">
        <v>7449</v>
      </c>
      <c r="J2144" s="7">
        <v>45560</v>
      </c>
      <c r="K2144" s="1" t="s">
        <v>7449</v>
      </c>
    </row>
    <row r="2145" spans="1:11" x14ac:dyDescent="0.25">
      <c r="A2145" s="1">
        <v>2144</v>
      </c>
      <c r="B2145" s="1" t="s">
        <v>6593</v>
      </c>
      <c r="C2145" s="1" t="s">
        <v>6594</v>
      </c>
      <c r="G2145" s="1">
        <v>1</v>
      </c>
      <c r="H2145" s="7">
        <v>45560</v>
      </c>
      <c r="I2145" s="1" t="s">
        <v>7449</v>
      </c>
      <c r="J2145" s="7">
        <v>45560</v>
      </c>
      <c r="K2145" s="1" t="s">
        <v>7449</v>
      </c>
    </row>
    <row r="2146" spans="1:11" x14ac:dyDescent="0.25">
      <c r="A2146" s="1">
        <v>2145</v>
      </c>
      <c r="B2146" s="1" t="s">
        <v>6595</v>
      </c>
      <c r="C2146" s="1" t="s">
        <v>6596</v>
      </c>
      <c r="G2146" s="1">
        <v>1</v>
      </c>
      <c r="H2146" s="7">
        <v>45560</v>
      </c>
      <c r="I2146" s="1" t="s">
        <v>7449</v>
      </c>
      <c r="J2146" s="7">
        <v>45560</v>
      </c>
      <c r="K2146" s="1" t="s">
        <v>7449</v>
      </c>
    </row>
    <row r="2147" spans="1:11" x14ac:dyDescent="0.25">
      <c r="A2147" s="1">
        <v>2146</v>
      </c>
      <c r="B2147" s="1" t="s">
        <v>6597</v>
      </c>
      <c r="C2147" s="1" t="s">
        <v>6598</v>
      </c>
      <c r="G2147" s="1">
        <v>1</v>
      </c>
      <c r="H2147" s="7">
        <v>45560</v>
      </c>
      <c r="I2147" s="1" t="s">
        <v>7449</v>
      </c>
      <c r="J2147" s="7">
        <v>45560</v>
      </c>
      <c r="K2147" s="1" t="s">
        <v>7449</v>
      </c>
    </row>
    <row r="2148" spans="1:11" x14ac:dyDescent="0.25">
      <c r="A2148" s="1">
        <v>2147</v>
      </c>
      <c r="B2148" s="1" t="s">
        <v>6599</v>
      </c>
      <c r="C2148" s="1" t="s">
        <v>6600</v>
      </c>
      <c r="G2148" s="1">
        <v>1</v>
      </c>
      <c r="H2148" s="7">
        <v>45560</v>
      </c>
      <c r="I2148" s="1" t="s">
        <v>7449</v>
      </c>
      <c r="J2148" s="7">
        <v>45560</v>
      </c>
      <c r="K2148" s="1" t="s">
        <v>7449</v>
      </c>
    </row>
    <row r="2149" spans="1:11" x14ac:dyDescent="0.25">
      <c r="A2149" s="1">
        <v>2148</v>
      </c>
      <c r="B2149" s="1" t="s">
        <v>6601</v>
      </c>
      <c r="C2149" s="1" t="s">
        <v>6602</v>
      </c>
      <c r="G2149" s="1">
        <v>1</v>
      </c>
      <c r="H2149" s="7">
        <v>45560</v>
      </c>
      <c r="I2149" s="1" t="s">
        <v>7449</v>
      </c>
      <c r="J2149" s="7">
        <v>45560</v>
      </c>
      <c r="K2149" s="1" t="s">
        <v>7449</v>
      </c>
    </row>
    <row r="2150" spans="1:11" x14ac:dyDescent="0.25">
      <c r="A2150" s="1">
        <v>2149</v>
      </c>
      <c r="B2150" s="1" t="s">
        <v>6603</v>
      </c>
      <c r="C2150" s="1" t="s">
        <v>6604</v>
      </c>
      <c r="G2150" s="1">
        <v>1</v>
      </c>
      <c r="H2150" s="7">
        <v>45560</v>
      </c>
      <c r="I2150" s="1" t="s">
        <v>7449</v>
      </c>
      <c r="J2150" s="7">
        <v>45560</v>
      </c>
      <c r="K2150" s="1" t="s">
        <v>7449</v>
      </c>
    </row>
    <row r="2151" spans="1:11" x14ac:dyDescent="0.25">
      <c r="A2151" s="1">
        <v>2150</v>
      </c>
      <c r="B2151" s="1" t="s">
        <v>6605</v>
      </c>
      <c r="C2151" s="1" t="s">
        <v>6606</v>
      </c>
      <c r="G2151" s="1">
        <v>1</v>
      </c>
      <c r="H2151" s="7">
        <v>45560</v>
      </c>
      <c r="I2151" s="1" t="s">
        <v>7449</v>
      </c>
      <c r="J2151" s="7">
        <v>45560</v>
      </c>
      <c r="K2151" s="1" t="s">
        <v>7449</v>
      </c>
    </row>
    <row r="2152" spans="1:11" x14ac:dyDescent="0.25">
      <c r="A2152" s="1">
        <v>2151</v>
      </c>
      <c r="B2152" s="1" t="s">
        <v>6607</v>
      </c>
      <c r="C2152" s="1" t="s">
        <v>6371</v>
      </c>
      <c r="G2152" s="1">
        <v>1</v>
      </c>
      <c r="H2152" s="7">
        <v>45560</v>
      </c>
      <c r="I2152" s="1" t="s">
        <v>7449</v>
      </c>
      <c r="J2152" s="7">
        <v>45560</v>
      </c>
      <c r="K2152" s="1" t="s">
        <v>7449</v>
      </c>
    </row>
    <row r="2153" spans="1:11" x14ac:dyDescent="0.25">
      <c r="A2153" s="1">
        <v>2152</v>
      </c>
      <c r="B2153" s="1" t="s">
        <v>6608</v>
      </c>
      <c r="C2153" s="1" t="s">
        <v>6609</v>
      </c>
      <c r="G2153" s="1">
        <v>1</v>
      </c>
      <c r="H2153" s="7">
        <v>45560</v>
      </c>
      <c r="I2153" s="1" t="s">
        <v>7449</v>
      </c>
      <c r="J2153" s="7">
        <v>45560</v>
      </c>
      <c r="K2153" s="1" t="s">
        <v>7449</v>
      </c>
    </row>
    <row r="2154" spans="1:11" x14ac:dyDescent="0.25">
      <c r="A2154" s="1">
        <v>2153</v>
      </c>
      <c r="B2154" s="1" t="s">
        <v>6610</v>
      </c>
      <c r="C2154" s="1" t="s">
        <v>6611</v>
      </c>
      <c r="G2154" s="1">
        <v>1</v>
      </c>
      <c r="H2154" s="7">
        <v>45560</v>
      </c>
      <c r="I2154" s="1" t="s">
        <v>7449</v>
      </c>
      <c r="J2154" s="7">
        <v>45560</v>
      </c>
      <c r="K2154" s="1" t="s">
        <v>7449</v>
      </c>
    </row>
    <row r="2155" spans="1:11" x14ac:dyDescent="0.25">
      <c r="A2155" s="1">
        <v>2154</v>
      </c>
      <c r="B2155" s="1" t="s">
        <v>6612</v>
      </c>
      <c r="C2155" s="1" t="s">
        <v>6613</v>
      </c>
      <c r="G2155" s="1">
        <v>1</v>
      </c>
      <c r="H2155" s="7">
        <v>45560</v>
      </c>
      <c r="I2155" s="1" t="s">
        <v>7449</v>
      </c>
      <c r="J2155" s="7">
        <v>45560</v>
      </c>
      <c r="K2155" s="1" t="s">
        <v>7449</v>
      </c>
    </row>
    <row r="2156" spans="1:11" x14ac:dyDescent="0.25">
      <c r="A2156" s="1">
        <v>2155</v>
      </c>
      <c r="B2156" s="1" t="s">
        <v>6614</v>
      </c>
      <c r="C2156" s="1" t="s">
        <v>6615</v>
      </c>
      <c r="G2156" s="1">
        <v>1</v>
      </c>
      <c r="H2156" s="7">
        <v>45560</v>
      </c>
      <c r="I2156" s="1" t="s">
        <v>7449</v>
      </c>
      <c r="J2156" s="7">
        <v>45560</v>
      </c>
      <c r="K2156" s="1" t="s">
        <v>7449</v>
      </c>
    </row>
    <row r="2157" spans="1:11" x14ac:dyDescent="0.25">
      <c r="A2157" s="1">
        <v>2156</v>
      </c>
      <c r="B2157" s="1" t="s">
        <v>6616</v>
      </c>
      <c r="C2157" s="1" t="s">
        <v>6617</v>
      </c>
      <c r="G2157" s="1">
        <v>1</v>
      </c>
      <c r="H2157" s="7">
        <v>45560</v>
      </c>
      <c r="I2157" s="1" t="s">
        <v>7449</v>
      </c>
      <c r="J2157" s="7">
        <v>45560</v>
      </c>
      <c r="K2157" s="1" t="s">
        <v>7449</v>
      </c>
    </row>
    <row r="2158" spans="1:11" x14ac:dyDescent="0.25">
      <c r="A2158" s="1">
        <v>2157</v>
      </c>
      <c r="B2158" s="1" t="s">
        <v>6618</v>
      </c>
      <c r="C2158" s="1" t="s">
        <v>6619</v>
      </c>
      <c r="G2158" s="1">
        <v>1</v>
      </c>
      <c r="H2158" s="7">
        <v>45560</v>
      </c>
      <c r="I2158" s="1" t="s">
        <v>7449</v>
      </c>
      <c r="J2158" s="7">
        <v>45560</v>
      </c>
      <c r="K2158" s="1" t="s">
        <v>7449</v>
      </c>
    </row>
    <row r="2159" spans="1:11" x14ac:dyDescent="0.25">
      <c r="A2159" s="1">
        <v>2158</v>
      </c>
      <c r="B2159" s="1" t="s">
        <v>6620</v>
      </c>
      <c r="C2159" s="1" t="s">
        <v>6621</v>
      </c>
      <c r="G2159" s="1">
        <v>1</v>
      </c>
      <c r="H2159" s="7">
        <v>45560</v>
      </c>
      <c r="I2159" s="1" t="s">
        <v>7449</v>
      </c>
      <c r="J2159" s="7">
        <v>45560</v>
      </c>
      <c r="K2159" s="1" t="s">
        <v>7449</v>
      </c>
    </row>
    <row r="2160" spans="1:11" x14ac:dyDescent="0.25">
      <c r="A2160" s="1">
        <v>2159</v>
      </c>
      <c r="B2160" s="1" t="s">
        <v>6622</v>
      </c>
      <c r="C2160" s="1" t="s">
        <v>6623</v>
      </c>
      <c r="D2160" s="1" t="s">
        <v>6624</v>
      </c>
      <c r="G2160" s="1">
        <v>1</v>
      </c>
      <c r="H2160" s="7">
        <v>45560</v>
      </c>
      <c r="I2160" s="1" t="s">
        <v>7449</v>
      </c>
      <c r="J2160" s="7">
        <v>45560</v>
      </c>
      <c r="K2160" s="1" t="s">
        <v>7449</v>
      </c>
    </row>
    <row r="2161" spans="1:11" x14ac:dyDescent="0.25">
      <c r="A2161" s="1">
        <v>2160</v>
      </c>
      <c r="B2161" s="1" t="s">
        <v>6625</v>
      </c>
      <c r="C2161" s="1" t="s">
        <v>6626</v>
      </c>
      <c r="G2161" s="1">
        <v>1</v>
      </c>
      <c r="H2161" s="7">
        <v>45560</v>
      </c>
      <c r="I2161" s="1" t="s">
        <v>7449</v>
      </c>
      <c r="J2161" s="7">
        <v>45560</v>
      </c>
      <c r="K2161" s="1" t="s">
        <v>7449</v>
      </c>
    </row>
    <row r="2162" spans="1:11" x14ac:dyDescent="0.25">
      <c r="A2162" s="1">
        <v>2161</v>
      </c>
      <c r="B2162" s="1" t="s">
        <v>6627</v>
      </c>
      <c r="C2162" s="1" t="s">
        <v>6628</v>
      </c>
      <c r="G2162" s="1">
        <v>1</v>
      </c>
      <c r="H2162" s="7">
        <v>45560</v>
      </c>
      <c r="I2162" s="1" t="s">
        <v>7449</v>
      </c>
      <c r="J2162" s="7">
        <v>45560</v>
      </c>
      <c r="K2162" s="1" t="s">
        <v>7449</v>
      </c>
    </row>
    <row r="2163" spans="1:11" x14ac:dyDescent="0.25">
      <c r="A2163" s="1">
        <v>2162</v>
      </c>
      <c r="B2163" s="1" t="s">
        <v>6629</v>
      </c>
      <c r="C2163" s="1" t="s">
        <v>6630</v>
      </c>
      <c r="D2163" s="1" t="s">
        <v>6631</v>
      </c>
      <c r="G2163" s="1">
        <v>1</v>
      </c>
      <c r="H2163" s="7">
        <v>45560</v>
      </c>
      <c r="I2163" s="1" t="s">
        <v>7449</v>
      </c>
      <c r="J2163" s="7">
        <v>45560</v>
      </c>
      <c r="K2163" s="1" t="s">
        <v>7449</v>
      </c>
    </row>
    <row r="2164" spans="1:11" x14ac:dyDescent="0.25">
      <c r="A2164" s="1">
        <v>2163</v>
      </c>
      <c r="B2164" s="1" t="s">
        <v>6632</v>
      </c>
      <c r="C2164" s="1" t="s">
        <v>6633</v>
      </c>
      <c r="D2164" s="1" t="s">
        <v>6634</v>
      </c>
      <c r="G2164" s="1">
        <v>1</v>
      </c>
      <c r="H2164" s="7">
        <v>45560</v>
      </c>
      <c r="I2164" s="1" t="s">
        <v>7449</v>
      </c>
      <c r="J2164" s="7">
        <v>45560</v>
      </c>
      <c r="K2164" s="1" t="s">
        <v>7449</v>
      </c>
    </row>
    <row r="2165" spans="1:11" x14ac:dyDescent="0.25">
      <c r="A2165" s="1">
        <v>2164</v>
      </c>
      <c r="B2165" s="1" t="s">
        <v>6635</v>
      </c>
      <c r="C2165" s="1" t="s">
        <v>6636</v>
      </c>
      <c r="G2165" s="1">
        <v>1</v>
      </c>
      <c r="H2165" s="7">
        <v>45560</v>
      </c>
      <c r="I2165" s="1" t="s">
        <v>7449</v>
      </c>
      <c r="J2165" s="7">
        <v>45560</v>
      </c>
      <c r="K2165" s="1" t="s">
        <v>7449</v>
      </c>
    </row>
    <row r="2166" spans="1:11" x14ac:dyDescent="0.25">
      <c r="A2166" s="1">
        <v>2165</v>
      </c>
      <c r="B2166" s="1" t="s">
        <v>6637</v>
      </c>
      <c r="C2166" s="1" t="s">
        <v>6638</v>
      </c>
      <c r="G2166" s="1">
        <v>1</v>
      </c>
      <c r="H2166" s="7">
        <v>45560</v>
      </c>
      <c r="I2166" s="1" t="s">
        <v>7449</v>
      </c>
      <c r="J2166" s="7">
        <v>45560</v>
      </c>
      <c r="K2166" s="1" t="s">
        <v>7449</v>
      </c>
    </row>
    <row r="2167" spans="1:11" x14ac:dyDescent="0.25">
      <c r="A2167" s="1">
        <v>2166</v>
      </c>
      <c r="B2167" s="1" t="s">
        <v>6639</v>
      </c>
      <c r="C2167" s="1" t="s">
        <v>6640</v>
      </c>
      <c r="G2167" s="1">
        <v>1</v>
      </c>
      <c r="H2167" s="7">
        <v>45560</v>
      </c>
      <c r="I2167" s="1" t="s">
        <v>7449</v>
      </c>
      <c r="J2167" s="7">
        <v>45560</v>
      </c>
      <c r="K2167" s="1" t="s">
        <v>7449</v>
      </c>
    </row>
    <row r="2168" spans="1:11" x14ac:dyDescent="0.25">
      <c r="A2168" s="1">
        <v>2167</v>
      </c>
      <c r="B2168" s="1" t="s">
        <v>6641</v>
      </c>
      <c r="C2168" s="1" t="s">
        <v>6642</v>
      </c>
      <c r="G2168" s="1">
        <v>1</v>
      </c>
      <c r="H2168" s="7">
        <v>45560</v>
      </c>
      <c r="I2168" s="1" t="s">
        <v>7449</v>
      </c>
      <c r="J2168" s="7">
        <v>45560</v>
      </c>
      <c r="K2168" s="1" t="s">
        <v>7449</v>
      </c>
    </row>
    <row r="2169" spans="1:11" x14ac:dyDescent="0.25">
      <c r="A2169" s="1">
        <v>2168</v>
      </c>
      <c r="B2169" s="1" t="s">
        <v>6643</v>
      </c>
      <c r="C2169" s="1" t="s">
        <v>6644</v>
      </c>
      <c r="G2169" s="1">
        <v>1</v>
      </c>
      <c r="H2169" s="7">
        <v>45560</v>
      </c>
      <c r="I2169" s="1" t="s">
        <v>7449</v>
      </c>
      <c r="J2169" s="7">
        <v>45560</v>
      </c>
      <c r="K2169" s="1" t="s">
        <v>7449</v>
      </c>
    </row>
    <row r="2170" spans="1:11" x14ac:dyDescent="0.25">
      <c r="A2170" s="1">
        <v>2169</v>
      </c>
      <c r="B2170" s="1" t="s">
        <v>6645</v>
      </c>
      <c r="C2170" s="1" t="s">
        <v>6646</v>
      </c>
      <c r="D2170" s="1" t="s">
        <v>6647</v>
      </c>
      <c r="G2170" s="1">
        <v>1</v>
      </c>
      <c r="H2170" s="7">
        <v>45560</v>
      </c>
      <c r="I2170" s="1" t="s">
        <v>7449</v>
      </c>
      <c r="J2170" s="7">
        <v>45560</v>
      </c>
      <c r="K2170" s="1" t="s">
        <v>7449</v>
      </c>
    </row>
    <row r="2171" spans="1:11" x14ac:dyDescent="0.25">
      <c r="A2171" s="1">
        <v>2170</v>
      </c>
      <c r="B2171" s="1" t="s">
        <v>6648</v>
      </c>
      <c r="C2171" s="1" t="s">
        <v>6649</v>
      </c>
      <c r="G2171" s="1">
        <v>1</v>
      </c>
      <c r="H2171" s="7">
        <v>45560</v>
      </c>
      <c r="I2171" s="1" t="s">
        <v>7449</v>
      </c>
      <c r="J2171" s="7">
        <v>45560</v>
      </c>
      <c r="K2171" s="1" t="s">
        <v>7449</v>
      </c>
    </row>
    <row r="2172" spans="1:11" x14ac:dyDescent="0.25">
      <c r="A2172" s="1">
        <v>2171</v>
      </c>
      <c r="B2172" s="1" t="s">
        <v>6650</v>
      </c>
      <c r="C2172" s="1" t="s">
        <v>6651</v>
      </c>
      <c r="D2172" s="1" t="s">
        <v>6652</v>
      </c>
      <c r="G2172" s="1">
        <v>1</v>
      </c>
      <c r="H2172" s="7">
        <v>45560</v>
      </c>
      <c r="I2172" s="1" t="s">
        <v>7449</v>
      </c>
      <c r="J2172" s="7">
        <v>45560</v>
      </c>
      <c r="K2172" s="1" t="s">
        <v>7449</v>
      </c>
    </row>
    <row r="2173" spans="1:11" x14ac:dyDescent="0.25">
      <c r="A2173" s="1">
        <v>2172</v>
      </c>
      <c r="B2173" s="1" t="s">
        <v>6653</v>
      </c>
      <c r="C2173" s="1" t="s">
        <v>1723</v>
      </c>
      <c r="G2173" s="1">
        <v>1</v>
      </c>
      <c r="H2173" s="7">
        <v>45560</v>
      </c>
      <c r="I2173" s="1" t="s">
        <v>7449</v>
      </c>
      <c r="J2173" s="7">
        <v>45560</v>
      </c>
      <c r="K2173" s="1" t="s">
        <v>7449</v>
      </c>
    </row>
    <row r="2174" spans="1:11" x14ac:dyDescent="0.25">
      <c r="A2174" s="1">
        <v>2173</v>
      </c>
      <c r="B2174" s="1" t="s">
        <v>6654</v>
      </c>
      <c r="C2174" s="1" t="s">
        <v>6655</v>
      </c>
      <c r="D2174" s="1" t="s">
        <v>6656</v>
      </c>
      <c r="G2174" s="1">
        <v>1</v>
      </c>
      <c r="H2174" s="7">
        <v>45560</v>
      </c>
      <c r="I2174" s="1" t="s">
        <v>7449</v>
      </c>
      <c r="J2174" s="7">
        <v>45560</v>
      </c>
      <c r="K2174" s="1" t="s">
        <v>7449</v>
      </c>
    </row>
    <row r="2175" spans="1:11" x14ac:dyDescent="0.25">
      <c r="A2175" s="1">
        <v>2174</v>
      </c>
      <c r="B2175" s="1" t="s">
        <v>6657</v>
      </c>
      <c r="C2175" s="1" t="s">
        <v>6658</v>
      </c>
      <c r="D2175" s="1" t="s">
        <v>6659</v>
      </c>
      <c r="G2175" s="1">
        <v>1</v>
      </c>
      <c r="H2175" s="7">
        <v>45560</v>
      </c>
      <c r="I2175" s="1" t="s">
        <v>7449</v>
      </c>
      <c r="J2175" s="7">
        <v>45560</v>
      </c>
      <c r="K2175" s="1" t="s">
        <v>7449</v>
      </c>
    </row>
    <row r="2176" spans="1:11" x14ac:dyDescent="0.25">
      <c r="A2176" s="1">
        <v>2175</v>
      </c>
      <c r="B2176" s="1" t="s">
        <v>6660</v>
      </c>
      <c r="C2176" s="1" t="s">
        <v>6661</v>
      </c>
      <c r="D2176" s="1" t="s">
        <v>6662</v>
      </c>
      <c r="G2176" s="1">
        <v>1</v>
      </c>
      <c r="H2176" s="7">
        <v>45560</v>
      </c>
      <c r="I2176" s="1" t="s">
        <v>7449</v>
      </c>
      <c r="J2176" s="7">
        <v>45560</v>
      </c>
      <c r="K2176" s="1" t="s">
        <v>7449</v>
      </c>
    </row>
    <row r="2177" spans="1:11" x14ac:dyDescent="0.25">
      <c r="A2177" s="1">
        <v>2176</v>
      </c>
      <c r="B2177" s="1" t="s">
        <v>6663</v>
      </c>
      <c r="C2177" s="1" t="s">
        <v>6664</v>
      </c>
      <c r="D2177" s="1" t="s">
        <v>6665</v>
      </c>
      <c r="G2177" s="1">
        <v>1</v>
      </c>
      <c r="H2177" s="7">
        <v>45560</v>
      </c>
      <c r="I2177" s="1" t="s">
        <v>7449</v>
      </c>
      <c r="J2177" s="7">
        <v>45560</v>
      </c>
      <c r="K2177" s="1" t="s">
        <v>7449</v>
      </c>
    </row>
    <row r="2178" spans="1:11" x14ac:dyDescent="0.25">
      <c r="A2178" s="1">
        <v>2177</v>
      </c>
      <c r="B2178" s="1" t="s">
        <v>6666</v>
      </c>
      <c r="C2178" s="1" t="s">
        <v>6667</v>
      </c>
      <c r="G2178" s="1">
        <v>1</v>
      </c>
      <c r="H2178" s="7">
        <v>45560</v>
      </c>
      <c r="I2178" s="1" t="s">
        <v>7449</v>
      </c>
      <c r="J2178" s="7">
        <v>45560</v>
      </c>
      <c r="K2178" s="1" t="s">
        <v>7449</v>
      </c>
    </row>
    <row r="2179" spans="1:11" x14ac:dyDescent="0.25">
      <c r="A2179" s="1">
        <v>2178</v>
      </c>
      <c r="B2179" s="1" t="s">
        <v>6668</v>
      </c>
      <c r="C2179" s="1" t="s">
        <v>6669</v>
      </c>
      <c r="G2179" s="1">
        <v>1</v>
      </c>
      <c r="H2179" s="7">
        <v>45560</v>
      </c>
      <c r="I2179" s="1" t="s">
        <v>7449</v>
      </c>
      <c r="J2179" s="7">
        <v>45560</v>
      </c>
      <c r="K2179" s="1" t="s">
        <v>7449</v>
      </c>
    </row>
    <row r="2180" spans="1:11" x14ac:dyDescent="0.25">
      <c r="A2180" s="1">
        <v>2179</v>
      </c>
      <c r="B2180" s="1" t="s">
        <v>6670</v>
      </c>
      <c r="C2180" s="1" t="s">
        <v>6671</v>
      </c>
      <c r="G2180" s="1">
        <v>1</v>
      </c>
      <c r="H2180" s="7">
        <v>45560</v>
      </c>
      <c r="I2180" s="1" t="s">
        <v>7449</v>
      </c>
      <c r="J2180" s="7">
        <v>45560</v>
      </c>
      <c r="K2180" s="1" t="s">
        <v>7449</v>
      </c>
    </row>
    <row r="2181" spans="1:11" x14ac:dyDescent="0.25">
      <c r="A2181" s="1">
        <v>2180</v>
      </c>
      <c r="B2181" s="1" t="s">
        <v>6672</v>
      </c>
      <c r="C2181" s="1" t="s">
        <v>6673</v>
      </c>
      <c r="G2181" s="1">
        <v>1</v>
      </c>
      <c r="H2181" s="7">
        <v>45560</v>
      </c>
      <c r="I2181" s="1" t="s">
        <v>7449</v>
      </c>
      <c r="J2181" s="7">
        <v>45560</v>
      </c>
      <c r="K2181" s="1" t="s">
        <v>7449</v>
      </c>
    </row>
    <row r="2182" spans="1:11" x14ac:dyDescent="0.25">
      <c r="A2182" s="1">
        <v>2181</v>
      </c>
      <c r="B2182" s="1" t="s">
        <v>6674</v>
      </c>
      <c r="C2182" s="1" t="s">
        <v>6675</v>
      </c>
      <c r="D2182" s="1" t="s">
        <v>6676</v>
      </c>
      <c r="G2182" s="1">
        <v>1</v>
      </c>
      <c r="H2182" s="7">
        <v>45560</v>
      </c>
      <c r="I2182" s="1" t="s">
        <v>7449</v>
      </c>
      <c r="J2182" s="7">
        <v>45560</v>
      </c>
      <c r="K2182" s="1" t="s">
        <v>7449</v>
      </c>
    </row>
    <row r="2183" spans="1:11" x14ac:dyDescent="0.25">
      <c r="A2183" s="1">
        <v>2182</v>
      </c>
      <c r="B2183" s="1" t="s">
        <v>6677</v>
      </c>
      <c r="C2183" s="1" t="s">
        <v>6678</v>
      </c>
      <c r="D2183" s="1" t="s">
        <v>6679</v>
      </c>
      <c r="G2183" s="1">
        <v>1</v>
      </c>
      <c r="H2183" s="7">
        <v>45560</v>
      </c>
      <c r="I2183" s="1" t="s">
        <v>7449</v>
      </c>
      <c r="J2183" s="7">
        <v>45560</v>
      </c>
      <c r="K2183" s="1" t="s">
        <v>7449</v>
      </c>
    </row>
    <row r="2184" spans="1:11" x14ac:dyDescent="0.25">
      <c r="A2184" s="1">
        <v>2183</v>
      </c>
      <c r="B2184" s="1" t="s">
        <v>6680</v>
      </c>
      <c r="C2184" s="1" t="s">
        <v>6681</v>
      </c>
      <c r="G2184" s="1">
        <v>1</v>
      </c>
      <c r="H2184" s="7">
        <v>45560</v>
      </c>
      <c r="I2184" s="1" t="s">
        <v>7449</v>
      </c>
      <c r="J2184" s="7">
        <v>45560</v>
      </c>
      <c r="K2184" s="1" t="s">
        <v>7449</v>
      </c>
    </row>
    <row r="2185" spans="1:11" x14ac:dyDescent="0.25">
      <c r="A2185" s="1">
        <v>2184</v>
      </c>
      <c r="B2185" s="1" t="s">
        <v>6682</v>
      </c>
      <c r="C2185" s="1" t="s">
        <v>6683</v>
      </c>
      <c r="G2185" s="1">
        <v>1</v>
      </c>
      <c r="H2185" s="7">
        <v>45560</v>
      </c>
      <c r="I2185" s="1" t="s">
        <v>7449</v>
      </c>
      <c r="J2185" s="7">
        <v>45560</v>
      </c>
      <c r="K2185" s="1" t="s">
        <v>7449</v>
      </c>
    </row>
    <row r="2186" spans="1:11" x14ac:dyDescent="0.25">
      <c r="A2186" s="1">
        <v>2185</v>
      </c>
      <c r="B2186" s="1" t="s">
        <v>6684</v>
      </c>
      <c r="C2186" s="1" t="s">
        <v>6685</v>
      </c>
      <c r="G2186" s="1">
        <v>1</v>
      </c>
      <c r="H2186" s="7">
        <v>45560</v>
      </c>
      <c r="I2186" s="1" t="s">
        <v>7449</v>
      </c>
      <c r="J2186" s="7">
        <v>45560</v>
      </c>
      <c r="K2186" s="1" t="s">
        <v>7449</v>
      </c>
    </row>
    <row r="2187" spans="1:11" x14ac:dyDescent="0.25">
      <c r="A2187" s="1">
        <v>2186</v>
      </c>
      <c r="B2187" s="1" t="s">
        <v>6686</v>
      </c>
      <c r="C2187" s="1" t="s">
        <v>6687</v>
      </c>
      <c r="G2187" s="1">
        <v>1</v>
      </c>
      <c r="H2187" s="7">
        <v>45560</v>
      </c>
      <c r="I2187" s="1" t="s">
        <v>7449</v>
      </c>
      <c r="J2187" s="7">
        <v>45560</v>
      </c>
      <c r="K2187" s="1" t="s">
        <v>7449</v>
      </c>
    </row>
    <row r="2188" spans="1:11" x14ac:dyDescent="0.25">
      <c r="A2188" s="1">
        <v>2187</v>
      </c>
      <c r="B2188" s="1" t="s">
        <v>6688</v>
      </c>
      <c r="C2188" s="1" t="s">
        <v>6689</v>
      </c>
      <c r="G2188" s="1">
        <v>1</v>
      </c>
      <c r="H2188" s="7">
        <v>45560</v>
      </c>
      <c r="I2188" s="1" t="s">
        <v>7449</v>
      </c>
      <c r="J2188" s="7">
        <v>45560</v>
      </c>
      <c r="K2188" s="1" t="s">
        <v>7449</v>
      </c>
    </row>
    <row r="2189" spans="1:11" x14ac:dyDescent="0.25">
      <c r="A2189" s="1">
        <v>2188</v>
      </c>
      <c r="B2189" s="1" t="s">
        <v>6690</v>
      </c>
      <c r="C2189" s="1" t="s">
        <v>6691</v>
      </c>
      <c r="G2189" s="1">
        <v>1</v>
      </c>
      <c r="H2189" s="7">
        <v>45560</v>
      </c>
      <c r="I2189" s="1" t="s">
        <v>7449</v>
      </c>
      <c r="J2189" s="7">
        <v>45560</v>
      </c>
      <c r="K2189" s="1" t="s">
        <v>7449</v>
      </c>
    </row>
    <row r="2190" spans="1:11" x14ac:dyDescent="0.25">
      <c r="A2190" s="1">
        <v>2189</v>
      </c>
      <c r="B2190" s="1" t="s">
        <v>6692</v>
      </c>
      <c r="C2190" s="1" t="s">
        <v>6693</v>
      </c>
      <c r="D2190" s="1" t="s">
        <v>6694</v>
      </c>
      <c r="G2190" s="1">
        <v>1</v>
      </c>
      <c r="H2190" s="7">
        <v>45560</v>
      </c>
      <c r="I2190" s="1" t="s">
        <v>7449</v>
      </c>
      <c r="J2190" s="7">
        <v>45560</v>
      </c>
      <c r="K2190" s="1" t="s">
        <v>7449</v>
      </c>
    </row>
    <row r="2191" spans="1:11" x14ac:dyDescent="0.25">
      <c r="A2191" s="1">
        <v>2190</v>
      </c>
      <c r="B2191" s="1" t="s">
        <v>6695</v>
      </c>
      <c r="C2191" s="1" t="s">
        <v>6696</v>
      </c>
      <c r="G2191" s="1">
        <v>1</v>
      </c>
      <c r="H2191" s="7">
        <v>45560</v>
      </c>
      <c r="I2191" s="1" t="s">
        <v>7449</v>
      </c>
      <c r="J2191" s="7">
        <v>45560</v>
      </c>
      <c r="K2191" s="1" t="s">
        <v>7449</v>
      </c>
    </row>
    <row r="2192" spans="1:11" x14ac:dyDescent="0.25">
      <c r="A2192" s="1">
        <v>2191</v>
      </c>
      <c r="B2192" s="1" t="s">
        <v>6697</v>
      </c>
      <c r="C2192" s="1" t="s">
        <v>6698</v>
      </c>
      <c r="G2192" s="1">
        <v>1</v>
      </c>
      <c r="H2192" s="7">
        <v>45560</v>
      </c>
      <c r="I2192" s="1" t="s">
        <v>7449</v>
      </c>
      <c r="J2192" s="7">
        <v>45560</v>
      </c>
      <c r="K2192" s="1" t="s">
        <v>7449</v>
      </c>
    </row>
    <row r="2193" spans="1:11" x14ac:dyDescent="0.25">
      <c r="A2193" s="1">
        <v>2192</v>
      </c>
      <c r="B2193" s="1" t="s">
        <v>6699</v>
      </c>
      <c r="C2193" s="1" t="s">
        <v>6700</v>
      </c>
      <c r="D2193" s="1" t="s">
        <v>6701</v>
      </c>
      <c r="G2193" s="1">
        <v>1</v>
      </c>
      <c r="H2193" s="7">
        <v>45560</v>
      </c>
      <c r="I2193" s="1" t="s">
        <v>7449</v>
      </c>
      <c r="J2193" s="7">
        <v>45560</v>
      </c>
      <c r="K2193" s="1" t="s">
        <v>7449</v>
      </c>
    </row>
    <row r="2194" spans="1:11" x14ac:dyDescent="0.25">
      <c r="A2194" s="1">
        <v>2193</v>
      </c>
      <c r="B2194" s="1" t="s">
        <v>6702</v>
      </c>
      <c r="C2194" s="1" t="s">
        <v>6703</v>
      </c>
      <c r="D2194" s="1" t="s">
        <v>6704</v>
      </c>
      <c r="G2194" s="1">
        <v>1</v>
      </c>
      <c r="H2194" s="7">
        <v>45560</v>
      </c>
      <c r="I2194" s="1" t="s">
        <v>7449</v>
      </c>
      <c r="J2194" s="7">
        <v>45560</v>
      </c>
      <c r="K2194" s="1" t="s">
        <v>7449</v>
      </c>
    </row>
    <row r="2195" spans="1:11" x14ac:dyDescent="0.25">
      <c r="A2195" s="1">
        <v>2194</v>
      </c>
      <c r="B2195" s="1" t="s">
        <v>6705</v>
      </c>
      <c r="C2195" s="1" t="s">
        <v>6706</v>
      </c>
      <c r="G2195" s="1">
        <v>1</v>
      </c>
      <c r="H2195" s="7">
        <v>45560</v>
      </c>
      <c r="I2195" s="1" t="s">
        <v>7449</v>
      </c>
      <c r="J2195" s="7">
        <v>45560</v>
      </c>
      <c r="K2195" s="1" t="s">
        <v>7449</v>
      </c>
    </row>
    <row r="2196" spans="1:11" x14ac:dyDescent="0.25">
      <c r="A2196" s="1">
        <v>2195</v>
      </c>
      <c r="B2196" s="1" t="s">
        <v>6707</v>
      </c>
      <c r="C2196" s="1" t="s">
        <v>6708</v>
      </c>
      <c r="G2196" s="1">
        <v>1</v>
      </c>
      <c r="H2196" s="7">
        <v>45560</v>
      </c>
      <c r="I2196" s="1" t="s">
        <v>7449</v>
      </c>
      <c r="J2196" s="7">
        <v>45560</v>
      </c>
      <c r="K2196" s="1" t="s">
        <v>7449</v>
      </c>
    </row>
    <row r="2197" spans="1:11" x14ac:dyDescent="0.25">
      <c r="A2197" s="1">
        <v>2196</v>
      </c>
      <c r="B2197" s="1" t="s">
        <v>6709</v>
      </c>
      <c r="C2197" s="1" t="s">
        <v>6710</v>
      </c>
      <c r="D2197" s="1" t="s">
        <v>6711</v>
      </c>
      <c r="G2197" s="1">
        <v>1</v>
      </c>
      <c r="H2197" s="7">
        <v>45560</v>
      </c>
      <c r="I2197" s="1" t="s">
        <v>7449</v>
      </c>
      <c r="J2197" s="7">
        <v>45560</v>
      </c>
      <c r="K2197" s="1" t="s">
        <v>7449</v>
      </c>
    </row>
    <row r="2198" spans="1:11" x14ac:dyDescent="0.25">
      <c r="A2198" s="1">
        <v>2197</v>
      </c>
      <c r="B2198" s="1" t="s">
        <v>6712</v>
      </c>
      <c r="C2198" s="1" t="s">
        <v>6713</v>
      </c>
      <c r="G2198" s="1">
        <v>1</v>
      </c>
      <c r="H2198" s="7">
        <v>45560</v>
      </c>
      <c r="I2198" s="1" t="s">
        <v>7449</v>
      </c>
      <c r="J2198" s="7">
        <v>45560</v>
      </c>
      <c r="K2198" s="1" t="s">
        <v>7449</v>
      </c>
    </row>
    <row r="2199" spans="1:11" x14ac:dyDescent="0.25">
      <c r="A2199" s="1">
        <v>2198</v>
      </c>
      <c r="B2199" s="1" t="s">
        <v>6714</v>
      </c>
      <c r="C2199" s="1" t="s">
        <v>6715</v>
      </c>
      <c r="G2199" s="1">
        <v>1</v>
      </c>
      <c r="H2199" s="7">
        <v>45560</v>
      </c>
      <c r="I2199" s="1" t="s">
        <v>7449</v>
      </c>
      <c r="J2199" s="7">
        <v>45560</v>
      </c>
      <c r="K2199" s="1" t="s">
        <v>7449</v>
      </c>
    </row>
    <row r="2200" spans="1:11" x14ac:dyDescent="0.25">
      <c r="A2200" s="1">
        <v>2199</v>
      </c>
      <c r="B2200" s="1" t="s">
        <v>6716</v>
      </c>
      <c r="C2200" s="1" t="s">
        <v>6717</v>
      </c>
      <c r="G2200" s="1">
        <v>1</v>
      </c>
      <c r="H2200" s="7">
        <v>45560</v>
      </c>
      <c r="I2200" s="1" t="s">
        <v>7449</v>
      </c>
      <c r="J2200" s="7">
        <v>45560</v>
      </c>
      <c r="K2200" s="1" t="s">
        <v>7449</v>
      </c>
    </row>
    <row r="2201" spans="1:11" x14ac:dyDescent="0.25">
      <c r="A2201" s="1">
        <v>2200</v>
      </c>
      <c r="B2201" s="1" t="s">
        <v>6718</v>
      </c>
      <c r="C2201" s="1" t="s">
        <v>6719</v>
      </c>
      <c r="G2201" s="1">
        <v>1</v>
      </c>
      <c r="H2201" s="7">
        <v>45560</v>
      </c>
      <c r="I2201" s="1" t="s">
        <v>7449</v>
      </c>
      <c r="J2201" s="7">
        <v>45560</v>
      </c>
      <c r="K2201" s="1" t="s">
        <v>7449</v>
      </c>
    </row>
    <row r="2202" spans="1:11" x14ac:dyDescent="0.25">
      <c r="A2202" s="1">
        <v>2201</v>
      </c>
      <c r="B2202" s="1" t="s">
        <v>6720</v>
      </c>
      <c r="C2202" s="1" t="s">
        <v>6721</v>
      </c>
      <c r="G2202" s="1">
        <v>1</v>
      </c>
      <c r="H2202" s="7">
        <v>45560</v>
      </c>
      <c r="I2202" s="1" t="s">
        <v>7449</v>
      </c>
      <c r="J2202" s="7">
        <v>45560</v>
      </c>
      <c r="K2202" s="1" t="s">
        <v>7449</v>
      </c>
    </row>
    <row r="2203" spans="1:11" x14ac:dyDescent="0.25">
      <c r="A2203" s="1">
        <v>2202</v>
      </c>
      <c r="B2203" s="1" t="s">
        <v>6722</v>
      </c>
      <c r="C2203" s="1" t="s">
        <v>6723</v>
      </c>
      <c r="G2203" s="1">
        <v>1</v>
      </c>
      <c r="H2203" s="7">
        <v>45560</v>
      </c>
      <c r="I2203" s="1" t="s">
        <v>7449</v>
      </c>
      <c r="J2203" s="7">
        <v>45560</v>
      </c>
      <c r="K2203" s="1" t="s">
        <v>7449</v>
      </c>
    </row>
    <row r="2204" spans="1:11" x14ac:dyDescent="0.25">
      <c r="A2204" s="1">
        <v>2203</v>
      </c>
      <c r="B2204" s="1" t="s">
        <v>6724</v>
      </c>
      <c r="C2204" s="1" t="s">
        <v>6725</v>
      </c>
      <c r="D2204" s="1" t="s">
        <v>6726</v>
      </c>
      <c r="G2204" s="1">
        <v>1</v>
      </c>
      <c r="H2204" s="7">
        <v>45560</v>
      </c>
      <c r="I2204" s="1" t="s">
        <v>7449</v>
      </c>
      <c r="J2204" s="7">
        <v>45560</v>
      </c>
      <c r="K2204" s="1" t="s">
        <v>7449</v>
      </c>
    </row>
    <row r="2205" spans="1:11" x14ac:dyDescent="0.25">
      <c r="A2205" s="1">
        <v>2204</v>
      </c>
      <c r="B2205" s="1" t="s">
        <v>6727</v>
      </c>
      <c r="C2205" s="1" t="s">
        <v>6728</v>
      </c>
      <c r="D2205" s="1" t="s">
        <v>6729</v>
      </c>
      <c r="G2205" s="1">
        <v>1</v>
      </c>
      <c r="H2205" s="7">
        <v>45560</v>
      </c>
      <c r="I2205" s="1" t="s">
        <v>7449</v>
      </c>
      <c r="J2205" s="7">
        <v>45560</v>
      </c>
      <c r="K2205" s="1" t="s">
        <v>7449</v>
      </c>
    </row>
    <row r="2206" spans="1:11" x14ac:dyDescent="0.25">
      <c r="A2206" s="1">
        <v>2205</v>
      </c>
      <c r="B2206" s="1" t="s">
        <v>6730</v>
      </c>
      <c r="C2206" s="1" t="s">
        <v>6731</v>
      </c>
      <c r="G2206" s="1">
        <v>1</v>
      </c>
      <c r="H2206" s="7">
        <v>45560</v>
      </c>
      <c r="I2206" s="1" t="s">
        <v>7449</v>
      </c>
      <c r="J2206" s="7">
        <v>45560</v>
      </c>
      <c r="K2206" s="1" t="s">
        <v>7449</v>
      </c>
    </row>
    <row r="2207" spans="1:11" x14ac:dyDescent="0.25">
      <c r="A2207" s="1">
        <v>2206</v>
      </c>
      <c r="B2207" s="1" t="s">
        <v>6732</v>
      </c>
      <c r="C2207" s="1" t="s">
        <v>6733</v>
      </c>
      <c r="G2207" s="1">
        <v>1</v>
      </c>
      <c r="H2207" s="7">
        <v>45560</v>
      </c>
      <c r="I2207" s="1" t="s">
        <v>7449</v>
      </c>
      <c r="J2207" s="7">
        <v>45560</v>
      </c>
      <c r="K2207" s="1" t="s">
        <v>7449</v>
      </c>
    </row>
    <row r="2208" spans="1:11" x14ac:dyDescent="0.25">
      <c r="A2208" s="1">
        <v>2207</v>
      </c>
      <c r="B2208" s="1" t="s">
        <v>6734</v>
      </c>
      <c r="C2208" s="1" t="s">
        <v>6735</v>
      </c>
      <c r="D2208" s="1" t="s">
        <v>6736</v>
      </c>
      <c r="G2208" s="1">
        <v>1</v>
      </c>
      <c r="H2208" s="7">
        <v>45560</v>
      </c>
      <c r="I2208" s="1" t="s">
        <v>7449</v>
      </c>
      <c r="J2208" s="7">
        <v>45560</v>
      </c>
      <c r="K2208" s="1" t="s">
        <v>7449</v>
      </c>
    </row>
    <row r="2209" spans="1:11" x14ac:dyDescent="0.25">
      <c r="A2209" s="1">
        <v>2208</v>
      </c>
      <c r="B2209" s="1" t="s">
        <v>6737</v>
      </c>
      <c r="C2209" s="1" t="s">
        <v>6738</v>
      </c>
      <c r="D2209" s="1" t="s">
        <v>6739</v>
      </c>
      <c r="G2209" s="1">
        <v>1</v>
      </c>
      <c r="H2209" s="7">
        <v>45560</v>
      </c>
      <c r="I2209" s="1" t="s">
        <v>7449</v>
      </c>
      <c r="J2209" s="7">
        <v>45560</v>
      </c>
      <c r="K2209" s="1" t="s">
        <v>7449</v>
      </c>
    </row>
    <row r="2210" spans="1:11" x14ac:dyDescent="0.25">
      <c r="A2210" s="1">
        <v>2209</v>
      </c>
      <c r="B2210" s="1" t="s">
        <v>6740</v>
      </c>
      <c r="C2210" s="1" t="s">
        <v>6741</v>
      </c>
      <c r="G2210" s="1">
        <v>1</v>
      </c>
      <c r="H2210" s="7">
        <v>45560</v>
      </c>
      <c r="I2210" s="1" t="s">
        <v>7449</v>
      </c>
      <c r="J2210" s="7">
        <v>45560</v>
      </c>
      <c r="K2210" s="1" t="s">
        <v>7449</v>
      </c>
    </row>
    <row r="2211" spans="1:11" x14ac:dyDescent="0.25">
      <c r="A2211" s="1">
        <v>2210</v>
      </c>
      <c r="B2211" s="1" t="s">
        <v>6742</v>
      </c>
      <c r="C2211" s="1" t="s">
        <v>6743</v>
      </c>
      <c r="D2211" s="1" t="s">
        <v>6744</v>
      </c>
      <c r="G2211" s="1">
        <v>1</v>
      </c>
      <c r="H2211" s="7">
        <v>45560</v>
      </c>
      <c r="I2211" s="1" t="s">
        <v>7449</v>
      </c>
      <c r="J2211" s="7">
        <v>45560</v>
      </c>
      <c r="K2211" s="1" t="s">
        <v>7449</v>
      </c>
    </row>
    <row r="2212" spans="1:11" x14ac:dyDescent="0.25">
      <c r="A2212" s="1">
        <v>2211</v>
      </c>
      <c r="B2212" s="1" t="s">
        <v>6745</v>
      </c>
      <c r="C2212" s="1" t="s">
        <v>6746</v>
      </c>
      <c r="G2212" s="1">
        <v>1</v>
      </c>
      <c r="H2212" s="7">
        <v>45560</v>
      </c>
      <c r="I2212" s="1" t="s">
        <v>7449</v>
      </c>
      <c r="J2212" s="7">
        <v>45560</v>
      </c>
      <c r="K2212" s="1" t="s">
        <v>7449</v>
      </c>
    </row>
    <row r="2213" spans="1:11" x14ac:dyDescent="0.25">
      <c r="A2213" s="1">
        <v>2212</v>
      </c>
      <c r="B2213" s="1" t="s">
        <v>6747</v>
      </c>
      <c r="C2213" s="1" t="s">
        <v>6748</v>
      </c>
      <c r="G2213" s="1">
        <v>1</v>
      </c>
      <c r="H2213" s="7">
        <v>45560</v>
      </c>
      <c r="I2213" s="1" t="s">
        <v>7449</v>
      </c>
      <c r="J2213" s="7">
        <v>45560</v>
      </c>
      <c r="K2213" s="1" t="s">
        <v>7449</v>
      </c>
    </row>
    <row r="2214" spans="1:11" x14ac:dyDescent="0.25">
      <c r="A2214" s="1">
        <v>2213</v>
      </c>
      <c r="B2214" s="1" t="s">
        <v>6749</v>
      </c>
      <c r="C2214" s="1" t="s">
        <v>6750</v>
      </c>
      <c r="D2214" s="1" t="s">
        <v>6751</v>
      </c>
      <c r="G2214" s="1">
        <v>1</v>
      </c>
      <c r="H2214" s="7">
        <v>45560</v>
      </c>
      <c r="I2214" s="1" t="s">
        <v>7449</v>
      </c>
      <c r="J2214" s="7">
        <v>45560</v>
      </c>
      <c r="K2214" s="1" t="s">
        <v>7449</v>
      </c>
    </row>
    <row r="2215" spans="1:11" x14ac:dyDescent="0.25">
      <c r="A2215" s="1">
        <v>2214</v>
      </c>
      <c r="B2215" s="1" t="s">
        <v>6752</v>
      </c>
      <c r="C2215" s="1" t="s">
        <v>6753</v>
      </c>
      <c r="D2215" s="1" t="s">
        <v>6754</v>
      </c>
      <c r="G2215" s="1">
        <v>1</v>
      </c>
      <c r="H2215" s="7">
        <v>45560</v>
      </c>
      <c r="I2215" s="1" t="s">
        <v>7449</v>
      </c>
      <c r="J2215" s="7">
        <v>45560</v>
      </c>
      <c r="K2215" s="1" t="s">
        <v>7449</v>
      </c>
    </row>
    <row r="2216" spans="1:11" x14ac:dyDescent="0.25">
      <c r="A2216" s="1">
        <v>2215</v>
      </c>
      <c r="B2216" s="1" t="s">
        <v>6755</v>
      </c>
      <c r="C2216" s="1" t="s">
        <v>6756</v>
      </c>
      <c r="G2216" s="1">
        <v>1</v>
      </c>
      <c r="H2216" s="7">
        <v>45560</v>
      </c>
      <c r="I2216" s="1" t="s">
        <v>7449</v>
      </c>
      <c r="J2216" s="7">
        <v>45560</v>
      </c>
      <c r="K2216" s="1" t="s">
        <v>7449</v>
      </c>
    </row>
    <row r="2217" spans="1:11" x14ac:dyDescent="0.25">
      <c r="A2217" s="1">
        <v>2216</v>
      </c>
      <c r="B2217" s="1" t="s">
        <v>6757</v>
      </c>
      <c r="C2217" s="1" t="s">
        <v>6758</v>
      </c>
      <c r="G2217" s="1">
        <v>1</v>
      </c>
      <c r="H2217" s="7">
        <v>45560</v>
      </c>
      <c r="I2217" s="1" t="s">
        <v>7449</v>
      </c>
      <c r="J2217" s="7">
        <v>45560</v>
      </c>
      <c r="K2217" s="1" t="s">
        <v>7449</v>
      </c>
    </row>
    <row r="2218" spans="1:11" x14ac:dyDescent="0.25">
      <c r="A2218" s="1">
        <v>2217</v>
      </c>
      <c r="B2218" s="1" t="s">
        <v>6759</v>
      </c>
      <c r="C2218" s="1" t="s">
        <v>6760</v>
      </c>
      <c r="D2218" s="1" t="s">
        <v>6761</v>
      </c>
      <c r="G2218" s="1">
        <v>1</v>
      </c>
      <c r="H2218" s="7">
        <v>45560</v>
      </c>
      <c r="I2218" s="1" t="s">
        <v>7449</v>
      </c>
      <c r="J2218" s="7">
        <v>45560</v>
      </c>
      <c r="K2218" s="1" t="s">
        <v>7449</v>
      </c>
    </row>
    <row r="2219" spans="1:11" x14ac:dyDescent="0.25">
      <c r="A2219" s="1">
        <v>2218</v>
      </c>
      <c r="B2219" s="1" t="s">
        <v>6762</v>
      </c>
      <c r="C2219" s="1" t="s">
        <v>6763</v>
      </c>
      <c r="G2219" s="1">
        <v>1</v>
      </c>
      <c r="H2219" s="7">
        <v>45560</v>
      </c>
      <c r="I2219" s="1" t="s">
        <v>7449</v>
      </c>
      <c r="J2219" s="7">
        <v>45560</v>
      </c>
      <c r="K2219" s="1" t="s">
        <v>7449</v>
      </c>
    </row>
    <row r="2220" spans="1:11" x14ac:dyDescent="0.25">
      <c r="A2220" s="1">
        <v>2219</v>
      </c>
      <c r="B2220" s="1" t="s">
        <v>6764</v>
      </c>
      <c r="C2220" s="1" t="s">
        <v>6765</v>
      </c>
      <c r="G2220" s="1">
        <v>1</v>
      </c>
      <c r="H2220" s="7">
        <v>45560</v>
      </c>
      <c r="I2220" s="1" t="s">
        <v>7449</v>
      </c>
      <c r="J2220" s="7">
        <v>45560</v>
      </c>
      <c r="K2220" s="1" t="s">
        <v>7449</v>
      </c>
    </row>
    <row r="2221" spans="1:11" x14ac:dyDescent="0.25">
      <c r="A2221" s="1">
        <v>2220</v>
      </c>
      <c r="B2221" s="1" t="s">
        <v>6766</v>
      </c>
      <c r="C2221" s="1" t="s">
        <v>6767</v>
      </c>
      <c r="G2221" s="1">
        <v>1</v>
      </c>
      <c r="H2221" s="7">
        <v>45560</v>
      </c>
      <c r="I2221" s="1" t="s">
        <v>7449</v>
      </c>
      <c r="J2221" s="7">
        <v>45560</v>
      </c>
      <c r="K2221" s="1" t="s">
        <v>7449</v>
      </c>
    </row>
    <row r="2222" spans="1:11" x14ac:dyDescent="0.25">
      <c r="A2222" s="1">
        <v>2221</v>
      </c>
      <c r="B2222" s="1" t="s">
        <v>6768</v>
      </c>
      <c r="C2222" s="1" t="s">
        <v>6769</v>
      </c>
      <c r="G2222" s="1">
        <v>1</v>
      </c>
      <c r="H2222" s="7">
        <v>45560</v>
      </c>
      <c r="I2222" s="1" t="s">
        <v>7449</v>
      </c>
      <c r="J2222" s="7">
        <v>45560</v>
      </c>
      <c r="K2222" s="1" t="s">
        <v>7449</v>
      </c>
    </row>
    <row r="2223" spans="1:11" x14ac:dyDescent="0.25">
      <c r="A2223" s="1">
        <v>2222</v>
      </c>
      <c r="B2223" s="1" t="s">
        <v>6770</v>
      </c>
      <c r="C2223" s="1" t="s">
        <v>6771</v>
      </c>
      <c r="G2223" s="1">
        <v>1</v>
      </c>
      <c r="H2223" s="7">
        <v>45560</v>
      </c>
      <c r="I2223" s="1" t="s">
        <v>7449</v>
      </c>
      <c r="J2223" s="7">
        <v>45560</v>
      </c>
      <c r="K2223" s="1" t="s">
        <v>7449</v>
      </c>
    </row>
    <row r="2224" spans="1:11" x14ac:dyDescent="0.25">
      <c r="A2224" s="1">
        <v>2223</v>
      </c>
      <c r="B2224" s="1" t="s">
        <v>6772</v>
      </c>
      <c r="C2224" s="1" t="s">
        <v>6773</v>
      </c>
      <c r="G2224" s="1">
        <v>1</v>
      </c>
      <c r="H2224" s="7">
        <v>45560</v>
      </c>
      <c r="I2224" s="1" t="s">
        <v>7449</v>
      </c>
      <c r="J2224" s="7">
        <v>45560</v>
      </c>
      <c r="K2224" s="1" t="s">
        <v>7449</v>
      </c>
    </row>
    <row r="2225" spans="1:11" x14ac:dyDescent="0.25">
      <c r="A2225" s="1">
        <v>2224</v>
      </c>
      <c r="B2225" s="1" t="s">
        <v>6774</v>
      </c>
      <c r="C2225" s="1" t="s">
        <v>6775</v>
      </c>
      <c r="G2225" s="1">
        <v>1</v>
      </c>
      <c r="H2225" s="7">
        <v>45560</v>
      </c>
      <c r="I2225" s="1" t="s">
        <v>7449</v>
      </c>
      <c r="J2225" s="7">
        <v>45560</v>
      </c>
      <c r="K2225" s="1" t="s">
        <v>7449</v>
      </c>
    </row>
    <row r="2226" spans="1:11" x14ac:dyDescent="0.25">
      <c r="A2226" s="1">
        <v>2225</v>
      </c>
      <c r="B2226" s="1" t="s">
        <v>6776</v>
      </c>
      <c r="C2226" s="1" t="s">
        <v>6777</v>
      </c>
      <c r="G2226" s="1">
        <v>1</v>
      </c>
      <c r="H2226" s="7">
        <v>45560</v>
      </c>
      <c r="I2226" s="1" t="s">
        <v>7449</v>
      </c>
      <c r="J2226" s="7">
        <v>45560</v>
      </c>
      <c r="K2226" s="1" t="s">
        <v>7449</v>
      </c>
    </row>
    <row r="2227" spans="1:11" x14ac:dyDescent="0.25">
      <c r="A2227" s="1">
        <v>2226</v>
      </c>
      <c r="B2227" s="1" t="s">
        <v>6778</v>
      </c>
      <c r="C2227" s="1" t="s">
        <v>6779</v>
      </c>
      <c r="G2227" s="1">
        <v>1</v>
      </c>
      <c r="H2227" s="7">
        <v>45560</v>
      </c>
      <c r="I2227" s="1" t="s">
        <v>7449</v>
      </c>
      <c r="J2227" s="7">
        <v>45560</v>
      </c>
      <c r="K2227" s="1" t="s">
        <v>7449</v>
      </c>
    </row>
    <row r="2228" spans="1:11" x14ac:dyDescent="0.25">
      <c r="A2228" s="1">
        <v>2227</v>
      </c>
      <c r="B2228" s="1" t="s">
        <v>6780</v>
      </c>
      <c r="C2228" s="1" t="s">
        <v>6781</v>
      </c>
      <c r="D2228" s="1" t="s">
        <v>6782</v>
      </c>
      <c r="G2228" s="1">
        <v>1</v>
      </c>
      <c r="H2228" s="7">
        <v>45560</v>
      </c>
      <c r="I2228" s="1" t="s">
        <v>7449</v>
      </c>
      <c r="J2228" s="7">
        <v>45560</v>
      </c>
      <c r="K2228" s="1" t="s">
        <v>7449</v>
      </c>
    </row>
    <row r="2229" spans="1:11" x14ac:dyDescent="0.25">
      <c r="A2229" s="1">
        <v>2228</v>
      </c>
      <c r="B2229" s="1" t="s">
        <v>6783</v>
      </c>
      <c r="C2229" s="1" t="s">
        <v>6784</v>
      </c>
      <c r="D2229" s="1" t="s">
        <v>6785</v>
      </c>
      <c r="G2229" s="1">
        <v>1</v>
      </c>
      <c r="H2229" s="7">
        <v>45560</v>
      </c>
      <c r="I2229" s="1" t="s">
        <v>7449</v>
      </c>
      <c r="J2229" s="7">
        <v>45560</v>
      </c>
      <c r="K2229" s="1" t="s">
        <v>7449</v>
      </c>
    </row>
    <row r="2230" spans="1:11" x14ac:dyDescent="0.25">
      <c r="A2230" s="1">
        <v>2229</v>
      </c>
      <c r="B2230" s="1" t="s">
        <v>6786</v>
      </c>
      <c r="C2230" s="1" t="s">
        <v>6787</v>
      </c>
      <c r="D2230" s="1" t="s">
        <v>6788</v>
      </c>
      <c r="G2230" s="1">
        <v>1</v>
      </c>
      <c r="H2230" s="7">
        <v>45560</v>
      </c>
      <c r="I2230" s="1" t="s">
        <v>7449</v>
      </c>
      <c r="J2230" s="7">
        <v>45560</v>
      </c>
      <c r="K2230" s="1" t="s">
        <v>7449</v>
      </c>
    </row>
    <row r="2231" spans="1:11" x14ac:dyDescent="0.25">
      <c r="A2231" s="1">
        <v>2230</v>
      </c>
      <c r="B2231" s="1" t="s">
        <v>6789</v>
      </c>
      <c r="C2231" s="1" t="s">
        <v>6790</v>
      </c>
      <c r="D2231" s="1" t="s">
        <v>6791</v>
      </c>
      <c r="G2231" s="1">
        <v>1</v>
      </c>
      <c r="H2231" s="7">
        <v>45560</v>
      </c>
      <c r="I2231" s="1" t="s">
        <v>7449</v>
      </c>
      <c r="J2231" s="7">
        <v>45560</v>
      </c>
      <c r="K2231" s="1" t="s">
        <v>7449</v>
      </c>
    </row>
    <row r="2232" spans="1:11" x14ac:dyDescent="0.25">
      <c r="A2232" s="1">
        <v>2231</v>
      </c>
      <c r="B2232" s="1" t="s">
        <v>6792</v>
      </c>
      <c r="C2232" s="1" t="s">
        <v>6793</v>
      </c>
      <c r="D2232" s="1" t="s">
        <v>6794</v>
      </c>
      <c r="G2232" s="1">
        <v>1</v>
      </c>
      <c r="H2232" s="7">
        <v>45560</v>
      </c>
      <c r="I2232" s="1" t="s">
        <v>7449</v>
      </c>
      <c r="J2232" s="7">
        <v>45560</v>
      </c>
      <c r="K2232" s="1" t="s">
        <v>7449</v>
      </c>
    </row>
    <row r="2233" spans="1:11" x14ac:dyDescent="0.25">
      <c r="A2233" s="1">
        <v>2232</v>
      </c>
      <c r="B2233" s="1" t="s">
        <v>6795</v>
      </c>
      <c r="C2233" s="1" t="s">
        <v>6796</v>
      </c>
      <c r="D2233" s="1" t="s">
        <v>6797</v>
      </c>
      <c r="G2233" s="1">
        <v>1</v>
      </c>
      <c r="H2233" s="7">
        <v>45560</v>
      </c>
      <c r="I2233" s="1" t="s">
        <v>7449</v>
      </c>
      <c r="J2233" s="7">
        <v>45560</v>
      </c>
      <c r="K2233" s="1" t="s">
        <v>7449</v>
      </c>
    </row>
    <row r="2234" spans="1:11" x14ac:dyDescent="0.25">
      <c r="A2234" s="1">
        <v>2233</v>
      </c>
      <c r="B2234" s="1" t="s">
        <v>6798</v>
      </c>
      <c r="C2234" s="1" t="s">
        <v>6799</v>
      </c>
      <c r="D2234" s="1" t="s">
        <v>6800</v>
      </c>
      <c r="G2234" s="1">
        <v>1</v>
      </c>
      <c r="H2234" s="7">
        <v>45560</v>
      </c>
      <c r="I2234" s="1" t="s">
        <v>7449</v>
      </c>
      <c r="J2234" s="7">
        <v>45560</v>
      </c>
      <c r="K2234" s="1" t="s">
        <v>7449</v>
      </c>
    </row>
    <row r="2235" spans="1:11" x14ac:dyDescent="0.25">
      <c r="A2235" s="1">
        <v>2234</v>
      </c>
      <c r="B2235" s="1" t="s">
        <v>6801</v>
      </c>
      <c r="C2235" s="1" t="s">
        <v>6802</v>
      </c>
      <c r="D2235" s="1" t="s">
        <v>6803</v>
      </c>
      <c r="G2235" s="1">
        <v>1</v>
      </c>
      <c r="H2235" s="7">
        <v>45560</v>
      </c>
      <c r="I2235" s="1" t="s">
        <v>7449</v>
      </c>
      <c r="J2235" s="7">
        <v>45560</v>
      </c>
      <c r="K2235" s="1" t="s">
        <v>7449</v>
      </c>
    </row>
    <row r="2236" spans="1:11" x14ac:dyDescent="0.25">
      <c r="A2236" s="1">
        <v>2235</v>
      </c>
      <c r="B2236" s="1" t="s">
        <v>6804</v>
      </c>
      <c r="C2236" s="1" t="s">
        <v>6805</v>
      </c>
      <c r="D2236" s="1" t="s">
        <v>6806</v>
      </c>
      <c r="G2236" s="1">
        <v>1</v>
      </c>
      <c r="H2236" s="7">
        <v>45560</v>
      </c>
      <c r="I2236" s="1" t="s">
        <v>7449</v>
      </c>
      <c r="J2236" s="7">
        <v>45560</v>
      </c>
      <c r="K2236" s="1" t="s">
        <v>7449</v>
      </c>
    </row>
    <row r="2237" spans="1:11" x14ac:dyDescent="0.25">
      <c r="A2237" s="1">
        <v>2236</v>
      </c>
      <c r="B2237" s="1" t="s">
        <v>6807</v>
      </c>
      <c r="C2237" s="1" t="s">
        <v>6808</v>
      </c>
      <c r="D2237" s="1" t="s">
        <v>6809</v>
      </c>
      <c r="G2237" s="1">
        <v>1</v>
      </c>
      <c r="H2237" s="7">
        <v>45560</v>
      </c>
      <c r="I2237" s="1" t="s">
        <v>7449</v>
      </c>
      <c r="J2237" s="7">
        <v>45560</v>
      </c>
      <c r="K2237" s="1" t="s">
        <v>7449</v>
      </c>
    </row>
    <row r="2238" spans="1:11" x14ac:dyDescent="0.25">
      <c r="A2238" s="1">
        <v>2237</v>
      </c>
      <c r="B2238" s="1" t="s">
        <v>6810</v>
      </c>
      <c r="C2238" s="1" t="s">
        <v>6811</v>
      </c>
      <c r="G2238" s="1">
        <v>1</v>
      </c>
      <c r="H2238" s="7">
        <v>45560</v>
      </c>
      <c r="I2238" s="1" t="s">
        <v>7449</v>
      </c>
      <c r="J2238" s="7">
        <v>45560</v>
      </c>
      <c r="K2238" s="1" t="s">
        <v>7449</v>
      </c>
    </row>
    <row r="2239" spans="1:11" x14ac:dyDescent="0.25">
      <c r="A2239" s="1">
        <v>2238</v>
      </c>
      <c r="B2239" s="1" t="s">
        <v>6812</v>
      </c>
      <c r="C2239" s="1" t="s">
        <v>6813</v>
      </c>
      <c r="G2239" s="1">
        <v>1</v>
      </c>
      <c r="H2239" s="7">
        <v>45560</v>
      </c>
      <c r="I2239" s="1" t="s">
        <v>7449</v>
      </c>
      <c r="J2239" s="7">
        <v>45560</v>
      </c>
      <c r="K2239" s="1" t="s">
        <v>7449</v>
      </c>
    </row>
    <row r="2240" spans="1:11" x14ac:dyDescent="0.25">
      <c r="A2240" s="1">
        <v>2239</v>
      </c>
      <c r="B2240" s="1" t="s">
        <v>6814</v>
      </c>
      <c r="C2240" s="1" t="s">
        <v>6815</v>
      </c>
      <c r="D2240" s="1" t="s">
        <v>6816</v>
      </c>
      <c r="G2240" s="1">
        <v>1</v>
      </c>
      <c r="H2240" s="7">
        <v>45560</v>
      </c>
      <c r="I2240" s="1" t="s">
        <v>7449</v>
      </c>
      <c r="J2240" s="7">
        <v>45560</v>
      </c>
      <c r="K2240" s="1" t="s">
        <v>7449</v>
      </c>
    </row>
    <row r="2241" spans="1:11" x14ac:dyDescent="0.25">
      <c r="A2241" s="1">
        <v>2240</v>
      </c>
      <c r="B2241" s="1" t="s">
        <v>6817</v>
      </c>
      <c r="C2241" s="1" t="s">
        <v>6818</v>
      </c>
      <c r="D2241" s="1" t="s">
        <v>6819</v>
      </c>
      <c r="G2241" s="1">
        <v>1</v>
      </c>
      <c r="H2241" s="7">
        <v>45560</v>
      </c>
      <c r="I2241" s="1" t="s">
        <v>7449</v>
      </c>
      <c r="J2241" s="7">
        <v>45560</v>
      </c>
      <c r="K2241" s="1" t="s">
        <v>7449</v>
      </c>
    </row>
    <row r="2242" spans="1:11" x14ac:dyDescent="0.25">
      <c r="A2242" s="1">
        <v>2241</v>
      </c>
      <c r="B2242" s="1" t="s">
        <v>6820</v>
      </c>
      <c r="C2242" s="1" t="s">
        <v>6821</v>
      </c>
      <c r="D2242" s="1" t="s">
        <v>6822</v>
      </c>
      <c r="G2242" s="1">
        <v>1</v>
      </c>
      <c r="H2242" s="7">
        <v>45560</v>
      </c>
      <c r="I2242" s="1" t="s">
        <v>7449</v>
      </c>
      <c r="J2242" s="7">
        <v>45560</v>
      </c>
      <c r="K2242" s="1" t="s">
        <v>7449</v>
      </c>
    </row>
    <row r="2243" spans="1:11" x14ac:dyDescent="0.25">
      <c r="A2243" s="1">
        <v>2242</v>
      </c>
      <c r="B2243" s="1" t="s">
        <v>6823</v>
      </c>
      <c r="C2243" s="1" t="s">
        <v>6824</v>
      </c>
      <c r="G2243" s="1">
        <v>1</v>
      </c>
      <c r="H2243" s="7">
        <v>45560</v>
      </c>
      <c r="I2243" s="1" t="s">
        <v>7449</v>
      </c>
      <c r="J2243" s="7">
        <v>45560</v>
      </c>
      <c r="K2243" s="1" t="s">
        <v>7449</v>
      </c>
    </row>
    <row r="2244" spans="1:11" x14ac:dyDescent="0.25">
      <c r="A2244" s="1">
        <v>2243</v>
      </c>
      <c r="B2244" s="1" t="s">
        <v>6825</v>
      </c>
      <c r="C2244" s="1" t="s">
        <v>6826</v>
      </c>
      <c r="G2244" s="1">
        <v>1</v>
      </c>
      <c r="H2244" s="7">
        <v>45560</v>
      </c>
      <c r="I2244" s="1" t="s">
        <v>7449</v>
      </c>
      <c r="J2244" s="7">
        <v>45560</v>
      </c>
      <c r="K2244" s="1" t="s">
        <v>7449</v>
      </c>
    </row>
    <row r="2245" spans="1:11" x14ac:dyDescent="0.25">
      <c r="A2245" s="1">
        <v>2244</v>
      </c>
      <c r="B2245" s="1" t="s">
        <v>6827</v>
      </c>
      <c r="C2245" s="1" t="s">
        <v>6828</v>
      </c>
      <c r="G2245" s="1">
        <v>1</v>
      </c>
      <c r="H2245" s="7">
        <v>45560</v>
      </c>
      <c r="I2245" s="1" t="s">
        <v>7449</v>
      </c>
      <c r="J2245" s="7">
        <v>45560</v>
      </c>
      <c r="K2245" s="1" t="s">
        <v>7449</v>
      </c>
    </row>
    <row r="2246" spans="1:11" x14ac:dyDescent="0.25">
      <c r="A2246" s="1">
        <v>2245</v>
      </c>
      <c r="B2246" s="1" t="s">
        <v>6829</v>
      </c>
      <c r="C2246" s="1" t="s">
        <v>6830</v>
      </c>
      <c r="G2246" s="1">
        <v>1</v>
      </c>
      <c r="H2246" s="7">
        <v>45560</v>
      </c>
      <c r="I2246" s="1" t="s">
        <v>7449</v>
      </c>
      <c r="J2246" s="7">
        <v>45560</v>
      </c>
      <c r="K2246" s="1" t="s">
        <v>7449</v>
      </c>
    </row>
    <row r="2247" spans="1:11" x14ac:dyDescent="0.25">
      <c r="A2247" s="1">
        <v>2246</v>
      </c>
      <c r="B2247" s="1" t="s">
        <v>6831</v>
      </c>
      <c r="C2247" s="1" t="s">
        <v>6832</v>
      </c>
      <c r="D2247" s="1" t="s">
        <v>6833</v>
      </c>
      <c r="G2247" s="1">
        <v>1</v>
      </c>
      <c r="H2247" s="7">
        <v>45560</v>
      </c>
      <c r="I2247" s="1" t="s">
        <v>7449</v>
      </c>
      <c r="J2247" s="7">
        <v>45560</v>
      </c>
      <c r="K2247" s="1" t="s">
        <v>7449</v>
      </c>
    </row>
    <row r="2248" spans="1:11" x14ac:dyDescent="0.25">
      <c r="A2248" s="1">
        <v>2247</v>
      </c>
      <c r="B2248" s="1" t="s">
        <v>6834</v>
      </c>
      <c r="C2248" s="1" t="s">
        <v>6835</v>
      </c>
      <c r="G2248" s="1">
        <v>1</v>
      </c>
      <c r="H2248" s="7">
        <v>45560</v>
      </c>
      <c r="I2248" s="1" t="s">
        <v>7449</v>
      </c>
      <c r="J2248" s="7">
        <v>45560</v>
      </c>
      <c r="K2248" s="1" t="s">
        <v>7449</v>
      </c>
    </row>
    <row r="2249" spans="1:11" x14ac:dyDescent="0.25">
      <c r="A2249" s="1">
        <v>2248</v>
      </c>
      <c r="B2249" s="1" t="s">
        <v>6836</v>
      </c>
      <c r="C2249" s="1" t="s">
        <v>6837</v>
      </c>
      <c r="G2249" s="1">
        <v>1</v>
      </c>
      <c r="H2249" s="7">
        <v>45560</v>
      </c>
      <c r="I2249" s="1" t="s">
        <v>7449</v>
      </c>
      <c r="J2249" s="7">
        <v>45560</v>
      </c>
      <c r="K2249" s="1" t="s">
        <v>7449</v>
      </c>
    </row>
    <row r="2250" spans="1:11" x14ac:dyDescent="0.25">
      <c r="A2250" s="1">
        <v>2249</v>
      </c>
      <c r="B2250" s="1" t="s">
        <v>6838</v>
      </c>
      <c r="C2250" s="1" t="s">
        <v>6839</v>
      </c>
      <c r="G2250" s="1">
        <v>1</v>
      </c>
      <c r="H2250" s="7">
        <v>45560</v>
      </c>
      <c r="I2250" s="1" t="s">
        <v>7449</v>
      </c>
      <c r="J2250" s="7">
        <v>45560</v>
      </c>
      <c r="K2250" s="1" t="s">
        <v>7449</v>
      </c>
    </row>
    <row r="2251" spans="1:11" x14ac:dyDescent="0.25">
      <c r="A2251" s="1">
        <v>2250</v>
      </c>
      <c r="B2251" s="1" t="s">
        <v>6840</v>
      </c>
      <c r="C2251" s="1" t="s">
        <v>6841</v>
      </c>
      <c r="D2251" s="1" t="s">
        <v>6842</v>
      </c>
      <c r="G2251" s="1">
        <v>1</v>
      </c>
      <c r="H2251" s="7">
        <v>45560</v>
      </c>
      <c r="I2251" s="1" t="s">
        <v>7449</v>
      </c>
      <c r="J2251" s="7">
        <v>45560</v>
      </c>
      <c r="K2251" s="1" t="s">
        <v>7449</v>
      </c>
    </row>
    <row r="2252" spans="1:11" x14ac:dyDescent="0.25">
      <c r="A2252" s="1">
        <v>2251</v>
      </c>
      <c r="B2252" s="1" t="s">
        <v>6843</v>
      </c>
      <c r="C2252" s="1" t="s">
        <v>6844</v>
      </c>
      <c r="G2252" s="1">
        <v>1</v>
      </c>
      <c r="H2252" s="7">
        <v>45560</v>
      </c>
      <c r="I2252" s="1" t="s">
        <v>7449</v>
      </c>
      <c r="J2252" s="7">
        <v>45560</v>
      </c>
      <c r="K2252" s="1" t="s">
        <v>7449</v>
      </c>
    </row>
    <row r="2253" spans="1:11" x14ac:dyDescent="0.25">
      <c r="A2253" s="1">
        <v>2252</v>
      </c>
      <c r="B2253" s="1" t="s">
        <v>6845</v>
      </c>
      <c r="C2253" s="1" t="s">
        <v>6846</v>
      </c>
      <c r="G2253" s="1">
        <v>1</v>
      </c>
      <c r="H2253" s="7">
        <v>45560</v>
      </c>
      <c r="I2253" s="1" t="s">
        <v>7449</v>
      </c>
      <c r="J2253" s="7">
        <v>45560</v>
      </c>
      <c r="K2253" s="1" t="s">
        <v>7449</v>
      </c>
    </row>
    <row r="2254" spans="1:11" x14ac:dyDescent="0.25">
      <c r="A2254" s="1">
        <v>2253</v>
      </c>
      <c r="B2254" s="1" t="s">
        <v>6847</v>
      </c>
      <c r="C2254" s="1" t="s">
        <v>6848</v>
      </c>
      <c r="G2254" s="1">
        <v>1</v>
      </c>
      <c r="H2254" s="7">
        <v>45560</v>
      </c>
      <c r="I2254" s="1" t="s">
        <v>7449</v>
      </c>
      <c r="J2254" s="7">
        <v>45560</v>
      </c>
      <c r="K2254" s="1" t="s">
        <v>7449</v>
      </c>
    </row>
    <row r="2255" spans="1:11" x14ac:dyDescent="0.25">
      <c r="A2255" s="1">
        <v>2254</v>
      </c>
      <c r="B2255" s="1" t="s">
        <v>6849</v>
      </c>
      <c r="C2255" s="1" t="s">
        <v>6850</v>
      </c>
      <c r="D2255" s="1" t="s">
        <v>6851</v>
      </c>
      <c r="G2255" s="1">
        <v>1</v>
      </c>
      <c r="H2255" s="7">
        <v>45560</v>
      </c>
      <c r="I2255" s="1" t="s">
        <v>7449</v>
      </c>
      <c r="J2255" s="7">
        <v>45560</v>
      </c>
      <c r="K2255" s="1" t="s">
        <v>7449</v>
      </c>
    </row>
    <row r="2256" spans="1:11" x14ac:dyDescent="0.25">
      <c r="A2256" s="1">
        <v>2255</v>
      </c>
      <c r="B2256" s="1" t="s">
        <v>6852</v>
      </c>
      <c r="C2256" s="1" t="s">
        <v>6853</v>
      </c>
      <c r="G2256" s="1">
        <v>1</v>
      </c>
      <c r="H2256" s="7">
        <v>45560</v>
      </c>
      <c r="I2256" s="1" t="s">
        <v>7449</v>
      </c>
      <c r="J2256" s="7">
        <v>45560</v>
      </c>
      <c r="K2256" s="1" t="s">
        <v>7449</v>
      </c>
    </row>
    <row r="2257" spans="1:11" x14ac:dyDescent="0.25">
      <c r="A2257" s="1">
        <v>2256</v>
      </c>
      <c r="B2257" s="1" t="s">
        <v>6854</v>
      </c>
      <c r="C2257" s="1" t="s">
        <v>6855</v>
      </c>
      <c r="G2257" s="1">
        <v>1</v>
      </c>
      <c r="H2257" s="7">
        <v>45560</v>
      </c>
      <c r="I2257" s="1" t="s">
        <v>7449</v>
      </c>
      <c r="J2257" s="7">
        <v>45560</v>
      </c>
      <c r="K2257" s="1" t="s">
        <v>7449</v>
      </c>
    </row>
    <row r="2258" spans="1:11" x14ac:dyDescent="0.25">
      <c r="A2258" s="1">
        <v>2257</v>
      </c>
      <c r="B2258" s="1" t="s">
        <v>6856</v>
      </c>
      <c r="C2258" s="1" t="s">
        <v>6857</v>
      </c>
      <c r="G2258" s="1">
        <v>1</v>
      </c>
      <c r="H2258" s="7">
        <v>45560</v>
      </c>
      <c r="I2258" s="1" t="s">
        <v>7449</v>
      </c>
      <c r="J2258" s="7">
        <v>45560</v>
      </c>
      <c r="K2258" s="1" t="s">
        <v>7449</v>
      </c>
    </row>
    <row r="2259" spans="1:11" x14ac:dyDescent="0.25">
      <c r="A2259" s="1">
        <v>2258</v>
      </c>
      <c r="B2259" s="1" t="s">
        <v>6858</v>
      </c>
      <c r="C2259" s="1" t="s">
        <v>6859</v>
      </c>
      <c r="G2259" s="1">
        <v>1</v>
      </c>
      <c r="H2259" s="7">
        <v>45560</v>
      </c>
      <c r="I2259" s="1" t="s">
        <v>7449</v>
      </c>
      <c r="J2259" s="7">
        <v>45560</v>
      </c>
      <c r="K2259" s="1" t="s">
        <v>7449</v>
      </c>
    </row>
    <row r="2260" spans="1:11" x14ac:dyDescent="0.25">
      <c r="A2260" s="1">
        <v>2259</v>
      </c>
      <c r="B2260" s="1" t="s">
        <v>6860</v>
      </c>
      <c r="C2260" s="1" t="s">
        <v>6861</v>
      </c>
      <c r="G2260" s="1">
        <v>1</v>
      </c>
      <c r="H2260" s="7">
        <v>45560</v>
      </c>
      <c r="I2260" s="1" t="s">
        <v>7449</v>
      </c>
      <c r="J2260" s="7">
        <v>45560</v>
      </c>
      <c r="K2260" s="1" t="s">
        <v>7449</v>
      </c>
    </row>
    <row r="2261" spans="1:11" x14ac:dyDescent="0.25">
      <c r="A2261" s="1">
        <v>2260</v>
      </c>
      <c r="B2261" s="1" t="s">
        <v>6862</v>
      </c>
      <c r="C2261" s="1" t="s">
        <v>6863</v>
      </c>
      <c r="G2261" s="1">
        <v>1</v>
      </c>
      <c r="H2261" s="7">
        <v>45560</v>
      </c>
      <c r="I2261" s="1" t="s">
        <v>7449</v>
      </c>
      <c r="J2261" s="7">
        <v>45560</v>
      </c>
      <c r="K2261" s="1" t="s">
        <v>7449</v>
      </c>
    </row>
    <row r="2262" spans="1:11" x14ac:dyDescent="0.25">
      <c r="A2262" s="1">
        <v>2261</v>
      </c>
      <c r="B2262" s="1" t="s">
        <v>6864</v>
      </c>
      <c r="C2262" s="1" t="s">
        <v>6865</v>
      </c>
      <c r="G2262" s="1">
        <v>1</v>
      </c>
      <c r="H2262" s="7">
        <v>45560</v>
      </c>
      <c r="I2262" s="1" t="s">
        <v>7449</v>
      </c>
      <c r="J2262" s="7">
        <v>45560</v>
      </c>
      <c r="K2262" s="1" t="s">
        <v>7449</v>
      </c>
    </row>
    <row r="2263" spans="1:11" x14ac:dyDescent="0.25">
      <c r="A2263" s="1">
        <v>2262</v>
      </c>
      <c r="B2263" s="1" t="s">
        <v>6866</v>
      </c>
      <c r="C2263" s="1" t="s">
        <v>6867</v>
      </c>
      <c r="G2263" s="1">
        <v>1</v>
      </c>
      <c r="H2263" s="7">
        <v>45560</v>
      </c>
      <c r="I2263" s="1" t="s">
        <v>7449</v>
      </c>
      <c r="J2263" s="7">
        <v>45560</v>
      </c>
      <c r="K2263" s="1" t="s">
        <v>7449</v>
      </c>
    </row>
    <row r="2264" spans="1:11" x14ac:dyDescent="0.25">
      <c r="A2264" s="1">
        <v>2263</v>
      </c>
      <c r="B2264" s="1" t="s">
        <v>6868</v>
      </c>
      <c r="C2264" s="1" t="s">
        <v>6869</v>
      </c>
      <c r="G2264" s="1">
        <v>1</v>
      </c>
      <c r="H2264" s="7">
        <v>45560</v>
      </c>
      <c r="I2264" s="1" t="s">
        <v>7449</v>
      </c>
      <c r="J2264" s="7">
        <v>45560</v>
      </c>
      <c r="K2264" s="1" t="s">
        <v>7449</v>
      </c>
    </row>
    <row r="2265" spans="1:11" x14ac:dyDescent="0.25">
      <c r="A2265" s="1">
        <v>2264</v>
      </c>
      <c r="B2265" s="1" t="s">
        <v>6870</v>
      </c>
      <c r="C2265" s="1" t="s">
        <v>6871</v>
      </c>
      <c r="G2265" s="1">
        <v>1</v>
      </c>
      <c r="H2265" s="7">
        <v>45560</v>
      </c>
      <c r="I2265" s="1" t="s">
        <v>7449</v>
      </c>
      <c r="J2265" s="7">
        <v>45560</v>
      </c>
      <c r="K2265" s="1" t="s">
        <v>7449</v>
      </c>
    </row>
    <row r="2266" spans="1:11" x14ac:dyDescent="0.25">
      <c r="A2266" s="1">
        <v>2265</v>
      </c>
      <c r="B2266" s="1" t="s">
        <v>6872</v>
      </c>
      <c r="C2266" s="1" t="s">
        <v>6873</v>
      </c>
      <c r="G2266" s="1">
        <v>1</v>
      </c>
      <c r="H2266" s="7">
        <v>45560</v>
      </c>
      <c r="I2266" s="1" t="s">
        <v>7449</v>
      </c>
      <c r="J2266" s="7">
        <v>45560</v>
      </c>
      <c r="K2266" s="1" t="s">
        <v>7449</v>
      </c>
    </row>
    <row r="2267" spans="1:11" x14ac:dyDescent="0.25">
      <c r="A2267" s="1">
        <v>2266</v>
      </c>
      <c r="B2267" s="1" t="s">
        <v>6874</v>
      </c>
      <c r="C2267" s="1" t="s">
        <v>6875</v>
      </c>
      <c r="G2267" s="1">
        <v>1</v>
      </c>
      <c r="H2267" s="7">
        <v>45560</v>
      </c>
      <c r="I2267" s="1" t="s">
        <v>7449</v>
      </c>
      <c r="J2267" s="7">
        <v>45560</v>
      </c>
      <c r="K2267" s="1" t="s">
        <v>7449</v>
      </c>
    </row>
    <row r="2268" spans="1:11" x14ac:dyDescent="0.25">
      <c r="A2268" s="1">
        <v>2267</v>
      </c>
      <c r="B2268" s="1" t="s">
        <v>6876</v>
      </c>
      <c r="C2268" s="1" t="s">
        <v>6877</v>
      </c>
      <c r="G2268" s="1">
        <v>1</v>
      </c>
      <c r="H2268" s="7">
        <v>45560</v>
      </c>
      <c r="I2268" s="1" t="s">
        <v>7449</v>
      </c>
      <c r="J2268" s="7">
        <v>45560</v>
      </c>
      <c r="K2268" s="1" t="s">
        <v>7449</v>
      </c>
    </row>
    <row r="2269" spans="1:11" x14ac:dyDescent="0.25">
      <c r="A2269" s="1">
        <v>2268</v>
      </c>
      <c r="B2269" s="1" t="s">
        <v>6878</v>
      </c>
      <c r="C2269" s="1" t="s">
        <v>6879</v>
      </c>
      <c r="G2269" s="1">
        <v>1</v>
      </c>
      <c r="H2269" s="7">
        <v>45560</v>
      </c>
      <c r="I2269" s="1" t="s">
        <v>7449</v>
      </c>
      <c r="J2269" s="7">
        <v>45560</v>
      </c>
      <c r="K2269" s="1" t="s">
        <v>7449</v>
      </c>
    </row>
    <row r="2270" spans="1:11" x14ac:dyDescent="0.25">
      <c r="A2270" s="1">
        <v>2269</v>
      </c>
      <c r="B2270" s="1" t="s">
        <v>6880</v>
      </c>
      <c r="C2270" s="1" t="s">
        <v>6881</v>
      </c>
      <c r="G2270" s="1">
        <v>1</v>
      </c>
      <c r="H2270" s="7">
        <v>45560</v>
      </c>
      <c r="I2270" s="1" t="s">
        <v>7449</v>
      </c>
      <c r="J2270" s="7">
        <v>45560</v>
      </c>
      <c r="K2270" s="1" t="s">
        <v>7449</v>
      </c>
    </row>
    <row r="2271" spans="1:11" x14ac:dyDescent="0.25">
      <c r="A2271" s="1">
        <v>2270</v>
      </c>
      <c r="B2271" s="1" t="s">
        <v>6882</v>
      </c>
      <c r="C2271" s="1" t="s">
        <v>6883</v>
      </c>
      <c r="G2271" s="1">
        <v>1</v>
      </c>
      <c r="H2271" s="7">
        <v>45560</v>
      </c>
      <c r="I2271" s="1" t="s">
        <v>7449</v>
      </c>
      <c r="J2271" s="7">
        <v>45560</v>
      </c>
      <c r="K2271" s="1" t="s">
        <v>7449</v>
      </c>
    </row>
    <row r="2272" spans="1:11" x14ac:dyDescent="0.25">
      <c r="A2272" s="1">
        <v>2271</v>
      </c>
      <c r="B2272" s="1" t="s">
        <v>6884</v>
      </c>
      <c r="C2272" s="1" t="s">
        <v>6885</v>
      </c>
      <c r="G2272" s="1">
        <v>1</v>
      </c>
      <c r="H2272" s="7">
        <v>45560</v>
      </c>
      <c r="I2272" s="1" t="s">
        <v>7449</v>
      </c>
      <c r="J2272" s="7">
        <v>45560</v>
      </c>
      <c r="K2272" s="1" t="s">
        <v>7449</v>
      </c>
    </row>
    <row r="2273" spans="1:11" x14ac:dyDescent="0.25">
      <c r="A2273" s="1">
        <v>2272</v>
      </c>
      <c r="B2273" s="1" t="s">
        <v>6886</v>
      </c>
      <c r="C2273" s="1" t="s">
        <v>6887</v>
      </c>
      <c r="G2273" s="1">
        <v>1</v>
      </c>
      <c r="H2273" s="7">
        <v>45560</v>
      </c>
      <c r="I2273" s="1" t="s">
        <v>7449</v>
      </c>
      <c r="J2273" s="7">
        <v>45560</v>
      </c>
      <c r="K2273" s="1" t="s">
        <v>7449</v>
      </c>
    </row>
    <row r="2274" spans="1:11" x14ac:dyDescent="0.25">
      <c r="A2274" s="1">
        <v>2273</v>
      </c>
      <c r="B2274" s="1" t="s">
        <v>6888</v>
      </c>
      <c r="C2274" s="1" t="s">
        <v>6889</v>
      </c>
      <c r="G2274" s="1">
        <v>1</v>
      </c>
      <c r="H2274" s="7">
        <v>45560</v>
      </c>
      <c r="I2274" s="1" t="s">
        <v>7449</v>
      </c>
      <c r="J2274" s="7">
        <v>45560</v>
      </c>
      <c r="K2274" s="1" t="s">
        <v>7449</v>
      </c>
    </row>
    <row r="2275" spans="1:11" x14ac:dyDescent="0.25">
      <c r="A2275" s="1">
        <v>2274</v>
      </c>
      <c r="B2275" s="1" t="s">
        <v>6890</v>
      </c>
      <c r="C2275" s="1" t="s">
        <v>6891</v>
      </c>
      <c r="G2275" s="1">
        <v>1</v>
      </c>
      <c r="H2275" s="7">
        <v>45560</v>
      </c>
      <c r="I2275" s="1" t="s">
        <v>7449</v>
      </c>
      <c r="J2275" s="7">
        <v>45560</v>
      </c>
      <c r="K2275" s="1" t="s">
        <v>7449</v>
      </c>
    </row>
    <row r="2276" spans="1:11" x14ac:dyDescent="0.25">
      <c r="A2276" s="1">
        <v>2275</v>
      </c>
      <c r="B2276" s="1" t="s">
        <v>6892</v>
      </c>
      <c r="C2276" s="1" t="s">
        <v>6893</v>
      </c>
      <c r="G2276" s="1">
        <v>1</v>
      </c>
      <c r="H2276" s="7">
        <v>45560</v>
      </c>
      <c r="I2276" s="1" t="s">
        <v>7449</v>
      </c>
      <c r="J2276" s="7">
        <v>45560</v>
      </c>
      <c r="K2276" s="1" t="s">
        <v>7449</v>
      </c>
    </row>
    <row r="2277" spans="1:11" x14ac:dyDescent="0.25">
      <c r="A2277" s="1">
        <v>2276</v>
      </c>
      <c r="B2277" s="1" t="s">
        <v>6894</v>
      </c>
      <c r="C2277" s="1" t="s">
        <v>6895</v>
      </c>
      <c r="G2277" s="1">
        <v>1</v>
      </c>
      <c r="H2277" s="7">
        <v>45560</v>
      </c>
      <c r="I2277" s="1" t="s">
        <v>7449</v>
      </c>
      <c r="J2277" s="7">
        <v>45560</v>
      </c>
      <c r="K2277" s="1" t="s">
        <v>7449</v>
      </c>
    </row>
    <row r="2278" spans="1:11" x14ac:dyDescent="0.25">
      <c r="A2278" s="1">
        <v>2277</v>
      </c>
      <c r="B2278" s="1" t="s">
        <v>6896</v>
      </c>
      <c r="C2278" s="1" t="s">
        <v>6897</v>
      </c>
      <c r="D2278" s="1" t="s">
        <v>6898</v>
      </c>
      <c r="G2278" s="1">
        <v>1</v>
      </c>
      <c r="H2278" s="7">
        <v>45560</v>
      </c>
      <c r="I2278" s="1" t="s">
        <v>7449</v>
      </c>
      <c r="J2278" s="7">
        <v>45560</v>
      </c>
      <c r="K2278" s="1" t="s">
        <v>7449</v>
      </c>
    </row>
    <row r="2279" spans="1:11" x14ac:dyDescent="0.25">
      <c r="A2279" s="1">
        <v>2278</v>
      </c>
      <c r="B2279" s="1" t="s">
        <v>6899</v>
      </c>
      <c r="C2279" s="1" t="s">
        <v>6900</v>
      </c>
      <c r="G2279" s="1">
        <v>1</v>
      </c>
      <c r="H2279" s="7">
        <v>45560</v>
      </c>
      <c r="I2279" s="1" t="s">
        <v>7449</v>
      </c>
      <c r="J2279" s="7">
        <v>45560</v>
      </c>
      <c r="K2279" s="1" t="s">
        <v>7449</v>
      </c>
    </row>
    <row r="2280" spans="1:11" x14ac:dyDescent="0.25">
      <c r="A2280" s="1">
        <v>2279</v>
      </c>
      <c r="B2280" s="1" t="s">
        <v>6901</v>
      </c>
      <c r="C2280" s="1" t="s">
        <v>6902</v>
      </c>
      <c r="D2280" s="1" t="s">
        <v>6903</v>
      </c>
      <c r="G2280" s="1">
        <v>1</v>
      </c>
      <c r="H2280" s="7">
        <v>45560</v>
      </c>
      <c r="I2280" s="1" t="s">
        <v>7449</v>
      </c>
      <c r="J2280" s="7">
        <v>45560</v>
      </c>
      <c r="K2280" s="1" t="s">
        <v>7449</v>
      </c>
    </row>
    <row r="2281" spans="1:11" x14ac:dyDescent="0.25">
      <c r="A2281" s="1">
        <v>2280</v>
      </c>
      <c r="B2281" s="1" t="s">
        <v>6904</v>
      </c>
      <c r="C2281" s="1" t="s">
        <v>6905</v>
      </c>
      <c r="G2281" s="1">
        <v>1</v>
      </c>
      <c r="H2281" s="7">
        <v>45560</v>
      </c>
      <c r="I2281" s="1" t="s">
        <v>7449</v>
      </c>
      <c r="J2281" s="7">
        <v>45560</v>
      </c>
      <c r="K2281" s="1" t="s">
        <v>7449</v>
      </c>
    </row>
    <row r="2282" spans="1:11" x14ac:dyDescent="0.25">
      <c r="A2282" s="1">
        <v>2281</v>
      </c>
      <c r="B2282" s="1" t="s">
        <v>6906</v>
      </c>
      <c r="C2282" s="1" t="s">
        <v>6907</v>
      </c>
      <c r="G2282" s="1">
        <v>1</v>
      </c>
      <c r="H2282" s="7">
        <v>45560</v>
      </c>
      <c r="I2282" s="1" t="s">
        <v>7449</v>
      </c>
      <c r="J2282" s="7">
        <v>45560</v>
      </c>
      <c r="K2282" s="1" t="s">
        <v>7449</v>
      </c>
    </row>
    <row r="2283" spans="1:11" x14ac:dyDescent="0.25">
      <c r="A2283" s="1">
        <v>2282</v>
      </c>
      <c r="B2283" s="1" t="s">
        <v>6908</v>
      </c>
      <c r="C2283" s="1" t="s">
        <v>6909</v>
      </c>
      <c r="G2283" s="1">
        <v>1</v>
      </c>
      <c r="H2283" s="7">
        <v>45560</v>
      </c>
      <c r="I2283" s="1" t="s">
        <v>7449</v>
      </c>
      <c r="J2283" s="7">
        <v>45560</v>
      </c>
      <c r="K2283" s="1" t="s">
        <v>7449</v>
      </c>
    </row>
    <row r="2284" spans="1:11" x14ac:dyDescent="0.25">
      <c r="A2284" s="1">
        <v>2283</v>
      </c>
      <c r="B2284" s="1" t="s">
        <v>6910</v>
      </c>
      <c r="C2284" s="1" t="s">
        <v>6911</v>
      </c>
      <c r="G2284" s="1">
        <v>1</v>
      </c>
      <c r="H2284" s="7">
        <v>45560</v>
      </c>
      <c r="I2284" s="1" t="s">
        <v>7449</v>
      </c>
      <c r="J2284" s="7">
        <v>45560</v>
      </c>
      <c r="K2284" s="1" t="s">
        <v>7449</v>
      </c>
    </row>
    <row r="2285" spans="1:11" x14ac:dyDescent="0.25">
      <c r="A2285" s="1">
        <v>2284</v>
      </c>
      <c r="B2285" s="1" t="s">
        <v>6912</v>
      </c>
      <c r="C2285" s="1" t="s">
        <v>6913</v>
      </c>
      <c r="G2285" s="1">
        <v>1</v>
      </c>
      <c r="H2285" s="7">
        <v>45560</v>
      </c>
      <c r="I2285" s="1" t="s">
        <v>7449</v>
      </c>
      <c r="J2285" s="7">
        <v>45560</v>
      </c>
      <c r="K2285" s="1" t="s">
        <v>7449</v>
      </c>
    </row>
    <row r="2286" spans="1:11" x14ac:dyDescent="0.25">
      <c r="A2286" s="1">
        <v>2285</v>
      </c>
      <c r="B2286" s="1" t="s">
        <v>6914</v>
      </c>
      <c r="C2286" s="1" t="s">
        <v>6915</v>
      </c>
      <c r="G2286" s="1">
        <v>1</v>
      </c>
      <c r="H2286" s="7">
        <v>45560</v>
      </c>
      <c r="I2286" s="1" t="s">
        <v>7449</v>
      </c>
      <c r="J2286" s="7">
        <v>45560</v>
      </c>
      <c r="K2286" s="1" t="s">
        <v>7449</v>
      </c>
    </row>
    <row r="2287" spans="1:11" x14ac:dyDescent="0.25">
      <c r="A2287" s="1">
        <v>2286</v>
      </c>
      <c r="B2287" s="1" t="s">
        <v>6916</v>
      </c>
      <c r="C2287" s="1" t="s">
        <v>6917</v>
      </c>
      <c r="G2287" s="1">
        <v>1</v>
      </c>
      <c r="H2287" s="7">
        <v>45560</v>
      </c>
      <c r="I2287" s="1" t="s">
        <v>7449</v>
      </c>
      <c r="J2287" s="7">
        <v>45560</v>
      </c>
      <c r="K2287" s="1" t="s">
        <v>7449</v>
      </c>
    </row>
    <row r="2288" spans="1:11" x14ac:dyDescent="0.25">
      <c r="A2288" s="1">
        <v>2287</v>
      </c>
      <c r="B2288" s="1" t="s">
        <v>6918</v>
      </c>
      <c r="C2288" s="1" t="s">
        <v>6919</v>
      </c>
      <c r="D2288" s="1" t="s">
        <v>6920</v>
      </c>
      <c r="G2288" s="1">
        <v>1</v>
      </c>
      <c r="H2288" s="7">
        <v>45560</v>
      </c>
      <c r="I2288" s="1" t="s">
        <v>7449</v>
      </c>
      <c r="J2288" s="7">
        <v>45560</v>
      </c>
      <c r="K2288" s="1" t="s">
        <v>7449</v>
      </c>
    </row>
    <row r="2289" spans="1:11" x14ac:dyDescent="0.25">
      <c r="A2289" s="1">
        <v>2288</v>
      </c>
      <c r="B2289" s="1" t="s">
        <v>6921</v>
      </c>
      <c r="C2289" s="1" t="s">
        <v>6922</v>
      </c>
      <c r="G2289" s="1">
        <v>1</v>
      </c>
      <c r="H2289" s="7">
        <v>45560</v>
      </c>
      <c r="I2289" s="1" t="s">
        <v>7449</v>
      </c>
      <c r="J2289" s="7">
        <v>45560</v>
      </c>
      <c r="K2289" s="1" t="s">
        <v>7449</v>
      </c>
    </row>
    <row r="2290" spans="1:11" x14ac:dyDescent="0.25">
      <c r="A2290" s="1">
        <v>2289</v>
      </c>
      <c r="B2290" s="1" t="s">
        <v>6923</v>
      </c>
      <c r="C2290" s="1" t="s">
        <v>6924</v>
      </c>
      <c r="D2290" s="1" t="s">
        <v>6925</v>
      </c>
      <c r="G2290" s="1">
        <v>1</v>
      </c>
      <c r="H2290" s="7">
        <v>45560</v>
      </c>
      <c r="I2290" s="1" t="s">
        <v>7449</v>
      </c>
      <c r="J2290" s="7">
        <v>45560</v>
      </c>
      <c r="K2290" s="1" t="s">
        <v>7449</v>
      </c>
    </row>
    <row r="2291" spans="1:11" x14ac:dyDescent="0.25">
      <c r="A2291" s="1">
        <v>2290</v>
      </c>
      <c r="B2291" s="1" t="s">
        <v>6926</v>
      </c>
      <c r="C2291" s="1" t="s">
        <v>6927</v>
      </c>
      <c r="G2291" s="1">
        <v>1</v>
      </c>
      <c r="H2291" s="7">
        <v>45560</v>
      </c>
      <c r="I2291" s="1" t="s">
        <v>7449</v>
      </c>
      <c r="J2291" s="7">
        <v>45560</v>
      </c>
      <c r="K2291" s="1" t="s">
        <v>7449</v>
      </c>
    </row>
    <row r="2292" spans="1:11" x14ac:dyDescent="0.25">
      <c r="A2292" s="1">
        <v>2291</v>
      </c>
      <c r="B2292" s="1" t="s">
        <v>6928</v>
      </c>
      <c r="C2292" s="1" t="s">
        <v>6929</v>
      </c>
      <c r="D2292" s="1" t="s">
        <v>6930</v>
      </c>
      <c r="G2292" s="1">
        <v>1</v>
      </c>
      <c r="H2292" s="7">
        <v>45560</v>
      </c>
      <c r="I2292" s="1" t="s">
        <v>7449</v>
      </c>
      <c r="J2292" s="7">
        <v>45560</v>
      </c>
      <c r="K2292" s="1" t="s">
        <v>7449</v>
      </c>
    </row>
    <row r="2293" spans="1:11" x14ac:dyDescent="0.25">
      <c r="A2293" s="1">
        <v>2292</v>
      </c>
      <c r="B2293" s="1" t="s">
        <v>6931</v>
      </c>
      <c r="C2293" s="1" t="s">
        <v>6932</v>
      </c>
      <c r="G2293" s="1">
        <v>1</v>
      </c>
      <c r="H2293" s="7">
        <v>45560</v>
      </c>
      <c r="I2293" s="1" t="s">
        <v>7449</v>
      </c>
      <c r="J2293" s="7">
        <v>45560</v>
      </c>
      <c r="K2293" s="1" t="s">
        <v>7449</v>
      </c>
    </row>
    <row r="2294" spans="1:11" x14ac:dyDescent="0.25">
      <c r="A2294" s="1">
        <v>2293</v>
      </c>
      <c r="B2294" s="1" t="s">
        <v>6933</v>
      </c>
      <c r="C2294" s="1" t="s">
        <v>6934</v>
      </c>
      <c r="G2294" s="1">
        <v>1</v>
      </c>
      <c r="H2294" s="7">
        <v>45560</v>
      </c>
      <c r="I2294" s="1" t="s">
        <v>7449</v>
      </c>
      <c r="J2294" s="7">
        <v>45560</v>
      </c>
      <c r="K2294" s="1" t="s">
        <v>7449</v>
      </c>
    </row>
    <row r="2295" spans="1:11" x14ac:dyDescent="0.25">
      <c r="A2295" s="1">
        <v>2294</v>
      </c>
      <c r="B2295" s="1" t="s">
        <v>6935</v>
      </c>
      <c r="C2295" s="1" t="s">
        <v>6936</v>
      </c>
      <c r="G2295" s="1">
        <v>1</v>
      </c>
      <c r="H2295" s="7">
        <v>45560</v>
      </c>
      <c r="I2295" s="1" t="s">
        <v>7449</v>
      </c>
      <c r="J2295" s="7">
        <v>45560</v>
      </c>
      <c r="K2295" s="1" t="s">
        <v>7449</v>
      </c>
    </row>
    <row r="2296" spans="1:11" x14ac:dyDescent="0.25">
      <c r="A2296" s="1">
        <v>2295</v>
      </c>
      <c r="B2296" s="1" t="s">
        <v>6937</v>
      </c>
      <c r="C2296" s="1" t="s">
        <v>6938</v>
      </c>
      <c r="G2296" s="1">
        <v>1</v>
      </c>
      <c r="H2296" s="7">
        <v>45560</v>
      </c>
      <c r="I2296" s="1" t="s">
        <v>7449</v>
      </c>
      <c r="J2296" s="7">
        <v>45560</v>
      </c>
      <c r="K2296" s="1" t="s">
        <v>7449</v>
      </c>
    </row>
    <row r="2297" spans="1:11" x14ac:dyDescent="0.25">
      <c r="A2297" s="1">
        <v>2296</v>
      </c>
      <c r="B2297" s="1" t="s">
        <v>6939</v>
      </c>
      <c r="C2297" s="1" t="s">
        <v>6940</v>
      </c>
      <c r="D2297" s="1" t="s">
        <v>6941</v>
      </c>
      <c r="G2297" s="1">
        <v>1</v>
      </c>
      <c r="H2297" s="7">
        <v>45560</v>
      </c>
      <c r="I2297" s="1" t="s">
        <v>7449</v>
      </c>
      <c r="J2297" s="7">
        <v>45560</v>
      </c>
      <c r="K2297" s="1" t="s">
        <v>7449</v>
      </c>
    </row>
    <row r="2298" spans="1:11" x14ac:dyDescent="0.25">
      <c r="A2298" s="1">
        <v>2297</v>
      </c>
      <c r="B2298" s="1" t="s">
        <v>6942</v>
      </c>
      <c r="C2298" s="1" t="s">
        <v>6943</v>
      </c>
      <c r="G2298" s="1">
        <v>1</v>
      </c>
      <c r="H2298" s="7">
        <v>45560</v>
      </c>
      <c r="I2298" s="1" t="s">
        <v>7449</v>
      </c>
      <c r="J2298" s="7">
        <v>45560</v>
      </c>
      <c r="K2298" s="1" t="s">
        <v>7449</v>
      </c>
    </row>
    <row r="2299" spans="1:11" x14ac:dyDescent="0.25">
      <c r="A2299" s="1">
        <v>2298</v>
      </c>
      <c r="B2299" s="1" t="s">
        <v>6944</v>
      </c>
      <c r="C2299" s="1" t="s">
        <v>6945</v>
      </c>
      <c r="G2299" s="1">
        <v>1</v>
      </c>
      <c r="H2299" s="7">
        <v>45560</v>
      </c>
      <c r="I2299" s="1" t="s">
        <v>7449</v>
      </c>
      <c r="J2299" s="7">
        <v>45560</v>
      </c>
      <c r="K2299" s="1" t="s">
        <v>7449</v>
      </c>
    </row>
    <row r="2300" spans="1:11" x14ac:dyDescent="0.25">
      <c r="A2300" s="1">
        <v>2299</v>
      </c>
      <c r="B2300" s="1" t="s">
        <v>6946</v>
      </c>
      <c r="C2300" s="1" t="s">
        <v>6947</v>
      </c>
      <c r="D2300" s="1" t="s">
        <v>6948</v>
      </c>
      <c r="G2300" s="1">
        <v>1</v>
      </c>
      <c r="H2300" s="7">
        <v>45560</v>
      </c>
      <c r="I2300" s="1" t="s">
        <v>7449</v>
      </c>
      <c r="J2300" s="7">
        <v>45560</v>
      </c>
      <c r="K2300" s="1" t="s">
        <v>7449</v>
      </c>
    </row>
    <row r="2301" spans="1:11" x14ac:dyDescent="0.25">
      <c r="A2301" s="1">
        <v>2300</v>
      </c>
      <c r="B2301" s="1" t="s">
        <v>6949</v>
      </c>
      <c r="C2301" s="1" t="s">
        <v>6950</v>
      </c>
      <c r="G2301" s="1">
        <v>1</v>
      </c>
      <c r="H2301" s="7">
        <v>45560</v>
      </c>
      <c r="I2301" s="1" t="s">
        <v>7449</v>
      </c>
      <c r="J2301" s="7">
        <v>45560</v>
      </c>
      <c r="K2301" s="1" t="s">
        <v>7449</v>
      </c>
    </row>
    <row r="2302" spans="1:11" x14ac:dyDescent="0.25">
      <c r="A2302" s="1">
        <v>2301</v>
      </c>
      <c r="B2302" s="1" t="s">
        <v>6951</v>
      </c>
      <c r="C2302" s="1" t="s">
        <v>6952</v>
      </c>
      <c r="G2302" s="1">
        <v>1</v>
      </c>
      <c r="H2302" s="7">
        <v>45560</v>
      </c>
      <c r="I2302" s="1" t="s">
        <v>7449</v>
      </c>
      <c r="J2302" s="7">
        <v>45560</v>
      </c>
      <c r="K2302" s="1" t="s">
        <v>7449</v>
      </c>
    </row>
    <row r="2303" spans="1:11" x14ac:dyDescent="0.25">
      <c r="A2303" s="1">
        <v>2302</v>
      </c>
      <c r="B2303" s="1" t="s">
        <v>6953</v>
      </c>
      <c r="C2303" s="1" t="s">
        <v>6954</v>
      </c>
      <c r="G2303" s="1">
        <v>1</v>
      </c>
      <c r="H2303" s="7">
        <v>45560</v>
      </c>
      <c r="I2303" s="1" t="s">
        <v>7449</v>
      </c>
      <c r="J2303" s="7">
        <v>45560</v>
      </c>
      <c r="K2303" s="1" t="s">
        <v>7449</v>
      </c>
    </row>
    <row r="2304" spans="1:11" x14ac:dyDescent="0.25">
      <c r="A2304" s="1">
        <v>2303</v>
      </c>
      <c r="B2304" s="1" t="s">
        <v>6955</v>
      </c>
      <c r="C2304" s="1" t="s">
        <v>6956</v>
      </c>
      <c r="D2304" s="1" t="s">
        <v>6957</v>
      </c>
      <c r="G2304" s="1">
        <v>1</v>
      </c>
      <c r="H2304" s="7">
        <v>45560</v>
      </c>
      <c r="I2304" s="1" t="s">
        <v>7449</v>
      </c>
      <c r="J2304" s="7">
        <v>45560</v>
      </c>
      <c r="K2304" s="1" t="s">
        <v>7449</v>
      </c>
    </row>
    <row r="2305" spans="1:11" x14ac:dyDescent="0.25">
      <c r="A2305" s="1">
        <v>2304</v>
      </c>
      <c r="B2305" s="1" t="s">
        <v>6958</v>
      </c>
      <c r="C2305" s="1" t="s">
        <v>6959</v>
      </c>
      <c r="D2305" s="1" t="s">
        <v>6960</v>
      </c>
      <c r="G2305" s="1">
        <v>1</v>
      </c>
      <c r="H2305" s="7">
        <v>45560</v>
      </c>
      <c r="I2305" s="1" t="s">
        <v>7449</v>
      </c>
      <c r="J2305" s="7">
        <v>45560</v>
      </c>
      <c r="K2305" s="1" t="s">
        <v>7449</v>
      </c>
    </row>
    <row r="2306" spans="1:11" x14ac:dyDescent="0.25">
      <c r="A2306" s="1">
        <v>2305</v>
      </c>
      <c r="B2306" s="1" t="s">
        <v>6961</v>
      </c>
      <c r="C2306" s="1" t="s">
        <v>6962</v>
      </c>
      <c r="G2306" s="1">
        <v>1</v>
      </c>
      <c r="H2306" s="7">
        <v>45560</v>
      </c>
      <c r="I2306" s="1" t="s">
        <v>7449</v>
      </c>
      <c r="J2306" s="7">
        <v>45560</v>
      </c>
      <c r="K2306" s="1" t="s">
        <v>7449</v>
      </c>
    </row>
    <row r="2307" spans="1:11" x14ac:dyDescent="0.25">
      <c r="A2307" s="1">
        <v>2306</v>
      </c>
      <c r="B2307" s="1" t="s">
        <v>6963</v>
      </c>
      <c r="C2307" s="1" t="s">
        <v>6964</v>
      </c>
      <c r="G2307" s="1">
        <v>1</v>
      </c>
      <c r="H2307" s="7">
        <v>45560</v>
      </c>
      <c r="I2307" s="1" t="s">
        <v>7449</v>
      </c>
      <c r="J2307" s="7">
        <v>45560</v>
      </c>
      <c r="K2307" s="1" t="s">
        <v>7449</v>
      </c>
    </row>
    <row r="2308" spans="1:11" x14ac:dyDescent="0.25">
      <c r="A2308" s="1">
        <v>2307</v>
      </c>
      <c r="B2308" s="1" t="s">
        <v>6965</v>
      </c>
      <c r="C2308" s="1" t="s">
        <v>6966</v>
      </c>
      <c r="G2308" s="1">
        <v>1</v>
      </c>
      <c r="H2308" s="7">
        <v>45560</v>
      </c>
      <c r="I2308" s="1" t="s">
        <v>7449</v>
      </c>
      <c r="J2308" s="7">
        <v>45560</v>
      </c>
      <c r="K2308" s="1" t="s">
        <v>7449</v>
      </c>
    </row>
    <row r="2309" spans="1:11" x14ac:dyDescent="0.25">
      <c r="A2309" s="1">
        <v>2308</v>
      </c>
      <c r="B2309" s="1" t="s">
        <v>6967</v>
      </c>
      <c r="C2309" s="1" t="s">
        <v>6968</v>
      </c>
      <c r="D2309" s="1" t="s">
        <v>6969</v>
      </c>
      <c r="G2309" s="1">
        <v>1</v>
      </c>
      <c r="H2309" s="7">
        <v>45560</v>
      </c>
      <c r="I2309" s="1" t="s">
        <v>7449</v>
      </c>
      <c r="J2309" s="7">
        <v>45560</v>
      </c>
      <c r="K2309" s="1" t="s">
        <v>7449</v>
      </c>
    </row>
    <row r="2310" spans="1:11" x14ac:dyDescent="0.25">
      <c r="A2310" s="1">
        <v>2309</v>
      </c>
      <c r="B2310" s="1" t="s">
        <v>6970</v>
      </c>
      <c r="C2310" s="1" t="s">
        <v>6971</v>
      </c>
      <c r="G2310" s="1">
        <v>1</v>
      </c>
      <c r="H2310" s="7">
        <v>45560</v>
      </c>
      <c r="I2310" s="1" t="s">
        <v>7449</v>
      </c>
      <c r="J2310" s="7">
        <v>45560</v>
      </c>
      <c r="K2310" s="1" t="s">
        <v>7449</v>
      </c>
    </row>
    <row r="2311" spans="1:11" x14ac:dyDescent="0.25">
      <c r="A2311" s="1">
        <v>2310</v>
      </c>
      <c r="B2311" s="1" t="s">
        <v>6972</v>
      </c>
      <c r="C2311" s="1" t="s">
        <v>6973</v>
      </c>
      <c r="G2311" s="1">
        <v>1</v>
      </c>
      <c r="H2311" s="7">
        <v>45560</v>
      </c>
      <c r="I2311" s="1" t="s">
        <v>7449</v>
      </c>
      <c r="J2311" s="7">
        <v>45560</v>
      </c>
      <c r="K2311" s="1" t="s">
        <v>7449</v>
      </c>
    </row>
    <row r="2312" spans="1:11" x14ac:dyDescent="0.25">
      <c r="A2312" s="1">
        <v>2311</v>
      </c>
      <c r="B2312" s="1" t="s">
        <v>6974</v>
      </c>
      <c r="C2312" s="1" t="s">
        <v>6975</v>
      </c>
      <c r="D2312" s="1" t="s">
        <v>6976</v>
      </c>
      <c r="G2312" s="1">
        <v>1</v>
      </c>
      <c r="H2312" s="7">
        <v>45560</v>
      </c>
      <c r="I2312" s="1" t="s">
        <v>7449</v>
      </c>
      <c r="J2312" s="7">
        <v>45560</v>
      </c>
      <c r="K2312" s="1" t="s">
        <v>7449</v>
      </c>
    </row>
    <row r="2313" spans="1:11" x14ac:dyDescent="0.25">
      <c r="A2313" s="1">
        <v>2312</v>
      </c>
      <c r="B2313" s="1" t="s">
        <v>6977</v>
      </c>
      <c r="C2313" s="1" t="s">
        <v>6978</v>
      </c>
      <c r="G2313" s="1">
        <v>1</v>
      </c>
      <c r="H2313" s="7">
        <v>45560</v>
      </c>
      <c r="I2313" s="1" t="s">
        <v>7449</v>
      </c>
      <c r="J2313" s="7">
        <v>45560</v>
      </c>
      <c r="K2313" s="1" t="s">
        <v>7449</v>
      </c>
    </row>
    <row r="2314" spans="1:11" x14ac:dyDescent="0.25">
      <c r="A2314" s="1">
        <v>2313</v>
      </c>
      <c r="B2314" s="1" t="s">
        <v>6979</v>
      </c>
      <c r="C2314" s="1" t="s">
        <v>6980</v>
      </c>
      <c r="D2314" s="1" t="s">
        <v>6981</v>
      </c>
      <c r="G2314" s="1">
        <v>1</v>
      </c>
      <c r="H2314" s="7">
        <v>45560</v>
      </c>
      <c r="I2314" s="1" t="s">
        <v>7449</v>
      </c>
      <c r="J2314" s="7">
        <v>45560</v>
      </c>
      <c r="K2314" s="1" t="s">
        <v>7449</v>
      </c>
    </row>
    <row r="2315" spans="1:11" x14ac:dyDescent="0.25">
      <c r="A2315" s="1">
        <v>2314</v>
      </c>
      <c r="B2315" s="1" t="s">
        <v>6982</v>
      </c>
      <c r="C2315" s="1" t="s">
        <v>6983</v>
      </c>
      <c r="D2315" s="1" t="s">
        <v>6984</v>
      </c>
      <c r="G2315" s="1">
        <v>1</v>
      </c>
      <c r="H2315" s="7">
        <v>45560</v>
      </c>
      <c r="I2315" s="1" t="s">
        <v>7449</v>
      </c>
      <c r="J2315" s="7">
        <v>45560</v>
      </c>
      <c r="K2315" s="1" t="s">
        <v>7449</v>
      </c>
    </row>
    <row r="2316" spans="1:11" x14ac:dyDescent="0.25">
      <c r="A2316" s="1">
        <v>2315</v>
      </c>
      <c r="B2316" s="1" t="s">
        <v>6985</v>
      </c>
      <c r="C2316" s="1" t="s">
        <v>6986</v>
      </c>
      <c r="G2316" s="1">
        <v>1</v>
      </c>
      <c r="H2316" s="7">
        <v>45560</v>
      </c>
      <c r="I2316" s="1" t="s">
        <v>7449</v>
      </c>
      <c r="J2316" s="7">
        <v>45560</v>
      </c>
      <c r="K2316" s="1" t="s">
        <v>7449</v>
      </c>
    </row>
    <row r="2317" spans="1:11" x14ac:dyDescent="0.25">
      <c r="A2317" s="1">
        <v>2316</v>
      </c>
      <c r="B2317" s="1" t="s">
        <v>6987</v>
      </c>
      <c r="C2317" s="1" t="s">
        <v>6988</v>
      </c>
      <c r="G2317" s="1">
        <v>1</v>
      </c>
      <c r="H2317" s="7">
        <v>45560</v>
      </c>
      <c r="I2317" s="1" t="s">
        <v>7449</v>
      </c>
      <c r="J2317" s="7">
        <v>45560</v>
      </c>
      <c r="K2317" s="1" t="s">
        <v>7449</v>
      </c>
    </row>
    <row r="2318" spans="1:11" x14ac:dyDescent="0.25">
      <c r="A2318" s="1">
        <v>2317</v>
      </c>
      <c r="B2318" s="1" t="s">
        <v>6989</v>
      </c>
      <c r="C2318" s="1" t="s">
        <v>6990</v>
      </c>
      <c r="G2318" s="1">
        <v>1</v>
      </c>
      <c r="H2318" s="7">
        <v>45560</v>
      </c>
      <c r="I2318" s="1" t="s">
        <v>7449</v>
      </c>
      <c r="J2318" s="7">
        <v>45560</v>
      </c>
      <c r="K2318" s="1" t="s">
        <v>7449</v>
      </c>
    </row>
    <row r="2319" spans="1:11" x14ac:dyDescent="0.25">
      <c r="A2319" s="1">
        <v>2318</v>
      </c>
      <c r="B2319" s="1" t="s">
        <v>6991</v>
      </c>
      <c r="C2319" s="1" t="s">
        <v>6992</v>
      </c>
      <c r="D2319" s="1" t="s">
        <v>6993</v>
      </c>
      <c r="G2319" s="1">
        <v>1</v>
      </c>
      <c r="H2319" s="7">
        <v>45560</v>
      </c>
      <c r="I2319" s="1" t="s">
        <v>7449</v>
      </c>
      <c r="J2319" s="7">
        <v>45560</v>
      </c>
      <c r="K2319" s="1" t="s">
        <v>7449</v>
      </c>
    </row>
    <row r="2320" spans="1:11" x14ac:dyDescent="0.25">
      <c r="A2320" s="1">
        <v>2319</v>
      </c>
      <c r="B2320" s="1" t="s">
        <v>6994</v>
      </c>
      <c r="C2320" s="1" t="s">
        <v>6995</v>
      </c>
      <c r="G2320" s="1">
        <v>1</v>
      </c>
      <c r="H2320" s="7">
        <v>45560</v>
      </c>
      <c r="I2320" s="1" t="s">
        <v>7449</v>
      </c>
      <c r="J2320" s="7">
        <v>45560</v>
      </c>
      <c r="K2320" s="1" t="s">
        <v>7449</v>
      </c>
    </row>
    <row r="2321" spans="1:11" x14ac:dyDescent="0.25">
      <c r="A2321" s="1">
        <v>2320</v>
      </c>
      <c r="B2321" s="1" t="s">
        <v>6996</v>
      </c>
      <c r="C2321" s="1" t="s">
        <v>6997</v>
      </c>
      <c r="G2321" s="1">
        <v>1</v>
      </c>
      <c r="H2321" s="7">
        <v>45560</v>
      </c>
      <c r="I2321" s="1" t="s">
        <v>7449</v>
      </c>
      <c r="J2321" s="7">
        <v>45560</v>
      </c>
      <c r="K2321" s="1" t="s">
        <v>7449</v>
      </c>
    </row>
    <row r="2322" spans="1:11" x14ac:dyDescent="0.25">
      <c r="A2322" s="1">
        <v>2321</v>
      </c>
      <c r="B2322" s="1" t="s">
        <v>6998</v>
      </c>
      <c r="C2322" s="1" t="s">
        <v>6999</v>
      </c>
      <c r="G2322" s="1">
        <v>1</v>
      </c>
      <c r="H2322" s="7">
        <v>45560</v>
      </c>
      <c r="I2322" s="1" t="s">
        <v>7449</v>
      </c>
      <c r="J2322" s="7">
        <v>45560</v>
      </c>
      <c r="K2322" s="1" t="s">
        <v>7449</v>
      </c>
    </row>
    <row r="2323" spans="1:11" x14ac:dyDescent="0.25">
      <c r="A2323" s="1">
        <v>2322</v>
      </c>
      <c r="B2323" s="1" t="s">
        <v>7000</v>
      </c>
      <c r="C2323" s="1" t="s">
        <v>7001</v>
      </c>
      <c r="D2323" s="1" t="s">
        <v>7002</v>
      </c>
      <c r="G2323" s="1">
        <v>1</v>
      </c>
      <c r="H2323" s="7">
        <v>45560</v>
      </c>
      <c r="I2323" s="1" t="s">
        <v>7449</v>
      </c>
      <c r="J2323" s="7">
        <v>45560</v>
      </c>
      <c r="K2323" s="1" t="s">
        <v>7449</v>
      </c>
    </row>
    <row r="2324" spans="1:11" x14ac:dyDescent="0.25">
      <c r="A2324" s="1">
        <v>2323</v>
      </c>
      <c r="B2324" s="1" t="s">
        <v>7003</v>
      </c>
      <c r="C2324" s="1" t="s">
        <v>7004</v>
      </c>
      <c r="G2324" s="1">
        <v>1</v>
      </c>
      <c r="H2324" s="7">
        <v>45560</v>
      </c>
      <c r="I2324" s="1" t="s">
        <v>7449</v>
      </c>
      <c r="J2324" s="7">
        <v>45560</v>
      </c>
      <c r="K2324" s="1" t="s">
        <v>7449</v>
      </c>
    </row>
    <row r="2325" spans="1:11" x14ac:dyDescent="0.25">
      <c r="A2325" s="1">
        <v>2324</v>
      </c>
      <c r="B2325" s="1" t="s">
        <v>7005</v>
      </c>
      <c r="C2325" s="1" t="s">
        <v>7006</v>
      </c>
      <c r="D2325" s="1" t="s">
        <v>7007</v>
      </c>
      <c r="G2325" s="1">
        <v>1</v>
      </c>
      <c r="H2325" s="7">
        <v>45560</v>
      </c>
      <c r="I2325" s="1" t="s">
        <v>7449</v>
      </c>
      <c r="J2325" s="7">
        <v>45560</v>
      </c>
      <c r="K2325" s="1" t="s">
        <v>7449</v>
      </c>
    </row>
    <row r="2326" spans="1:11" x14ac:dyDescent="0.25">
      <c r="A2326" s="1">
        <v>2325</v>
      </c>
      <c r="B2326" s="1" t="s">
        <v>7008</v>
      </c>
      <c r="C2326" s="1" t="s">
        <v>7009</v>
      </c>
      <c r="G2326" s="1">
        <v>1</v>
      </c>
      <c r="H2326" s="7">
        <v>45560</v>
      </c>
      <c r="I2326" s="1" t="s">
        <v>7449</v>
      </c>
      <c r="J2326" s="7">
        <v>45560</v>
      </c>
      <c r="K2326" s="1" t="s">
        <v>7449</v>
      </c>
    </row>
    <row r="2327" spans="1:11" x14ac:dyDescent="0.25">
      <c r="A2327" s="1">
        <v>2326</v>
      </c>
      <c r="B2327" s="1" t="s">
        <v>7010</v>
      </c>
      <c r="C2327" s="1" t="s">
        <v>7011</v>
      </c>
      <c r="G2327" s="1">
        <v>1</v>
      </c>
      <c r="H2327" s="7">
        <v>45560</v>
      </c>
      <c r="I2327" s="1" t="s">
        <v>7449</v>
      </c>
      <c r="J2327" s="7">
        <v>45560</v>
      </c>
      <c r="K2327" s="1" t="s">
        <v>7449</v>
      </c>
    </row>
    <row r="2328" spans="1:11" x14ac:dyDescent="0.25">
      <c r="A2328" s="1">
        <v>2327</v>
      </c>
      <c r="B2328" s="1" t="s">
        <v>7012</v>
      </c>
      <c r="C2328" s="1" t="s">
        <v>7013</v>
      </c>
      <c r="G2328" s="1">
        <v>1</v>
      </c>
      <c r="H2328" s="7">
        <v>45560</v>
      </c>
      <c r="I2328" s="1" t="s">
        <v>7449</v>
      </c>
      <c r="J2328" s="7">
        <v>45560</v>
      </c>
      <c r="K2328" s="1" t="s">
        <v>7449</v>
      </c>
    </row>
    <row r="2329" spans="1:11" x14ac:dyDescent="0.25">
      <c r="A2329" s="1">
        <v>2328</v>
      </c>
      <c r="B2329" s="1" t="s">
        <v>7014</v>
      </c>
      <c r="C2329" s="1" t="s">
        <v>7015</v>
      </c>
      <c r="G2329" s="1">
        <v>1</v>
      </c>
      <c r="H2329" s="7">
        <v>45560</v>
      </c>
      <c r="I2329" s="1" t="s">
        <v>7449</v>
      </c>
      <c r="J2329" s="7">
        <v>45560</v>
      </c>
      <c r="K2329" s="1" t="s">
        <v>7449</v>
      </c>
    </row>
    <row r="2330" spans="1:11" x14ac:dyDescent="0.25">
      <c r="A2330" s="1">
        <v>2329</v>
      </c>
      <c r="B2330" s="1" t="s">
        <v>7016</v>
      </c>
      <c r="C2330" s="1" t="s">
        <v>7017</v>
      </c>
      <c r="D2330" s="1" t="s">
        <v>7018</v>
      </c>
      <c r="G2330" s="1">
        <v>1</v>
      </c>
      <c r="H2330" s="7">
        <v>45560</v>
      </c>
      <c r="I2330" s="1" t="s">
        <v>7449</v>
      </c>
      <c r="J2330" s="7">
        <v>45560</v>
      </c>
      <c r="K2330" s="1" t="s">
        <v>7449</v>
      </c>
    </row>
    <row r="2331" spans="1:11" x14ac:dyDescent="0.25">
      <c r="A2331" s="1">
        <v>2330</v>
      </c>
      <c r="B2331" s="1" t="s">
        <v>7019</v>
      </c>
      <c r="C2331" s="1" t="s">
        <v>7020</v>
      </c>
      <c r="G2331" s="1">
        <v>1</v>
      </c>
      <c r="H2331" s="7">
        <v>45560</v>
      </c>
      <c r="I2331" s="1" t="s">
        <v>7449</v>
      </c>
      <c r="J2331" s="7">
        <v>45560</v>
      </c>
      <c r="K2331" s="1" t="s">
        <v>7449</v>
      </c>
    </row>
    <row r="2332" spans="1:11" x14ac:dyDescent="0.25">
      <c r="A2332" s="1">
        <v>2331</v>
      </c>
      <c r="B2332" s="1" t="s">
        <v>7021</v>
      </c>
      <c r="C2332" s="1" t="s">
        <v>7022</v>
      </c>
      <c r="D2332" s="1" t="s">
        <v>7023</v>
      </c>
      <c r="G2332" s="1">
        <v>1</v>
      </c>
      <c r="H2332" s="7">
        <v>45560</v>
      </c>
      <c r="I2332" s="1" t="s">
        <v>7449</v>
      </c>
      <c r="J2332" s="7">
        <v>45560</v>
      </c>
      <c r="K2332" s="1" t="s">
        <v>7449</v>
      </c>
    </row>
    <row r="2333" spans="1:11" x14ac:dyDescent="0.25">
      <c r="A2333" s="1">
        <v>2332</v>
      </c>
      <c r="B2333" s="1" t="s">
        <v>7024</v>
      </c>
      <c r="C2333" s="1" t="s">
        <v>7025</v>
      </c>
      <c r="G2333" s="1">
        <v>1</v>
      </c>
      <c r="H2333" s="7">
        <v>45560</v>
      </c>
      <c r="I2333" s="1" t="s">
        <v>7449</v>
      </c>
      <c r="J2333" s="7">
        <v>45560</v>
      </c>
      <c r="K2333" s="1" t="s">
        <v>7449</v>
      </c>
    </row>
    <row r="2334" spans="1:11" x14ac:dyDescent="0.25">
      <c r="A2334" s="1">
        <v>2333</v>
      </c>
      <c r="B2334" s="1" t="s">
        <v>7026</v>
      </c>
      <c r="C2334" s="1" t="s">
        <v>7027</v>
      </c>
      <c r="G2334" s="1">
        <v>1</v>
      </c>
      <c r="H2334" s="7">
        <v>45560</v>
      </c>
      <c r="I2334" s="1" t="s">
        <v>7449</v>
      </c>
      <c r="J2334" s="7">
        <v>45560</v>
      </c>
      <c r="K2334" s="1" t="s">
        <v>7449</v>
      </c>
    </row>
    <row r="2335" spans="1:11" x14ac:dyDescent="0.25">
      <c r="A2335" s="1">
        <v>2334</v>
      </c>
      <c r="B2335" s="1" t="s">
        <v>7028</v>
      </c>
      <c r="C2335" s="1" t="s">
        <v>7029</v>
      </c>
      <c r="G2335" s="1">
        <v>1</v>
      </c>
      <c r="H2335" s="7">
        <v>45560</v>
      </c>
      <c r="I2335" s="1" t="s">
        <v>7449</v>
      </c>
      <c r="J2335" s="7">
        <v>45560</v>
      </c>
      <c r="K2335" s="1" t="s">
        <v>7449</v>
      </c>
    </row>
    <row r="2336" spans="1:11" x14ac:dyDescent="0.25">
      <c r="A2336" s="1">
        <v>2335</v>
      </c>
      <c r="B2336" s="1" t="s">
        <v>7030</v>
      </c>
      <c r="C2336" s="1" t="s">
        <v>7031</v>
      </c>
      <c r="G2336" s="1">
        <v>1</v>
      </c>
      <c r="H2336" s="7">
        <v>45560</v>
      </c>
      <c r="I2336" s="1" t="s">
        <v>7449</v>
      </c>
      <c r="J2336" s="7">
        <v>45560</v>
      </c>
      <c r="K2336" s="1" t="s">
        <v>7449</v>
      </c>
    </row>
    <row r="2337" spans="1:11" x14ac:dyDescent="0.25">
      <c r="A2337" s="1">
        <v>2336</v>
      </c>
      <c r="B2337" s="1" t="s">
        <v>7032</v>
      </c>
      <c r="C2337" s="1" t="s">
        <v>7033</v>
      </c>
      <c r="G2337" s="1">
        <v>1</v>
      </c>
      <c r="H2337" s="7">
        <v>45560</v>
      </c>
      <c r="I2337" s="1" t="s">
        <v>7449</v>
      </c>
      <c r="J2337" s="7">
        <v>45560</v>
      </c>
      <c r="K2337" s="1" t="s">
        <v>7449</v>
      </c>
    </row>
    <row r="2338" spans="1:11" x14ac:dyDescent="0.25">
      <c r="A2338" s="1">
        <v>2337</v>
      </c>
      <c r="B2338" s="1" t="s">
        <v>7034</v>
      </c>
      <c r="C2338" s="1" t="s">
        <v>7035</v>
      </c>
      <c r="G2338" s="1">
        <v>1</v>
      </c>
      <c r="H2338" s="7">
        <v>45560</v>
      </c>
      <c r="I2338" s="1" t="s">
        <v>7449</v>
      </c>
      <c r="J2338" s="7">
        <v>45560</v>
      </c>
      <c r="K2338" s="1" t="s">
        <v>7449</v>
      </c>
    </row>
    <row r="2339" spans="1:11" x14ac:dyDescent="0.25">
      <c r="A2339" s="1">
        <v>2338</v>
      </c>
      <c r="B2339" s="1" t="s">
        <v>7036</v>
      </c>
      <c r="C2339" s="1" t="s">
        <v>7037</v>
      </c>
      <c r="G2339" s="1">
        <v>1</v>
      </c>
      <c r="H2339" s="7">
        <v>45560</v>
      </c>
      <c r="I2339" s="1" t="s">
        <v>7449</v>
      </c>
      <c r="J2339" s="7">
        <v>45560</v>
      </c>
      <c r="K2339" s="1" t="s">
        <v>7449</v>
      </c>
    </row>
    <row r="2340" spans="1:11" x14ac:dyDescent="0.25">
      <c r="A2340" s="1">
        <v>2339</v>
      </c>
      <c r="B2340" s="1" t="s">
        <v>7038</v>
      </c>
      <c r="C2340" s="1" t="s">
        <v>7039</v>
      </c>
      <c r="G2340" s="1">
        <v>1</v>
      </c>
      <c r="H2340" s="7">
        <v>45560</v>
      </c>
      <c r="I2340" s="1" t="s">
        <v>7449</v>
      </c>
      <c r="J2340" s="7">
        <v>45560</v>
      </c>
      <c r="K2340" s="1" t="s">
        <v>7449</v>
      </c>
    </row>
    <row r="2341" spans="1:11" x14ac:dyDescent="0.25">
      <c r="A2341" s="1">
        <v>2340</v>
      </c>
      <c r="B2341" s="1" t="s">
        <v>7040</v>
      </c>
      <c r="C2341" s="1" t="s">
        <v>7041</v>
      </c>
      <c r="G2341" s="1">
        <v>1</v>
      </c>
      <c r="H2341" s="7">
        <v>45560</v>
      </c>
      <c r="I2341" s="1" t="s">
        <v>7449</v>
      </c>
      <c r="J2341" s="7">
        <v>45560</v>
      </c>
      <c r="K2341" s="1" t="s">
        <v>7449</v>
      </c>
    </row>
    <row r="2342" spans="1:11" x14ac:dyDescent="0.25">
      <c r="A2342" s="1">
        <v>2341</v>
      </c>
      <c r="B2342" s="1" t="s">
        <v>7042</v>
      </c>
      <c r="C2342" s="1" t="s">
        <v>7043</v>
      </c>
      <c r="G2342" s="1">
        <v>1</v>
      </c>
      <c r="H2342" s="7">
        <v>45560</v>
      </c>
      <c r="I2342" s="1" t="s">
        <v>7449</v>
      </c>
      <c r="J2342" s="7">
        <v>45560</v>
      </c>
      <c r="K2342" s="1" t="s">
        <v>7449</v>
      </c>
    </row>
    <row r="2343" spans="1:11" x14ac:dyDescent="0.25">
      <c r="A2343" s="1">
        <v>2342</v>
      </c>
      <c r="B2343" s="1" t="s">
        <v>7044</v>
      </c>
      <c r="C2343" s="1" t="s">
        <v>7045</v>
      </c>
      <c r="G2343" s="1">
        <v>1</v>
      </c>
      <c r="H2343" s="7">
        <v>45560</v>
      </c>
      <c r="I2343" s="1" t="s">
        <v>7449</v>
      </c>
      <c r="J2343" s="7">
        <v>45560</v>
      </c>
      <c r="K2343" s="1" t="s">
        <v>7449</v>
      </c>
    </row>
    <row r="2344" spans="1:11" x14ac:dyDescent="0.25">
      <c r="A2344" s="1">
        <v>2343</v>
      </c>
      <c r="B2344" s="1" t="s">
        <v>7046</v>
      </c>
      <c r="C2344" s="1" t="s">
        <v>7047</v>
      </c>
      <c r="G2344" s="1">
        <v>1</v>
      </c>
      <c r="H2344" s="7">
        <v>45560</v>
      </c>
      <c r="I2344" s="1" t="s">
        <v>7449</v>
      </c>
      <c r="J2344" s="7">
        <v>45560</v>
      </c>
      <c r="K2344" s="1" t="s">
        <v>7449</v>
      </c>
    </row>
    <row r="2345" spans="1:11" x14ac:dyDescent="0.25">
      <c r="A2345" s="1">
        <v>2344</v>
      </c>
      <c r="B2345" s="1" t="s">
        <v>7048</v>
      </c>
      <c r="C2345" s="1" t="s">
        <v>7049</v>
      </c>
      <c r="G2345" s="1">
        <v>1</v>
      </c>
      <c r="H2345" s="7">
        <v>45560</v>
      </c>
      <c r="I2345" s="1" t="s">
        <v>7449</v>
      </c>
      <c r="J2345" s="7">
        <v>45560</v>
      </c>
      <c r="K2345" s="1" t="s">
        <v>7449</v>
      </c>
    </row>
    <row r="2346" spans="1:11" x14ac:dyDescent="0.25">
      <c r="A2346" s="1">
        <v>2345</v>
      </c>
      <c r="B2346" s="1" t="s">
        <v>7050</v>
      </c>
      <c r="C2346" s="1" t="s">
        <v>7051</v>
      </c>
      <c r="G2346" s="1">
        <v>1</v>
      </c>
      <c r="H2346" s="7">
        <v>45560</v>
      </c>
      <c r="I2346" s="1" t="s">
        <v>7449</v>
      </c>
      <c r="J2346" s="7">
        <v>45560</v>
      </c>
      <c r="K2346" s="1" t="s">
        <v>7449</v>
      </c>
    </row>
    <row r="2347" spans="1:11" x14ac:dyDescent="0.25">
      <c r="A2347" s="1">
        <v>2346</v>
      </c>
      <c r="B2347" s="1" t="s">
        <v>7052</v>
      </c>
      <c r="C2347" s="1" t="s">
        <v>7053</v>
      </c>
      <c r="G2347" s="1">
        <v>1</v>
      </c>
      <c r="H2347" s="7">
        <v>45560</v>
      </c>
      <c r="I2347" s="1" t="s">
        <v>7449</v>
      </c>
      <c r="J2347" s="7">
        <v>45560</v>
      </c>
      <c r="K2347" s="1" t="s">
        <v>7449</v>
      </c>
    </row>
    <row r="2348" spans="1:11" x14ac:dyDescent="0.25">
      <c r="A2348" s="1">
        <v>2347</v>
      </c>
      <c r="B2348" s="1" t="s">
        <v>7054</v>
      </c>
      <c r="C2348" s="1" t="s">
        <v>7055</v>
      </c>
      <c r="G2348" s="1">
        <v>1</v>
      </c>
      <c r="H2348" s="7">
        <v>45560</v>
      </c>
      <c r="I2348" s="1" t="s">
        <v>7449</v>
      </c>
      <c r="J2348" s="7">
        <v>45560</v>
      </c>
      <c r="K2348" s="1" t="s">
        <v>7449</v>
      </c>
    </row>
    <row r="2349" spans="1:11" x14ac:dyDescent="0.25">
      <c r="A2349" s="1">
        <v>2348</v>
      </c>
      <c r="B2349" s="1" t="s">
        <v>7056</v>
      </c>
      <c r="C2349" s="1" t="s">
        <v>7057</v>
      </c>
      <c r="G2349" s="1">
        <v>1</v>
      </c>
      <c r="H2349" s="7">
        <v>45560</v>
      </c>
      <c r="I2349" s="1" t="s">
        <v>7449</v>
      </c>
      <c r="J2349" s="7">
        <v>45560</v>
      </c>
      <c r="K2349" s="1" t="s">
        <v>7449</v>
      </c>
    </row>
    <row r="2350" spans="1:11" x14ac:dyDescent="0.25">
      <c r="A2350" s="1">
        <v>2349</v>
      </c>
      <c r="B2350" s="1" t="s">
        <v>7058</v>
      </c>
      <c r="C2350" s="1" t="s">
        <v>7059</v>
      </c>
      <c r="G2350" s="1">
        <v>1</v>
      </c>
      <c r="H2350" s="7">
        <v>45560</v>
      </c>
      <c r="I2350" s="1" t="s">
        <v>7449</v>
      </c>
      <c r="J2350" s="7">
        <v>45560</v>
      </c>
      <c r="K2350" s="1" t="s">
        <v>7449</v>
      </c>
    </row>
    <row r="2351" spans="1:11" x14ac:dyDescent="0.25">
      <c r="A2351" s="1">
        <v>2350</v>
      </c>
      <c r="B2351" s="1" t="s">
        <v>7060</v>
      </c>
      <c r="C2351" s="1" t="s">
        <v>7061</v>
      </c>
      <c r="G2351" s="1">
        <v>1</v>
      </c>
      <c r="H2351" s="7">
        <v>45560</v>
      </c>
      <c r="I2351" s="1" t="s">
        <v>7449</v>
      </c>
      <c r="J2351" s="7">
        <v>45560</v>
      </c>
      <c r="K2351" s="1" t="s">
        <v>7449</v>
      </c>
    </row>
    <row r="2352" spans="1:11" x14ac:dyDescent="0.25">
      <c r="A2352" s="1">
        <v>2351</v>
      </c>
      <c r="B2352" s="1" t="s">
        <v>7062</v>
      </c>
      <c r="C2352" s="1" t="s">
        <v>7063</v>
      </c>
      <c r="G2352" s="1">
        <v>1</v>
      </c>
      <c r="H2352" s="7">
        <v>45560</v>
      </c>
      <c r="I2352" s="1" t="s">
        <v>7449</v>
      </c>
      <c r="J2352" s="7">
        <v>45560</v>
      </c>
      <c r="K2352" s="1" t="s">
        <v>7449</v>
      </c>
    </row>
    <row r="2353" spans="1:11" x14ac:dyDescent="0.25">
      <c r="A2353" s="1">
        <v>2352</v>
      </c>
      <c r="B2353" s="1" t="s">
        <v>7064</v>
      </c>
      <c r="C2353" s="1" t="s">
        <v>7065</v>
      </c>
      <c r="G2353" s="1">
        <v>1</v>
      </c>
      <c r="H2353" s="7">
        <v>45560</v>
      </c>
      <c r="I2353" s="1" t="s">
        <v>7449</v>
      </c>
      <c r="J2353" s="7">
        <v>45560</v>
      </c>
      <c r="K2353" s="1" t="s">
        <v>7449</v>
      </c>
    </row>
    <row r="2354" spans="1:11" x14ac:dyDescent="0.25">
      <c r="A2354" s="1">
        <v>2353</v>
      </c>
      <c r="B2354" s="1" t="s">
        <v>7066</v>
      </c>
      <c r="C2354" s="1" t="s">
        <v>7067</v>
      </c>
      <c r="G2354" s="1">
        <v>1</v>
      </c>
      <c r="H2354" s="7">
        <v>45560</v>
      </c>
      <c r="I2354" s="1" t="s">
        <v>7449</v>
      </c>
      <c r="J2354" s="7">
        <v>45560</v>
      </c>
      <c r="K2354" s="1" t="s">
        <v>7449</v>
      </c>
    </row>
    <row r="2355" spans="1:11" x14ac:dyDescent="0.25">
      <c r="A2355" s="1">
        <v>2354</v>
      </c>
      <c r="B2355" s="1" t="s">
        <v>7068</v>
      </c>
      <c r="C2355" s="1" t="s">
        <v>7069</v>
      </c>
      <c r="G2355" s="1">
        <v>1</v>
      </c>
      <c r="H2355" s="7">
        <v>45560</v>
      </c>
      <c r="I2355" s="1" t="s">
        <v>7449</v>
      </c>
      <c r="J2355" s="7">
        <v>45560</v>
      </c>
      <c r="K2355" s="1" t="s">
        <v>7449</v>
      </c>
    </row>
    <row r="2356" spans="1:11" x14ac:dyDescent="0.25">
      <c r="A2356" s="1">
        <v>2355</v>
      </c>
      <c r="B2356" s="1" t="s">
        <v>7070</v>
      </c>
      <c r="C2356" s="1" t="s">
        <v>7071</v>
      </c>
      <c r="G2356" s="1">
        <v>1</v>
      </c>
      <c r="H2356" s="7">
        <v>45560</v>
      </c>
      <c r="I2356" s="1" t="s">
        <v>7449</v>
      </c>
      <c r="J2356" s="7">
        <v>45560</v>
      </c>
      <c r="K2356" s="1" t="s">
        <v>7449</v>
      </c>
    </row>
    <row r="2357" spans="1:11" x14ac:dyDescent="0.25">
      <c r="A2357" s="1">
        <v>2356</v>
      </c>
      <c r="B2357" s="1" t="s">
        <v>7072</v>
      </c>
      <c r="C2357" s="1" t="s">
        <v>7073</v>
      </c>
      <c r="G2357" s="1">
        <v>1</v>
      </c>
      <c r="H2357" s="7">
        <v>45560</v>
      </c>
      <c r="I2357" s="1" t="s">
        <v>7449</v>
      </c>
      <c r="J2357" s="7">
        <v>45560</v>
      </c>
      <c r="K2357" s="1" t="s">
        <v>7449</v>
      </c>
    </row>
    <row r="2358" spans="1:11" x14ac:dyDescent="0.25">
      <c r="A2358" s="1">
        <v>2357</v>
      </c>
      <c r="B2358" s="1" t="s">
        <v>7074</v>
      </c>
      <c r="C2358" s="1" t="s">
        <v>7075</v>
      </c>
      <c r="G2358" s="1">
        <v>1</v>
      </c>
      <c r="H2358" s="7">
        <v>45560</v>
      </c>
      <c r="I2358" s="1" t="s">
        <v>7449</v>
      </c>
      <c r="J2358" s="7">
        <v>45560</v>
      </c>
      <c r="K2358" s="1" t="s">
        <v>7449</v>
      </c>
    </row>
    <row r="2359" spans="1:11" x14ac:dyDescent="0.25">
      <c r="A2359" s="1">
        <v>2358</v>
      </c>
      <c r="B2359" s="1" t="s">
        <v>7076</v>
      </c>
      <c r="C2359" s="1" t="s">
        <v>7077</v>
      </c>
      <c r="G2359" s="1">
        <v>1</v>
      </c>
      <c r="H2359" s="7">
        <v>45560</v>
      </c>
      <c r="I2359" s="1" t="s">
        <v>7449</v>
      </c>
      <c r="J2359" s="7">
        <v>45560</v>
      </c>
      <c r="K2359" s="1" t="s">
        <v>7449</v>
      </c>
    </row>
    <row r="2360" spans="1:11" x14ac:dyDescent="0.25">
      <c r="A2360" s="1">
        <v>2359</v>
      </c>
      <c r="B2360" s="1" t="s">
        <v>7078</v>
      </c>
      <c r="C2360" s="1" t="s">
        <v>7079</v>
      </c>
      <c r="G2360" s="1">
        <v>1</v>
      </c>
      <c r="H2360" s="7">
        <v>45560</v>
      </c>
      <c r="I2360" s="1" t="s">
        <v>7449</v>
      </c>
      <c r="J2360" s="7">
        <v>45560</v>
      </c>
      <c r="K2360" s="1" t="s">
        <v>7449</v>
      </c>
    </row>
    <row r="2361" spans="1:11" x14ac:dyDescent="0.25">
      <c r="A2361" s="1">
        <v>2360</v>
      </c>
      <c r="B2361" s="1" t="s">
        <v>7080</v>
      </c>
      <c r="C2361" s="1" t="s">
        <v>7081</v>
      </c>
      <c r="G2361" s="1">
        <v>1</v>
      </c>
      <c r="H2361" s="7">
        <v>45560</v>
      </c>
      <c r="I2361" s="1" t="s">
        <v>7449</v>
      </c>
      <c r="J2361" s="7">
        <v>45560</v>
      </c>
      <c r="K2361" s="1" t="s">
        <v>7449</v>
      </c>
    </row>
    <row r="2362" spans="1:11" x14ac:dyDescent="0.25">
      <c r="A2362" s="1">
        <v>2361</v>
      </c>
      <c r="B2362" s="1" t="s">
        <v>7082</v>
      </c>
      <c r="C2362" s="1" t="s">
        <v>7083</v>
      </c>
      <c r="G2362" s="1">
        <v>1</v>
      </c>
      <c r="H2362" s="7">
        <v>45560</v>
      </c>
      <c r="I2362" s="1" t="s">
        <v>7449</v>
      </c>
      <c r="J2362" s="7">
        <v>45560</v>
      </c>
      <c r="K2362" s="1" t="s">
        <v>7449</v>
      </c>
    </row>
    <row r="2363" spans="1:11" x14ac:dyDescent="0.25">
      <c r="A2363" s="1">
        <v>2362</v>
      </c>
      <c r="B2363" s="1" t="s">
        <v>7084</v>
      </c>
      <c r="C2363" s="1" t="s">
        <v>7085</v>
      </c>
      <c r="G2363" s="1">
        <v>1</v>
      </c>
      <c r="H2363" s="7">
        <v>45560</v>
      </c>
      <c r="I2363" s="1" t="s">
        <v>7449</v>
      </c>
      <c r="J2363" s="7">
        <v>45560</v>
      </c>
      <c r="K2363" s="1" t="s">
        <v>7449</v>
      </c>
    </row>
    <row r="2364" spans="1:11" x14ac:dyDescent="0.25">
      <c r="A2364" s="1">
        <v>2363</v>
      </c>
      <c r="B2364" s="1" t="s">
        <v>7086</v>
      </c>
      <c r="C2364" s="1" t="s">
        <v>7087</v>
      </c>
      <c r="G2364" s="1">
        <v>1</v>
      </c>
      <c r="H2364" s="7">
        <v>45560</v>
      </c>
      <c r="I2364" s="1" t="s">
        <v>7449</v>
      </c>
      <c r="J2364" s="7">
        <v>45560</v>
      </c>
      <c r="K2364" s="1" t="s">
        <v>7449</v>
      </c>
    </row>
    <row r="2365" spans="1:11" x14ac:dyDescent="0.25">
      <c r="A2365" s="1">
        <v>2364</v>
      </c>
      <c r="B2365" s="1" t="s">
        <v>7088</v>
      </c>
      <c r="C2365" s="1" t="s">
        <v>7089</v>
      </c>
      <c r="G2365" s="1">
        <v>1</v>
      </c>
      <c r="H2365" s="7">
        <v>45560</v>
      </c>
      <c r="I2365" s="1" t="s">
        <v>7449</v>
      </c>
      <c r="J2365" s="7">
        <v>45560</v>
      </c>
      <c r="K2365" s="1" t="s">
        <v>7449</v>
      </c>
    </row>
    <row r="2366" spans="1:11" x14ac:dyDescent="0.25">
      <c r="A2366" s="1">
        <v>2365</v>
      </c>
      <c r="B2366" s="1" t="s">
        <v>7090</v>
      </c>
      <c r="C2366" s="1" t="s">
        <v>7091</v>
      </c>
      <c r="G2366" s="1">
        <v>1</v>
      </c>
      <c r="H2366" s="7">
        <v>45560</v>
      </c>
      <c r="I2366" s="1" t="s">
        <v>7449</v>
      </c>
      <c r="J2366" s="7">
        <v>45560</v>
      </c>
      <c r="K2366" s="1" t="s">
        <v>7449</v>
      </c>
    </row>
    <row r="2367" spans="1:11" x14ac:dyDescent="0.25">
      <c r="A2367" s="1">
        <v>2366</v>
      </c>
      <c r="B2367" s="1" t="s">
        <v>7092</v>
      </c>
      <c r="C2367" s="1" t="s">
        <v>7093</v>
      </c>
      <c r="G2367" s="1">
        <v>1</v>
      </c>
      <c r="H2367" s="7">
        <v>45560</v>
      </c>
      <c r="I2367" s="1" t="s">
        <v>7449</v>
      </c>
      <c r="J2367" s="7">
        <v>45560</v>
      </c>
      <c r="K2367" s="1" t="s">
        <v>7449</v>
      </c>
    </row>
    <row r="2368" spans="1:11" x14ac:dyDescent="0.25">
      <c r="A2368" s="1">
        <v>2367</v>
      </c>
      <c r="B2368" s="1" t="s">
        <v>7094</v>
      </c>
      <c r="C2368" s="1" t="s">
        <v>7095</v>
      </c>
      <c r="G2368" s="1">
        <v>1</v>
      </c>
      <c r="H2368" s="7">
        <v>45560</v>
      </c>
      <c r="I2368" s="1" t="s">
        <v>7449</v>
      </c>
      <c r="J2368" s="7">
        <v>45560</v>
      </c>
      <c r="K2368" s="1" t="s">
        <v>7449</v>
      </c>
    </row>
    <row r="2369" spans="1:11" x14ac:dyDescent="0.25">
      <c r="A2369" s="1">
        <v>2368</v>
      </c>
      <c r="B2369" s="1" t="s">
        <v>7096</v>
      </c>
      <c r="C2369" s="1" t="s">
        <v>7097</v>
      </c>
      <c r="G2369" s="1">
        <v>1</v>
      </c>
      <c r="H2369" s="7">
        <v>45560</v>
      </c>
      <c r="I2369" s="1" t="s">
        <v>7449</v>
      </c>
      <c r="J2369" s="7">
        <v>45560</v>
      </c>
      <c r="K2369" s="1" t="s">
        <v>7449</v>
      </c>
    </row>
    <row r="2370" spans="1:11" x14ac:dyDescent="0.25">
      <c r="A2370" s="1">
        <v>2369</v>
      </c>
      <c r="B2370" s="1" t="s">
        <v>7098</v>
      </c>
      <c r="C2370" s="1" t="s">
        <v>7099</v>
      </c>
      <c r="G2370" s="1">
        <v>1</v>
      </c>
      <c r="H2370" s="7">
        <v>45560</v>
      </c>
      <c r="I2370" s="1" t="s">
        <v>7449</v>
      </c>
      <c r="J2370" s="7">
        <v>45560</v>
      </c>
      <c r="K2370" s="1" t="s">
        <v>7449</v>
      </c>
    </row>
    <row r="2371" spans="1:11" x14ac:dyDescent="0.25">
      <c r="A2371" s="1">
        <v>2370</v>
      </c>
      <c r="B2371" s="1" t="s">
        <v>7100</v>
      </c>
      <c r="C2371" s="1" t="s">
        <v>7101</v>
      </c>
      <c r="G2371" s="1">
        <v>1</v>
      </c>
      <c r="H2371" s="7">
        <v>45560</v>
      </c>
      <c r="I2371" s="1" t="s">
        <v>7449</v>
      </c>
      <c r="J2371" s="7">
        <v>45560</v>
      </c>
      <c r="K2371" s="1" t="s">
        <v>7449</v>
      </c>
    </row>
    <row r="2372" spans="1:11" x14ac:dyDescent="0.25">
      <c r="A2372" s="1">
        <v>2371</v>
      </c>
      <c r="B2372" s="1" t="s">
        <v>7102</v>
      </c>
      <c r="C2372" s="1" t="s">
        <v>7103</v>
      </c>
      <c r="G2372" s="1">
        <v>1</v>
      </c>
      <c r="H2372" s="7">
        <v>45560</v>
      </c>
      <c r="I2372" s="1" t="s">
        <v>7449</v>
      </c>
      <c r="J2372" s="7">
        <v>45560</v>
      </c>
      <c r="K2372" s="1" t="s">
        <v>7449</v>
      </c>
    </row>
    <row r="2373" spans="1:11" x14ac:dyDescent="0.25">
      <c r="A2373" s="1">
        <v>2372</v>
      </c>
      <c r="B2373" s="1" t="s">
        <v>7104</v>
      </c>
      <c r="C2373" s="1" t="s">
        <v>7105</v>
      </c>
      <c r="G2373" s="1">
        <v>1</v>
      </c>
      <c r="H2373" s="7">
        <v>45560</v>
      </c>
      <c r="I2373" s="1" t="s">
        <v>7449</v>
      </c>
      <c r="J2373" s="7">
        <v>45560</v>
      </c>
      <c r="K2373" s="1" t="s">
        <v>7449</v>
      </c>
    </row>
    <row r="2374" spans="1:11" x14ac:dyDescent="0.25">
      <c r="A2374" s="1">
        <v>2373</v>
      </c>
      <c r="B2374" s="1" t="s">
        <v>7106</v>
      </c>
      <c r="C2374" s="1" t="s">
        <v>7107</v>
      </c>
      <c r="G2374" s="1">
        <v>1</v>
      </c>
      <c r="H2374" s="7">
        <v>45560</v>
      </c>
      <c r="I2374" s="1" t="s">
        <v>7449</v>
      </c>
      <c r="J2374" s="7">
        <v>45560</v>
      </c>
      <c r="K2374" s="1" t="s">
        <v>7449</v>
      </c>
    </row>
    <row r="2375" spans="1:11" x14ac:dyDescent="0.25">
      <c r="A2375" s="1">
        <v>2374</v>
      </c>
      <c r="B2375" s="1" t="s">
        <v>7108</v>
      </c>
      <c r="C2375" s="1" t="s">
        <v>7109</v>
      </c>
      <c r="G2375" s="1">
        <v>1</v>
      </c>
      <c r="H2375" s="7">
        <v>45560</v>
      </c>
      <c r="I2375" s="1" t="s">
        <v>7449</v>
      </c>
      <c r="J2375" s="7">
        <v>45560</v>
      </c>
      <c r="K2375" s="1" t="s">
        <v>7449</v>
      </c>
    </row>
    <row r="2376" spans="1:11" x14ac:dyDescent="0.25">
      <c r="A2376" s="1">
        <v>2375</v>
      </c>
      <c r="B2376" s="1" t="s">
        <v>7110</v>
      </c>
      <c r="C2376" s="1" t="s">
        <v>7111</v>
      </c>
      <c r="G2376" s="1">
        <v>1</v>
      </c>
      <c r="H2376" s="7">
        <v>45560</v>
      </c>
      <c r="I2376" s="1" t="s">
        <v>7449</v>
      </c>
      <c r="J2376" s="7">
        <v>45560</v>
      </c>
      <c r="K2376" s="1" t="s">
        <v>7449</v>
      </c>
    </row>
    <row r="2377" spans="1:11" x14ac:dyDescent="0.25">
      <c r="A2377" s="1">
        <v>2376</v>
      </c>
      <c r="B2377" s="1" t="s">
        <v>7112</v>
      </c>
      <c r="C2377" s="1" t="s">
        <v>7113</v>
      </c>
      <c r="G2377" s="1">
        <v>1</v>
      </c>
      <c r="H2377" s="7">
        <v>45560</v>
      </c>
      <c r="I2377" s="1" t="s">
        <v>7449</v>
      </c>
      <c r="J2377" s="7">
        <v>45560</v>
      </c>
      <c r="K2377" s="1" t="s">
        <v>7449</v>
      </c>
    </row>
    <row r="2378" spans="1:11" x14ac:dyDescent="0.25">
      <c r="A2378" s="1">
        <v>2377</v>
      </c>
      <c r="B2378" s="1" t="s">
        <v>7114</v>
      </c>
      <c r="C2378" s="1" t="s">
        <v>7115</v>
      </c>
      <c r="G2378" s="1">
        <v>1</v>
      </c>
      <c r="H2378" s="7">
        <v>45560</v>
      </c>
      <c r="I2378" s="1" t="s">
        <v>7449</v>
      </c>
      <c r="J2378" s="7">
        <v>45560</v>
      </c>
      <c r="K2378" s="1" t="s">
        <v>7449</v>
      </c>
    </row>
    <row r="2379" spans="1:11" x14ac:dyDescent="0.25">
      <c r="A2379" s="1">
        <v>2378</v>
      </c>
      <c r="B2379" s="1" t="s">
        <v>7116</v>
      </c>
      <c r="C2379" s="1" t="s">
        <v>7117</v>
      </c>
      <c r="G2379" s="1">
        <v>1</v>
      </c>
      <c r="H2379" s="7">
        <v>45560</v>
      </c>
      <c r="I2379" s="1" t="s">
        <v>7449</v>
      </c>
      <c r="J2379" s="7">
        <v>45560</v>
      </c>
      <c r="K2379" s="1" t="s">
        <v>7449</v>
      </c>
    </row>
    <row r="2380" spans="1:11" x14ac:dyDescent="0.25">
      <c r="A2380" s="1">
        <v>2379</v>
      </c>
      <c r="B2380" s="1" t="s">
        <v>7118</v>
      </c>
      <c r="C2380" s="1" t="s">
        <v>7119</v>
      </c>
      <c r="G2380" s="1">
        <v>1</v>
      </c>
      <c r="H2380" s="7">
        <v>45560</v>
      </c>
      <c r="I2380" s="1" t="s">
        <v>7449</v>
      </c>
      <c r="J2380" s="7">
        <v>45560</v>
      </c>
      <c r="K2380" s="1" t="s">
        <v>7449</v>
      </c>
    </row>
    <row r="2381" spans="1:11" x14ac:dyDescent="0.25">
      <c r="A2381" s="1">
        <v>2380</v>
      </c>
      <c r="B2381" s="1" t="s">
        <v>7120</v>
      </c>
      <c r="C2381" s="1" t="s">
        <v>7121</v>
      </c>
      <c r="G2381" s="1">
        <v>1</v>
      </c>
      <c r="H2381" s="7">
        <v>45560</v>
      </c>
      <c r="I2381" s="1" t="s">
        <v>7449</v>
      </c>
      <c r="J2381" s="7">
        <v>45560</v>
      </c>
      <c r="K2381" s="1" t="s">
        <v>7449</v>
      </c>
    </row>
    <row r="2382" spans="1:11" x14ac:dyDescent="0.25">
      <c r="A2382" s="1">
        <v>2381</v>
      </c>
      <c r="B2382" s="1" t="s">
        <v>7122</v>
      </c>
      <c r="C2382" s="1" t="s">
        <v>7123</v>
      </c>
      <c r="G2382" s="1">
        <v>1</v>
      </c>
      <c r="H2382" s="7">
        <v>45560</v>
      </c>
      <c r="I2382" s="1" t="s">
        <v>7449</v>
      </c>
      <c r="J2382" s="7">
        <v>45560</v>
      </c>
      <c r="K2382" s="1" t="s">
        <v>7449</v>
      </c>
    </row>
    <row r="2383" spans="1:11" x14ac:dyDescent="0.25">
      <c r="A2383" s="1">
        <v>2382</v>
      </c>
      <c r="B2383" s="1" t="s">
        <v>7124</v>
      </c>
      <c r="C2383" s="1" t="s">
        <v>7125</v>
      </c>
      <c r="G2383" s="1">
        <v>1</v>
      </c>
      <c r="H2383" s="7">
        <v>45560</v>
      </c>
      <c r="I2383" s="1" t="s">
        <v>7449</v>
      </c>
      <c r="J2383" s="7">
        <v>45560</v>
      </c>
      <c r="K2383" s="1" t="s">
        <v>7449</v>
      </c>
    </row>
    <row r="2384" spans="1:11" x14ac:dyDescent="0.25">
      <c r="A2384" s="1">
        <v>2383</v>
      </c>
      <c r="B2384" s="1" t="s">
        <v>7126</v>
      </c>
      <c r="C2384" s="1" t="s">
        <v>7127</v>
      </c>
      <c r="G2384" s="1">
        <v>1</v>
      </c>
      <c r="H2384" s="7">
        <v>45560</v>
      </c>
      <c r="I2384" s="1" t="s">
        <v>7449</v>
      </c>
      <c r="J2384" s="7">
        <v>45560</v>
      </c>
      <c r="K2384" s="1" t="s">
        <v>7449</v>
      </c>
    </row>
    <row r="2385" spans="1:11" x14ac:dyDescent="0.25">
      <c r="A2385" s="1">
        <v>2384</v>
      </c>
      <c r="B2385" s="1" t="s">
        <v>7128</v>
      </c>
      <c r="C2385" s="1" t="s">
        <v>7129</v>
      </c>
      <c r="G2385" s="1">
        <v>1</v>
      </c>
      <c r="H2385" s="7">
        <v>45560</v>
      </c>
      <c r="I2385" s="1" t="s">
        <v>7449</v>
      </c>
      <c r="J2385" s="7">
        <v>45560</v>
      </c>
      <c r="K2385" s="1" t="s">
        <v>7449</v>
      </c>
    </row>
    <row r="2386" spans="1:11" x14ac:dyDescent="0.25">
      <c r="A2386" s="1">
        <v>2385</v>
      </c>
      <c r="B2386" s="1" t="s">
        <v>7130</v>
      </c>
      <c r="C2386" s="1" t="s">
        <v>7131</v>
      </c>
      <c r="G2386" s="1">
        <v>1</v>
      </c>
      <c r="H2386" s="7">
        <v>45560</v>
      </c>
      <c r="I2386" s="1" t="s">
        <v>7449</v>
      </c>
      <c r="J2386" s="7">
        <v>45560</v>
      </c>
      <c r="K2386" s="1" t="s">
        <v>7449</v>
      </c>
    </row>
    <row r="2387" spans="1:11" x14ac:dyDescent="0.25">
      <c r="A2387" s="1">
        <v>2386</v>
      </c>
      <c r="B2387" s="1" t="s">
        <v>7132</v>
      </c>
      <c r="C2387" s="1" t="s">
        <v>7133</v>
      </c>
      <c r="G2387" s="1">
        <v>1</v>
      </c>
      <c r="H2387" s="7">
        <v>45560</v>
      </c>
      <c r="I2387" s="1" t="s">
        <v>7449</v>
      </c>
      <c r="J2387" s="7">
        <v>45560</v>
      </c>
      <c r="K2387" s="1" t="s">
        <v>7449</v>
      </c>
    </row>
    <row r="2388" spans="1:11" x14ac:dyDescent="0.25">
      <c r="A2388" s="1">
        <v>2387</v>
      </c>
      <c r="B2388" s="1" t="s">
        <v>7134</v>
      </c>
      <c r="C2388" s="1" t="s">
        <v>7135</v>
      </c>
      <c r="G2388" s="1">
        <v>1</v>
      </c>
      <c r="H2388" s="7">
        <v>45560</v>
      </c>
      <c r="I2388" s="1" t="s">
        <v>7449</v>
      </c>
      <c r="J2388" s="7">
        <v>45560</v>
      </c>
      <c r="K2388" s="1" t="s">
        <v>7449</v>
      </c>
    </row>
    <row r="2389" spans="1:11" x14ac:dyDescent="0.25">
      <c r="A2389" s="1">
        <v>2388</v>
      </c>
      <c r="B2389" s="1" t="s">
        <v>7136</v>
      </c>
      <c r="C2389" s="1" t="s">
        <v>7137</v>
      </c>
      <c r="G2389" s="1">
        <v>1</v>
      </c>
      <c r="H2389" s="7">
        <v>45560</v>
      </c>
      <c r="I2389" s="1" t="s">
        <v>7449</v>
      </c>
      <c r="J2389" s="7">
        <v>45560</v>
      </c>
      <c r="K2389" s="1" t="s">
        <v>7449</v>
      </c>
    </row>
    <row r="2390" spans="1:11" x14ac:dyDescent="0.25">
      <c r="A2390" s="1">
        <v>2389</v>
      </c>
      <c r="B2390" s="1" t="s">
        <v>7138</v>
      </c>
      <c r="C2390" s="1" t="s">
        <v>7139</v>
      </c>
      <c r="G2390" s="1">
        <v>1</v>
      </c>
      <c r="H2390" s="7">
        <v>45560</v>
      </c>
      <c r="I2390" s="1" t="s">
        <v>7449</v>
      </c>
      <c r="J2390" s="7">
        <v>45560</v>
      </c>
      <c r="K2390" s="1" t="s">
        <v>7449</v>
      </c>
    </row>
    <row r="2391" spans="1:11" x14ac:dyDescent="0.25">
      <c r="A2391" s="1">
        <v>2390</v>
      </c>
      <c r="B2391" s="1" t="s">
        <v>7140</v>
      </c>
      <c r="C2391" s="1" t="s">
        <v>7141</v>
      </c>
      <c r="G2391" s="1">
        <v>1</v>
      </c>
      <c r="H2391" s="7">
        <v>45560</v>
      </c>
      <c r="I2391" s="1" t="s">
        <v>7449</v>
      </c>
      <c r="J2391" s="7">
        <v>45560</v>
      </c>
      <c r="K2391" s="1" t="s">
        <v>7449</v>
      </c>
    </row>
    <row r="2392" spans="1:11" x14ac:dyDescent="0.25">
      <c r="A2392" s="1">
        <v>2391</v>
      </c>
      <c r="B2392" s="1" t="s">
        <v>7142</v>
      </c>
      <c r="C2392" s="1" t="s">
        <v>7143</v>
      </c>
      <c r="G2392" s="1">
        <v>1</v>
      </c>
      <c r="H2392" s="7">
        <v>45560</v>
      </c>
      <c r="I2392" s="1" t="s">
        <v>7449</v>
      </c>
      <c r="J2392" s="7">
        <v>45560</v>
      </c>
      <c r="K2392" s="1" t="s">
        <v>7449</v>
      </c>
    </row>
    <row r="2393" spans="1:11" x14ac:dyDescent="0.25">
      <c r="A2393" s="1">
        <v>2392</v>
      </c>
      <c r="B2393" s="1" t="s">
        <v>7144</v>
      </c>
      <c r="C2393" s="1" t="s">
        <v>7145</v>
      </c>
      <c r="G2393" s="1">
        <v>1</v>
      </c>
      <c r="H2393" s="7">
        <v>45560</v>
      </c>
      <c r="I2393" s="1" t="s">
        <v>7449</v>
      </c>
      <c r="J2393" s="7">
        <v>45560</v>
      </c>
      <c r="K2393" s="1" t="s">
        <v>7449</v>
      </c>
    </row>
    <row r="2394" spans="1:11" x14ac:dyDescent="0.25">
      <c r="A2394" s="1">
        <v>2393</v>
      </c>
      <c r="B2394" s="1" t="s">
        <v>7146</v>
      </c>
      <c r="C2394" s="1" t="s">
        <v>7147</v>
      </c>
      <c r="G2394" s="1">
        <v>1</v>
      </c>
      <c r="H2394" s="7">
        <v>45560</v>
      </c>
      <c r="I2394" s="1" t="s">
        <v>7449</v>
      </c>
      <c r="J2394" s="7">
        <v>45560</v>
      </c>
      <c r="K2394" s="1" t="s">
        <v>7449</v>
      </c>
    </row>
    <row r="2395" spans="1:11" x14ac:dyDescent="0.25">
      <c r="A2395" s="1">
        <v>2394</v>
      </c>
      <c r="B2395" s="1" t="s">
        <v>7148</v>
      </c>
      <c r="C2395" s="1" t="s">
        <v>7149</v>
      </c>
      <c r="G2395" s="1">
        <v>1</v>
      </c>
      <c r="H2395" s="7">
        <v>45560</v>
      </c>
      <c r="I2395" s="1" t="s">
        <v>7449</v>
      </c>
      <c r="J2395" s="7">
        <v>45560</v>
      </c>
      <c r="K2395" s="1" t="s">
        <v>7449</v>
      </c>
    </row>
    <row r="2396" spans="1:11" x14ac:dyDescent="0.25">
      <c r="A2396" s="1">
        <v>2395</v>
      </c>
      <c r="B2396" s="1" t="s">
        <v>7150</v>
      </c>
      <c r="C2396" s="1" t="s">
        <v>7151</v>
      </c>
      <c r="G2396" s="1">
        <v>1</v>
      </c>
      <c r="H2396" s="7">
        <v>45560</v>
      </c>
      <c r="I2396" s="1" t="s">
        <v>7449</v>
      </c>
      <c r="J2396" s="7">
        <v>45560</v>
      </c>
      <c r="K2396" s="1" t="s">
        <v>7449</v>
      </c>
    </row>
    <row r="2397" spans="1:11" x14ac:dyDescent="0.25">
      <c r="A2397" s="1">
        <v>2396</v>
      </c>
      <c r="B2397" s="1" t="s">
        <v>7152</v>
      </c>
      <c r="C2397" s="1" t="s">
        <v>7153</v>
      </c>
      <c r="G2397" s="1">
        <v>1</v>
      </c>
      <c r="H2397" s="7">
        <v>45560</v>
      </c>
      <c r="I2397" s="1" t="s">
        <v>7449</v>
      </c>
      <c r="J2397" s="7">
        <v>45560</v>
      </c>
      <c r="K2397" s="1" t="s">
        <v>7449</v>
      </c>
    </row>
    <row r="2398" spans="1:11" x14ac:dyDescent="0.25">
      <c r="A2398" s="1">
        <v>2397</v>
      </c>
      <c r="B2398" s="1" t="s">
        <v>7154</v>
      </c>
      <c r="C2398" s="1" t="s">
        <v>7155</v>
      </c>
      <c r="G2398" s="1">
        <v>1</v>
      </c>
      <c r="H2398" s="7">
        <v>45560</v>
      </c>
      <c r="I2398" s="1" t="s">
        <v>7449</v>
      </c>
      <c r="J2398" s="7">
        <v>45560</v>
      </c>
      <c r="K2398" s="1" t="s">
        <v>7449</v>
      </c>
    </row>
    <row r="2399" spans="1:11" x14ac:dyDescent="0.25">
      <c r="A2399" s="1">
        <v>2398</v>
      </c>
      <c r="B2399" s="1" t="s">
        <v>7156</v>
      </c>
      <c r="C2399" s="1" t="s">
        <v>7157</v>
      </c>
      <c r="G2399" s="1">
        <v>1</v>
      </c>
      <c r="H2399" s="7">
        <v>45560</v>
      </c>
      <c r="I2399" s="1" t="s">
        <v>7449</v>
      </c>
      <c r="J2399" s="7">
        <v>45560</v>
      </c>
      <c r="K2399" s="1" t="s">
        <v>7449</v>
      </c>
    </row>
    <row r="2400" spans="1:11" x14ac:dyDescent="0.25">
      <c r="A2400" s="1">
        <v>2399</v>
      </c>
      <c r="B2400" s="1" t="s">
        <v>7158</v>
      </c>
      <c r="C2400" s="1" t="s">
        <v>7159</v>
      </c>
      <c r="G2400" s="1">
        <v>1</v>
      </c>
      <c r="H2400" s="7">
        <v>45560</v>
      </c>
      <c r="I2400" s="1" t="s">
        <v>7449</v>
      </c>
      <c r="J2400" s="7">
        <v>45560</v>
      </c>
      <c r="K2400" s="1" t="s">
        <v>7449</v>
      </c>
    </row>
    <row r="2401" spans="1:11" x14ac:dyDescent="0.25">
      <c r="A2401" s="1">
        <v>2400</v>
      </c>
      <c r="B2401" s="1" t="s">
        <v>7160</v>
      </c>
      <c r="C2401" s="1" t="s">
        <v>7161</v>
      </c>
      <c r="G2401" s="1">
        <v>1</v>
      </c>
      <c r="H2401" s="7">
        <v>45560</v>
      </c>
      <c r="I2401" s="1" t="s">
        <v>7449</v>
      </c>
      <c r="J2401" s="7">
        <v>45560</v>
      </c>
      <c r="K2401" s="1" t="s">
        <v>7449</v>
      </c>
    </row>
    <row r="2402" spans="1:11" x14ac:dyDescent="0.25">
      <c r="A2402" s="1">
        <v>2401</v>
      </c>
      <c r="B2402" s="1" t="s">
        <v>7162</v>
      </c>
      <c r="C2402" s="1" t="s">
        <v>7163</v>
      </c>
      <c r="G2402" s="1">
        <v>1</v>
      </c>
      <c r="H2402" s="7">
        <v>45560</v>
      </c>
      <c r="I2402" s="1" t="s">
        <v>7449</v>
      </c>
      <c r="J2402" s="7">
        <v>45560</v>
      </c>
      <c r="K2402" s="1" t="s">
        <v>7449</v>
      </c>
    </row>
    <row r="2403" spans="1:11" x14ac:dyDescent="0.25">
      <c r="A2403" s="1">
        <v>2402</v>
      </c>
      <c r="B2403" s="1" t="s">
        <v>7164</v>
      </c>
      <c r="C2403" s="1" t="s">
        <v>7165</v>
      </c>
      <c r="G2403" s="1">
        <v>1</v>
      </c>
      <c r="H2403" s="7">
        <v>45560</v>
      </c>
      <c r="I2403" s="1" t="s">
        <v>7449</v>
      </c>
      <c r="J2403" s="7">
        <v>45560</v>
      </c>
      <c r="K2403" s="1" t="s">
        <v>7449</v>
      </c>
    </row>
    <row r="2404" spans="1:11" x14ac:dyDescent="0.25">
      <c r="A2404" s="1">
        <v>2403</v>
      </c>
      <c r="B2404" s="1" t="s">
        <v>7166</v>
      </c>
      <c r="C2404" s="1" t="s">
        <v>7167</v>
      </c>
      <c r="G2404" s="1">
        <v>1</v>
      </c>
      <c r="H2404" s="7">
        <v>45560</v>
      </c>
      <c r="I2404" s="1" t="s">
        <v>7449</v>
      </c>
      <c r="J2404" s="7">
        <v>45560</v>
      </c>
      <c r="K2404" s="1" t="s">
        <v>7449</v>
      </c>
    </row>
    <row r="2405" spans="1:11" x14ac:dyDescent="0.25">
      <c r="A2405" s="1">
        <v>2404</v>
      </c>
      <c r="B2405" s="1" t="s">
        <v>7168</v>
      </c>
      <c r="C2405" s="1" t="s">
        <v>7169</v>
      </c>
      <c r="G2405" s="1">
        <v>1</v>
      </c>
      <c r="H2405" s="7">
        <v>45560</v>
      </c>
      <c r="I2405" s="1" t="s">
        <v>7449</v>
      </c>
      <c r="J2405" s="7">
        <v>45560</v>
      </c>
      <c r="K2405" s="1" t="s">
        <v>7449</v>
      </c>
    </row>
    <row r="2406" spans="1:11" x14ac:dyDescent="0.25">
      <c r="A2406" s="1">
        <v>2405</v>
      </c>
      <c r="B2406" s="1" t="s">
        <v>7170</v>
      </c>
      <c r="C2406" s="1" t="s">
        <v>7171</v>
      </c>
      <c r="G2406" s="1">
        <v>1</v>
      </c>
      <c r="H2406" s="7">
        <v>45560</v>
      </c>
      <c r="I2406" s="1" t="s">
        <v>7449</v>
      </c>
      <c r="J2406" s="7">
        <v>45560</v>
      </c>
      <c r="K2406" s="1" t="s">
        <v>7449</v>
      </c>
    </row>
    <row r="2407" spans="1:11" x14ac:dyDescent="0.25">
      <c r="A2407" s="1">
        <v>2406</v>
      </c>
      <c r="B2407" s="1" t="s">
        <v>7172</v>
      </c>
      <c r="C2407" s="1" t="s">
        <v>7173</v>
      </c>
      <c r="G2407" s="1">
        <v>1</v>
      </c>
      <c r="H2407" s="7">
        <v>45560</v>
      </c>
      <c r="I2407" s="1" t="s">
        <v>7449</v>
      </c>
      <c r="J2407" s="7">
        <v>45560</v>
      </c>
      <c r="K2407" s="1" t="s">
        <v>7449</v>
      </c>
    </row>
    <row r="2408" spans="1:11" x14ac:dyDescent="0.25">
      <c r="A2408" s="1">
        <v>2407</v>
      </c>
      <c r="B2408" s="1" t="s">
        <v>7174</v>
      </c>
      <c r="C2408" s="1" t="s">
        <v>7175</v>
      </c>
      <c r="D2408" s="1" t="s">
        <v>7176</v>
      </c>
      <c r="F2408" s="1" t="s">
        <v>7177</v>
      </c>
      <c r="G2408" s="1">
        <v>1</v>
      </c>
      <c r="H2408" s="7">
        <v>45560</v>
      </c>
      <c r="I2408" s="1" t="s">
        <v>7449</v>
      </c>
      <c r="J2408" s="7">
        <v>45560</v>
      </c>
      <c r="K2408" s="1" t="s">
        <v>7449</v>
      </c>
    </row>
    <row r="2409" spans="1:11" x14ac:dyDescent="0.25">
      <c r="A2409" s="1">
        <v>2408</v>
      </c>
      <c r="B2409" s="1" t="s">
        <v>7178</v>
      </c>
      <c r="C2409" s="1" t="s">
        <v>7179</v>
      </c>
      <c r="F2409" s="1" t="s">
        <v>7180</v>
      </c>
      <c r="G2409" s="1">
        <v>1</v>
      </c>
      <c r="H2409" s="7">
        <v>45560</v>
      </c>
      <c r="I2409" s="1" t="s">
        <v>7449</v>
      </c>
      <c r="J2409" s="7">
        <v>45560</v>
      </c>
      <c r="K2409" s="1" t="s">
        <v>7449</v>
      </c>
    </row>
    <row r="2410" spans="1:11" x14ac:dyDescent="0.25">
      <c r="A2410" s="1">
        <v>2409</v>
      </c>
      <c r="B2410" s="1" t="s">
        <v>7181</v>
      </c>
      <c r="C2410" s="1" t="s">
        <v>7182</v>
      </c>
      <c r="E2410" s="1" t="s">
        <v>52</v>
      </c>
      <c r="G2410" s="1">
        <v>1</v>
      </c>
      <c r="H2410" s="7">
        <v>45560</v>
      </c>
      <c r="I2410" s="1" t="s">
        <v>7449</v>
      </c>
      <c r="J2410" s="7">
        <v>45560</v>
      </c>
      <c r="K2410" s="1" t="s">
        <v>7449</v>
      </c>
    </row>
    <row r="2411" spans="1:11" ht="30" x14ac:dyDescent="0.25">
      <c r="A2411" s="1">
        <v>2410</v>
      </c>
      <c r="B2411" s="1" t="s">
        <v>7183</v>
      </c>
      <c r="C2411" s="1" t="s">
        <v>7184</v>
      </c>
      <c r="D2411" s="8" t="s">
        <v>7185</v>
      </c>
      <c r="F2411" s="1" t="s">
        <v>7186</v>
      </c>
      <c r="G2411" s="1">
        <v>1</v>
      </c>
      <c r="H2411" s="7">
        <v>45560</v>
      </c>
      <c r="I2411" s="1" t="s">
        <v>7449</v>
      </c>
      <c r="J2411" s="7">
        <v>45560</v>
      </c>
      <c r="K2411" s="1" t="s">
        <v>7449</v>
      </c>
    </row>
    <row r="2412" spans="1:11" x14ac:dyDescent="0.25">
      <c r="A2412" s="1">
        <v>2411</v>
      </c>
      <c r="B2412" s="1" t="s">
        <v>7187</v>
      </c>
      <c r="C2412" s="1" t="s">
        <v>7188</v>
      </c>
      <c r="E2412" s="1" t="s">
        <v>52</v>
      </c>
      <c r="G2412" s="1">
        <v>1</v>
      </c>
      <c r="H2412" s="7">
        <v>45560</v>
      </c>
      <c r="I2412" s="1" t="s">
        <v>7449</v>
      </c>
      <c r="J2412" s="7">
        <v>45560</v>
      </c>
      <c r="K2412" s="1" t="s">
        <v>7449</v>
      </c>
    </row>
    <row r="2413" spans="1:11" x14ac:dyDescent="0.25">
      <c r="A2413" s="1">
        <v>2412</v>
      </c>
      <c r="B2413" s="1" t="s">
        <v>7189</v>
      </c>
      <c r="C2413" s="1" t="s">
        <v>7190</v>
      </c>
      <c r="E2413" s="1" t="s">
        <v>52</v>
      </c>
      <c r="G2413" s="1">
        <v>1</v>
      </c>
      <c r="H2413" s="7">
        <v>45560</v>
      </c>
      <c r="I2413" s="1" t="s">
        <v>7449</v>
      </c>
      <c r="J2413" s="7">
        <v>45560</v>
      </c>
      <c r="K2413" s="1" t="s">
        <v>7449</v>
      </c>
    </row>
    <row r="2414" spans="1:11" x14ac:dyDescent="0.25">
      <c r="A2414" s="1">
        <v>2413</v>
      </c>
      <c r="B2414" s="1" t="s">
        <v>7191</v>
      </c>
      <c r="C2414" s="1" t="s">
        <v>7192</v>
      </c>
      <c r="D2414" s="1" t="s">
        <v>7193</v>
      </c>
      <c r="G2414" s="1">
        <v>1</v>
      </c>
      <c r="H2414" s="7">
        <v>45560</v>
      </c>
      <c r="I2414" s="1" t="s">
        <v>7449</v>
      </c>
      <c r="J2414" s="7">
        <v>45560</v>
      </c>
      <c r="K2414" s="1" t="s">
        <v>7449</v>
      </c>
    </row>
    <row r="2415" spans="1:11" x14ac:dyDescent="0.25">
      <c r="A2415" s="1">
        <v>2414</v>
      </c>
      <c r="B2415" s="1" t="s">
        <v>7194</v>
      </c>
      <c r="C2415" s="1" t="s">
        <v>7195</v>
      </c>
      <c r="E2415" s="1" t="s">
        <v>52</v>
      </c>
      <c r="G2415" s="1">
        <v>1</v>
      </c>
      <c r="H2415" s="7">
        <v>45560</v>
      </c>
      <c r="I2415" s="1" t="s">
        <v>7449</v>
      </c>
      <c r="J2415" s="7">
        <v>45560</v>
      </c>
      <c r="K2415" s="1" t="s">
        <v>7449</v>
      </c>
    </row>
    <row r="2416" spans="1:11" x14ac:dyDescent="0.25">
      <c r="A2416" s="1">
        <v>2415</v>
      </c>
      <c r="B2416" s="1" t="s">
        <v>7196</v>
      </c>
      <c r="C2416" s="1" t="s">
        <v>7197</v>
      </c>
      <c r="E2416" s="1" t="s">
        <v>52</v>
      </c>
      <c r="G2416" s="1">
        <v>1</v>
      </c>
      <c r="H2416" s="7">
        <v>45560</v>
      </c>
      <c r="I2416" s="1" t="s">
        <v>7449</v>
      </c>
      <c r="J2416" s="7">
        <v>45560</v>
      </c>
      <c r="K2416" s="1" t="s">
        <v>7449</v>
      </c>
    </row>
    <row r="2417" spans="1:11" x14ac:dyDescent="0.25">
      <c r="A2417" s="1">
        <v>2416</v>
      </c>
      <c r="B2417" s="1" t="s">
        <v>7198</v>
      </c>
      <c r="C2417" s="1" t="s">
        <v>7199</v>
      </c>
      <c r="E2417" s="1" t="s">
        <v>52</v>
      </c>
      <c r="G2417" s="1">
        <v>1</v>
      </c>
      <c r="H2417" s="7">
        <v>45560</v>
      </c>
      <c r="I2417" s="1" t="s">
        <v>7449</v>
      </c>
      <c r="J2417" s="7">
        <v>45560</v>
      </c>
      <c r="K2417" s="1" t="s">
        <v>7449</v>
      </c>
    </row>
    <row r="2418" spans="1:11" x14ac:dyDescent="0.25">
      <c r="A2418" s="1">
        <v>2417</v>
      </c>
      <c r="B2418" s="1" t="s">
        <v>7200</v>
      </c>
      <c r="C2418" s="1" t="s">
        <v>7201</v>
      </c>
      <c r="D2418" s="1" t="s">
        <v>7202</v>
      </c>
      <c r="G2418" s="1">
        <v>1</v>
      </c>
      <c r="H2418" s="7">
        <v>45560</v>
      </c>
      <c r="I2418" s="1" t="s">
        <v>7449</v>
      </c>
      <c r="J2418" s="7">
        <v>45560</v>
      </c>
      <c r="K2418" s="1" t="s">
        <v>7449</v>
      </c>
    </row>
    <row r="2419" spans="1:11" x14ac:dyDescent="0.25">
      <c r="A2419" s="1">
        <v>2418</v>
      </c>
      <c r="B2419" s="1" t="s">
        <v>7203</v>
      </c>
      <c r="C2419" s="1" t="s">
        <v>7204</v>
      </c>
      <c r="D2419" s="1" t="s">
        <v>7205</v>
      </c>
      <c r="G2419" s="1">
        <v>1</v>
      </c>
      <c r="H2419" s="7">
        <v>45560</v>
      </c>
      <c r="I2419" s="1" t="s">
        <v>7449</v>
      </c>
      <c r="J2419" s="7">
        <v>45560</v>
      </c>
      <c r="K2419" s="1" t="s">
        <v>7449</v>
      </c>
    </row>
  </sheetData>
  <autoFilter ref="A1:K1" xr:uid="{46A6DEC0-35D5-4CF8-90F0-80394F3D2D2C}"/>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7F9C0-0EBC-4EED-BBEC-785D2D094C5C}">
  <dimension ref="A1:G10"/>
  <sheetViews>
    <sheetView workbookViewId="0">
      <selection activeCell="G2" sqref="G2:G3"/>
    </sheetView>
  </sheetViews>
  <sheetFormatPr baseColWidth="10" defaultColWidth="8.85546875" defaultRowHeight="15" x14ac:dyDescent="0.25"/>
  <cols>
    <col min="1" max="1" width="12.7109375" style="1" bestFit="1" customWidth="1"/>
    <col min="2" max="2" width="17.28515625" style="1" bestFit="1" customWidth="1"/>
    <col min="3" max="3" width="86.7109375" style="1" bestFit="1" customWidth="1"/>
    <col min="4" max="4" width="15.5703125" style="1" bestFit="1" customWidth="1"/>
    <col min="5" max="5" width="14" style="1" bestFit="1" customWidth="1"/>
    <col min="6" max="6" width="15.5703125" style="1" bestFit="1" customWidth="1"/>
    <col min="7" max="7" width="10.140625" style="1" bestFit="1" customWidth="1"/>
    <col min="8" max="16384" width="8.85546875" style="1"/>
  </cols>
  <sheetData>
    <row r="1" spans="1:7" s="6" customFormat="1" x14ac:dyDescent="0.25">
      <c r="A1" s="5" t="s">
        <v>7286</v>
      </c>
      <c r="B1" s="5" t="s">
        <v>7291</v>
      </c>
      <c r="C1" s="5" t="s">
        <v>7287</v>
      </c>
      <c r="D1" s="5" t="s">
        <v>44</v>
      </c>
      <c r="E1" s="5" t="s">
        <v>45</v>
      </c>
      <c r="F1" s="5" t="s">
        <v>46</v>
      </c>
      <c r="G1" s="5" t="s">
        <v>47</v>
      </c>
    </row>
    <row r="2" spans="1:7" x14ac:dyDescent="0.25">
      <c r="A2" s="1">
        <v>1</v>
      </c>
      <c r="B2" s="1" t="s">
        <v>25</v>
      </c>
      <c r="C2" s="1" t="s">
        <v>26</v>
      </c>
      <c r="D2" s="7">
        <v>45560</v>
      </c>
      <c r="E2" s="1" t="s">
        <v>7449</v>
      </c>
      <c r="F2" s="7">
        <v>45560</v>
      </c>
      <c r="G2" s="1" t="s">
        <v>7449</v>
      </c>
    </row>
    <row r="3" spans="1:7" x14ac:dyDescent="0.25">
      <c r="A3" s="1">
        <v>2</v>
      </c>
      <c r="B3" s="1" t="s">
        <v>27</v>
      </c>
      <c r="C3" s="1" t="s">
        <v>28</v>
      </c>
      <c r="D3" s="7">
        <v>45560</v>
      </c>
      <c r="E3" s="1" t="s">
        <v>7449</v>
      </c>
      <c r="F3" s="7">
        <v>45560</v>
      </c>
      <c r="G3" s="1" t="s">
        <v>7449</v>
      </c>
    </row>
    <row r="4" spans="1:7" x14ac:dyDescent="0.25">
      <c r="A4" s="1">
        <v>3</v>
      </c>
      <c r="B4" s="1" t="s">
        <v>29</v>
      </c>
      <c r="C4" s="1" t="s">
        <v>30</v>
      </c>
      <c r="D4" s="7">
        <v>45560</v>
      </c>
      <c r="E4" s="1" t="s">
        <v>7449</v>
      </c>
      <c r="F4" s="7">
        <v>45560</v>
      </c>
      <c r="G4" s="1" t="s">
        <v>7449</v>
      </c>
    </row>
    <row r="5" spans="1:7" x14ac:dyDescent="0.25">
      <c r="A5" s="1">
        <v>4</v>
      </c>
      <c r="B5" s="1" t="s">
        <v>31</v>
      </c>
      <c r="C5" s="1" t="s">
        <v>32</v>
      </c>
      <c r="D5" s="7">
        <v>45560</v>
      </c>
      <c r="E5" s="1" t="s">
        <v>7449</v>
      </c>
      <c r="F5" s="7">
        <v>45560</v>
      </c>
      <c r="G5" s="1" t="s">
        <v>7449</v>
      </c>
    </row>
    <row r="6" spans="1:7" x14ac:dyDescent="0.25">
      <c r="A6" s="1">
        <v>5</v>
      </c>
      <c r="B6" s="1" t="s">
        <v>33</v>
      </c>
      <c r="C6" s="1" t="s">
        <v>34</v>
      </c>
      <c r="D6" s="7">
        <v>45560</v>
      </c>
      <c r="E6" s="1" t="s">
        <v>7449</v>
      </c>
      <c r="F6" s="7">
        <v>45560</v>
      </c>
      <c r="G6" s="1" t="s">
        <v>7449</v>
      </c>
    </row>
    <row r="7" spans="1:7" x14ac:dyDescent="0.25">
      <c r="A7" s="1">
        <v>6</v>
      </c>
      <c r="B7" s="1" t="s">
        <v>35</v>
      </c>
      <c r="C7" s="1" t="s">
        <v>36</v>
      </c>
      <c r="D7" s="7">
        <v>45560</v>
      </c>
      <c r="E7" s="1" t="s">
        <v>7449</v>
      </c>
      <c r="F7" s="7">
        <v>45560</v>
      </c>
      <c r="G7" s="1" t="s">
        <v>7449</v>
      </c>
    </row>
    <row r="8" spans="1:7" x14ac:dyDescent="0.25">
      <c r="A8" s="1">
        <v>7</v>
      </c>
      <c r="B8" s="1" t="s">
        <v>37</v>
      </c>
      <c r="C8" s="1" t="s">
        <v>38</v>
      </c>
      <c r="D8" s="7">
        <v>45560</v>
      </c>
      <c r="E8" s="1" t="s">
        <v>7449</v>
      </c>
      <c r="F8" s="7">
        <v>45560</v>
      </c>
      <c r="G8" s="1" t="s">
        <v>7449</v>
      </c>
    </row>
    <row r="9" spans="1:7" x14ac:dyDescent="0.25">
      <c r="A9" s="1">
        <v>8</v>
      </c>
      <c r="B9" s="1" t="s">
        <v>39</v>
      </c>
      <c r="C9" s="1" t="s">
        <v>40</v>
      </c>
      <c r="D9" s="7">
        <v>45560</v>
      </c>
      <c r="E9" s="1" t="s">
        <v>7449</v>
      </c>
      <c r="F9" s="7">
        <v>45560</v>
      </c>
      <c r="G9" s="1" t="s">
        <v>7449</v>
      </c>
    </row>
    <row r="10" spans="1:7" x14ac:dyDescent="0.25">
      <c r="A10" s="1">
        <v>9</v>
      </c>
      <c r="B10" s="1" t="s">
        <v>41</v>
      </c>
      <c r="C10" s="1" t="s">
        <v>42</v>
      </c>
      <c r="D10" s="7">
        <v>45560</v>
      </c>
      <c r="E10" s="1" t="s">
        <v>7449</v>
      </c>
      <c r="F10" s="7">
        <v>45560</v>
      </c>
      <c r="G10" s="1" t="s">
        <v>7449</v>
      </c>
    </row>
  </sheetData>
  <phoneticPr fontId="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884E8-4E4B-4E0D-BD6D-28D90D188378}">
  <dimension ref="A1:M18"/>
  <sheetViews>
    <sheetView workbookViewId="0">
      <selection activeCell="K2" sqref="K2:K3"/>
    </sheetView>
  </sheetViews>
  <sheetFormatPr baseColWidth="10" defaultColWidth="8.85546875" defaultRowHeight="15" x14ac:dyDescent="0.25"/>
  <cols>
    <col min="1" max="1" width="8.85546875" style="1"/>
    <col min="2" max="2" width="15.28515625" style="1" bestFit="1" customWidth="1"/>
    <col min="3" max="3" width="19.28515625" style="1" bestFit="1" customWidth="1"/>
    <col min="4" max="4" width="8.28515625" style="1" bestFit="1" customWidth="1"/>
    <col min="5" max="5" width="19.42578125" style="1" bestFit="1" customWidth="1"/>
    <col min="6" max="6" width="15.28515625" style="1" bestFit="1" customWidth="1"/>
    <col min="7" max="7" width="21.5703125" style="1" bestFit="1" customWidth="1"/>
    <col min="8" max="8" width="13.140625" style="1" bestFit="1" customWidth="1"/>
    <col min="9" max="9" width="22.28515625" style="1" bestFit="1" customWidth="1"/>
    <col min="10" max="10" width="15.5703125" style="1" bestFit="1" customWidth="1"/>
    <col min="11" max="11" width="14.28515625" style="1" bestFit="1" customWidth="1"/>
    <col min="12" max="12" width="15.5703125" style="1" bestFit="1" customWidth="1"/>
    <col min="13" max="13" width="14.28515625" style="1" bestFit="1" customWidth="1"/>
    <col min="14" max="16384" width="8.85546875" style="1"/>
  </cols>
  <sheetData>
    <row r="1" spans="1:13" x14ac:dyDescent="0.25">
      <c r="A1" s="5" t="s">
        <v>7286</v>
      </c>
      <c r="B1" s="5" t="s">
        <v>7206</v>
      </c>
      <c r="C1" s="5" t="s">
        <v>7287</v>
      </c>
      <c r="D1" s="5" t="s">
        <v>7333</v>
      </c>
      <c r="E1" s="5" t="s">
        <v>7287</v>
      </c>
      <c r="F1" s="5" t="s">
        <v>7219</v>
      </c>
      <c r="G1" s="5" t="s">
        <v>7287</v>
      </c>
      <c r="H1" s="5" t="s">
        <v>24</v>
      </c>
      <c r="I1" s="5" t="s">
        <v>43</v>
      </c>
      <c r="J1" s="5" t="s">
        <v>44</v>
      </c>
      <c r="K1" s="5" t="s">
        <v>45</v>
      </c>
      <c r="L1" s="5" t="s">
        <v>46</v>
      </c>
      <c r="M1" s="5" t="s">
        <v>47</v>
      </c>
    </row>
    <row r="2" spans="1:13" x14ac:dyDescent="0.25">
      <c r="A2" s="1">
        <v>1</v>
      </c>
      <c r="B2" s="1" t="str">
        <f>_xlfn.CONCAT(D2,"-",VLOOKUP(D2,t_objeto!B:D,3,FALSE),"-",A2)</f>
        <v>USER-PERCCO-1</v>
      </c>
      <c r="C2" s="1" t="s">
        <v>7207</v>
      </c>
      <c r="D2" s="1" t="s">
        <v>7349</v>
      </c>
      <c r="E2" s="1" t="str">
        <f>VLOOKUP(D2,t_objeto!B:C,2,FALSE)</f>
        <v>USUARIO</v>
      </c>
      <c r="F2" s="1" t="s">
        <v>7220</v>
      </c>
      <c r="G2" s="1" t="s">
        <v>7207</v>
      </c>
      <c r="H2" s="1">
        <v>8</v>
      </c>
      <c r="I2" s="1" t="str">
        <f>VLOOKUP(H2,t_entry_status!A:B,2,FALSE)</f>
        <v>PENDING</v>
      </c>
      <c r="J2" s="7">
        <v>45560</v>
      </c>
      <c r="K2" s="1" t="s">
        <v>7449</v>
      </c>
      <c r="L2" s="7">
        <v>45560</v>
      </c>
      <c r="M2" s="1" t="s">
        <v>7449</v>
      </c>
    </row>
    <row r="3" spans="1:13" x14ac:dyDescent="0.25">
      <c r="A3" s="1">
        <v>2</v>
      </c>
      <c r="B3" s="1" t="str">
        <f>_xlfn.CONCAT(D3,"-",VLOOKUP(D3,t_objeto!B:D,3,FALSE),"-",A3)</f>
        <v>USER-PERCCO-2</v>
      </c>
      <c r="C3" s="1" t="s">
        <v>7208</v>
      </c>
      <c r="D3" s="1" t="s">
        <v>7349</v>
      </c>
      <c r="E3" s="1" t="str">
        <f>VLOOKUP(D3,t_objeto!B:C,2,FALSE)</f>
        <v>USUARIO</v>
      </c>
      <c r="F3" s="1" t="s">
        <v>7221</v>
      </c>
      <c r="G3" s="1" t="s">
        <v>7208</v>
      </c>
      <c r="H3" s="1">
        <v>8</v>
      </c>
      <c r="I3" s="1" t="str">
        <f>VLOOKUP(H3,t_entry_status!A:B,2,FALSE)</f>
        <v>PENDING</v>
      </c>
      <c r="J3" s="7">
        <v>45560</v>
      </c>
      <c r="K3" s="1" t="s">
        <v>7449</v>
      </c>
      <c r="L3" s="7">
        <v>45560</v>
      </c>
      <c r="M3" s="1" t="s">
        <v>7449</v>
      </c>
    </row>
    <row r="4" spans="1:13" x14ac:dyDescent="0.25">
      <c r="A4" s="1">
        <v>3</v>
      </c>
      <c r="B4" s="1" t="str">
        <f>_xlfn.CONCAT(D4,"-",VLOOKUP(D4,t_objeto!B:D,3,FALSE),"-",A4)</f>
        <v>USER-PERCCO-3</v>
      </c>
      <c r="C4" s="1" t="s">
        <v>7209</v>
      </c>
      <c r="D4" s="1" t="s">
        <v>7349</v>
      </c>
      <c r="E4" s="1" t="str">
        <f>VLOOKUP(D4,t_objeto!B:C,2,FALSE)</f>
        <v>USUARIO</v>
      </c>
      <c r="F4" s="1" t="s">
        <v>7222</v>
      </c>
      <c r="G4" s="1" t="s">
        <v>7209</v>
      </c>
      <c r="H4" s="1">
        <v>8</v>
      </c>
      <c r="I4" s="1" t="str">
        <f>VLOOKUP(H4,t_entry_status!A:B,2,FALSE)</f>
        <v>PENDING</v>
      </c>
      <c r="J4" s="7">
        <v>45560</v>
      </c>
      <c r="K4" s="1" t="s">
        <v>7449</v>
      </c>
      <c r="L4" s="7">
        <v>45560</v>
      </c>
      <c r="M4" s="1" t="s">
        <v>7449</v>
      </c>
    </row>
    <row r="5" spans="1:13" x14ac:dyDescent="0.25">
      <c r="A5" s="1">
        <v>4</v>
      </c>
      <c r="B5" s="1" t="str">
        <f>_xlfn.CONCAT(D5,"-",VLOOKUP(D5,t_objeto!B:D,3,FALSE),"-",A5)</f>
        <v>USER-PERCCO-4</v>
      </c>
      <c r="C5" s="1" t="s">
        <v>7210</v>
      </c>
      <c r="D5" s="1" t="s">
        <v>7349</v>
      </c>
      <c r="E5" s="1" t="str">
        <f>VLOOKUP(D5,t_objeto!B:C,2,FALSE)</f>
        <v>USUARIO</v>
      </c>
      <c r="F5" s="1" t="s">
        <v>7223</v>
      </c>
      <c r="G5" s="1" t="s">
        <v>7210</v>
      </c>
      <c r="H5" s="1">
        <v>8</v>
      </c>
      <c r="I5" s="1" t="str">
        <f>VLOOKUP(H5,t_entry_status!A:B,2,FALSE)</f>
        <v>PENDING</v>
      </c>
      <c r="J5" s="7">
        <v>45560</v>
      </c>
      <c r="K5" s="1" t="s">
        <v>7449</v>
      </c>
      <c r="L5" s="7">
        <v>45560</v>
      </c>
      <c r="M5" s="1" t="s">
        <v>7449</v>
      </c>
    </row>
    <row r="6" spans="1:13" x14ac:dyDescent="0.25">
      <c r="A6" s="1">
        <v>5</v>
      </c>
      <c r="B6" s="1" t="str">
        <f>_xlfn.CONCAT(D6,"-",VLOOKUP(D6,t_objeto!B:D,3,FALSE),"-",A6)</f>
        <v>USER-PERCCO-5</v>
      </c>
      <c r="C6" s="1" t="s">
        <v>7211</v>
      </c>
      <c r="D6" s="1" t="s">
        <v>7349</v>
      </c>
      <c r="E6" s="1" t="str">
        <f>VLOOKUP(D6,t_objeto!B:C,2,FALSE)</f>
        <v>USUARIO</v>
      </c>
      <c r="F6" s="1" t="s">
        <v>7224</v>
      </c>
      <c r="G6" s="1" t="s">
        <v>7211</v>
      </c>
      <c r="H6" s="1">
        <v>8</v>
      </c>
      <c r="I6" s="1" t="str">
        <f>VLOOKUP(H6,t_entry_status!A:B,2,FALSE)</f>
        <v>PENDING</v>
      </c>
      <c r="J6" s="7">
        <v>45560</v>
      </c>
      <c r="K6" s="1" t="s">
        <v>7449</v>
      </c>
      <c r="L6" s="7">
        <v>45560</v>
      </c>
      <c r="M6" s="1" t="s">
        <v>7449</v>
      </c>
    </row>
    <row r="7" spans="1:13" x14ac:dyDescent="0.25">
      <c r="A7" s="1">
        <v>6</v>
      </c>
      <c r="B7" s="1" t="str">
        <f>_xlfn.CONCAT(D7,"-",VLOOKUP(D7,t_objeto!B:D,3,FALSE),"-",A7)</f>
        <v>USER-PERCCO-6</v>
      </c>
      <c r="C7" s="1" t="s">
        <v>7212</v>
      </c>
      <c r="D7" s="1" t="s">
        <v>7349</v>
      </c>
      <c r="E7" s="1" t="str">
        <f>VLOOKUP(D7,t_objeto!B:C,2,FALSE)</f>
        <v>USUARIO</v>
      </c>
      <c r="F7" s="1" t="s">
        <v>7225</v>
      </c>
      <c r="G7" s="1" t="s">
        <v>7212</v>
      </c>
      <c r="H7" s="1">
        <v>8</v>
      </c>
      <c r="I7" s="1" t="str">
        <f>VLOOKUP(H7,t_entry_status!A:B,2,FALSE)</f>
        <v>PENDING</v>
      </c>
      <c r="J7" s="7">
        <v>45560</v>
      </c>
      <c r="K7" s="1" t="s">
        <v>7449</v>
      </c>
      <c r="L7" s="7">
        <v>45560</v>
      </c>
      <c r="M7" s="1" t="s">
        <v>7449</v>
      </c>
    </row>
    <row r="8" spans="1:13" x14ac:dyDescent="0.25">
      <c r="A8" s="1">
        <v>7</v>
      </c>
      <c r="B8" s="1" t="str">
        <f>_xlfn.CONCAT(D8,"-",VLOOKUP(D8,t_objeto!B:D,3,FALSE),"-",A8)</f>
        <v>USER-PERCCO-7</v>
      </c>
      <c r="C8" s="1" t="s">
        <v>7213</v>
      </c>
      <c r="D8" s="1" t="s">
        <v>7349</v>
      </c>
      <c r="E8" s="1" t="str">
        <f>VLOOKUP(D8,t_objeto!B:C,2,FALSE)</f>
        <v>USUARIO</v>
      </c>
      <c r="F8" s="1" t="s">
        <v>7226</v>
      </c>
      <c r="G8" s="1" t="s">
        <v>7213</v>
      </c>
      <c r="H8" s="1">
        <v>8</v>
      </c>
      <c r="I8" s="1" t="str">
        <f>VLOOKUP(H8,t_entry_status!A:B,2,FALSE)</f>
        <v>PENDING</v>
      </c>
      <c r="J8" s="7">
        <v>45560</v>
      </c>
      <c r="K8" s="1" t="s">
        <v>7449</v>
      </c>
      <c r="L8" s="7">
        <v>45560</v>
      </c>
      <c r="M8" s="1" t="s">
        <v>7449</v>
      </c>
    </row>
    <row r="9" spans="1:13" x14ac:dyDescent="0.25">
      <c r="A9" s="1">
        <v>8</v>
      </c>
      <c r="B9" s="1" t="str">
        <f>_xlfn.CONCAT(D9,"-",VLOOKUP(D9,t_objeto!B:D,3,FALSE),"-",A9)</f>
        <v>USER-PERCCO-8</v>
      </c>
      <c r="C9" s="1" t="s">
        <v>7214</v>
      </c>
      <c r="D9" s="1" t="s">
        <v>7349</v>
      </c>
      <c r="E9" s="1" t="str">
        <f>VLOOKUP(D9,t_objeto!B:C,2,FALSE)</f>
        <v>USUARIO</v>
      </c>
      <c r="F9" s="1" t="s">
        <v>7227</v>
      </c>
      <c r="G9" s="1" t="s">
        <v>7214</v>
      </c>
      <c r="H9" s="1">
        <v>8</v>
      </c>
      <c r="I9" s="1" t="str">
        <f>VLOOKUP(H9,t_entry_status!A:B,2,FALSE)</f>
        <v>PENDING</v>
      </c>
      <c r="J9" s="7">
        <v>45560</v>
      </c>
      <c r="K9" s="1" t="s">
        <v>7449</v>
      </c>
      <c r="L9" s="7">
        <v>45560</v>
      </c>
      <c r="M9" s="1" t="s">
        <v>7449</v>
      </c>
    </row>
    <row r="10" spans="1:13" x14ac:dyDescent="0.25">
      <c r="A10" s="1">
        <v>9</v>
      </c>
      <c r="B10" s="1" t="str">
        <f>_xlfn.CONCAT(D10,"-",VLOOKUP(D10,t_objeto!B:D,3,FALSE),"-",A10)</f>
        <v>USER-PERCCO-9</v>
      </c>
      <c r="C10" s="1" t="s">
        <v>7215</v>
      </c>
      <c r="D10" s="1" t="s">
        <v>7349</v>
      </c>
      <c r="E10" s="1" t="str">
        <f>VLOOKUP(D10,t_objeto!B:C,2,FALSE)</f>
        <v>USUARIO</v>
      </c>
      <c r="F10" s="1" t="s">
        <v>7228</v>
      </c>
      <c r="G10" s="1" t="s">
        <v>7215</v>
      </c>
      <c r="H10" s="1">
        <v>8</v>
      </c>
      <c r="I10" s="1" t="str">
        <f>VLOOKUP(H10,t_entry_status!A:B,2,FALSE)</f>
        <v>PENDING</v>
      </c>
      <c r="J10" s="7">
        <v>45560</v>
      </c>
      <c r="K10" s="1" t="s">
        <v>7449</v>
      </c>
      <c r="L10" s="7">
        <v>45560</v>
      </c>
      <c r="M10" s="1" t="s">
        <v>7449</v>
      </c>
    </row>
    <row r="11" spans="1:13" x14ac:dyDescent="0.25">
      <c r="A11" s="1">
        <v>10</v>
      </c>
      <c r="B11" s="1" t="str">
        <f>_xlfn.CONCAT(D11,"-",VLOOKUP(D11,t_objeto!B:D,3,FALSE),"-",A11)</f>
        <v>USER-PERCCO-10</v>
      </c>
      <c r="C11" s="1" t="s">
        <v>7216</v>
      </c>
      <c r="D11" s="1" t="s">
        <v>7349</v>
      </c>
      <c r="E11" s="1" t="str">
        <f>VLOOKUP(D11,t_objeto!B:C,2,FALSE)</f>
        <v>USUARIO</v>
      </c>
      <c r="F11" s="1" t="s">
        <v>7229</v>
      </c>
      <c r="G11" s="1" t="s">
        <v>7216</v>
      </c>
      <c r="H11" s="1">
        <v>8</v>
      </c>
      <c r="I11" s="1" t="str">
        <f>VLOOKUP(H11,t_entry_status!A:B,2,FALSE)</f>
        <v>PENDING</v>
      </c>
      <c r="J11" s="7">
        <v>45560</v>
      </c>
      <c r="K11" s="1" t="s">
        <v>7449</v>
      </c>
      <c r="L11" s="7">
        <v>45560</v>
      </c>
      <c r="M11" s="1" t="s">
        <v>7449</v>
      </c>
    </row>
    <row r="12" spans="1:13" x14ac:dyDescent="0.25">
      <c r="A12" s="1">
        <v>11</v>
      </c>
      <c r="B12" s="1" t="str">
        <f>_xlfn.CONCAT(D12,"-",VLOOKUP(D12,t_objeto!B:D,3,FALSE),"-",A12)</f>
        <v>USER-PERCCO-11</v>
      </c>
      <c r="C12" s="1" t="s">
        <v>7217</v>
      </c>
      <c r="D12" s="1" t="s">
        <v>7349</v>
      </c>
      <c r="E12" s="1" t="str">
        <f>VLOOKUP(D12,t_objeto!B:C,2,FALSE)</f>
        <v>USUARIO</v>
      </c>
      <c r="F12" s="1" t="s">
        <v>7230</v>
      </c>
      <c r="G12" s="1" t="s">
        <v>7233</v>
      </c>
      <c r="H12" s="1">
        <v>8</v>
      </c>
      <c r="I12" s="1" t="str">
        <f>VLOOKUP(H12,t_entry_status!A:B,2,FALSE)</f>
        <v>PENDING</v>
      </c>
      <c r="J12" s="7">
        <v>45560</v>
      </c>
      <c r="K12" s="1" t="s">
        <v>7449</v>
      </c>
      <c r="L12" s="7">
        <v>45560</v>
      </c>
      <c r="M12" s="1" t="s">
        <v>7449</v>
      </c>
    </row>
    <row r="13" spans="1:13" x14ac:dyDescent="0.25">
      <c r="A13" s="1">
        <v>12</v>
      </c>
      <c r="B13" s="1" t="str">
        <f>_xlfn.CONCAT(D13,"-",VLOOKUP(D13,t_objeto!B:D,3,FALSE),"-",A13)</f>
        <v>USER-PERCCO-12</v>
      </c>
      <c r="C13" s="1" t="s">
        <v>7218</v>
      </c>
      <c r="D13" s="1" t="s">
        <v>7349</v>
      </c>
      <c r="E13" s="1" t="str">
        <f>VLOOKUP(D13,t_objeto!B:C,2,FALSE)</f>
        <v>USUARIO</v>
      </c>
      <c r="F13" s="1" t="s">
        <v>7231</v>
      </c>
      <c r="G13" s="1" t="s">
        <v>7259</v>
      </c>
      <c r="H13" s="1">
        <v>8</v>
      </c>
      <c r="I13" s="1" t="str">
        <f>VLOOKUP(H13,t_entry_status!A:B,2,FALSE)</f>
        <v>PENDING</v>
      </c>
      <c r="J13" s="7">
        <v>45560</v>
      </c>
      <c r="K13" s="1" t="s">
        <v>7449</v>
      </c>
      <c r="L13" s="7">
        <v>45560</v>
      </c>
      <c r="M13" s="1" t="s">
        <v>7449</v>
      </c>
    </row>
    <row r="18" spans="6:6" x14ac:dyDescent="0.25">
      <c r="F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853F375-6913-42DA-B48E-BA3601613DEB}">
          <x14:formula1>
            <xm:f>t_entry_status!$A:$A</xm:f>
          </x14:formula1>
          <xm:sqref>H2:H13</xm:sqref>
        </x14:dataValidation>
        <x14:dataValidation type="list" allowBlank="1" showInputMessage="1" showErrorMessage="1" xr:uid="{ED4AC00E-9D83-4800-8020-123E50B59A01}">
          <x14:formula1>
            <xm:f>t_objeto!$B:$B</xm:f>
          </x14:formula1>
          <xm:sqref>D2:D20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95D89-12A4-41E8-A07D-052FA1134D63}">
  <dimension ref="A1:K18"/>
  <sheetViews>
    <sheetView workbookViewId="0">
      <selection activeCell="K2" sqref="K2:K3"/>
    </sheetView>
  </sheetViews>
  <sheetFormatPr baseColWidth="10" defaultColWidth="8.85546875" defaultRowHeight="15" x14ac:dyDescent="0.25"/>
  <cols>
    <col min="1" max="1" width="8.85546875" style="1"/>
    <col min="2" max="2" width="15.28515625" style="1" bestFit="1" customWidth="1"/>
    <col min="3" max="3" width="21.7109375" style="1" customWidth="1"/>
    <col min="4" max="4" width="8.28515625" style="1" bestFit="1" customWidth="1"/>
    <col min="5" max="5" width="19.42578125" style="1" bestFit="1" customWidth="1"/>
    <col min="6" max="6" width="13.140625" style="1" bestFit="1" customWidth="1"/>
    <col min="7" max="7" width="22.28515625" style="1" bestFit="1" customWidth="1"/>
    <col min="8" max="8" width="15.5703125" style="1" bestFit="1" customWidth="1"/>
    <col min="9" max="9" width="14" style="1" bestFit="1" customWidth="1"/>
    <col min="10" max="10" width="15.5703125" style="1" bestFit="1" customWidth="1"/>
    <col min="11" max="11" width="14" style="1" bestFit="1" customWidth="1"/>
    <col min="12" max="16384" width="8.85546875" style="1"/>
  </cols>
  <sheetData>
    <row r="1" spans="1:11" x14ac:dyDescent="0.25">
      <c r="A1" s="5" t="s">
        <v>7286</v>
      </c>
      <c r="B1" s="5" t="s">
        <v>7219</v>
      </c>
      <c r="C1" s="5" t="s">
        <v>7287</v>
      </c>
      <c r="D1" s="5" t="s">
        <v>7333</v>
      </c>
      <c r="E1" s="5" t="s">
        <v>7287</v>
      </c>
      <c r="F1" s="5" t="s">
        <v>24</v>
      </c>
      <c r="G1" s="5" t="s">
        <v>43</v>
      </c>
      <c r="H1" s="5" t="s">
        <v>44</v>
      </c>
      <c r="I1" s="5" t="s">
        <v>45</v>
      </c>
      <c r="J1" s="5" t="s">
        <v>46</v>
      </c>
      <c r="K1" s="5" t="s">
        <v>47</v>
      </c>
    </row>
    <row r="2" spans="1:11" x14ac:dyDescent="0.25">
      <c r="A2" s="1">
        <v>1</v>
      </c>
      <c r="B2" s="1" t="s">
        <v>7220</v>
      </c>
      <c r="C2" s="1" t="s">
        <v>7207</v>
      </c>
      <c r="D2" s="1" t="s">
        <v>7337</v>
      </c>
      <c r="E2" s="1" t="str">
        <f>VLOOKUP(D2,t_objeto!B:C,2,FALSE)</f>
        <v>AREA</v>
      </c>
      <c r="F2" s="1">
        <v>8</v>
      </c>
      <c r="G2" s="1" t="str">
        <f>VLOOKUP(F2,t_entry_status!A:B,2,FALSE)</f>
        <v>PENDING</v>
      </c>
      <c r="H2" s="7">
        <v>45560</v>
      </c>
      <c r="I2" s="1" t="s">
        <v>7449</v>
      </c>
      <c r="J2" s="7">
        <v>45560</v>
      </c>
      <c r="K2" s="1" t="s">
        <v>7449</v>
      </c>
    </row>
    <row r="3" spans="1:11" x14ac:dyDescent="0.25">
      <c r="A3" s="1">
        <v>2</v>
      </c>
      <c r="B3" s="1" t="s">
        <v>7221</v>
      </c>
      <c r="C3" s="1" t="s">
        <v>7208</v>
      </c>
      <c r="D3" s="1" t="s">
        <v>7337</v>
      </c>
      <c r="E3" s="1" t="str">
        <f>VLOOKUP(D3,t_objeto!B:C,2,FALSE)</f>
        <v>AREA</v>
      </c>
      <c r="F3" s="1">
        <v>8</v>
      </c>
      <c r="G3" s="1" t="str">
        <f>VLOOKUP(F3,t_entry_status!A:B,2,FALSE)</f>
        <v>PENDING</v>
      </c>
      <c r="H3" s="7">
        <v>45560</v>
      </c>
      <c r="I3" s="1" t="s">
        <v>7449</v>
      </c>
      <c r="J3" s="7">
        <v>45560</v>
      </c>
      <c r="K3" s="1" t="s">
        <v>7449</v>
      </c>
    </row>
    <row r="4" spans="1:11" x14ac:dyDescent="0.25">
      <c r="A4" s="1">
        <v>3</v>
      </c>
      <c r="B4" s="1" t="s">
        <v>7222</v>
      </c>
      <c r="C4" s="1" t="s">
        <v>7209</v>
      </c>
      <c r="D4" s="1" t="s">
        <v>7337</v>
      </c>
      <c r="E4" s="1" t="str">
        <f>VLOOKUP(D4,t_objeto!B:C,2,FALSE)</f>
        <v>AREA</v>
      </c>
      <c r="F4" s="1">
        <v>8</v>
      </c>
      <c r="G4" s="1" t="str">
        <f>VLOOKUP(F4,t_entry_status!A:B,2,FALSE)</f>
        <v>PENDING</v>
      </c>
      <c r="H4" s="7">
        <v>45560</v>
      </c>
      <c r="I4" s="1" t="s">
        <v>7449</v>
      </c>
      <c r="J4" s="7">
        <v>45560</v>
      </c>
      <c r="K4" s="1" t="s">
        <v>7449</v>
      </c>
    </row>
    <row r="5" spans="1:11" x14ac:dyDescent="0.25">
      <c r="A5" s="1">
        <v>4</v>
      </c>
      <c r="B5" s="1" t="s">
        <v>7223</v>
      </c>
      <c r="C5" s="1" t="s">
        <v>7210</v>
      </c>
      <c r="D5" s="1" t="s">
        <v>7337</v>
      </c>
      <c r="E5" s="1" t="str">
        <f>VLOOKUP(D5,t_objeto!B:C,2,FALSE)</f>
        <v>AREA</v>
      </c>
      <c r="F5" s="1">
        <v>8</v>
      </c>
      <c r="G5" s="1" t="str">
        <f>VLOOKUP(F5,t_entry_status!A:B,2,FALSE)</f>
        <v>PENDING</v>
      </c>
      <c r="H5" s="7">
        <v>45560</v>
      </c>
      <c r="I5" s="1" t="s">
        <v>7449</v>
      </c>
      <c r="J5" s="7">
        <v>45560</v>
      </c>
      <c r="K5" s="1" t="s">
        <v>7449</v>
      </c>
    </row>
    <row r="6" spans="1:11" x14ac:dyDescent="0.25">
      <c r="A6" s="1">
        <v>5</v>
      </c>
      <c r="B6" s="1" t="s">
        <v>7224</v>
      </c>
      <c r="C6" s="1" t="s">
        <v>7211</v>
      </c>
      <c r="D6" s="1" t="s">
        <v>7337</v>
      </c>
      <c r="E6" s="1" t="str">
        <f>VLOOKUP(D6,t_objeto!B:C,2,FALSE)</f>
        <v>AREA</v>
      </c>
      <c r="F6" s="1">
        <v>8</v>
      </c>
      <c r="G6" s="1" t="str">
        <f>VLOOKUP(F6,t_entry_status!A:B,2,FALSE)</f>
        <v>PENDING</v>
      </c>
      <c r="H6" s="7">
        <v>45560</v>
      </c>
      <c r="I6" s="1" t="s">
        <v>7449</v>
      </c>
      <c r="J6" s="7">
        <v>45560</v>
      </c>
      <c r="K6" s="1" t="s">
        <v>7449</v>
      </c>
    </row>
    <row r="7" spans="1:11" x14ac:dyDescent="0.25">
      <c r="A7" s="1">
        <v>6</v>
      </c>
      <c r="B7" s="1" t="s">
        <v>7225</v>
      </c>
      <c r="C7" s="1" t="s">
        <v>7212</v>
      </c>
      <c r="D7" s="1" t="s">
        <v>7337</v>
      </c>
      <c r="E7" s="1" t="str">
        <f>VLOOKUP(D7,t_objeto!B:C,2,FALSE)</f>
        <v>AREA</v>
      </c>
      <c r="F7" s="1">
        <v>8</v>
      </c>
      <c r="G7" s="1" t="str">
        <f>VLOOKUP(F7,t_entry_status!A:B,2,FALSE)</f>
        <v>PENDING</v>
      </c>
      <c r="H7" s="7">
        <v>45560</v>
      </c>
      <c r="I7" s="1" t="s">
        <v>7449</v>
      </c>
      <c r="J7" s="7">
        <v>45560</v>
      </c>
      <c r="K7" s="1" t="s">
        <v>7449</v>
      </c>
    </row>
    <row r="8" spans="1:11" x14ac:dyDescent="0.25">
      <c r="A8" s="1">
        <v>7</v>
      </c>
      <c r="B8" s="1" t="s">
        <v>7226</v>
      </c>
      <c r="C8" s="1" t="s">
        <v>7213</v>
      </c>
      <c r="D8" s="1" t="s">
        <v>7337</v>
      </c>
      <c r="E8" s="1" t="str">
        <f>VLOOKUP(D8,t_objeto!B:C,2,FALSE)</f>
        <v>AREA</v>
      </c>
      <c r="F8" s="1">
        <v>8</v>
      </c>
      <c r="G8" s="1" t="str">
        <f>VLOOKUP(F8,t_entry_status!A:B,2,FALSE)</f>
        <v>PENDING</v>
      </c>
      <c r="H8" s="7">
        <v>45560</v>
      </c>
      <c r="I8" s="1" t="s">
        <v>7449</v>
      </c>
      <c r="J8" s="7">
        <v>45560</v>
      </c>
      <c r="K8" s="1" t="s">
        <v>7449</v>
      </c>
    </row>
    <row r="9" spans="1:11" x14ac:dyDescent="0.25">
      <c r="A9" s="1">
        <v>8</v>
      </c>
      <c r="B9" s="1" t="s">
        <v>7227</v>
      </c>
      <c r="C9" s="1" t="s">
        <v>7214</v>
      </c>
      <c r="D9" s="1" t="s">
        <v>7337</v>
      </c>
      <c r="E9" s="1" t="str">
        <f>VLOOKUP(D9,t_objeto!B:C,2,FALSE)</f>
        <v>AREA</v>
      </c>
      <c r="F9" s="1">
        <v>8</v>
      </c>
      <c r="G9" s="1" t="str">
        <f>VLOOKUP(F9,t_entry_status!A:B,2,FALSE)</f>
        <v>PENDING</v>
      </c>
      <c r="H9" s="7">
        <v>45560</v>
      </c>
      <c r="I9" s="1" t="s">
        <v>7449</v>
      </c>
      <c r="J9" s="7">
        <v>45560</v>
      </c>
      <c r="K9" s="1" t="s">
        <v>7449</v>
      </c>
    </row>
    <row r="10" spans="1:11" x14ac:dyDescent="0.25">
      <c r="A10" s="1">
        <v>9</v>
      </c>
      <c r="B10" s="1" t="s">
        <v>7228</v>
      </c>
      <c r="C10" s="1" t="s">
        <v>7215</v>
      </c>
      <c r="D10" s="1" t="s">
        <v>7337</v>
      </c>
      <c r="E10" s="1" t="str">
        <f>VLOOKUP(D10,t_objeto!B:C,2,FALSE)</f>
        <v>AREA</v>
      </c>
      <c r="F10" s="1">
        <v>8</v>
      </c>
      <c r="G10" s="1" t="str">
        <f>VLOOKUP(F10,t_entry_status!A:B,2,FALSE)</f>
        <v>PENDING</v>
      </c>
      <c r="H10" s="7">
        <v>45560</v>
      </c>
      <c r="I10" s="1" t="s">
        <v>7449</v>
      </c>
      <c r="J10" s="7">
        <v>45560</v>
      </c>
      <c r="K10" s="1" t="s">
        <v>7449</v>
      </c>
    </row>
    <row r="11" spans="1:11" x14ac:dyDescent="0.25">
      <c r="A11" s="1">
        <v>10</v>
      </c>
      <c r="B11" s="1" t="s">
        <v>7229</v>
      </c>
      <c r="C11" s="1" t="s">
        <v>7216</v>
      </c>
      <c r="D11" s="1" t="s">
        <v>7337</v>
      </c>
      <c r="E11" s="1" t="str">
        <f>VLOOKUP(D11,t_objeto!B:C,2,FALSE)</f>
        <v>AREA</v>
      </c>
      <c r="F11" s="1">
        <v>8</v>
      </c>
      <c r="G11" s="1" t="str">
        <f>VLOOKUP(F11,t_entry_status!A:B,2,FALSE)</f>
        <v>PENDING</v>
      </c>
      <c r="H11" s="7">
        <v>45560</v>
      </c>
      <c r="I11" s="1" t="s">
        <v>7449</v>
      </c>
      <c r="J11" s="7">
        <v>45560</v>
      </c>
      <c r="K11" s="1" t="s">
        <v>7449</v>
      </c>
    </row>
    <row r="12" spans="1:11" x14ac:dyDescent="0.25">
      <c r="A12" s="1">
        <v>11</v>
      </c>
      <c r="B12" s="1" t="s">
        <v>7230</v>
      </c>
      <c r="C12" s="1" t="s">
        <v>7233</v>
      </c>
      <c r="D12" s="1" t="s">
        <v>7337</v>
      </c>
      <c r="E12" s="1" t="str">
        <f>VLOOKUP(D12,t_objeto!B:C,2,FALSE)</f>
        <v>AREA</v>
      </c>
      <c r="F12" s="1">
        <v>8</v>
      </c>
      <c r="G12" s="1" t="str">
        <f>VLOOKUP(F12,t_entry_status!A:B,2,FALSE)</f>
        <v>PENDING</v>
      </c>
      <c r="H12" s="7">
        <v>45560</v>
      </c>
      <c r="I12" s="1" t="s">
        <v>7449</v>
      </c>
      <c r="J12" s="7">
        <v>45560</v>
      </c>
      <c r="K12" s="1" t="s">
        <v>7449</v>
      </c>
    </row>
    <row r="13" spans="1:11" x14ac:dyDescent="0.25">
      <c r="A13" s="1">
        <v>12</v>
      </c>
      <c r="B13" s="1" t="s">
        <v>7231</v>
      </c>
      <c r="C13" s="1" t="s">
        <v>7259</v>
      </c>
      <c r="D13" s="1" t="s">
        <v>7337</v>
      </c>
      <c r="E13" s="1" t="str">
        <f>VLOOKUP(D13,t_objeto!B:C,2,FALSE)</f>
        <v>AREA</v>
      </c>
      <c r="F13" s="1">
        <v>8</v>
      </c>
      <c r="G13" s="1" t="str">
        <f>VLOOKUP(F13,t_entry_status!A:B,2,FALSE)</f>
        <v>PENDING</v>
      </c>
      <c r="H13" s="7">
        <v>45560</v>
      </c>
      <c r="I13" s="1" t="s">
        <v>7449</v>
      </c>
      <c r="J13" s="7">
        <v>45560</v>
      </c>
      <c r="K13" s="1" t="s">
        <v>7449</v>
      </c>
    </row>
    <row r="14" spans="1:11" x14ac:dyDescent="0.25">
      <c r="A14" s="1">
        <v>13</v>
      </c>
      <c r="B14" s="1" t="s">
        <v>7232</v>
      </c>
      <c r="C14" s="1" t="s">
        <v>7234</v>
      </c>
      <c r="D14" s="1" t="s">
        <v>7337</v>
      </c>
      <c r="E14" s="1" t="str">
        <f>VLOOKUP(D14,t_objeto!B:C,2,FALSE)</f>
        <v>AREA</v>
      </c>
      <c r="F14" s="1">
        <v>8</v>
      </c>
      <c r="G14" s="1" t="str">
        <f>VLOOKUP(F14,t_entry_status!A:B,2,FALSE)</f>
        <v>PENDING</v>
      </c>
      <c r="H14" s="7">
        <v>45560</v>
      </c>
      <c r="I14" s="1" t="s">
        <v>7449</v>
      </c>
      <c r="J14" s="7">
        <v>45560</v>
      </c>
      <c r="K14" s="1" t="s">
        <v>7449</v>
      </c>
    </row>
    <row r="15" spans="1:11" x14ac:dyDescent="0.25">
      <c r="A15" s="1">
        <v>14</v>
      </c>
      <c r="B15" s="1" t="s">
        <v>7236</v>
      </c>
      <c r="C15" s="1" t="s">
        <v>7235</v>
      </c>
      <c r="D15" s="1" t="s">
        <v>7337</v>
      </c>
      <c r="E15" s="1" t="str">
        <f>VLOOKUP(D15,t_objeto!B:C,2,FALSE)</f>
        <v>AREA</v>
      </c>
      <c r="F15" s="1">
        <v>8</v>
      </c>
      <c r="G15" s="1" t="str">
        <f>VLOOKUP(F15,t_entry_status!A:B,2,FALSE)</f>
        <v>PENDING</v>
      </c>
      <c r="H15" s="7">
        <v>45560</v>
      </c>
      <c r="I15" s="1" t="s">
        <v>7449</v>
      </c>
      <c r="J15" s="7">
        <v>45560</v>
      </c>
      <c r="K15" s="1" t="s">
        <v>7449</v>
      </c>
    </row>
    <row r="16" spans="1:11" x14ac:dyDescent="0.25">
      <c r="A16" s="1">
        <v>15</v>
      </c>
      <c r="B16" s="1" t="s">
        <v>7237</v>
      </c>
      <c r="C16" s="1" t="s">
        <v>7217</v>
      </c>
      <c r="D16" s="1" t="s">
        <v>7337</v>
      </c>
      <c r="E16" s="1" t="str">
        <f>VLOOKUP(D16,t_objeto!B:C,2,FALSE)</f>
        <v>AREA</v>
      </c>
      <c r="F16" s="1">
        <v>8</v>
      </c>
      <c r="G16" s="1" t="str">
        <f>VLOOKUP(F16,t_entry_status!A:B,2,FALSE)</f>
        <v>PENDING</v>
      </c>
      <c r="H16" s="7">
        <v>45560</v>
      </c>
      <c r="I16" s="1" t="s">
        <v>7449</v>
      </c>
      <c r="J16" s="7">
        <v>45560</v>
      </c>
      <c r="K16" s="1" t="s">
        <v>7449</v>
      </c>
    </row>
    <row r="17" spans="1:11" x14ac:dyDescent="0.25">
      <c r="A17" s="1">
        <v>16</v>
      </c>
      <c r="B17" s="1" t="s">
        <v>7238</v>
      </c>
      <c r="C17" s="1" t="s">
        <v>7218</v>
      </c>
      <c r="D17" s="1" t="s">
        <v>7337</v>
      </c>
      <c r="E17" s="1" t="str">
        <f>VLOOKUP(D17,t_objeto!B:C,2,FALSE)</f>
        <v>AREA</v>
      </c>
      <c r="F17" s="1">
        <v>8</v>
      </c>
      <c r="G17" s="1" t="str">
        <f>VLOOKUP(F17,t_entry_status!A:B,2,FALSE)</f>
        <v>PENDING</v>
      </c>
      <c r="H17" s="7">
        <v>45560</v>
      </c>
      <c r="I17" s="1" t="s">
        <v>7449</v>
      </c>
      <c r="J17" s="7">
        <v>45560</v>
      </c>
      <c r="K17" s="1" t="s">
        <v>7449</v>
      </c>
    </row>
    <row r="18" spans="1:11" x14ac:dyDescent="0.25">
      <c r="B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6E8070-F55F-480B-A5A2-915CF1A91A46}">
          <x14:formula1>
            <xm:f>t_entry_status!$A:$A</xm:f>
          </x14:formula1>
          <xm:sqref>F2:F17</xm:sqref>
        </x14:dataValidation>
        <x14:dataValidation type="list" allowBlank="1" showInputMessage="1" showErrorMessage="1" xr:uid="{C97E7379-125F-439D-9B76-C0EE87F8AC62}">
          <x14:formula1>
            <xm:f>t_objeto!$B:$B</xm:f>
          </x14:formula1>
          <xm:sqref>D2:D20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0BBC9-9453-4346-9FF4-5DA8C661D2F4}">
  <dimension ref="A1:M21"/>
  <sheetViews>
    <sheetView workbookViewId="0">
      <selection activeCell="M2" sqref="M2:M3"/>
    </sheetView>
  </sheetViews>
  <sheetFormatPr baseColWidth="10" defaultColWidth="8.85546875" defaultRowHeight="15" x14ac:dyDescent="0.25"/>
  <cols>
    <col min="1" max="1" width="8.85546875" style="1"/>
    <col min="2" max="2" width="15.28515625" style="1" bestFit="1" customWidth="1"/>
    <col min="3" max="3" width="21.5703125" style="1" bestFit="1" customWidth="1"/>
    <col min="4" max="4" width="8.28515625" style="1" bestFit="1" customWidth="1"/>
    <col min="5" max="5" width="19.42578125" style="1" bestFit="1" customWidth="1"/>
    <col min="6" max="6" width="11.5703125" style="1" customWidth="1"/>
    <col min="7" max="7" width="21.5703125" style="1" customWidth="1"/>
    <col min="8" max="8" width="13.140625" style="1" bestFit="1" customWidth="1"/>
    <col min="9" max="9" width="22.28515625" style="1" bestFit="1" customWidth="1"/>
    <col min="10" max="10" width="15.5703125" style="1" bestFit="1" customWidth="1"/>
    <col min="11" max="11" width="14" style="1" bestFit="1" customWidth="1"/>
    <col min="12" max="12" width="15.5703125" style="1" bestFit="1" customWidth="1"/>
    <col min="13" max="13" width="14" style="1" bestFit="1" customWidth="1"/>
    <col min="14" max="16384" width="8.85546875" style="1"/>
  </cols>
  <sheetData>
    <row r="1" spans="1:13" x14ac:dyDescent="0.25">
      <c r="A1" s="5" t="s">
        <v>7286</v>
      </c>
      <c r="B1" s="5" t="s">
        <v>7260</v>
      </c>
      <c r="C1" s="5" t="s">
        <v>7287</v>
      </c>
      <c r="D1" s="5" t="s">
        <v>7333</v>
      </c>
      <c r="E1" s="5" t="s">
        <v>7287</v>
      </c>
      <c r="F1" s="5" t="s">
        <v>7219</v>
      </c>
      <c r="G1" s="5" t="s">
        <v>7239</v>
      </c>
      <c r="H1" s="5" t="s">
        <v>24</v>
      </c>
      <c r="I1" s="5" t="s">
        <v>43</v>
      </c>
      <c r="J1" s="5" t="s">
        <v>44</v>
      </c>
      <c r="K1" s="5" t="s">
        <v>45</v>
      </c>
      <c r="L1" s="5" t="s">
        <v>46</v>
      </c>
      <c r="M1" s="5" t="s">
        <v>47</v>
      </c>
    </row>
    <row r="2" spans="1:13" x14ac:dyDescent="0.25">
      <c r="A2" s="1">
        <v>1</v>
      </c>
      <c r="B2" s="1" t="str">
        <f>_xlfn.CONCAT(D2,"-",VLOOKUP(D2,t_objeto!B:D,3,FALSE),"-",A2)</f>
        <v>PROC-PERCCO-1</v>
      </c>
      <c r="C2" s="1" t="s">
        <v>7261</v>
      </c>
      <c r="D2" s="1" t="s">
        <v>7350</v>
      </c>
      <c r="E2" s="1" t="str">
        <f>VLOOKUP(D2,t_objeto!B:C,2,FALSE)</f>
        <v>PROCESO</v>
      </c>
      <c r="F2" s="1" t="s">
        <v>7228</v>
      </c>
      <c r="G2" s="1" t="str">
        <f>VLOOKUP(F2,t_area!B:C,2,FALSE)</f>
        <v>Produccion_Metalicos</v>
      </c>
      <c r="H2" s="1">
        <v>8</v>
      </c>
      <c r="I2" s="1" t="str">
        <f>VLOOKUP(H2,t_entry_status!A:B,2,FALSE)</f>
        <v>PENDING</v>
      </c>
      <c r="J2" s="7">
        <v>45560</v>
      </c>
      <c r="K2" s="1" t="s">
        <v>7449</v>
      </c>
      <c r="L2" s="7">
        <v>45560</v>
      </c>
      <c r="M2" s="1" t="s">
        <v>7449</v>
      </c>
    </row>
    <row r="3" spans="1:13" x14ac:dyDescent="0.25">
      <c r="A3" s="1">
        <v>2</v>
      </c>
      <c r="B3" s="1" t="str">
        <f>_xlfn.CONCAT(D3,"-",VLOOKUP(D3,t_objeto!B:D,3,FALSE),"-",A3)</f>
        <v>PROC-PERCCO-2</v>
      </c>
      <c r="C3" s="1" t="s">
        <v>7442</v>
      </c>
      <c r="D3" s="1" t="s">
        <v>7350</v>
      </c>
      <c r="E3" s="1" t="str">
        <f>VLOOKUP(D3,t_objeto!B:C,2,FALSE)</f>
        <v>PROCESO</v>
      </c>
      <c r="F3" s="1" t="s">
        <v>7228</v>
      </c>
      <c r="G3" s="1" t="str">
        <f>VLOOKUP(F3,t_area!B:C,2,FALSE)</f>
        <v>Produccion_Metalicos</v>
      </c>
      <c r="H3" s="1">
        <v>8</v>
      </c>
      <c r="I3" s="1" t="str">
        <f>VLOOKUP(H3,t_entry_status!A:B,2,FALSE)</f>
        <v>PENDING</v>
      </c>
      <c r="J3" s="7">
        <v>45560</v>
      </c>
      <c r="K3" s="1" t="s">
        <v>7449</v>
      </c>
      <c r="L3" s="7">
        <v>45560</v>
      </c>
      <c r="M3" s="1" t="s">
        <v>7449</v>
      </c>
    </row>
    <row r="4" spans="1:13" x14ac:dyDescent="0.25">
      <c r="A4" s="1">
        <v>3</v>
      </c>
      <c r="B4" s="1" t="str">
        <f>_xlfn.CONCAT(D4,"-",VLOOKUP(D4,t_objeto!B:D,3,FALSE),"-",A4)</f>
        <v>PROC-PERCCO-3</v>
      </c>
      <c r="C4" s="1" t="s">
        <v>7262</v>
      </c>
      <c r="D4" s="1" t="s">
        <v>7350</v>
      </c>
      <c r="E4" s="1" t="str">
        <f>VLOOKUP(D4,t_objeto!B:C,2,FALSE)</f>
        <v>PROCESO</v>
      </c>
      <c r="F4" s="1" t="s">
        <v>7228</v>
      </c>
      <c r="G4" s="1" t="str">
        <f>VLOOKUP(F4,t_area!B:C,2,FALSE)</f>
        <v>Produccion_Metalicos</v>
      </c>
      <c r="H4" s="1">
        <v>8</v>
      </c>
      <c r="I4" s="1" t="str">
        <f>VLOOKUP(H4,t_entry_status!A:B,2,FALSE)</f>
        <v>PENDING</v>
      </c>
      <c r="J4" s="7">
        <v>45560</v>
      </c>
      <c r="K4" s="1" t="s">
        <v>7449</v>
      </c>
      <c r="L4" s="7">
        <v>45560</v>
      </c>
      <c r="M4" s="1" t="s">
        <v>7449</v>
      </c>
    </row>
    <row r="5" spans="1:13" x14ac:dyDescent="0.25">
      <c r="A5" s="1">
        <v>4</v>
      </c>
      <c r="B5" s="1" t="str">
        <f>_xlfn.CONCAT(D5,"-",VLOOKUP(D5,t_objeto!B:D,3,FALSE),"-",A5)</f>
        <v>PROC-PERCCO-4</v>
      </c>
      <c r="C5" s="1" t="s">
        <v>7263</v>
      </c>
      <c r="D5" s="1" t="s">
        <v>7350</v>
      </c>
      <c r="E5" s="1" t="str">
        <f>VLOOKUP(D5,t_objeto!B:C,2,FALSE)</f>
        <v>PROCESO</v>
      </c>
      <c r="F5" s="1" t="s">
        <v>7228</v>
      </c>
      <c r="G5" s="1" t="str">
        <f>VLOOKUP(F5,t_area!B:C,2,FALSE)</f>
        <v>Produccion_Metalicos</v>
      </c>
      <c r="H5" s="1">
        <v>8</v>
      </c>
      <c r="I5" s="1" t="str">
        <f>VLOOKUP(H5,t_entry_status!A:B,2,FALSE)</f>
        <v>PENDING</v>
      </c>
      <c r="J5" s="7">
        <v>45560</v>
      </c>
      <c r="K5" s="1" t="s">
        <v>7449</v>
      </c>
      <c r="L5" s="7">
        <v>45560</v>
      </c>
      <c r="M5" s="1" t="s">
        <v>7449</v>
      </c>
    </row>
    <row r="6" spans="1:13" x14ac:dyDescent="0.25">
      <c r="A6" s="1">
        <v>5</v>
      </c>
      <c r="B6" s="1" t="str">
        <f>_xlfn.CONCAT(D6,"-",VLOOKUP(D6,t_objeto!B:D,3,FALSE),"-",A6)</f>
        <v>PROC-PERCCO-5</v>
      </c>
      <c r="C6" s="1" t="s">
        <v>7264</v>
      </c>
      <c r="D6" s="1" t="s">
        <v>7350</v>
      </c>
      <c r="E6" s="1" t="str">
        <f>VLOOKUP(D6,t_objeto!B:C,2,FALSE)</f>
        <v>PROCESO</v>
      </c>
      <c r="F6" s="1" t="s">
        <v>7228</v>
      </c>
      <c r="G6" s="1" t="str">
        <f>VLOOKUP(F6,t_area!B:C,2,FALSE)</f>
        <v>Produccion_Metalicos</v>
      </c>
      <c r="H6" s="1">
        <v>8</v>
      </c>
      <c r="I6" s="1" t="str">
        <f>VLOOKUP(H6,t_entry_status!A:B,2,FALSE)</f>
        <v>PENDING</v>
      </c>
      <c r="J6" s="7">
        <v>45560</v>
      </c>
      <c r="K6" s="1" t="s">
        <v>7449</v>
      </c>
      <c r="L6" s="7">
        <v>45560</v>
      </c>
      <c r="M6" s="1" t="s">
        <v>7449</v>
      </c>
    </row>
    <row r="7" spans="1:13" x14ac:dyDescent="0.25">
      <c r="A7" s="1">
        <v>6</v>
      </c>
      <c r="B7" s="1" t="str">
        <f>_xlfn.CONCAT(D7,"-",VLOOKUP(D7,t_objeto!B:D,3,FALSE),"-",A7)</f>
        <v>PROC-PERCCO-6</v>
      </c>
      <c r="C7" s="1" t="s">
        <v>7275</v>
      </c>
      <c r="D7" s="1" t="s">
        <v>7350</v>
      </c>
      <c r="E7" s="1" t="str">
        <f>VLOOKUP(D7,t_objeto!B:C,2,FALSE)</f>
        <v>PROCESO</v>
      </c>
      <c r="F7" s="1" t="s">
        <v>7228</v>
      </c>
      <c r="G7" s="1" t="str">
        <f>VLOOKUP(F7,t_area!B:C,2,FALSE)</f>
        <v>Produccion_Metalicos</v>
      </c>
      <c r="H7" s="1">
        <v>8</v>
      </c>
      <c r="I7" s="1" t="str">
        <f>VLOOKUP(H7,t_entry_status!A:B,2,FALSE)</f>
        <v>PENDING</v>
      </c>
      <c r="J7" s="7">
        <v>45560</v>
      </c>
      <c r="K7" s="1" t="s">
        <v>7449</v>
      </c>
      <c r="L7" s="7">
        <v>45560</v>
      </c>
      <c r="M7" s="1" t="s">
        <v>7449</v>
      </c>
    </row>
    <row r="8" spans="1:13" x14ac:dyDescent="0.25">
      <c r="A8" s="1">
        <v>7</v>
      </c>
      <c r="B8" s="1" t="str">
        <f>_xlfn.CONCAT(D8,"-",VLOOKUP(D8,t_objeto!B:D,3,FALSE),"-",A8)</f>
        <v>PROC-PERCCO-7</v>
      </c>
      <c r="C8" s="1" t="s">
        <v>7276</v>
      </c>
      <c r="D8" s="1" t="s">
        <v>7350</v>
      </c>
      <c r="E8" s="1" t="str">
        <f>VLOOKUP(D8,t_objeto!B:C,2,FALSE)</f>
        <v>PROCESO</v>
      </c>
      <c r="F8" s="1" t="s">
        <v>7228</v>
      </c>
      <c r="G8" s="1" t="str">
        <f>VLOOKUP(F8,t_area!B:C,2,FALSE)</f>
        <v>Produccion_Metalicos</v>
      </c>
      <c r="H8" s="1">
        <v>8</v>
      </c>
      <c r="I8" s="1" t="str">
        <f>VLOOKUP(H8,t_entry_status!A:B,2,FALSE)</f>
        <v>PENDING</v>
      </c>
      <c r="J8" s="7">
        <v>45560</v>
      </c>
      <c r="K8" s="1" t="s">
        <v>7449</v>
      </c>
      <c r="L8" s="7">
        <v>45560</v>
      </c>
      <c r="M8" s="1" t="s">
        <v>7449</v>
      </c>
    </row>
    <row r="9" spans="1:13" x14ac:dyDescent="0.25">
      <c r="A9" s="1">
        <v>8</v>
      </c>
      <c r="B9" s="1" t="str">
        <f>_xlfn.CONCAT(D9,"-",VLOOKUP(D9,t_objeto!B:D,3,FALSE),"-",A9)</f>
        <v>PROC-PERCCO-8</v>
      </c>
      <c r="C9" s="1" t="s">
        <v>7283</v>
      </c>
      <c r="D9" s="1" t="s">
        <v>7350</v>
      </c>
      <c r="E9" s="1" t="str">
        <f>VLOOKUP(D9,t_objeto!B:C,2,FALSE)</f>
        <v>PROCESO</v>
      </c>
      <c r="F9" s="1" t="s">
        <v>7228</v>
      </c>
      <c r="G9" s="1" t="str">
        <f>VLOOKUP(F9,t_area!B:C,2,FALSE)</f>
        <v>Produccion_Metalicos</v>
      </c>
      <c r="H9" s="1">
        <v>8</v>
      </c>
      <c r="I9" s="1" t="str">
        <f>VLOOKUP(H9,t_entry_status!A:B,2,FALSE)</f>
        <v>PENDING</v>
      </c>
      <c r="J9" s="7">
        <v>45560</v>
      </c>
      <c r="K9" s="1" t="s">
        <v>7449</v>
      </c>
      <c r="L9" s="7">
        <v>45560</v>
      </c>
      <c r="M9" s="1" t="s">
        <v>7449</v>
      </c>
    </row>
    <row r="10" spans="1:13" x14ac:dyDescent="0.25">
      <c r="A10" s="1">
        <v>9</v>
      </c>
      <c r="B10" s="1" t="str">
        <f>_xlfn.CONCAT(D10,"-",VLOOKUP(D10,t_objeto!B:D,3,FALSE),"-",A10)</f>
        <v>PROC-PERCCO-9</v>
      </c>
      <c r="C10" s="1" t="s">
        <v>7342</v>
      </c>
      <c r="D10" s="1" t="s">
        <v>7350</v>
      </c>
      <c r="E10" s="1" t="str">
        <f>VLOOKUP(D10,t_objeto!B:C,2,FALSE)</f>
        <v>PROCESO</v>
      </c>
      <c r="F10" s="1" t="s">
        <v>7228</v>
      </c>
      <c r="G10" s="1" t="str">
        <f>VLOOKUP(F10,t_area!B:C,2,FALSE)</f>
        <v>Produccion_Metalicos</v>
      </c>
      <c r="H10" s="1">
        <v>8</v>
      </c>
      <c r="I10" s="1" t="str">
        <f>VLOOKUP(H10,t_entry_status!A:B,2,FALSE)</f>
        <v>PENDING</v>
      </c>
      <c r="J10" s="7">
        <v>45560</v>
      </c>
      <c r="K10" s="1" t="s">
        <v>7449</v>
      </c>
      <c r="L10" s="7">
        <v>45560</v>
      </c>
      <c r="M10" s="1" t="s">
        <v>7449</v>
      </c>
    </row>
    <row r="11" spans="1:13" x14ac:dyDescent="0.25">
      <c r="A11" s="1">
        <v>10</v>
      </c>
      <c r="B11" s="1" t="str">
        <f>_xlfn.CONCAT(D11,"-",VLOOKUP(D11,t_objeto!B:D,3,FALSE),"-",A11)</f>
        <v>PROC-PERCCO-10</v>
      </c>
      <c r="C11" s="1" t="s">
        <v>7277</v>
      </c>
      <c r="D11" s="1" t="s">
        <v>7350</v>
      </c>
      <c r="E11" s="1" t="str">
        <f>VLOOKUP(D11,t_objeto!B:C,2,FALSE)</f>
        <v>PROCESO</v>
      </c>
      <c r="F11" s="1" t="s">
        <v>7229</v>
      </c>
      <c r="G11" s="1" t="str">
        <f>VLOOKUP(F11,t_area!B:C,2,FALSE)</f>
        <v>Produccion_Parrillas</v>
      </c>
      <c r="H11" s="1">
        <v>8</v>
      </c>
      <c r="I11" s="1" t="str">
        <f>VLOOKUP(H11,t_entry_status!A:B,2,FALSE)</f>
        <v>PENDING</v>
      </c>
      <c r="J11" s="7">
        <v>45560</v>
      </c>
      <c r="K11" s="1" t="s">
        <v>7449</v>
      </c>
      <c r="L11" s="7">
        <v>45560</v>
      </c>
      <c r="M11" s="1" t="s">
        <v>7449</v>
      </c>
    </row>
    <row r="12" spans="1:13" x14ac:dyDescent="0.25">
      <c r="A12" s="1">
        <v>11</v>
      </c>
      <c r="B12" s="1" t="str">
        <f>_xlfn.CONCAT(D12,"-",VLOOKUP(D12,t_objeto!B:D,3,FALSE),"-",A12)</f>
        <v>PROC-PERCCO-11</v>
      </c>
      <c r="C12" s="1" t="s">
        <v>7345</v>
      </c>
      <c r="D12" s="1" t="s">
        <v>7350</v>
      </c>
      <c r="E12" s="1" t="str">
        <f>VLOOKUP(D12,t_objeto!B:C,2,FALSE)</f>
        <v>PROCESO</v>
      </c>
      <c r="F12" s="1" t="s">
        <v>7229</v>
      </c>
      <c r="G12" s="1" t="str">
        <f>VLOOKUP(F12,t_area!B:C,2,FALSE)</f>
        <v>Produccion_Parrillas</v>
      </c>
      <c r="H12" s="1">
        <v>8</v>
      </c>
      <c r="I12" s="1" t="str">
        <f>VLOOKUP(H12,t_entry_status!A:B,2,FALSE)</f>
        <v>PENDING</v>
      </c>
      <c r="J12" s="7">
        <v>45560</v>
      </c>
      <c r="K12" s="1" t="s">
        <v>7449</v>
      </c>
      <c r="L12" s="7">
        <v>45560</v>
      </c>
      <c r="M12" s="1" t="s">
        <v>7449</v>
      </c>
    </row>
    <row r="13" spans="1:13" x14ac:dyDescent="0.25">
      <c r="A13" s="1">
        <v>12</v>
      </c>
      <c r="B13" s="1" t="str">
        <f>_xlfn.CONCAT(D13,"-",VLOOKUP(D13,t_objeto!B:D,3,FALSE),"-",A13)</f>
        <v>PROC-PERCCO-12</v>
      </c>
      <c r="C13" s="1" t="s">
        <v>7265</v>
      </c>
      <c r="D13" s="1" t="s">
        <v>7350</v>
      </c>
      <c r="E13" s="1" t="str">
        <f>VLOOKUP(D13,t_objeto!B:C,2,FALSE)</f>
        <v>PROCESO</v>
      </c>
      <c r="F13" s="1" t="s">
        <v>7229</v>
      </c>
      <c r="G13" s="1" t="str">
        <f>VLOOKUP(F13,t_area!B:C,2,FALSE)</f>
        <v>Produccion_Parrillas</v>
      </c>
      <c r="H13" s="1">
        <v>8</v>
      </c>
      <c r="I13" s="1" t="str">
        <f>VLOOKUP(H13,t_entry_status!A:B,2,FALSE)</f>
        <v>PENDING</v>
      </c>
      <c r="J13" s="7">
        <v>45560</v>
      </c>
      <c r="K13" s="1" t="s">
        <v>7449</v>
      </c>
      <c r="L13" s="7">
        <v>45560</v>
      </c>
      <c r="M13" s="1" t="s">
        <v>7449</v>
      </c>
    </row>
    <row r="14" spans="1:13" x14ac:dyDescent="0.25">
      <c r="A14" s="1">
        <v>13</v>
      </c>
      <c r="B14" s="1" t="str">
        <f>_xlfn.CONCAT(D14,"-",VLOOKUP(D14,t_objeto!B:D,3,FALSE),"-",A14)</f>
        <v>PROC-PERCCO-13</v>
      </c>
      <c r="C14" s="1" t="s">
        <v>7266</v>
      </c>
      <c r="D14" s="1" t="s">
        <v>7350</v>
      </c>
      <c r="E14" s="1" t="str">
        <f>VLOOKUP(D14,t_objeto!B:C,2,FALSE)</f>
        <v>PROCESO</v>
      </c>
      <c r="F14" s="1" t="s">
        <v>7229</v>
      </c>
      <c r="G14" s="1" t="str">
        <f>VLOOKUP(F14,t_area!B:C,2,FALSE)</f>
        <v>Produccion_Parrillas</v>
      </c>
      <c r="H14" s="1">
        <v>8</v>
      </c>
      <c r="I14" s="1" t="str">
        <f>VLOOKUP(H14,t_entry_status!A:B,2,FALSE)</f>
        <v>PENDING</v>
      </c>
      <c r="J14" s="7">
        <v>45560</v>
      </c>
      <c r="K14" s="1" t="s">
        <v>7449</v>
      </c>
      <c r="L14" s="7">
        <v>45560</v>
      </c>
      <c r="M14" s="1" t="s">
        <v>7449</v>
      </c>
    </row>
    <row r="15" spans="1:13" x14ac:dyDescent="0.25">
      <c r="A15" s="1">
        <v>14</v>
      </c>
      <c r="B15" s="1" t="str">
        <f>_xlfn.CONCAT(D15,"-",VLOOKUP(D15,t_objeto!B:D,3,FALSE),"-",A15)</f>
        <v>PROC-PERCCO-14</v>
      </c>
      <c r="C15" s="1" t="s">
        <v>7281</v>
      </c>
      <c r="D15" s="1" t="s">
        <v>7350</v>
      </c>
      <c r="E15" s="1" t="str">
        <f>VLOOKUP(D15,t_objeto!B:C,2,FALSE)</f>
        <v>PROCESO</v>
      </c>
      <c r="F15" s="1" t="s">
        <v>7229</v>
      </c>
      <c r="G15" s="1" t="str">
        <f>VLOOKUP(F15,t_area!B:C,2,FALSE)</f>
        <v>Produccion_Parrillas</v>
      </c>
      <c r="H15" s="1">
        <v>8</v>
      </c>
      <c r="I15" s="1" t="str">
        <f>VLOOKUP(H15,t_entry_status!A:B,2,FALSE)</f>
        <v>PENDING</v>
      </c>
      <c r="J15" s="7">
        <v>45560</v>
      </c>
      <c r="K15" s="1" t="s">
        <v>7449</v>
      </c>
      <c r="L15" s="7">
        <v>45560</v>
      </c>
      <c r="M15" s="1" t="s">
        <v>7449</v>
      </c>
    </row>
    <row r="16" spans="1:13" x14ac:dyDescent="0.25">
      <c r="A16" s="1">
        <v>15</v>
      </c>
      <c r="B16" s="1" t="str">
        <f>_xlfn.CONCAT(D16,"-",VLOOKUP(D16,t_objeto!B:D,3,FALSE),"-",A16)</f>
        <v>PROC-PERCCO-15</v>
      </c>
      <c r="C16" s="1" t="s">
        <v>7284</v>
      </c>
      <c r="D16" s="1" t="s">
        <v>7350</v>
      </c>
      <c r="E16" s="1" t="str">
        <f>VLOOKUP(D16,t_objeto!B:C,2,FALSE)</f>
        <v>PROCESO</v>
      </c>
      <c r="F16" s="1" t="s">
        <v>7229</v>
      </c>
      <c r="G16" s="1" t="str">
        <f>VLOOKUP(F16,t_area!B:C,2,FALSE)</f>
        <v>Produccion_Parrillas</v>
      </c>
      <c r="H16" s="1">
        <v>8</v>
      </c>
      <c r="I16" s="1" t="str">
        <f>VLOOKUP(H16,t_entry_status!A:B,2,FALSE)</f>
        <v>PENDING</v>
      </c>
      <c r="J16" s="7">
        <v>45560</v>
      </c>
      <c r="K16" s="1" t="s">
        <v>7449</v>
      </c>
      <c r="L16" s="7">
        <v>45560</v>
      </c>
      <c r="M16" s="1" t="s">
        <v>7449</v>
      </c>
    </row>
    <row r="17" spans="1:13" x14ac:dyDescent="0.25">
      <c r="A17" s="1">
        <v>16</v>
      </c>
      <c r="B17" s="1" t="str">
        <f>_xlfn.CONCAT(D17,"-",VLOOKUP(D17,t_objeto!B:D,3,FALSE),"-",A17)</f>
        <v>PROC-PERCCO-16</v>
      </c>
      <c r="C17" s="1" t="s">
        <v>7343</v>
      </c>
      <c r="D17" s="1" t="s">
        <v>7350</v>
      </c>
      <c r="E17" s="1" t="str">
        <f>VLOOKUP(D17,t_objeto!B:C,2,FALSE)</f>
        <v>PROCESO</v>
      </c>
      <c r="F17" s="1" t="s">
        <v>7229</v>
      </c>
      <c r="G17" s="1" t="str">
        <f>VLOOKUP(F17,t_area!B:C,2,FALSE)</f>
        <v>Produccion_Parrillas</v>
      </c>
      <c r="H17" s="1">
        <v>8</v>
      </c>
      <c r="I17" s="1" t="str">
        <f>VLOOKUP(H17,t_entry_status!A:B,2,FALSE)</f>
        <v>PENDING</v>
      </c>
      <c r="J17" s="7">
        <v>45560</v>
      </c>
      <c r="K17" s="1" t="s">
        <v>7449</v>
      </c>
      <c r="L17" s="7">
        <v>45560</v>
      </c>
      <c r="M17" s="1" t="s">
        <v>7449</v>
      </c>
    </row>
    <row r="18" spans="1:13" x14ac:dyDescent="0.25">
      <c r="A18" s="1">
        <v>17</v>
      </c>
      <c r="B18" s="1" t="str">
        <f>_xlfn.CONCAT(D18,"-",VLOOKUP(D18,t_objeto!B:D,3,FALSE),"-",A18)</f>
        <v>PROC-PERCCO-17</v>
      </c>
      <c r="C18" s="1" t="s">
        <v>7278</v>
      </c>
      <c r="D18" s="1" t="s">
        <v>7350</v>
      </c>
      <c r="E18" s="1" t="str">
        <f>VLOOKUP(D18,t_objeto!B:C,2,FALSE)</f>
        <v>PROCESO</v>
      </c>
      <c r="F18" s="1" t="s">
        <v>7231</v>
      </c>
      <c r="G18" s="1" t="str">
        <f>VLOOKUP(F18,t_area!B:C,2,FALSE)</f>
        <v>Produccion_Maquinado</v>
      </c>
      <c r="H18" s="1">
        <v>8</v>
      </c>
      <c r="I18" s="1" t="str">
        <f>VLOOKUP(H18,t_entry_status!A:B,2,FALSE)</f>
        <v>PENDING</v>
      </c>
      <c r="J18" s="7">
        <v>45560</v>
      </c>
      <c r="K18" s="1" t="s">
        <v>7449</v>
      </c>
      <c r="L18" s="7">
        <v>45560</v>
      </c>
      <c r="M18" s="1" t="s">
        <v>7449</v>
      </c>
    </row>
    <row r="19" spans="1:13" x14ac:dyDescent="0.25">
      <c r="A19" s="1">
        <v>18</v>
      </c>
      <c r="B19" s="1" t="str">
        <f>_xlfn.CONCAT(D19,"-",VLOOKUP(D19,t_objeto!B:D,3,FALSE),"-",A19)</f>
        <v>PROC-PERCCO-18</v>
      </c>
      <c r="C19" s="1" t="s">
        <v>7279</v>
      </c>
      <c r="D19" s="1" t="s">
        <v>7350</v>
      </c>
      <c r="E19" s="1" t="str">
        <f>VLOOKUP(D19,t_objeto!B:C,2,FALSE)</f>
        <v>PROCESO</v>
      </c>
      <c r="F19" s="1" t="s">
        <v>7232</v>
      </c>
      <c r="G19" s="1" t="str">
        <f>VLOOKUP(F19,t_area!B:C,2,FALSE)</f>
        <v>Produccion_Galvanizado</v>
      </c>
      <c r="H19" s="1">
        <v>8</v>
      </c>
      <c r="I19" s="1" t="str">
        <f>VLOOKUP(H19,t_entry_status!A:B,2,FALSE)</f>
        <v>PENDING</v>
      </c>
      <c r="J19" s="7">
        <v>45560</v>
      </c>
      <c r="K19" s="1" t="s">
        <v>7449</v>
      </c>
      <c r="L19" s="7">
        <v>45560</v>
      </c>
      <c r="M19" s="1" t="s">
        <v>7449</v>
      </c>
    </row>
    <row r="20" spans="1:13" x14ac:dyDescent="0.25">
      <c r="A20" s="1">
        <v>19</v>
      </c>
      <c r="B20" s="1" t="str">
        <f>_xlfn.CONCAT(D20,"-",VLOOKUP(D20,t_objeto!B:D,3,FALSE),"-",A20)</f>
        <v>PROC-PERCCO-19</v>
      </c>
      <c r="C20" s="1" t="s">
        <v>7444</v>
      </c>
      <c r="D20" s="1" t="s">
        <v>7350</v>
      </c>
      <c r="E20" s="1" t="str">
        <f>VLOOKUP(D20,t_objeto!B:C,2,FALSE)</f>
        <v>PROCESO</v>
      </c>
      <c r="F20" s="1" t="s">
        <v>7230</v>
      </c>
      <c r="G20" s="1" t="str">
        <f>VLOOKUP(F20,t_area!B:C,2,FALSE)</f>
        <v>Produccion_Pintura</v>
      </c>
      <c r="H20" s="1">
        <v>8</v>
      </c>
      <c r="I20" s="1" t="str">
        <f>VLOOKUP(H20,t_entry_status!A:B,2,FALSE)</f>
        <v>PENDING</v>
      </c>
      <c r="J20" s="7">
        <v>45560</v>
      </c>
      <c r="K20" s="1" t="s">
        <v>7449</v>
      </c>
      <c r="L20" s="7">
        <v>45560</v>
      </c>
      <c r="M20" s="1" t="s">
        <v>7449</v>
      </c>
    </row>
    <row r="21" spans="1:13" x14ac:dyDescent="0.25">
      <c r="A21" s="1">
        <v>20</v>
      </c>
      <c r="B21" s="1" t="str">
        <f>_xlfn.CONCAT(D21,"-",VLOOKUP(D21,t_objeto!B:D,3,FALSE),"-",A21)</f>
        <v>PROC-PERCCO-20</v>
      </c>
      <c r="C21" s="1" t="s">
        <v>7280</v>
      </c>
      <c r="D21" s="1" t="s">
        <v>7350</v>
      </c>
      <c r="E21" s="1" t="str">
        <f>VLOOKUP(D21,t_objeto!B:C,2,FALSE)</f>
        <v>PROCESO</v>
      </c>
      <c r="F21" s="1" t="s">
        <v>7236</v>
      </c>
      <c r="G21" s="1" t="str">
        <f>VLOOKUP(F21,t_area!B:C,2,FALSE)</f>
        <v>Produccion_Instalacion</v>
      </c>
      <c r="H21" s="1">
        <v>8</v>
      </c>
      <c r="I21" s="1" t="str">
        <f>VLOOKUP(H21,t_entry_status!A:B,2,FALSE)</f>
        <v>PENDING</v>
      </c>
      <c r="J21" s="7">
        <v>45560</v>
      </c>
      <c r="K21" s="1" t="s">
        <v>7449</v>
      </c>
      <c r="L21" s="7">
        <v>45560</v>
      </c>
      <c r="M21" s="1" t="s">
        <v>7449</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DA292031-6B3D-4C65-8C9D-0EAED44192BA}">
          <x14:formula1>
            <xm:f>t_entry_status!$A:$A</xm:f>
          </x14:formula1>
          <xm:sqref>H2:H21</xm:sqref>
        </x14:dataValidation>
        <x14:dataValidation type="list" allowBlank="1" showInputMessage="1" showErrorMessage="1" xr:uid="{B461398F-D71C-4D5D-AF96-72629F5947D5}">
          <x14:formula1>
            <xm:f>t_area!$B:$B</xm:f>
          </x14:formula1>
          <xm:sqref>F2:F21</xm:sqref>
        </x14:dataValidation>
        <x14:dataValidation type="list" allowBlank="1" showInputMessage="1" showErrorMessage="1" xr:uid="{0DAE65CC-5DCD-4D74-AF36-D9382D8D8EA4}">
          <x14:formula1>
            <xm:f>t_objeto!$B:$B</xm:f>
          </x14:formula1>
          <xm:sqref>D2:D21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B2E9A-190C-47AC-A933-BA3756E89A6E}">
  <dimension ref="A1:O27"/>
  <sheetViews>
    <sheetView workbookViewId="0">
      <selection activeCell="G35" sqref="G35"/>
    </sheetView>
  </sheetViews>
  <sheetFormatPr baseColWidth="10" defaultColWidth="8.85546875" defaultRowHeight="15" x14ac:dyDescent="0.25"/>
  <cols>
    <col min="1" max="1" width="8.85546875" style="1"/>
    <col min="2" max="2" width="20.28515625" style="1" customWidth="1"/>
    <col min="3" max="3" width="23.7109375" style="1" bestFit="1" customWidth="1"/>
    <col min="4" max="4" width="8.28515625" style="1" bestFit="1" customWidth="1"/>
    <col min="5" max="5" width="19.42578125" style="1" bestFit="1" customWidth="1"/>
    <col min="6" max="6" width="15.5703125" style="1" customWidth="1"/>
    <col min="7" max="7" width="23.7109375" style="1" customWidth="1"/>
    <col min="8" max="8" width="11.5703125" style="1" customWidth="1"/>
    <col min="9" max="9" width="21.5703125" style="1" customWidth="1"/>
    <col min="10" max="10" width="13.140625" style="1" bestFit="1" customWidth="1"/>
    <col min="11" max="11" width="22.28515625" style="1" bestFit="1" customWidth="1"/>
    <col min="12" max="12" width="15.5703125" style="1" bestFit="1" customWidth="1"/>
    <col min="13" max="13" width="14" style="1" bestFit="1" customWidth="1"/>
    <col min="14" max="14" width="15.5703125" style="1" bestFit="1" customWidth="1"/>
    <col min="15" max="15" width="14" style="1" bestFit="1" customWidth="1"/>
    <col min="16" max="16384" width="8.85546875" style="1"/>
  </cols>
  <sheetData>
    <row r="1" spans="1:15" x14ac:dyDescent="0.25">
      <c r="A1" s="5" t="s">
        <v>7286</v>
      </c>
      <c r="B1" s="5" t="s">
        <v>8350</v>
      </c>
      <c r="C1" s="5" t="s">
        <v>7287</v>
      </c>
      <c r="D1" s="5" t="s">
        <v>7333</v>
      </c>
      <c r="E1" s="5" t="s">
        <v>7287</v>
      </c>
      <c r="F1" s="5" t="s">
        <v>7260</v>
      </c>
      <c r="G1" s="5" t="s">
        <v>7267</v>
      </c>
      <c r="H1" s="5" t="s">
        <v>7219</v>
      </c>
      <c r="I1" s="5" t="s">
        <v>7239</v>
      </c>
      <c r="J1" s="5" t="s">
        <v>24</v>
      </c>
      <c r="K1" s="5" t="s">
        <v>43</v>
      </c>
      <c r="L1" s="5" t="s">
        <v>44</v>
      </c>
      <c r="M1" s="5" t="s">
        <v>45</v>
      </c>
      <c r="N1" s="5" t="s">
        <v>46</v>
      </c>
      <c r="O1" s="5" t="s">
        <v>47</v>
      </c>
    </row>
    <row r="2" spans="1:15" x14ac:dyDescent="0.25">
      <c r="A2" s="1">
        <v>1</v>
      </c>
      <c r="B2" s="1" t="str">
        <f>_xlfn.CONCAT(D2,"-",VLOOKUP(D2,t_objeto!B:D,3,FALSE),"-",A2)</f>
        <v>EQUI-PERCCO-1</v>
      </c>
      <c r="C2" s="1" t="s">
        <v>7240</v>
      </c>
      <c r="D2" s="1" t="s">
        <v>7351</v>
      </c>
      <c r="E2" s="1" t="str">
        <f>VLOOKUP(D2,t_objeto!B:C,2,FALSE)</f>
        <v>EQUIPO</v>
      </c>
      <c r="F2" s="1" t="s">
        <v>7437</v>
      </c>
      <c r="G2" s="1" t="str">
        <f>VLOOKUP(F2,t_proceso!B:C,2,FALSE)</f>
        <v>CORTE LASER</v>
      </c>
      <c r="H2" s="1">
        <v>9</v>
      </c>
      <c r="I2" s="1" t="str">
        <f>VLOOKUP(H2,t_area!A:C,3,FALSE)</f>
        <v>Produccion_Metalicos</v>
      </c>
      <c r="J2" s="1">
        <v>8</v>
      </c>
      <c r="K2" s="1" t="str">
        <f>VLOOKUP(J2,t_entry_status!A:B,2,FALSE)</f>
        <v>PENDING</v>
      </c>
      <c r="L2" s="7">
        <v>45560</v>
      </c>
      <c r="M2" s="1" t="s">
        <v>7449</v>
      </c>
      <c r="N2" s="7">
        <v>45560</v>
      </c>
      <c r="O2" s="1" t="s">
        <v>7449</v>
      </c>
    </row>
    <row r="3" spans="1:15" x14ac:dyDescent="0.25">
      <c r="A3" s="1">
        <v>2</v>
      </c>
      <c r="B3" s="1" t="str">
        <f>_xlfn.CONCAT(D3,"-",VLOOKUP(D3,t_objeto!B:D,3,FALSE),"-",A3)</f>
        <v>EQUI-PERCCO-2</v>
      </c>
      <c r="C3" s="1" t="s">
        <v>7273</v>
      </c>
      <c r="D3" s="1" t="s">
        <v>7351</v>
      </c>
      <c r="E3" s="1" t="str">
        <f>VLOOKUP(D3,t_objeto!B:C,2,FALSE)</f>
        <v>EQUIPO</v>
      </c>
      <c r="F3" s="1" t="s">
        <v>7438</v>
      </c>
      <c r="G3" s="1" t="str">
        <f>VLOOKUP(F3,t_proceso!B:C,2,FALSE)</f>
        <v>DOBLADO</v>
      </c>
      <c r="H3" s="1">
        <v>9</v>
      </c>
      <c r="I3" s="1" t="str">
        <f>VLOOKUP(H3,t_area!A:C,3,FALSE)</f>
        <v>Produccion_Metalicos</v>
      </c>
      <c r="J3" s="1">
        <v>8</v>
      </c>
      <c r="K3" s="1" t="str">
        <f>VLOOKUP(J3,t_entry_status!A:B,2,FALSE)</f>
        <v>PENDING</v>
      </c>
      <c r="L3" s="7">
        <v>45560</v>
      </c>
      <c r="M3" s="1" t="s">
        <v>7449</v>
      </c>
      <c r="N3" s="7">
        <v>45560</v>
      </c>
      <c r="O3" s="1" t="s">
        <v>7449</v>
      </c>
    </row>
    <row r="4" spans="1:15" x14ac:dyDescent="0.25">
      <c r="A4" s="1">
        <v>3</v>
      </c>
      <c r="B4" s="1" t="str">
        <f>_xlfn.CONCAT(D4,"-",VLOOKUP(D4,t_objeto!B:D,3,FALSE),"-",A4)</f>
        <v>EQUI-PERCCO-3</v>
      </c>
      <c r="C4" s="1" t="s">
        <v>7274</v>
      </c>
      <c r="D4" s="1" t="s">
        <v>7351</v>
      </c>
      <c r="E4" s="1" t="str">
        <f>VLOOKUP(D4,t_objeto!B:C,2,FALSE)</f>
        <v>EQUIPO</v>
      </c>
      <c r="F4" s="1" t="s">
        <v>7438</v>
      </c>
      <c r="G4" s="1" t="str">
        <f>VLOOKUP(F4,t_proceso!B:C,2,FALSE)</f>
        <v>DOBLADO</v>
      </c>
      <c r="H4" s="1">
        <v>9</v>
      </c>
      <c r="I4" s="1" t="str">
        <f>VLOOKUP(H4,t_area!A:C,3,FALSE)</f>
        <v>Produccion_Metalicos</v>
      </c>
      <c r="J4" s="1">
        <v>8</v>
      </c>
      <c r="K4" s="1" t="str">
        <f>VLOOKUP(J4,t_entry_status!A:B,2,FALSE)</f>
        <v>PENDING</v>
      </c>
      <c r="L4" s="7">
        <v>45560</v>
      </c>
      <c r="M4" s="1" t="s">
        <v>7449</v>
      </c>
      <c r="N4" s="7">
        <v>45560</v>
      </c>
      <c r="O4" s="1" t="s">
        <v>7449</v>
      </c>
    </row>
    <row r="5" spans="1:15" x14ac:dyDescent="0.25">
      <c r="A5" s="1">
        <v>4</v>
      </c>
      <c r="B5" s="1" t="str">
        <f>_xlfn.CONCAT(D5,"-",VLOOKUP(D5,t_objeto!B:D,3,FALSE),"-",A5)</f>
        <v>EQUI-PERCCO-4</v>
      </c>
      <c r="C5" s="1" t="s">
        <v>7448</v>
      </c>
      <c r="D5" s="1" t="s">
        <v>7351</v>
      </c>
      <c r="E5" s="1" t="str">
        <f>VLOOKUP(D5,t_objeto!B:C,2,FALSE)</f>
        <v>EQUIPO</v>
      </c>
      <c r="F5" s="1" t="s">
        <v>7439</v>
      </c>
      <c r="G5" s="1" t="str">
        <f>VLOOKUP(F5,t_proceso!B:C,2,FALSE)</f>
        <v>CIZALLADO</v>
      </c>
      <c r="H5" s="1">
        <v>9</v>
      </c>
      <c r="I5" s="1" t="str">
        <f>VLOOKUP(H5,t_area!A:C,3,FALSE)</f>
        <v>Produccion_Metalicos</v>
      </c>
      <c r="J5" s="1">
        <v>8</v>
      </c>
      <c r="K5" s="1" t="str">
        <f>VLOOKUP(J5,t_entry_status!A:B,2,FALSE)</f>
        <v>PENDING</v>
      </c>
      <c r="L5" s="7">
        <v>45560</v>
      </c>
      <c r="M5" s="1" t="s">
        <v>7449</v>
      </c>
      <c r="N5" s="7">
        <v>45560</v>
      </c>
      <c r="O5" s="1" t="s">
        <v>7449</v>
      </c>
    </row>
    <row r="6" spans="1:15" x14ac:dyDescent="0.25">
      <c r="A6" s="1">
        <v>5</v>
      </c>
      <c r="B6" s="1" t="str">
        <f>_xlfn.CONCAT(D6,"-",VLOOKUP(D6,t_objeto!B:D,3,FALSE),"-",A6)</f>
        <v>EQUI-PERCCO-5</v>
      </c>
      <c r="C6" s="1" t="s">
        <v>7241</v>
      </c>
      <c r="D6" s="1" t="s">
        <v>7351</v>
      </c>
      <c r="E6" s="1" t="str">
        <f>VLOOKUP(D6,t_objeto!B:C,2,FALSE)</f>
        <v>EQUIPO</v>
      </c>
      <c r="F6" s="1" t="s">
        <v>7440</v>
      </c>
      <c r="G6" s="1" t="str">
        <f>VLOOKUP(F6,t_proceso!B:C,2,FALSE)</f>
        <v>PUNZONADO</v>
      </c>
      <c r="H6" s="1">
        <v>9</v>
      </c>
      <c r="I6" s="1" t="str">
        <f>VLOOKUP(H6,t_area!A:C,3,FALSE)</f>
        <v>Produccion_Metalicos</v>
      </c>
      <c r="J6" s="1">
        <v>8</v>
      </c>
      <c r="K6" s="1" t="str">
        <f>VLOOKUP(J6,t_entry_status!A:B,2,FALSE)</f>
        <v>PENDING</v>
      </c>
      <c r="L6" s="7">
        <v>45560</v>
      </c>
      <c r="M6" s="1" t="s">
        <v>7449</v>
      </c>
      <c r="N6" s="7">
        <v>45560</v>
      </c>
      <c r="O6" s="1" t="s">
        <v>7449</v>
      </c>
    </row>
    <row r="7" spans="1:15" x14ac:dyDescent="0.25">
      <c r="A7" s="1">
        <v>6</v>
      </c>
      <c r="B7" s="1" t="str">
        <f>_xlfn.CONCAT(D7,"-",VLOOKUP(D7,t_objeto!B:D,3,FALSE),"-",A7)</f>
        <v>EQUI-PERCCO-6</v>
      </c>
      <c r="C7" s="1" t="s">
        <v>7446</v>
      </c>
      <c r="D7" s="1" t="s">
        <v>7351</v>
      </c>
      <c r="E7" s="1" t="str">
        <f>VLOOKUP(D7,t_objeto!B:C,2,FALSE)</f>
        <v>EQUIPO</v>
      </c>
      <c r="F7" s="1" t="s">
        <v>7441</v>
      </c>
      <c r="G7" s="1" t="str">
        <f>VLOOKUP(F7,t_proceso!B:C,2,FALSE)</f>
        <v>TROQUELADO</v>
      </c>
      <c r="H7" s="1">
        <v>9</v>
      </c>
      <c r="I7" s="1" t="str">
        <f>VLOOKUP(H7,t_area!A:C,3,FALSE)</f>
        <v>Produccion_Metalicos</v>
      </c>
      <c r="J7" s="1">
        <v>8</v>
      </c>
      <c r="K7" s="1" t="str">
        <f>VLOOKUP(J7,t_entry_status!A:B,2,FALSE)</f>
        <v>PENDING</v>
      </c>
      <c r="L7" s="7">
        <v>45560</v>
      </c>
      <c r="M7" s="1" t="s">
        <v>7449</v>
      </c>
      <c r="N7" s="7">
        <v>45560</v>
      </c>
      <c r="O7" s="1" t="s">
        <v>7449</v>
      </c>
    </row>
    <row r="8" spans="1:15" x14ac:dyDescent="0.25">
      <c r="A8" s="1">
        <v>7</v>
      </c>
      <c r="B8" s="1" t="str">
        <f>_xlfn.CONCAT(D8,"-",VLOOKUP(D8,t_objeto!B:D,3,FALSE),"-",A8)</f>
        <v>EQUI-PERCCO-7</v>
      </c>
      <c r="C8" s="1" t="s">
        <v>7447</v>
      </c>
      <c r="D8" s="1" t="s">
        <v>7351</v>
      </c>
      <c r="E8" s="1" t="str">
        <f>VLOOKUP(D8,t_objeto!B:C,2,FALSE)</f>
        <v>EQUIPO</v>
      </c>
      <c r="F8" s="1" t="s">
        <v>7441</v>
      </c>
      <c r="G8" s="1" t="str">
        <f>VLOOKUP(F8,t_proceso!B:C,2,FALSE)</f>
        <v>TROQUELADO</v>
      </c>
      <c r="H8" s="1">
        <v>9</v>
      </c>
      <c r="I8" s="1" t="str">
        <f>VLOOKUP(H8,t_area!A:C,3,FALSE)</f>
        <v>Produccion_Metalicos</v>
      </c>
      <c r="J8" s="1">
        <v>8</v>
      </c>
      <c r="K8" s="1" t="str">
        <f>VLOOKUP(J8,t_entry_status!A:B,2,FALSE)</f>
        <v>PENDING</v>
      </c>
      <c r="L8" s="7">
        <v>45560</v>
      </c>
      <c r="M8" s="1" t="s">
        <v>7449</v>
      </c>
      <c r="N8" s="7">
        <v>45560</v>
      </c>
      <c r="O8" s="1" t="s">
        <v>7449</v>
      </c>
    </row>
    <row r="9" spans="1:15" x14ac:dyDescent="0.25">
      <c r="A9" s="1">
        <v>8</v>
      </c>
      <c r="B9" s="1" t="str">
        <f>_xlfn.CONCAT(D9,"-",VLOOKUP(D9,t_objeto!B:D,3,FALSE),"-",A9)</f>
        <v>EQUI-PERCCO-8</v>
      </c>
      <c r="C9" s="1" t="s">
        <v>7242</v>
      </c>
      <c r="D9" s="1" t="s">
        <v>7351</v>
      </c>
      <c r="E9" s="1" t="str">
        <f>VLOOKUP(D9,t_objeto!B:C,2,FALSE)</f>
        <v>EQUIPO</v>
      </c>
      <c r="F9" s="1" t="s">
        <v>7441</v>
      </c>
      <c r="G9" s="1" t="str">
        <f>VLOOKUP(F9,t_proceso!B:C,2,FALSE)</f>
        <v>TROQUELADO</v>
      </c>
      <c r="H9" s="1">
        <v>9</v>
      </c>
      <c r="I9" s="1" t="str">
        <f>VLOOKUP(H9,t_area!A:C,3,FALSE)</f>
        <v>Produccion_Metalicos</v>
      </c>
      <c r="J9" s="1">
        <v>8</v>
      </c>
      <c r="K9" s="1" t="str">
        <f>VLOOKUP(J9,t_entry_status!A:B,2,FALSE)</f>
        <v>PENDING</v>
      </c>
      <c r="L9" s="7">
        <v>45560</v>
      </c>
      <c r="M9" s="1" t="s">
        <v>7449</v>
      </c>
      <c r="N9" s="7">
        <v>45560</v>
      </c>
      <c r="O9" s="1" t="s">
        <v>7449</v>
      </c>
    </row>
    <row r="10" spans="1:15" x14ac:dyDescent="0.25">
      <c r="A10" s="1">
        <v>9</v>
      </c>
      <c r="B10" s="1" t="str">
        <f>_xlfn.CONCAT(D10,"-",VLOOKUP(D10,t_objeto!B:D,3,FALSE),"-",A10)</f>
        <v>EQUI-PERCCO-9</v>
      </c>
      <c r="C10" s="1" t="s">
        <v>7258</v>
      </c>
      <c r="D10" s="1" t="s">
        <v>7351</v>
      </c>
      <c r="E10" s="1" t="str">
        <f>VLOOKUP(D10,t_objeto!B:C,2,FALSE)</f>
        <v>EQUIPO</v>
      </c>
      <c r="F10" s="1" t="s">
        <v>7443</v>
      </c>
      <c r="G10" s="1" t="str">
        <f>VLOOKUP(F10,t_proceso!B:C,2,FALSE)</f>
        <v>ROLADO</v>
      </c>
      <c r="H10" s="1">
        <v>9</v>
      </c>
      <c r="I10" s="1" t="str">
        <f>VLOOKUP(H10,t_area!A:C,3,FALSE)</f>
        <v>Produccion_Metalicos</v>
      </c>
      <c r="J10" s="1">
        <v>8</v>
      </c>
      <c r="K10" s="1" t="str">
        <f>VLOOKUP(J10,t_entry_status!A:B,2,FALSE)</f>
        <v>PENDING</v>
      </c>
      <c r="L10" s="7">
        <v>45560</v>
      </c>
      <c r="M10" s="1" t="s">
        <v>7449</v>
      </c>
      <c r="N10" s="7">
        <v>45560</v>
      </c>
      <c r="O10" s="1" t="s">
        <v>7449</v>
      </c>
    </row>
    <row r="11" spans="1:15" x14ac:dyDescent="0.25">
      <c r="A11" s="1">
        <v>10</v>
      </c>
      <c r="B11" s="1" t="str">
        <f>_xlfn.CONCAT(D11,"-",VLOOKUP(D11,t_objeto!B:D,3,FALSE),"-",A11)</f>
        <v>EQUI-PERCCO-10</v>
      </c>
      <c r="C11" s="1" t="s">
        <v>7244</v>
      </c>
      <c r="D11" s="1" t="s">
        <v>7351</v>
      </c>
      <c r="E11" s="1" t="str">
        <f>VLOOKUP(D11,t_objeto!B:C,2,FALSE)</f>
        <v>EQUIPO</v>
      </c>
      <c r="F11" s="1" t="s">
        <v>7269</v>
      </c>
      <c r="G11" s="1" t="str">
        <f>VLOOKUP(F11,t_proceso!B:C,2,FALSE)</f>
        <v>PUNTEADO</v>
      </c>
      <c r="H11" s="1">
        <v>10</v>
      </c>
      <c r="I11" s="1" t="str">
        <f>VLOOKUP(H11,t_area!A:C,3,FALSE)</f>
        <v>Produccion_Parrillas</v>
      </c>
      <c r="J11" s="1">
        <v>8</v>
      </c>
      <c r="K11" s="1" t="str">
        <f>VLOOKUP(J11,t_entry_status!A:B,2,FALSE)</f>
        <v>PENDING</v>
      </c>
      <c r="L11" s="7">
        <v>45560</v>
      </c>
      <c r="M11" s="1" t="s">
        <v>7449</v>
      </c>
      <c r="N11" s="7">
        <v>45560</v>
      </c>
      <c r="O11" s="1" t="s">
        <v>7449</v>
      </c>
    </row>
    <row r="12" spans="1:15" x14ac:dyDescent="0.25">
      <c r="A12" s="1">
        <v>11</v>
      </c>
      <c r="B12" s="1" t="str">
        <f>_xlfn.CONCAT(D12,"-",VLOOKUP(D12,t_objeto!B:D,3,FALSE),"-",A12)</f>
        <v>EQUI-PERCCO-11</v>
      </c>
      <c r="C12" s="1" t="s">
        <v>7245</v>
      </c>
      <c r="D12" s="1" t="s">
        <v>7351</v>
      </c>
      <c r="E12" s="1" t="str">
        <f>VLOOKUP(D12,t_objeto!B:C,2,FALSE)</f>
        <v>EQUIPO</v>
      </c>
      <c r="F12" s="1" t="s">
        <v>7269</v>
      </c>
      <c r="G12" s="1" t="str">
        <f>VLOOKUP(F12,t_proceso!B:C,2,FALSE)</f>
        <v>PUNTEADO</v>
      </c>
      <c r="H12" s="1">
        <v>10</v>
      </c>
      <c r="I12" s="1" t="str">
        <f>VLOOKUP(H12,t_area!A:C,3,FALSE)</f>
        <v>Produccion_Parrillas</v>
      </c>
      <c r="J12" s="1">
        <v>8</v>
      </c>
      <c r="K12" s="1" t="str">
        <f>VLOOKUP(J12,t_entry_status!A:B,2,FALSE)</f>
        <v>PENDING</v>
      </c>
      <c r="L12" s="7">
        <v>45560</v>
      </c>
      <c r="M12" s="1" t="s">
        <v>7449</v>
      </c>
      <c r="N12" s="7">
        <v>45560</v>
      </c>
      <c r="O12" s="1" t="s">
        <v>7449</v>
      </c>
    </row>
    <row r="13" spans="1:15" x14ac:dyDescent="0.25">
      <c r="A13" s="1">
        <v>12</v>
      </c>
      <c r="B13" s="1" t="str">
        <f>_xlfn.CONCAT(D13,"-",VLOOKUP(D13,t_objeto!B:D,3,FALSE),"-",A13)</f>
        <v>EQUI-PERCCO-12</v>
      </c>
      <c r="C13" s="1" t="s">
        <v>7246</v>
      </c>
      <c r="D13" s="1" t="s">
        <v>7351</v>
      </c>
      <c r="E13" s="1" t="str">
        <f>VLOOKUP(D13,t_objeto!B:C,2,FALSE)</f>
        <v>EQUIPO</v>
      </c>
      <c r="F13" s="1" t="s">
        <v>7269</v>
      </c>
      <c r="G13" s="1" t="str">
        <f>VLOOKUP(F13,t_proceso!B:C,2,FALSE)</f>
        <v>PUNTEADO</v>
      </c>
      <c r="H13" s="1">
        <v>10</v>
      </c>
      <c r="I13" s="1" t="str">
        <f>VLOOKUP(H13,t_area!A:C,3,FALSE)</f>
        <v>Produccion_Parrillas</v>
      </c>
      <c r="J13" s="1">
        <v>8</v>
      </c>
      <c r="K13" s="1" t="str">
        <f>VLOOKUP(J13,t_entry_status!A:B,2,FALSE)</f>
        <v>PENDING</v>
      </c>
      <c r="L13" s="7">
        <v>45560</v>
      </c>
      <c r="M13" s="1" t="s">
        <v>7449</v>
      </c>
      <c r="N13" s="7">
        <v>45560</v>
      </c>
      <c r="O13" s="1" t="s">
        <v>7449</v>
      </c>
    </row>
    <row r="14" spans="1:15" x14ac:dyDescent="0.25">
      <c r="A14" s="1">
        <v>13</v>
      </c>
      <c r="B14" s="1" t="str">
        <f>_xlfn.CONCAT(D14,"-",VLOOKUP(D14,t_objeto!B:D,3,FALSE),"-",A14)</f>
        <v>EQUI-PERCCO-13</v>
      </c>
      <c r="C14" s="1" t="s">
        <v>7247</v>
      </c>
      <c r="D14" s="1" t="s">
        <v>7351</v>
      </c>
      <c r="E14" s="1" t="str">
        <f>VLOOKUP(D14,t_objeto!B:C,2,FALSE)</f>
        <v>EQUIPO</v>
      </c>
      <c r="F14" s="1" t="s">
        <v>7269</v>
      </c>
      <c r="G14" s="1" t="str">
        <f>VLOOKUP(F14,t_proceso!B:C,2,FALSE)</f>
        <v>PUNTEADO</v>
      </c>
      <c r="H14" s="1">
        <v>10</v>
      </c>
      <c r="I14" s="1" t="str">
        <f>VLOOKUP(H14,t_area!A:C,3,FALSE)</f>
        <v>Produccion_Parrillas</v>
      </c>
      <c r="J14" s="1">
        <v>8</v>
      </c>
      <c r="K14" s="1" t="str">
        <f>VLOOKUP(J14,t_entry_status!A:B,2,FALSE)</f>
        <v>PENDING</v>
      </c>
      <c r="L14" s="7">
        <v>45560</v>
      </c>
      <c r="M14" s="1" t="s">
        <v>7449</v>
      </c>
      <c r="N14" s="7">
        <v>45560</v>
      </c>
      <c r="O14" s="1" t="s">
        <v>7449</v>
      </c>
    </row>
    <row r="15" spans="1:15" x14ac:dyDescent="0.25">
      <c r="A15" s="1">
        <v>14</v>
      </c>
      <c r="B15" s="1" t="str">
        <f>_xlfn.CONCAT(D15,"-",VLOOKUP(D15,t_objeto!B:D,3,FALSE),"-",A15)</f>
        <v>EQUI-PERCCO-14</v>
      </c>
      <c r="C15" s="1" t="s">
        <v>7248</v>
      </c>
      <c r="D15" s="1" t="s">
        <v>7351</v>
      </c>
      <c r="E15" s="1" t="str">
        <f>VLOOKUP(D15,t_objeto!B:C,2,FALSE)</f>
        <v>EQUIPO</v>
      </c>
      <c r="F15" s="1" t="s">
        <v>7269</v>
      </c>
      <c r="G15" s="1" t="str">
        <f>VLOOKUP(F15,t_proceso!B:C,2,FALSE)</f>
        <v>PUNTEADO</v>
      </c>
      <c r="H15" s="1">
        <v>10</v>
      </c>
      <c r="I15" s="1" t="str">
        <f>VLOOKUP(H15,t_area!A:C,3,FALSE)</f>
        <v>Produccion_Parrillas</v>
      </c>
      <c r="J15" s="1">
        <v>8</v>
      </c>
      <c r="K15" s="1" t="str">
        <f>VLOOKUP(J15,t_entry_status!A:B,2,FALSE)</f>
        <v>PENDING</v>
      </c>
      <c r="L15" s="7">
        <v>45560</v>
      </c>
      <c r="M15" s="1" t="s">
        <v>7449</v>
      </c>
      <c r="N15" s="7">
        <v>45560</v>
      </c>
      <c r="O15" s="1" t="s">
        <v>7449</v>
      </c>
    </row>
    <row r="16" spans="1:15" x14ac:dyDescent="0.25">
      <c r="A16" s="1">
        <v>15</v>
      </c>
      <c r="B16" s="1" t="str">
        <f>_xlfn.CONCAT(D16,"-",VLOOKUP(D16,t_objeto!B:D,3,FALSE),"-",A16)</f>
        <v>EQUI-PERCCO-15</v>
      </c>
      <c r="C16" s="1" t="s">
        <v>7249</v>
      </c>
      <c r="D16" s="1" t="s">
        <v>7351</v>
      </c>
      <c r="E16" s="1" t="str">
        <f>VLOOKUP(D16,t_objeto!B:C,2,FALSE)</f>
        <v>EQUIPO</v>
      </c>
      <c r="F16" s="1" t="s">
        <v>7269</v>
      </c>
      <c r="G16" s="1" t="str">
        <f>VLOOKUP(F16,t_proceso!B:C,2,FALSE)</f>
        <v>PUNTEADO</v>
      </c>
      <c r="H16" s="1">
        <v>10</v>
      </c>
      <c r="I16" s="1" t="str">
        <f>VLOOKUP(H16,t_area!A:C,3,FALSE)</f>
        <v>Produccion_Parrillas</v>
      </c>
      <c r="J16" s="1">
        <v>8</v>
      </c>
      <c r="K16" s="1" t="str">
        <f>VLOOKUP(J16,t_entry_status!A:B,2,FALSE)</f>
        <v>PENDING</v>
      </c>
      <c r="L16" s="7">
        <v>45560</v>
      </c>
      <c r="M16" s="1" t="s">
        <v>7449</v>
      </c>
      <c r="N16" s="7">
        <v>45560</v>
      </c>
      <c r="O16" s="1" t="s">
        <v>7449</v>
      </c>
    </row>
    <row r="17" spans="1:15" x14ac:dyDescent="0.25">
      <c r="A17" s="1">
        <v>16</v>
      </c>
      <c r="B17" s="1" t="str">
        <f>_xlfn.CONCAT(D17,"-",VLOOKUP(D17,t_objeto!B:D,3,FALSE),"-",A17)</f>
        <v>EQUI-PERCCO-16</v>
      </c>
      <c r="C17" s="1" t="s">
        <v>7250</v>
      </c>
      <c r="D17" s="1" t="s">
        <v>7351</v>
      </c>
      <c r="E17" s="1" t="str">
        <f>VLOOKUP(D17,t_objeto!B:C,2,FALSE)</f>
        <v>EQUIPO</v>
      </c>
      <c r="F17" s="1" t="s">
        <v>7268</v>
      </c>
      <c r="G17" s="1" t="str">
        <f>VLOOKUP(F17,t_proceso!B:C,2,FALSE)</f>
        <v>ENDEREZADO</v>
      </c>
      <c r="H17" s="1">
        <v>10</v>
      </c>
      <c r="I17" s="1" t="str">
        <f>VLOOKUP(H17,t_area!A:C,3,FALSE)</f>
        <v>Produccion_Parrillas</v>
      </c>
      <c r="J17" s="1">
        <v>8</v>
      </c>
      <c r="K17" s="1" t="str">
        <f>VLOOKUP(J17,t_entry_status!A:B,2,FALSE)</f>
        <v>PENDING</v>
      </c>
      <c r="L17" s="7">
        <v>45560</v>
      </c>
      <c r="M17" s="1" t="s">
        <v>7449</v>
      </c>
      <c r="N17" s="7">
        <v>45560</v>
      </c>
      <c r="O17" s="1" t="s">
        <v>7449</v>
      </c>
    </row>
    <row r="18" spans="1:15" x14ac:dyDescent="0.25">
      <c r="A18" s="1">
        <v>17</v>
      </c>
      <c r="B18" s="1" t="str">
        <f>_xlfn.CONCAT(D18,"-",VLOOKUP(D18,t_objeto!B:D,3,FALSE),"-",A18)</f>
        <v>EQUI-PERCCO-17</v>
      </c>
      <c r="C18" s="1" t="s">
        <v>7251</v>
      </c>
      <c r="D18" s="1" t="s">
        <v>7351</v>
      </c>
      <c r="E18" s="1" t="str">
        <f>VLOOKUP(D18,t_objeto!B:C,2,FALSE)</f>
        <v>EQUIPO</v>
      </c>
      <c r="F18" s="1" t="s">
        <v>7268</v>
      </c>
      <c r="G18" s="1" t="str">
        <f>VLOOKUP(F18,t_proceso!B:C,2,FALSE)</f>
        <v>ENDEREZADO</v>
      </c>
      <c r="H18" s="1">
        <v>10</v>
      </c>
      <c r="I18" s="1" t="str">
        <f>VLOOKUP(H18,t_area!A:C,3,FALSE)</f>
        <v>Produccion_Parrillas</v>
      </c>
      <c r="J18" s="1">
        <v>8</v>
      </c>
      <c r="K18" s="1" t="str">
        <f>VLOOKUP(J18,t_entry_status!A:B,2,FALSE)</f>
        <v>PENDING</v>
      </c>
      <c r="L18" s="7">
        <v>45560</v>
      </c>
      <c r="M18" s="1" t="s">
        <v>7449</v>
      </c>
      <c r="N18" s="7">
        <v>45560</v>
      </c>
      <c r="O18" s="1" t="s">
        <v>7449</v>
      </c>
    </row>
    <row r="19" spans="1:15" x14ac:dyDescent="0.25">
      <c r="A19" s="1">
        <v>18</v>
      </c>
      <c r="B19" s="1" t="str">
        <f>_xlfn.CONCAT(D19,"-",VLOOKUP(D19,t_objeto!B:D,3,FALSE),"-",A19)</f>
        <v>EQUI-PERCCO-18</v>
      </c>
      <c r="C19" s="1" t="s">
        <v>7252</v>
      </c>
      <c r="D19" s="1" t="s">
        <v>7351</v>
      </c>
      <c r="E19" s="1" t="str">
        <f>VLOOKUP(D19,t_objeto!B:C,2,FALSE)</f>
        <v>EQUIPO</v>
      </c>
      <c r="F19" s="1" t="s">
        <v>7268</v>
      </c>
      <c r="G19" s="1" t="str">
        <f>VLOOKUP(F19,t_proceso!B:C,2,FALSE)</f>
        <v>ENDEREZADO</v>
      </c>
      <c r="H19" s="1">
        <v>10</v>
      </c>
      <c r="I19" s="1" t="str">
        <f>VLOOKUP(H19,t_area!A:C,3,FALSE)</f>
        <v>Produccion_Parrillas</v>
      </c>
      <c r="J19" s="1">
        <v>8</v>
      </c>
      <c r="K19" s="1" t="str">
        <f>VLOOKUP(J19,t_entry_status!A:B,2,FALSE)</f>
        <v>PENDING</v>
      </c>
      <c r="L19" s="7">
        <v>45560</v>
      </c>
      <c r="M19" s="1" t="s">
        <v>7449</v>
      </c>
      <c r="N19" s="7">
        <v>45560</v>
      </c>
      <c r="O19" s="1" t="s">
        <v>7449</v>
      </c>
    </row>
    <row r="20" spans="1:15" x14ac:dyDescent="0.25">
      <c r="A20" s="1">
        <v>19</v>
      </c>
      <c r="B20" s="1" t="str">
        <f>_xlfn.CONCAT(D20,"-",VLOOKUP(D20,t_objeto!B:D,3,FALSE),"-",A20)</f>
        <v>EQUI-PERCCO-19</v>
      </c>
      <c r="C20" s="1" t="s">
        <v>7253</v>
      </c>
      <c r="D20" s="1" t="s">
        <v>7351</v>
      </c>
      <c r="E20" s="1" t="str">
        <f>VLOOKUP(D20,t_objeto!B:C,2,FALSE)</f>
        <v>EQUIPO</v>
      </c>
      <c r="F20" s="1" t="s">
        <v>7271</v>
      </c>
      <c r="G20" s="1" t="str">
        <f>VLOOKUP(F20,t_proceso!B:C,2,FALSE)</f>
        <v>DESBARBADO</v>
      </c>
      <c r="H20" s="1">
        <v>10</v>
      </c>
      <c r="I20" s="1" t="str">
        <f>VLOOKUP(H20,t_area!A:C,3,FALSE)</f>
        <v>Produccion_Parrillas</v>
      </c>
      <c r="J20" s="1">
        <v>8</v>
      </c>
      <c r="K20" s="1" t="str">
        <f>VLOOKUP(J20,t_entry_status!A:B,2,FALSE)</f>
        <v>PENDING</v>
      </c>
      <c r="L20" s="7">
        <v>45560</v>
      </c>
      <c r="M20" s="1" t="s">
        <v>7449</v>
      </c>
      <c r="N20" s="7">
        <v>45560</v>
      </c>
      <c r="O20" s="1" t="s">
        <v>7449</v>
      </c>
    </row>
    <row r="21" spans="1:15" x14ac:dyDescent="0.25">
      <c r="A21" s="1">
        <v>20</v>
      </c>
      <c r="B21" s="1" t="str">
        <f>_xlfn.CONCAT(D21,"-",VLOOKUP(D21,t_objeto!B:D,3,FALSE),"-",A21)</f>
        <v>EQUI-PERCCO-20</v>
      </c>
      <c r="C21" s="1" t="s">
        <v>7254</v>
      </c>
      <c r="D21" s="1" t="s">
        <v>7351</v>
      </c>
      <c r="E21" s="1" t="str">
        <f>VLOOKUP(D21,t_objeto!B:C,2,FALSE)</f>
        <v>EQUIPO</v>
      </c>
      <c r="F21" s="1" t="s">
        <v>7270</v>
      </c>
      <c r="G21" s="1" t="str">
        <f>VLOOKUP(F21,t_proceso!B:C,2,FALSE)</f>
        <v>SOLDADURA</v>
      </c>
      <c r="H21" s="1">
        <v>10</v>
      </c>
      <c r="I21" s="1" t="str">
        <f>VLOOKUP(H21,t_area!A:C,3,FALSE)</f>
        <v>Produccion_Parrillas</v>
      </c>
      <c r="J21" s="1">
        <v>8</v>
      </c>
      <c r="K21" s="1" t="str">
        <f>VLOOKUP(J21,t_entry_status!A:B,2,FALSE)</f>
        <v>PENDING</v>
      </c>
      <c r="L21" s="7">
        <v>45560</v>
      </c>
      <c r="M21" s="1" t="s">
        <v>7449</v>
      </c>
      <c r="N21" s="7">
        <v>45560</v>
      </c>
      <c r="O21" s="1" t="s">
        <v>7449</v>
      </c>
    </row>
    <row r="22" spans="1:15" x14ac:dyDescent="0.25">
      <c r="A22" s="1">
        <v>21</v>
      </c>
      <c r="B22" s="1" t="str">
        <f>_xlfn.CONCAT(D22,"-",VLOOKUP(D22,t_objeto!B:D,3,FALSE),"-",A22)</f>
        <v>EQUI-PERCCO-21</v>
      </c>
      <c r="C22" s="1" t="s">
        <v>7255</v>
      </c>
      <c r="D22" s="1" t="s">
        <v>7351</v>
      </c>
      <c r="E22" s="1" t="str">
        <f>VLOOKUP(D22,t_objeto!B:C,2,FALSE)</f>
        <v>EQUIPO</v>
      </c>
      <c r="F22" s="1" t="s">
        <v>7270</v>
      </c>
      <c r="G22" s="1" t="str">
        <f>VLOOKUP(F22,t_proceso!B:C,2,FALSE)</f>
        <v>SOLDADURA</v>
      </c>
      <c r="H22" s="1">
        <v>10</v>
      </c>
      <c r="I22" s="1" t="str">
        <f>VLOOKUP(H22,t_area!A:C,3,FALSE)</f>
        <v>Produccion_Parrillas</v>
      </c>
      <c r="J22" s="1">
        <v>8</v>
      </c>
      <c r="K22" s="1" t="str">
        <f>VLOOKUP(J22,t_entry_status!A:B,2,FALSE)</f>
        <v>PENDING</v>
      </c>
      <c r="L22" s="7">
        <v>45560</v>
      </c>
      <c r="M22" s="1" t="s">
        <v>7449</v>
      </c>
      <c r="N22" s="7">
        <v>45560</v>
      </c>
      <c r="O22" s="1" t="s">
        <v>7449</v>
      </c>
    </row>
    <row r="23" spans="1:15" x14ac:dyDescent="0.25">
      <c r="A23" s="1">
        <v>22</v>
      </c>
      <c r="B23" s="1" t="str">
        <f>_xlfn.CONCAT(D23,"-",VLOOKUP(D23,t_objeto!B:D,3,FALSE),"-",A23)</f>
        <v>EQUI-PERCCO-22</v>
      </c>
      <c r="C23" s="1" t="s">
        <v>7256</v>
      </c>
      <c r="D23" s="1" t="s">
        <v>7351</v>
      </c>
      <c r="E23" s="1" t="str">
        <f>VLOOKUP(D23,t_objeto!B:C,2,FALSE)</f>
        <v>EQUIPO</v>
      </c>
      <c r="F23" s="1" t="s">
        <v>7270</v>
      </c>
      <c r="G23" s="1" t="str">
        <f>VLOOKUP(F23,t_proceso!B:C,2,FALSE)</f>
        <v>SOLDADURA</v>
      </c>
      <c r="H23" s="1">
        <v>10</v>
      </c>
      <c r="I23" s="1" t="str">
        <f>VLOOKUP(H23,t_area!A:C,3,FALSE)</f>
        <v>Produccion_Parrillas</v>
      </c>
      <c r="J23" s="1">
        <v>8</v>
      </c>
      <c r="K23" s="1" t="str">
        <f>VLOOKUP(J23,t_entry_status!A:B,2,FALSE)</f>
        <v>PENDING</v>
      </c>
      <c r="L23" s="7">
        <v>45560</v>
      </c>
      <c r="M23" s="1" t="s">
        <v>7449</v>
      </c>
      <c r="N23" s="7">
        <v>45560</v>
      </c>
      <c r="O23" s="1" t="s">
        <v>7449</v>
      </c>
    </row>
    <row r="24" spans="1:15" x14ac:dyDescent="0.25">
      <c r="A24" s="1">
        <v>23</v>
      </c>
      <c r="B24" s="1" t="str">
        <f>_xlfn.CONCAT(D24,"-",VLOOKUP(D24,t_objeto!B:D,3,FALSE),"-",A24)</f>
        <v>EQUI-PERCCO-23</v>
      </c>
      <c r="C24" s="1" t="s">
        <v>7257</v>
      </c>
      <c r="D24" s="1" t="s">
        <v>7351</v>
      </c>
      <c r="E24" s="1" t="str">
        <f>VLOOKUP(D24,t_objeto!B:C,2,FALSE)</f>
        <v>EQUIPO</v>
      </c>
      <c r="F24" s="1" t="s">
        <v>7270</v>
      </c>
      <c r="G24" s="1" t="str">
        <f>VLOOKUP(F24,t_proceso!B:C,2,FALSE)</f>
        <v>SOLDADURA</v>
      </c>
      <c r="H24" s="1">
        <v>10</v>
      </c>
      <c r="I24" s="1" t="str">
        <f>VLOOKUP(H24,t_area!A:C,3,FALSE)</f>
        <v>Produccion_Parrillas</v>
      </c>
      <c r="J24" s="1">
        <v>8</v>
      </c>
      <c r="K24" s="1" t="str">
        <f>VLOOKUP(J24,t_entry_status!A:B,2,FALSE)</f>
        <v>PENDING</v>
      </c>
      <c r="L24" s="7">
        <v>45560</v>
      </c>
      <c r="M24" s="1" t="s">
        <v>7449</v>
      </c>
      <c r="N24" s="7">
        <v>45560</v>
      </c>
      <c r="O24" s="1" t="s">
        <v>7449</v>
      </c>
    </row>
    <row r="25" spans="1:15" x14ac:dyDescent="0.25">
      <c r="A25" s="1">
        <v>24</v>
      </c>
      <c r="B25" s="1" t="str">
        <f>_xlfn.CONCAT(D25,"-",VLOOKUP(D25,t_objeto!B:D,3,FALSE),"-",A25)</f>
        <v>EQUI-PERCCO-24</v>
      </c>
      <c r="C25" s="1" t="s">
        <v>7445</v>
      </c>
      <c r="D25" s="1" t="s">
        <v>7351</v>
      </c>
      <c r="E25" s="1" t="str">
        <f>VLOOKUP(D25,t_objeto!B:C,2,FALSE)</f>
        <v>EQUIPO</v>
      </c>
      <c r="F25" s="1" t="s">
        <v>7272</v>
      </c>
      <c r="G25" s="1" t="str">
        <f>VLOOKUP(F25,t_proceso!B:C,2,FALSE)</f>
        <v>MAQUINADO</v>
      </c>
      <c r="H25" s="1">
        <v>12</v>
      </c>
      <c r="I25" s="1" t="str">
        <f>VLOOKUP(H25,t_area!A:C,3,FALSE)</f>
        <v>Produccion_Maquinado</v>
      </c>
      <c r="J25" s="1">
        <v>8</v>
      </c>
      <c r="K25" s="1" t="str">
        <f>VLOOKUP(J25,t_entry_status!A:B,2,FALSE)</f>
        <v>PENDING</v>
      </c>
      <c r="L25" s="7">
        <v>45560</v>
      </c>
      <c r="M25" s="1" t="s">
        <v>7449</v>
      </c>
      <c r="N25" s="7">
        <v>45560</v>
      </c>
      <c r="O25" s="1" t="s">
        <v>7449</v>
      </c>
    </row>
    <row r="26" spans="1:15" x14ac:dyDescent="0.25">
      <c r="A26" s="1">
        <v>25</v>
      </c>
      <c r="B26" s="1" t="str">
        <f>_xlfn.CONCAT(D26,"-",VLOOKUP(D26,t_objeto!B:D,3,FALSE),"-",A26)</f>
        <v>EQUI-PERCCO-25</v>
      </c>
      <c r="C26" s="1" t="s">
        <v>7282</v>
      </c>
      <c r="D26" s="1" t="s">
        <v>7351</v>
      </c>
      <c r="E26" s="1" t="str">
        <f>VLOOKUP(D26,t_objeto!B:C,2,FALSE)</f>
        <v>EQUIPO</v>
      </c>
      <c r="F26" s="1" t="s">
        <v>7344</v>
      </c>
      <c r="G26" s="1" t="str">
        <f>VLOOKUP(F26,t_proceso!B:C,2,FALSE)</f>
        <v>GALVANIZADO</v>
      </c>
      <c r="H26" s="1">
        <v>13</v>
      </c>
      <c r="I26" s="1" t="str">
        <f>VLOOKUP(H26,t_area!A:C,3,FALSE)</f>
        <v>Produccion_Galvanizado</v>
      </c>
      <c r="J26" s="1">
        <v>8</v>
      </c>
      <c r="K26" s="1" t="str">
        <f>VLOOKUP(J26,t_entry_status!A:B,2,FALSE)</f>
        <v>PENDING</v>
      </c>
      <c r="L26" s="7">
        <v>45560</v>
      </c>
      <c r="M26" s="1" t="s">
        <v>7449</v>
      </c>
      <c r="N26" s="7">
        <v>45560</v>
      </c>
      <c r="O26" s="1" t="s">
        <v>7449</v>
      </c>
    </row>
    <row r="27" spans="1:15" x14ac:dyDescent="0.25">
      <c r="A27" s="1">
        <v>26</v>
      </c>
      <c r="B27" s="1" t="str">
        <f>_xlfn.CONCAT(D27,"-",VLOOKUP(D27,t_objeto!B:D,3,FALSE),"-",A27)</f>
        <v>EQUI-PERCCO-26</v>
      </c>
      <c r="C27" s="1" t="s">
        <v>7243</v>
      </c>
      <c r="D27" s="1" t="s">
        <v>7351</v>
      </c>
      <c r="E27" s="1" t="str">
        <f>VLOOKUP(D27,t_objeto!B:C,2,FALSE)</f>
        <v>EQUIPO</v>
      </c>
      <c r="F27" s="1" t="s">
        <v>7346</v>
      </c>
      <c r="G27" s="1" t="str">
        <f>VLOOKUP(F27,t_proceso!B:C,2,FALSE)</f>
        <v>PINTADO</v>
      </c>
      <c r="H27" s="1">
        <v>11</v>
      </c>
      <c r="I27" s="1" t="str">
        <f>VLOOKUP(H27,t_area!A:C,3,FALSE)</f>
        <v>Produccion_Pintura</v>
      </c>
      <c r="J27" s="1">
        <v>8</v>
      </c>
      <c r="K27" s="1" t="str">
        <f>VLOOKUP(J27,t_entry_status!A:B,2,FALSE)</f>
        <v>PENDING</v>
      </c>
      <c r="L27" s="7">
        <v>45560</v>
      </c>
      <c r="M27" s="1" t="s">
        <v>7449</v>
      </c>
      <c r="N27" s="7">
        <v>45560</v>
      </c>
      <c r="O27" s="1" t="s">
        <v>7449</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561BB76A-AC73-46C1-BD04-C5FDE212AB72}">
          <x14:formula1>
            <xm:f>t_entry_status!$A:$A</xm:f>
          </x14:formula1>
          <xm:sqref>J2:J27</xm:sqref>
        </x14:dataValidation>
        <x14:dataValidation type="list" allowBlank="1" showInputMessage="1" showErrorMessage="1" xr:uid="{BDE39557-5FB8-4DE7-8712-DDF588D4886E}">
          <x14:formula1>
            <xm:f>t_area!$A:$A</xm:f>
          </x14:formula1>
          <xm:sqref>H2:H27</xm:sqref>
        </x14:dataValidation>
        <x14:dataValidation type="list" allowBlank="1" showInputMessage="1" showErrorMessage="1" xr:uid="{3DF83D37-2251-40D9-8ABE-2EDD09D82052}">
          <x14:formula1>
            <xm:f>t_proceso!$B:$B</xm:f>
          </x14:formula1>
          <xm:sqref>F2:F27</xm:sqref>
        </x14:dataValidation>
        <x14:dataValidation type="list" allowBlank="1" showInputMessage="1" showErrorMessage="1" xr:uid="{A04DD48A-9B27-4864-9FC5-7B7AB8F4CF9E}">
          <x14:formula1>
            <xm:f>t_objeto!$B:$B</xm:f>
          </x14:formula1>
          <xm:sqref>D2:D27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7D135-4617-4EB6-BF62-E3634F202912}">
  <dimension ref="A1:AL685"/>
  <sheetViews>
    <sheetView topLeftCell="V1" zoomScale="70" zoomScaleNormal="70" workbookViewId="0">
      <selection activeCell="AE2" sqref="AE2:AE685"/>
    </sheetView>
  </sheetViews>
  <sheetFormatPr baseColWidth="10" defaultColWidth="11.5703125" defaultRowHeight="15" x14ac:dyDescent="0.25"/>
  <cols>
    <col min="1" max="1" width="11.42578125" style="14" customWidth="1"/>
    <col min="2" max="2" width="21.28515625" style="14" bestFit="1" customWidth="1"/>
    <col min="3" max="3" width="43.5703125" style="14" bestFit="1" customWidth="1"/>
    <col min="4" max="4" width="27.85546875" style="14" bestFit="1" customWidth="1"/>
    <col min="5" max="5" width="27.28515625" style="14" bestFit="1" customWidth="1"/>
    <col min="6" max="6" width="26.42578125" style="14" customWidth="1"/>
    <col min="7" max="7" width="19.28515625" style="14" bestFit="1" customWidth="1"/>
    <col min="8" max="8" width="19.5703125" style="15" customWidth="1"/>
    <col min="9" max="10" width="17.5703125" style="15" customWidth="1"/>
    <col min="11" max="11" width="13.7109375" style="16" customWidth="1"/>
    <col min="12" max="14" width="11.5703125" style="23" customWidth="1"/>
    <col min="15" max="15" width="16.140625" style="23" customWidth="1"/>
    <col min="16" max="16" width="22.42578125" style="23" customWidth="1"/>
    <col min="17" max="17" width="11.5703125" style="19" customWidth="1"/>
    <col min="18" max="19" width="13.7109375" style="17" customWidth="1"/>
    <col min="20" max="21" width="13.7109375" style="16" customWidth="1"/>
    <col min="22" max="22" width="21.7109375" style="18" customWidth="1"/>
    <col min="23" max="23" width="26.5703125" style="18" customWidth="1"/>
    <col min="24" max="24" width="17" style="18" customWidth="1"/>
    <col min="25" max="25" width="19.140625" style="18" customWidth="1"/>
    <col min="26" max="26" width="22.85546875" style="18" customWidth="1"/>
    <col min="27" max="29" width="18.5703125" style="14" customWidth="1"/>
    <col min="30" max="30" width="20.7109375" style="19" customWidth="1"/>
    <col min="31" max="31" width="14.85546875" style="1" bestFit="1" customWidth="1"/>
    <col min="32" max="32" width="19.42578125" style="1" bestFit="1" customWidth="1"/>
    <col min="33" max="33" width="13.140625" style="1" bestFit="1" customWidth="1"/>
    <col min="34" max="34" width="22.28515625" style="1" bestFit="1" customWidth="1"/>
    <col min="35" max="35" width="16.85546875" style="1" bestFit="1" customWidth="1"/>
    <col min="36" max="36" width="14" style="1" bestFit="1" customWidth="1"/>
    <col min="37" max="37" width="15.5703125" style="1" bestFit="1" customWidth="1"/>
    <col min="38" max="38" width="14" style="1" bestFit="1" customWidth="1"/>
    <col min="39" max="16384" width="11.5703125" style="19"/>
  </cols>
  <sheetData>
    <row r="1" spans="1:38" s="5" customFormat="1" x14ac:dyDescent="0.25">
      <c r="A1" s="5" t="s">
        <v>7286</v>
      </c>
      <c r="B1" s="5" t="s">
        <v>7436</v>
      </c>
      <c r="C1" s="5" t="s">
        <v>7405</v>
      </c>
      <c r="D1" s="5" t="s">
        <v>7406</v>
      </c>
      <c r="E1" s="5" t="s">
        <v>7408</v>
      </c>
      <c r="F1" s="5" t="s">
        <v>7409</v>
      </c>
      <c r="G1" s="5" t="s">
        <v>7410</v>
      </c>
      <c r="H1" s="5" t="s">
        <v>7357</v>
      </c>
      <c r="I1" s="5" t="s">
        <v>7358</v>
      </c>
      <c r="J1" s="5" t="s">
        <v>7359</v>
      </c>
      <c r="K1" s="5" t="s">
        <v>7360</v>
      </c>
      <c r="L1" s="5" t="s">
        <v>7361</v>
      </c>
      <c r="M1" s="5" t="s">
        <v>7362</v>
      </c>
      <c r="N1" s="5" t="s">
        <v>7363</v>
      </c>
      <c r="O1" s="5" t="s">
        <v>7364</v>
      </c>
      <c r="P1" s="5" t="s">
        <v>7365</v>
      </c>
      <c r="Q1" s="5" t="s">
        <v>7366</v>
      </c>
      <c r="R1" s="5" t="s">
        <v>7367</v>
      </c>
      <c r="S1" s="5" t="s">
        <v>7368</v>
      </c>
      <c r="T1" s="5" t="s">
        <v>7369</v>
      </c>
      <c r="U1" s="5" t="s">
        <v>7370</v>
      </c>
      <c r="V1" s="5" t="s">
        <v>7371</v>
      </c>
      <c r="W1" s="5" t="s">
        <v>7372</v>
      </c>
      <c r="X1" s="5" t="s">
        <v>7373</v>
      </c>
      <c r="Y1" s="5" t="s">
        <v>7374</v>
      </c>
      <c r="Z1" s="5" t="s">
        <v>7375</v>
      </c>
      <c r="AA1" s="5" t="s">
        <v>7376</v>
      </c>
      <c r="AB1" s="5" t="s">
        <v>7377</v>
      </c>
      <c r="AC1" s="5" t="s">
        <v>7378</v>
      </c>
      <c r="AD1" s="5" t="s">
        <v>7379</v>
      </c>
      <c r="AE1" s="5" t="s">
        <v>7333</v>
      </c>
      <c r="AF1" s="5" t="s">
        <v>7287</v>
      </c>
      <c r="AG1" s="5" t="s">
        <v>24</v>
      </c>
      <c r="AH1" s="5" t="s">
        <v>43</v>
      </c>
      <c r="AI1" s="5" t="s">
        <v>44</v>
      </c>
      <c r="AJ1" s="5" t="s">
        <v>45</v>
      </c>
      <c r="AK1" s="5" t="s">
        <v>46</v>
      </c>
      <c r="AL1" s="5" t="s">
        <v>47</v>
      </c>
    </row>
    <row r="2" spans="1:38" s="20" customFormat="1" x14ac:dyDescent="0.25">
      <c r="A2" s="14">
        <v>1</v>
      </c>
      <c r="B2" s="14" t="str">
        <f>_xlfn.CONCAT(AE2,"-",VLOOKUP(AE2,t_objeto!B:D,3,FALSE),"-",A2)</f>
        <v>RRMM-PERCCO-1</v>
      </c>
      <c r="C2" s="22" t="str">
        <f>_xlfn.CONCAT(D2,"_","_",E2,"_",F2,"_",R2,"'","X",S2,"'","_",H2)</f>
        <v>LAMINA_LISA__ACERO_GALVANIZADA_3'X8'_10</v>
      </c>
      <c r="D2" s="14" t="s">
        <v>7407</v>
      </c>
      <c r="E2" s="14" t="s">
        <v>7380</v>
      </c>
      <c r="F2" s="21" t="s">
        <v>7381</v>
      </c>
      <c r="G2" s="22" t="s">
        <v>7382</v>
      </c>
      <c r="H2" s="14">
        <v>10</v>
      </c>
      <c r="I2" s="14">
        <v>3.42</v>
      </c>
      <c r="J2" s="16">
        <f t="shared" ref="J2:J65" si="0">I2/25.4</f>
        <v>0.13464566929133859</v>
      </c>
      <c r="K2" s="16">
        <v>27.106999999999999</v>
      </c>
      <c r="L2" s="23">
        <v>1.9</v>
      </c>
      <c r="M2" s="23"/>
      <c r="N2" s="23"/>
      <c r="O2" s="23"/>
      <c r="P2" s="23"/>
      <c r="Q2" s="19"/>
      <c r="R2" s="17">
        <v>3</v>
      </c>
      <c r="S2" s="17">
        <v>8</v>
      </c>
      <c r="T2" s="16">
        <f t="shared" ref="T2:T65" si="1">S2*12*25.4</f>
        <v>2438.3999999999996</v>
      </c>
      <c r="U2" s="16">
        <f t="shared" ref="U2:U65" si="2">R2*12*25.4</f>
        <v>914.4</v>
      </c>
      <c r="V2" s="18">
        <f t="shared" ref="V2:V65" si="3">T2*U2</f>
        <v>2229672.9599999995</v>
      </c>
      <c r="W2" s="18">
        <f t="shared" ref="W2:W65" si="4">V2/1000000</f>
        <v>2.2296729599999994</v>
      </c>
      <c r="X2" s="18">
        <f t="shared" ref="X2:X65" si="5">K2*W2</f>
        <v>60.439744926719982</v>
      </c>
      <c r="Y2" s="24">
        <v>35</v>
      </c>
      <c r="Z2" s="24">
        <f t="shared" ref="Z2:Z65" si="6">X2*Y2</f>
        <v>2115.3910724351995</v>
      </c>
      <c r="AA2" s="16">
        <v>5</v>
      </c>
      <c r="AB2" s="16">
        <f t="shared" ref="AB2:AC65" si="7">T2-($AA2*2)</f>
        <v>2428.3999999999996</v>
      </c>
      <c r="AC2" s="16">
        <f t="shared" si="7"/>
        <v>904.4</v>
      </c>
      <c r="AD2" s="19">
        <f t="shared" ref="AD2:AD65" si="8">AB2*AC2</f>
        <v>2196244.9599999995</v>
      </c>
      <c r="AE2" s="1" t="s">
        <v>7456</v>
      </c>
      <c r="AF2" s="1" t="str">
        <f>VLOOKUP(AE2,t_objeto!B:C,2,FALSE)</f>
        <v>RAW_MATERIAL</v>
      </c>
      <c r="AG2" s="1">
        <v>8</v>
      </c>
      <c r="AH2" s="1" t="str">
        <f>VLOOKUP(AG2,t_entry_status!A:AE,2,FALSE)</f>
        <v>PENDING</v>
      </c>
      <c r="AI2" s="7">
        <v>45560</v>
      </c>
      <c r="AJ2" s="1" t="s">
        <v>7449</v>
      </c>
      <c r="AK2" s="7">
        <v>45560</v>
      </c>
      <c r="AL2" s="1" t="s">
        <v>7449</v>
      </c>
    </row>
    <row r="3" spans="1:38" s="20" customFormat="1" x14ac:dyDescent="0.25">
      <c r="A3" s="14">
        <v>2</v>
      </c>
      <c r="B3" s="14" t="str">
        <f>_xlfn.CONCAT(AE3,"-",VLOOKUP(AE3,t_objeto!B:D,3,FALSE),"-",A3)</f>
        <v>RRMM-PERCCO-2</v>
      </c>
      <c r="C3" s="22" t="str">
        <f t="shared" ref="C3:C66" si="9">_xlfn.CONCAT(D3,"_","_",E3,"_",F3,"_",R3,"'","X",S3,"'","_",H3)</f>
        <v>LAMINA_LISA__ACERO_GALVANIZADA_3'X8'_11</v>
      </c>
      <c r="D3" s="14" t="s">
        <v>7407</v>
      </c>
      <c r="E3" s="14" t="s">
        <v>7380</v>
      </c>
      <c r="F3" s="21" t="s">
        <v>7381</v>
      </c>
      <c r="G3" s="22" t="s">
        <v>7382</v>
      </c>
      <c r="H3" s="14">
        <v>11</v>
      </c>
      <c r="I3" s="16">
        <v>3.04</v>
      </c>
      <c r="J3" s="16">
        <f t="shared" si="0"/>
        <v>0.11968503937007875</v>
      </c>
      <c r="K3" s="16">
        <v>24.190999999999999</v>
      </c>
      <c r="L3" s="23">
        <v>3</v>
      </c>
      <c r="M3" s="23"/>
      <c r="N3" s="23"/>
      <c r="O3" s="23"/>
      <c r="P3" s="23"/>
      <c r="Q3" s="19"/>
      <c r="R3" s="17">
        <v>3</v>
      </c>
      <c r="S3" s="17">
        <v>8</v>
      </c>
      <c r="T3" s="16">
        <f t="shared" si="1"/>
        <v>2438.3999999999996</v>
      </c>
      <c r="U3" s="16">
        <f t="shared" si="2"/>
        <v>914.4</v>
      </c>
      <c r="V3" s="18">
        <f t="shared" si="3"/>
        <v>2229672.9599999995</v>
      </c>
      <c r="W3" s="18">
        <f t="shared" si="4"/>
        <v>2.2296729599999994</v>
      </c>
      <c r="X3" s="18">
        <f t="shared" si="5"/>
        <v>53.938018575359983</v>
      </c>
      <c r="Y3" s="24">
        <v>35</v>
      </c>
      <c r="Z3" s="24">
        <f t="shared" si="6"/>
        <v>1887.8306501375994</v>
      </c>
      <c r="AA3" s="16">
        <v>5</v>
      </c>
      <c r="AB3" s="16">
        <f t="shared" si="7"/>
        <v>2428.3999999999996</v>
      </c>
      <c r="AC3" s="16">
        <f t="shared" si="7"/>
        <v>904.4</v>
      </c>
      <c r="AD3" s="19">
        <f t="shared" si="8"/>
        <v>2196244.9599999995</v>
      </c>
      <c r="AE3" s="1" t="s">
        <v>7456</v>
      </c>
      <c r="AF3" s="1" t="str">
        <f>VLOOKUP(AE3,t_objeto!B:C,2,FALSE)</f>
        <v>RAW_MATERIAL</v>
      </c>
      <c r="AG3" s="1">
        <v>8</v>
      </c>
      <c r="AH3" s="1" t="str">
        <f>VLOOKUP(AG3,t_entry_status!A:AE,2,FALSE)</f>
        <v>PENDING</v>
      </c>
      <c r="AI3" s="7">
        <v>45560</v>
      </c>
      <c r="AJ3" s="1" t="s">
        <v>7449</v>
      </c>
      <c r="AK3" s="7">
        <v>45560</v>
      </c>
      <c r="AL3" s="1" t="s">
        <v>7449</v>
      </c>
    </row>
    <row r="4" spans="1:38" s="20" customFormat="1" x14ac:dyDescent="0.25">
      <c r="A4" s="14">
        <v>3</v>
      </c>
      <c r="B4" s="14" t="str">
        <f>_xlfn.CONCAT(AE4,"-",VLOOKUP(AE4,t_objeto!B:D,3,FALSE),"-",A4)</f>
        <v>RRMM-PERCCO-3</v>
      </c>
      <c r="C4" s="22" t="str">
        <f t="shared" si="9"/>
        <v>LAMINA_LISA__ACERO_GALVANIZADA_3'X8'_12</v>
      </c>
      <c r="D4" s="14" t="s">
        <v>7407</v>
      </c>
      <c r="E4" s="14" t="s">
        <v>7380</v>
      </c>
      <c r="F4" s="21" t="s">
        <v>7381</v>
      </c>
      <c r="G4" s="22" t="s">
        <v>7382</v>
      </c>
      <c r="H4" s="14">
        <v>12</v>
      </c>
      <c r="I4" s="14">
        <v>2.66</v>
      </c>
      <c r="J4" s="16">
        <f t="shared" si="0"/>
        <v>0.1047244094488189</v>
      </c>
      <c r="K4" s="16">
        <v>21.641999999999999</v>
      </c>
      <c r="L4" s="23">
        <v>3.8</v>
      </c>
      <c r="M4" s="23"/>
      <c r="N4" s="23"/>
      <c r="O4" s="23"/>
      <c r="P4" s="23"/>
      <c r="Q4" s="19"/>
      <c r="R4" s="17">
        <v>3</v>
      </c>
      <c r="S4" s="17">
        <v>8</v>
      </c>
      <c r="T4" s="16">
        <f t="shared" si="1"/>
        <v>2438.3999999999996</v>
      </c>
      <c r="U4" s="16">
        <f t="shared" si="2"/>
        <v>914.4</v>
      </c>
      <c r="V4" s="18">
        <f t="shared" si="3"/>
        <v>2229672.9599999995</v>
      </c>
      <c r="W4" s="18">
        <f t="shared" si="4"/>
        <v>2.2296729599999994</v>
      </c>
      <c r="X4" s="18">
        <f t="shared" si="5"/>
        <v>48.254582200319987</v>
      </c>
      <c r="Y4" s="24">
        <v>35</v>
      </c>
      <c r="Z4" s="24">
        <f t="shared" si="6"/>
        <v>1688.9103770111997</v>
      </c>
      <c r="AA4" s="16">
        <v>5</v>
      </c>
      <c r="AB4" s="16">
        <f t="shared" si="7"/>
        <v>2428.3999999999996</v>
      </c>
      <c r="AC4" s="16">
        <f t="shared" si="7"/>
        <v>904.4</v>
      </c>
      <c r="AD4" s="19">
        <f t="shared" si="8"/>
        <v>2196244.9599999995</v>
      </c>
      <c r="AE4" s="1" t="s">
        <v>7456</v>
      </c>
      <c r="AF4" s="1" t="str">
        <f>VLOOKUP(AE4,t_objeto!B:C,2,FALSE)</f>
        <v>RAW_MATERIAL</v>
      </c>
      <c r="AG4" s="1">
        <v>8</v>
      </c>
      <c r="AH4" s="1" t="str">
        <f>VLOOKUP(AG4,t_entry_status!A:AE,2,FALSE)</f>
        <v>PENDING</v>
      </c>
      <c r="AI4" s="7">
        <v>45560</v>
      </c>
      <c r="AJ4" s="1" t="s">
        <v>7449</v>
      </c>
      <c r="AK4" s="7">
        <v>45560</v>
      </c>
      <c r="AL4" s="1" t="s">
        <v>7449</v>
      </c>
    </row>
    <row r="5" spans="1:38" s="20" customFormat="1" x14ac:dyDescent="0.25">
      <c r="A5" s="14">
        <v>4</v>
      </c>
      <c r="B5" s="14" t="str">
        <f>_xlfn.CONCAT(AE5,"-",VLOOKUP(AE5,t_objeto!B:D,3,FALSE),"-",A5)</f>
        <v>RRMM-PERCCO-4</v>
      </c>
      <c r="C5" s="22" t="str">
        <f t="shared" si="9"/>
        <v>LAMINA_LISA__ACERO_GALVANIZADA_3'X8'_13</v>
      </c>
      <c r="D5" s="14" t="s">
        <v>7407</v>
      </c>
      <c r="E5" s="14" t="s">
        <v>7380</v>
      </c>
      <c r="F5" s="21" t="s">
        <v>7381</v>
      </c>
      <c r="G5" s="22" t="s">
        <v>7382</v>
      </c>
      <c r="H5" s="14">
        <v>13</v>
      </c>
      <c r="I5" s="16">
        <v>2.2799999999999998</v>
      </c>
      <c r="J5" s="16">
        <f t="shared" si="0"/>
        <v>8.9763779527559054E-2</v>
      </c>
      <c r="K5" s="16">
        <v>18.143000000000001</v>
      </c>
      <c r="L5" s="23">
        <v>4</v>
      </c>
      <c r="M5" s="23"/>
      <c r="N5" s="23"/>
      <c r="O5" s="23"/>
      <c r="P5" s="23"/>
      <c r="Q5" s="19"/>
      <c r="R5" s="17">
        <v>3</v>
      </c>
      <c r="S5" s="17">
        <v>8</v>
      </c>
      <c r="T5" s="16">
        <f t="shared" si="1"/>
        <v>2438.3999999999996</v>
      </c>
      <c r="U5" s="16">
        <f t="shared" si="2"/>
        <v>914.4</v>
      </c>
      <c r="V5" s="18">
        <f t="shared" si="3"/>
        <v>2229672.9599999995</v>
      </c>
      <c r="W5" s="18">
        <f t="shared" si="4"/>
        <v>2.2296729599999994</v>
      </c>
      <c r="X5" s="18">
        <f t="shared" si="5"/>
        <v>40.452956513279993</v>
      </c>
      <c r="Y5" s="24">
        <v>35</v>
      </c>
      <c r="Z5" s="24">
        <f t="shared" si="6"/>
        <v>1415.8534779647998</v>
      </c>
      <c r="AA5" s="16">
        <v>5</v>
      </c>
      <c r="AB5" s="16">
        <f t="shared" si="7"/>
        <v>2428.3999999999996</v>
      </c>
      <c r="AC5" s="16">
        <f t="shared" si="7"/>
        <v>904.4</v>
      </c>
      <c r="AD5" s="19">
        <f t="shared" si="8"/>
        <v>2196244.9599999995</v>
      </c>
      <c r="AE5" s="1" t="s">
        <v>7456</v>
      </c>
      <c r="AF5" s="1" t="str">
        <f>VLOOKUP(AE5,t_objeto!B:C,2,FALSE)</f>
        <v>RAW_MATERIAL</v>
      </c>
      <c r="AG5" s="1">
        <v>8</v>
      </c>
      <c r="AH5" s="1" t="str">
        <f>VLOOKUP(AG5,t_entry_status!A:AE,2,FALSE)</f>
        <v>PENDING</v>
      </c>
      <c r="AI5" s="7">
        <v>45560</v>
      </c>
      <c r="AJ5" s="1" t="s">
        <v>7449</v>
      </c>
      <c r="AK5" s="7">
        <v>45560</v>
      </c>
      <c r="AL5" s="1" t="s">
        <v>7449</v>
      </c>
    </row>
    <row r="6" spans="1:38" s="20" customFormat="1" ht="18.75" x14ac:dyDescent="0.3">
      <c r="A6" s="14">
        <v>5</v>
      </c>
      <c r="B6" s="14" t="str">
        <f>_xlfn.CONCAT(AE6,"-",VLOOKUP(AE6,t_objeto!B:D,3,FALSE),"-",A6)</f>
        <v>RRMM-PERCCO-5</v>
      </c>
      <c r="C6" s="22" t="str">
        <f t="shared" si="9"/>
        <v>LAMINA_LISA__ACERO_GALVANIZADA_3'X8'_14</v>
      </c>
      <c r="D6" s="14" t="s">
        <v>7407</v>
      </c>
      <c r="E6" s="14" t="s">
        <v>7380</v>
      </c>
      <c r="F6" s="21" t="s">
        <v>7381</v>
      </c>
      <c r="G6" s="22" t="s">
        <v>7382</v>
      </c>
      <c r="H6" s="14">
        <v>14</v>
      </c>
      <c r="I6" s="14">
        <v>1.9</v>
      </c>
      <c r="J6" s="16">
        <f t="shared" si="0"/>
        <v>7.4803149606299218E-2</v>
      </c>
      <c r="K6" s="25">
        <v>16.928999999999998</v>
      </c>
      <c r="L6" s="23">
        <v>6</v>
      </c>
      <c r="M6" s="23"/>
      <c r="N6" s="23"/>
      <c r="O6" s="23"/>
      <c r="P6" s="23"/>
      <c r="Q6" s="19"/>
      <c r="R6" s="17">
        <v>3</v>
      </c>
      <c r="S6" s="17">
        <v>8</v>
      </c>
      <c r="T6" s="16">
        <f t="shared" si="1"/>
        <v>2438.3999999999996</v>
      </c>
      <c r="U6" s="16">
        <f t="shared" si="2"/>
        <v>914.4</v>
      </c>
      <c r="V6" s="18">
        <f t="shared" si="3"/>
        <v>2229672.9599999995</v>
      </c>
      <c r="W6" s="18">
        <f t="shared" si="4"/>
        <v>2.2296729599999994</v>
      </c>
      <c r="X6" s="18">
        <f t="shared" si="5"/>
        <v>37.746133539839988</v>
      </c>
      <c r="Y6" s="24">
        <v>35</v>
      </c>
      <c r="Z6" s="24">
        <f t="shared" si="6"/>
        <v>1321.1146738943996</v>
      </c>
      <c r="AA6" s="16">
        <v>5</v>
      </c>
      <c r="AB6" s="16">
        <f t="shared" si="7"/>
        <v>2428.3999999999996</v>
      </c>
      <c r="AC6" s="16">
        <f t="shared" si="7"/>
        <v>904.4</v>
      </c>
      <c r="AD6" s="19">
        <f t="shared" si="8"/>
        <v>2196244.9599999995</v>
      </c>
      <c r="AE6" s="1" t="s">
        <v>7456</v>
      </c>
      <c r="AF6" s="1" t="str">
        <f>VLOOKUP(AE6,t_objeto!B:C,2,FALSE)</f>
        <v>RAW_MATERIAL</v>
      </c>
      <c r="AG6" s="1">
        <v>8</v>
      </c>
      <c r="AH6" s="1" t="str">
        <f>VLOOKUP(AG6,t_entry_status!A:AE,2,FALSE)</f>
        <v>PENDING</v>
      </c>
      <c r="AI6" s="7">
        <v>45560</v>
      </c>
      <c r="AJ6" s="1" t="s">
        <v>7449</v>
      </c>
      <c r="AK6" s="7">
        <v>45560</v>
      </c>
      <c r="AL6" s="1" t="s">
        <v>7449</v>
      </c>
    </row>
    <row r="7" spans="1:38" s="20" customFormat="1" x14ac:dyDescent="0.25">
      <c r="A7" s="14">
        <v>6</v>
      </c>
      <c r="B7" s="14" t="str">
        <f>_xlfn.CONCAT(AE7,"-",VLOOKUP(AE7,t_objeto!B:D,3,FALSE),"-",A7)</f>
        <v>RRMM-PERCCO-6</v>
      </c>
      <c r="C7" s="22" t="str">
        <f t="shared" si="9"/>
        <v>LAMINA_LISA__ACERO_GALVANIZADA_3'X8'_15</v>
      </c>
      <c r="D7" s="14" t="s">
        <v>7407</v>
      </c>
      <c r="E7" s="14" t="s">
        <v>7380</v>
      </c>
      <c r="F7" s="21" t="s">
        <v>7381</v>
      </c>
      <c r="G7" s="22" t="s">
        <v>7382</v>
      </c>
      <c r="H7" s="14">
        <v>15</v>
      </c>
      <c r="I7" s="16">
        <v>1.71</v>
      </c>
      <c r="J7" s="16">
        <f t="shared" si="0"/>
        <v>6.7322834645669294E-2</v>
      </c>
      <c r="K7" s="16">
        <v>13.606999999999999</v>
      </c>
      <c r="L7" s="23"/>
      <c r="M7" s="23"/>
      <c r="N7" s="23"/>
      <c r="O7" s="23"/>
      <c r="P7" s="23"/>
      <c r="Q7" s="19"/>
      <c r="R7" s="17">
        <v>3</v>
      </c>
      <c r="S7" s="17">
        <v>8</v>
      </c>
      <c r="T7" s="16">
        <f t="shared" si="1"/>
        <v>2438.3999999999996</v>
      </c>
      <c r="U7" s="16">
        <f t="shared" si="2"/>
        <v>914.4</v>
      </c>
      <c r="V7" s="18">
        <f t="shared" si="3"/>
        <v>2229672.9599999995</v>
      </c>
      <c r="W7" s="18">
        <f t="shared" si="4"/>
        <v>2.2296729599999994</v>
      </c>
      <c r="X7" s="18">
        <f t="shared" si="5"/>
        <v>30.33915996671999</v>
      </c>
      <c r="Y7" s="24">
        <v>35</v>
      </c>
      <c r="Z7" s="24">
        <f t="shared" si="6"/>
        <v>1061.8705988351996</v>
      </c>
      <c r="AA7" s="16">
        <v>5</v>
      </c>
      <c r="AB7" s="16">
        <f t="shared" si="7"/>
        <v>2428.3999999999996</v>
      </c>
      <c r="AC7" s="16">
        <f t="shared" si="7"/>
        <v>904.4</v>
      </c>
      <c r="AD7" s="19">
        <f t="shared" si="8"/>
        <v>2196244.9599999995</v>
      </c>
      <c r="AE7" s="1" t="s">
        <v>7456</v>
      </c>
      <c r="AF7" s="1" t="str">
        <f>VLOOKUP(AE7,t_objeto!B:C,2,FALSE)</f>
        <v>RAW_MATERIAL</v>
      </c>
      <c r="AG7" s="1">
        <v>8</v>
      </c>
      <c r="AH7" s="1" t="str">
        <f>VLOOKUP(AG7,t_entry_status!A:AE,2,FALSE)</f>
        <v>PENDING</v>
      </c>
      <c r="AI7" s="7">
        <v>45560</v>
      </c>
      <c r="AJ7" s="1" t="s">
        <v>7449</v>
      </c>
      <c r="AK7" s="7">
        <v>45560</v>
      </c>
      <c r="AL7" s="1" t="s">
        <v>7449</v>
      </c>
    </row>
    <row r="8" spans="1:38" s="20" customFormat="1" x14ac:dyDescent="0.25">
      <c r="A8" s="14">
        <v>7</v>
      </c>
      <c r="B8" s="14" t="str">
        <f>_xlfn.CONCAT(AE8,"-",VLOOKUP(AE8,t_objeto!B:D,3,FALSE),"-",A8)</f>
        <v>RRMM-PERCCO-7</v>
      </c>
      <c r="C8" s="22" t="str">
        <f t="shared" si="9"/>
        <v>LAMINA_LISA__ACERO_GALVANIZADA_3'X8'_16</v>
      </c>
      <c r="D8" s="14" t="s">
        <v>7407</v>
      </c>
      <c r="E8" s="14" t="s">
        <v>7380</v>
      </c>
      <c r="F8" s="21" t="s">
        <v>7381</v>
      </c>
      <c r="G8" s="22" t="s">
        <v>7382</v>
      </c>
      <c r="H8" s="14">
        <v>16</v>
      </c>
      <c r="I8" s="14">
        <v>1.52</v>
      </c>
      <c r="J8" s="16">
        <f t="shared" si="0"/>
        <v>5.9842519685039376E-2</v>
      </c>
      <c r="K8" s="16">
        <v>12.484999999999999</v>
      </c>
      <c r="L8" s="23"/>
      <c r="M8" s="23"/>
      <c r="N8" s="23"/>
      <c r="O8" s="23"/>
      <c r="P8" s="23"/>
      <c r="Q8" s="19"/>
      <c r="R8" s="17">
        <v>3</v>
      </c>
      <c r="S8" s="17">
        <v>8</v>
      </c>
      <c r="T8" s="16">
        <f t="shared" si="1"/>
        <v>2438.3999999999996</v>
      </c>
      <c r="U8" s="16">
        <f t="shared" si="2"/>
        <v>914.4</v>
      </c>
      <c r="V8" s="18">
        <f t="shared" si="3"/>
        <v>2229672.9599999995</v>
      </c>
      <c r="W8" s="18">
        <f t="shared" si="4"/>
        <v>2.2296729599999994</v>
      </c>
      <c r="X8" s="18">
        <f t="shared" si="5"/>
        <v>27.837466905599992</v>
      </c>
      <c r="Y8" s="24">
        <v>35</v>
      </c>
      <c r="Z8" s="24">
        <f t="shared" si="6"/>
        <v>974.31134169599977</v>
      </c>
      <c r="AA8" s="16">
        <v>5</v>
      </c>
      <c r="AB8" s="16">
        <f t="shared" si="7"/>
        <v>2428.3999999999996</v>
      </c>
      <c r="AC8" s="16">
        <f t="shared" si="7"/>
        <v>904.4</v>
      </c>
      <c r="AD8" s="19">
        <f t="shared" si="8"/>
        <v>2196244.9599999995</v>
      </c>
      <c r="AE8" s="1" t="s">
        <v>7456</v>
      </c>
      <c r="AF8" s="1" t="str">
        <f>VLOOKUP(AE8,t_objeto!B:C,2,FALSE)</f>
        <v>RAW_MATERIAL</v>
      </c>
      <c r="AG8" s="1">
        <v>8</v>
      </c>
      <c r="AH8" s="1" t="str">
        <f>VLOOKUP(AG8,t_entry_status!A:AE,2,FALSE)</f>
        <v>PENDING</v>
      </c>
      <c r="AI8" s="7">
        <v>45560</v>
      </c>
      <c r="AJ8" s="1" t="s">
        <v>7449</v>
      </c>
      <c r="AK8" s="7">
        <v>45560</v>
      </c>
      <c r="AL8" s="1" t="s">
        <v>7449</v>
      </c>
    </row>
    <row r="9" spans="1:38" s="20" customFormat="1" x14ac:dyDescent="0.25">
      <c r="A9" s="14">
        <v>8</v>
      </c>
      <c r="B9" s="14" t="str">
        <f>_xlfn.CONCAT(AE9,"-",VLOOKUP(AE9,t_objeto!B:D,3,FALSE),"-",A9)</f>
        <v>RRMM-PERCCO-8</v>
      </c>
      <c r="C9" s="22" t="str">
        <f t="shared" si="9"/>
        <v>LAMINA_LISA__ACERO_GALVANIZADA_3'X8'_17</v>
      </c>
      <c r="D9" s="14" t="s">
        <v>7407</v>
      </c>
      <c r="E9" s="14" t="s">
        <v>7380</v>
      </c>
      <c r="F9" s="21" t="s">
        <v>7381</v>
      </c>
      <c r="G9" s="22" t="s">
        <v>7382</v>
      </c>
      <c r="H9" s="14">
        <v>17</v>
      </c>
      <c r="I9" s="16">
        <v>1.37</v>
      </c>
      <c r="J9" s="16">
        <f t="shared" si="0"/>
        <v>5.3937007874015758E-2</v>
      </c>
      <c r="K9" s="16">
        <v>10.901999999999999</v>
      </c>
      <c r="L9" s="23"/>
      <c r="M9" s="23"/>
      <c r="N9" s="23"/>
      <c r="O9" s="23"/>
      <c r="P9" s="23"/>
      <c r="Q9" s="19"/>
      <c r="R9" s="17">
        <v>3</v>
      </c>
      <c r="S9" s="17">
        <v>8</v>
      </c>
      <c r="T9" s="16">
        <f t="shared" si="1"/>
        <v>2438.3999999999996</v>
      </c>
      <c r="U9" s="16">
        <f t="shared" si="2"/>
        <v>914.4</v>
      </c>
      <c r="V9" s="18">
        <f t="shared" si="3"/>
        <v>2229672.9599999995</v>
      </c>
      <c r="W9" s="18">
        <f t="shared" si="4"/>
        <v>2.2296729599999994</v>
      </c>
      <c r="X9" s="18">
        <f t="shared" si="5"/>
        <v>24.307894609919991</v>
      </c>
      <c r="Y9" s="24">
        <v>35</v>
      </c>
      <c r="Z9" s="24">
        <f t="shared" si="6"/>
        <v>850.77631134719968</v>
      </c>
      <c r="AA9" s="16">
        <v>5</v>
      </c>
      <c r="AB9" s="16">
        <f t="shared" si="7"/>
        <v>2428.3999999999996</v>
      </c>
      <c r="AC9" s="16">
        <f t="shared" si="7"/>
        <v>904.4</v>
      </c>
      <c r="AD9" s="19">
        <f t="shared" si="8"/>
        <v>2196244.9599999995</v>
      </c>
      <c r="AE9" s="1" t="s">
        <v>7456</v>
      </c>
      <c r="AF9" s="1" t="str">
        <f>VLOOKUP(AE9,t_objeto!B:C,2,FALSE)</f>
        <v>RAW_MATERIAL</v>
      </c>
      <c r="AG9" s="1">
        <v>8</v>
      </c>
      <c r="AH9" s="1" t="str">
        <f>VLOOKUP(AG9,t_entry_status!A:AE,2,FALSE)</f>
        <v>PENDING</v>
      </c>
      <c r="AI9" s="7">
        <v>45560</v>
      </c>
      <c r="AJ9" s="1" t="s">
        <v>7449</v>
      </c>
      <c r="AK9" s="7">
        <v>45560</v>
      </c>
      <c r="AL9" s="1" t="s">
        <v>7449</v>
      </c>
    </row>
    <row r="10" spans="1:38" s="20" customFormat="1" x14ac:dyDescent="0.25">
      <c r="A10" s="14">
        <v>9</v>
      </c>
      <c r="B10" s="14" t="str">
        <f>_xlfn.CONCAT(AE10,"-",VLOOKUP(AE10,t_objeto!B:D,3,FALSE),"-",A10)</f>
        <v>RRMM-PERCCO-9</v>
      </c>
      <c r="C10" s="22" t="str">
        <f t="shared" si="9"/>
        <v>LAMINA_LISA__ACERO_GALVANIZADA_3'X8'_18</v>
      </c>
      <c r="D10" s="14" t="s">
        <v>7407</v>
      </c>
      <c r="E10" s="14" t="s">
        <v>7380</v>
      </c>
      <c r="F10" s="21" t="s">
        <v>7381</v>
      </c>
      <c r="G10" s="22" t="s">
        <v>7382</v>
      </c>
      <c r="H10" s="14">
        <v>18</v>
      </c>
      <c r="I10" s="14">
        <v>1.21</v>
      </c>
      <c r="J10" s="16">
        <f t="shared" si="0"/>
        <v>4.7637795275590554E-2</v>
      </c>
      <c r="K10" s="16">
        <v>10.042999999999999</v>
      </c>
      <c r="L10" s="23"/>
      <c r="M10" s="23"/>
      <c r="N10" s="23"/>
      <c r="O10" s="23"/>
      <c r="P10" s="23"/>
      <c r="Q10" s="19"/>
      <c r="R10" s="17">
        <v>3</v>
      </c>
      <c r="S10" s="17">
        <v>8</v>
      </c>
      <c r="T10" s="16">
        <f t="shared" si="1"/>
        <v>2438.3999999999996</v>
      </c>
      <c r="U10" s="16">
        <f t="shared" si="2"/>
        <v>914.4</v>
      </c>
      <c r="V10" s="18">
        <f t="shared" si="3"/>
        <v>2229672.9599999995</v>
      </c>
      <c r="W10" s="18">
        <f t="shared" si="4"/>
        <v>2.2296729599999994</v>
      </c>
      <c r="X10" s="18">
        <f t="shared" si="5"/>
        <v>22.392605537279991</v>
      </c>
      <c r="Y10" s="24">
        <v>35</v>
      </c>
      <c r="Z10" s="24">
        <f t="shared" si="6"/>
        <v>783.74119380479965</v>
      </c>
      <c r="AA10" s="16">
        <v>5</v>
      </c>
      <c r="AB10" s="16">
        <f t="shared" si="7"/>
        <v>2428.3999999999996</v>
      </c>
      <c r="AC10" s="16">
        <f t="shared" si="7"/>
        <v>904.4</v>
      </c>
      <c r="AD10" s="19">
        <f t="shared" si="8"/>
        <v>2196244.9599999995</v>
      </c>
      <c r="AE10" s="1" t="s">
        <v>7456</v>
      </c>
      <c r="AF10" s="1" t="str">
        <f>VLOOKUP(AE10,t_objeto!B:C,2,FALSE)</f>
        <v>RAW_MATERIAL</v>
      </c>
      <c r="AG10" s="1">
        <v>8</v>
      </c>
      <c r="AH10" s="1" t="str">
        <f>VLOOKUP(AG10,t_entry_status!A:AE,2,FALSE)</f>
        <v>PENDING</v>
      </c>
      <c r="AI10" s="7">
        <v>45560</v>
      </c>
      <c r="AJ10" s="1" t="s">
        <v>7449</v>
      </c>
      <c r="AK10" s="7">
        <v>45560</v>
      </c>
      <c r="AL10" s="1" t="s">
        <v>7449</v>
      </c>
    </row>
    <row r="11" spans="1:38" s="20" customFormat="1" x14ac:dyDescent="0.25">
      <c r="A11" s="14">
        <v>10</v>
      </c>
      <c r="B11" s="14" t="str">
        <f>_xlfn.CONCAT(AE11,"-",VLOOKUP(AE11,t_objeto!B:D,3,FALSE),"-",A11)</f>
        <v>RRMM-PERCCO-10</v>
      </c>
      <c r="C11" s="22" t="str">
        <f t="shared" si="9"/>
        <v>LAMINA_LISA__ACERO_GALVANIZADA_3'X8'_19</v>
      </c>
      <c r="D11" s="14" t="s">
        <v>7407</v>
      </c>
      <c r="E11" s="14" t="s">
        <v>7380</v>
      </c>
      <c r="F11" s="21" t="s">
        <v>7381</v>
      </c>
      <c r="G11" s="22" t="s">
        <v>7382</v>
      </c>
      <c r="H11" s="14">
        <v>19</v>
      </c>
      <c r="I11" s="16">
        <v>1.06</v>
      </c>
      <c r="J11" s="16">
        <f t="shared" si="0"/>
        <v>4.1732283464566935E-2</v>
      </c>
      <c r="K11" s="16">
        <v>8.4350000000000005</v>
      </c>
      <c r="L11" s="23"/>
      <c r="M11" s="23"/>
      <c r="N11" s="23"/>
      <c r="O11" s="23"/>
      <c r="P11" s="23"/>
      <c r="Q11" s="19"/>
      <c r="R11" s="17">
        <v>3</v>
      </c>
      <c r="S11" s="17">
        <v>8</v>
      </c>
      <c r="T11" s="16">
        <f t="shared" si="1"/>
        <v>2438.3999999999996</v>
      </c>
      <c r="U11" s="16">
        <f t="shared" si="2"/>
        <v>914.4</v>
      </c>
      <c r="V11" s="18">
        <f t="shared" si="3"/>
        <v>2229672.9599999995</v>
      </c>
      <c r="W11" s="18">
        <f t="shared" si="4"/>
        <v>2.2296729599999994</v>
      </c>
      <c r="X11" s="18">
        <f t="shared" si="5"/>
        <v>18.807291417599995</v>
      </c>
      <c r="Y11" s="24">
        <v>35</v>
      </c>
      <c r="Z11" s="24">
        <f t="shared" si="6"/>
        <v>658.2551996159998</v>
      </c>
      <c r="AA11" s="16">
        <v>5</v>
      </c>
      <c r="AB11" s="16">
        <f t="shared" si="7"/>
        <v>2428.3999999999996</v>
      </c>
      <c r="AC11" s="16">
        <f t="shared" si="7"/>
        <v>904.4</v>
      </c>
      <c r="AD11" s="19">
        <f t="shared" si="8"/>
        <v>2196244.9599999995</v>
      </c>
      <c r="AE11" s="1" t="s">
        <v>7456</v>
      </c>
      <c r="AF11" s="1" t="str">
        <f>VLOOKUP(AE11,t_objeto!B:C,2,FALSE)</f>
        <v>RAW_MATERIAL</v>
      </c>
      <c r="AG11" s="1">
        <v>8</v>
      </c>
      <c r="AH11" s="1" t="str">
        <f>VLOOKUP(AG11,t_entry_status!A:AE,2,FALSE)</f>
        <v>PENDING</v>
      </c>
      <c r="AI11" s="7">
        <v>45560</v>
      </c>
      <c r="AJ11" s="1" t="s">
        <v>7449</v>
      </c>
      <c r="AK11" s="7">
        <v>45560</v>
      </c>
      <c r="AL11" s="1" t="s">
        <v>7449</v>
      </c>
    </row>
    <row r="12" spans="1:38" s="20" customFormat="1" x14ac:dyDescent="0.25">
      <c r="A12" s="14">
        <v>11</v>
      </c>
      <c r="B12" s="14" t="str">
        <f>_xlfn.CONCAT(AE12,"-",VLOOKUP(AE12,t_objeto!B:D,3,FALSE),"-",A12)</f>
        <v>RRMM-PERCCO-11</v>
      </c>
      <c r="C12" s="22" t="str">
        <f t="shared" si="9"/>
        <v>LAMINA_LISA__ACERO_GALVANIZADA_3'X8'_20</v>
      </c>
      <c r="D12" s="14" t="s">
        <v>7407</v>
      </c>
      <c r="E12" s="14" t="s">
        <v>7380</v>
      </c>
      <c r="F12" s="21" t="s">
        <v>7381</v>
      </c>
      <c r="G12" s="22" t="s">
        <v>7382</v>
      </c>
      <c r="H12" s="14">
        <v>20</v>
      </c>
      <c r="I12" s="14">
        <v>0.91</v>
      </c>
      <c r="J12" s="16">
        <f t="shared" si="0"/>
        <v>3.582677165354331E-2</v>
      </c>
      <c r="K12" s="16">
        <v>7.601</v>
      </c>
      <c r="L12" s="23"/>
      <c r="M12" s="23"/>
      <c r="N12" s="23"/>
      <c r="O12" s="23"/>
      <c r="P12" s="23"/>
      <c r="Q12" s="19"/>
      <c r="R12" s="17">
        <v>3</v>
      </c>
      <c r="S12" s="17">
        <v>8</v>
      </c>
      <c r="T12" s="16">
        <f t="shared" si="1"/>
        <v>2438.3999999999996</v>
      </c>
      <c r="U12" s="16">
        <f t="shared" si="2"/>
        <v>914.4</v>
      </c>
      <c r="V12" s="18">
        <f t="shared" si="3"/>
        <v>2229672.9599999995</v>
      </c>
      <c r="W12" s="18">
        <f t="shared" si="4"/>
        <v>2.2296729599999994</v>
      </c>
      <c r="X12" s="18">
        <f t="shared" si="5"/>
        <v>16.947744168959996</v>
      </c>
      <c r="Y12" s="24">
        <v>35</v>
      </c>
      <c r="Z12" s="24">
        <f t="shared" si="6"/>
        <v>593.17104591359987</v>
      </c>
      <c r="AA12" s="16">
        <v>5</v>
      </c>
      <c r="AB12" s="16">
        <f t="shared" si="7"/>
        <v>2428.3999999999996</v>
      </c>
      <c r="AC12" s="16">
        <f t="shared" si="7"/>
        <v>904.4</v>
      </c>
      <c r="AD12" s="19">
        <f t="shared" si="8"/>
        <v>2196244.9599999995</v>
      </c>
      <c r="AE12" s="1" t="s">
        <v>7456</v>
      </c>
      <c r="AF12" s="1" t="str">
        <f>VLOOKUP(AE12,t_objeto!B:C,2,FALSE)</f>
        <v>RAW_MATERIAL</v>
      </c>
      <c r="AG12" s="1">
        <v>8</v>
      </c>
      <c r="AH12" s="1" t="str">
        <f>VLOOKUP(AG12,t_entry_status!A:AE,2,FALSE)</f>
        <v>PENDING</v>
      </c>
      <c r="AI12" s="7">
        <v>45560</v>
      </c>
      <c r="AJ12" s="1" t="s">
        <v>7449</v>
      </c>
      <c r="AK12" s="7">
        <v>45560</v>
      </c>
      <c r="AL12" s="1" t="s">
        <v>7449</v>
      </c>
    </row>
    <row r="13" spans="1:38" s="20" customFormat="1" x14ac:dyDescent="0.25">
      <c r="A13" s="14">
        <v>12</v>
      </c>
      <c r="B13" s="14" t="str">
        <f>_xlfn.CONCAT(AE13,"-",VLOOKUP(AE13,t_objeto!B:D,3,FALSE),"-",A13)</f>
        <v>RRMM-PERCCO-12</v>
      </c>
      <c r="C13" s="22" t="str">
        <f t="shared" si="9"/>
        <v>LAMINA_LISA__ACERO_GALVANIZADA_3'X8'_21</v>
      </c>
      <c r="D13" s="14" t="s">
        <v>7407</v>
      </c>
      <c r="E13" s="14" t="s">
        <v>7380</v>
      </c>
      <c r="F13" s="21" t="s">
        <v>7381</v>
      </c>
      <c r="G13" s="22" t="s">
        <v>7382</v>
      </c>
      <c r="H13" s="14">
        <v>21</v>
      </c>
      <c r="I13" s="16">
        <v>0.84</v>
      </c>
      <c r="J13" s="16">
        <f t="shared" si="0"/>
        <v>3.3070866141732283E-2</v>
      </c>
      <c r="K13" s="16">
        <v>6.6840000000000002</v>
      </c>
      <c r="L13" s="23"/>
      <c r="M13" s="23"/>
      <c r="N13" s="23"/>
      <c r="O13" s="23"/>
      <c r="P13" s="23"/>
      <c r="Q13" s="19"/>
      <c r="R13" s="17">
        <v>3</v>
      </c>
      <c r="S13" s="17">
        <v>8</v>
      </c>
      <c r="T13" s="16">
        <f t="shared" si="1"/>
        <v>2438.3999999999996</v>
      </c>
      <c r="U13" s="16">
        <f t="shared" si="2"/>
        <v>914.4</v>
      </c>
      <c r="V13" s="18">
        <f t="shared" si="3"/>
        <v>2229672.9599999995</v>
      </c>
      <c r="W13" s="18">
        <f t="shared" si="4"/>
        <v>2.2296729599999994</v>
      </c>
      <c r="X13" s="18">
        <f t="shared" si="5"/>
        <v>14.903134064639996</v>
      </c>
      <c r="Y13" s="24">
        <v>35</v>
      </c>
      <c r="Z13" s="24">
        <f t="shared" si="6"/>
        <v>521.6096922623999</v>
      </c>
      <c r="AA13" s="16">
        <v>5</v>
      </c>
      <c r="AB13" s="16">
        <f t="shared" si="7"/>
        <v>2428.3999999999996</v>
      </c>
      <c r="AC13" s="16">
        <f t="shared" si="7"/>
        <v>904.4</v>
      </c>
      <c r="AD13" s="19">
        <f t="shared" si="8"/>
        <v>2196244.9599999995</v>
      </c>
      <c r="AE13" s="1" t="s">
        <v>7456</v>
      </c>
      <c r="AF13" s="1" t="str">
        <f>VLOOKUP(AE13,t_objeto!B:C,2,FALSE)</f>
        <v>RAW_MATERIAL</v>
      </c>
      <c r="AG13" s="1">
        <v>8</v>
      </c>
      <c r="AH13" s="1" t="str">
        <f>VLOOKUP(AG13,t_entry_status!A:AE,2,FALSE)</f>
        <v>PENDING</v>
      </c>
      <c r="AI13" s="7">
        <v>45560</v>
      </c>
      <c r="AJ13" s="1" t="s">
        <v>7449</v>
      </c>
      <c r="AK13" s="7">
        <v>45560</v>
      </c>
      <c r="AL13" s="1" t="s">
        <v>7449</v>
      </c>
    </row>
    <row r="14" spans="1:38" s="20" customFormat="1" x14ac:dyDescent="0.25">
      <c r="A14" s="14">
        <v>13</v>
      </c>
      <c r="B14" s="14" t="str">
        <f>_xlfn.CONCAT(AE14,"-",VLOOKUP(AE14,t_objeto!B:D,3,FALSE),"-",A14)</f>
        <v>RRMM-PERCCO-13</v>
      </c>
      <c r="C14" s="22" t="str">
        <f t="shared" si="9"/>
        <v>LAMINA_LISA__ACERO_GALVANIZADA_3'X8'_22</v>
      </c>
      <c r="D14" s="14" t="s">
        <v>7407</v>
      </c>
      <c r="E14" s="14" t="s">
        <v>7380</v>
      </c>
      <c r="F14" s="21" t="s">
        <v>7381</v>
      </c>
      <c r="G14" s="22" t="s">
        <v>7382</v>
      </c>
      <c r="H14" s="14">
        <v>22</v>
      </c>
      <c r="I14" s="14">
        <v>0.76</v>
      </c>
      <c r="J14" s="16">
        <f t="shared" si="0"/>
        <v>2.9921259842519688E-2</v>
      </c>
      <c r="K14" s="16">
        <v>6.38</v>
      </c>
      <c r="L14" s="23"/>
      <c r="M14" s="23"/>
      <c r="N14" s="23"/>
      <c r="O14" s="23"/>
      <c r="P14" s="23"/>
      <c r="Q14" s="19"/>
      <c r="R14" s="17">
        <v>3</v>
      </c>
      <c r="S14" s="17">
        <v>8</v>
      </c>
      <c r="T14" s="16">
        <f t="shared" si="1"/>
        <v>2438.3999999999996</v>
      </c>
      <c r="U14" s="16">
        <f t="shared" si="2"/>
        <v>914.4</v>
      </c>
      <c r="V14" s="18">
        <f t="shared" si="3"/>
        <v>2229672.9599999995</v>
      </c>
      <c r="W14" s="18">
        <f t="shared" si="4"/>
        <v>2.2296729599999994</v>
      </c>
      <c r="X14" s="18">
        <f t="shared" si="5"/>
        <v>14.225313484799996</v>
      </c>
      <c r="Y14" s="24">
        <v>35</v>
      </c>
      <c r="Z14" s="24">
        <f t="shared" si="6"/>
        <v>497.88597196799986</v>
      </c>
      <c r="AA14" s="16">
        <v>5</v>
      </c>
      <c r="AB14" s="16">
        <f t="shared" si="7"/>
        <v>2428.3999999999996</v>
      </c>
      <c r="AC14" s="16">
        <f t="shared" si="7"/>
        <v>904.4</v>
      </c>
      <c r="AD14" s="19">
        <f t="shared" si="8"/>
        <v>2196244.9599999995</v>
      </c>
      <c r="AE14" s="1" t="s">
        <v>7456</v>
      </c>
      <c r="AF14" s="1" t="str">
        <f>VLOOKUP(AE14,t_objeto!B:C,2,FALSE)</f>
        <v>RAW_MATERIAL</v>
      </c>
      <c r="AG14" s="1">
        <v>8</v>
      </c>
      <c r="AH14" s="1" t="str">
        <f>VLOOKUP(AG14,t_entry_status!A:AE,2,FALSE)</f>
        <v>PENDING</v>
      </c>
      <c r="AI14" s="7">
        <v>45560</v>
      </c>
      <c r="AJ14" s="1" t="s">
        <v>7449</v>
      </c>
      <c r="AK14" s="7">
        <v>45560</v>
      </c>
      <c r="AL14" s="1" t="s">
        <v>7449</v>
      </c>
    </row>
    <row r="15" spans="1:38" s="20" customFormat="1" x14ac:dyDescent="0.25">
      <c r="A15" s="14">
        <v>14</v>
      </c>
      <c r="B15" s="14" t="str">
        <f>_xlfn.CONCAT(AE15,"-",VLOOKUP(AE15,t_objeto!B:D,3,FALSE),"-",A15)</f>
        <v>RRMM-PERCCO-14</v>
      </c>
      <c r="C15" s="22" t="str">
        <f t="shared" si="9"/>
        <v>LAMINA_LISA__ACERO_GALVANIZADA_3'X8'_23</v>
      </c>
      <c r="D15" s="14" t="s">
        <v>7407</v>
      </c>
      <c r="E15" s="14" t="s">
        <v>7380</v>
      </c>
      <c r="F15" s="21" t="s">
        <v>7381</v>
      </c>
      <c r="G15" s="22" t="s">
        <v>7382</v>
      </c>
      <c r="H15" s="14">
        <v>23</v>
      </c>
      <c r="I15" s="16">
        <v>0.68</v>
      </c>
      <c r="J15" s="16">
        <f t="shared" si="0"/>
        <v>2.677165354330709E-2</v>
      </c>
      <c r="K15" s="16">
        <v>5.4109999999999996</v>
      </c>
      <c r="L15" s="23"/>
      <c r="M15" s="23"/>
      <c r="N15" s="23"/>
      <c r="O15" s="23"/>
      <c r="P15" s="23"/>
      <c r="Q15" s="19"/>
      <c r="R15" s="17">
        <v>3</v>
      </c>
      <c r="S15" s="17">
        <v>8</v>
      </c>
      <c r="T15" s="16">
        <f t="shared" si="1"/>
        <v>2438.3999999999996</v>
      </c>
      <c r="U15" s="16">
        <f t="shared" si="2"/>
        <v>914.4</v>
      </c>
      <c r="V15" s="18">
        <f t="shared" si="3"/>
        <v>2229672.9599999995</v>
      </c>
      <c r="W15" s="18">
        <f t="shared" si="4"/>
        <v>2.2296729599999994</v>
      </c>
      <c r="X15" s="18">
        <f t="shared" si="5"/>
        <v>12.064760386559996</v>
      </c>
      <c r="Y15" s="24">
        <v>35</v>
      </c>
      <c r="Z15" s="24">
        <f t="shared" si="6"/>
        <v>422.26661352959985</v>
      </c>
      <c r="AA15" s="16">
        <v>5</v>
      </c>
      <c r="AB15" s="16">
        <f t="shared" si="7"/>
        <v>2428.3999999999996</v>
      </c>
      <c r="AC15" s="16">
        <f t="shared" si="7"/>
        <v>904.4</v>
      </c>
      <c r="AD15" s="19">
        <f t="shared" si="8"/>
        <v>2196244.9599999995</v>
      </c>
      <c r="AE15" s="1" t="s">
        <v>7456</v>
      </c>
      <c r="AF15" s="1" t="str">
        <f>VLOOKUP(AE15,t_objeto!B:C,2,FALSE)</f>
        <v>RAW_MATERIAL</v>
      </c>
      <c r="AG15" s="1">
        <v>8</v>
      </c>
      <c r="AH15" s="1" t="str">
        <f>VLOOKUP(AG15,t_entry_status!A:AE,2,FALSE)</f>
        <v>PENDING</v>
      </c>
      <c r="AI15" s="7">
        <v>45560</v>
      </c>
      <c r="AJ15" s="1" t="s">
        <v>7449</v>
      </c>
      <c r="AK15" s="7">
        <v>45560</v>
      </c>
      <c r="AL15" s="1" t="s">
        <v>7449</v>
      </c>
    </row>
    <row r="16" spans="1:38" s="20" customFormat="1" x14ac:dyDescent="0.25">
      <c r="A16" s="14">
        <v>15</v>
      </c>
      <c r="B16" s="14" t="str">
        <f>_xlfn.CONCAT(AE16,"-",VLOOKUP(AE16,t_objeto!B:D,3,FALSE),"-",A16)</f>
        <v>RRMM-PERCCO-15</v>
      </c>
      <c r="C16" s="22" t="str">
        <f t="shared" si="9"/>
        <v>LAMINA_LISA__ACERO_GALVANIZADA_3'X8'_24</v>
      </c>
      <c r="D16" s="14" t="s">
        <v>7407</v>
      </c>
      <c r="E16" s="14" t="s">
        <v>7380</v>
      </c>
      <c r="F16" s="21" t="s">
        <v>7381</v>
      </c>
      <c r="G16" s="22" t="s">
        <v>7382</v>
      </c>
      <c r="H16" s="14">
        <v>24</v>
      </c>
      <c r="I16" s="14">
        <v>0.61</v>
      </c>
      <c r="J16" s="16">
        <f t="shared" si="0"/>
        <v>2.4015748031496063E-2</v>
      </c>
      <c r="K16" s="16">
        <v>5.1589999999999998</v>
      </c>
      <c r="L16" s="23"/>
      <c r="M16" s="23"/>
      <c r="N16" s="23"/>
      <c r="O16" s="23"/>
      <c r="P16" s="23"/>
      <c r="Q16" s="19"/>
      <c r="R16" s="17">
        <v>3</v>
      </c>
      <c r="S16" s="17">
        <v>8</v>
      </c>
      <c r="T16" s="16">
        <f t="shared" si="1"/>
        <v>2438.3999999999996</v>
      </c>
      <c r="U16" s="16">
        <f t="shared" si="2"/>
        <v>914.4</v>
      </c>
      <c r="V16" s="18">
        <f t="shared" si="3"/>
        <v>2229672.9599999995</v>
      </c>
      <c r="W16" s="18">
        <f t="shared" si="4"/>
        <v>2.2296729599999994</v>
      </c>
      <c r="X16" s="18">
        <f t="shared" si="5"/>
        <v>11.502882800639997</v>
      </c>
      <c r="Y16" s="24">
        <v>35</v>
      </c>
      <c r="Z16" s="24">
        <f t="shared" si="6"/>
        <v>402.60089802239986</v>
      </c>
      <c r="AA16" s="16">
        <v>5</v>
      </c>
      <c r="AB16" s="16">
        <f t="shared" si="7"/>
        <v>2428.3999999999996</v>
      </c>
      <c r="AC16" s="16">
        <f t="shared" si="7"/>
        <v>904.4</v>
      </c>
      <c r="AD16" s="19">
        <f t="shared" si="8"/>
        <v>2196244.9599999995</v>
      </c>
      <c r="AE16" s="1" t="s">
        <v>7456</v>
      </c>
      <c r="AF16" s="1" t="str">
        <f>VLOOKUP(AE16,t_objeto!B:C,2,FALSE)</f>
        <v>RAW_MATERIAL</v>
      </c>
      <c r="AG16" s="1">
        <v>8</v>
      </c>
      <c r="AH16" s="1" t="str">
        <f>VLOOKUP(AG16,t_entry_status!A:AE,2,FALSE)</f>
        <v>PENDING</v>
      </c>
      <c r="AI16" s="7">
        <v>45560</v>
      </c>
      <c r="AJ16" s="1" t="s">
        <v>7449</v>
      </c>
      <c r="AK16" s="7">
        <v>45560</v>
      </c>
      <c r="AL16" s="1" t="s">
        <v>7449</v>
      </c>
    </row>
    <row r="17" spans="1:38" s="20" customFormat="1" x14ac:dyDescent="0.25">
      <c r="A17" s="14">
        <v>16</v>
      </c>
      <c r="B17" s="14" t="str">
        <f>_xlfn.CONCAT(AE17,"-",VLOOKUP(AE17,t_objeto!B:D,3,FALSE),"-",A17)</f>
        <v>RRMM-PERCCO-16</v>
      </c>
      <c r="C17" s="22" t="str">
        <f t="shared" si="9"/>
        <v>LAMINA_LISA__ACERO_GALVANIZADA_3'X8'_25</v>
      </c>
      <c r="D17" s="14" t="s">
        <v>7407</v>
      </c>
      <c r="E17" s="14" t="s">
        <v>7380</v>
      </c>
      <c r="F17" s="21" t="s">
        <v>7381</v>
      </c>
      <c r="G17" s="22" t="s">
        <v>7382</v>
      </c>
      <c r="H17" s="14">
        <v>25</v>
      </c>
      <c r="I17" s="16">
        <v>0.53</v>
      </c>
      <c r="J17" s="16">
        <f t="shared" si="0"/>
        <v>2.0866141732283468E-2</v>
      </c>
      <c r="K17" s="16">
        <v>4.2169999999999996</v>
      </c>
      <c r="L17" s="23"/>
      <c r="M17" s="23"/>
      <c r="N17" s="23"/>
      <c r="O17" s="23"/>
      <c r="P17" s="23"/>
      <c r="Q17" s="19"/>
      <c r="R17" s="17">
        <v>3</v>
      </c>
      <c r="S17" s="17">
        <v>8</v>
      </c>
      <c r="T17" s="16">
        <f t="shared" si="1"/>
        <v>2438.3999999999996</v>
      </c>
      <c r="U17" s="16">
        <f t="shared" si="2"/>
        <v>914.4</v>
      </c>
      <c r="V17" s="18">
        <f t="shared" si="3"/>
        <v>2229672.9599999995</v>
      </c>
      <c r="W17" s="18">
        <f t="shared" si="4"/>
        <v>2.2296729599999994</v>
      </c>
      <c r="X17" s="18">
        <f t="shared" si="5"/>
        <v>9.4025308723199963</v>
      </c>
      <c r="Y17" s="24">
        <v>35</v>
      </c>
      <c r="Z17" s="24">
        <f t="shared" si="6"/>
        <v>329.08858053119985</v>
      </c>
      <c r="AA17" s="16">
        <v>5</v>
      </c>
      <c r="AB17" s="16">
        <f t="shared" si="7"/>
        <v>2428.3999999999996</v>
      </c>
      <c r="AC17" s="16">
        <f t="shared" si="7"/>
        <v>904.4</v>
      </c>
      <c r="AD17" s="19">
        <f t="shared" si="8"/>
        <v>2196244.9599999995</v>
      </c>
      <c r="AE17" s="1" t="s">
        <v>7456</v>
      </c>
      <c r="AF17" s="1" t="str">
        <f>VLOOKUP(AE17,t_objeto!B:C,2,FALSE)</f>
        <v>RAW_MATERIAL</v>
      </c>
      <c r="AG17" s="1">
        <v>8</v>
      </c>
      <c r="AH17" s="1" t="str">
        <f>VLOOKUP(AG17,t_entry_status!A:AE,2,FALSE)</f>
        <v>PENDING</v>
      </c>
      <c r="AI17" s="7">
        <v>45560</v>
      </c>
      <c r="AJ17" s="1" t="s">
        <v>7449</v>
      </c>
      <c r="AK17" s="7">
        <v>45560</v>
      </c>
      <c r="AL17" s="1" t="s">
        <v>7449</v>
      </c>
    </row>
    <row r="18" spans="1:38" s="20" customFormat="1" x14ac:dyDescent="0.25">
      <c r="A18" s="14">
        <v>17</v>
      </c>
      <c r="B18" s="14" t="str">
        <f>_xlfn.CONCAT(AE18,"-",VLOOKUP(AE18,t_objeto!B:D,3,FALSE),"-",A18)</f>
        <v>RRMM-PERCCO-17</v>
      </c>
      <c r="C18" s="22" t="str">
        <f t="shared" si="9"/>
        <v>LAMINA_LISA__ACERO_GALVANIZADA_3'X8'_26</v>
      </c>
      <c r="D18" s="14" t="s">
        <v>7407</v>
      </c>
      <c r="E18" s="14" t="s">
        <v>7380</v>
      </c>
      <c r="F18" s="21" t="s">
        <v>7381</v>
      </c>
      <c r="G18" s="22" t="s">
        <v>7382</v>
      </c>
      <c r="H18" s="14">
        <v>26</v>
      </c>
      <c r="I18" s="14">
        <v>0.45</v>
      </c>
      <c r="J18" s="16">
        <f t="shared" si="0"/>
        <v>1.7716535433070866E-2</v>
      </c>
      <c r="K18" s="16">
        <f>3.663+0.275</f>
        <v>3.9379999999999997</v>
      </c>
      <c r="L18" s="23"/>
      <c r="M18" s="23"/>
      <c r="N18" s="23"/>
      <c r="O18" s="23"/>
      <c r="P18" s="23"/>
      <c r="Q18" s="19"/>
      <c r="R18" s="17">
        <v>3</v>
      </c>
      <c r="S18" s="17">
        <v>8</v>
      </c>
      <c r="T18" s="16">
        <f t="shared" si="1"/>
        <v>2438.3999999999996</v>
      </c>
      <c r="U18" s="16">
        <f t="shared" si="2"/>
        <v>914.4</v>
      </c>
      <c r="V18" s="18">
        <f t="shared" si="3"/>
        <v>2229672.9599999995</v>
      </c>
      <c r="W18" s="18">
        <f t="shared" si="4"/>
        <v>2.2296729599999994</v>
      </c>
      <c r="X18" s="18">
        <f t="shared" si="5"/>
        <v>8.7804521164799976</v>
      </c>
      <c r="Y18" s="24">
        <v>35</v>
      </c>
      <c r="Z18" s="24">
        <f t="shared" si="6"/>
        <v>307.31582407679991</v>
      </c>
      <c r="AA18" s="16">
        <v>5</v>
      </c>
      <c r="AB18" s="16">
        <f t="shared" si="7"/>
        <v>2428.3999999999996</v>
      </c>
      <c r="AC18" s="16">
        <f t="shared" si="7"/>
        <v>904.4</v>
      </c>
      <c r="AD18" s="19">
        <f t="shared" si="8"/>
        <v>2196244.9599999995</v>
      </c>
      <c r="AE18" s="1" t="s">
        <v>7456</v>
      </c>
      <c r="AF18" s="1" t="str">
        <f>VLOOKUP(AE18,t_objeto!B:C,2,FALSE)</f>
        <v>RAW_MATERIAL</v>
      </c>
      <c r="AG18" s="1">
        <v>8</v>
      </c>
      <c r="AH18" s="1" t="str">
        <f>VLOOKUP(AG18,t_entry_status!A:AE,2,FALSE)</f>
        <v>PENDING</v>
      </c>
      <c r="AI18" s="7">
        <v>45560</v>
      </c>
      <c r="AJ18" s="1" t="s">
        <v>7449</v>
      </c>
      <c r="AK18" s="7">
        <v>45560</v>
      </c>
      <c r="AL18" s="1" t="s">
        <v>7449</v>
      </c>
    </row>
    <row r="19" spans="1:38" s="20" customFormat="1" x14ac:dyDescent="0.25">
      <c r="A19" s="14">
        <v>18</v>
      </c>
      <c r="B19" s="14" t="str">
        <f>_xlfn.CONCAT(AE19,"-",VLOOKUP(AE19,t_objeto!B:D,3,FALSE),"-",A19)</f>
        <v>RRMM-PERCCO-18</v>
      </c>
      <c r="C19" s="22" t="str">
        <f t="shared" si="9"/>
        <v>LAMINA_LISA__ACERO_GALVANIZADA_3'X8'_27</v>
      </c>
      <c r="D19" s="14" t="s">
        <v>7407</v>
      </c>
      <c r="E19" s="14" t="s">
        <v>7380</v>
      </c>
      <c r="F19" s="21" t="s">
        <v>7381</v>
      </c>
      <c r="G19" s="22" t="s">
        <v>7382</v>
      </c>
      <c r="H19" s="14">
        <v>27</v>
      </c>
      <c r="I19" s="16">
        <v>0.42</v>
      </c>
      <c r="J19" s="16">
        <f t="shared" si="0"/>
        <v>1.6535433070866142E-2</v>
      </c>
      <c r="K19" s="16">
        <v>3.3420000000000001</v>
      </c>
      <c r="L19" s="23"/>
      <c r="M19" s="23"/>
      <c r="N19" s="23"/>
      <c r="O19" s="23"/>
      <c r="P19" s="23"/>
      <c r="Q19" s="19"/>
      <c r="R19" s="17">
        <v>3</v>
      </c>
      <c r="S19" s="17">
        <v>8</v>
      </c>
      <c r="T19" s="16">
        <f t="shared" si="1"/>
        <v>2438.3999999999996</v>
      </c>
      <c r="U19" s="16">
        <f t="shared" si="2"/>
        <v>914.4</v>
      </c>
      <c r="V19" s="18">
        <f t="shared" si="3"/>
        <v>2229672.9599999995</v>
      </c>
      <c r="W19" s="18">
        <f t="shared" si="4"/>
        <v>2.2296729599999994</v>
      </c>
      <c r="X19" s="18">
        <f t="shared" si="5"/>
        <v>7.4515670323199981</v>
      </c>
      <c r="Y19" s="24">
        <v>35</v>
      </c>
      <c r="Z19" s="24">
        <f t="shared" si="6"/>
        <v>260.80484613119995</v>
      </c>
      <c r="AA19" s="16">
        <v>5</v>
      </c>
      <c r="AB19" s="16">
        <f t="shared" si="7"/>
        <v>2428.3999999999996</v>
      </c>
      <c r="AC19" s="16">
        <f t="shared" si="7"/>
        <v>904.4</v>
      </c>
      <c r="AD19" s="19">
        <f t="shared" si="8"/>
        <v>2196244.9599999995</v>
      </c>
      <c r="AE19" s="1" t="s">
        <v>7456</v>
      </c>
      <c r="AF19" s="1" t="str">
        <f>VLOOKUP(AE19,t_objeto!B:C,2,FALSE)</f>
        <v>RAW_MATERIAL</v>
      </c>
      <c r="AG19" s="1">
        <v>8</v>
      </c>
      <c r="AH19" s="1" t="str">
        <f>VLOOKUP(AG19,t_entry_status!A:AE,2,FALSE)</f>
        <v>PENDING</v>
      </c>
      <c r="AI19" s="7">
        <v>45560</v>
      </c>
      <c r="AJ19" s="1" t="s">
        <v>7449</v>
      </c>
      <c r="AK19" s="7">
        <v>45560</v>
      </c>
      <c r="AL19" s="1" t="s">
        <v>7449</v>
      </c>
    </row>
    <row r="20" spans="1:38" s="20" customFormat="1" x14ac:dyDescent="0.25">
      <c r="A20" s="14">
        <v>19</v>
      </c>
      <c r="B20" s="14" t="str">
        <f>_xlfn.CONCAT(AE20,"-",VLOOKUP(AE20,t_objeto!B:D,3,FALSE),"-",A20)</f>
        <v>RRMM-PERCCO-19</v>
      </c>
      <c r="C20" s="22" t="str">
        <f t="shared" si="9"/>
        <v>LAMINA_LISA__ACERO_GALVANIZADA_3'X8'_28</v>
      </c>
      <c r="D20" s="14" t="s">
        <v>7407</v>
      </c>
      <c r="E20" s="14" t="s">
        <v>7380</v>
      </c>
      <c r="F20" s="21" t="s">
        <v>7381</v>
      </c>
      <c r="G20" s="22" t="s">
        <v>7382</v>
      </c>
      <c r="H20" s="14">
        <v>28</v>
      </c>
      <c r="I20" s="14">
        <v>0.38</v>
      </c>
      <c r="J20" s="16">
        <f t="shared" si="0"/>
        <v>1.4960629921259844E-2</v>
      </c>
      <c r="K20" s="16">
        <v>3.327</v>
      </c>
      <c r="L20" s="23"/>
      <c r="M20" s="23"/>
      <c r="N20" s="23"/>
      <c r="O20" s="23"/>
      <c r="P20" s="23"/>
      <c r="Q20" s="19"/>
      <c r="R20" s="17">
        <v>3</v>
      </c>
      <c r="S20" s="17">
        <v>8</v>
      </c>
      <c r="T20" s="16">
        <f t="shared" si="1"/>
        <v>2438.3999999999996</v>
      </c>
      <c r="U20" s="16">
        <f t="shared" si="2"/>
        <v>914.4</v>
      </c>
      <c r="V20" s="18">
        <f t="shared" si="3"/>
        <v>2229672.9599999995</v>
      </c>
      <c r="W20" s="18">
        <f t="shared" si="4"/>
        <v>2.2296729599999994</v>
      </c>
      <c r="X20" s="18">
        <f t="shared" si="5"/>
        <v>7.4181219379199979</v>
      </c>
      <c r="Y20" s="24">
        <v>35</v>
      </c>
      <c r="Z20" s="24">
        <f t="shared" si="6"/>
        <v>259.63426782719995</v>
      </c>
      <c r="AA20" s="16">
        <v>5</v>
      </c>
      <c r="AB20" s="16">
        <f t="shared" si="7"/>
        <v>2428.3999999999996</v>
      </c>
      <c r="AC20" s="16">
        <f t="shared" si="7"/>
        <v>904.4</v>
      </c>
      <c r="AD20" s="19">
        <f t="shared" si="8"/>
        <v>2196244.9599999995</v>
      </c>
      <c r="AE20" s="1" t="s">
        <v>7456</v>
      </c>
      <c r="AF20" s="1" t="str">
        <f>VLOOKUP(AE20,t_objeto!B:C,2,FALSE)</f>
        <v>RAW_MATERIAL</v>
      </c>
      <c r="AG20" s="1">
        <v>8</v>
      </c>
      <c r="AH20" s="1" t="str">
        <f>VLOOKUP(AG20,t_entry_status!A:AE,2,FALSE)</f>
        <v>PENDING</v>
      </c>
      <c r="AI20" s="7">
        <v>45560</v>
      </c>
      <c r="AJ20" s="1" t="s">
        <v>7449</v>
      </c>
      <c r="AK20" s="7">
        <v>45560</v>
      </c>
      <c r="AL20" s="1" t="s">
        <v>7449</v>
      </c>
    </row>
    <row r="21" spans="1:38" s="20" customFormat="1" x14ac:dyDescent="0.25">
      <c r="A21" s="14">
        <v>20</v>
      </c>
      <c r="B21" s="14" t="str">
        <f>_xlfn.CONCAT(AE21,"-",VLOOKUP(AE21,t_objeto!B:D,3,FALSE),"-",A21)</f>
        <v>RRMM-PERCCO-20</v>
      </c>
      <c r="C21" s="22" t="str">
        <f t="shared" si="9"/>
        <v>LAMINA_LISA__ACERO_GALVANIZADA_3'X8'_29</v>
      </c>
      <c r="D21" s="14" t="s">
        <v>7407</v>
      </c>
      <c r="E21" s="14" t="s">
        <v>7380</v>
      </c>
      <c r="F21" s="21" t="s">
        <v>7381</v>
      </c>
      <c r="G21" s="22" t="s">
        <v>7382</v>
      </c>
      <c r="H21" s="14">
        <v>29</v>
      </c>
      <c r="I21" s="16">
        <v>0.34</v>
      </c>
      <c r="J21" s="16">
        <f t="shared" si="0"/>
        <v>1.3385826771653545E-2</v>
      </c>
      <c r="K21" s="16">
        <v>2.706</v>
      </c>
      <c r="L21" s="23"/>
      <c r="M21" s="23"/>
      <c r="N21" s="23"/>
      <c r="O21" s="23"/>
      <c r="P21" s="23"/>
      <c r="Q21" s="19"/>
      <c r="R21" s="17">
        <v>3</v>
      </c>
      <c r="S21" s="17">
        <v>8</v>
      </c>
      <c r="T21" s="16">
        <f t="shared" si="1"/>
        <v>2438.3999999999996</v>
      </c>
      <c r="U21" s="16">
        <f t="shared" si="2"/>
        <v>914.4</v>
      </c>
      <c r="V21" s="18">
        <f t="shared" si="3"/>
        <v>2229672.9599999995</v>
      </c>
      <c r="W21" s="18">
        <f t="shared" si="4"/>
        <v>2.2296729599999994</v>
      </c>
      <c r="X21" s="18">
        <f t="shared" si="5"/>
        <v>6.0334950297599983</v>
      </c>
      <c r="Y21" s="24">
        <v>35</v>
      </c>
      <c r="Z21" s="24">
        <f t="shared" si="6"/>
        <v>211.17232604159994</v>
      </c>
      <c r="AA21" s="16">
        <v>5</v>
      </c>
      <c r="AB21" s="16">
        <f t="shared" si="7"/>
        <v>2428.3999999999996</v>
      </c>
      <c r="AC21" s="16">
        <f t="shared" si="7"/>
        <v>904.4</v>
      </c>
      <c r="AD21" s="19">
        <f t="shared" si="8"/>
        <v>2196244.9599999995</v>
      </c>
      <c r="AE21" s="1" t="s">
        <v>7456</v>
      </c>
      <c r="AF21" s="1" t="str">
        <f>VLOOKUP(AE21,t_objeto!B:C,2,FALSE)</f>
        <v>RAW_MATERIAL</v>
      </c>
      <c r="AG21" s="1">
        <v>8</v>
      </c>
      <c r="AH21" s="1" t="str">
        <f>VLOOKUP(AG21,t_entry_status!A:AE,2,FALSE)</f>
        <v>PENDING</v>
      </c>
      <c r="AI21" s="7">
        <v>45560</v>
      </c>
      <c r="AJ21" s="1" t="s">
        <v>7449</v>
      </c>
      <c r="AK21" s="7">
        <v>45560</v>
      </c>
      <c r="AL21" s="1" t="s">
        <v>7449</v>
      </c>
    </row>
    <row r="22" spans="1:38" s="20" customFormat="1" x14ac:dyDescent="0.25">
      <c r="A22" s="14">
        <v>21</v>
      </c>
      <c r="B22" s="14" t="str">
        <f>_xlfn.CONCAT(AE22,"-",VLOOKUP(AE22,t_objeto!B:D,3,FALSE),"-",A22)</f>
        <v>RRMM-PERCCO-21</v>
      </c>
      <c r="C22" s="22" t="str">
        <f t="shared" si="9"/>
        <v>LAMINA_LISA__ACERO_GALVANIZADA_3'X8'_30</v>
      </c>
      <c r="D22" s="14" t="s">
        <v>7407</v>
      </c>
      <c r="E22" s="14" t="s">
        <v>7380</v>
      </c>
      <c r="F22" s="21" t="s">
        <v>7381</v>
      </c>
      <c r="G22" s="22" t="s">
        <v>7382</v>
      </c>
      <c r="H22" s="14">
        <v>30</v>
      </c>
      <c r="I22" s="14">
        <v>0.3</v>
      </c>
      <c r="J22" s="16">
        <f t="shared" si="0"/>
        <v>1.1811023622047244E-2</v>
      </c>
      <c r="K22" s="16">
        <v>2.673</v>
      </c>
      <c r="L22" s="23"/>
      <c r="M22" s="23"/>
      <c r="N22" s="23"/>
      <c r="O22" s="23"/>
      <c r="P22" s="23"/>
      <c r="Q22" s="19"/>
      <c r="R22" s="17">
        <v>3</v>
      </c>
      <c r="S22" s="17">
        <v>8</v>
      </c>
      <c r="T22" s="16">
        <f t="shared" si="1"/>
        <v>2438.3999999999996</v>
      </c>
      <c r="U22" s="16">
        <f t="shared" si="2"/>
        <v>914.4</v>
      </c>
      <c r="V22" s="18">
        <f t="shared" si="3"/>
        <v>2229672.9599999995</v>
      </c>
      <c r="W22" s="18">
        <f t="shared" si="4"/>
        <v>2.2296729599999994</v>
      </c>
      <c r="X22" s="18">
        <f t="shared" si="5"/>
        <v>5.9599158220799984</v>
      </c>
      <c r="Y22" s="24">
        <v>35</v>
      </c>
      <c r="Z22" s="24">
        <f t="shared" si="6"/>
        <v>208.59705377279994</v>
      </c>
      <c r="AA22" s="16">
        <v>5</v>
      </c>
      <c r="AB22" s="16">
        <f t="shared" si="7"/>
        <v>2428.3999999999996</v>
      </c>
      <c r="AC22" s="16">
        <f t="shared" si="7"/>
        <v>904.4</v>
      </c>
      <c r="AD22" s="19">
        <f t="shared" si="8"/>
        <v>2196244.9599999995</v>
      </c>
      <c r="AE22" s="1" t="s">
        <v>7456</v>
      </c>
      <c r="AF22" s="1" t="str">
        <f>VLOOKUP(AE22,t_objeto!B:C,2,FALSE)</f>
        <v>RAW_MATERIAL</v>
      </c>
      <c r="AG22" s="1">
        <v>8</v>
      </c>
      <c r="AH22" s="1" t="str">
        <f>VLOOKUP(AG22,t_entry_status!A:AE,2,FALSE)</f>
        <v>PENDING</v>
      </c>
      <c r="AI22" s="7">
        <v>45560</v>
      </c>
      <c r="AJ22" s="1" t="s">
        <v>7449</v>
      </c>
      <c r="AK22" s="7">
        <v>45560</v>
      </c>
      <c r="AL22" s="1" t="s">
        <v>7449</v>
      </c>
    </row>
    <row r="23" spans="1:38" s="20" customFormat="1" x14ac:dyDescent="0.25">
      <c r="A23" s="14">
        <v>22</v>
      </c>
      <c r="B23" s="14" t="str">
        <f>_xlfn.CONCAT(AE23,"-",VLOOKUP(AE23,t_objeto!B:D,3,FALSE),"-",A23)</f>
        <v>RRMM-PERCCO-22</v>
      </c>
      <c r="C23" s="22" t="str">
        <f t="shared" si="9"/>
        <v>LAMINA_LISA__ACERO_PINTRO_3'X6'_10</v>
      </c>
      <c r="D23" s="14" t="s">
        <v>7407</v>
      </c>
      <c r="E23" s="14" t="s">
        <v>7380</v>
      </c>
      <c r="F23" s="21" t="s">
        <v>7383</v>
      </c>
      <c r="G23" s="22" t="s">
        <v>7384</v>
      </c>
      <c r="H23" s="14">
        <v>10</v>
      </c>
      <c r="I23" s="14">
        <v>3.42</v>
      </c>
      <c r="J23" s="16">
        <f t="shared" si="0"/>
        <v>0.13464566929133859</v>
      </c>
      <c r="K23" s="16">
        <v>27.106999999999999</v>
      </c>
      <c r="L23" s="23"/>
      <c r="M23" s="23"/>
      <c r="N23" s="23"/>
      <c r="O23" s="23"/>
      <c r="P23" s="23"/>
      <c r="Q23" s="19"/>
      <c r="R23" s="17">
        <v>3</v>
      </c>
      <c r="S23" s="17">
        <v>6</v>
      </c>
      <c r="T23" s="16">
        <f t="shared" si="1"/>
        <v>1828.8</v>
      </c>
      <c r="U23" s="16">
        <f t="shared" si="2"/>
        <v>914.4</v>
      </c>
      <c r="V23" s="18">
        <f t="shared" si="3"/>
        <v>1672254.72</v>
      </c>
      <c r="W23" s="18">
        <f t="shared" si="4"/>
        <v>1.67225472</v>
      </c>
      <c r="X23" s="18">
        <f t="shared" si="5"/>
        <v>45.329808695040001</v>
      </c>
      <c r="Y23" s="24">
        <v>35</v>
      </c>
      <c r="Z23" s="24">
        <f t="shared" si="6"/>
        <v>1586.5433043263999</v>
      </c>
      <c r="AA23" s="16">
        <v>5</v>
      </c>
      <c r="AB23" s="16">
        <f t="shared" si="7"/>
        <v>1818.8</v>
      </c>
      <c r="AC23" s="16">
        <f t="shared" si="7"/>
        <v>904.4</v>
      </c>
      <c r="AD23" s="19">
        <f t="shared" si="8"/>
        <v>1644922.72</v>
      </c>
      <c r="AE23" s="1" t="s">
        <v>7456</v>
      </c>
      <c r="AF23" s="1" t="str">
        <f>VLOOKUP(AE23,t_objeto!B:C,2,FALSE)</f>
        <v>RAW_MATERIAL</v>
      </c>
      <c r="AG23" s="1">
        <v>8</v>
      </c>
      <c r="AH23" s="1" t="str">
        <f>VLOOKUP(AG23,t_entry_status!A:AE,2,FALSE)</f>
        <v>PENDING</v>
      </c>
      <c r="AI23" s="7">
        <v>45560</v>
      </c>
      <c r="AJ23" s="1" t="s">
        <v>7449</v>
      </c>
      <c r="AK23" s="7">
        <v>45560</v>
      </c>
      <c r="AL23" s="1" t="s">
        <v>7449</v>
      </c>
    </row>
    <row r="24" spans="1:38" s="20" customFormat="1" x14ac:dyDescent="0.25">
      <c r="A24" s="14">
        <v>23</v>
      </c>
      <c r="B24" s="14" t="str">
        <f>_xlfn.CONCAT(AE24,"-",VLOOKUP(AE24,t_objeto!B:D,3,FALSE),"-",A24)</f>
        <v>RRMM-PERCCO-23</v>
      </c>
      <c r="C24" s="22" t="str">
        <f t="shared" si="9"/>
        <v>LAMINA_LISA__ACERO_PINTRO_3'X6'_11</v>
      </c>
      <c r="D24" s="14" t="s">
        <v>7407</v>
      </c>
      <c r="E24" s="14" t="s">
        <v>7380</v>
      </c>
      <c r="F24" s="21" t="s">
        <v>7383</v>
      </c>
      <c r="G24" s="22" t="s">
        <v>7384</v>
      </c>
      <c r="H24" s="14">
        <v>11</v>
      </c>
      <c r="I24" s="16">
        <v>3.04</v>
      </c>
      <c r="J24" s="16">
        <f t="shared" si="0"/>
        <v>0.11968503937007875</v>
      </c>
      <c r="K24" s="16">
        <v>24.190999999999999</v>
      </c>
      <c r="L24" s="23"/>
      <c r="M24" s="23"/>
      <c r="N24" s="23"/>
      <c r="O24" s="23"/>
      <c r="P24" s="23"/>
      <c r="Q24" s="19"/>
      <c r="R24" s="17">
        <v>3</v>
      </c>
      <c r="S24" s="17">
        <v>6</v>
      </c>
      <c r="T24" s="16">
        <f t="shared" si="1"/>
        <v>1828.8</v>
      </c>
      <c r="U24" s="16">
        <f t="shared" si="2"/>
        <v>914.4</v>
      </c>
      <c r="V24" s="18">
        <f t="shared" si="3"/>
        <v>1672254.72</v>
      </c>
      <c r="W24" s="18">
        <f t="shared" si="4"/>
        <v>1.67225472</v>
      </c>
      <c r="X24" s="18">
        <f t="shared" si="5"/>
        <v>40.45351393152</v>
      </c>
      <c r="Y24" s="24">
        <v>35</v>
      </c>
      <c r="Z24" s="24">
        <f t="shared" si="6"/>
        <v>1415.8729876032</v>
      </c>
      <c r="AA24" s="16">
        <v>5</v>
      </c>
      <c r="AB24" s="16">
        <f t="shared" si="7"/>
        <v>1818.8</v>
      </c>
      <c r="AC24" s="16">
        <f t="shared" si="7"/>
        <v>904.4</v>
      </c>
      <c r="AD24" s="19">
        <f t="shared" si="8"/>
        <v>1644922.72</v>
      </c>
      <c r="AE24" s="1" t="s">
        <v>7456</v>
      </c>
      <c r="AF24" s="1" t="str">
        <f>VLOOKUP(AE24,t_objeto!B:C,2,FALSE)</f>
        <v>RAW_MATERIAL</v>
      </c>
      <c r="AG24" s="1">
        <v>8</v>
      </c>
      <c r="AH24" s="1" t="str">
        <f>VLOOKUP(AG24,t_entry_status!A:AE,2,FALSE)</f>
        <v>PENDING</v>
      </c>
      <c r="AI24" s="7">
        <v>45560</v>
      </c>
      <c r="AJ24" s="1" t="s">
        <v>7449</v>
      </c>
      <c r="AK24" s="7">
        <v>45560</v>
      </c>
      <c r="AL24" s="1" t="s">
        <v>7449</v>
      </c>
    </row>
    <row r="25" spans="1:38" s="20" customFormat="1" x14ac:dyDescent="0.25">
      <c r="A25" s="14">
        <v>24</v>
      </c>
      <c r="B25" s="14" t="str">
        <f>_xlfn.CONCAT(AE25,"-",VLOOKUP(AE25,t_objeto!B:D,3,FALSE),"-",A25)</f>
        <v>RRMM-PERCCO-24</v>
      </c>
      <c r="C25" s="22" t="str">
        <f t="shared" si="9"/>
        <v>LAMINA_LISA__ACERO_PINTRO_3'X6'_12</v>
      </c>
      <c r="D25" s="14" t="s">
        <v>7407</v>
      </c>
      <c r="E25" s="14" t="s">
        <v>7380</v>
      </c>
      <c r="F25" s="21" t="s">
        <v>7383</v>
      </c>
      <c r="G25" s="22" t="s">
        <v>7384</v>
      </c>
      <c r="H25" s="14">
        <v>12</v>
      </c>
      <c r="I25" s="14">
        <v>2.66</v>
      </c>
      <c r="J25" s="16">
        <f t="shared" si="0"/>
        <v>0.1047244094488189</v>
      </c>
      <c r="K25" s="16">
        <v>21.641999999999999</v>
      </c>
      <c r="L25" s="23"/>
      <c r="M25" s="23"/>
      <c r="N25" s="23"/>
      <c r="O25" s="23"/>
      <c r="P25" s="23"/>
      <c r="Q25" s="19"/>
      <c r="R25" s="17">
        <v>3</v>
      </c>
      <c r="S25" s="17">
        <v>6</v>
      </c>
      <c r="T25" s="16">
        <f t="shared" si="1"/>
        <v>1828.8</v>
      </c>
      <c r="U25" s="16">
        <f t="shared" si="2"/>
        <v>914.4</v>
      </c>
      <c r="V25" s="18">
        <f t="shared" si="3"/>
        <v>1672254.72</v>
      </c>
      <c r="W25" s="18">
        <f t="shared" si="4"/>
        <v>1.67225472</v>
      </c>
      <c r="X25" s="18">
        <f t="shared" si="5"/>
        <v>36.190936650239998</v>
      </c>
      <c r="Y25" s="24">
        <v>35</v>
      </c>
      <c r="Z25" s="24">
        <f t="shared" si="6"/>
        <v>1266.6827827584</v>
      </c>
      <c r="AA25" s="16">
        <v>5</v>
      </c>
      <c r="AB25" s="16">
        <f t="shared" si="7"/>
        <v>1818.8</v>
      </c>
      <c r="AC25" s="16">
        <f t="shared" si="7"/>
        <v>904.4</v>
      </c>
      <c r="AD25" s="19">
        <f t="shared" si="8"/>
        <v>1644922.72</v>
      </c>
      <c r="AE25" s="1" t="s">
        <v>7456</v>
      </c>
      <c r="AF25" s="1" t="str">
        <f>VLOOKUP(AE25,t_objeto!B:C,2,FALSE)</f>
        <v>RAW_MATERIAL</v>
      </c>
      <c r="AG25" s="1">
        <v>8</v>
      </c>
      <c r="AH25" s="1" t="str">
        <f>VLOOKUP(AG25,t_entry_status!A:AE,2,FALSE)</f>
        <v>PENDING</v>
      </c>
      <c r="AI25" s="7">
        <v>45560</v>
      </c>
      <c r="AJ25" s="1" t="s">
        <v>7449</v>
      </c>
      <c r="AK25" s="7">
        <v>45560</v>
      </c>
      <c r="AL25" s="1" t="s">
        <v>7449</v>
      </c>
    </row>
    <row r="26" spans="1:38" s="20" customFormat="1" x14ac:dyDescent="0.25">
      <c r="A26" s="14">
        <v>25</v>
      </c>
      <c r="B26" s="14" t="str">
        <f>_xlfn.CONCAT(AE26,"-",VLOOKUP(AE26,t_objeto!B:D,3,FALSE),"-",A26)</f>
        <v>RRMM-PERCCO-25</v>
      </c>
      <c r="C26" s="22" t="str">
        <f t="shared" si="9"/>
        <v>LAMINA_LISA__ACERO_PINTRO_3'X6'_13</v>
      </c>
      <c r="D26" s="14" t="s">
        <v>7407</v>
      </c>
      <c r="E26" s="14" t="s">
        <v>7380</v>
      </c>
      <c r="F26" s="21" t="s">
        <v>7383</v>
      </c>
      <c r="G26" s="22" t="s">
        <v>7384</v>
      </c>
      <c r="H26" s="14">
        <v>13</v>
      </c>
      <c r="I26" s="16">
        <v>2.2799999999999998</v>
      </c>
      <c r="J26" s="16">
        <f t="shared" si="0"/>
        <v>8.9763779527559054E-2</v>
      </c>
      <c r="K26" s="16">
        <v>18.143000000000001</v>
      </c>
      <c r="L26" s="23"/>
      <c r="M26" s="23"/>
      <c r="N26" s="23"/>
      <c r="O26" s="23"/>
      <c r="P26" s="23"/>
      <c r="Q26" s="19"/>
      <c r="R26" s="17">
        <v>3</v>
      </c>
      <c r="S26" s="17">
        <v>6</v>
      </c>
      <c r="T26" s="16">
        <f t="shared" si="1"/>
        <v>1828.8</v>
      </c>
      <c r="U26" s="16">
        <f t="shared" si="2"/>
        <v>914.4</v>
      </c>
      <c r="V26" s="18">
        <f t="shared" si="3"/>
        <v>1672254.72</v>
      </c>
      <c r="W26" s="18">
        <f t="shared" si="4"/>
        <v>1.67225472</v>
      </c>
      <c r="X26" s="18">
        <f t="shared" si="5"/>
        <v>30.33971738496</v>
      </c>
      <c r="Y26" s="24">
        <v>35</v>
      </c>
      <c r="Z26" s="24">
        <f t="shared" si="6"/>
        <v>1061.8901084736001</v>
      </c>
      <c r="AA26" s="16">
        <v>5</v>
      </c>
      <c r="AB26" s="16">
        <f t="shared" si="7"/>
        <v>1818.8</v>
      </c>
      <c r="AC26" s="16">
        <f t="shared" si="7"/>
        <v>904.4</v>
      </c>
      <c r="AD26" s="19">
        <f t="shared" si="8"/>
        <v>1644922.72</v>
      </c>
      <c r="AE26" s="1" t="s">
        <v>7456</v>
      </c>
      <c r="AF26" s="1" t="str">
        <f>VLOOKUP(AE26,t_objeto!B:C,2,FALSE)</f>
        <v>RAW_MATERIAL</v>
      </c>
      <c r="AG26" s="1">
        <v>8</v>
      </c>
      <c r="AH26" s="1" t="str">
        <f>VLOOKUP(AG26,t_entry_status!A:AE,2,FALSE)</f>
        <v>PENDING</v>
      </c>
      <c r="AI26" s="7">
        <v>45560</v>
      </c>
      <c r="AJ26" s="1" t="s">
        <v>7449</v>
      </c>
      <c r="AK26" s="7">
        <v>45560</v>
      </c>
      <c r="AL26" s="1" t="s">
        <v>7449</v>
      </c>
    </row>
    <row r="27" spans="1:38" s="20" customFormat="1" ht="18.75" x14ac:dyDescent="0.3">
      <c r="A27" s="14">
        <v>26</v>
      </c>
      <c r="B27" s="14" t="str">
        <f>_xlfn.CONCAT(AE27,"-",VLOOKUP(AE27,t_objeto!B:D,3,FALSE),"-",A27)</f>
        <v>RRMM-PERCCO-26</v>
      </c>
      <c r="C27" s="22" t="str">
        <f t="shared" si="9"/>
        <v>LAMINA_LISA__ACERO_PINTRO_3'X6'_14</v>
      </c>
      <c r="D27" s="14" t="s">
        <v>7407</v>
      </c>
      <c r="E27" s="14" t="s">
        <v>7380</v>
      </c>
      <c r="F27" s="21" t="s">
        <v>7383</v>
      </c>
      <c r="G27" s="22" t="s">
        <v>7384</v>
      </c>
      <c r="H27" s="14">
        <v>14</v>
      </c>
      <c r="I27" s="14">
        <v>1.9</v>
      </c>
      <c r="J27" s="16">
        <f t="shared" si="0"/>
        <v>7.4803149606299218E-2</v>
      </c>
      <c r="K27" s="25">
        <v>16.928999999999998</v>
      </c>
      <c r="L27" s="23"/>
      <c r="M27" s="23"/>
      <c r="N27" s="23"/>
      <c r="O27" s="23"/>
      <c r="P27" s="23"/>
      <c r="Q27" s="19"/>
      <c r="R27" s="17">
        <v>3</v>
      </c>
      <c r="S27" s="17">
        <v>6</v>
      </c>
      <c r="T27" s="16">
        <f t="shared" si="1"/>
        <v>1828.8</v>
      </c>
      <c r="U27" s="16">
        <f t="shared" si="2"/>
        <v>914.4</v>
      </c>
      <c r="V27" s="18">
        <f t="shared" si="3"/>
        <v>1672254.72</v>
      </c>
      <c r="W27" s="18">
        <f t="shared" si="4"/>
        <v>1.67225472</v>
      </c>
      <c r="X27" s="18">
        <f t="shared" si="5"/>
        <v>28.309600154879998</v>
      </c>
      <c r="Y27" s="24">
        <v>35</v>
      </c>
      <c r="Z27" s="24">
        <f t="shared" si="6"/>
        <v>990.83600542079989</v>
      </c>
      <c r="AA27" s="16">
        <v>5</v>
      </c>
      <c r="AB27" s="16">
        <f t="shared" si="7"/>
        <v>1818.8</v>
      </c>
      <c r="AC27" s="16">
        <f t="shared" si="7"/>
        <v>904.4</v>
      </c>
      <c r="AD27" s="19">
        <f t="shared" si="8"/>
        <v>1644922.72</v>
      </c>
      <c r="AE27" s="1" t="s">
        <v>7456</v>
      </c>
      <c r="AF27" s="1" t="str">
        <f>VLOOKUP(AE27,t_objeto!B:C,2,FALSE)</f>
        <v>RAW_MATERIAL</v>
      </c>
      <c r="AG27" s="1">
        <v>8</v>
      </c>
      <c r="AH27" s="1" t="str">
        <f>VLOOKUP(AG27,t_entry_status!A:AE,2,FALSE)</f>
        <v>PENDING</v>
      </c>
      <c r="AI27" s="7">
        <v>45560</v>
      </c>
      <c r="AJ27" s="1" t="s">
        <v>7449</v>
      </c>
      <c r="AK27" s="7">
        <v>45560</v>
      </c>
      <c r="AL27" s="1" t="s">
        <v>7449</v>
      </c>
    </row>
    <row r="28" spans="1:38" s="20" customFormat="1" x14ac:dyDescent="0.25">
      <c r="A28" s="14">
        <v>27</v>
      </c>
      <c r="B28" s="14" t="str">
        <f>_xlfn.CONCAT(AE28,"-",VLOOKUP(AE28,t_objeto!B:D,3,FALSE),"-",A28)</f>
        <v>RRMM-PERCCO-27</v>
      </c>
      <c r="C28" s="22" t="str">
        <f t="shared" si="9"/>
        <v>LAMINA_LISA__ACERO_PINTRO_3'X6'_15</v>
      </c>
      <c r="D28" s="14" t="s">
        <v>7407</v>
      </c>
      <c r="E28" s="14" t="s">
        <v>7380</v>
      </c>
      <c r="F28" s="21" t="s">
        <v>7383</v>
      </c>
      <c r="G28" s="22" t="s">
        <v>7384</v>
      </c>
      <c r="H28" s="14">
        <v>15</v>
      </c>
      <c r="I28" s="16">
        <v>1.71</v>
      </c>
      <c r="J28" s="16">
        <f t="shared" si="0"/>
        <v>6.7322834645669294E-2</v>
      </c>
      <c r="K28" s="16">
        <v>13.606999999999999</v>
      </c>
      <c r="L28" s="23"/>
      <c r="M28" s="23"/>
      <c r="N28" s="23"/>
      <c r="O28" s="23"/>
      <c r="P28" s="23"/>
      <c r="Q28" s="19"/>
      <c r="R28" s="17">
        <v>3</v>
      </c>
      <c r="S28" s="17">
        <v>6</v>
      </c>
      <c r="T28" s="16">
        <f t="shared" si="1"/>
        <v>1828.8</v>
      </c>
      <c r="U28" s="16">
        <f t="shared" si="2"/>
        <v>914.4</v>
      </c>
      <c r="V28" s="18">
        <f t="shared" si="3"/>
        <v>1672254.72</v>
      </c>
      <c r="W28" s="18">
        <f t="shared" si="4"/>
        <v>1.67225472</v>
      </c>
      <c r="X28" s="18">
        <f t="shared" si="5"/>
        <v>22.754369975039999</v>
      </c>
      <c r="Y28" s="24">
        <v>35</v>
      </c>
      <c r="Z28" s="24">
        <f t="shared" si="6"/>
        <v>796.40294912640002</v>
      </c>
      <c r="AA28" s="16">
        <v>5</v>
      </c>
      <c r="AB28" s="16">
        <f t="shared" si="7"/>
        <v>1818.8</v>
      </c>
      <c r="AC28" s="16">
        <f t="shared" si="7"/>
        <v>904.4</v>
      </c>
      <c r="AD28" s="19">
        <f t="shared" si="8"/>
        <v>1644922.72</v>
      </c>
      <c r="AE28" s="1" t="s">
        <v>7456</v>
      </c>
      <c r="AF28" s="1" t="str">
        <f>VLOOKUP(AE28,t_objeto!B:C,2,FALSE)</f>
        <v>RAW_MATERIAL</v>
      </c>
      <c r="AG28" s="1">
        <v>8</v>
      </c>
      <c r="AH28" s="1" t="str">
        <f>VLOOKUP(AG28,t_entry_status!A:AE,2,FALSE)</f>
        <v>PENDING</v>
      </c>
      <c r="AI28" s="7">
        <v>45560</v>
      </c>
      <c r="AJ28" s="1" t="s">
        <v>7449</v>
      </c>
      <c r="AK28" s="7">
        <v>45560</v>
      </c>
      <c r="AL28" s="1" t="s">
        <v>7449</v>
      </c>
    </row>
    <row r="29" spans="1:38" s="20" customFormat="1" x14ac:dyDescent="0.25">
      <c r="A29" s="14">
        <v>28</v>
      </c>
      <c r="B29" s="14" t="str">
        <f>_xlfn.CONCAT(AE29,"-",VLOOKUP(AE29,t_objeto!B:D,3,FALSE),"-",A29)</f>
        <v>RRMM-PERCCO-28</v>
      </c>
      <c r="C29" s="22" t="str">
        <f t="shared" si="9"/>
        <v>LAMINA_LISA__ACERO_PINTRO_3'X6'_16</v>
      </c>
      <c r="D29" s="14" t="s">
        <v>7407</v>
      </c>
      <c r="E29" s="14" t="s">
        <v>7380</v>
      </c>
      <c r="F29" s="21" t="s">
        <v>7383</v>
      </c>
      <c r="G29" s="22" t="s">
        <v>7384</v>
      </c>
      <c r="H29" s="14">
        <v>16</v>
      </c>
      <c r="I29" s="14">
        <v>1.52</v>
      </c>
      <c r="J29" s="16">
        <f t="shared" si="0"/>
        <v>5.9842519685039376E-2</v>
      </c>
      <c r="K29" s="16">
        <v>12.484999999999999</v>
      </c>
      <c r="L29" s="23"/>
      <c r="M29" s="23"/>
      <c r="N29" s="23"/>
      <c r="O29" s="23"/>
      <c r="P29" s="23"/>
      <c r="Q29" s="19"/>
      <c r="R29" s="17">
        <v>3</v>
      </c>
      <c r="S29" s="17">
        <v>6</v>
      </c>
      <c r="T29" s="16">
        <f t="shared" si="1"/>
        <v>1828.8</v>
      </c>
      <c r="U29" s="16">
        <f t="shared" si="2"/>
        <v>914.4</v>
      </c>
      <c r="V29" s="18">
        <f t="shared" si="3"/>
        <v>1672254.72</v>
      </c>
      <c r="W29" s="18">
        <f t="shared" si="4"/>
        <v>1.67225472</v>
      </c>
      <c r="X29" s="18">
        <f t="shared" si="5"/>
        <v>20.878100179199997</v>
      </c>
      <c r="Y29" s="24">
        <v>35</v>
      </c>
      <c r="Z29" s="24">
        <f t="shared" si="6"/>
        <v>730.73350627199989</v>
      </c>
      <c r="AA29" s="16">
        <v>5</v>
      </c>
      <c r="AB29" s="16">
        <f t="shared" si="7"/>
        <v>1818.8</v>
      </c>
      <c r="AC29" s="16">
        <f t="shared" si="7"/>
        <v>904.4</v>
      </c>
      <c r="AD29" s="19">
        <f t="shared" si="8"/>
        <v>1644922.72</v>
      </c>
      <c r="AE29" s="1" t="s">
        <v>7456</v>
      </c>
      <c r="AF29" s="1" t="str">
        <f>VLOOKUP(AE29,t_objeto!B:C,2,FALSE)</f>
        <v>RAW_MATERIAL</v>
      </c>
      <c r="AG29" s="1">
        <v>8</v>
      </c>
      <c r="AH29" s="1" t="str">
        <f>VLOOKUP(AG29,t_entry_status!A:AE,2,FALSE)</f>
        <v>PENDING</v>
      </c>
      <c r="AI29" s="7">
        <v>45560</v>
      </c>
      <c r="AJ29" s="1" t="s">
        <v>7449</v>
      </c>
      <c r="AK29" s="7">
        <v>45560</v>
      </c>
      <c r="AL29" s="1" t="s">
        <v>7449</v>
      </c>
    </row>
    <row r="30" spans="1:38" s="20" customFormat="1" x14ac:dyDescent="0.25">
      <c r="A30" s="14">
        <v>29</v>
      </c>
      <c r="B30" s="14" t="str">
        <f>_xlfn.CONCAT(AE30,"-",VLOOKUP(AE30,t_objeto!B:D,3,FALSE),"-",A30)</f>
        <v>RRMM-PERCCO-29</v>
      </c>
      <c r="C30" s="22" t="str">
        <f t="shared" si="9"/>
        <v>LAMINA_LISA__ACERO_PINTRO_3'X6'_17</v>
      </c>
      <c r="D30" s="14" t="s">
        <v>7407</v>
      </c>
      <c r="E30" s="14" t="s">
        <v>7380</v>
      </c>
      <c r="F30" s="21" t="s">
        <v>7383</v>
      </c>
      <c r="G30" s="22" t="s">
        <v>7384</v>
      </c>
      <c r="H30" s="14">
        <v>17</v>
      </c>
      <c r="I30" s="16">
        <v>1.37</v>
      </c>
      <c r="J30" s="16">
        <f t="shared" si="0"/>
        <v>5.3937007874015758E-2</v>
      </c>
      <c r="K30" s="16">
        <v>10.901999999999999</v>
      </c>
      <c r="L30" s="23"/>
      <c r="M30" s="23"/>
      <c r="N30" s="23"/>
      <c r="O30" s="23"/>
      <c r="P30" s="23"/>
      <c r="Q30" s="19"/>
      <c r="R30" s="17">
        <v>3</v>
      </c>
      <c r="S30" s="17">
        <v>6</v>
      </c>
      <c r="T30" s="16">
        <f t="shared" si="1"/>
        <v>1828.8</v>
      </c>
      <c r="U30" s="16">
        <f t="shared" si="2"/>
        <v>914.4</v>
      </c>
      <c r="V30" s="18">
        <f t="shared" si="3"/>
        <v>1672254.72</v>
      </c>
      <c r="W30" s="18">
        <f t="shared" si="4"/>
        <v>1.67225472</v>
      </c>
      <c r="X30" s="18">
        <f t="shared" si="5"/>
        <v>18.230920957439999</v>
      </c>
      <c r="Y30" s="24">
        <v>35</v>
      </c>
      <c r="Z30" s="24">
        <f t="shared" si="6"/>
        <v>638.08223351039999</v>
      </c>
      <c r="AA30" s="16">
        <v>5</v>
      </c>
      <c r="AB30" s="16">
        <f t="shared" si="7"/>
        <v>1818.8</v>
      </c>
      <c r="AC30" s="16">
        <f t="shared" si="7"/>
        <v>904.4</v>
      </c>
      <c r="AD30" s="19">
        <f t="shared" si="8"/>
        <v>1644922.72</v>
      </c>
      <c r="AE30" s="1" t="s">
        <v>7456</v>
      </c>
      <c r="AF30" s="1" t="str">
        <f>VLOOKUP(AE30,t_objeto!B:C,2,FALSE)</f>
        <v>RAW_MATERIAL</v>
      </c>
      <c r="AG30" s="1">
        <v>8</v>
      </c>
      <c r="AH30" s="1" t="str">
        <f>VLOOKUP(AG30,t_entry_status!A:AE,2,FALSE)</f>
        <v>PENDING</v>
      </c>
      <c r="AI30" s="7">
        <v>45560</v>
      </c>
      <c r="AJ30" s="1" t="s">
        <v>7449</v>
      </c>
      <c r="AK30" s="7">
        <v>45560</v>
      </c>
      <c r="AL30" s="1" t="s">
        <v>7449</v>
      </c>
    </row>
    <row r="31" spans="1:38" s="20" customFormat="1" x14ac:dyDescent="0.25">
      <c r="A31" s="14">
        <v>30</v>
      </c>
      <c r="B31" s="14" t="str">
        <f>_xlfn.CONCAT(AE31,"-",VLOOKUP(AE31,t_objeto!B:D,3,FALSE),"-",A31)</f>
        <v>RRMM-PERCCO-30</v>
      </c>
      <c r="C31" s="22" t="str">
        <f t="shared" si="9"/>
        <v>LAMINA_LISA__ACERO_PINTRO_3'X6'_18</v>
      </c>
      <c r="D31" s="14" t="s">
        <v>7407</v>
      </c>
      <c r="E31" s="14" t="s">
        <v>7380</v>
      </c>
      <c r="F31" s="21" t="s">
        <v>7383</v>
      </c>
      <c r="G31" s="22" t="s">
        <v>7384</v>
      </c>
      <c r="H31" s="14">
        <v>18</v>
      </c>
      <c r="I31" s="14">
        <v>1.21</v>
      </c>
      <c r="J31" s="16">
        <f t="shared" si="0"/>
        <v>4.7637795275590554E-2</v>
      </c>
      <c r="K31" s="16">
        <v>10.042999999999999</v>
      </c>
      <c r="L31" s="23"/>
      <c r="M31" s="23"/>
      <c r="N31" s="23"/>
      <c r="O31" s="23"/>
      <c r="P31" s="23"/>
      <c r="Q31" s="19"/>
      <c r="R31" s="17">
        <v>3</v>
      </c>
      <c r="S31" s="17">
        <v>6</v>
      </c>
      <c r="T31" s="16">
        <f t="shared" si="1"/>
        <v>1828.8</v>
      </c>
      <c r="U31" s="16">
        <f t="shared" si="2"/>
        <v>914.4</v>
      </c>
      <c r="V31" s="18">
        <f t="shared" si="3"/>
        <v>1672254.72</v>
      </c>
      <c r="W31" s="18">
        <f t="shared" si="4"/>
        <v>1.67225472</v>
      </c>
      <c r="X31" s="18">
        <f t="shared" si="5"/>
        <v>16.79445415296</v>
      </c>
      <c r="Y31" s="24">
        <v>35</v>
      </c>
      <c r="Z31" s="24">
        <f t="shared" si="6"/>
        <v>587.80589535360002</v>
      </c>
      <c r="AA31" s="16">
        <v>5</v>
      </c>
      <c r="AB31" s="16">
        <f t="shared" si="7"/>
        <v>1818.8</v>
      </c>
      <c r="AC31" s="16">
        <f t="shared" si="7"/>
        <v>904.4</v>
      </c>
      <c r="AD31" s="19">
        <f t="shared" si="8"/>
        <v>1644922.72</v>
      </c>
      <c r="AE31" s="1" t="s">
        <v>7456</v>
      </c>
      <c r="AF31" s="1" t="str">
        <f>VLOOKUP(AE31,t_objeto!B:C,2,FALSE)</f>
        <v>RAW_MATERIAL</v>
      </c>
      <c r="AG31" s="1">
        <v>8</v>
      </c>
      <c r="AH31" s="1" t="str">
        <f>VLOOKUP(AG31,t_entry_status!A:AE,2,FALSE)</f>
        <v>PENDING</v>
      </c>
      <c r="AI31" s="7">
        <v>45560</v>
      </c>
      <c r="AJ31" s="1" t="s">
        <v>7449</v>
      </c>
      <c r="AK31" s="7">
        <v>45560</v>
      </c>
      <c r="AL31" s="1" t="s">
        <v>7449</v>
      </c>
    </row>
    <row r="32" spans="1:38" s="20" customFormat="1" x14ac:dyDescent="0.25">
      <c r="A32" s="14">
        <v>31</v>
      </c>
      <c r="B32" s="14" t="str">
        <f>_xlfn.CONCAT(AE32,"-",VLOOKUP(AE32,t_objeto!B:D,3,FALSE),"-",A32)</f>
        <v>RRMM-PERCCO-31</v>
      </c>
      <c r="C32" s="22" t="str">
        <f t="shared" si="9"/>
        <v>LAMINA_LISA__ACERO_PINTRO_3'X6'_19</v>
      </c>
      <c r="D32" s="14" t="s">
        <v>7407</v>
      </c>
      <c r="E32" s="14" t="s">
        <v>7380</v>
      </c>
      <c r="F32" s="21" t="s">
        <v>7383</v>
      </c>
      <c r="G32" s="22" t="s">
        <v>7384</v>
      </c>
      <c r="H32" s="14">
        <v>19</v>
      </c>
      <c r="I32" s="16">
        <v>1.06</v>
      </c>
      <c r="J32" s="16">
        <f t="shared" si="0"/>
        <v>4.1732283464566935E-2</v>
      </c>
      <c r="K32" s="16">
        <v>8.4350000000000005</v>
      </c>
      <c r="L32" s="23"/>
      <c r="M32" s="23"/>
      <c r="N32" s="23"/>
      <c r="O32" s="23"/>
      <c r="P32" s="23"/>
      <c r="Q32" s="19"/>
      <c r="R32" s="17">
        <v>3</v>
      </c>
      <c r="S32" s="17">
        <v>6</v>
      </c>
      <c r="T32" s="16">
        <f t="shared" si="1"/>
        <v>1828.8</v>
      </c>
      <c r="U32" s="16">
        <f t="shared" si="2"/>
        <v>914.4</v>
      </c>
      <c r="V32" s="18">
        <f t="shared" si="3"/>
        <v>1672254.72</v>
      </c>
      <c r="W32" s="18">
        <f t="shared" si="4"/>
        <v>1.67225472</v>
      </c>
      <c r="X32" s="18">
        <f t="shared" si="5"/>
        <v>14.105468563200001</v>
      </c>
      <c r="Y32" s="24">
        <v>35</v>
      </c>
      <c r="Z32" s="24">
        <f t="shared" si="6"/>
        <v>493.69139971200002</v>
      </c>
      <c r="AA32" s="16">
        <v>5</v>
      </c>
      <c r="AB32" s="16">
        <f t="shared" si="7"/>
        <v>1818.8</v>
      </c>
      <c r="AC32" s="16">
        <f t="shared" si="7"/>
        <v>904.4</v>
      </c>
      <c r="AD32" s="19">
        <f t="shared" si="8"/>
        <v>1644922.72</v>
      </c>
      <c r="AE32" s="1" t="s">
        <v>7456</v>
      </c>
      <c r="AF32" s="1" t="str">
        <f>VLOOKUP(AE32,t_objeto!B:C,2,FALSE)</f>
        <v>RAW_MATERIAL</v>
      </c>
      <c r="AG32" s="1">
        <v>8</v>
      </c>
      <c r="AH32" s="1" t="str">
        <f>VLOOKUP(AG32,t_entry_status!A:AE,2,FALSE)</f>
        <v>PENDING</v>
      </c>
      <c r="AI32" s="7">
        <v>45560</v>
      </c>
      <c r="AJ32" s="1" t="s">
        <v>7449</v>
      </c>
      <c r="AK32" s="7">
        <v>45560</v>
      </c>
      <c r="AL32" s="1" t="s">
        <v>7449</v>
      </c>
    </row>
    <row r="33" spans="1:38" s="20" customFormat="1" x14ac:dyDescent="0.25">
      <c r="A33" s="14">
        <v>32</v>
      </c>
      <c r="B33" s="14" t="str">
        <f>_xlfn.CONCAT(AE33,"-",VLOOKUP(AE33,t_objeto!B:D,3,FALSE),"-",A33)</f>
        <v>RRMM-PERCCO-32</v>
      </c>
      <c r="C33" s="22" t="str">
        <f t="shared" si="9"/>
        <v>LAMINA_LISA__ACERO_PINTRO_3'X6'_20</v>
      </c>
      <c r="D33" s="14" t="s">
        <v>7407</v>
      </c>
      <c r="E33" s="14" t="s">
        <v>7380</v>
      </c>
      <c r="F33" s="21" t="s">
        <v>7383</v>
      </c>
      <c r="G33" s="22" t="s">
        <v>7384</v>
      </c>
      <c r="H33" s="14">
        <v>20</v>
      </c>
      <c r="I33" s="14">
        <v>0.91</v>
      </c>
      <c r="J33" s="16">
        <f t="shared" si="0"/>
        <v>3.582677165354331E-2</v>
      </c>
      <c r="K33" s="16">
        <v>7.601</v>
      </c>
      <c r="L33" s="23"/>
      <c r="M33" s="23"/>
      <c r="N33" s="23"/>
      <c r="O33" s="23"/>
      <c r="P33" s="23"/>
      <c r="Q33" s="19"/>
      <c r="R33" s="17">
        <v>3</v>
      </c>
      <c r="S33" s="17">
        <v>6</v>
      </c>
      <c r="T33" s="16">
        <f t="shared" si="1"/>
        <v>1828.8</v>
      </c>
      <c r="U33" s="16">
        <f t="shared" si="2"/>
        <v>914.4</v>
      </c>
      <c r="V33" s="18">
        <f t="shared" si="3"/>
        <v>1672254.72</v>
      </c>
      <c r="W33" s="18">
        <f t="shared" si="4"/>
        <v>1.67225472</v>
      </c>
      <c r="X33" s="18">
        <f t="shared" si="5"/>
        <v>12.71080812672</v>
      </c>
      <c r="Y33" s="24">
        <v>35</v>
      </c>
      <c r="Z33" s="24">
        <f t="shared" si="6"/>
        <v>444.87828443519999</v>
      </c>
      <c r="AA33" s="16">
        <v>5</v>
      </c>
      <c r="AB33" s="16">
        <f t="shared" si="7"/>
        <v>1818.8</v>
      </c>
      <c r="AC33" s="16">
        <f t="shared" si="7"/>
        <v>904.4</v>
      </c>
      <c r="AD33" s="19">
        <f t="shared" si="8"/>
        <v>1644922.72</v>
      </c>
      <c r="AE33" s="1" t="s">
        <v>7456</v>
      </c>
      <c r="AF33" s="1" t="str">
        <f>VLOOKUP(AE33,t_objeto!B:C,2,FALSE)</f>
        <v>RAW_MATERIAL</v>
      </c>
      <c r="AG33" s="1">
        <v>8</v>
      </c>
      <c r="AH33" s="1" t="str">
        <f>VLOOKUP(AG33,t_entry_status!A:AE,2,FALSE)</f>
        <v>PENDING</v>
      </c>
      <c r="AI33" s="7">
        <v>45560</v>
      </c>
      <c r="AJ33" s="1" t="s">
        <v>7449</v>
      </c>
      <c r="AK33" s="7">
        <v>45560</v>
      </c>
      <c r="AL33" s="1" t="s">
        <v>7449</v>
      </c>
    </row>
    <row r="34" spans="1:38" s="20" customFormat="1" x14ac:dyDescent="0.25">
      <c r="A34" s="14">
        <v>33</v>
      </c>
      <c r="B34" s="14" t="str">
        <f>_xlfn.CONCAT(AE34,"-",VLOOKUP(AE34,t_objeto!B:D,3,FALSE),"-",A34)</f>
        <v>RRMM-PERCCO-33</v>
      </c>
      <c r="C34" s="22" t="str">
        <f t="shared" si="9"/>
        <v>LAMINA_LISA__ACERO_PINTRO_3'X6'_21</v>
      </c>
      <c r="D34" s="14" t="s">
        <v>7407</v>
      </c>
      <c r="E34" s="14" t="s">
        <v>7380</v>
      </c>
      <c r="F34" s="21" t="s">
        <v>7383</v>
      </c>
      <c r="G34" s="22" t="s">
        <v>7384</v>
      </c>
      <c r="H34" s="14">
        <v>21</v>
      </c>
      <c r="I34" s="16">
        <v>0.84</v>
      </c>
      <c r="J34" s="16">
        <f t="shared" si="0"/>
        <v>3.3070866141732283E-2</v>
      </c>
      <c r="K34" s="16">
        <v>6.6840000000000002</v>
      </c>
      <c r="L34" s="23"/>
      <c r="M34" s="23"/>
      <c r="N34" s="23"/>
      <c r="O34" s="23"/>
      <c r="P34" s="23"/>
      <c r="Q34" s="19"/>
      <c r="R34" s="17">
        <v>3</v>
      </c>
      <c r="S34" s="17">
        <v>6</v>
      </c>
      <c r="T34" s="16">
        <f t="shared" si="1"/>
        <v>1828.8</v>
      </c>
      <c r="U34" s="16">
        <f t="shared" si="2"/>
        <v>914.4</v>
      </c>
      <c r="V34" s="18">
        <f t="shared" si="3"/>
        <v>1672254.72</v>
      </c>
      <c r="W34" s="18">
        <f t="shared" si="4"/>
        <v>1.67225472</v>
      </c>
      <c r="X34" s="18">
        <f t="shared" si="5"/>
        <v>11.17735054848</v>
      </c>
      <c r="Y34" s="24">
        <v>35</v>
      </c>
      <c r="Z34" s="24">
        <f t="shared" si="6"/>
        <v>391.20726919679998</v>
      </c>
      <c r="AA34" s="16">
        <v>5</v>
      </c>
      <c r="AB34" s="16">
        <f t="shared" si="7"/>
        <v>1818.8</v>
      </c>
      <c r="AC34" s="16">
        <f t="shared" si="7"/>
        <v>904.4</v>
      </c>
      <c r="AD34" s="19">
        <f t="shared" si="8"/>
        <v>1644922.72</v>
      </c>
      <c r="AE34" s="1" t="s">
        <v>7456</v>
      </c>
      <c r="AF34" s="1" t="str">
        <f>VLOOKUP(AE34,t_objeto!B:C,2,FALSE)</f>
        <v>RAW_MATERIAL</v>
      </c>
      <c r="AG34" s="1">
        <v>8</v>
      </c>
      <c r="AH34" s="1" t="str">
        <f>VLOOKUP(AG34,t_entry_status!A:AE,2,FALSE)</f>
        <v>PENDING</v>
      </c>
      <c r="AI34" s="7">
        <v>45560</v>
      </c>
      <c r="AJ34" s="1" t="s">
        <v>7449</v>
      </c>
      <c r="AK34" s="7">
        <v>45560</v>
      </c>
      <c r="AL34" s="1" t="s">
        <v>7449</v>
      </c>
    </row>
    <row r="35" spans="1:38" s="20" customFormat="1" x14ac:dyDescent="0.25">
      <c r="A35" s="14">
        <v>34</v>
      </c>
      <c r="B35" s="14" t="str">
        <f>_xlfn.CONCAT(AE35,"-",VLOOKUP(AE35,t_objeto!B:D,3,FALSE),"-",A35)</f>
        <v>RRMM-PERCCO-34</v>
      </c>
      <c r="C35" s="22" t="str">
        <f t="shared" si="9"/>
        <v>LAMINA_LISA__ACERO_PINTRO_3'X6'_22</v>
      </c>
      <c r="D35" s="14" t="s">
        <v>7407</v>
      </c>
      <c r="E35" s="14" t="s">
        <v>7380</v>
      </c>
      <c r="F35" s="21" t="s">
        <v>7383</v>
      </c>
      <c r="G35" s="22" t="s">
        <v>7384</v>
      </c>
      <c r="H35" s="14">
        <v>22</v>
      </c>
      <c r="I35" s="14">
        <v>0.76</v>
      </c>
      <c r="J35" s="16">
        <f t="shared" si="0"/>
        <v>2.9921259842519688E-2</v>
      </c>
      <c r="K35" s="16">
        <v>6.38</v>
      </c>
      <c r="L35" s="23"/>
      <c r="M35" s="23"/>
      <c r="N35" s="23"/>
      <c r="O35" s="23"/>
      <c r="P35" s="23"/>
      <c r="Q35" s="19"/>
      <c r="R35" s="17">
        <v>3</v>
      </c>
      <c r="S35" s="17">
        <v>6</v>
      </c>
      <c r="T35" s="16">
        <f t="shared" si="1"/>
        <v>1828.8</v>
      </c>
      <c r="U35" s="16">
        <f t="shared" si="2"/>
        <v>914.4</v>
      </c>
      <c r="V35" s="18">
        <f t="shared" si="3"/>
        <v>1672254.72</v>
      </c>
      <c r="W35" s="18">
        <f t="shared" si="4"/>
        <v>1.67225472</v>
      </c>
      <c r="X35" s="18">
        <f t="shared" si="5"/>
        <v>10.6689851136</v>
      </c>
      <c r="Y35" s="24">
        <v>35</v>
      </c>
      <c r="Z35" s="24">
        <f t="shared" si="6"/>
        <v>373.414478976</v>
      </c>
      <c r="AA35" s="16">
        <v>5</v>
      </c>
      <c r="AB35" s="16">
        <f t="shared" si="7"/>
        <v>1818.8</v>
      </c>
      <c r="AC35" s="16">
        <f t="shared" si="7"/>
        <v>904.4</v>
      </c>
      <c r="AD35" s="19">
        <f t="shared" si="8"/>
        <v>1644922.72</v>
      </c>
      <c r="AE35" s="1" t="s">
        <v>7456</v>
      </c>
      <c r="AF35" s="1" t="str">
        <f>VLOOKUP(AE35,t_objeto!B:C,2,FALSE)</f>
        <v>RAW_MATERIAL</v>
      </c>
      <c r="AG35" s="1">
        <v>8</v>
      </c>
      <c r="AH35" s="1" t="str">
        <f>VLOOKUP(AG35,t_entry_status!A:AE,2,FALSE)</f>
        <v>PENDING</v>
      </c>
      <c r="AI35" s="7">
        <v>45560</v>
      </c>
      <c r="AJ35" s="1" t="s">
        <v>7449</v>
      </c>
      <c r="AK35" s="7">
        <v>45560</v>
      </c>
      <c r="AL35" s="1" t="s">
        <v>7449</v>
      </c>
    </row>
    <row r="36" spans="1:38" s="20" customFormat="1" x14ac:dyDescent="0.25">
      <c r="A36" s="14">
        <v>35</v>
      </c>
      <c r="B36" s="14" t="str">
        <f>_xlfn.CONCAT(AE36,"-",VLOOKUP(AE36,t_objeto!B:D,3,FALSE),"-",A36)</f>
        <v>RRMM-PERCCO-35</v>
      </c>
      <c r="C36" s="22" t="str">
        <f t="shared" si="9"/>
        <v>LAMINA_LISA__ACERO_PINTRO_3'X6'_23</v>
      </c>
      <c r="D36" s="14" t="s">
        <v>7407</v>
      </c>
      <c r="E36" s="14" t="s">
        <v>7380</v>
      </c>
      <c r="F36" s="21" t="s">
        <v>7383</v>
      </c>
      <c r="G36" s="22" t="s">
        <v>7384</v>
      </c>
      <c r="H36" s="14">
        <v>23</v>
      </c>
      <c r="I36" s="16">
        <v>0.68</v>
      </c>
      <c r="J36" s="16">
        <f t="shared" si="0"/>
        <v>2.677165354330709E-2</v>
      </c>
      <c r="K36" s="16">
        <v>5.4109999999999996</v>
      </c>
      <c r="L36" s="23"/>
      <c r="M36" s="23"/>
      <c r="N36" s="23"/>
      <c r="O36" s="23"/>
      <c r="P36" s="23"/>
      <c r="Q36" s="19"/>
      <c r="R36" s="17">
        <v>3</v>
      </c>
      <c r="S36" s="17">
        <v>6</v>
      </c>
      <c r="T36" s="16">
        <f t="shared" si="1"/>
        <v>1828.8</v>
      </c>
      <c r="U36" s="16">
        <f t="shared" si="2"/>
        <v>914.4</v>
      </c>
      <c r="V36" s="18">
        <f t="shared" si="3"/>
        <v>1672254.72</v>
      </c>
      <c r="W36" s="18">
        <f t="shared" si="4"/>
        <v>1.67225472</v>
      </c>
      <c r="X36" s="18">
        <f t="shared" si="5"/>
        <v>9.0485702899199989</v>
      </c>
      <c r="Y36" s="24">
        <v>35</v>
      </c>
      <c r="Z36" s="24">
        <f t="shared" si="6"/>
        <v>316.69996014719999</v>
      </c>
      <c r="AA36" s="16">
        <v>5</v>
      </c>
      <c r="AB36" s="16">
        <f t="shared" si="7"/>
        <v>1818.8</v>
      </c>
      <c r="AC36" s="16">
        <f t="shared" si="7"/>
        <v>904.4</v>
      </c>
      <c r="AD36" s="19">
        <f t="shared" si="8"/>
        <v>1644922.72</v>
      </c>
      <c r="AE36" s="1" t="s">
        <v>7456</v>
      </c>
      <c r="AF36" s="1" t="str">
        <f>VLOOKUP(AE36,t_objeto!B:C,2,FALSE)</f>
        <v>RAW_MATERIAL</v>
      </c>
      <c r="AG36" s="1">
        <v>8</v>
      </c>
      <c r="AH36" s="1" t="str">
        <f>VLOOKUP(AG36,t_entry_status!A:AE,2,FALSE)</f>
        <v>PENDING</v>
      </c>
      <c r="AI36" s="7">
        <v>45560</v>
      </c>
      <c r="AJ36" s="1" t="s">
        <v>7449</v>
      </c>
      <c r="AK36" s="7">
        <v>45560</v>
      </c>
      <c r="AL36" s="1" t="s">
        <v>7449</v>
      </c>
    </row>
    <row r="37" spans="1:38" s="20" customFormat="1" x14ac:dyDescent="0.25">
      <c r="A37" s="14">
        <v>36</v>
      </c>
      <c r="B37" s="14" t="str">
        <f>_xlfn.CONCAT(AE37,"-",VLOOKUP(AE37,t_objeto!B:D,3,FALSE),"-",A37)</f>
        <v>RRMM-PERCCO-36</v>
      </c>
      <c r="C37" s="22" t="str">
        <f t="shared" si="9"/>
        <v>LAMINA_LISA__ACERO_PINTRO_3'X6'_24</v>
      </c>
      <c r="D37" s="14" t="s">
        <v>7407</v>
      </c>
      <c r="E37" s="14" t="s">
        <v>7380</v>
      </c>
      <c r="F37" s="21" t="s">
        <v>7383</v>
      </c>
      <c r="G37" s="22" t="s">
        <v>7384</v>
      </c>
      <c r="H37" s="14">
        <v>24</v>
      </c>
      <c r="I37" s="14">
        <v>0.61</v>
      </c>
      <c r="J37" s="16">
        <f t="shared" si="0"/>
        <v>2.4015748031496063E-2</v>
      </c>
      <c r="K37" s="16">
        <v>5.1589999999999998</v>
      </c>
      <c r="L37" s="23"/>
      <c r="M37" s="23"/>
      <c r="N37" s="23"/>
      <c r="O37" s="23"/>
      <c r="P37" s="23"/>
      <c r="Q37" s="19"/>
      <c r="R37" s="17">
        <v>3</v>
      </c>
      <c r="S37" s="17">
        <v>6</v>
      </c>
      <c r="T37" s="16">
        <f t="shared" si="1"/>
        <v>1828.8</v>
      </c>
      <c r="U37" s="16">
        <f t="shared" si="2"/>
        <v>914.4</v>
      </c>
      <c r="V37" s="18">
        <f t="shared" si="3"/>
        <v>1672254.72</v>
      </c>
      <c r="W37" s="18">
        <f t="shared" si="4"/>
        <v>1.67225472</v>
      </c>
      <c r="X37" s="18">
        <f t="shared" si="5"/>
        <v>8.6271621004799997</v>
      </c>
      <c r="Y37" s="24">
        <v>35</v>
      </c>
      <c r="Z37" s="24">
        <f t="shared" si="6"/>
        <v>301.95067351680001</v>
      </c>
      <c r="AA37" s="16">
        <v>5</v>
      </c>
      <c r="AB37" s="16">
        <f t="shared" si="7"/>
        <v>1818.8</v>
      </c>
      <c r="AC37" s="16">
        <f t="shared" si="7"/>
        <v>904.4</v>
      </c>
      <c r="AD37" s="19">
        <f t="shared" si="8"/>
        <v>1644922.72</v>
      </c>
      <c r="AE37" s="1" t="s">
        <v>7456</v>
      </c>
      <c r="AF37" s="1" t="str">
        <f>VLOOKUP(AE37,t_objeto!B:C,2,FALSE)</f>
        <v>RAW_MATERIAL</v>
      </c>
      <c r="AG37" s="1">
        <v>8</v>
      </c>
      <c r="AH37" s="1" t="str">
        <f>VLOOKUP(AG37,t_entry_status!A:AE,2,FALSE)</f>
        <v>PENDING</v>
      </c>
      <c r="AI37" s="7">
        <v>45560</v>
      </c>
      <c r="AJ37" s="1" t="s">
        <v>7449</v>
      </c>
      <c r="AK37" s="7">
        <v>45560</v>
      </c>
      <c r="AL37" s="1" t="s">
        <v>7449</v>
      </c>
    </row>
    <row r="38" spans="1:38" s="20" customFormat="1" x14ac:dyDescent="0.25">
      <c r="A38" s="14">
        <v>37</v>
      </c>
      <c r="B38" s="14" t="str">
        <f>_xlfn.CONCAT(AE38,"-",VLOOKUP(AE38,t_objeto!B:D,3,FALSE),"-",A38)</f>
        <v>RRMM-PERCCO-37</v>
      </c>
      <c r="C38" s="22" t="str">
        <f t="shared" si="9"/>
        <v>LAMINA_LISA__ACERO_PINTRO_3'X6'_25</v>
      </c>
      <c r="D38" s="14" t="s">
        <v>7407</v>
      </c>
      <c r="E38" s="14" t="s">
        <v>7380</v>
      </c>
      <c r="F38" s="21" t="s">
        <v>7383</v>
      </c>
      <c r="G38" s="22" t="s">
        <v>7384</v>
      </c>
      <c r="H38" s="14">
        <v>25</v>
      </c>
      <c r="I38" s="16">
        <v>0.53</v>
      </c>
      <c r="J38" s="16">
        <f t="shared" si="0"/>
        <v>2.0866141732283468E-2</v>
      </c>
      <c r="K38" s="16">
        <v>4.2169999999999996</v>
      </c>
      <c r="L38" s="23"/>
      <c r="M38" s="23"/>
      <c r="N38" s="23"/>
      <c r="O38" s="23"/>
      <c r="P38" s="23"/>
      <c r="Q38" s="19"/>
      <c r="R38" s="17">
        <v>3</v>
      </c>
      <c r="S38" s="17">
        <v>6</v>
      </c>
      <c r="T38" s="16">
        <f t="shared" si="1"/>
        <v>1828.8</v>
      </c>
      <c r="U38" s="16">
        <f t="shared" si="2"/>
        <v>914.4</v>
      </c>
      <c r="V38" s="18">
        <f t="shared" si="3"/>
        <v>1672254.72</v>
      </c>
      <c r="W38" s="18">
        <f t="shared" si="4"/>
        <v>1.67225472</v>
      </c>
      <c r="X38" s="18">
        <f t="shared" si="5"/>
        <v>7.051898154239999</v>
      </c>
      <c r="Y38" s="24">
        <v>35</v>
      </c>
      <c r="Z38" s="24">
        <f t="shared" si="6"/>
        <v>246.81643539839996</v>
      </c>
      <c r="AA38" s="16">
        <v>5</v>
      </c>
      <c r="AB38" s="16">
        <f t="shared" si="7"/>
        <v>1818.8</v>
      </c>
      <c r="AC38" s="16">
        <f t="shared" si="7"/>
        <v>904.4</v>
      </c>
      <c r="AD38" s="19">
        <f t="shared" si="8"/>
        <v>1644922.72</v>
      </c>
      <c r="AE38" s="1" t="s">
        <v>7456</v>
      </c>
      <c r="AF38" s="1" t="str">
        <f>VLOOKUP(AE38,t_objeto!B:C,2,FALSE)</f>
        <v>RAW_MATERIAL</v>
      </c>
      <c r="AG38" s="1">
        <v>8</v>
      </c>
      <c r="AH38" s="1" t="str">
        <f>VLOOKUP(AG38,t_entry_status!A:AE,2,FALSE)</f>
        <v>PENDING</v>
      </c>
      <c r="AI38" s="7">
        <v>45560</v>
      </c>
      <c r="AJ38" s="1" t="s">
        <v>7449</v>
      </c>
      <c r="AK38" s="7">
        <v>45560</v>
      </c>
      <c r="AL38" s="1" t="s">
        <v>7449</v>
      </c>
    </row>
    <row r="39" spans="1:38" s="20" customFormat="1" x14ac:dyDescent="0.25">
      <c r="A39" s="14">
        <v>38</v>
      </c>
      <c r="B39" s="14" t="str">
        <f>_xlfn.CONCAT(AE39,"-",VLOOKUP(AE39,t_objeto!B:D,3,FALSE),"-",A39)</f>
        <v>RRMM-PERCCO-38</v>
      </c>
      <c r="C39" s="22" t="str">
        <f t="shared" si="9"/>
        <v>LAMINA_LISA__ACERO_PINTRO_3'X6'_26</v>
      </c>
      <c r="D39" s="14" t="s">
        <v>7407</v>
      </c>
      <c r="E39" s="14" t="s">
        <v>7380</v>
      </c>
      <c r="F39" s="21" t="s">
        <v>7383</v>
      </c>
      <c r="G39" s="22" t="s">
        <v>7384</v>
      </c>
      <c r="H39" s="14">
        <v>26</v>
      </c>
      <c r="I39" s="14">
        <v>0.45</v>
      </c>
      <c r="J39" s="16">
        <f t="shared" si="0"/>
        <v>1.7716535433070866E-2</v>
      </c>
      <c r="K39" s="16">
        <f>3.663+0.275</f>
        <v>3.9379999999999997</v>
      </c>
      <c r="L39" s="23"/>
      <c r="M39" s="23"/>
      <c r="N39" s="23"/>
      <c r="O39" s="23"/>
      <c r="P39" s="23"/>
      <c r="Q39" s="19"/>
      <c r="R39" s="17">
        <v>3</v>
      </c>
      <c r="S39" s="17">
        <v>6</v>
      </c>
      <c r="T39" s="16">
        <f t="shared" si="1"/>
        <v>1828.8</v>
      </c>
      <c r="U39" s="16">
        <f t="shared" si="2"/>
        <v>914.4</v>
      </c>
      <c r="V39" s="18">
        <f t="shared" si="3"/>
        <v>1672254.72</v>
      </c>
      <c r="W39" s="18">
        <f t="shared" si="4"/>
        <v>1.67225472</v>
      </c>
      <c r="X39" s="18">
        <f t="shared" si="5"/>
        <v>6.5853390873599995</v>
      </c>
      <c r="Y39" s="24">
        <v>35</v>
      </c>
      <c r="Z39" s="24">
        <f t="shared" si="6"/>
        <v>230.48686805759999</v>
      </c>
      <c r="AA39" s="16">
        <v>5</v>
      </c>
      <c r="AB39" s="16">
        <f t="shared" si="7"/>
        <v>1818.8</v>
      </c>
      <c r="AC39" s="16">
        <f t="shared" si="7"/>
        <v>904.4</v>
      </c>
      <c r="AD39" s="19">
        <f t="shared" si="8"/>
        <v>1644922.72</v>
      </c>
      <c r="AE39" s="1" t="s">
        <v>7456</v>
      </c>
      <c r="AF39" s="1" t="str">
        <f>VLOOKUP(AE39,t_objeto!B:C,2,FALSE)</f>
        <v>RAW_MATERIAL</v>
      </c>
      <c r="AG39" s="1">
        <v>8</v>
      </c>
      <c r="AH39" s="1" t="str">
        <f>VLOOKUP(AG39,t_entry_status!A:AE,2,FALSE)</f>
        <v>PENDING</v>
      </c>
      <c r="AI39" s="7">
        <v>45560</v>
      </c>
      <c r="AJ39" s="1" t="s">
        <v>7449</v>
      </c>
      <c r="AK39" s="7">
        <v>45560</v>
      </c>
      <c r="AL39" s="1" t="s">
        <v>7449</v>
      </c>
    </row>
    <row r="40" spans="1:38" s="20" customFormat="1" x14ac:dyDescent="0.25">
      <c r="A40" s="14">
        <v>39</v>
      </c>
      <c r="B40" s="14" t="str">
        <f>_xlfn.CONCAT(AE40,"-",VLOOKUP(AE40,t_objeto!B:D,3,FALSE),"-",A40)</f>
        <v>RRMM-PERCCO-39</v>
      </c>
      <c r="C40" s="22" t="str">
        <f t="shared" si="9"/>
        <v>LAMINA_LISA__ACERO_PINTRO_3'X6'_27</v>
      </c>
      <c r="D40" s="14" t="s">
        <v>7407</v>
      </c>
      <c r="E40" s="14" t="s">
        <v>7380</v>
      </c>
      <c r="F40" s="21" t="s">
        <v>7383</v>
      </c>
      <c r="G40" s="22" t="s">
        <v>7384</v>
      </c>
      <c r="H40" s="14">
        <v>27</v>
      </c>
      <c r="I40" s="16">
        <v>0.42</v>
      </c>
      <c r="J40" s="16">
        <f t="shared" si="0"/>
        <v>1.6535433070866142E-2</v>
      </c>
      <c r="K40" s="16">
        <v>3.3420000000000001</v>
      </c>
      <c r="L40" s="23"/>
      <c r="M40" s="23"/>
      <c r="N40" s="23"/>
      <c r="O40" s="23"/>
      <c r="P40" s="23"/>
      <c r="Q40" s="19"/>
      <c r="R40" s="17">
        <v>3</v>
      </c>
      <c r="S40" s="17">
        <v>6</v>
      </c>
      <c r="T40" s="16">
        <f t="shared" si="1"/>
        <v>1828.8</v>
      </c>
      <c r="U40" s="16">
        <f t="shared" si="2"/>
        <v>914.4</v>
      </c>
      <c r="V40" s="18">
        <f t="shared" si="3"/>
        <v>1672254.72</v>
      </c>
      <c r="W40" s="18">
        <f t="shared" si="4"/>
        <v>1.67225472</v>
      </c>
      <c r="X40" s="18">
        <f t="shared" si="5"/>
        <v>5.5886752742399999</v>
      </c>
      <c r="Y40" s="24">
        <v>35</v>
      </c>
      <c r="Z40" s="24">
        <f t="shared" si="6"/>
        <v>195.60363459839999</v>
      </c>
      <c r="AA40" s="16">
        <v>5</v>
      </c>
      <c r="AB40" s="16">
        <f t="shared" si="7"/>
        <v>1818.8</v>
      </c>
      <c r="AC40" s="16">
        <f t="shared" si="7"/>
        <v>904.4</v>
      </c>
      <c r="AD40" s="19">
        <f t="shared" si="8"/>
        <v>1644922.72</v>
      </c>
      <c r="AE40" s="1" t="s">
        <v>7456</v>
      </c>
      <c r="AF40" s="1" t="str">
        <f>VLOOKUP(AE40,t_objeto!B:C,2,FALSE)</f>
        <v>RAW_MATERIAL</v>
      </c>
      <c r="AG40" s="1">
        <v>8</v>
      </c>
      <c r="AH40" s="1" t="str">
        <f>VLOOKUP(AG40,t_entry_status!A:AE,2,FALSE)</f>
        <v>PENDING</v>
      </c>
      <c r="AI40" s="7">
        <v>45560</v>
      </c>
      <c r="AJ40" s="1" t="s">
        <v>7449</v>
      </c>
      <c r="AK40" s="7">
        <v>45560</v>
      </c>
      <c r="AL40" s="1" t="s">
        <v>7449</v>
      </c>
    </row>
    <row r="41" spans="1:38" s="20" customFormat="1" x14ac:dyDescent="0.25">
      <c r="A41" s="14">
        <v>40</v>
      </c>
      <c r="B41" s="14" t="str">
        <f>_xlfn.CONCAT(AE41,"-",VLOOKUP(AE41,t_objeto!B:D,3,FALSE),"-",A41)</f>
        <v>RRMM-PERCCO-40</v>
      </c>
      <c r="C41" s="22" t="str">
        <f t="shared" si="9"/>
        <v>LAMINA_LISA__ACERO_PINTRO_3'X6'_28</v>
      </c>
      <c r="D41" s="14" t="s">
        <v>7407</v>
      </c>
      <c r="E41" s="14" t="s">
        <v>7380</v>
      </c>
      <c r="F41" s="21" t="s">
        <v>7383</v>
      </c>
      <c r="G41" s="22" t="s">
        <v>7384</v>
      </c>
      <c r="H41" s="14">
        <v>28</v>
      </c>
      <c r="I41" s="14">
        <v>0.38</v>
      </c>
      <c r="J41" s="16">
        <f t="shared" si="0"/>
        <v>1.4960629921259844E-2</v>
      </c>
      <c r="K41" s="16">
        <v>3.327</v>
      </c>
      <c r="L41" s="23"/>
      <c r="M41" s="23"/>
      <c r="N41" s="23"/>
      <c r="O41" s="23"/>
      <c r="P41" s="23"/>
      <c r="Q41" s="19"/>
      <c r="R41" s="17">
        <v>3</v>
      </c>
      <c r="S41" s="17">
        <v>6</v>
      </c>
      <c r="T41" s="16">
        <f t="shared" si="1"/>
        <v>1828.8</v>
      </c>
      <c r="U41" s="16">
        <f t="shared" si="2"/>
        <v>914.4</v>
      </c>
      <c r="V41" s="18">
        <f t="shared" si="3"/>
        <v>1672254.72</v>
      </c>
      <c r="W41" s="18">
        <f t="shared" si="4"/>
        <v>1.67225472</v>
      </c>
      <c r="X41" s="18">
        <f t="shared" si="5"/>
        <v>5.5635914534399999</v>
      </c>
      <c r="Y41" s="24">
        <v>35</v>
      </c>
      <c r="Z41" s="24">
        <f t="shared" si="6"/>
        <v>194.7257008704</v>
      </c>
      <c r="AA41" s="16">
        <v>5</v>
      </c>
      <c r="AB41" s="16">
        <f t="shared" si="7"/>
        <v>1818.8</v>
      </c>
      <c r="AC41" s="16">
        <f t="shared" si="7"/>
        <v>904.4</v>
      </c>
      <c r="AD41" s="19">
        <f t="shared" si="8"/>
        <v>1644922.72</v>
      </c>
      <c r="AE41" s="1" t="s">
        <v>7456</v>
      </c>
      <c r="AF41" s="1" t="str">
        <f>VLOOKUP(AE41,t_objeto!B:C,2,FALSE)</f>
        <v>RAW_MATERIAL</v>
      </c>
      <c r="AG41" s="1">
        <v>8</v>
      </c>
      <c r="AH41" s="1" t="str">
        <f>VLOOKUP(AG41,t_entry_status!A:AE,2,FALSE)</f>
        <v>PENDING</v>
      </c>
      <c r="AI41" s="7">
        <v>45560</v>
      </c>
      <c r="AJ41" s="1" t="s">
        <v>7449</v>
      </c>
      <c r="AK41" s="7">
        <v>45560</v>
      </c>
      <c r="AL41" s="1" t="s">
        <v>7449</v>
      </c>
    </row>
    <row r="42" spans="1:38" s="20" customFormat="1" x14ac:dyDescent="0.25">
      <c r="A42" s="14">
        <v>41</v>
      </c>
      <c r="B42" s="14" t="str">
        <f>_xlfn.CONCAT(AE42,"-",VLOOKUP(AE42,t_objeto!B:D,3,FALSE),"-",A42)</f>
        <v>RRMM-PERCCO-41</v>
      </c>
      <c r="C42" s="22" t="str">
        <f t="shared" si="9"/>
        <v>LAMINA_LISA__ACERO_PINTRO_3'X6'_29</v>
      </c>
      <c r="D42" s="14" t="s">
        <v>7407</v>
      </c>
      <c r="E42" s="14" t="s">
        <v>7380</v>
      </c>
      <c r="F42" s="21" t="s">
        <v>7383</v>
      </c>
      <c r="G42" s="22" t="s">
        <v>7384</v>
      </c>
      <c r="H42" s="14">
        <v>29</v>
      </c>
      <c r="I42" s="16">
        <v>0.34</v>
      </c>
      <c r="J42" s="16">
        <f t="shared" si="0"/>
        <v>1.3385826771653545E-2</v>
      </c>
      <c r="K42" s="16">
        <v>2.706</v>
      </c>
      <c r="L42" s="23"/>
      <c r="M42" s="23"/>
      <c r="N42" s="23"/>
      <c r="O42" s="23"/>
      <c r="P42" s="23"/>
      <c r="Q42" s="19"/>
      <c r="R42" s="17">
        <v>3</v>
      </c>
      <c r="S42" s="17">
        <v>6</v>
      </c>
      <c r="T42" s="16">
        <f t="shared" si="1"/>
        <v>1828.8</v>
      </c>
      <c r="U42" s="16">
        <f t="shared" si="2"/>
        <v>914.4</v>
      </c>
      <c r="V42" s="18">
        <f t="shared" si="3"/>
        <v>1672254.72</v>
      </c>
      <c r="W42" s="18">
        <f t="shared" si="4"/>
        <v>1.67225472</v>
      </c>
      <c r="X42" s="18">
        <f t="shared" si="5"/>
        <v>4.5251212723199998</v>
      </c>
      <c r="Y42" s="24">
        <v>35</v>
      </c>
      <c r="Z42" s="24">
        <f t="shared" si="6"/>
        <v>158.37924453119999</v>
      </c>
      <c r="AA42" s="16">
        <v>5</v>
      </c>
      <c r="AB42" s="16">
        <f t="shared" si="7"/>
        <v>1818.8</v>
      </c>
      <c r="AC42" s="16">
        <f t="shared" si="7"/>
        <v>904.4</v>
      </c>
      <c r="AD42" s="19">
        <f t="shared" si="8"/>
        <v>1644922.72</v>
      </c>
      <c r="AE42" s="1" t="s">
        <v>7456</v>
      </c>
      <c r="AF42" s="1" t="str">
        <f>VLOOKUP(AE42,t_objeto!B:C,2,FALSE)</f>
        <v>RAW_MATERIAL</v>
      </c>
      <c r="AG42" s="1">
        <v>8</v>
      </c>
      <c r="AH42" s="1" t="str">
        <f>VLOOKUP(AG42,t_entry_status!A:AE,2,FALSE)</f>
        <v>PENDING</v>
      </c>
      <c r="AI42" s="7">
        <v>45560</v>
      </c>
      <c r="AJ42" s="1" t="s">
        <v>7449</v>
      </c>
      <c r="AK42" s="7">
        <v>45560</v>
      </c>
      <c r="AL42" s="1" t="s">
        <v>7449</v>
      </c>
    </row>
    <row r="43" spans="1:38" s="20" customFormat="1" x14ac:dyDescent="0.25">
      <c r="A43" s="14">
        <v>42</v>
      </c>
      <c r="B43" s="14" t="str">
        <f>_xlfn.CONCAT(AE43,"-",VLOOKUP(AE43,t_objeto!B:D,3,FALSE),"-",A43)</f>
        <v>RRMM-PERCCO-42</v>
      </c>
      <c r="C43" s="22" t="str">
        <f t="shared" si="9"/>
        <v>LAMINA_LISA__ACERO_PINTRO_3'X6'_30</v>
      </c>
      <c r="D43" s="14" t="s">
        <v>7407</v>
      </c>
      <c r="E43" s="14" t="s">
        <v>7380</v>
      </c>
      <c r="F43" s="21" t="s">
        <v>7383</v>
      </c>
      <c r="G43" s="22" t="s">
        <v>7384</v>
      </c>
      <c r="H43" s="14">
        <v>30</v>
      </c>
      <c r="I43" s="14">
        <v>0.3</v>
      </c>
      <c r="J43" s="16">
        <f t="shared" si="0"/>
        <v>1.1811023622047244E-2</v>
      </c>
      <c r="K43" s="16">
        <v>2.673</v>
      </c>
      <c r="L43" s="23"/>
      <c r="M43" s="23"/>
      <c r="N43" s="23"/>
      <c r="O43" s="23"/>
      <c r="P43" s="23"/>
      <c r="Q43" s="19"/>
      <c r="R43" s="17">
        <v>3</v>
      </c>
      <c r="S43" s="17">
        <v>6</v>
      </c>
      <c r="T43" s="16">
        <f t="shared" si="1"/>
        <v>1828.8</v>
      </c>
      <c r="U43" s="16">
        <f t="shared" si="2"/>
        <v>914.4</v>
      </c>
      <c r="V43" s="18">
        <f t="shared" si="3"/>
        <v>1672254.72</v>
      </c>
      <c r="W43" s="18">
        <f t="shared" si="4"/>
        <v>1.67225472</v>
      </c>
      <c r="X43" s="18">
        <f t="shared" si="5"/>
        <v>4.4699368665600003</v>
      </c>
      <c r="Y43" s="24">
        <v>35</v>
      </c>
      <c r="Z43" s="24">
        <f t="shared" si="6"/>
        <v>156.44779032960002</v>
      </c>
      <c r="AA43" s="16">
        <v>5</v>
      </c>
      <c r="AB43" s="16">
        <f t="shared" si="7"/>
        <v>1818.8</v>
      </c>
      <c r="AC43" s="16">
        <f t="shared" si="7"/>
        <v>904.4</v>
      </c>
      <c r="AD43" s="19">
        <f t="shared" si="8"/>
        <v>1644922.72</v>
      </c>
      <c r="AE43" s="1" t="s">
        <v>7456</v>
      </c>
      <c r="AF43" s="1" t="str">
        <f>VLOOKUP(AE43,t_objeto!B:C,2,FALSE)</f>
        <v>RAW_MATERIAL</v>
      </c>
      <c r="AG43" s="1">
        <v>8</v>
      </c>
      <c r="AH43" s="1" t="str">
        <f>VLOOKUP(AG43,t_entry_status!A:AE,2,FALSE)</f>
        <v>PENDING</v>
      </c>
      <c r="AI43" s="7">
        <v>45560</v>
      </c>
      <c r="AJ43" s="1" t="s">
        <v>7449</v>
      </c>
      <c r="AK43" s="7">
        <v>45560</v>
      </c>
      <c r="AL43" s="1" t="s">
        <v>7449</v>
      </c>
    </row>
    <row r="44" spans="1:38" s="20" customFormat="1" x14ac:dyDescent="0.25">
      <c r="A44" s="14">
        <v>43</v>
      </c>
      <c r="B44" s="14" t="str">
        <f>_xlfn.CONCAT(AE44,"-",VLOOKUP(AE44,t_objeto!B:D,3,FALSE),"-",A44)</f>
        <v>RRMM-PERCCO-43</v>
      </c>
      <c r="C44" s="22" t="str">
        <f t="shared" si="9"/>
        <v>LAMINA_LISA__ACERO_PINTRO_3'X8'_10</v>
      </c>
      <c r="D44" s="14" t="s">
        <v>7407</v>
      </c>
      <c r="E44" s="14" t="s">
        <v>7380</v>
      </c>
      <c r="F44" s="21" t="s">
        <v>7383</v>
      </c>
      <c r="G44" s="22" t="s">
        <v>7382</v>
      </c>
      <c r="H44" s="14">
        <v>10</v>
      </c>
      <c r="I44" s="14">
        <v>3.42</v>
      </c>
      <c r="J44" s="16">
        <f t="shared" si="0"/>
        <v>0.13464566929133859</v>
      </c>
      <c r="K44" s="16">
        <v>27.106999999999999</v>
      </c>
      <c r="L44" s="23"/>
      <c r="M44" s="23"/>
      <c r="N44" s="23"/>
      <c r="O44" s="23"/>
      <c r="P44" s="23"/>
      <c r="Q44" s="19"/>
      <c r="R44" s="17">
        <v>3</v>
      </c>
      <c r="S44" s="17">
        <v>8</v>
      </c>
      <c r="T44" s="16">
        <f t="shared" si="1"/>
        <v>2438.3999999999996</v>
      </c>
      <c r="U44" s="16">
        <f t="shared" si="2"/>
        <v>914.4</v>
      </c>
      <c r="V44" s="18">
        <f t="shared" si="3"/>
        <v>2229672.9599999995</v>
      </c>
      <c r="W44" s="18">
        <f t="shared" si="4"/>
        <v>2.2296729599999994</v>
      </c>
      <c r="X44" s="18">
        <f t="shared" si="5"/>
        <v>60.439744926719982</v>
      </c>
      <c r="Y44" s="24">
        <v>35</v>
      </c>
      <c r="Z44" s="24">
        <f t="shared" si="6"/>
        <v>2115.3910724351995</v>
      </c>
      <c r="AA44" s="16">
        <v>5</v>
      </c>
      <c r="AB44" s="16">
        <f t="shared" si="7"/>
        <v>2428.3999999999996</v>
      </c>
      <c r="AC44" s="16">
        <f t="shared" si="7"/>
        <v>904.4</v>
      </c>
      <c r="AD44" s="19">
        <f t="shared" si="8"/>
        <v>2196244.9599999995</v>
      </c>
      <c r="AE44" s="1" t="s">
        <v>7456</v>
      </c>
      <c r="AF44" s="1" t="str">
        <f>VLOOKUP(AE44,t_objeto!B:C,2,FALSE)</f>
        <v>RAW_MATERIAL</v>
      </c>
      <c r="AG44" s="1">
        <v>8</v>
      </c>
      <c r="AH44" s="1" t="str">
        <f>VLOOKUP(AG44,t_entry_status!A:AE,2,FALSE)</f>
        <v>PENDING</v>
      </c>
      <c r="AI44" s="7">
        <v>45560</v>
      </c>
      <c r="AJ44" s="1" t="s">
        <v>7449</v>
      </c>
      <c r="AK44" s="7">
        <v>45560</v>
      </c>
      <c r="AL44" s="1" t="s">
        <v>7449</v>
      </c>
    </row>
    <row r="45" spans="1:38" s="20" customFormat="1" x14ac:dyDescent="0.25">
      <c r="A45" s="14">
        <v>44</v>
      </c>
      <c r="B45" s="14" t="str">
        <f>_xlfn.CONCAT(AE45,"-",VLOOKUP(AE45,t_objeto!B:D,3,FALSE),"-",A45)</f>
        <v>RRMM-PERCCO-44</v>
      </c>
      <c r="C45" s="22" t="str">
        <f t="shared" si="9"/>
        <v>LAMINA_LISA__ACERO_PINTRO_3'X8'_11</v>
      </c>
      <c r="D45" s="14" t="s">
        <v>7407</v>
      </c>
      <c r="E45" s="14" t="s">
        <v>7380</v>
      </c>
      <c r="F45" s="21" t="s">
        <v>7383</v>
      </c>
      <c r="G45" s="22" t="s">
        <v>7382</v>
      </c>
      <c r="H45" s="14">
        <v>11</v>
      </c>
      <c r="I45" s="16">
        <v>3.04</v>
      </c>
      <c r="J45" s="16">
        <f t="shared" si="0"/>
        <v>0.11968503937007875</v>
      </c>
      <c r="K45" s="16">
        <v>24.190999999999999</v>
      </c>
      <c r="L45" s="23"/>
      <c r="M45" s="23"/>
      <c r="N45" s="23"/>
      <c r="O45" s="23"/>
      <c r="P45" s="23"/>
      <c r="Q45" s="19"/>
      <c r="R45" s="17">
        <v>3</v>
      </c>
      <c r="S45" s="17">
        <v>8</v>
      </c>
      <c r="T45" s="16">
        <f t="shared" si="1"/>
        <v>2438.3999999999996</v>
      </c>
      <c r="U45" s="16">
        <f t="shared" si="2"/>
        <v>914.4</v>
      </c>
      <c r="V45" s="18">
        <f t="shared" si="3"/>
        <v>2229672.9599999995</v>
      </c>
      <c r="W45" s="18">
        <f t="shared" si="4"/>
        <v>2.2296729599999994</v>
      </c>
      <c r="X45" s="18">
        <f t="shared" si="5"/>
        <v>53.938018575359983</v>
      </c>
      <c r="Y45" s="24">
        <v>35</v>
      </c>
      <c r="Z45" s="24">
        <f t="shared" si="6"/>
        <v>1887.8306501375994</v>
      </c>
      <c r="AA45" s="16">
        <v>5</v>
      </c>
      <c r="AB45" s="16">
        <f t="shared" si="7"/>
        <v>2428.3999999999996</v>
      </c>
      <c r="AC45" s="16">
        <f t="shared" si="7"/>
        <v>904.4</v>
      </c>
      <c r="AD45" s="19">
        <f t="shared" si="8"/>
        <v>2196244.9599999995</v>
      </c>
      <c r="AE45" s="1" t="s">
        <v>7456</v>
      </c>
      <c r="AF45" s="1" t="str">
        <f>VLOOKUP(AE45,t_objeto!B:C,2,FALSE)</f>
        <v>RAW_MATERIAL</v>
      </c>
      <c r="AG45" s="1">
        <v>8</v>
      </c>
      <c r="AH45" s="1" t="str">
        <f>VLOOKUP(AG45,t_entry_status!A:AE,2,FALSE)</f>
        <v>PENDING</v>
      </c>
      <c r="AI45" s="7">
        <v>45560</v>
      </c>
      <c r="AJ45" s="1" t="s">
        <v>7449</v>
      </c>
      <c r="AK45" s="7">
        <v>45560</v>
      </c>
      <c r="AL45" s="1" t="s">
        <v>7449</v>
      </c>
    </row>
    <row r="46" spans="1:38" s="20" customFormat="1" x14ac:dyDescent="0.25">
      <c r="A46" s="14">
        <v>45</v>
      </c>
      <c r="B46" s="14" t="str">
        <f>_xlfn.CONCAT(AE46,"-",VLOOKUP(AE46,t_objeto!B:D,3,FALSE),"-",A46)</f>
        <v>RRMM-PERCCO-45</v>
      </c>
      <c r="C46" s="22" t="str">
        <f t="shared" si="9"/>
        <v>LAMINA_LISA__ACERO_PINTRO_3'X8'_12</v>
      </c>
      <c r="D46" s="14" t="s">
        <v>7407</v>
      </c>
      <c r="E46" s="14" t="s">
        <v>7380</v>
      </c>
      <c r="F46" s="21" t="s">
        <v>7383</v>
      </c>
      <c r="G46" s="22" t="s">
        <v>7382</v>
      </c>
      <c r="H46" s="14">
        <v>12</v>
      </c>
      <c r="I46" s="14">
        <v>2.66</v>
      </c>
      <c r="J46" s="16">
        <f t="shared" si="0"/>
        <v>0.1047244094488189</v>
      </c>
      <c r="K46" s="16">
        <v>21.641999999999999</v>
      </c>
      <c r="L46" s="23"/>
      <c r="M46" s="23"/>
      <c r="N46" s="23"/>
      <c r="O46" s="23"/>
      <c r="P46" s="23"/>
      <c r="Q46" s="19"/>
      <c r="R46" s="17">
        <v>3</v>
      </c>
      <c r="S46" s="17">
        <v>8</v>
      </c>
      <c r="T46" s="16">
        <f t="shared" si="1"/>
        <v>2438.3999999999996</v>
      </c>
      <c r="U46" s="16">
        <f t="shared" si="2"/>
        <v>914.4</v>
      </c>
      <c r="V46" s="18">
        <f t="shared" si="3"/>
        <v>2229672.9599999995</v>
      </c>
      <c r="W46" s="18">
        <f t="shared" si="4"/>
        <v>2.2296729599999994</v>
      </c>
      <c r="X46" s="18">
        <f t="shared" si="5"/>
        <v>48.254582200319987</v>
      </c>
      <c r="Y46" s="24">
        <v>35</v>
      </c>
      <c r="Z46" s="24">
        <f t="shared" si="6"/>
        <v>1688.9103770111997</v>
      </c>
      <c r="AA46" s="16">
        <v>5</v>
      </c>
      <c r="AB46" s="16">
        <f t="shared" si="7"/>
        <v>2428.3999999999996</v>
      </c>
      <c r="AC46" s="16">
        <f t="shared" si="7"/>
        <v>904.4</v>
      </c>
      <c r="AD46" s="19">
        <f t="shared" si="8"/>
        <v>2196244.9599999995</v>
      </c>
      <c r="AE46" s="1" t="s">
        <v>7456</v>
      </c>
      <c r="AF46" s="1" t="str">
        <f>VLOOKUP(AE46,t_objeto!B:C,2,FALSE)</f>
        <v>RAW_MATERIAL</v>
      </c>
      <c r="AG46" s="1">
        <v>8</v>
      </c>
      <c r="AH46" s="1" t="str">
        <f>VLOOKUP(AG46,t_entry_status!A:AE,2,FALSE)</f>
        <v>PENDING</v>
      </c>
      <c r="AI46" s="7">
        <v>45560</v>
      </c>
      <c r="AJ46" s="1" t="s">
        <v>7449</v>
      </c>
      <c r="AK46" s="7">
        <v>45560</v>
      </c>
      <c r="AL46" s="1" t="s">
        <v>7449</v>
      </c>
    </row>
    <row r="47" spans="1:38" s="20" customFormat="1" x14ac:dyDescent="0.25">
      <c r="A47" s="14">
        <v>46</v>
      </c>
      <c r="B47" s="14" t="str">
        <f>_xlfn.CONCAT(AE47,"-",VLOOKUP(AE47,t_objeto!B:D,3,FALSE),"-",A47)</f>
        <v>RRMM-PERCCO-46</v>
      </c>
      <c r="C47" s="22" t="str">
        <f t="shared" si="9"/>
        <v>LAMINA_LISA__ACERO_PINTRO_3'X8'_13</v>
      </c>
      <c r="D47" s="14" t="s">
        <v>7407</v>
      </c>
      <c r="E47" s="14" t="s">
        <v>7380</v>
      </c>
      <c r="F47" s="21" t="s">
        <v>7383</v>
      </c>
      <c r="G47" s="22" t="s">
        <v>7382</v>
      </c>
      <c r="H47" s="14">
        <v>13</v>
      </c>
      <c r="I47" s="16">
        <v>2.2799999999999998</v>
      </c>
      <c r="J47" s="16">
        <f t="shared" si="0"/>
        <v>8.9763779527559054E-2</v>
      </c>
      <c r="K47" s="16">
        <v>18.143000000000001</v>
      </c>
      <c r="L47" s="23"/>
      <c r="M47" s="23"/>
      <c r="N47" s="23"/>
      <c r="O47" s="23"/>
      <c r="P47" s="23"/>
      <c r="Q47" s="19"/>
      <c r="R47" s="17">
        <v>3</v>
      </c>
      <c r="S47" s="17">
        <v>8</v>
      </c>
      <c r="T47" s="16">
        <f t="shared" si="1"/>
        <v>2438.3999999999996</v>
      </c>
      <c r="U47" s="16">
        <f t="shared" si="2"/>
        <v>914.4</v>
      </c>
      <c r="V47" s="18">
        <f t="shared" si="3"/>
        <v>2229672.9599999995</v>
      </c>
      <c r="W47" s="18">
        <f t="shared" si="4"/>
        <v>2.2296729599999994</v>
      </c>
      <c r="X47" s="18">
        <f t="shared" si="5"/>
        <v>40.452956513279993</v>
      </c>
      <c r="Y47" s="24">
        <v>35</v>
      </c>
      <c r="Z47" s="24">
        <f t="shared" si="6"/>
        <v>1415.8534779647998</v>
      </c>
      <c r="AA47" s="16">
        <v>5</v>
      </c>
      <c r="AB47" s="16">
        <f t="shared" si="7"/>
        <v>2428.3999999999996</v>
      </c>
      <c r="AC47" s="16">
        <f t="shared" si="7"/>
        <v>904.4</v>
      </c>
      <c r="AD47" s="19">
        <f t="shared" si="8"/>
        <v>2196244.9599999995</v>
      </c>
      <c r="AE47" s="1" t="s">
        <v>7456</v>
      </c>
      <c r="AF47" s="1" t="str">
        <f>VLOOKUP(AE47,t_objeto!B:C,2,FALSE)</f>
        <v>RAW_MATERIAL</v>
      </c>
      <c r="AG47" s="1">
        <v>8</v>
      </c>
      <c r="AH47" s="1" t="str">
        <f>VLOOKUP(AG47,t_entry_status!A:AE,2,FALSE)</f>
        <v>PENDING</v>
      </c>
      <c r="AI47" s="7">
        <v>45560</v>
      </c>
      <c r="AJ47" s="1" t="s">
        <v>7449</v>
      </c>
      <c r="AK47" s="7">
        <v>45560</v>
      </c>
      <c r="AL47" s="1" t="s">
        <v>7449</v>
      </c>
    </row>
    <row r="48" spans="1:38" s="20" customFormat="1" ht="18.75" x14ac:dyDescent="0.3">
      <c r="A48" s="14">
        <v>47</v>
      </c>
      <c r="B48" s="14" t="str">
        <f>_xlfn.CONCAT(AE48,"-",VLOOKUP(AE48,t_objeto!B:D,3,FALSE),"-",A48)</f>
        <v>RRMM-PERCCO-47</v>
      </c>
      <c r="C48" s="22" t="str">
        <f t="shared" si="9"/>
        <v>LAMINA_LISA__ACERO_PINTRO_3'X8'_14</v>
      </c>
      <c r="D48" s="14" t="s">
        <v>7407</v>
      </c>
      <c r="E48" s="14" t="s">
        <v>7380</v>
      </c>
      <c r="F48" s="21" t="s">
        <v>7383</v>
      </c>
      <c r="G48" s="22" t="s">
        <v>7382</v>
      </c>
      <c r="H48" s="14">
        <v>14</v>
      </c>
      <c r="I48" s="14">
        <v>1.9</v>
      </c>
      <c r="J48" s="16">
        <f t="shared" si="0"/>
        <v>7.4803149606299218E-2</v>
      </c>
      <c r="K48" s="25">
        <v>16.928999999999998</v>
      </c>
      <c r="L48" s="23"/>
      <c r="M48" s="23"/>
      <c r="N48" s="23"/>
      <c r="O48" s="23"/>
      <c r="P48" s="23"/>
      <c r="Q48" s="19"/>
      <c r="R48" s="17">
        <v>3</v>
      </c>
      <c r="S48" s="17">
        <v>8</v>
      </c>
      <c r="T48" s="16">
        <f t="shared" si="1"/>
        <v>2438.3999999999996</v>
      </c>
      <c r="U48" s="16">
        <f t="shared" si="2"/>
        <v>914.4</v>
      </c>
      <c r="V48" s="18">
        <f t="shared" si="3"/>
        <v>2229672.9599999995</v>
      </c>
      <c r="W48" s="18">
        <f t="shared" si="4"/>
        <v>2.2296729599999994</v>
      </c>
      <c r="X48" s="18">
        <f t="shared" si="5"/>
        <v>37.746133539839988</v>
      </c>
      <c r="Y48" s="24">
        <v>35</v>
      </c>
      <c r="Z48" s="24">
        <f t="shared" si="6"/>
        <v>1321.1146738943996</v>
      </c>
      <c r="AA48" s="16">
        <v>5</v>
      </c>
      <c r="AB48" s="16">
        <f t="shared" si="7"/>
        <v>2428.3999999999996</v>
      </c>
      <c r="AC48" s="16">
        <f t="shared" si="7"/>
        <v>904.4</v>
      </c>
      <c r="AD48" s="19">
        <f t="shared" si="8"/>
        <v>2196244.9599999995</v>
      </c>
      <c r="AE48" s="1" t="s">
        <v>7456</v>
      </c>
      <c r="AF48" s="1" t="str">
        <f>VLOOKUP(AE48,t_objeto!B:C,2,FALSE)</f>
        <v>RAW_MATERIAL</v>
      </c>
      <c r="AG48" s="1">
        <v>8</v>
      </c>
      <c r="AH48" s="1" t="str">
        <f>VLOOKUP(AG48,t_entry_status!A:AE,2,FALSE)</f>
        <v>PENDING</v>
      </c>
      <c r="AI48" s="7">
        <v>45560</v>
      </c>
      <c r="AJ48" s="1" t="s">
        <v>7449</v>
      </c>
      <c r="AK48" s="7">
        <v>45560</v>
      </c>
      <c r="AL48" s="1" t="s">
        <v>7449</v>
      </c>
    </row>
    <row r="49" spans="1:38" s="20" customFormat="1" x14ac:dyDescent="0.25">
      <c r="A49" s="14">
        <v>48</v>
      </c>
      <c r="B49" s="14" t="str">
        <f>_xlfn.CONCAT(AE49,"-",VLOOKUP(AE49,t_objeto!B:D,3,FALSE),"-",A49)</f>
        <v>RRMM-PERCCO-48</v>
      </c>
      <c r="C49" s="22" t="str">
        <f t="shared" si="9"/>
        <v>LAMINA_LISA__ACERO_PINTRO_3'X8'_15</v>
      </c>
      <c r="D49" s="14" t="s">
        <v>7407</v>
      </c>
      <c r="E49" s="14" t="s">
        <v>7380</v>
      </c>
      <c r="F49" s="21" t="s">
        <v>7383</v>
      </c>
      <c r="G49" s="22" t="s">
        <v>7382</v>
      </c>
      <c r="H49" s="14">
        <v>15</v>
      </c>
      <c r="I49" s="16">
        <v>1.71</v>
      </c>
      <c r="J49" s="16">
        <f t="shared" si="0"/>
        <v>6.7322834645669294E-2</v>
      </c>
      <c r="K49" s="16">
        <v>13.606999999999999</v>
      </c>
      <c r="L49" s="23"/>
      <c r="M49" s="23"/>
      <c r="N49" s="23"/>
      <c r="O49" s="23"/>
      <c r="P49" s="23"/>
      <c r="Q49" s="19"/>
      <c r="R49" s="17">
        <v>3</v>
      </c>
      <c r="S49" s="17">
        <v>8</v>
      </c>
      <c r="T49" s="16">
        <f t="shared" si="1"/>
        <v>2438.3999999999996</v>
      </c>
      <c r="U49" s="16">
        <f t="shared" si="2"/>
        <v>914.4</v>
      </c>
      <c r="V49" s="18">
        <f t="shared" si="3"/>
        <v>2229672.9599999995</v>
      </c>
      <c r="W49" s="18">
        <f t="shared" si="4"/>
        <v>2.2296729599999994</v>
      </c>
      <c r="X49" s="18">
        <f t="shared" si="5"/>
        <v>30.33915996671999</v>
      </c>
      <c r="Y49" s="24">
        <v>35</v>
      </c>
      <c r="Z49" s="24">
        <f t="shared" si="6"/>
        <v>1061.8705988351996</v>
      </c>
      <c r="AA49" s="16">
        <v>5</v>
      </c>
      <c r="AB49" s="16">
        <f t="shared" si="7"/>
        <v>2428.3999999999996</v>
      </c>
      <c r="AC49" s="16">
        <f t="shared" si="7"/>
        <v>904.4</v>
      </c>
      <c r="AD49" s="19">
        <f t="shared" si="8"/>
        <v>2196244.9599999995</v>
      </c>
      <c r="AE49" s="1" t="s">
        <v>7456</v>
      </c>
      <c r="AF49" s="1" t="str">
        <f>VLOOKUP(AE49,t_objeto!B:C,2,FALSE)</f>
        <v>RAW_MATERIAL</v>
      </c>
      <c r="AG49" s="1">
        <v>8</v>
      </c>
      <c r="AH49" s="1" t="str">
        <f>VLOOKUP(AG49,t_entry_status!A:AE,2,FALSE)</f>
        <v>PENDING</v>
      </c>
      <c r="AI49" s="7">
        <v>45560</v>
      </c>
      <c r="AJ49" s="1" t="s">
        <v>7449</v>
      </c>
      <c r="AK49" s="7">
        <v>45560</v>
      </c>
      <c r="AL49" s="1" t="s">
        <v>7449</v>
      </c>
    </row>
    <row r="50" spans="1:38" s="20" customFormat="1" x14ac:dyDescent="0.25">
      <c r="A50" s="14">
        <v>49</v>
      </c>
      <c r="B50" s="14" t="str">
        <f>_xlfn.CONCAT(AE50,"-",VLOOKUP(AE50,t_objeto!B:D,3,FALSE),"-",A50)</f>
        <v>RRMM-PERCCO-49</v>
      </c>
      <c r="C50" s="22" t="str">
        <f t="shared" si="9"/>
        <v>LAMINA_LISA__ACERO_PINTRO_3'X8'_16</v>
      </c>
      <c r="D50" s="14" t="s">
        <v>7407</v>
      </c>
      <c r="E50" s="14" t="s">
        <v>7380</v>
      </c>
      <c r="F50" s="21" t="s">
        <v>7383</v>
      </c>
      <c r="G50" s="22" t="s">
        <v>7382</v>
      </c>
      <c r="H50" s="14">
        <v>16</v>
      </c>
      <c r="I50" s="14">
        <v>1.52</v>
      </c>
      <c r="J50" s="16">
        <f t="shared" si="0"/>
        <v>5.9842519685039376E-2</v>
      </c>
      <c r="K50" s="16">
        <v>12.484999999999999</v>
      </c>
      <c r="L50" s="23"/>
      <c r="M50" s="23"/>
      <c r="N50" s="23"/>
      <c r="O50" s="23"/>
      <c r="P50" s="23"/>
      <c r="Q50" s="19"/>
      <c r="R50" s="17">
        <v>3</v>
      </c>
      <c r="S50" s="17">
        <v>8</v>
      </c>
      <c r="T50" s="16">
        <f t="shared" si="1"/>
        <v>2438.3999999999996</v>
      </c>
      <c r="U50" s="16">
        <f t="shared" si="2"/>
        <v>914.4</v>
      </c>
      <c r="V50" s="18">
        <f t="shared" si="3"/>
        <v>2229672.9599999995</v>
      </c>
      <c r="W50" s="18">
        <f t="shared" si="4"/>
        <v>2.2296729599999994</v>
      </c>
      <c r="X50" s="18">
        <f t="shared" si="5"/>
        <v>27.837466905599992</v>
      </c>
      <c r="Y50" s="24">
        <v>35</v>
      </c>
      <c r="Z50" s="24">
        <f t="shared" si="6"/>
        <v>974.31134169599977</v>
      </c>
      <c r="AA50" s="16">
        <v>5</v>
      </c>
      <c r="AB50" s="16">
        <f t="shared" si="7"/>
        <v>2428.3999999999996</v>
      </c>
      <c r="AC50" s="16">
        <f t="shared" si="7"/>
        <v>904.4</v>
      </c>
      <c r="AD50" s="19">
        <f t="shared" si="8"/>
        <v>2196244.9599999995</v>
      </c>
      <c r="AE50" s="1" t="s">
        <v>7456</v>
      </c>
      <c r="AF50" s="1" t="str">
        <f>VLOOKUP(AE50,t_objeto!B:C,2,FALSE)</f>
        <v>RAW_MATERIAL</v>
      </c>
      <c r="AG50" s="1">
        <v>8</v>
      </c>
      <c r="AH50" s="1" t="str">
        <f>VLOOKUP(AG50,t_entry_status!A:AE,2,FALSE)</f>
        <v>PENDING</v>
      </c>
      <c r="AI50" s="7">
        <v>45560</v>
      </c>
      <c r="AJ50" s="1" t="s">
        <v>7449</v>
      </c>
      <c r="AK50" s="7">
        <v>45560</v>
      </c>
      <c r="AL50" s="1" t="s">
        <v>7449</v>
      </c>
    </row>
    <row r="51" spans="1:38" s="20" customFormat="1" x14ac:dyDescent="0.25">
      <c r="A51" s="14">
        <v>50</v>
      </c>
      <c r="B51" s="14" t="str">
        <f>_xlfn.CONCAT(AE51,"-",VLOOKUP(AE51,t_objeto!B:D,3,FALSE),"-",A51)</f>
        <v>RRMM-PERCCO-50</v>
      </c>
      <c r="C51" s="22" t="str">
        <f t="shared" si="9"/>
        <v>LAMINA_LISA__ACERO_PINTRO_3'X8'_17</v>
      </c>
      <c r="D51" s="14" t="s">
        <v>7407</v>
      </c>
      <c r="E51" s="14" t="s">
        <v>7380</v>
      </c>
      <c r="F51" s="21" t="s">
        <v>7383</v>
      </c>
      <c r="G51" s="22" t="s">
        <v>7382</v>
      </c>
      <c r="H51" s="14">
        <v>17</v>
      </c>
      <c r="I51" s="16">
        <v>1.37</v>
      </c>
      <c r="J51" s="16">
        <f t="shared" si="0"/>
        <v>5.3937007874015758E-2</v>
      </c>
      <c r="K51" s="16">
        <v>10.901999999999999</v>
      </c>
      <c r="L51" s="23"/>
      <c r="M51" s="23"/>
      <c r="N51" s="23"/>
      <c r="O51" s="23"/>
      <c r="P51" s="23"/>
      <c r="Q51" s="19"/>
      <c r="R51" s="17">
        <v>3</v>
      </c>
      <c r="S51" s="17">
        <v>8</v>
      </c>
      <c r="T51" s="16">
        <f t="shared" si="1"/>
        <v>2438.3999999999996</v>
      </c>
      <c r="U51" s="16">
        <f t="shared" si="2"/>
        <v>914.4</v>
      </c>
      <c r="V51" s="18">
        <f t="shared" si="3"/>
        <v>2229672.9599999995</v>
      </c>
      <c r="W51" s="18">
        <f t="shared" si="4"/>
        <v>2.2296729599999994</v>
      </c>
      <c r="X51" s="18">
        <f t="shared" si="5"/>
        <v>24.307894609919991</v>
      </c>
      <c r="Y51" s="24">
        <v>35</v>
      </c>
      <c r="Z51" s="24">
        <f t="shared" si="6"/>
        <v>850.77631134719968</v>
      </c>
      <c r="AA51" s="16">
        <v>5</v>
      </c>
      <c r="AB51" s="16">
        <f t="shared" si="7"/>
        <v>2428.3999999999996</v>
      </c>
      <c r="AC51" s="16">
        <f t="shared" si="7"/>
        <v>904.4</v>
      </c>
      <c r="AD51" s="19">
        <f t="shared" si="8"/>
        <v>2196244.9599999995</v>
      </c>
      <c r="AE51" s="1" t="s">
        <v>7456</v>
      </c>
      <c r="AF51" s="1" t="str">
        <f>VLOOKUP(AE51,t_objeto!B:C,2,FALSE)</f>
        <v>RAW_MATERIAL</v>
      </c>
      <c r="AG51" s="1">
        <v>8</v>
      </c>
      <c r="AH51" s="1" t="str">
        <f>VLOOKUP(AG51,t_entry_status!A:AE,2,FALSE)</f>
        <v>PENDING</v>
      </c>
      <c r="AI51" s="7">
        <v>45560</v>
      </c>
      <c r="AJ51" s="1" t="s">
        <v>7449</v>
      </c>
      <c r="AK51" s="7">
        <v>45560</v>
      </c>
      <c r="AL51" s="1" t="s">
        <v>7449</v>
      </c>
    </row>
    <row r="52" spans="1:38" s="20" customFormat="1" x14ac:dyDescent="0.25">
      <c r="A52" s="14">
        <v>51</v>
      </c>
      <c r="B52" s="14" t="str">
        <f>_xlfn.CONCAT(AE52,"-",VLOOKUP(AE52,t_objeto!B:D,3,FALSE),"-",A52)</f>
        <v>RRMM-PERCCO-51</v>
      </c>
      <c r="C52" s="22" t="str">
        <f t="shared" si="9"/>
        <v>LAMINA_LISA__ACERO_PINTRO_3'X8'_18</v>
      </c>
      <c r="D52" s="14" t="s">
        <v>7407</v>
      </c>
      <c r="E52" s="14" t="s">
        <v>7380</v>
      </c>
      <c r="F52" s="21" t="s">
        <v>7383</v>
      </c>
      <c r="G52" s="22" t="s">
        <v>7382</v>
      </c>
      <c r="H52" s="14">
        <v>18</v>
      </c>
      <c r="I52" s="14">
        <v>1.21</v>
      </c>
      <c r="J52" s="16">
        <f t="shared" si="0"/>
        <v>4.7637795275590554E-2</v>
      </c>
      <c r="K52" s="16">
        <v>10.042999999999999</v>
      </c>
      <c r="L52" s="23"/>
      <c r="M52" s="23"/>
      <c r="N52" s="23"/>
      <c r="O52" s="23"/>
      <c r="P52" s="23"/>
      <c r="Q52" s="19"/>
      <c r="R52" s="17">
        <v>3</v>
      </c>
      <c r="S52" s="17">
        <v>8</v>
      </c>
      <c r="T52" s="16">
        <f t="shared" si="1"/>
        <v>2438.3999999999996</v>
      </c>
      <c r="U52" s="16">
        <f t="shared" si="2"/>
        <v>914.4</v>
      </c>
      <c r="V52" s="18">
        <f t="shared" si="3"/>
        <v>2229672.9599999995</v>
      </c>
      <c r="W52" s="18">
        <f t="shared" si="4"/>
        <v>2.2296729599999994</v>
      </c>
      <c r="X52" s="18">
        <f t="shared" si="5"/>
        <v>22.392605537279991</v>
      </c>
      <c r="Y52" s="24">
        <v>35</v>
      </c>
      <c r="Z52" s="24">
        <f t="shared" si="6"/>
        <v>783.74119380479965</v>
      </c>
      <c r="AA52" s="16">
        <v>5</v>
      </c>
      <c r="AB52" s="16">
        <f t="shared" si="7"/>
        <v>2428.3999999999996</v>
      </c>
      <c r="AC52" s="16">
        <f t="shared" si="7"/>
        <v>904.4</v>
      </c>
      <c r="AD52" s="19">
        <f t="shared" si="8"/>
        <v>2196244.9599999995</v>
      </c>
      <c r="AE52" s="1" t="s">
        <v>7456</v>
      </c>
      <c r="AF52" s="1" t="str">
        <f>VLOOKUP(AE52,t_objeto!B:C,2,FALSE)</f>
        <v>RAW_MATERIAL</v>
      </c>
      <c r="AG52" s="1">
        <v>8</v>
      </c>
      <c r="AH52" s="1" t="str">
        <f>VLOOKUP(AG52,t_entry_status!A:AE,2,FALSE)</f>
        <v>PENDING</v>
      </c>
      <c r="AI52" s="7">
        <v>45560</v>
      </c>
      <c r="AJ52" s="1" t="s">
        <v>7449</v>
      </c>
      <c r="AK52" s="7">
        <v>45560</v>
      </c>
      <c r="AL52" s="1" t="s">
        <v>7449</v>
      </c>
    </row>
    <row r="53" spans="1:38" s="20" customFormat="1" x14ac:dyDescent="0.25">
      <c r="A53" s="14">
        <v>52</v>
      </c>
      <c r="B53" s="14" t="str">
        <f>_xlfn.CONCAT(AE53,"-",VLOOKUP(AE53,t_objeto!B:D,3,FALSE),"-",A53)</f>
        <v>RRMM-PERCCO-52</v>
      </c>
      <c r="C53" s="22" t="str">
        <f t="shared" si="9"/>
        <v>LAMINA_LISA__ACERO_PINTRO_3'X8'_19</v>
      </c>
      <c r="D53" s="14" t="s">
        <v>7407</v>
      </c>
      <c r="E53" s="14" t="s">
        <v>7380</v>
      </c>
      <c r="F53" s="21" t="s">
        <v>7383</v>
      </c>
      <c r="G53" s="22" t="s">
        <v>7382</v>
      </c>
      <c r="H53" s="14">
        <v>19</v>
      </c>
      <c r="I53" s="16">
        <v>1.06</v>
      </c>
      <c r="J53" s="16">
        <f t="shared" si="0"/>
        <v>4.1732283464566935E-2</v>
      </c>
      <c r="K53" s="16">
        <v>8.4350000000000005</v>
      </c>
      <c r="L53" s="23"/>
      <c r="M53" s="23"/>
      <c r="N53" s="23"/>
      <c r="O53" s="23"/>
      <c r="P53" s="23"/>
      <c r="Q53" s="19"/>
      <c r="R53" s="17">
        <v>3</v>
      </c>
      <c r="S53" s="17">
        <v>8</v>
      </c>
      <c r="T53" s="16">
        <f t="shared" si="1"/>
        <v>2438.3999999999996</v>
      </c>
      <c r="U53" s="16">
        <f t="shared" si="2"/>
        <v>914.4</v>
      </c>
      <c r="V53" s="18">
        <f t="shared" si="3"/>
        <v>2229672.9599999995</v>
      </c>
      <c r="W53" s="18">
        <f t="shared" si="4"/>
        <v>2.2296729599999994</v>
      </c>
      <c r="X53" s="18">
        <f t="shared" si="5"/>
        <v>18.807291417599995</v>
      </c>
      <c r="Y53" s="24">
        <v>35</v>
      </c>
      <c r="Z53" s="24">
        <f t="shared" si="6"/>
        <v>658.2551996159998</v>
      </c>
      <c r="AA53" s="16">
        <v>5</v>
      </c>
      <c r="AB53" s="16">
        <f t="shared" si="7"/>
        <v>2428.3999999999996</v>
      </c>
      <c r="AC53" s="16">
        <f t="shared" si="7"/>
        <v>904.4</v>
      </c>
      <c r="AD53" s="19">
        <f t="shared" si="8"/>
        <v>2196244.9599999995</v>
      </c>
      <c r="AE53" s="1" t="s">
        <v>7456</v>
      </c>
      <c r="AF53" s="1" t="str">
        <f>VLOOKUP(AE53,t_objeto!B:C,2,FALSE)</f>
        <v>RAW_MATERIAL</v>
      </c>
      <c r="AG53" s="1">
        <v>8</v>
      </c>
      <c r="AH53" s="1" t="str">
        <f>VLOOKUP(AG53,t_entry_status!A:AE,2,FALSE)</f>
        <v>PENDING</v>
      </c>
      <c r="AI53" s="7">
        <v>45560</v>
      </c>
      <c r="AJ53" s="1" t="s">
        <v>7449</v>
      </c>
      <c r="AK53" s="7">
        <v>45560</v>
      </c>
      <c r="AL53" s="1" t="s">
        <v>7449</v>
      </c>
    </row>
    <row r="54" spans="1:38" s="20" customFormat="1" x14ac:dyDescent="0.25">
      <c r="A54" s="14">
        <v>53</v>
      </c>
      <c r="B54" s="14" t="str">
        <f>_xlfn.CONCAT(AE54,"-",VLOOKUP(AE54,t_objeto!B:D,3,FALSE),"-",A54)</f>
        <v>RRMM-PERCCO-53</v>
      </c>
      <c r="C54" s="22" t="str">
        <f t="shared" si="9"/>
        <v>LAMINA_LISA__ACERO_PINTRO_3'X8'_20</v>
      </c>
      <c r="D54" s="14" t="s">
        <v>7407</v>
      </c>
      <c r="E54" s="14" t="s">
        <v>7380</v>
      </c>
      <c r="F54" s="21" t="s">
        <v>7383</v>
      </c>
      <c r="G54" s="22" t="s">
        <v>7382</v>
      </c>
      <c r="H54" s="14">
        <v>20</v>
      </c>
      <c r="I54" s="14">
        <v>0.91</v>
      </c>
      <c r="J54" s="16">
        <f t="shared" si="0"/>
        <v>3.582677165354331E-2</v>
      </c>
      <c r="K54" s="16">
        <v>7.601</v>
      </c>
      <c r="L54" s="23"/>
      <c r="M54" s="23"/>
      <c r="N54" s="23"/>
      <c r="O54" s="23"/>
      <c r="P54" s="23"/>
      <c r="Q54" s="19"/>
      <c r="R54" s="17">
        <v>3</v>
      </c>
      <c r="S54" s="17">
        <v>8</v>
      </c>
      <c r="T54" s="16">
        <f t="shared" si="1"/>
        <v>2438.3999999999996</v>
      </c>
      <c r="U54" s="16">
        <f t="shared" si="2"/>
        <v>914.4</v>
      </c>
      <c r="V54" s="18">
        <f t="shared" si="3"/>
        <v>2229672.9599999995</v>
      </c>
      <c r="W54" s="18">
        <f t="shared" si="4"/>
        <v>2.2296729599999994</v>
      </c>
      <c r="X54" s="18">
        <f t="shared" si="5"/>
        <v>16.947744168959996</v>
      </c>
      <c r="Y54" s="24">
        <v>35</v>
      </c>
      <c r="Z54" s="24">
        <f t="shared" si="6"/>
        <v>593.17104591359987</v>
      </c>
      <c r="AA54" s="16">
        <v>5</v>
      </c>
      <c r="AB54" s="16">
        <f t="shared" si="7"/>
        <v>2428.3999999999996</v>
      </c>
      <c r="AC54" s="16">
        <f t="shared" si="7"/>
        <v>904.4</v>
      </c>
      <c r="AD54" s="19">
        <f t="shared" si="8"/>
        <v>2196244.9599999995</v>
      </c>
      <c r="AE54" s="1" t="s">
        <v>7456</v>
      </c>
      <c r="AF54" s="1" t="str">
        <f>VLOOKUP(AE54,t_objeto!B:C,2,FALSE)</f>
        <v>RAW_MATERIAL</v>
      </c>
      <c r="AG54" s="1">
        <v>8</v>
      </c>
      <c r="AH54" s="1" t="str">
        <f>VLOOKUP(AG54,t_entry_status!A:AE,2,FALSE)</f>
        <v>PENDING</v>
      </c>
      <c r="AI54" s="7">
        <v>45560</v>
      </c>
      <c r="AJ54" s="1" t="s">
        <v>7449</v>
      </c>
      <c r="AK54" s="7">
        <v>45560</v>
      </c>
      <c r="AL54" s="1" t="s">
        <v>7449</v>
      </c>
    </row>
    <row r="55" spans="1:38" s="20" customFormat="1" x14ac:dyDescent="0.25">
      <c r="A55" s="14">
        <v>54</v>
      </c>
      <c r="B55" s="14" t="str">
        <f>_xlfn.CONCAT(AE55,"-",VLOOKUP(AE55,t_objeto!B:D,3,FALSE),"-",A55)</f>
        <v>RRMM-PERCCO-54</v>
      </c>
      <c r="C55" s="22" t="str">
        <f t="shared" si="9"/>
        <v>LAMINA_LISA__ACERO_PINTRO_3'X8'_21</v>
      </c>
      <c r="D55" s="14" t="s">
        <v>7407</v>
      </c>
      <c r="E55" s="14" t="s">
        <v>7380</v>
      </c>
      <c r="F55" s="21" t="s">
        <v>7383</v>
      </c>
      <c r="G55" s="22" t="s">
        <v>7382</v>
      </c>
      <c r="H55" s="14">
        <v>21</v>
      </c>
      <c r="I55" s="16">
        <v>0.84</v>
      </c>
      <c r="J55" s="16">
        <f t="shared" si="0"/>
        <v>3.3070866141732283E-2</v>
      </c>
      <c r="K55" s="16">
        <v>6.6840000000000002</v>
      </c>
      <c r="L55" s="23"/>
      <c r="M55" s="23"/>
      <c r="N55" s="23"/>
      <c r="O55" s="23"/>
      <c r="P55" s="23"/>
      <c r="Q55" s="19"/>
      <c r="R55" s="17">
        <v>3</v>
      </c>
      <c r="S55" s="17">
        <v>8</v>
      </c>
      <c r="T55" s="16">
        <f t="shared" si="1"/>
        <v>2438.3999999999996</v>
      </c>
      <c r="U55" s="16">
        <f t="shared" si="2"/>
        <v>914.4</v>
      </c>
      <c r="V55" s="18">
        <f t="shared" si="3"/>
        <v>2229672.9599999995</v>
      </c>
      <c r="W55" s="18">
        <f t="shared" si="4"/>
        <v>2.2296729599999994</v>
      </c>
      <c r="X55" s="18">
        <f t="shared" si="5"/>
        <v>14.903134064639996</v>
      </c>
      <c r="Y55" s="24">
        <v>35</v>
      </c>
      <c r="Z55" s="24">
        <f t="shared" si="6"/>
        <v>521.6096922623999</v>
      </c>
      <c r="AA55" s="16">
        <v>5</v>
      </c>
      <c r="AB55" s="16">
        <f t="shared" si="7"/>
        <v>2428.3999999999996</v>
      </c>
      <c r="AC55" s="16">
        <f t="shared" si="7"/>
        <v>904.4</v>
      </c>
      <c r="AD55" s="19">
        <f t="shared" si="8"/>
        <v>2196244.9599999995</v>
      </c>
      <c r="AE55" s="1" t="s">
        <v>7456</v>
      </c>
      <c r="AF55" s="1" t="str">
        <f>VLOOKUP(AE55,t_objeto!B:C,2,FALSE)</f>
        <v>RAW_MATERIAL</v>
      </c>
      <c r="AG55" s="1">
        <v>8</v>
      </c>
      <c r="AH55" s="1" t="str">
        <f>VLOOKUP(AG55,t_entry_status!A:AE,2,FALSE)</f>
        <v>PENDING</v>
      </c>
      <c r="AI55" s="7">
        <v>45560</v>
      </c>
      <c r="AJ55" s="1" t="s">
        <v>7449</v>
      </c>
      <c r="AK55" s="7">
        <v>45560</v>
      </c>
      <c r="AL55" s="1" t="s">
        <v>7449</v>
      </c>
    </row>
    <row r="56" spans="1:38" s="20" customFormat="1" x14ac:dyDescent="0.25">
      <c r="A56" s="14">
        <v>55</v>
      </c>
      <c r="B56" s="14" t="str">
        <f>_xlfn.CONCAT(AE56,"-",VLOOKUP(AE56,t_objeto!B:D,3,FALSE),"-",A56)</f>
        <v>RRMM-PERCCO-55</v>
      </c>
      <c r="C56" s="22" t="str">
        <f t="shared" si="9"/>
        <v>LAMINA_LISA__ACERO_PINTRO_3'X8'_22</v>
      </c>
      <c r="D56" s="14" t="s">
        <v>7407</v>
      </c>
      <c r="E56" s="14" t="s">
        <v>7380</v>
      </c>
      <c r="F56" s="21" t="s">
        <v>7383</v>
      </c>
      <c r="G56" s="22" t="s">
        <v>7382</v>
      </c>
      <c r="H56" s="14">
        <v>22</v>
      </c>
      <c r="I56" s="14">
        <v>0.76</v>
      </c>
      <c r="J56" s="16">
        <f t="shared" si="0"/>
        <v>2.9921259842519688E-2</v>
      </c>
      <c r="K56" s="16">
        <v>6.38</v>
      </c>
      <c r="L56" s="23"/>
      <c r="M56" s="23"/>
      <c r="N56" s="23"/>
      <c r="O56" s="23"/>
      <c r="P56" s="23"/>
      <c r="Q56" s="19"/>
      <c r="R56" s="17">
        <v>3</v>
      </c>
      <c r="S56" s="17">
        <v>8</v>
      </c>
      <c r="T56" s="16">
        <f t="shared" si="1"/>
        <v>2438.3999999999996</v>
      </c>
      <c r="U56" s="16">
        <f t="shared" si="2"/>
        <v>914.4</v>
      </c>
      <c r="V56" s="18">
        <f t="shared" si="3"/>
        <v>2229672.9599999995</v>
      </c>
      <c r="W56" s="18">
        <f t="shared" si="4"/>
        <v>2.2296729599999994</v>
      </c>
      <c r="X56" s="18">
        <f t="shared" si="5"/>
        <v>14.225313484799996</v>
      </c>
      <c r="Y56" s="24">
        <v>35</v>
      </c>
      <c r="Z56" s="24">
        <f t="shared" si="6"/>
        <v>497.88597196799986</v>
      </c>
      <c r="AA56" s="16">
        <v>5</v>
      </c>
      <c r="AB56" s="16">
        <f t="shared" si="7"/>
        <v>2428.3999999999996</v>
      </c>
      <c r="AC56" s="16">
        <f t="shared" si="7"/>
        <v>904.4</v>
      </c>
      <c r="AD56" s="19">
        <f t="shared" si="8"/>
        <v>2196244.9599999995</v>
      </c>
      <c r="AE56" s="1" t="s">
        <v>7456</v>
      </c>
      <c r="AF56" s="1" t="str">
        <f>VLOOKUP(AE56,t_objeto!B:C,2,FALSE)</f>
        <v>RAW_MATERIAL</v>
      </c>
      <c r="AG56" s="1">
        <v>8</v>
      </c>
      <c r="AH56" s="1" t="str">
        <f>VLOOKUP(AG56,t_entry_status!A:AE,2,FALSE)</f>
        <v>PENDING</v>
      </c>
      <c r="AI56" s="7">
        <v>45560</v>
      </c>
      <c r="AJ56" s="1" t="s">
        <v>7449</v>
      </c>
      <c r="AK56" s="7">
        <v>45560</v>
      </c>
      <c r="AL56" s="1" t="s">
        <v>7449</v>
      </c>
    </row>
    <row r="57" spans="1:38" s="20" customFormat="1" x14ac:dyDescent="0.25">
      <c r="A57" s="14">
        <v>56</v>
      </c>
      <c r="B57" s="14" t="str">
        <f>_xlfn.CONCAT(AE57,"-",VLOOKUP(AE57,t_objeto!B:D,3,FALSE),"-",A57)</f>
        <v>RRMM-PERCCO-56</v>
      </c>
      <c r="C57" s="22" t="str">
        <f t="shared" si="9"/>
        <v>LAMINA_LISA__ACERO_PINTRO_3'X8'_23</v>
      </c>
      <c r="D57" s="14" t="s">
        <v>7407</v>
      </c>
      <c r="E57" s="14" t="s">
        <v>7380</v>
      </c>
      <c r="F57" s="21" t="s">
        <v>7383</v>
      </c>
      <c r="G57" s="22" t="s">
        <v>7382</v>
      </c>
      <c r="H57" s="14">
        <v>23</v>
      </c>
      <c r="I57" s="16">
        <v>0.68</v>
      </c>
      <c r="J57" s="16">
        <f t="shared" si="0"/>
        <v>2.677165354330709E-2</v>
      </c>
      <c r="K57" s="16">
        <v>5.4109999999999996</v>
      </c>
      <c r="L57" s="23"/>
      <c r="M57" s="23"/>
      <c r="N57" s="23"/>
      <c r="O57" s="23"/>
      <c r="P57" s="23"/>
      <c r="Q57" s="19"/>
      <c r="R57" s="17">
        <v>3</v>
      </c>
      <c r="S57" s="17">
        <v>8</v>
      </c>
      <c r="T57" s="16">
        <f t="shared" si="1"/>
        <v>2438.3999999999996</v>
      </c>
      <c r="U57" s="16">
        <f t="shared" si="2"/>
        <v>914.4</v>
      </c>
      <c r="V57" s="18">
        <f t="shared" si="3"/>
        <v>2229672.9599999995</v>
      </c>
      <c r="W57" s="18">
        <f t="shared" si="4"/>
        <v>2.2296729599999994</v>
      </c>
      <c r="X57" s="18">
        <f t="shared" si="5"/>
        <v>12.064760386559996</v>
      </c>
      <c r="Y57" s="24">
        <v>35</v>
      </c>
      <c r="Z57" s="24">
        <f t="shared" si="6"/>
        <v>422.26661352959985</v>
      </c>
      <c r="AA57" s="16">
        <v>5</v>
      </c>
      <c r="AB57" s="16">
        <f t="shared" si="7"/>
        <v>2428.3999999999996</v>
      </c>
      <c r="AC57" s="16">
        <f t="shared" si="7"/>
        <v>904.4</v>
      </c>
      <c r="AD57" s="19">
        <f t="shared" si="8"/>
        <v>2196244.9599999995</v>
      </c>
      <c r="AE57" s="1" t="s">
        <v>7456</v>
      </c>
      <c r="AF57" s="1" t="str">
        <f>VLOOKUP(AE57,t_objeto!B:C,2,FALSE)</f>
        <v>RAW_MATERIAL</v>
      </c>
      <c r="AG57" s="1">
        <v>8</v>
      </c>
      <c r="AH57" s="1" t="str">
        <f>VLOOKUP(AG57,t_entry_status!A:AE,2,FALSE)</f>
        <v>PENDING</v>
      </c>
      <c r="AI57" s="7">
        <v>45560</v>
      </c>
      <c r="AJ57" s="1" t="s">
        <v>7449</v>
      </c>
      <c r="AK57" s="7">
        <v>45560</v>
      </c>
      <c r="AL57" s="1" t="s">
        <v>7449</v>
      </c>
    </row>
    <row r="58" spans="1:38" s="20" customFormat="1" x14ac:dyDescent="0.25">
      <c r="A58" s="14">
        <v>57</v>
      </c>
      <c r="B58" s="14" t="str">
        <f>_xlfn.CONCAT(AE58,"-",VLOOKUP(AE58,t_objeto!B:D,3,FALSE),"-",A58)</f>
        <v>RRMM-PERCCO-57</v>
      </c>
      <c r="C58" s="22" t="str">
        <f t="shared" si="9"/>
        <v>LAMINA_LISA__ACERO_PINTRO_3'X8'_24</v>
      </c>
      <c r="D58" s="14" t="s">
        <v>7407</v>
      </c>
      <c r="E58" s="14" t="s">
        <v>7380</v>
      </c>
      <c r="F58" s="21" t="s">
        <v>7383</v>
      </c>
      <c r="G58" s="22" t="s">
        <v>7382</v>
      </c>
      <c r="H58" s="14">
        <v>24</v>
      </c>
      <c r="I58" s="14">
        <v>0.61</v>
      </c>
      <c r="J58" s="16">
        <f t="shared" si="0"/>
        <v>2.4015748031496063E-2</v>
      </c>
      <c r="K58" s="16">
        <v>5.1589999999999998</v>
      </c>
      <c r="L58" s="23"/>
      <c r="M58" s="23"/>
      <c r="N58" s="23"/>
      <c r="O58" s="23"/>
      <c r="P58" s="23"/>
      <c r="Q58" s="19"/>
      <c r="R58" s="17">
        <v>3</v>
      </c>
      <c r="S58" s="17">
        <v>8</v>
      </c>
      <c r="T58" s="16">
        <f t="shared" si="1"/>
        <v>2438.3999999999996</v>
      </c>
      <c r="U58" s="16">
        <f t="shared" si="2"/>
        <v>914.4</v>
      </c>
      <c r="V58" s="18">
        <f t="shared" si="3"/>
        <v>2229672.9599999995</v>
      </c>
      <c r="W58" s="18">
        <f t="shared" si="4"/>
        <v>2.2296729599999994</v>
      </c>
      <c r="X58" s="18">
        <f t="shared" si="5"/>
        <v>11.502882800639997</v>
      </c>
      <c r="Y58" s="24">
        <v>35</v>
      </c>
      <c r="Z58" s="24">
        <f t="shared" si="6"/>
        <v>402.60089802239986</v>
      </c>
      <c r="AA58" s="16">
        <v>5</v>
      </c>
      <c r="AB58" s="16">
        <f t="shared" si="7"/>
        <v>2428.3999999999996</v>
      </c>
      <c r="AC58" s="16">
        <f t="shared" si="7"/>
        <v>904.4</v>
      </c>
      <c r="AD58" s="19">
        <f t="shared" si="8"/>
        <v>2196244.9599999995</v>
      </c>
      <c r="AE58" s="1" t="s">
        <v>7456</v>
      </c>
      <c r="AF58" s="1" t="str">
        <f>VLOOKUP(AE58,t_objeto!B:C,2,FALSE)</f>
        <v>RAW_MATERIAL</v>
      </c>
      <c r="AG58" s="1">
        <v>8</v>
      </c>
      <c r="AH58" s="1" t="str">
        <f>VLOOKUP(AG58,t_entry_status!A:AE,2,FALSE)</f>
        <v>PENDING</v>
      </c>
      <c r="AI58" s="7">
        <v>45560</v>
      </c>
      <c r="AJ58" s="1" t="s">
        <v>7449</v>
      </c>
      <c r="AK58" s="7">
        <v>45560</v>
      </c>
      <c r="AL58" s="1" t="s">
        <v>7449</v>
      </c>
    </row>
    <row r="59" spans="1:38" s="20" customFormat="1" x14ac:dyDescent="0.25">
      <c r="A59" s="14">
        <v>58</v>
      </c>
      <c r="B59" s="14" t="str">
        <f>_xlfn.CONCAT(AE59,"-",VLOOKUP(AE59,t_objeto!B:D,3,FALSE),"-",A59)</f>
        <v>RRMM-PERCCO-58</v>
      </c>
      <c r="C59" s="22" t="str">
        <f t="shared" si="9"/>
        <v>LAMINA_LISA__ACERO_PINTRO_3'X8'_25</v>
      </c>
      <c r="D59" s="14" t="s">
        <v>7407</v>
      </c>
      <c r="E59" s="14" t="s">
        <v>7380</v>
      </c>
      <c r="F59" s="21" t="s">
        <v>7383</v>
      </c>
      <c r="G59" s="22" t="s">
        <v>7382</v>
      </c>
      <c r="H59" s="14">
        <v>25</v>
      </c>
      <c r="I59" s="16">
        <v>0.53</v>
      </c>
      <c r="J59" s="16">
        <f t="shared" si="0"/>
        <v>2.0866141732283468E-2</v>
      </c>
      <c r="K59" s="16">
        <v>4.2169999999999996</v>
      </c>
      <c r="L59" s="23"/>
      <c r="M59" s="23"/>
      <c r="N59" s="23"/>
      <c r="O59" s="23"/>
      <c r="P59" s="23"/>
      <c r="Q59" s="19"/>
      <c r="R59" s="17">
        <v>3</v>
      </c>
      <c r="S59" s="17">
        <v>8</v>
      </c>
      <c r="T59" s="16">
        <f t="shared" si="1"/>
        <v>2438.3999999999996</v>
      </c>
      <c r="U59" s="16">
        <f t="shared" si="2"/>
        <v>914.4</v>
      </c>
      <c r="V59" s="18">
        <f t="shared" si="3"/>
        <v>2229672.9599999995</v>
      </c>
      <c r="W59" s="18">
        <f t="shared" si="4"/>
        <v>2.2296729599999994</v>
      </c>
      <c r="X59" s="18">
        <f t="shared" si="5"/>
        <v>9.4025308723199963</v>
      </c>
      <c r="Y59" s="24">
        <v>35</v>
      </c>
      <c r="Z59" s="24">
        <f t="shared" si="6"/>
        <v>329.08858053119985</v>
      </c>
      <c r="AA59" s="16">
        <v>5</v>
      </c>
      <c r="AB59" s="16">
        <f t="shared" si="7"/>
        <v>2428.3999999999996</v>
      </c>
      <c r="AC59" s="16">
        <f t="shared" si="7"/>
        <v>904.4</v>
      </c>
      <c r="AD59" s="19">
        <f t="shared" si="8"/>
        <v>2196244.9599999995</v>
      </c>
      <c r="AE59" s="1" t="s">
        <v>7456</v>
      </c>
      <c r="AF59" s="1" t="str">
        <f>VLOOKUP(AE59,t_objeto!B:C,2,FALSE)</f>
        <v>RAW_MATERIAL</v>
      </c>
      <c r="AG59" s="1">
        <v>8</v>
      </c>
      <c r="AH59" s="1" t="str">
        <f>VLOOKUP(AG59,t_entry_status!A:AE,2,FALSE)</f>
        <v>PENDING</v>
      </c>
      <c r="AI59" s="7">
        <v>45560</v>
      </c>
      <c r="AJ59" s="1" t="s">
        <v>7449</v>
      </c>
      <c r="AK59" s="7">
        <v>45560</v>
      </c>
      <c r="AL59" s="1" t="s">
        <v>7449</v>
      </c>
    </row>
    <row r="60" spans="1:38" s="20" customFormat="1" x14ac:dyDescent="0.25">
      <c r="A60" s="14">
        <v>59</v>
      </c>
      <c r="B60" s="14" t="str">
        <f>_xlfn.CONCAT(AE60,"-",VLOOKUP(AE60,t_objeto!B:D,3,FALSE),"-",A60)</f>
        <v>RRMM-PERCCO-59</v>
      </c>
      <c r="C60" s="22" t="str">
        <f t="shared" si="9"/>
        <v>LAMINA_LISA__ACERO_PINTRO_3'X8'_26</v>
      </c>
      <c r="D60" s="14" t="s">
        <v>7407</v>
      </c>
      <c r="E60" s="14" t="s">
        <v>7380</v>
      </c>
      <c r="F60" s="21" t="s">
        <v>7383</v>
      </c>
      <c r="G60" s="22" t="s">
        <v>7382</v>
      </c>
      <c r="H60" s="14">
        <v>26</v>
      </c>
      <c r="I60" s="14">
        <v>0.45</v>
      </c>
      <c r="J60" s="16">
        <f t="shared" si="0"/>
        <v>1.7716535433070866E-2</v>
      </c>
      <c r="K60" s="16">
        <f>3.663+0.275</f>
        <v>3.9379999999999997</v>
      </c>
      <c r="L60" s="23"/>
      <c r="M60" s="23"/>
      <c r="N60" s="23"/>
      <c r="O60" s="23"/>
      <c r="P60" s="23"/>
      <c r="Q60" s="19"/>
      <c r="R60" s="17">
        <v>3</v>
      </c>
      <c r="S60" s="17">
        <v>8</v>
      </c>
      <c r="T60" s="16">
        <f t="shared" si="1"/>
        <v>2438.3999999999996</v>
      </c>
      <c r="U60" s="16">
        <f t="shared" si="2"/>
        <v>914.4</v>
      </c>
      <c r="V60" s="18">
        <f t="shared" si="3"/>
        <v>2229672.9599999995</v>
      </c>
      <c r="W60" s="18">
        <f t="shared" si="4"/>
        <v>2.2296729599999994</v>
      </c>
      <c r="X60" s="18">
        <f t="shared" si="5"/>
        <v>8.7804521164799976</v>
      </c>
      <c r="Y60" s="24">
        <v>35</v>
      </c>
      <c r="Z60" s="24">
        <f t="shared" si="6"/>
        <v>307.31582407679991</v>
      </c>
      <c r="AA60" s="16">
        <v>5</v>
      </c>
      <c r="AB60" s="16">
        <f t="shared" si="7"/>
        <v>2428.3999999999996</v>
      </c>
      <c r="AC60" s="16">
        <f t="shared" si="7"/>
        <v>904.4</v>
      </c>
      <c r="AD60" s="19">
        <f t="shared" si="8"/>
        <v>2196244.9599999995</v>
      </c>
      <c r="AE60" s="1" t="s">
        <v>7456</v>
      </c>
      <c r="AF60" s="1" t="str">
        <f>VLOOKUP(AE60,t_objeto!B:C,2,FALSE)</f>
        <v>RAW_MATERIAL</v>
      </c>
      <c r="AG60" s="1">
        <v>8</v>
      </c>
      <c r="AH60" s="1" t="str">
        <f>VLOOKUP(AG60,t_entry_status!A:AE,2,FALSE)</f>
        <v>PENDING</v>
      </c>
      <c r="AI60" s="7">
        <v>45560</v>
      </c>
      <c r="AJ60" s="1" t="s">
        <v>7449</v>
      </c>
      <c r="AK60" s="7">
        <v>45560</v>
      </c>
      <c r="AL60" s="1" t="s">
        <v>7449</v>
      </c>
    </row>
    <row r="61" spans="1:38" s="20" customFormat="1" x14ac:dyDescent="0.25">
      <c r="A61" s="14">
        <v>60</v>
      </c>
      <c r="B61" s="14" t="str">
        <f>_xlfn.CONCAT(AE61,"-",VLOOKUP(AE61,t_objeto!B:D,3,FALSE),"-",A61)</f>
        <v>RRMM-PERCCO-60</v>
      </c>
      <c r="C61" s="22" t="str">
        <f t="shared" si="9"/>
        <v>LAMINA_LISA__ACERO_PINTRO_3'X8'_27</v>
      </c>
      <c r="D61" s="14" t="s">
        <v>7407</v>
      </c>
      <c r="E61" s="14" t="s">
        <v>7380</v>
      </c>
      <c r="F61" s="21" t="s">
        <v>7383</v>
      </c>
      <c r="G61" s="22" t="s">
        <v>7382</v>
      </c>
      <c r="H61" s="14">
        <v>27</v>
      </c>
      <c r="I61" s="16">
        <v>0.42</v>
      </c>
      <c r="J61" s="16">
        <f t="shared" si="0"/>
        <v>1.6535433070866142E-2</v>
      </c>
      <c r="K61" s="16">
        <v>3.3420000000000001</v>
      </c>
      <c r="L61" s="23"/>
      <c r="M61" s="23"/>
      <c r="N61" s="23"/>
      <c r="O61" s="23"/>
      <c r="P61" s="23"/>
      <c r="Q61" s="19"/>
      <c r="R61" s="17">
        <v>3</v>
      </c>
      <c r="S61" s="17">
        <v>8</v>
      </c>
      <c r="T61" s="16">
        <f t="shared" si="1"/>
        <v>2438.3999999999996</v>
      </c>
      <c r="U61" s="16">
        <f t="shared" si="2"/>
        <v>914.4</v>
      </c>
      <c r="V61" s="18">
        <f t="shared" si="3"/>
        <v>2229672.9599999995</v>
      </c>
      <c r="W61" s="18">
        <f t="shared" si="4"/>
        <v>2.2296729599999994</v>
      </c>
      <c r="X61" s="18">
        <f t="shared" si="5"/>
        <v>7.4515670323199981</v>
      </c>
      <c r="Y61" s="24">
        <v>35</v>
      </c>
      <c r="Z61" s="24">
        <f t="shared" si="6"/>
        <v>260.80484613119995</v>
      </c>
      <c r="AA61" s="16">
        <v>5</v>
      </c>
      <c r="AB61" s="16">
        <f t="shared" si="7"/>
        <v>2428.3999999999996</v>
      </c>
      <c r="AC61" s="16">
        <f t="shared" si="7"/>
        <v>904.4</v>
      </c>
      <c r="AD61" s="19">
        <f t="shared" si="8"/>
        <v>2196244.9599999995</v>
      </c>
      <c r="AE61" s="1" t="s">
        <v>7456</v>
      </c>
      <c r="AF61" s="1" t="str">
        <f>VLOOKUP(AE61,t_objeto!B:C,2,FALSE)</f>
        <v>RAW_MATERIAL</v>
      </c>
      <c r="AG61" s="1">
        <v>8</v>
      </c>
      <c r="AH61" s="1" t="str">
        <f>VLOOKUP(AG61,t_entry_status!A:AE,2,FALSE)</f>
        <v>PENDING</v>
      </c>
      <c r="AI61" s="7">
        <v>45560</v>
      </c>
      <c r="AJ61" s="1" t="s">
        <v>7449</v>
      </c>
      <c r="AK61" s="7">
        <v>45560</v>
      </c>
      <c r="AL61" s="1" t="s">
        <v>7449</v>
      </c>
    </row>
    <row r="62" spans="1:38" s="20" customFormat="1" x14ac:dyDescent="0.25">
      <c r="A62" s="14">
        <v>61</v>
      </c>
      <c r="B62" s="14" t="str">
        <f>_xlfn.CONCAT(AE62,"-",VLOOKUP(AE62,t_objeto!B:D,3,FALSE),"-",A62)</f>
        <v>RRMM-PERCCO-61</v>
      </c>
      <c r="C62" s="22" t="str">
        <f t="shared" si="9"/>
        <v>LAMINA_LISA__ACERO_PINTRO_3'X8'_28</v>
      </c>
      <c r="D62" s="14" t="s">
        <v>7407</v>
      </c>
      <c r="E62" s="14" t="s">
        <v>7380</v>
      </c>
      <c r="F62" s="21" t="s">
        <v>7383</v>
      </c>
      <c r="G62" s="22" t="s">
        <v>7382</v>
      </c>
      <c r="H62" s="14">
        <v>28</v>
      </c>
      <c r="I62" s="14">
        <v>0.38</v>
      </c>
      <c r="J62" s="16">
        <f t="shared" si="0"/>
        <v>1.4960629921259844E-2</v>
      </c>
      <c r="K62" s="16">
        <v>3.327</v>
      </c>
      <c r="L62" s="23"/>
      <c r="M62" s="23"/>
      <c r="N62" s="23"/>
      <c r="O62" s="23"/>
      <c r="P62" s="23"/>
      <c r="Q62" s="19"/>
      <c r="R62" s="17">
        <v>3</v>
      </c>
      <c r="S62" s="17">
        <v>8</v>
      </c>
      <c r="T62" s="16">
        <f t="shared" si="1"/>
        <v>2438.3999999999996</v>
      </c>
      <c r="U62" s="16">
        <f t="shared" si="2"/>
        <v>914.4</v>
      </c>
      <c r="V62" s="18">
        <f t="shared" si="3"/>
        <v>2229672.9599999995</v>
      </c>
      <c r="W62" s="18">
        <f t="shared" si="4"/>
        <v>2.2296729599999994</v>
      </c>
      <c r="X62" s="18">
        <f t="shared" si="5"/>
        <v>7.4181219379199979</v>
      </c>
      <c r="Y62" s="24">
        <v>35</v>
      </c>
      <c r="Z62" s="24">
        <f t="shared" si="6"/>
        <v>259.63426782719995</v>
      </c>
      <c r="AA62" s="16">
        <v>5</v>
      </c>
      <c r="AB62" s="16">
        <f t="shared" si="7"/>
        <v>2428.3999999999996</v>
      </c>
      <c r="AC62" s="16">
        <f t="shared" si="7"/>
        <v>904.4</v>
      </c>
      <c r="AD62" s="19">
        <f t="shared" si="8"/>
        <v>2196244.9599999995</v>
      </c>
      <c r="AE62" s="1" t="s">
        <v>7456</v>
      </c>
      <c r="AF62" s="1" t="str">
        <f>VLOOKUP(AE62,t_objeto!B:C,2,FALSE)</f>
        <v>RAW_MATERIAL</v>
      </c>
      <c r="AG62" s="1">
        <v>8</v>
      </c>
      <c r="AH62" s="1" t="str">
        <f>VLOOKUP(AG62,t_entry_status!A:AE,2,FALSE)</f>
        <v>PENDING</v>
      </c>
      <c r="AI62" s="7">
        <v>45560</v>
      </c>
      <c r="AJ62" s="1" t="s">
        <v>7449</v>
      </c>
      <c r="AK62" s="7">
        <v>45560</v>
      </c>
      <c r="AL62" s="1" t="s">
        <v>7449</v>
      </c>
    </row>
    <row r="63" spans="1:38" s="20" customFormat="1" x14ac:dyDescent="0.25">
      <c r="A63" s="14">
        <v>62</v>
      </c>
      <c r="B63" s="14" t="str">
        <f>_xlfn.CONCAT(AE63,"-",VLOOKUP(AE63,t_objeto!B:D,3,FALSE),"-",A63)</f>
        <v>RRMM-PERCCO-62</v>
      </c>
      <c r="C63" s="22" t="str">
        <f t="shared" si="9"/>
        <v>LAMINA_LISA__ACERO_PINTRO_3'X8'_29</v>
      </c>
      <c r="D63" s="14" t="s">
        <v>7407</v>
      </c>
      <c r="E63" s="14" t="s">
        <v>7380</v>
      </c>
      <c r="F63" s="21" t="s">
        <v>7383</v>
      </c>
      <c r="G63" s="22" t="s">
        <v>7382</v>
      </c>
      <c r="H63" s="14">
        <v>29</v>
      </c>
      <c r="I63" s="16">
        <v>0.34</v>
      </c>
      <c r="J63" s="16">
        <f t="shared" si="0"/>
        <v>1.3385826771653545E-2</v>
      </c>
      <c r="K63" s="16">
        <v>2.706</v>
      </c>
      <c r="L63" s="23"/>
      <c r="M63" s="23"/>
      <c r="N63" s="23"/>
      <c r="O63" s="23"/>
      <c r="P63" s="23"/>
      <c r="Q63" s="19"/>
      <c r="R63" s="17">
        <v>3</v>
      </c>
      <c r="S63" s="17">
        <v>8</v>
      </c>
      <c r="T63" s="16">
        <f t="shared" si="1"/>
        <v>2438.3999999999996</v>
      </c>
      <c r="U63" s="16">
        <f t="shared" si="2"/>
        <v>914.4</v>
      </c>
      <c r="V63" s="18">
        <f t="shared" si="3"/>
        <v>2229672.9599999995</v>
      </c>
      <c r="W63" s="18">
        <f t="shared" si="4"/>
        <v>2.2296729599999994</v>
      </c>
      <c r="X63" s="18">
        <f t="shared" si="5"/>
        <v>6.0334950297599983</v>
      </c>
      <c r="Y63" s="24">
        <v>35</v>
      </c>
      <c r="Z63" s="24">
        <f t="shared" si="6"/>
        <v>211.17232604159994</v>
      </c>
      <c r="AA63" s="16">
        <v>5</v>
      </c>
      <c r="AB63" s="16">
        <f t="shared" si="7"/>
        <v>2428.3999999999996</v>
      </c>
      <c r="AC63" s="16">
        <f t="shared" si="7"/>
        <v>904.4</v>
      </c>
      <c r="AD63" s="19">
        <f t="shared" si="8"/>
        <v>2196244.9599999995</v>
      </c>
      <c r="AE63" s="1" t="s">
        <v>7456</v>
      </c>
      <c r="AF63" s="1" t="str">
        <f>VLOOKUP(AE63,t_objeto!B:C,2,FALSE)</f>
        <v>RAW_MATERIAL</v>
      </c>
      <c r="AG63" s="1">
        <v>8</v>
      </c>
      <c r="AH63" s="1" t="str">
        <f>VLOOKUP(AG63,t_entry_status!A:AE,2,FALSE)</f>
        <v>PENDING</v>
      </c>
      <c r="AI63" s="7">
        <v>45560</v>
      </c>
      <c r="AJ63" s="1" t="s">
        <v>7449</v>
      </c>
      <c r="AK63" s="7">
        <v>45560</v>
      </c>
      <c r="AL63" s="1" t="s">
        <v>7449</v>
      </c>
    </row>
    <row r="64" spans="1:38" s="20" customFormat="1" x14ac:dyDescent="0.25">
      <c r="A64" s="14">
        <v>63</v>
      </c>
      <c r="B64" s="14" t="str">
        <f>_xlfn.CONCAT(AE64,"-",VLOOKUP(AE64,t_objeto!B:D,3,FALSE),"-",A64)</f>
        <v>RRMM-PERCCO-63</v>
      </c>
      <c r="C64" s="22" t="str">
        <f t="shared" si="9"/>
        <v>LAMINA_LISA__ACERO_PINTRO_3'X8'_30</v>
      </c>
      <c r="D64" s="14" t="s">
        <v>7407</v>
      </c>
      <c r="E64" s="14" t="s">
        <v>7380</v>
      </c>
      <c r="F64" s="21" t="s">
        <v>7383</v>
      </c>
      <c r="G64" s="22" t="s">
        <v>7382</v>
      </c>
      <c r="H64" s="14">
        <v>30</v>
      </c>
      <c r="I64" s="14">
        <v>0.3</v>
      </c>
      <c r="J64" s="16">
        <f t="shared" si="0"/>
        <v>1.1811023622047244E-2</v>
      </c>
      <c r="K64" s="16">
        <v>2.673</v>
      </c>
      <c r="L64" s="23"/>
      <c r="M64" s="23"/>
      <c r="N64" s="23"/>
      <c r="O64" s="23"/>
      <c r="P64" s="23"/>
      <c r="Q64" s="19"/>
      <c r="R64" s="17">
        <v>3</v>
      </c>
      <c r="S64" s="17">
        <v>8</v>
      </c>
      <c r="T64" s="16">
        <f t="shared" si="1"/>
        <v>2438.3999999999996</v>
      </c>
      <c r="U64" s="16">
        <f t="shared" si="2"/>
        <v>914.4</v>
      </c>
      <c r="V64" s="18">
        <f t="shared" si="3"/>
        <v>2229672.9599999995</v>
      </c>
      <c r="W64" s="18">
        <f t="shared" si="4"/>
        <v>2.2296729599999994</v>
      </c>
      <c r="X64" s="18">
        <f t="shared" si="5"/>
        <v>5.9599158220799984</v>
      </c>
      <c r="Y64" s="24">
        <v>35</v>
      </c>
      <c r="Z64" s="24">
        <f t="shared" si="6"/>
        <v>208.59705377279994</v>
      </c>
      <c r="AA64" s="16">
        <v>5</v>
      </c>
      <c r="AB64" s="16">
        <f t="shared" si="7"/>
        <v>2428.3999999999996</v>
      </c>
      <c r="AC64" s="16">
        <f t="shared" si="7"/>
        <v>904.4</v>
      </c>
      <c r="AD64" s="19">
        <f t="shared" si="8"/>
        <v>2196244.9599999995</v>
      </c>
      <c r="AE64" s="1" t="s">
        <v>7456</v>
      </c>
      <c r="AF64" s="1" t="str">
        <f>VLOOKUP(AE64,t_objeto!B:C,2,FALSE)</f>
        <v>RAW_MATERIAL</v>
      </c>
      <c r="AG64" s="1">
        <v>8</v>
      </c>
      <c r="AH64" s="1" t="str">
        <f>VLOOKUP(AG64,t_entry_status!A:AE,2,FALSE)</f>
        <v>PENDING</v>
      </c>
      <c r="AI64" s="7">
        <v>45560</v>
      </c>
      <c r="AJ64" s="1" t="s">
        <v>7449</v>
      </c>
      <c r="AK64" s="7">
        <v>45560</v>
      </c>
      <c r="AL64" s="1" t="s">
        <v>7449</v>
      </c>
    </row>
    <row r="65" spans="1:38" s="20" customFormat="1" x14ac:dyDescent="0.25">
      <c r="A65" s="14">
        <v>64</v>
      </c>
      <c r="B65" s="14" t="str">
        <f>_xlfn.CONCAT(AE65,"-",VLOOKUP(AE65,t_objeto!B:D,3,FALSE),"-",A65)</f>
        <v>RRMM-PERCCO-64</v>
      </c>
      <c r="C65" s="22" t="str">
        <f t="shared" si="9"/>
        <v>PLACA__ACERO_ROLADA EN CALIENTE_3'X8'_1"</v>
      </c>
      <c r="D65" s="14" t="s">
        <v>7385</v>
      </c>
      <c r="E65" s="14" t="s">
        <v>7380</v>
      </c>
      <c r="F65" s="21" t="s">
        <v>7386</v>
      </c>
      <c r="G65" s="22" t="s">
        <v>7382</v>
      </c>
      <c r="H65" s="14" t="s">
        <v>7387</v>
      </c>
      <c r="I65" s="16">
        <v>25.4</v>
      </c>
      <c r="J65" s="16">
        <f t="shared" si="0"/>
        <v>1</v>
      </c>
      <c r="K65" s="16">
        <v>199.39</v>
      </c>
      <c r="L65" s="23"/>
      <c r="M65" s="23"/>
      <c r="N65" s="23"/>
      <c r="O65" s="23"/>
      <c r="P65" s="23"/>
      <c r="Q65" s="19"/>
      <c r="R65" s="17">
        <v>3</v>
      </c>
      <c r="S65" s="17">
        <v>8</v>
      </c>
      <c r="T65" s="16">
        <f t="shared" si="1"/>
        <v>2438.3999999999996</v>
      </c>
      <c r="U65" s="16">
        <f t="shared" si="2"/>
        <v>914.4</v>
      </c>
      <c r="V65" s="18">
        <f t="shared" si="3"/>
        <v>2229672.9599999995</v>
      </c>
      <c r="W65" s="18">
        <f t="shared" si="4"/>
        <v>2.2296729599999994</v>
      </c>
      <c r="X65" s="18">
        <f t="shared" si="5"/>
        <v>444.57449149439987</v>
      </c>
      <c r="Y65" s="24">
        <v>35</v>
      </c>
      <c r="Z65" s="24">
        <f t="shared" si="6"/>
        <v>15560.107202303996</v>
      </c>
      <c r="AA65" s="16">
        <v>8</v>
      </c>
      <c r="AB65" s="16">
        <f t="shared" si="7"/>
        <v>2422.3999999999996</v>
      </c>
      <c r="AC65" s="16">
        <f t="shared" si="7"/>
        <v>898.4</v>
      </c>
      <c r="AD65" s="19">
        <f t="shared" si="8"/>
        <v>2176284.1599999997</v>
      </c>
      <c r="AE65" s="1" t="s">
        <v>7456</v>
      </c>
      <c r="AF65" s="1" t="str">
        <f>VLOOKUP(AE65,t_objeto!B:C,2,FALSE)</f>
        <v>RAW_MATERIAL</v>
      </c>
      <c r="AG65" s="1">
        <v>8</v>
      </c>
      <c r="AH65" s="1" t="str">
        <f>VLOOKUP(AG65,t_entry_status!A:AE,2,FALSE)</f>
        <v>PENDING</v>
      </c>
      <c r="AI65" s="7">
        <v>45560</v>
      </c>
      <c r="AJ65" s="1" t="s">
        <v>7449</v>
      </c>
      <c r="AK65" s="7">
        <v>45560</v>
      </c>
      <c r="AL65" s="1" t="s">
        <v>7449</v>
      </c>
    </row>
    <row r="66" spans="1:38" s="20" customFormat="1" x14ac:dyDescent="0.25">
      <c r="A66" s="14">
        <v>65</v>
      </c>
      <c r="B66" s="14" t="str">
        <f>_xlfn.CONCAT(AE66,"-",VLOOKUP(AE66,t_objeto!B:D,3,FALSE),"-",A66)</f>
        <v>RRMM-PERCCO-65</v>
      </c>
      <c r="C66" s="22" t="str">
        <f t="shared" si="9"/>
        <v>PLACA__ACERO_ROLADA EN CALIENTE_3'X8'_7/8"</v>
      </c>
      <c r="D66" s="14" t="s">
        <v>7385</v>
      </c>
      <c r="E66" s="14" t="s">
        <v>7380</v>
      </c>
      <c r="F66" s="21" t="s">
        <v>7386</v>
      </c>
      <c r="G66" s="22" t="s">
        <v>7382</v>
      </c>
      <c r="H66" s="14" t="s">
        <v>7388</v>
      </c>
      <c r="I66" s="16">
        <v>22.22</v>
      </c>
      <c r="J66" s="16">
        <f t="shared" ref="J66:J129" si="10">I66/25.4</f>
        <v>0.87480314960629924</v>
      </c>
      <c r="K66" s="16">
        <v>174.42699999999999</v>
      </c>
      <c r="L66" s="23"/>
      <c r="M66" s="23"/>
      <c r="N66" s="23"/>
      <c r="O66" s="23"/>
      <c r="P66" s="23"/>
      <c r="Q66" s="19"/>
      <c r="R66" s="17">
        <v>3</v>
      </c>
      <c r="S66" s="17">
        <v>8</v>
      </c>
      <c r="T66" s="16">
        <f t="shared" ref="T66:T129" si="11">S66*12*25.4</f>
        <v>2438.3999999999996</v>
      </c>
      <c r="U66" s="16">
        <f t="shared" ref="U66:U129" si="12">R66*12*25.4</f>
        <v>914.4</v>
      </c>
      <c r="V66" s="18">
        <f t="shared" ref="V66:V129" si="13">T66*U66</f>
        <v>2229672.9599999995</v>
      </c>
      <c r="W66" s="18">
        <f t="shared" ref="W66:W129" si="14">V66/1000000</f>
        <v>2.2296729599999994</v>
      </c>
      <c r="X66" s="18">
        <f t="shared" ref="X66:X129" si="15">K66*W66</f>
        <v>388.91516539391989</v>
      </c>
      <c r="Y66" s="24">
        <v>35</v>
      </c>
      <c r="Z66" s="24">
        <f t="shared" ref="Z66:Z129" si="16">X66*Y66</f>
        <v>13612.030788787197</v>
      </c>
      <c r="AA66" s="16">
        <v>9</v>
      </c>
      <c r="AB66" s="16">
        <f t="shared" ref="AB66:AC129" si="17">T66-($AA66*2)</f>
        <v>2420.3999999999996</v>
      </c>
      <c r="AC66" s="16">
        <f t="shared" si="17"/>
        <v>896.4</v>
      </c>
      <c r="AD66" s="19">
        <f t="shared" ref="AD66:AD129" si="18">AB66*AC66</f>
        <v>2169646.5599999996</v>
      </c>
      <c r="AE66" s="1" t="s">
        <v>7456</v>
      </c>
      <c r="AF66" s="1" t="str">
        <f>VLOOKUP(AE66,t_objeto!B:C,2,FALSE)</f>
        <v>RAW_MATERIAL</v>
      </c>
      <c r="AG66" s="1">
        <v>8</v>
      </c>
      <c r="AH66" s="1" t="str">
        <f>VLOOKUP(AG66,t_entry_status!A:AE,2,FALSE)</f>
        <v>PENDING</v>
      </c>
      <c r="AI66" s="7">
        <v>45560</v>
      </c>
      <c r="AJ66" s="1" t="s">
        <v>7449</v>
      </c>
      <c r="AK66" s="7">
        <v>45560</v>
      </c>
      <c r="AL66" s="1" t="s">
        <v>7449</v>
      </c>
    </row>
    <row r="67" spans="1:38" s="20" customFormat="1" x14ac:dyDescent="0.25">
      <c r="A67" s="14">
        <v>66</v>
      </c>
      <c r="B67" s="14" t="str">
        <f>_xlfn.CONCAT(AE67,"-",VLOOKUP(AE67,t_objeto!B:D,3,FALSE),"-",A67)</f>
        <v>RRMM-PERCCO-66</v>
      </c>
      <c r="C67" s="22" t="str">
        <f t="shared" ref="C67:C130" si="19">_xlfn.CONCAT(D67,"_","_",E67,"_",F67,"_",R67,"'","X",S67,"'","_",H67)</f>
        <v>PLACA__ACERO_ROLADA EN CALIENTE_3'X8'_3/4"</v>
      </c>
      <c r="D67" s="14" t="s">
        <v>7385</v>
      </c>
      <c r="E67" s="14" t="s">
        <v>7380</v>
      </c>
      <c r="F67" s="21" t="s">
        <v>7386</v>
      </c>
      <c r="G67" s="22" t="s">
        <v>7382</v>
      </c>
      <c r="H67" s="14" t="s">
        <v>7389</v>
      </c>
      <c r="I67" s="16">
        <v>19.05</v>
      </c>
      <c r="J67" s="16">
        <f t="shared" si="10"/>
        <v>0.75000000000000011</v>
      </c>
      <c r="K67" s="16">
        <v>149.54300000000001</v>
      </c>
      <c r="L67" s="23"/>
      <c r="M67" s="23"/>
      <c r="N67" s="23"/>
      <c r="O67" s="23"/>
      <c r="P67" s="23"/>
      <c r="Q67" s="19"/>
      <c r="R67" s="17">
        <v>3</v>
      </c>
      <c r="S67" s="17">
        <v>8</v>
      </c>
      <c r="T67" s="16">
        <f t="shared" si="11"/>
        <v>2438.3999999999996</v>
      </c>
      <c r="U67" s="16">
        <f t="shared" si="12"/>
        <v>914.4</v>
      </c>
      <c r="V67" s="18">
        <f t="shared" si="13"/>
        <v>2229672.9599999995</v>
      </c>
      <c r="W67" s="18">
        <f t="shared" si="14"/>
        <v>2.2296729599999994</v>
      </c>
      <c r="X67" s="18">
        <f t="shared" si="15"/>
        <v>333.4319834572799</v>
      </c>
      <c r="Y67" s="24">
        <v>35</v>
      </c>
      <c r="Z67" s="24">
        <f t="shared" si="16"/>
        <v>11670.119421004796</v>
      </c>
      <c r="AA67" s="16">
        <v>10</v>
      </c>
      <c r="AB67" s="16">
        <f t="shared" si="17"/>
        <v>2418.3999999999996</v>
      </c>
      <c r="AC67" s="16">
        <f t="shared" si="17"/>
        <v>894.4</v>
      </c>
      <c r="AD67" s="19">
        <f t="shared" si="18"/>
        <v>2163016.9599999995</v>
      </c>
      <c r="AE67" s="1" t="s">
        <v>7456</v>
      </c>
      <c r="AF67" s="1" t="str">
        <f>VLOOKUP(AE67,t_objeto!B:C,2,FALSE)</f>
        <v>RAW_MATERIAL</v>
      </c>
      <c r="AG67" s="1">
        <v>8</v>
      </c>
      <c r="AH67" s="1" t="str">
        <f>VLOOKUP(AG67,t_entry_status!A:AE,2,FALSE)</f>
        <v>PENDING</v>
      </c>
      <c r="AI67" s="7">
        <v>45560</v>
      </c>
      <c r="AJ67" s="1" t="s">
        <v>7449</v>
      </c>
      <c r="AK67" s="7">
        <v>45560</v>
      </c>
      <c r="AL67" s="1" t="s">
        <v>7449</v>
      </c>
    </row>
    <row r="68" spans="1:38" s="20" customFormat="1" x14ac:dyDescent="0.25">
      <c r="A68" s="14">
        <v>67</v>
      </c>
      <c r="B68" s="14" t="str">
        <f>_xlfn.CONCAT(AE68,"-",VLOOKUP(AE68,t_objeto!B:D,3,FALSE),"-",A68)</f>
        <v>RRMM-PERCCO-67</v>
      </c>
      <c r="C68" s="22" t="str">
        <f t="shared" si="19"/>
        <v>PLACA__ACERO_ROLADA EN CALIENTE_3'X8'_11/16"</v>
      </c>
      <c r="D68" s="14" t="s">
        <v>7385</v>
      </c>
      <c r="E68" s="14" t="s">
        <v>7380</v>
      </c>
      <c r="F68" s="21" t="s">
        <v>7386</v>
      </c>
      <c r="G68" s="22" t="s">
        <v>7382</v>
      </c>
      <c r="H68" s="14" t="s">
        <v>7390</v>
      </c>
      <c r="I68" s="16">
        <v>17.46</v>
      </c>
      <c r="J68" s="16">
        <f t="shared" si="10"/>
        <v>0.68740157480314967</v>
      </c>
      <c r="K68" s="16">
        <v>137.06100000000001</v>
      </c>
      <c r="L68" s="23"/>
      <c r="M68" s="23"/>
      <c r="N68" s="23"/>
      <c r="O68" s="23"/>
      <c r="P68" s="23"/>
      <c r="Q68" s="19"/>
      <c r="R68" s="17">
        <v>3</v>
      </c>
      <c r="S68" s="17">
        <v>8</v>
      </c>
      <c r="T68" s="16">
        <f t="shared" si="11"/>
        <v>2438.3999999999996</v>
      </c>
      <c r="U68" s="16">
        <f t="shared" si="12"/>
        <v>914.4</v>
      </c>
      <c r="V68" s="18">
        <f t="shared" si="13"/>
        <v>2229672.9599999995</v>
      </c>
      <c r="W68" s="18">
        <f t="shared" si="14"/>
        <v>2.2296729599999994</v>
      </c>
      <c r="X68" s="18">
        <f t="shared" si="15"/>
        <v>305.60120557055996</v>
      </c>
      <c r="Y68" s="24">
        <v>35</v>
      </c>
      <c r="Z68" s="24">
        <f t="shared" si="16"/>
        <v>10696.042194969599</v>
      </c>
      <c r="AA68" s="16">
        <v>11</v>
      </c>
      <c r="AB68" s="16">
        <f t="shared" si="17"/>
        <v>2416.3999999999996</v>
      </c>
      <c r="AC68" s="16">
        <f t="shared" si="17"/>
        <v>892.4</v>
      </c>
      <c r="AD68" s="19">
        <f t="shared" si="18"/>
        <v>2156395.3599999994</v>
      </c>
      <c r="AE68" s="1" t="s">
        <v>7456</v>
      </c>
      <c r="AF68" s="1" t="str">
        <f>VLOOKUP(AE68,t_objeto!B:C,2,FALSE)</f>
        <v>RAW_MATERIAL</v>
      </c>
      <c r="AG68" s="1">
        <v>8</v>
      </c>
      <c r="AH68" s="1" t="str">
        <f>VLOOKUP(AG68,t_entry_status!A:AE,2,FALSE)</f>
        <v>PENDING</v>
      </c>
      <c r="AI68" s="7">
        <v>45560</v>
      </c>
      <c r="AJ68" s="1" t="s">
        <v>7449</v>
      </c>
      <c r="AK68" s="7">
        <v>45560</v>
      </c>
      <c r="AL68" s="1" t="s">
        <v>7449</v>
      </c>
    </row>
    <row r="69" spans="1:38" s="20" customFormat="1" x14ac:dyDescent="0.25">
      <c r="A69" s="14">
        <v>68</v>
      </c>
      <c r="B69" s="14" t="str">
        <f>_xlfn.CONCAT(AE69,"-",VLOOKUP(AE69,t_objeto!B:D,3,FALSE),"-",A69)</f>
        <v>RRMM-PERCCO-68</v>
      </c>
      <c r="C69" s="22" t="str">
        <f t="shared" si="19"/>
        <v>PLACA__ACERO_ROLADA EN CALIENTE_3'X8'_5/8"</v>
      </c>
      <c r="D69" s="14" t="s">
        <v>7385</v>
      </c>
      <c r="E69" s="14" t="s">
        <v>7380</v>
      </c>
      <c r="F69" s="21" t="s">
        <v>7386</v>
      </c>
      <c r="G69" s="22" t="s">
        <v>7382</v>
      </c>
      <c r="H69" s="14" t="s">
        <v>7391</v>
      </c>
      <c r="I69" s="16">
        <v>15.87</v>
      </c>
      <c r="J69" s="16">
        <f t="shared" si="10"/>
        <v>0.62480314960629924</v>
      </c>
      <c r="K69" s="16">
        <v>124.58</v>
      </c>
      <c r="L69" s="23"/>
      <c r="M69" s="23"/>
      <c r="N69" s="23"/>
      <c r="O69" s="23"/>
      <c r="P69" s="23"/>
      <c r="Q69" s="19"/>
      <c r="R69" s="17">
        <v>3</v>
      </c>
      <c r="S69" s="17">
        <v>8</v>
      </c>
      <c r="T69" s="16">
        <f t="shared" si="11"/>
        <v>2438.3999999999996</v>
      </c>
      <c r="U69" s="16">
        <f t="shared" si="12"/>
        <v>914.4</v>
      </c>
      <c r="V69" s="18">
        <f t="shared" si="13"/>
        <v>2229672.9599999995</v>
      </c>
      <c r="W69" s="18">
        <f t="shared" si="14"/>
        <v>2.2296729599999994</v>
      </c>
      <c r="X69" s="18">
        <f t="shared" si="15"/>
        <v>277.77265735679993</v>
      </c>
      <c r="Y69" s="24">
        <v>35</v>
      </c>
      <c r="Z69" s="24">
        <f t="shared" si="16"/>
        <v>9722.0430074879969</v>
      </c>
      <c r="AA69" s="16">
        <v>12</v>
      </c>
      <c r="AB69" s="16">
        <f t="shared" si="17"/>
        <v>2414.3999999999996</v>
      </c>
      <c r="AC69" s="16">
        <f t="shared" si="17"/>
        <v>890.4</v>
      </c>
      <c r="AD69" s="19">
        <f t="shared" si="18"/>
        <v>2149781.7599999998</v>
      </c>
      <c r="AE69" s="1" t="s">
        <v>7456</v>
      </c>
      <c r="AF69" s="1" t="str">
        <f>VLOOKUP(AE69,t_objeto!B:C,2,FALSE)</f>
        <v>RAW_MATERIAL</v>
      </c>
      <c r="AG69" s="1">
        <v>8</v>
      </c>
      <c r="AH69" s="1" t="str">
        <f>VLOOKUP(AG69,t_entry_status!A:AE,2,FALSE)</f>
        <v>PENDING</v>
      </c>
      <c r="AI69" s="7">
        <v>45560</v>
      </c>
      <c r="AJ69" s="1" t="s">
        <v>7449</v>
      </c>
      <c r="AK69" s="7">
        <v>45560</v>
      </c>
      <c r="AL69" s="1" t="s">
        <v>7449</v>
      </c>
    </row>
    <row r="70" spans="1:38" s="20" customFormat="1" x14ac:dyDescent="0.25">
      <c r="A70" s="14">
        <v>69</v>
      </c>
      <c r="B70" s="14" t="str">
        <f>_xlfn.CONCAT(AE70,"-",VLOOKUP(AE70,t_objeto!B:D,3,FALSE),"-",A70)</f>
        <v>RRMM-PERCCO-69</v>
      </c>
      <c r="C70" s="22" t="str">
        <f t="shared" si="19"/>
        <v>PLACA__ACERO_ROLADA EN CALIENTE_3'X8'_9/16"</v>
      </c>
      <c r="D70" s="14" t="s">
        <v>7385</v>
      </c>
      <c r="E70" s="14" t="s">
        <v>7380</v>
      </c>
      <c r="F70" s="21" t="s">
        <v>7386</v>
      </c>
      <c r="G70" s="22" t="s">
        <v>7382</v>
      </c>
      <c r="H70" s="14" t="s">
        <v>7392</v>
      </c>
      <c r="I70" s="16">
        <v>14.28</v>
      </c>
      <c r="J70" s="16">
        <f t="shared" si="10"/>
        <v>0.5622047244094488</v>
      </c>
      <c r="K70" s="16">
        <v>112.098</v>
      </c>
      <c r="L70" s="23"/>
      <c r="M70" s="23"/>
      <c r="N70" s="23"/>
      <c r="O70" s="23"/>
      <c r="P70" s="23"/>
      <c r="Q70" s="19"/>
      <c r="R70" s="17">
        <v>3</v>
      </c>
      <c r="S70" s="17">
        <v>8</v>
      </c>
      <c r="T70" s="16">
        <f t="shared" si="11"/>
        <v>2438.3999999999996</v>
      </c>
      <c r="U70" s="16">
        <f t="shared" si="12"/>
        <v>914.4</v>
      </c>
      <c r="V70" s="18">
        <f t="shared" si="13"/>
        <v>2229672.9599999995</v>
      </c>
      <c r="W70" s="18">
        <f t="shared" si="14"/>
        <v>2.2296729599999994</v>
      </c>
      <c r="X70" s="18">
        <f t="shared" si="15"/>
        <v>249.94187947007993</v>
      </c>
      <c r="Y70" s="24">
        <v>35</v>
      </c>
      <c r="Z70" s="24">
        <f t="shared" si="16"/>
        <v>8747.9657814527982</v>
      </c>
      <c r="AA70" s="16">
        <v>13</v>
      </c>
      <c r="AB70" s="16">
        <f t="shared" si="17"/>
        <v>2412.3999999999996</v>
      </c>
      <c r="AC70" s="16">
        <f t="shared" si="17"/>
        <v>888.4</v>
      </c>
      <c r="AD70" s="19">
        <f t="shared" si="18"/>
        <v>2143176.1599999997</v>
      </c>
      <c r="AE70" s="1" t="s">
        <v>7456</v>
      </c>
      <c r="AF70" s="1" t="str">
        <f>VLOOKUP(AE70,t_objeto!B:C,2,FALSE)</f>
        <v>RAW_MATERIAL</v>
      </c>
      <c r="AG70" s="1">
        <v>8</v>
      </c>
      <c r="AH70" s="1" t="str">
        <f>VLOOKUP(AG70,t_entry_status!A:AE,2,FALSE)</f>
        <v>PENDING</v>
      </c>
      <c r="AI70" s="7">
        <v>45560</v>
      </c>
      <c r="AJ70" s="1" t="s">
        <v>7449</v>
      </c>
      <c r="AK70" s="7">
        <v>45560</v>
      </c>
      <c r="AL70" s="1" t="s">
        <v>7449</v>
      </c>
    </row>
    <row r="71" spans="1:38" s="20" customFormat="1" x14ac:dyDescent="0.25">
      <c r="A71" s="14">
        <v>70</v>
      </c>
      <c r="B71" s="14" t="str">
        <f>_xlfn.CONCAT(AE71,"-",VLOOKUP(AE71,t_objeto!B:D,3,FALSE),"-",A71)</f>
        <v>RRMM-PERCCO-70</v>
      </c>
      <c r="C71" s="22" t="str">
        <f t="shared" si="19"/>
        <v>PLACA__ACERO_ROLADA EN CALIENTE_3'X8'_1/2"</v>
      </c>
      <c r="D71" s="14" t="s">
        <v>7385</v>
      </c>
      <c r="E71" s="14" t="s">
        <v>7380</v>
      </c>
      <c r="F71" s="21" t="s">
        <v>7386</v>
      </c>
      <c r="G71" s="22" t="s">
        <v>7382</v>
      </c>
      <c r="H71" s="14" t="s">
        <v>7393</v>
      </c>
      <c r="I71" s="16">
        <v>12.7</v>
      </c>
      <c r="J71" s="16">
        <f t="shared" si="10"/>
        <v>0.5</v>
      </c>
      <c r="K71" s="16">
        <v>99.694999999999993</v>
      </c>
      <c r="L71" s="23"/>
      <c r="M71" s="23"/>
      <c r="N71" s="23"/>
      <c r="O71" s="23"/>
      <c r="P71" s="23"/>
      <c r="Q71" s="19"/>
      <c r="R71" s="17">
        <v>3</v>
      </c>
      <c r="S71" s="17">
        <v>8</v>
      </c>
      <c r="T71" s="16">
        <f t="shared" si="11"/>
        <v>2438.3999999999996</v>
      </c>
      <c r="U71" s="16">
        <f t="shared" si="12"/>
        <v>914.4</v>
      </c>
      <c r="V71" s="18">
        <f t="shared" si="13"/>
        <v>2229672.9599999995</v>
      </c>
      <c r="W71" s="18">
        <f t="shared" si="14"/>
        <v>2.2296729599999994</v>
      </c>
      <c r="X71" s="18">
        <f t="shared" si="15"/>
        <v>222.28724574719993</v>
      </c>
      <c r="Y71" s="24">
        <v>35</v>
      </c>
      <c r="Z71" s="24">
        <f t="shared" si="16"/>
        <v>7780.053601151998</v>
      </c>
      <c r="AA71" s="16">
        <v>14</v>
      </c>
      <c r="AB71" s="16">
        <f t="shared" si="17"/>
        <v>2410.3999999999996</v>
      </c>
      <c r="AC71" s="16">
        <f t="shared" si="17"/>
        <v>886.4</v>
      </c>
      <c r="AD71" s="19">
        <f t="shared" si="18"/>
        <v>2136578.5599999996</v>
      </c>
      <c r="AE71" s="1" t="s">
        <v>7456</v>
      </c>
      <c r="AF71" s="1" t="str">
        <f>VLOOKUP(AE71,t_objeto!B:C,2,FALSE)</f>
        <v>RAW_MATERIAL</v>
      </c>
      <c r="AG71" s="1">
        <v>8</v>
      </c>
      <c r="AH71" s="1" t="str">
        <f>VLOOKUP(AG71,t_entry_status!A:AE,2,FALSE)</f>
        <v>PENDING</v>
      </c>
      <c r="AI71" s="7">
        <v>45560</v>
      </c>
      <c r="AJ71" s="1" t="s">
        <v>7449</v>
      </c>
      <c r="AK71" s="7">
        <v>45560</v>
      </c>
      <c r="AL71" s="1" t="s">
        <v>7449</v>
      </c>
    </row>
    <row r="72" spans="1:38" s="20" customFormat="1" x14ac:dyDescent="0.25">
      <c r="A72" s="14">
        <v>71</v>
      </c>
      <c r="B72" s="14" t="str">
        <f>_xlfn.CONCAT(AE72,"-",VLOOKUP(AE72,t_objeto!B:D,3,FALSE),"-",A72)</f>
        <v>RRMM-PERCCO-71</v>
      </c>
      <c r="C72" s="22" t="str">
        <f t="shared" si="19"/>
        <v>PLACA__ACERO_ROLADA EN CALIENTE_3'X8'_7/16"</v>
      </c>
      <c r="D72" s="14" t="s">
        <v>7385</v>
      </c>
      <c r="E72" s="14" t="s">
        <v>7380</v>
      </c>
      <c r="F72" s="21" t="s">
        <v>7386</v>
      </c>
      <c r="G72" s="22" t="s">
        <v>7382</v>
      </c>
      <c r="H72" s="14" t="s">
        <v>7394</v>
      </c>
      <c r="I72" s="16">
        <v>11.11</v>
      </c>
      <c r="J72" s="16">
        <f t="shared" si="10"/>
        <v>0.43740157480314962</v>
      </c>
      <c r="K72" s="16">
        <v>87.213999999999999</v>
      </c>
      <c r="L72" s="23"/>
      <c r="M72" s="23"/>
      <c r="N72" s="23"/>
      <c r="O72" s="23"/>
      <c r="P72" s="23"/>
      <c r="Q72" s="19"/>
      <c r="R72" s="17">
        <v>3</v>
      </c>
      <c r="S72" s="17">
        <v>8</v>
      </c>
      <c r="T72" s="16">
        <f t="shared" si="11"/>
        <v>2438.3999999999996</v>
      </c>
      <c r="U72" s="16">
        <f t="shared" si="12"/>
        <v>914.4</v>
      </c>
      <c r="V72" s="18">
        <f t="shared" si="13"/>
        <v>2229672.9599999995</v>
      </c>
      <c r="W72" s="18">
        <f t="shared" si="14"/>
        <v>2.2296729599999994</v>
      </c>
      <c r="X72" s="18">
        <f t="shared" si="15"/>
        <v>194.45869753343993</v>
      </c>
      <c r="Y72" s="24">
        <v>35</v>
      </c>
      <c r="Z72" s="24">
        <f t="shared" si="16"/>
        <v>6806.0544136703975</v>
      </c>
      <c r="AA72" s="16">
        <v>15</v>
      </c>
      <c r="AB72" s="16">
        <f t="shared" si="17"/>
        <v>2408.3999999999996</v>
      </c>
      <c r="AC72" s="16">
        <f t="shared" si="17"/>
        <v>884.4</v>
      </c>
      <c r="AD72" s="19">
        <f t="shared" si="18"/>
        <v>2129988.9599999995</v>
      </c>
      <c r="AE72" s="1" t="s">
        <v>7456</v>
      </c>
      <c r="AF72" s="1" t="str">
        <f>VLOOKUP(AE72,t_objeto!B:C,2,FALSE)</f>
        <v>RAW_MATERIAL</v>
      </c>
      <c r="AG72" s="1">
        <v>8</v>
      </c>
      <c r="AH72" s="1" t="str">
        <f>VLOOKUP(AG72,t_entry_status!A:AE,2,FALSE)</f>
        <v>PENDING</v>
      </c>
      <c r="AI72" s="7">
        <v>45560</v>
      </c>
      <c r="AJ72" s="1" t="s">
        <v>7449</v>
      </c>
      <c r="AK72" s="7">
        <v>45560</v>
      </c>
      <c r="AL72" s="1" t="s">
        <v>7449</v>
      </c>
    </row>
    <row r="73" spans="1:38" s="20" customFormat="1" x14ac:dyDescent="0.25">
      <c r="A73" s="14">
        <v>72</v>
      </c>
      <c r="B73" s="14" t="str">
        <f>_xlfn.CONCAT(AE73,"-",VLOOKUP(AE73,t_objeto!B:D,3,FALSE),"-",A73)</f>
        <v>RRMM-PERCCO-72</v>
      </c>
      <c r="C73" s="22" t="str">
        <f t="shared" si="19"/>
        <v>PLACA__ACERO_ROLADA EN CALIENTE_3'X8'_3/8"</v>
      </c>
      <c r="D73" s="14" t="s">
        <v>7385</v>
      </c>
      <c r="E73" s="14" t="s">
        <v>7380</v>
      </c>
      <c r="F73" s="21" t="s">
        <v>7386</v>
      </c>
      <c r="G73" s="22" t="s">
        <v>7382</v>
      </c>
      <c r="H73" s="14" t="s">
        <v>7395</v>
      </c>
      <c r="I73" s="16">
        <v>9.52</v>
      </c>
      <c r="J73" s="16">
        <f t="shared" si="10"/>
        <v>0.37480314960629924</v>
      </c>
      <c r="K73" s="16">
        <v>74.731999999999999</v>
      </c>
      <c r="L73" s="23"/>
      <c r="M73" s="23"/>
      <c r="N73" s="23"/>
      <c r="O73" s="23"/>
      <c r="P73" s="23"/>
      <c r="Q73" s="19"/>
      <c r="R73" s="17">
        <v>3</v>
      </c>
      <c r="S73" s="17">
        <v>8</v>
      </c>
      <c r="T73" s="16">
        <f t="shared" si="11"/>
        <v>2438.3999999999996</v>
      </c>
      <c r="U73" s="16">
        <f t="shared" si="12"/>
        <v>914.4</v>
      </c>
      <c r="V73" s="18">
        <f t="shared" si="13"/>
        <v>2229672.9599999995</v>
      </c>
      <c r="W73" s="18">
        <f t="shared" si="14"/>
        <v>2.2296729599999994</v>
      </c>
      <c r="X73" s="18">
        <f t="shared" si="15"/>
        <v>166.62791964671996</v>
      </c>
      <c r="Y73" s="24">
        <v>35</v>
      </c>
      <c r="Z73" s="24">
        <f t="shared" si="16"/>
        <v>5831.9771876351988</v>
      </c>
      <c r="AA73" s="16">
        <v>16</v>
      </c>
      <c r="AB73" s="16">
        <f t="shared" si="17"/>
        <v>2406.3999999999996</v>
      </c>
      <c r="AC73" s="16">
        <f t="shared" si="17"/>
        <v>882.4</v>
      </c>
      <c r="AD73" s="19">
        <f t="shared" si="18"/>
        <v>2123407.3599999994</v>
      </c>
      <c r="AE73" s="1" t="s">
        <v>7456</v>
      </c>
      <c r="AF73" s="1" t="str">
        <f>VLOOKUP(AE73,t_objeto!B:C,2,FALSE)</f>
        <v>RAW_MATERIAL</v>
      </c>
      <c r="AG73" s="1">
        <v>8</v>
      </c>
      <c r="AH73" s="1" t="str">
        <f>VLOOKUP(AG73,t_entry_status!A:AE,2,FALSE)</f>
        <v>PENDING</v>
      </c>
      <c r="AI73" s="7">
        <v>45560</v>
      </c>
      <c r="AJ73" s="1" t="s">
        <v>7449</v>
      </c>
      <c r="AK73" s="7">
        <v>45560</v>
      </c>
      <c r="AL73" s="1" t="s">
        <v>7449</v>
      </c>
    </row>
    <row r="74" spans="1:38" s="20" customFormat="1" x14ac:dyDescent="0.25">
      <c r="A74" s="14">
        <v>73</v>
      </c>
      <c r="B74" s="14" t="str">
        <f>_xlfn.CONCAT(AE74,"-",VLOOKUP(AE74,t_objeto!B:D,3,FALSE),"-",A74)</f>
        <v>RRMM-PERCCO-73</v>
      </c>
      <c r="C74" s="22" t="str">
        <f t="shared" si="19"/>
        <v>PLACA__ACERO_ROLADA EN CALIENTE_3'X8'_5/16"</v>
      </c>
      <c r="D74" s="14" t="s">
        <v>7385</v>
      </c>
      <c r="E74" s="14" t="s">
        <v>7380</v>
      </c>
      <c r="F74" s="21" t="s">
        <v>7386</v>
      </c>
      <c r="G74" s="22" t="s">
        <v>7382</v>
      </c>
      <c r="H74" s="14" t="s">
        <v>7396</v>
      </c>
      <c r="I74" s="16">
        <v>7.93</v>
      </c>
      <c r="J74" s="16">
        <f t="shared" si="10"/>
        <v>0.31220472440944885</v>
      </c>
      <c r="K74" s="16">
        <v>62.250999999999998</v>
      </c>
      <c r="L74" s="23"/>
      <c r="M74" s="23"/>
      <c r="N74" s="23"/>
      <c r="O74" s="23"/>
      <c r="P74" s="23"/>
      <c r="Q74" s="19"/>
      <c r="R74" s="17">
        <v>3</v>
      </c>
      <c r="S74" s="17">
        <v>8</v>
      </c>
      <c r="T74" s="16">
        <f t="shared" si="11"/>
        <v>2438.3999999999996</v>
      </c>
      <c r="U74" s="16">
        <f t="shared" si="12"/>
        <v>914.4</v>
      </c>
      <c r="V74" s="18">
        <f t="shared" si="13"/>
        <v>2229672.9599999995</v>
      </c>
      <c r="W74" s="18">
        <f t="shared" si="14"/>
        <v>2.2296729599999994</v>
      </c>
      <c r="X74" s="18">
        <f t="shared" si="15"/>
        <v>138.79937143295996</v>
      </c>
      <c r="Y74" s="24">
        <v>35</v>
      </c>
      <c r="Z74" s="24">
        <f t="shared" si="16"/>
        <v>4857.9780001535983</v>
      </c>
      <c r="AA74" s="16">
        <v>17</v>
      </c>
      <c r="AB74" s="16">
        <f t="shared" si="17"/>
        <v>2404.3999999999996</v>
      </c>
      <c r="AC74" s="16">
        <f t="shared" si="17"/>
        <v>880.4</v>
      </c>
      <c r="AD74" s="19">
        <f t="shared" si="18"/>
        <v>2116833.7599999998</v>
      </c>
      <c r="AE74" s="1" t="s">
        <v>7456</v>
      </c>
      <c r="AF74" s="1" t="str">
        <f>VLOOKUP(AE74,t_objeto!B:C,2,FALSE)</f>
        <v>RAW_MATERIAL</v>
      </c>
      <c r="AG74" s="1">
        <v>8</v>
      </c>
      <c r="AH74" s="1" t="str">
        <f>VLOOKUP(AG74,t_entry_status!A:AE,2,FALSE)</f>
        <v>PENDING</v>
      </c>
      <c r="AI74" s="7">
        <v>45560</v>
      </c>
      <c r="AJ74" s="1" t="s">
        <v>7449</v>
      </c>
      <c r="AK74" s="7">
        <v>45560</v>
      </c>
      <c r="AL74" s="1" t="s">
        <v>7449</v>
      </c>
    </row>
    <row r="75" spans="1:38" s="20" customFormat="1" x14ac:dyDescent="0.25">
      <c r="A75" s="14">
        <v>74</v>
      </c>
      <c r="B75" s="14" t="str">
        <f>_xlfn.CONCAT(AE75,"-",VLOOKUP(AE75,t_objeto!B:D,3,FALSE),"-",A75)</f>
        <v>RRMM-PERCCO-74</v>
      </c>
      <c r="C75" s="22" t="str">
        <f t="shared" si="19"/>
        <v>PLACA__ACERO_ROLADA EN CALIENTE_3'X8'_1/4"</v>
      </c>
      <c r="D75" s="14" t="s">
        <v>7385</v>
      </c>
      <c r="E75" s="14" t="s">
        <v>7380</v>
      </c>
      <c r="F75" s="21" t="s">
        <v>7386</v>
      </c>
      <c r="G75" s="22" t="s">
        <v>7382</v>
      </c>
      <c r="H75" s="14" t="s">
        <v>7397</v>
      </c>
      <c r="I75" s="16">
        <v>6.35</v>
      </c>
      <c r="J75" s="16">
        <f t="shared" si="10"/>
        <v>0.25</v>
      </c>
      <c r="K75" s="16">
        <v>49.847999999999999</v>
      </c>
      <c r="L75" s="23"/>
      <c r="M75" s="23"/>
      <c r="N75" s="23"/>
      <c r="O75" s="23"/>
      <c r="P75" s="23"/>
      <c r="Q75" s="19"/>
      <c r="R75" s="17">
        <v>3</v>
      </c>
      <c r="S75" s="17">
        <v>8</v>
      </c>
      <c r="T75" s="16">
        <f t="shared" si="11"/>
        <v>2438.3999999999996</v>
      </c>
      <c r="U75" s="16">
        <f t="shared" si="12"/>
        <v>914.4</v>
      </c>
      <c r="V75" s="18">
        <f t="shared" si="13"/>
        <v>2229672.9599999995</v>
      </c>
      <c r="W75" s="18">
        <f t="shared" si="14"/>
        <v>2.2296729599999994</v>
      </c>
      <c r="X75" s="18">
        <f t="shared" si="15"/>
        <v>111.14473771007997</v>
      </c>
      <c r="Y75" s="24">
        <v>35</v>
      </c>
      <c r="Z75" s="24">
        <f t="shared" si="16"/>
        <v>3890.065819852799</v>
      </c>
      <c r="AA75" s="16">
        <v>18</v>
      </c>
      <c r="AB75" s="16">
        <f t="shared" si="17"/>
        <v>2402.3999999999996</v>
      </c>
      <c r="AC75" s="16">
        <f t="shared" si="17"/>
        <v>878.4</v>
      </c>
      <c r="AD75" s="19">
        <f t="shared" si="18"/>
        <v>2110268.1599999997</v>
      </c>
      <c r="AE75" s="1" t="s">
        <v>7456</v>
      </c>
      <c r="AF75" s="1" t="str">
        <f>VLOOKUP(AE75,t_objeto!B:C,2,FALSE)</f>
        <v>RAW_MATERIAL</v>
      </c>
      <c r="AG75" s="1">
        <v>8</v>
      </c>
      <c r="AH75" s="1" t="str">
        <f>VLOOKUP(AG75,t_entry_status!A:AE,2,FALSE)</f>
        <v>PENDING</v>
      </c>
      <c r="AI75" s="7">
        <v>45560</v>
      </c>
      <c r="AJ75" s="1" t="s">
        <v>7449</v>
      </c>
      <c r="AK75" s="7">
        <v>45560</v>
      </c>
      <c r="AL75" s="1" t="s">
        <v>7449</v>
      </c>
    </row>
    <row r="76" spans="1:38" s="20" customFormat="1" x14ac:dyDescent="0.25">
      <c r="A76" s="14">
        <v>75</v>
      </c>
      <c r="B76" s="14" t="str">
        <f>_xlfn.CONCAT(AE76,"-",VLOOKUP(AE76,t_objeto!B:D,3,FALSE),"-",A76)</f>
        <v>RRMM-PERCCO-75</v>
      </c>
      <c r="C76" s="22" t="str">
        <f t="shared" si="19"/>
        <v>PLACA__ACERO_ROLADA EN CALIENTE_3'X8'_3/16"</v>
      </c>
      <c r="D76" s="14" t="s">
        <v>7385</v>
      </c>
      <c r="E76" s="14" t="s">
        <v>7380</v>
      </c>
      <c r="F76" s="21" t="s">
        <v>7386</v>
      </c>
      <c r="G76" s="22" t="s">
        <v>7382</v>
      </c>
      <c r="H76" s="14" t="s">
        <v>7398</v>
      </c>
      <c r="I76" s="16">
        <v>4.76</v>
      </c>
      <c r="J76" s="16">
        <f t="shared" si="10"/>
        <v>0.18740157480314962</v>
      </c>
      <c r="K76" s="16">
        <v>37.366</v>
      </c>
      <c r="L76" s="23"/>
      <c r="M76" s="23"/>
      <c r="N76" s="23"/>
      <c r="O76" s="23"/>
      <c r="P76" s="23"/>
      <c r="Q76" s="19"/>
      <c r="R76" s="17">
        <v>3</v>
      </c>
      <c r="S76" s="17">
        <v>8</v>
      </c>
      <c r="T76" s="16">
        <f t="shared" si="11"/>
        <v>2438.3999999999996</v>
      </c>
      <c r="U76" s="16">
        <f t="shared" si="12"/>
        <v>914.4</v>
      </c>
      <c r="V76" s="18">
        <f t="shared" si="13"/>
        <v>2229672.9599999995</v>
      </c>
      <c r="W76" s="18">
        <f t="shared" si="14"/>
        <v>2.2296729599999994</v>
      </c>
      <c r="X76" s="18">
        <f t="shared" si="15"/>
        <v>83.31395982335998</v>
      </c>
      <c r="Y76" s="24">
        <v>35</v>
      </c>
      <c r="Z76" s="24">
        <f t="shared" si="16"/>
        <v>2915.9885938175994</v>
      </c>
      <c r="AA76" s="16">
        <v>19</v>
      </c>
      <c r="AB76" s="16">
        <f t="shared" si="17"/>
        <v>2400.3999999999996</v>
      </c>
      <c r="AC76" s="16">
        <f t="shared" si="17"/>
        <v>876.4</v>
      </c>
      <c r="AD76" s="19">
        <f t="shared" si="18"/>
        <v>2103710.5599999996</v>
      </c>
      <c r="AE76" s="1" t="s">
        <v>7456</v>
      </c>
      <c r="AF76" s="1" t="str">
        <f>VLOOKUP(AE76,t_objeto!B:C,2,FALSE)</f>
        <v>RAW_MATERIAL</v>
      </c>
      <c r="AG76" s="1">
        <v>8</v>
      </c>
      <c r="AH76" s="1" t="str">
        <f>VLOOKUP(AG76,t_entry_status!A:AE,2,FALSE)</f>
        <v>PENDING</v>
      </c>
      <c r="AI76" s="7">
        <v>45560</v>
      </c>
      <c r="AJ76" s="1" t="s">
        <v>7449</v>
      </c>
      <c r="AK76" s="7">
        <v>45560</v>
      </c>
      <c r="AL76" s="1" t="s">
        <v>7449</v>
      </c>
    </row>
    <row r="77" spans="1:38" s="20" customFormat="1" x14ac:dyDescent="0.25">
      <c r="A77" s="14">
        <v>76</v>
      </c>
      <c r="B77" s="14" t="str">
        <f>_xlfn.CONCAT(AE77,"-",VLOOKUP(AE77,t_objeto!B:D,3,FALSE),"-",A77)</f>
        <v>RRMM-PERCCO-76</v>
      </c>
      <c r="C77" s="22" t="str">
        <f t="shared" si="19"/>
        <v>LAMINA_LISA__ACERO_ROLADA EN CALIENTE_3'X8'_4</v>
      </c>
      <c r="D77" s="14" t="s">
        <v>7407</v>
      </c>
      <c r="E77" s="14" t="s">
        <v>7380</v>
      </c>
      <c r="F77" s="21" t="s">
        <v>7386</v>
      </c>
      <c r="G77" s="22" t="s">
        <v>7382</v>
      </c>
      <c r="H77" s="14">
        <v>4</v>
      </c>
      <c r="I77" s="16">
        <v>5.69</v>
      </c>
      <c r="J77" s="16">
        <f t="shared" si="10"/>
        <v>0.2240157480314961</v>
      </c>
      <c r="K77" s="16">
        <v>44.667000000000002</v>
      </c>
      <c r="L77" s="23"/>
      <c r="M77" s="23"/>
      <c r="N77" s="23"/>
      <c r="O77" s="23"/>
      <c r="P77" s="23"/>
      <c r="Q77" s="19"/>
      <c r="R77" s="17">
        <v>3</v>
      </c>
      <c r="S77" s="17">
        <v>8</v>
      </c>
      <c r="T77" s="16">
        <f t="shared" si="11"/>
        <v>2438.3999999999996</v>
      </c>
      <c r="U77" s="16">
        <f t="shared" si="12"/>
        <v>914.4</v>
      </c>
      <c r="V77" s="18">
        <f t="shared" si="13"/>
        <v>2229672.9599999995</v>
      </c>
      <c r="W77" s="18">
        <f t="shared" si="14"/>
        <v>2.2296729599999994</v>
      </c>
      <c r="X77" s="18">
        <f t="shared" si="15"/>
        <v>99.592802104319972</v>
      </c>
      <c r="Y77" s="24">
        <v>35</v>
      </c>
      <c r="Z77" s="24">
        <f t="shared" si="16"/>
        <v>3485.7480736511989</v>
      </c>
      <c r="AA77" s="16">
        <v>20</v>
      </c>
      <c r="AB77" s="16">
        <f t="shared" si="17"/>
        <v>2398.3999999999996</v>
      </c>
      <c r="AC77" s="16">
        <f t="shared" si="17"/>
        <v>874.4</v>
      </c>
      <c r="AD77" s="19">
        <f t="shared" si="18"/>
        <v>2097160.9599999995</v>
      </c>
      <c r="AE77" s="1" t="s">
        <v>7456</v>
      </c>
      <c r="AF77" s="1" t="str">
        <f>VLOOKUP(AE77,t_objeto!B:C,2,FALSE)</f>
        <v>RAW_MATERIAL</v>
      </c>
      <c r="AG77" s="1">
        <v>8</v>
      </c>
      <c r="AH77" s="1" t="str">
        <f>VLOOKUP(AG77,t_entry_status!A:AE,2,FALSE)</f>
        <v>PENDING</v>
      </c>
      <c r="AI77" s="7">
        <v>45560</v>
      </c>
      <c r="AJ77" s="1" t="s">
        <v>7449</v>
      </c>
      <c r="AK77" s="7">
        <v>45560</v>
      </c>
      <c r="AL77" s="1" t="s">
        <v>7449</v>
      </c>
    </row>
    <row r="78" spans="1:38" s="20" customFormat="1" x14ac:dyDescent="0.25">
      <c r="A78" s="14">
        <v>77</v>
      </c>
      <c r="B78" s="14" t="str">
        <f>_xlfn.CONCAT(AE78,"-",VLOOKUP(AE78,t_objeto!B:D,3,FALSE),"-",A78)</f>
        <v>RRMM-PERCCO-77</v>
      </c>
      <c r="C78" s="22" t="str">
        <f t="shared" si="19"/>
        <v>LAMINA_LISA__ACERO_ROLADA EN CALIENTE_3'X8'_5</v>
      </c>
      <c r="D78" s="14" t="s">
        <v>7407</v>
      </c>
      <c r="E78" s="14" t="s">
        <v>7380</v>
      </c>
      <c r="F78" s="21" t="s">
        <v>7386</v>
      </c>
      <c r="G78" s="22" t="s">
        <v>7382</v>
      </c>
      <c r="H78" s="14">
        <v>5</v>
      </c>
      <c r="I78" s="16">
        <v>5.31</v>
      </c>
      <c r="J78" s="16">
        <f t="shared" si="10"/>
        <v>0.20905511811023622</v>
      </c>
      <c r="K78" s="16">
        <v>41.683999999999997</v>
      </c>
      <c r="L78" s="23"/>
      <c r="M78" s="23"/>
      <c r="N78" s="23"/>
      <c r="O78" s="23"/>
      <c r="P78" s="23"/>
      <c r="Q78" s="19"/>
      <c r="R78" s="17">
        <v>3</v>
      </c>
      <c r="S78" s="17">
        <v>8</v>
      </c>
      <c r="T78" s="16">
        <f t="shared" si="11"/>
        <v>2438.3999999999996</v>
      </c>
      <c r="U78" s="16">
        <f t="shared" si="12"/>
        <v>914.4</v>
      </c>
      <c r="V78" s="18">
        <f t="shared" si="13"/>
        <v>2229672.9599999995</v>
      </c>
      <c r="W78" s="18">
        <f t="shared" si="14"/>
        <v>2.2296729599999994</v>
      </c>
      <c r="X78" s="18">
        <f t="shared" si="15"/>
        <v>92.941687664639971</v>
      </c>
      <c r="Y78" s="24">
        <v>35</v>
      </c>
      <c r="Z78" s="24">
        <f t="shared" si="16"/>
        <v>3252.9590682623989</v>
      </c>
      <c r="AA78" s="16">
        <v>21</v>
      </c>
      <c r="AB78" s="16">
        <f t="shared" si="17"/>
        <v>2396.3999999999996</v>
      </c>
      <c r="AC78" s="16">
        <f t="shared" si="17"/>
        <v>872.4</v>
      </c>
      <c r="AD78" s="19">
        <f t="shared" si="18"/>
        <v>2090619.3599999996</v>
      </c>
      <c r="AE78" s="1" t="s">
        <v>7456</v>
      </c>
      <c r="AF78" s="1" t="str">
        <f>VLOOKUP(AE78,t_objeto!B:C,2,FALSE)</f>
        <v>RAW_MATERIAL</v>
      </c>
      <c r="AG78" s="1">
        <v>8</v>
      </c>
      <c r="AH78" s="1" t="str">
        <f>VLOOKUP(AG78,t_entry_status!A:AE,2,FALSE)</f>
        <v>PENDING</v>
      </c>
      <c r="AI78" s="7">
        <v>45560</v>
      </c>
      <c r="AJ78" s="1" t="s">
        <v>7449</v>
      </c>
      <c r="AK78" s="7">
        <v>45560</v>
      </c>
      <c r="AL78" s="1" t="s">
        <v>7449</v>
      </c>
    </row>
    <row r="79" spans="1:38" s="20" customFormat="1" x14ac:dyDescent="0.25">
      <c r="A79" s="14">
        <v>78</v>
      </c>
      <c r="B79" s="14" t="str">
        <f>_xlfn.CONCAT(AE79,"-",VLOOKUP(AE79,t_objeto!B:D,3,FALSE),"-",A79)</f>
        <v>RRMM-PERCCO-78</v>
      </c>
      <c r="C79" s="22" t="str">
        <f t="shared" si="19"/>
        <v>LAMINA_LISA__ACERO_ROLADA EN CALIENTE_3'X8'_6</v>
      </c>
      <c r="D79" s="14" t="s">
        <v>7407</v>
      </c>
      <c r="E79" s="14" t="s">
        <v>7380</v>
      </c>
      <c r="F79" s="21" t="s">
        <v>7386</v>
      </c>
      <c r="G79" s="22" t="s">
        <v>7382</v>
      </c>
      <c r="H79" s="14">
        <v>6</v>
      </c>
      <c r="I79" s="16">
        <v>4.9400000000000004</v>
      </c>
      <c r="J79" s="16">
        <f t="shared" si="10"/>
        <v>0.19448818897637798</v>
      </c>
      <c r="K79" s="16">
        <v>38.779000000000003</v>
      </c>
      <c r="L79" s="23"/>
      <c r="M79" s="23"/>
      <c r="N79" s="23"/>
      <c r="O79" s="23"/>
      <c r="P79" s="23"/>
      <c r="Q79" s="19"/>
      <c r="R79" s="17">
        <v>3</v>
      </c>
      <c r="S79" s="17">
        <v>8</v>
      </c>
      <c r="T79" s="16">
        <f t="shared" si="11"/>
        <v>2438.3999999999996</v>
      </c>
      <c r="U79" s="16">
        <f t="shared" si="12"/>
        <v>914.4</v>
      </c>
      <c r="V79" s="18">
        <f t="shared" si="13"/>
        <v>2229672.9599999995</v>
      </c>
      <c r="W79" s="18">
        <f t="shared" si="14"/>
        <v>2.2296729599999994</v>
      </c>
      <c r="X79" s="18">
        <f t="shared" si="15"/>
        <v>86.464487715839979</v>
      </c>
      <c r="Y79" s="24">
        <v>35</v>
      </c>
      <c r="Z79" s="24">
        <f t="shared" si="16"/>
        <v>3026.2570700543993</v>
      </c>
      <c r="AA79" s="16">
        <v>22</v>
      </c>
      <c r="AB79" s="16">
        <f t="shared" si="17"/>
        <v>2394.3999999999996</v>
      </c>
      <c r="AC79" s="16">
        <f t="shared" si="17"/>
        <v>870.4</v>
      </c>
      <c r="AD79" s="19">
        <f t="shared" si="18"/>
        <v>2084085.7599999995</v>
      </c>
      <c r="AE79" s="1" t="s">
        <v>7456</v>
      </c>
      <c r="AF79" s="1" t="str">
        <f>VLOOKUP(AE79,t_objeto!B:C,2,FALSE)</f>
        <v>RAW_MATERIAL</v>
      </c>
      <c r="AG79" s="1">
        <v>8</v>
      </c>
      <c r="AH79" s="1" t="str">
        <f>VLOOKUP(AG79,t_entry_status!A:AE,2,FALSE)</f>
        <v>PENDING</v>
      </c>
      <c r="AI79" s="7">
        <v>45560</v>
      </c>
      <c r="AJ79" s="1" t="s">
        <v>7449</v>
      </c>
      <c r="AK79" s="7">
        <v>45560</v>
      </c>
      <c r="AL79" s="1" t="s">
        <v>7449</v>
      </c>
    </row>
    <row r="80" spans="1:38" s="20" customFormat="1" x14ac:dyDescent="0.25">
      <c r="A80" s="14">
        <v>79</v>
      </c>
      <c r="B80" s="14" t="str">
        <f>_xlfn.CONCAT(AE80,"-",VLOOKUP(AE80,t_objeto!B:D,3,FALSE),"-",A80)</f>
        <v>RRMM-PERCCO-79</v>
      </c>
      <c r="C80" s="22" t="str">
        <f t="shared" si="19"/>
        <v>LAMINA_LISA__ACERO_ROLADA EN CALIENTE_3'X8'_7</v>
      </c>
      <c r="D80" s="14" t="s">
        <v>7407</v>
      </c>
      <c r="E80" s="14" t="s">
        <v>7380</v>
      </c>
      <c r="F80" s="21" t="s">
        <v>7386</v>
      </c>
      <c r="G80" s="22" t="s">
        <v>7382</v>
      </c>
      <c r="H80" s="14">
        <v>7</v>
      </c>
      <c r="I80" s="16">
        <v>4.55</v>
      </c>
      <c r="J80" s="16">
        <f t="shared" si="10"/>
        <v>0.17913385826771655</v>
      </c>
      <c r="K80" s="16">
        <v>35.718000000000004</v>
      </c>
      <c r="L80" s="23"/>
      <c r="M80" s="23"/>
      <c r="N80" s="23"/>
      <c r="O80" s="23"/>
      <c r="P80" s="23"/>
      <c r="Q80" s="19"/>
      <c r="R80" s="17">
        <v>3</v>
      </c>
      <c r="S80" s="17">
        <v>8</v>
      </c>
      <c r="T80" s="16">
        <f t="shared" si="11"/>
        <v>2438.3999999999996</v>
      </c>
      <c r="U80" s="16">
        <f t="shared" si="12"/>
        <v>914.4</v>
      </c>
      <c r="V80" s="18">
        <f t="shared" si="13"/>
        <v>2229672.9599999995</v>
      </c>
      <c r="W80" s="18">
        <f t="shared" si="14"/>
        <v>2.2296729599999994</v>
      </c>
      <c r="X80" s="18">
        <f t="shared" si="15"/>
        <v>79.639458785279984</v>
      </c>
      <c r="Y80" s="24">
        <v>35</v>
      </c>
      <c r="Z80" s="24">
        <f t="shared" si="16"/>
        <v>2787.3810574847994</v>
      </c>
      <c r="AA80" s="16">
        <v>23</v>
      </c>
      <c r="AB80" s="16">
        <f t="shared" si="17"/>
        <v>2392.3999999999996</v>
      </c>
      <c r="AC80" s="16">
        <f t="shared" si="17"/>
        <v>868.4</v>
      </c>
      <c r="AD80" s="19">
        <f t="shared" si="18"/>
        <v>2077560.1599999997</v>
      </c>
      <c r="AE80" s="1" t="s">
        <v>7456</v>
      </c>
      <c r="AF80" s="1" t="str">
        <f>VLOOKUP(AE80,t_objeto!B:C,2,FALSE)</f>
        <v>RAW_MATERIAL</v>
      </c>
      <c r="AG80" s="1">
        <v>8</v>
      </c>
      <c r="AH80" s="1" t="str">
        <f>VLOOKUP(AG80,t_entry_status!A:AE,2,FALSE)</f>
        <v>PENDING</v>
      </c>
      <c r="AI80" s="7">
        <v>45560</v>
      </c>
      <c r="AJ80" s="1" t="s">
        <v>7449</v>
      </c>
      <c r="AK80" s="7">
        <v>45560</v>
      </c>
      <c r="AL80" s="1" t="s">
        <v>7449</v>
      </c>
    </row>
    <row r="81" spans="1:38" s="20" customFormat="1" x14ac:dyDescent="0.25">
      <c r="A81" s="14">
        <v>80</v>
      </c>
      <c r="B81" s="14" t="str">
        <f>_xlfn.CONCAT(AE81,"-",VLOOKUP(AE81,t_objeto!B:D,3,FALSE),"-",A81)</f>
        <v>RRMM-PERCCO-80</v>
      </c>
      <c r="C81" s="22" t="str">
        <f t="shared" si="19"/>
        <v>LAMINA_LISA__ACERO_ROLADA EN CALIENTE_3'X8'_8</v>
      </c>
      <c r="D81" s="14" t="s">
        <v>7407</v>
      </c>
      <c r="E81" s="14" t="s">
        <v>7380</v>
      </c>
      <c r="F81" s="21" t="s">
        <v>7386</v>
      </c>
      <c r="G81" s="22" t="s">
        <v>7382</v>
      </c>
      <c r="H81" s="14">
        <v>8</v>
      </c>
      <c r="I81" s="16">
        <v>4.18</v>
      </c>
      <c r="J81" s="16">
        <f t="shared" si="10"/>
        <v>0.16456692913385826</v>
      </c>
      <c r="K81" s="16">
        <v>32.813000000000002</v>
      </c>
      <c r="L81" s="23"/>
      <c r="M81" s="23"/>
      <c r="N81" s="23"/>
      <c r="O81" s="23"/>
      <c r="P81" s="23"/>
      <c r="Q81" s="19"/>
      <c r="R81" s="17">
        <v>3</v>
      </c>
      <c r="S81" s="17">
        <v>8</v>
      </c>
      <c r="T81" s="16">
        <f t="shared" si="11"/>
        <v>2438.3999999999996</v>
      </c>
      <c r="U81" s="16">
        <f t="shared" si="12"/>
        <v>914.4</v>
      </c>
      <c r="V81" s="18">
        <f t="shared" si="13"/>
        <v>2229672.9599999995</v>
      </c>
      <c r="W81" s="18">
        <f t="shared" si="14"/>
        <v>2.2296729599999994</v>
      </c>
      <c r="X81" s="18">
        <f t="shared" si="15"/>
        <v>73.162258836479978</v>
      </c>
      <c r="Y81" s="24">
        <v>35</v>
      </c>
      <c r="Z81" s="24">
        <f t="shared" si="16"/>
        <v>2560.6790592767993</v>
      </c>
      <c r="AA81" s="16">
        <v>24</v>
      </c>
      <c r="AB81" s="16">
        <f t="shared" si="17"/>
        <v>2390.3999999999996</v>
      </c>
      <c r="AC81" s="16">
        <f t="shared" si="17"/>
        <v>866.4</v>
      </c>
      <c r="AD81" s="19">
        <f t="shared" si="18"/>
        <v>2071042.5599999996</v>
      </c>
      <c r="AE81" s="1" t="s">
        <v>7456</v>
      </c>
      <c r="AF81" s="1" t="str">
        <f>VLOOKUP(AE81,t_objeto!B:C,2,FALSE)</f>
        <v>RAW_MATERIAL</v>
      </c>
      <c r="AG81" s="1">
        <v>8</v>
      </c>
      <c r="AH81" s="1" t="str">
        <f>VLOOKUP(AG81,t_entry_status!A:AE,2,FALSE)</f>
        <v>PENDING</v>
      </c>
      <c r="AI81" s="7">
        <v>45560</v>
      </c>
      <c r="AJ81" s="1" t="s">
        <v>7449</v>
      </c>
      <c r="AK81" s="7">
        <v>45560</v>
      </c>
      <c r="AL81" s="1" t="s">
        <v>7449</v>
      </c>
    </row>
    <row r="82" spans="1:38" s="20" customFormat="1" x14ac:dyDescent="0.25">
      <c r="A82" s="14">
        <v>81</v>
      </c>
      <c r="B82" s="14" t="str">
        <f>_xlfn.CONCAT(AE82,"-",VLOOKUP(AE82,t_objeto!B:D,3,FALSE),"-",A82)</f>
        <v>RRMM-PERCCO-81</v>
      </c>
      <c r="C82" s="22" t="str">
        <f t="shared" si="19"/>
        <v>LAMINA_LISA__ACERO_ROLADA EN CALIENTE_3'X8'_9</v>
      </c>
      <c r="D82" s="14" t="s">
        <v>7407</v>
      </c>
      <c r="E82" s="14" t="s">
        <v>7380</v>
      </c>
      <c r="F82" s="21" t="s">
        <v>7386</v>
      </c>
      <c r="G82" s="22" t="s">
        <v>7382</v>
      </c>
      <c r="H82" s="14">
        <v>9</v>
      </c>
      <c r="I82" s="16">
        <v>3.8</v>
      </c>
      <c r="J82" s="16">
        <f t="shared" si="10"/>
        <v>0.14960629921259844</v>
      </c>
      <c r="K82" s="16">
        <v>29.83</v>
      </c>
      <c r="L82" s="23"/>
      <c r="M82" s="23"/>
      <c r="N82" s="23"/>
      <c r="O82" s="23"/>
      <c r="P82" s="23"/>
      <c r="Q82" s="19"/>
      <c r="R82" s="17">
        <v>3</v>
      </c>
      <c r="S82" s="17">
        <v>8</v>
      </c>
      <c r="T82" s="16">
        <f t="shared" si="11"/>
        <v>2438.3999999999996</v>
      </c>
      <c r="U82" s="16">
        <f t="shared" si="12"/>
        <v>914.4</v>
      </c>
      <c r="V82" s="18">
        <f t="shared" si="13"/>
        <v>2229672.9599999995</v>
      </c>
      <c r="W82" s="18">
        <f t="shared" si="14"/>
        <v>2.2296729599999994</v>
      </c>
      <c r="X82" s="18">
        <f t="shared" si="15"/>
        <v>66.511144396799978</v>
      </c>
      <c r="Y82" s="24">
        <v>35</v>
      </c>
      <c r="Z82" s="24">
        <f t="shared" si="16"/>
        <v>2327.8900538879993</v>
      </c>
      <c r="AA82" s="16">
        <v>25</v>
      </c>
      <c r="AB82" s="16">
        <f t="shared" si="17"/>
        <v>2388.3999999999996</v>
      </c>
      <c r="AC82" s="16">
        <f t="shared" si="17"/>
        <v>864.4</v>
      </c>
      <c r="AD82" s="19">
        <f t="shared" si="18"/>
        <v>2064532.9599999997</v>
      </c>
      <c r="AE82" s="1" t="s">
        <v>7456</v>
      </c>
      <c r="AF82" s="1" t="str">
        <f>VLOOKUP(AE82,t_objeto!B:C,2,FALSE)</f>
        <v>RAW_MATERIAL</v>
      </c>
      <c r="AG82" s="1">
        <v>8</v>
      </c>
      <c r="AH82" s="1" t="str">
        <f>VLOOKUP(AG82,t_entry_status!A:AE,2,FALSE)</f>
        <v>PENDING</v>
      </c>
      <c r="AI82" s="7">
        <v>45560</v>
      </c>
      <c r="AJ82" s="1" t="s">
        <v>7449</v>
      </c>
      <c r="AK82" s="7">
        <v>45560</v>
      </c>
      <c r="AL82" s="1" t="s">
        <v>7449</v>
      </c>
    </row>
    <row r="83" spans="1:38" s="20" customFormat="1" x14ac:dyDescent="0.25">
      <c r="A83" s="14">
        <v>82</v>
      </c>
      <c r="B83" s="14" t="str">
        <f>_xlfn.CONCAT(AE83,"-",VLOOKUP(AE83,t_objeto!B:D,3,FALSE),"-",A83)</f>
        <v>RRMM-PERCCO-82</v>
      </c>
      <c r="C83" s="22" t="str">
        <f t="shared" si="19"/>
        <v>LAMINA_LISA__ACERO_ROLADA EN CALIENTE_3'X8'_10</v>
      </c>
      <c r="D83" s="14" t="s">
        <v>7407</v>
      </c>
      <c r="E83" s="14" t="s">
        <v>7380</v>
      </c>
      <c r="F83" s="21" t="s">
        <v>7386</v>
      </c>
      <c r="G83" s="22" t="s">
        <v>7382</v>
      </c>
      <c r="H83" s="14">
        <v>10</v>
      </c>
      <c r="I83" s="16">
        <v>3.42</v>
      </c>
      <c r="J83" s="16">
        <f t="shared" si="10"/>
        <v>0.13464566929133859</v>
      </c>
      <c r="K83" s="16">
        <v>26.847000000000001</v>
      </c>
      <c r="L83" s="23"/>
      <c r="M83" s="23"/>
      <c r="N83" s="23"/>
      <c r="O83" s="23"/>
      <c r="P83" s="23"/>
      <c r="Q83" s="19"/>
      <c r="R83" s="17">
        <v>3</v>
      </c>
      <c r="S83" s="17">
        <v>8</v>
      </c>
      <c r="T83" s="16">
        <f t="shared" si="11"/>
        <v>2438.3999999999996</v>
      </c>
      <c r="U83" s="16">
        <f t="shared" si="12"/>
        <v>914.4</v>
      </c>
      <c r="V83" s="18">
        <f t="shared" si="13"/>
        <v>2229672.9599999995</v>
      </c>
      <c r="W83" s="18">
        <f t="shared" si="14"/>
        <v>2.2296729599999994</v>
      </c>
      <c r="X83" s="18">
        <f t="shared" si="15"/>
        <v>59.860029957119984</v>
      </c>
      <c r="Y83" s="24">
        <v>35</v>
      </c>
      <c r="Z83" s="24">
        <f t="shared" si="16"/>
        <v>2095.1010484991994</v>
      </c>
      <c r="AA83" s="16">
        <v>26</v>
      </c>
      <c r="AB83" s="16">
        <f t="shared" si="17"/>
        <v>2386.3999999999996</v>
      </c>
      <c r="AC83" s="16">
        <f t="shared" si="17"/>
        <v>862.4</v>
      </c>
      <c r="AD83" s="19">
        <f t="shared" si="18"/>
        <v>2058031.3599999996</v>
      </c>
      <c r="AE83" s="1" t="s">
        <v>7456</v>
      </c>
      <c r="AF83" s="1" t="str">
        <f>VLOOKUP(AE83,t_objeto!B:C,2,FALSE)</f>
        <v>RAW_MATERIAL</v>
      </c>
      <c r="AG83" s="1">
        <v>8</v>
      </c>
      <c r="AH83" s="1" t="str">
        <f>VLOOKUP(AG83,t_entry_status!A:AE,2,FALSE)</f>
        <v>PENDING</v>
      </c>
      <c r="AI83" s="7">
        <v>45560</v>
      </c>
      <c r="AJ83" s="1" t="s">
        <v>7449</v>
      </c>
      <c r="AK83" s="7">
        <v>45560</v>
      </c>
      <c r="AL83" s="1" t="s">
        <v>7449</v>
      </c>
    </row>
    <row r="84" spans="1:38" s="20" customFormat="1" x14ac:dyDescent="0.25">
      <c r="A84" s="14">
        <v>83</v>
      </c>
      <c r="B84" s="14" t="str">
        <f>_xlfn.CONCAT(AE84,"-",VLOOKUP(AE84,t_objeto!B:D,3,FALSE),"-",A84)</f>
        <v>RRMM-PERCCO-83</v>
      </c>
      <c r="C84" s="22" t="str">
        <f t="shared" si="19"/>
        <v>LAMINA_LISA__ACERO_ROLADA EN CALIENTE_3'X8'_1/8"</v>
      </c>
      <c r="D84" s="14" t="s">
        <v>7407</v>
      </c>
      <c r="E84" s="14" t="s">
        <v>7380</v>
      </c>
      <c r="F84" s="21" t="s">
        <v>7386</v>
      </c>
      <c r="G84" s="22" t="s">
        <v>7382</v>
      </c>
      <c r="H84" s="14" t="s">
        <v>7399</v>
      </c>
      <c r="I84" s="16">
        <v>3.18</v>
      </c>
      <c r="J84" s="16">
        <v>0.125</v>
      </c>
      <c r="K84" s="16"/>
      <c r="L84" s="23"/>
      <c r="M84" s="23"/>
      <c r="N84" s="23"/>
      <c r="O84" s="23"/>
      <c r="P84" s="23"/>
      <c r="Q84" s="19"/>
      <c r="R84" s="17">
        <v>3</v>
      </c>
      <c r="S84" s="17">
        <v>8</v>
      </c>
      <c r="T84" s="16">
        <f t="shared" si="11"/>
        <v>2438.3999999999996</v>
      </c>
      <c r="U84" s="16">
        <f t="shared" si="12"/>
        <v>914.4</v>
      </c>
      <c r="V84" s="18">
        <f t="shared" si="13"/>
        <v>2229672.9599999995</v>
      </c>
      <c r="W84" s="18">
        <f t="shared" si="14"/>
        <v>2.2296729599999994</v>
      </c>
      <c r="X84" s="18">
        <f t="shared" si="15"/>
        <v>0</v>
      </c>
      <c r="Y84" s="24">
        <v>35</v>
      </c>
      <c r="Z84" s="24">
        <f t="shared" si="16"/>
        <v>0</v>
      </c>
      <c r="AA84" s="16">
        <v>26</v>
      </c>
      <c r="AB84" s="16">
        <f t="shared" si="17"/>
        <v>2386.3999999999996</v>
      </c>
      <c r="AC84" s="16">
        <f t="shared" si="17"/>
        <v>862.4</v>
      </c>
      <c r="AD84" s="19">
        <f t="shared" si="18"/>
        <v>2058031.3599999996</v>
      </c>
      <c r="AE84" s="1" t="s">
        <v>7456</v>
      </c>
      <c r="AF84" s="1" t="str">
        <f>VLOOKUP(AE84,t_objeto!B:C,2,FALSE)</f>
        <v>RAW_MATERIAL</v>
      </c>
      <c r="AG84" s="1">
        <v>8</v>
      </c>
      <c r="AH84" s="1" t="str">
        <f>VLOOKUP(AG84,t_entry_status!A:AE,2,FALSE)</f>
        <v>PENDING</v>
      </c>
      <c r="AI84" s="7">
        <v>45560</v>
      </c>
      <c r="AJ84" s="1" t="s">
        <v>7449</v>
      </c>
      <c r="AK84" s="7">
        <v>45560</v>
      </c>
      <c r="AL84" s="1" t="s">
        <v>7449</v>
      </c>
    </row>
    <row r="85" spans="1:38" s="20" customFormat="1" x14ac:dyDescent="0.25">
      <c r="A85" s="14">
        <v>84</v>
      </c>
      <c r="B85" s="14" t="str">
        <f>_xlfn.CONCAT(AE85,"-",VLOOKUP(AE85,t_objeto!B:D,3,FALSE),"-",A85)</f>
        <v>RRMM-PERCCO-84</v>
      </c>
      <c r="C85" s="22" t="str">
        <f t="shared" si="19"/>
        <v>LAMINA_LISA__ACERO_ROLADA EN CALIENTE_3'X8'_11</v>
      </c>
      <c r="D85" s="14" t="s">
        <v>7407</v>
      </c>
      <c r="E85" s="14" t="s">
        <v>7380</v>
      </c>
      <c r="F85" s="21" t="s">
        <v>7386</v>
      </c>
      <c r="G85" s="22" t="s">
        <v>7382</v>
      </c>
      <c r="H85" s="14">
        <v>11</v>
      </c>
      <c r="I85" s="16">
        <v>3.04</v>
      </c>
      <c r="J85" s="16">
        <f t="shared" si="10"/>
        <v>0.11968503937007875</v>
      </c>
      <c r="K85" s="16">
        <v>23.864000000000001</v>
      </c>
      <c r="L85" s="23"/>
      <c r="M85" s="23"/>
      <c r="N85" s="23"/>
      <c r="O85" s="23"/>
      <c r="P85" s="23"/>
      <c r="Q85" s="19"/>
      <c r="R85" s="17">
        <v>3</v>
      </c>
      <c r="S85" s="17">
        <v>8</v>
      </c>
      <c r="T85" s="16">
        <f t="shared" si="11"/>
        <v>2438.3999999999996</v>
      </c>
      <c r="U85" s="16">
        <f t="shared" si="12"/>
        <v>914.4</v>
      </c>
      <c r="V85" s="18">
        <f t="shared" si="13"/>
        <v>2229672.9599999995</v>
      </c>
      <c r="W85" s="18">
        <f t="shared" si="14"/>
        <v>2.2296729599999994</v>
      </c>
      <c r="X85" s="18">
        <f t="shared" si="15"/>
        <v>53.208915517439983</v>
      </c>
      <c r="Y85" s="24">
        <v>35</v>
      </c>
      <c r="Z85" s="24">
        <f t="shared" si="16"/>
        <v>1862.3120431103994</v>
      </c>
      <c r="AA85" s="16">
        <v>27</v>
      </c>
      <c r="AB85" s="16">
        <f t="shared" si="17"/>
        <v>2384.3999999999996</v>
      </c>
      <c r="AC85" s="16">
        <f t="shared" si="17"/>
        <v>860.4</v>
      </c>
      <c r="AD85" s="19">
        <f t="shared" si="18"/>
        <v>2051537.7599999995</v>
      </c>
      <c r="AE85" s="1" t="s">
        <v>7456</v>
      </c>
      <c r="AF85" s="1" t="str">
        <f>VLOOKUP(AE85,t_objeto!B:C,2,FALSE)</f>
        <v>RAW_MATERIAL</v>
      </c>
      <c r="AG85" s="1">
        <v>8</v>
      </c>
      <c r="AH85" s="1" t="str">
        <f>VLOOKUP(AG85,t_entry_status!A:AE,2,FALSE)</f>
        <v>PENDING</v>
      </c>
      <c r="AI85" s="7">
        <v>45560</v>
      </c>
      <c r="AJ85" s="1" t="s">
        <v>7449</v>
      </c>
      <c r="AK85" s="7">
        <v>45560</v>
      </c>
      <c r="AL85" s="1" t="s">
        <v>7449</v>
      </c>
    </row>
    <row r="86" spans="1:38" s="20" customFormat="1" x14ac:dyDescent="0.25">
      <c r="A86" s="14">
        <v>85</v>
      </c>
      <c r="B86" s="14" t="str">
        <f>_xlfn.CONCAT(AE86,"-",VLOOKUP(AE86,t_objeto!B:D,3,FALSE),"-",A86)</f>
        <v>RRMM-PERCCO-85</v>
      </c>
      <c r="C86" s="22" t="str">
        <f t="shared" si="19"/>
        <v>LAMINA_LISA__ACERO_ROLADA EN CALIENTE_3'X8'_12</v>
      </c>
      <c r="D86" s="14" t="s">
        <v>7407</v>
      </c>
      <c r="E86" s="14" t="s">
        <v>7380</v>
      </c>
      <c r="F86" s="21" t="s">
        <v>7386</v>
      </c>
      <c r="G86" s="22" t="s">
        <v>7382</v>
      </c>
      <c r="H86" s="14">
        <v>12</v>
      </c>
      <c r="I86" s="16">
        <v>2.66</v>
      </c>
      <c r="J86" s="16">
        <f t="shared" si="10"/>
        <v>0.1047244094488189</v>
      </c>
      <c r="K86" s="16">
        <v>20.881</v>
      </c>
      <c r="L86" s="23"/>
      <c r="M86" s="23"/>
      <c r="N86" s="23"/>
      <c r="O86" s="23"/>
      <c r="P86" s="23"/>
      <c r="Q86" s="19"/>
      <c r="R86" s="17">
        <v>3</v>
      </c>
      <c r="S86" s="17">
        <v>8</v>
      </c>
      <c r="T86" s="16">
        <f t="shared" si="11"/>
        <v>2438.3999999999996</v>
      </c>
      <c r="U86" s="16">
        <f t="shared" si="12"/>
        <v>914.4</v>
      </c>
      <c r="V86" s="18">
        <f t="shared" si="13"/>
        <v>2229672.9599999995</v>
      </c>
      <c r="W86" s="18">
        <f t="shared" si="14"/>
        <v>2.2296729599999994</v>
      </c>
      <c r="X86" s="18">
        <f t="shared" si="15"/>
        <v>46.55780107775999</v>
      </c>
      <c r="Y86" s="24">
        <v>35</v>
      </c>
      <c r="Z86" s="24">
        <f t="shared" si="16"/>
        <v>1629.5230377215996</v>
      </c>
      <c r="AA86" s="16">
        <v>28</v>
      </c>
      <c r="AB86" s="16">
        <f t="shared" si="17"/>
        <v>2382.3999999999996</v>
      </c>
      <c r="AC86" s="16">
        <f t="shared" si="17"/>
        <v>858.4</v>
      </c>
      <c r="AD86" s="19">
        <f t="shared" si="18"/>
        <v>2045052.1599999997</v>
      </c>
      <c r="AE86" s="1" t="s">
        <v>7456</v>
      </c>
      <c r="AF86" s="1" t="str">
        <f>VLOOKUP(AE86,t_objeto!B:C,2,FALSE)</f>
        <v>RAW_MATERIAL</v>
      </c>
      <c r="AG86" s="1">
        <v>8</v>
      </c>
      <c r="AH86" s="1" t="str">
        <f>VLOOKUP(AG86,t_entry_status!A:AE,2,FALSE)</f>
        <v>PENDING</v>
      </c>
      <c r="AI86" s="7">
        <v>45560</v>
      </c>
      <c r="AJ86" s="1" t="s">
        <v>7449</v>
      </c>
      <c r="AK86" s="7">
        <v>45560</v>
      </c>
      <c r="AL86" s="1" t="s">
        <v>7449</v>
      </c>
    </row>
    <row r="87" spans="1:38" s="20" customFormat="1" x14ac:dyDescent="0.25">
      <c r="A87" s="14">
        <v>86</v>
      </c>
      <c r="B87" s="14" t="str">
        <f>_xlfn.CONCAT(AE87,"-",VLOOKUP(AE87,t_objeto!B:D,3,FALSE),"-",A87)</f>
        <v>RRMM-PERCCO-86</v>
      </c>
      <c r="C87" s="22" t="str">
        <f t="shared" si="19"/>
        <v>LAMINA_LISA__ACERO_ROLADA EN CALIENTE_3'X8'_13</v>
      </c>
      <c r="D87" s="14" t="s">
        <v>7407</v>
      </c>
      <c r="E87" s="14" t="s">
        <v>7380</v>
      </c>
      <c r="F87" s="21" t="s">
        <v>7386</v>
      </c>
      <c r="G87" s="22" t="s">
        <v>7382</v>
      </c>
      <c r="H87" s="14">
        <v>13</v>
      </c>
      <c r="I87" s="16">
        <v>2.2799999999999998</v>
      </c>
      <c r="J87" s="16">
        <f t="shared" si="10"/>
        <v>8.9763779527559054E-2</v>
      </c>
      <c r="K87" s="16">
        <v>17.898</v>
      </c>
      <c r="L87" s="23"/>
      <c r="M87" s="23"/>
      <c r="N87" s="23"/>
      <c r="O87" s="23"/>
      <c r="P87" s="23"/>
      <c r="Q87" s="19"/>
      <c r="R87" s="17">
        <v>3</v>
      </c>
      <c r="S87" s="17">
        <v>8</v>
      </c>
      <c r="T87" s="16">
        <f t="shared" si="11"/>
        <v>2438.3999999999996</v>
      </c>
      <c r="U87" s="16">
        <f t="shared" si="12"/>
        <v>914.4</v>
      </c>
      <c r="V87" s="18">
        <f t="shared" si="13"/>
        <v>2229672.9599999995</v>
      </c>
      <c r="W87" s="18">
        <f t="shared" si="14"/>
        <v>2.2296729599999994</v>
      </c>
      <c r="X87" s="18">
        <f t="shared" si="15"/>
        <v>39.906686638079989</v>
      </c>
      <c r="Y87" s="24">
        <v>35</v>
      </c>
      <c r="Z87" s="24">
        <f t="shared" si="16"/>
        <v>1396.7340323327996</v>
      </c>
      <c r="AA87" s="16">
        <v>29</v>
      </c>
      <c r="AB87" s="16">
        <f t="shared" si="17"/>
        <v>2380.3999999999996</v>
      </c>
      <c r="AC87" s="16">
        <f t="shared" si="17"/>
        <v>856.4</v>
      </c>
      <c r="AD87" s="19">
        <f t="shared" si="18"/>
        <v>2038574.5599999996</v>
      </c>
      <c r="AE87" s="1" t="s">
        <v>7456</v>
      </c>
      <c r="AF87" s="1" t="str">
        <f>VLOOKUP(AE87,t_objeto!B:C,2,FALSE)</f>
        <v>RAW_MATERIAL</v>
      </c>
      <c r="AG87" s="1">
        <v>8</v>
      </c>
      <c r="AH87" s="1" t="str">
        <f>VLOOKUP(AG87,t_entry_status!A:AE,2,FALSE)</f>
        <v>PENDING</v>
      </c>
      <c r="AI87" s="7">
        <v>45560</v>
      </c>
      <c r="AJ87" s="1" t="s">
        <v>7449</v>
      </c>
      <c r="AK87" s="7">
        <v>45560</v>
      </c>
      <c r="AL87" s="1" t="s">
        <v>7449</v>
      </c>
    </row>
    <row r="88" spans="1:38" s="20" customFormat="1" x14ac:dyDescent="0.25">
      <c r="A88" s="14">
        <v>87</v>
      </c>
      <c r="B88" s="14" t="str">
        <f>_xlfn.CONCAT(AE88,"-",VLOOKUP(AE88,t_objeto!B:D,3,FALSE),"-",A88)</f>
        <v>RRMM-PERCCO-87</v>
      </c>
      <c r="C88" s="22" t="str">
        <f t="shared" si="19"/>
        <v>LAMINA_LISA__ACERO_ROLADA EN CALIENTE_3'X8'_14</v>
      </c>
      <c r="D88" s="14" t="s">
        <v>7407</v>
      </c>
      <c r="E88" s="14" t="s">
        <v>7380</v>
      </c>
      <c r="F88" s="21" t="s">
        <v>7386</v>
      </c>
      <c r="G88" s="22" t="s">
        <v>7382</v>
      </c>
      <c r="H88" s="14">
        <v>14</v>
      </c>
      <c r="I88" s="16">
        <v>1.9</v>
      </c>
      <c r="J88" s="16">
        <f t="shared" si="10"/>
        <v>7.4803149606299218E-2</v>
      </c>
      <c r="K88" s="16">
        <v>14.914999999999999</v>
      </c>
      <c r="L88" s="23"/>
      <c r="M88" s="23"/>
      <c r="N88" s="23"/>
      <c r="O88" s="23"/>
      <c r="P88" s="23"/>
      <c r="Q88" s="19"/>
      <c r="R88" s="17">
        <v>3</v>
      </c>
      <c r="S88" s="17">
        <v>8</v>
      </c>
      <c r="T88" s="16">
        <f t="shared" si="11"/>
        <v>2438.3999999999996</v>
      </c>
      <c r="U88" s="16">
        <f t="shared" si="12"/>
        <v>914.4</v>
      </c>
      <c r="V88" s="18">
        <f t="shared" si="13"/>
        <v>2229672.9599999995</v>
      </c>
      <c r="W88" s="18">
        <f t="shared" si="14"/>
        <v>2.2296729599999994</v>
      </c>
      <c r="X88" s="18">
        <f t="shared" si="15"/>
        <v>33.255572198399989</v>
      </c>
      <c r="Y88" s="24">
        <v>35</v>
      </c>
      <c r="Z88" s="24">
        <f t="shared" si="16"/>
        <v>1163.9450269439997</v>
      </c>
      <c r="AA88" s="16">
        <v>30</v>
      </c>
      <c r="AB88" s="16">
        <f t="shared" si="17"/>
        <v>2378.3999999999996</v>
      </c>
      <c r="AC88" s="16">
        <f t="shared" si="17"/>
        <v>854.4</v>
      </c>
      <c r="AD88" s="19">
        <f t="shared" si="18"/>
        <v>2032104.9599999997</v>
      </c>
      <c r="AE88" s="1" t="s">
        <v>7456</v>
      </c>
      <c r="AF88" s="1" t="str">
        <f>VLOOKUP(AE88,t_objeto!B:C,2,FALSE)</f>
        <v>RAW_MATERIAL</v>
      </c>
      <c r="AG88" s="1">
        <v>8</v>
      </c>
      <c r="AH88" s="1" t="str">
        <f>VLOOKUP(AG88,t_entry_status!A:AE,2,FALSE)</f>
        <v>PENDING</v>
      </c>
      <c r="AI88" s="7">
        <v>45560</v>
      </c>
      <c r="AJ88" s="1" t="s">
        <v>7449</v>
      </c>
      <c r="AK88" s="7">
        <v>45560</v>
      </c>
      <c r="AL88" s="1" t="s">
        <v>7449</v>
      </c>
    </row>
    <row r="89" spans="1:38" s="20" customFormat="1" x14ac:dyDescent="0.25">
      <c r="A89" s="14">
        <v>88</v>
      </c>
      <c r="B89" s="14" t="str">
        <f>_xlfn.CONCAT(AE89,"-",VLOOKUP(AE89,t_objeto!B:D,3,FALSE),"-",A89)</f>
        <v>RRMM-PERCCO-88</v>
      </c>
      <c r="C89" s="22" t="str">
        <f t="shared" si="19"/>
        <v>LAMINA_LISA__ACERO_ROLADA EN CALIENTE_3'X8'_15</v>
      </c>
      <c r="D89" s="14" t="s">
        <v>7407</v>
      </c>
      <c r="E89" s="14" t="s">
        <v>7380</v>
      </c>
      <c r="F89" s="21" t="s">
        <v>7386</v>
      </c>
      <c r="G89" s="22" t="s">
        <v>7382</v>
      </c>
      <c r="H89" s="14">
        <v>15</v>
      </c>
      <c r="I89" s="16">
        <v>1.71</v>
      </c>
      <c r="J89" s="16">
        <f t="shared" si="10"/>
        <v>6.7322834645669294E-2</v>
      </c>
      <c r="K89" s="16">
        <v>13.423999999999999</v>
      </c>
      <c r="L89" s="23"/>
      <c r="M89" s="23"/>
      <c r="N89" s="23"/>
      <c r="O89" s="23"/>
      <c r="P89" s="23"/>
      <c r="Q89" s="19"/>
      <c r="R89" s="17">
        <v>3</v>
      </c>
      <c r="S89" s="17">
        <v>8</v>
      </c>
      <c r="T89" s="16">
        <f t="shared" si="11"/>
        <v>2438.3999999999996</v>
      </c>
      <c r="U89" s="16">
        <f t="shared" si="12"/>
        <v>914.4</v>
      </c>
      <c r="V89" s="18">
        <f t="shared" si="13"/>
        <v>2229672.9599999995</v>
      </c>
      <c r="W89" s="18">
        <f t="shared" si="14"/>
        <v>2.2296729599999994</v>
      </c>
      <c r="X89" s="18">
        <f t="shared" si="15"/>
        <v>29.931129815039991</v>
      </c>
      <c r="Y89" s="24">
        <v>35</v>
      </c>
      <c r="Z89" s="24">
        <f t="shared" si="16"/>
        <v>1047.5895435263997</v>
      </c>
      <c r="AA89" s="16">
        <v>31</v>
      </c>
      <c r="AB89" s="16">
        <f t="shared" si="17"/>
        <v>2376.3999999999996</v>
      </c>
      <c r="AC89" s="16">
        <f t="shared" si="17"/>
        <v>852.4</v>
      </c>
      <c r="AD89" s="19">
        <f t="shared" si="18"/>
        <v>2025643.3599999996</v>
      </c>
      <c r="AE89" s="1" t="s">
        <v>7456</v>
      </c>
      <c r="AF89" s="1" t="str">
        <f>VLOOKUP(AE89,t_objeto!B:C,2,FALSE)</f>
        <v>RAW_MATERIAL</v>
      </c>
      <c r="AG89" s="1">
        <v>8</v>
      </c>
      <c r="AH89" s="1" t="str">
        <f>VLOOKUP(AG89,t_entry_status!A:AE,2,FALSE)</f>
        <v>PENDING</v>
      </c>
      <c r="AI89" s="7">
        <v>45560</v>
      </c>
      <c r="AJ89" s="1" t="s">
        <v>7449</v>
      </c>
      <c r="AK89" s="7">
        <v>45560</v>
      </c>
      <c r="AL89" s="1" t="s">
        <v>7449</v>
      </c>
    </row>
    <row r="90" spans="1:38" s="20" customFormat="1" x14ac:dyDescent="0.25">
      <c r="A90" s="14">
        <v>89</v>
      </c>
      <c r="B90" s="14" t="str">
        <f>_xlfn.CONCAT(AE90,"-",VLOOKUP(AE90,t_objeto!B:D,3,FALSE),"-",A90)</f>
        <v>RRMM-PERCCO-89</v>
      </c>
      <c r="C90" s="22" t="str">
        <f t="shared" si="19"/>
        <v>LAMINA_LISA__ACERO_ROLADA EN CALIENTE_3'X8'_16</v>
      </c>
      <c r="D90" s="14" t="s">
        <v>7407</v>
      </c>
      <c r="E90" s="14" t="s">
        <v>7380</v>
      </c>
      <c r="F90" s="21" t="s">
        <v>7386</v>
      </c>
      <c r="G90" s="22" t="s">
        <v>7382</v>
      </c>
      <c r="H90" s="14">
        <v>16</v>
      </c>
      <c r="I90" s="16">
        <v>1.52</v>
      </c>
      <c r="J90" s="16">
        <f t="shared" si="10"/>
        <v>5.9842519685039376E-2</v>
      </c>
      <c r="K90" s="16">
        <v>11.932</v>
      </c>
      <c r="L90" s="23"/>
      <c r="M90" s="23"/>
      <c r="N90" s="23"/>
      <c r="O90" s="23"/>
      <c r="P90" s="23"/>
      <c r="Q90" s="19"/>
      <c r="R90" s="17">
        <v>3</v>
      </c>
      <c r="S90" s="17">
        <v>8</v>
      </c>
      <c r="T90" s="16">
        <f t="shared" si="11"/>
        <v>2438.3999999999996</v>
      </c>
      <c r="U90" s="16">
        <f t="shared" si="12"/>
        <v>914.4</v>
      </c>
      <c r="V90" s="18">
        <f t="shared" si="13"/>
        <v>2229672.9599999995</v>
      </c>
      <c r="W90" s="18">
        <f t="shared" si="14"/>
        <v>2.2296729599999994</v>
      </c>
      <c r="X90" s="18">
        <f t="shared" si="15"/>
        <v>26.604457758719992</v>
      </c>
      <c r="Y90" s="24">
        <v>35</v>
      </c>
      <c r="Z90" s="24">
        <f t="shared" si="16"/>
        <v>931.15602155519969</v>
      </c>
      <c r="AA90" s="16">
        <v>32</v>
      </c>
      <c r="AB90" s="16">
        <f t="shared" si="17"/>
        <v>2374.3999999999996</v>
      </c>
      <c r="AC90" s="16">
        <f t="shared" si="17"/>
        <v>850.4</v>
      </c>
      <c r="AD90" s="19">
        <f t="shared" si="18"/>
        <v>2019189.7599999995</v>
      </c>
      <c r="AE90" s="1" t="s">
        <v>7456</v>
      </c>
      <c r="AF90" s="1" t="str">
        <f>VLOOKUP(AE90,t_objeto!B:C,2,FALSE)</f>
        <v>RAW_MATERIAL</v>
      </c>
      <c r="AG90" s="1">
        <v>8</v>
      </c>
      <c r="AH90" s="1" t="str">
        <f>VLOOKUP(AG90,t_entry_status!A:AE,2,FALSE)</f>
        <v>PENDING</v>
      </c>
      <c r="AI90" s="7">
        <v>45560</v>
      </c>
      <c r="AJ90" s="1" t="s">
        <v>7449</v>
      </c>
      <c r="AK90" s="7">
        <v>45560</v>
      </c>
      <c r="AL90" s="1" t="s">
        <v>7449</v>
      </c>
    </row>
    <row r="91" spans="1:38" s="20" customFormat="1" x14ac:dyDescent="0.25">
      <c r="A91" s="14">
        <v>90</v>
      </c>
      <c r="B91" s="14" t="str">
        <f>_xlfn.CONCAT(AE91,"-",VLOOKUP(AE91,t_objeto!B:D,3,FALSE),"-",A91)</f>
        <v>RRMM-PERCCO-90</v>
      </c>
      <c r="C91" s="22" t="str">
        <f t="shared" si="19"/>
        <v>LAMINA_LISA__ACERO_ROLADA EN CALIENTE_3'X8'_17</v>
      </c>
      <c r="D91" s="14" t="s">
        <v>7407</v>
      </c>
      <c r="E91" s="14" t="s">
        <v>7380</v>
      </c>
      <c r="F91" s="21" t="s">
        <v>7386</v>
      </c>
      <c r="G91" s="22" t="s">
        <v>7382</v>
      </c>
      <c r="H91" s="14">
        <v>17</v>
      </c>
      <c r="I91" s="16">
        <v>1.37</v>
      </c>
      <c r="J91" s="16">
        <f t="shared" si="10"/>
        <v>5.3937007874015758E-2</v>
      </c>
      <c r="K91" s="16">
        <v>10.755000000000001</v>
      </c>
      <c r="L91" s="23"/>
      <c r="M91" s="23"/>
      <c r="N91" s="23"/>
      <c r="O91" s="23"/>
      <c r="P91" s="23"/>
      <c r="Q91" s="19"/>
      <c r="R91" s="17">
        <v>3</v>
      </c>
      <c r="S91" s="17">
        <v>8</v>
      </c>
      <c r="T91" s="16">
        <f t="shared" si="11"/>
        <v>2438.3999999999996</v>
      </c>
      <c r="U91" s="16">
        <f t="shared" si="12"/>
        <v>914.4</v>
      </c>
      <c r="V91" s="18">
        <f t="shared" si="13"/>
        <v>2229672.9599999995</v>
      </c>
      <c r="W91" s="18">
        <f t="shared" si="14"/>
        <v>2.2296729599999994</v>
      </c>
      <c r="X91" s="18">
        <f t="shared" si="15"/>
        <v>23.980132684799994</v>
      </c>
      <c r="Y91" s="24">
        <v>35</v>
      </c>
      <c r="Z91" s="24">
        <f t="shared" si="16"/>
        <v>839.30464396799982</v>
      </c>
      <c r="AA91" s="16">
        <v>33</v>
      </c>
      <c r="AB91" s="16">
        <f t="shared" si="17"/>
        <v>2372.3999999999996</v>
      </c>
      <c r="AC91" s="16">
        <f t="shared" si="17"/>
        <v>848.4</v>
      </c>
      <c r="AD91" s="19">
        <f t="shared" si="18"/>
        <v>2012744.1599999997</v>
      </c>
      <c r="AE91" s="1" t="s">
        <v>7456</v>
      </c>
      <c r="AF91" s="1" t="str">
        <f>VLOOKUP(AE91,t_objeto!B:C,2,FALSE)</f>
        <v>RAW_MATERIAL</v>
      </c>
      <c r="AG91" s="1">
        <v>8</v>
      </c>
      <c r="AH91" s="1" t="str">
        <f>VLOOKUP(AG91,t_entry_status!A:AE,2,FALSE)</f>
        <v>PENDING</v>
      </c>
      <c r="AI91" s="7">
        <v>45560</v>
      </c>
      <c r="AJ91" s="1" t="s">
        <v>7449</v>
      </c>
      <c r="AK91" s="7">
        <v>45560</v>
      </c>
      <c r="AL91" s="1" t="s">
        <v>7449</v>
      </c>
    </row>
    <row r="92" spans="1:38" s="20" customFormat="1" x14ac:dyDescent="0.25">
      <c r="A92" s="14">
        <v>91</v>
      </c>
      <c r="B92" s="14" t="str">
        <f>_xlfn.CONCAT(AE92,"-",VLOOKUP(AE92,t_objeto!B:D,3,FALSE),"-",A92)</f>
        <v>RRMM-PERCCO-91</v>
      </c>
      <c r="C92" s="22" t="str">
        <f t="shared" si="19"/>
        <v>LAMINA_LISA__ACERO_ROLADA EN CALIENTE_3'X8'_18</v>
      </c>
      <c r="D92" s="14" t="s">
        <v>7407</v>
      </c>
      <c r="E92" s="14" t="s">
        <v>7380</v>
      </c>
      <c r="F92" s="21" t="s">
        <v>7386</v>
      </c>
      <c r="G92" s="22" t="s">
        <v>7382</v>
      </c>
      <c r="H92" s="14">
        <v>18</v>
      </c>
      <c r="I92" s="16">
        <v>1.21</v>
      </c>
      <c r="J92" s="16">
        <f t="shared" si="10"/>
        <v>4.7637795275590554E-2</v>
      </c>
      <c r="K92" s="16">
        <v>9.4990000000000006</v>
      </c>
      <c r="L92" s="23"/>
      <c r="M92" s="23"/>
      <c r="N92" s="23"/>
      <c r="O92" s="23"/>
      <c r="P92" s="23"/>
      <c r="Q92" s="19"/>
      <c r="R92" s="17">
        <v>3</v>
      </c>
      <c r="S92" s="17">
        <v>8</v>
      </c>
      <c r="T92" s="16">
        <f t="shared" si="11"/>
        <v>2438.3999999999996</v>
      </c>
      <c r="U92" s="16">
        <f t="shared" si="12"/>
        <v>914.4</v>
      </c>
      <c r="V92" s="18">
        <f t="shared" si="13"/>
        <v>2229672.9599999995</v>
      </c>
      <c r="W92" s="18">
        <f t="shared" si="14"/>
        <v>2.2296729599999994</v>
      </c>
      <c r="X92" s="18">
        <f t="shared" si="15"/>
        <v>21.179663447039996</v>
      </c>
      <c r="Y92" s="24">
        <v>35</v>
      </c>
      <c r="Z92" s="24">
        <f t="shared" si="16"/>
        <v>741.28822064639985</v>
      </c>
      <c r="AA92" s="16">
        <v>34</v>
      </c>
      <c r="AB92" s="16">
        <f t="shared" si="17"/>
        <v>2370.3999999999996</v>
      </c>
      <c r="AC92" s="16">
        <f t="shared" si="17"/>
        <v>846.4</v>
      </c>
      <c r="AD92" s="19">
        <f t="shared" si="18"/>
        <v>2006306.5599999996</v>
      </c>
      <c r="AE92" s="1" t="s">
        <v>7456</v>
      </c>
      <c r="AF92" s="1" t="str">
        <f>VLOOKUP(AE92,t_objeto!B:C,2,FALSE)</f>
        <v>RAW_MATERIAL</v>
      </c>
      <c r="AG92" s="1">
        <v>8</v>
      </c>
      <c r="AH92" s="1" t="str">
        <f>VLOOKUP(AG92,t_entry_status!A:AE,2,FALSE)</f>
        <v>PENDING</v>
      </c>
      <c r="AI92" s="7">
        <v>45560</v>
      </c>
      <c r="AJ92" s="1" t="s">
        <v>7449</v>
      </c>
      <c r="AK92" s="7">
        <v>45560</v>
      </c>
      <c r="AL92" s="1" t="s">
        <v>7449</v>
      </c>
    </row>
    <row r="93" spans="1:38" s="20" customFormat="1" x14ac:dyDescent="0.25">
      <c r="A93" s="14">
        <v>92</v>
      </c>
      <c r="B93" s="14" t="str">
        <f>_xlfn.CONCAT(AE93,"-",VLOOKUP(AE93,t_objeto!B:D,3,FALSE),"-",A93)</f>
        <v>RRMM-PERCCO-92</v>
      </c>
      <c r="C93" s="22" t="str">
        <f t="shared" si="19"/>
        <v>LAMINA_LISA__ACERO_ROLADA EN CALIENTE_3'X8'_19</v>
      </c>
      <c r="D93" s="14" t="s">
        <v>7407</v>
      </c>
      <c r="E93" s="14" t="s">
        <v>7380</v>
      </c>
      <c r="F93" s="21" t="s">
        <v>7386</v>
      </c>
      <c r="G93" s="22" t="s">
        <v>7382</v>
      </c>
      <c r="H93" s="14">
        <v>19</v>
      </c>
      <c r="I93" s="16">
        <v>1.06</v>
      </c>
      <c r="J93" s="16">
        <f t="shared" si="10"/>
        <v>4.1732283464566935E-2</v>
      </c>
      <c r="K93" s="16">
        <v>8.3209999999999997</v>
      </c>
      <c r="L93" s="23"/>
      <c r="M93" s="23"/>
      <c r="N93" s="23"/>
      <c r="O93" s="23"/>
      <c r="P93" s="23"/>
      <c r="Q93" s="19"/>
      <c r="R93" s="17">
        <v>3</v>
      </c>
      <c r="S93" s="17">
        <v>8</v>
      </c>
      <c r="T93" s="16">
        <f t="shared" si="11"/>
        <v>2438.3999999999996</v>
      </c>
      <c r="U93" s="16">
        <f t="shared" si="12"/>
        <v>914.4</v>
      </c>
      <c r="V93" s="18">
        <f t="shared" si="13"/>
        <v>2229672.9599999995</v>
      </c>
      <c r="W93" s="18">
        <f t="shared" si="14"/>
        <v>2.2296729599999994</v>
      </c>
      <c r="X93" s="18">
        <f t="shared" si="15"/>
        <v>18.553108700159996</v>
      </c>
      <c r="Y93" s="24">
        <v>35</v>
      </c>
      <c r="Z93" s="24">
        <f t="shared" si="16"/>
        <v>649.35880450559989</v>
      </c>
      <c r="AA93" s="16">
        <v>35</v>
      </c>
      <c r="AB93" s="16">
        <f t="shared" si="17"/>
        <v>2368.3999999999996</v>
      </c>
      <c r="AC93" s="16">
        <f t="shared" si="17"/>
        <v>844.4</v>
      </c>
      <c r="AD93" s="19">
        <f t="shared" si="18"/>
        <v>1999876.9599999997</v>
      </c>
      <c r="AE93" s="1" t="s">
        <v>7456</v>
      </c>
      <c r="AF93" s="1" t="str">
        <f>VLOOKUP(AE93,t_objeto!B:C,2,FALSE)</f>
        <v>RAW_MATERIAL</v>
      </c>
      <c r="AG93" s="1">
        <v>8</v>
      </c>
      <c r="AH93" s="1" t="str">
        <f>VLOOKUP(AG93,t_entry_status!A:AE,2,FALSE)</f>
        <v>PENDING</v>
      </c>
      <c r="AI93" s="7">
        <v>45560</v>
      </c>
      <c r="AJ93" s="1" t="s">
        <v>7449</v>
      </c>
      <c r="AK93" s="7">
        <v>45560</v>
      </c>
      <c r="AL93" s="1" t="s">
        <v>7449</v>
      </c>
    </row>
    <row r="94" spans="1:38" s="20" customFormat="1" x14ac:dyDescent="0.25">
      <c r="A94" s="14">
        <v>93</v>
      </c>
      <c r="B94" s="14" t="str">
        <f>_xlfn.CONCAT(AE94,"-",VLOOKUP(AE94,t_objeto!B:D,3,FALSE),"-",A94)</f>
        <v>RRMM-PERCCO-93</v>
      </c>
      <c r="C94" s="22" t="str">
        <f t="shared" si="19"/>
        <v>LAMINA_LISA__ACERO_ROLADA EN CALIENTE_3'X8'_20</v>
      </c>
      <c r="D94" s="14" t="s">
        <v>7407</v>
      </c>
      <c r="E94" s="14" t="s">
        <v>7380</v>
      </c>
      <c r="F94" s="21" t="s">
        <v>7386</v>
      </c>
      <c r="G94" s="22" t="s">
        <v>7382</v>
      </c>
      <c r="H94" s="14">
        <v>20</v>
      </c>
      <c r="I94" s="16">
        <v>0.91</v>
      </c>
      <c r="J94" s="16">
        <f t="shared" si="10"/>
        <v>3.582677165354331E-2</v>
      </c>
      <c r="K94" s="16">
        <v>7.1440000000000001</v>
      </c>
      <c r="L94" s="23"/>
      <c r="M94" s="23"/>
      <c r="N94" s="23"/>
      <c r="O94" s="23"/>
      <c r="P94" s="23"/>
      <c r="Q94" s="19"/>
      <c r="R94" s="17">
        <v>3</v>
      </c>
      <c r="S94" s="17">
        <v>8</v>
      </c>
      <c r="T94" s="16">
        <f t="shared" si="11"/>
        <v>2438.3999999999996</v>
      </c>
      <c r="U94" s="16">
        <f t="shared" si="12"/>
        <v>914.4</v>
      </c>
      <c r="V94" s="18">
        <f t="shared" si="13"/>
        <v>2229672.9599999995</v>
      </c>
      <c r="W94" s="18">
        <f t="shared" si="14"/>
        <v>2.2296729599999994</v>
      </c>
      <c r="X94" s="18">
        <f t="shared" si="15"/>
        <v>15.928783626239996</v>
      </c>
      <c r="Y94" s="24">
        <v>35</v>
      </c>
      <c r="Z94" s="24">
        <f t="shared" si="16"/>
        <v>557.50742691839991</v>
      </c>
      <c r="AA94" s="16">
        <v>36</v>
      </c>
      <c r="AB94" s="16">
        <f t="shared" si="17"/>
        <v>2366.3999999999996</v>
      </c>
      <c r="AC94" s="16">
        <f t="shared" si="17"/>
        <v>842.4</v>
      </c>
      <c r="AD94" s="19">
        <f t="shared" si="18"/>
        <v>1993455.3599999996</v>
      </c>
      <c r="AE94" s="1" t="s">
        <v>7456</v>
      </c>
      <c r="AF94" s="1" t="str">
        <f>VLOOKUP(AE94,t_objeto!B:C,2,FALSE)</f>
        <v>RAW_MATERIAL</v>
      </c>
      <c r="AG94" s="1">
        <v>8</v>
      </c>
      <c r="AH94" s="1" t="str">
        <f>VLOOKUP(AG94,t_entry_status!A:AE,2,FALSE)</f>
        <v>PENDING</v>
      </c>
      <c r="AI94" s="7">
        <v>45560</v>
      </c>
      <c r="AJ94" s="1" t="s">
        <v>7449</v>
      </c>
      <c r="AK94" s="7">
        <v>45560</v>
      </c>
      <c r="AL94" s="1" t="s">
        <v>7449</v>
      </c>
    </row>
    <row r="95" spans="1:38" s="20" customFormat="1" x14ac:dyDescent="0.25">
      <c r="A95" s="14">
        <v>94</v>
      </c>
      <c r="B95" s="14" t="str">
        <f>_xlfn.CONCAT(AE95,"-",VLOOKUP(AE95,t_objeto!B:D,3,FALSE),"-",A95)</f>
        <v>RRMM-PERCCO-94</v>
      </c>
      <c r="C95" s="22" t="str">
        <f t="shared" si="19"/>
        <v>LAMINA_LISA__ACERO_ROLADA EN CALIENTE_3'X8'_21</v>
      </c>
      <c r="D95" s="14" t="s">
        <v>7407</v>
      </c>
      <c r="E95" s="14" t="s">
        <v>7380</v>
      </c>
      <c r="F95" s="21" t="s">
        <v>7386</v>
      </c>
      <c r="G95" s="22" t="s">
        <v>7382</v>
      </c>
      <c r="H95" s="14">
        <v>21</v>
      </c>
      <c r="I95" s="16">
        <v>0.84</v>
      </c>
      <c r="J95" s="16">
        <f t="shared" si="10"/>
        <v>3.3070866141732283E-2</v>
      </c>
      <c r="K95" s="16">
        <v>6.5940000000000003</v>
      </c>
      <c r="L95" s="23"/>
      <c r="M95" s="23"/>
      <c r="N95" s="23"/>
      <c r="O95" s="23"/>
      <c r="P95" s="23"/>
      <c r="Q95" s="19"/>
      <c r="R95" s="17">
        <v>3</v>
      </c>
      <c r="S95" s="17">
        <v>8</v>
      </c>
      <c r="T95" s="16">
        <f t="shared" si="11"/>
        <v>2438.3999999999996</v>
      </c>
      <c r="U95" s="16">
        <f t="shared" si="12"/>
        <v>914.4</v>
      </c>
      <c r="V95" s="18">
        <f t="shared" si="13"/>
        <v>2229672.9599999995</v>
      </c>
      <c r="W95" s="18">
        <f t="shared" si="14"/>
        <v>2.2296729599999994</v>
      </c>
      <c r="X95" s="18">
        <f t="shared" si="15"/>
        <v>14.702463498239997</v>
      </c>
      <c r="Y95" s="24">
        <v>35</v>
      </c>
      <c r="Z95" s="24">
        <f t="shared" si="16"/>
        <v>514.58622243839989</v>
      </c>
      <c r="AA95" s="16">
        <v>37</v>
      </c>
      <c r="AB95" s="16">
        <f t="shared" si="17"/>
        <v>2364.3999999999996</v>
      </c>
      <c r="AC95" s="16">
        <f t="shared" si="17"/>
        <v>840.4</v>
      </c>
      <c r="AD95" s="19">
        <f t="shared" si="18"/>
        <v>1987041.7599999995</v>
      </c>
      <c r="AE95" s="1" t="s">
        <v>7456</v>
      </c>
      <c r="AF95" s="1" t="str">
        <f>VLOOKUP(AE95,t_objeto!B:C,2,FALSE)</f>
        <v>RAW_MATERIAL</v>
      </c>
      <c r="AG95" s="1">
        <v>8</v>
      </c>
      <c r="AH95" s="1" t="str">
        <f>VLOOKUP(AG95,t_entry_status!A:AE,2,FALSE)</f>
        <v>PENDING</v>
      </c>
      <c r="AI95" s="7">
        <v>45560</v>
      </c>
      <c r="AJ95" s="1" t="s">
        <v>7449</v>
      </c>
      <c r="AK95" s="7">
        <v>45560</v>
      </c>
      <c r="AL95" s="1" t="s">
        <v>7449</v>
      </c>
    </row>
    <row r="96" spans="1:38" s="20" customFormat="1" x14ac:dyDescent="0.25">
      <c r="A96" s="14">
        <v>95</v>
      </c>
      <c r="B96" s="14" t="str">
        <f>_xlfn.CONCAT(AE96,"-",VLOOKUP(AE96,t_objeto!B:D,3,FALSE),"-",A96)</f>
        <v>RRMM-PERCCO-95</v>
      </c>
      <c r="C96" s="22" t="str">
        <f t="shared" si="19"/>
        <v>LAMINA_LISA__ACERO_ROLADA EN CALIENTE_3'X8'_22</v>
      </c>
      <c r="D96" s="14" t="s">
        <v>7407</v>
      </c>
      <c r="E96" s="14" t="s">
        <v>7380</v>
      </c>
      <c r="F96" s="21" t="s">
        <v>7386</v>
      </c>
      <c r="G96" s="22" t="s">
        <v>7382</v>
      </c>
      <c r="H96" s="14">
        <v>22</v>
      </c>
      <c r="I96" s="16">
        <v>0.76</v>
      </c>
      <c r="J96" s="16">
        <f t="shared" si="10"/>
        <v>2.9921259842519688E-2</v>
      </c>
      <c r="K96" s="16">
        <v>6.1050000000000004</v>
      </c>
      <c r="L96" s="23"/>
      <c r="M96" s="23"/>
      <c r="N96" s="23"/>
      <c r="O96" s="23"/>
      <c r="P96" s="23"/>
      <c r="Q96" s="19"/>
      <c r="R96" s="17">
        <v>3</v>
      </c>
      <c r="S96" s="17">
        <v>8</v>
      </c>
      <c r="T96" s="16">
        <f t="shared" si="11"/>
        <v>2438.3999999999996</v>
      </c>
      <c r="U96" s="16">
        <f t="shared" si="12"/>
        <v>914.4</v>
      </c>
      <c r="V96" s="18">
        <f t="shared" si="13"/>
        <v>2229672.9599999995</v>
      </c>
      <c r="W96" s="18">
        <f t="shared" si="14"/>
        <v>2.2296729599999994</v>
      </c>
      <c r="X96" s="18">
        <f t="shared" si="15"/>
        <v>13.612153420799997</v>
      </c>
      <c r="Y96" s="24">
        <v>35</v>
      </c>
      <c r="Z96" s="24">
        <f t="shared" si="16"/>
        <v>476.42536972799991</v>
      </c>
      <c r="AA96" s="16">
        <v>38</v>
      </c>
      <c r="AB96" s="16">
        <f t="shared" si="17"/>
        <v>2362.3999999999996</v>
      </c>
      <c r="AC96" s="16">
        <f t="shared" si="17"/>
        <v>838.4</v>
      </c>
      <c r="AD96" s="19">
        <f t="shared" si="18"/>
        <v>1980636.1599999997</v>
      </c>
      <c r="AE96" s="1" t="s">
        <v>7456</v>
      </c>
      <c r="AF96" s="1" t="str">
        <f>VLOOKUP(AE96,t_objeto!B:C,2,FALSE)</f>
        <v>RAW_MATERIAL</v>
      </c>
      <c r="AG96" s="1">
        <v>8</v>
      </c>
      <c r="AH96" s="1" t="str">
        <f>VLOOKUP(AG96,t_entry_status!A:AE,2,FALSE)</f>
        <v>PENDING</v>
      </c>
      <c r="AI96" s="7">
        <v>45560</v>
      </c>
      <c r="AJ96" s="1" t="s">
        <v>7449</v>
      </c>
      <c r="AK96" s="7">
        <v>45560</v>
      </c>
      <c r="AL96" s="1" t="s">
        <v>7449</v>
      </c>
    </row>
    <row r="97" spans="1:38" s="20" customFormat="1" x14ac:dyDescent="0.25">
      <c r="A97" s="14">
        <v>96</v>
      </c>
      <c r="B97" s="14" t="str">
        <f>_xlfn.CONCAT(AE97,"-",VLOOKUP(AE97,t_objeto!B:D,3,FALSE),"-",A97)</f>
        <v>RRMM-PERCCO-96</v>
      </c>
      <c r="C97" s="22" t="str">
        <f t="shared" si="19"/>
        <v>LAMINA_LISA__ACERO_ROLADA EN CALIENTE_3'X8'_23</v>
      </c>
      <c r="D97" s="14" t="s">
        <v>7407</v>
      </c>
      <c r="E97" s="14" t="s">
        <v>7380</v>
      </c>
      <c r="F97" s="21" t="s">
        <v>7386</v>
      </c>
      <c r="G97" s="22" t="s">
        <v>7382</v>
      </c>
      <c r="H97" s="14">
        <v>23</v>
      </c>
      <c r="I97" s="16">
        <v>0.68</v>
      </c>
      <c r="J97" s="16">
        <f t="shared" si="10"/>
        <v>2.677165354330709E-2</v>
      </c>
      <c r="K97" s="16">
        <v>5.3380000000000001</v>
      </c>
      <c r="L97" s="23"/>
      <c r="M97" s="23"/>
      <c r="N97" s="23"/>
      <c r="O97" s="23"/>
      <c r="P97" s="23"/>
      <c r="Q97" s="19"/>
      <c r="R97" s="17">
        <v>3</v>
      </c>
      <c r="S97" s="17">
        <v>8</v>
      </c>
      <c r="T97" s="16">
        <f t="shared" si="11"/>
        <v>2438.3999999999996</v>
      </c>
      <c r="U97" s="16">
        <f t="shared" si="12"/>
        <v>914.4</v>
      </c>
      <c r="V97" s="18">
        <f t="shared" si="13"/>
        <v>2229672.9599999995</v>
      </c>
      <c r="W97" s="18">
        <f t="shared" si="14"/>
        <v>2.2296729599999994</v>
      </c>
      <c r="X97" s="18">
        <f t="shared" si="15"/>
        <v>11.901994260479997</v>
      </c>
      <c r="Y97" s="24">
        <v>35</v>
      </c>
      <c r="Z97" s="24">
        <f t="shared" si="16"/>
        <v>416.56979911679991</v>
      </c>
      <c r="AA97" s="16">
        <v>39</v>
      </c>
      <c r="AB97" s="16">
        <f t="shared" si="17"/>
        <v>2360.3999999999996</v>
      </c>
      <c r="AC97" s="16">
        <f t="shared" si="17"/>
        <v>836.4</v>
      </c>
      <c r="AD97" s="19">
        <f t="shared" si="18"/>
        <v>1974238.5599999996</v>
      </c>
      <c r="AE97" s="1" t="s">
        <v>7456</v>
      </c>
      <c r="AF97" s="1" t="str">
        <f>VLOOKUP(AE97,t_objeto!B:C,2,FALSE)</f>
        <v>RAW_MATERIAL</v>
      </c>
      <c r="AG97" s="1">
        <v>8</v>
      </c>
      <c r="AH97" s="1" t="str">
        <f>VLOOKUP(AG97,t_entry_status!A:AE,2,FALSE)</f>
        <v>PENDING</v>
      </c>
      <c r="AI97" s="7">
        <v>45560</v>
      </c>
      <c r="AJ97" s="1" t="s">
        <v>7449</v>
      </c>
      <c r="AK97" s="7">
        <v>45560</v>
      </c>
      <c r="AL97" s="1" t="s">
        <v>7449</v>
      </c>
    </row>
    <row r="98" spans="1:38" s="20" customFormat="1" x14ac:dyDescent="0.25">
      <c r="A98" s="14">
        <v>97</v>
      </c>
      <c r="B98" s="14" t="str">
        <f>_xlfn.CONCAT(AE98,"-",VLOOKUP(AE98,t_objeto!B:D,3,FALSE),"-",A98)</f>
        <v>RRMM-PERCCO-97</v>
      </c>
      <c r="C98" s="22" t="str">
        <f t="shared" si="19"/>
        <v>LAMINA_LISA__ACERO_ROLADA EN CALIENTE_3'X8'_24</v>
      </c>
      <c r="D98" s="14" t="s">
        <v>7407</v>
      </c>
      <c r="E98" s="14" t="s">
        <v>7380</v>
      </c>
      <c r="F98" s="21" t="s">
        <v>7386</v>
      </c>
      <c r="G98" s="22" t="s">
        <v>7382</v>
      </c>
      <c r="H98" s="14">
        <v>24</v>
      </c>
      <c r="I98" s="16">
        <v>0.61</v>
      </c>
      <c r="J98" s="16">
        <f t="shared" si="10"/>
        <v>2.4015748031496063E-2</v>
      </c>
      <c r="K98" s="16">
        <v>4.7889999999999997</v>
      </c>
      <c r="L98" s="23"/>
      <c r="M98" s="23"/>
      <c r="N98" s="23"/>
      <c r="O98" s="23"/>
      <c r="P98" s="23"/>
      <c r="Q98" s="19"/>
      <c r="R98" s="17">
        <v>3</v>
      </c>
      <c r="S98" s="17">
        <v>8</v>
      </c>
      <c r="T98" s="16">
        <f t="shared" si="11"/>
        <v>2438.3999999999996</v>
      </c>
      <c r="U98" s="16">
        <f t="shared" si="12"/>
        <v>914.4</v>
      </c>
      <c r="V98" s="18">
        <f t="shared" si="13"/>
        <v>2229672.9599999995</v>
      </c>
      <c r="W98" s="18">
        <f t="shared" si="14"/>
        <v>2.2296729599999994</v>
      </c>
      <c r="X98" s="18">
        <f t="shared" si="15"/>
        <v>10.677903805439996</v>
      </c>
      <c r="Y98" s="24">
        <v>35</v>
      </c>
      <c r="Z98" s="24">
        <f t="shared" si="16"/>
        <v>373.72663319039987</v>
      </c>
      <c r="AA98" s="16">
        <v>40</v>
      </c>
      <c r="AB98" s="16">
        <f t="shared" si="17"/>
        <v>2358.3999999999996</v>
      </c>
      <c r="AC98" s="16">
        <f t="shared" si="17"/>
        <v>834.4</v>
      </c>
      <c r="AD98" s="19">
        <f t="shared" si="18"/>
        <v>1967848.9599999997</v>
      </c>
      <c r="AE98" s="1" t="s">
        <v>7456</v>
      </c>
      <c r="AF98" s="1" t="str">
        <f>VLOOKUP(AE98,t_objeto!B:C,2,FALSE)</f>
        <v>RAW_MATERIAL</v>
      </c>
      <c r="AG98" s="1">
        <v>8</v>
      </c>
      <c r="AH98" s="1" t="str">
        <f>VLOOKUP(AG98,t_entry_status!A:AE,2,FALSE)</f>
        <v>PENDING</v>
      </c>
      <c r="AI98" s="7">
        <v>45560</v>
      </c>
      <c r="AJ98" s="1" t="s">
        <v>7449</v>
      </c>
      <c r="AK98" s="7">
        <v>45560</v>
      </c>
      <c r="AL98" s="1" t="s">
        <v>7449</v>
      </c>
    </row>
    <row r="99" spans="1:38" s="20" customFormat="1" x14ac:dyDescent="0.25">
      <c r="A99" s="14">
        <v>98</v>
      </c>
      <c r="B99" s="14" t="str">
        <f>_xlfn.CONCAT(AE99,"-",VLOOKUP(AE99,t_objeto!B:D,3,FALSE),"-",A99)</f>
        <v>RRMM-PERCCO-98</v>
      </c>
      <c r="C99" s="22" t="str">
        <f t="shared" si="19"/>
        <v>LAMINA_LISA__ACERO_ROLADA EN CALIENTE_3'X8'_25</v>
      </c>
      <c r="D99" s="14" t="s">
        <v>7407</v>
      </c>
      <c r="E99" s="14" t="s">
        <v>7380</v>
      </c>
      <c r="F99" s="21" t="s">
        <v>7386</v>
      </c>
      <c r="G99" s="22" t="s">
        <v>7382</v>
      </c>
      <c r="H99" s="14">
        <v>25</v>
      </c>
      <c r="I99" s="16">
        <v>0.53</v>
      </c>
      <c r="J99" s="16">
        <f t="shared" si="10"/>
        <v>2.0866141732283468E-2</v>
      </c>
      <c r="K99" s="16">
        <v>4.1609999999999996</v>
      </c>
      <c r="L99" s="23"/>
      <c r="M99" s="23"/>
      <c r="N99" s="23"/>
      <c r="O99" s="23"/>
      <c r="P99" s="23"/>
      <c r="Q99" s="19"/>
      <c r="R99" s="17">
        <v>3</v>
      </c>
      <c r="S99" s="17">
        <v>8</v>
      </c>
      <c r="T99" s="16">
        <f t="shared" si="11"/>
        <v>2438.3999999999996</v>
      </c>
      <c r="U99" s="16">
        <f t="shared" si="12"/>
        <v>914.4</v>
      </c>
      <c r="V99" s="18">
        <f t="shared" si="13"/>
        <v>2229672.9599999995</v>
      </c>
      <c r="W99" s="18">
        <f t="shared" si="14"/>
        <v>2.2296729599999994</v>
      </c>
      <c r="X99" s="18">
        <f t="shared" si="15"/>
        <v>9.2776691865599972</v>
      </c>
      <c r="Y99" s="24">
        <v>35</v>
      </c>
      <c r="Z99" s="24">
        <f t="shared" si="16"/>
        <v>324.71842152959988</v>
      </c>
      <c r="AA99" s="16">
        <v>41</v>
      </c>
      <c r="AB99" s="16">
        <f t="shared" si="17"/>
        <v>2356.3999999999996</v>
      </c>
      <c r="AC99" s="16">
        <f t="shared" si="17"/>
        <v>832.4</v>
      </c>
      <c r="AD99" s="19">
        <f t="shared" si="18"/>
        <v>1961467.3599999996</v>
      </c>
      <c r="AE99" s="1" t="s">
        <v>7456</v>
      </c>
      <c r="AF99" s="1" t="str">
        <f>VLOOKUP(AE99,t_objeto!B:C,2,FALSE)</f>
        <v>RAW_MATERIAL</v>
      </c>
      <c r="AG99" s="1">
        <v>8</v>
      </c>
      <c r="AH99" s="1" t="str">
        <f>VLOOKUP(AG99,t_entry_status!A:AE,2,FALSE)</f>
        <v>PENDING</v>
      </c>
      <c r="AI99" s="7">
        <v>45560</v>
      </c>
      <c r="AJ99" s="1" t="s">
        <v>7449</v>
      </c>
      <c r="AK99" s="7">
        <v>45560</v>
      </c>
      <c r="AL99" s="1" t="s">
        <v>7449</v>
      </c>
    </row>
    <row r="100" spans="1:38" s="20" customFormat="1" x14ac:dyDescent="0.25">
      <c r="A100" s="14">
        <v>99</v>
      </c>
      <c r="B100" s="14" t="str">
        <f>_xlfn.CONCAT(AE100,"-",VLOOKUP(AE100,t_objeto!B:D,3,FALSE),"-",A100)</f>
        <v>RRMM-PERCCO-99</v>
      </c>
      <c r="C100" s="22" t="str">
        <f t="shared" si="19"/>
        <v>LAMINA_LISA__ACERO_ROLADA EN CALIENTE_3'X8'_26</v>
      </c>
      <c r="D100" s="14" t="s">
        <v>7407</v>
      </c>
      <c r="E100" s="14" t="s">
        <v>7380</v>
      </c>
      <c r="F100" s="21" t="s">
        <v>7386</v>
      </c>
      <c r="G100" s="22" t="s">
        <v>7382</v>
      </c>
      <c r="H100" s="14">
        <v>26</v>
      </c>
      <c r="I100" s="16">
        <v>0.45</v>
      </c>
      <c r="J100" s="16">
        <f t="shared" si="10"/>
        <v>1.7716535433070866E-2</v>
      </c>
      <c r="K100" s="16">
        <v>3.5329999999999999</v>
      </c>
      <c r="L100" s="23"/>
      <c r="M100" s="23"/>
      <c r="N100" s="23"/>
      <c r="O100" s="23"/>
      <c r="P100" s="23"/>
      <c r="Q100" s="19"/>
      <c r="R100" s="17">
        <v>3</v>
      </c>
      <c r="S100" s="17">
        <v>8</v>
      </c>
      <c r="T100" s="16">
        <f t="shared" si="11"/>
        <v>2438.3999999999996</v>
      </c>
      <c r="U100" s="16">
        <f t="shared" si="12"/>
        <v>914.4</v>
      </c>
      <c r="V100" s="18">
        <f t="shared" si="13"/>
        <v>2229672.9599999995</v>
      </c>
      <c r="W100" s="18">
        <f t="shared" si="14"/>
        <v>2.2296729599999994</v>
      </c>
      <c r="X100" s="18">
        <f t="shared" si="15"/>
        <v>7.8774345676799973</v>
      </c>
      <c r="Y100" s="24">
        <v>35</v>
      </c>
      <c r="Z100" s="24">
        <f t="shared" si="16"/>
        <v>275.71020986879989</v>
      </c>
      <c r="AA100" s="16">
        <v>42</v>
      </c>
      <c r="AB100" s="16">
        <f t="shared" si="17"/>
        <v>2354.3999999999996</v>
      </c>
      <c r="AC100" s="16">
        <f t="shared" si="17"/>
        <v>830.4</v>
      </c>
      <c r="AD100" s="19">
        <f t="shared" si="18"/>
        <v>1955093.7599999995</v>
      </c>
      <c r="AE100" s="1" t="s">
        <v>7456</v>
      </c>
      <c r="AF100" s="1" t="str">
        <f>VLOOKUP(AE100,t_objeto!B:C,2,FALSE)</f>
        <v>RAW_MATERIAL</v>
      </c>
      <c r="AG100" s="1">
        <v>8</v>
      </c>
      <c r="AH100" s="1" t="str">
        <f>VLOOKUP(AG100,t_entry_status!A:AE,2,FALSE)</f>
        <v>PENDING</v>
      </c>
      <c r="AI100" s="7">
        <v>45560</v>
      </c>
      <c r="AJ100" s="1" t="s">
        <v>7449</v>
      </c>
      <c r="AK100" s="7">
        <v>45560</v>
      </c>
      <c r="AL100" s="1" t="s">
        <v>7449</v>
      </c>
    </row>
    <row r="101" spans="1:38" s="20" customFormat="1" x14ac:dyDescent="0.25">
      <c r="A101" s="14">
        <v>100</v>
      </c>
      <c r="B101" s="14" t="str">
        <f>_xlfn.CONCAT(AE101,"-",VLOOKUP(AE101,t_objeto!B:D,3,FALSE),"-",A101)</f>
        <v>RRMM-PERCCO-100</v>
      </c>
      <c r="C101" s="22" t="str">
        <f t="shared" si="19"/>
        <v>LAMINA_LISA__ACERO_ROLADA EN CALIENTE_3'X8'_27</v>
      </c>
      <c r="D101" s="14" t="s">
        <v>7407</v>
      </c>
      <c r="E101" s="14" t="s">
        <v>7380</v>
      </c>
      <c r="F101" s="21" t="s">
        <v>7386</v>
      </c>
      <c r="G101" s="22" t="s">
        <v>7382</v>
      </c>
      <c r="H101" s="14">
        <v>27</v>
      </c>
      <c r="I101" s="16">
        <v>0.42</v>
      </c>
      <c r="J101" s="16">
        <f t="shared" si="10"/>
        <v>1.6535433070866142E-2</v>
      </c>
      <c r="K101" s="16">
        <v>3.2970000000000002</v>
      </c>
      <c r="L101" s="23"/>
      <c r="M101" s="23"/>
      <c r="N101" s="23"/>
      <c r="O101" s="23"/>
      <c r="P101" s="23"/>
      <c r="Q101" s="19"/>
      <c r="R101" s="17">
        <v>3</v>
      </c>
      <c r="S101" s="17">
        <v>8</v>
      </c>
      <c r="T101" s="16">
        <f t="shared" si="11"/>
        <v>2438.3999999999996</v>
      </c>
      <c r="U101" s="16">
        <f t="shared" si="12"/>
        <v>914.4</v>
      </c>
      <c r="V101" s="18">
        <f t="shared" si="13"/>
        <v>2229672.9599999995</v>
      </c>
      <c r="W101" s="18">
        <f t="shared" si="14"/>
        <v>2.2296729599999994</v>
      </c>
      <c r="X101" s="18">
        <f t="shared" si="15"/>
        <v>7.3512317491199983</v>
      </c>
      <c r="Y101" s="24">
        <v>35</v>
      </c>
      <c r="Z101" s="24">
        <f t="shared" si="16"/>
        <v>257.29311121919994</v>
      </c>
      <c r="AA101" s="16">
        <v>43</v>
      </c>
      <c r="AB101" s="16">
        <f t="shared" si="17"/>
        <v>2352.3999999999996</v>
      </c>
      <c r="AC101" s="16">
        <f t="shared" si="17"/>
        <v>828.4</v>
      </c>
      <c r="AD101" s="19">
        <f t="shared" si="18"/>
        <v>1948728.1599999997</v>
      </c>
      <c r="AE101" s="1" t="s">
        <v>7456</v>
      </c>
      <c r="AF101" s="1" t="str">
        <f>VLOOKUP(AE101,t_objeto!B:C,2,FALSE)</f>
        <v>RAW_MATERIAL</v>
      </c>
      <c r="AG101" s="1">
        <v>8</v>
      </c>
      <c r="AH101" s="1" t="str">
        <f>VLOOKUP(AG101,t_entry_status!A:AE,2,FALSE)</f>
        <v>PENDING</v>
      </c>
      <c r="AI101" s="7">
        <v>45560</v>
      </c>
      <c r="AJ101" s="1" t="s">
        <v>7449</v>
      </c>
      <c r="AK101" s="7">
        <v>45560</v>
      </c>
      <c r="AL101" s="1" t="s">
        <v>7449</v>
      </c>
    </row>
    <row r="102" spans="1:38" s="20" customFormat="1" x14ac:dyDescent="0.25">
      <c r="A102" s="14">
        <v>101</v>
      </c>
      <c r="B102" s="14" t="str">
        <f>_xlfn.CONCAT(AE102,"-",VLOOKUP(AE102,t_objeto!B:D,3,FALSE),"-",A102)</f>
        <v>RRMM-PERCCO-101</v>
      </c>
      <c r="C102" s="22" t="str">
        <f t="shared" si="19"/>
        <v>LAMINA_LISA__ACERO_ROLADA EN CALIENTE_3'X8'_28</v>
      </c>
      <c r="D102" s="14" t="s">
        <v>7407</v>
      </c>
      <c r="E102" s="14" t="s">
        <v>7380</v>
      </c>
      <c r="F102" s="21" t="s">
        <v>7386</v>
      </c>
      <c r="G102" s="22" t="s">
        <v>7382</v>
      </c>
      <c r="H102" s="14">
        <v>28</v>
      </c>
      <c r="I102" s="16">
        <v>0.38</v>
      </c>
      <c r="J102" s="16">
        <f t="shared" si="10"/>
        <v>1.4960629921259844E-2</v>
      </c>
      <c r="K102" s="16">
        <v>2.9830000000000001</v>
      </c>
      <c r="L102" s="23"/>
      <c r="M102" s="23"/>
      <c r="N102" s="23"/>
      <c r="O102" s="23"/>
      <c r="P102" s="23"/>
      <c r="Q102" s="19"/>
      <c r="R102" s="17">
        <v>3</v>
      </c>
      <c r="S102" s="17">
        <v>8</v>
      </c>
      <c r="T102" s="16">
        <f t="shared" si="11"/>
        <v>2438.3999999999996</v>
      </c>
      <c r="U102" s="16">
        <f t="shared" si="12"/>
        <v>914.4</v>
      </c>
      <c r="V102" s="18">
        <f t="shared" si="13"/>
        <v>2229672.9599999995</v>
      </c>
      <c r="W102" s="18">
        <f t="shared" si="14"/>
        <v>2.2296729599999994</v>
      </c>
      <c r="X102" s="18">
        <f t="shared" si="15"/>
        <v>6.6511144396799979</v>
      </c>
      <c r="Y102" s="24">
        <v>35</v>
      </c>
      <c r="Z102" s="24">
        <f t="shared" si="16"/>
        <v>232.78900538879992</v>
      </c>
      <c r="AA102" s="16">
        <v>44</v>
      </c>
      <c r="AB102" s="16">
        <f t="shared" si="17"/>
        <v>2350.3999999999996</v>
      </c>
      <c r="AC102" s="16">
        <f t="shared" si="17"/>
        <v>826.4</v>
      </c>
      <c r="AD102" s="19">
        <f t="shared" si="18"/>
        <v>1942370.5599999996</v>
      </c>
      <c r="AE102" s="1" t="s">
        <v>7456</v>
      </c>
      <c r="AF102" s="1" t="str">
        <f>VLOOKUP(AE102,t_objeto!B:C,2,FALSE)</f>
        <v>RAW_MATERIAL</v>
      </c>
      <c r="AG102" s="1">
        <v>8</v>
      </c>
      <c r="AH102" s="1" t="str">
        <f>VLOOKUP(AG102,t_entry_status!A:AE,2,FALSE)</f>
        <v>PENDING</v>
      </c>
      <c r="AI102" s="7">
        <v>45560</v>
      </c>
      <c r="AJ102" s="1" t="s">
        <v>7449</v>
      </c>
      <c r="AK102" s="7">
        <v>45560</v>
      </c>
      <c r="AL102" s="1" t="s">
        <v>7449</v>
      </c>
    </row>
    <row r="103" spans="1:38" s="20" customFormat="1" x14ac:dyDescent="0.25">
      <c r="A103" s="14">
        <v>102</v>
      </c>
      <c r="B103" s="14" t="str">
        <f>_xlfn.CONCAT(AE103,"-",VLOOKUP(AE103,t_objeto!B:D,3,FALSE),"-",A103)</f>
        <v>RRMM-PERCCO-102</v>
      </c>
      <c r="C103" s="22" t="str">
        <f t="shared" si="19"/>
        <v>LAMINA_LISA__ACERO_ROLADA EN CALIENTE_3'X8'_29</v>
      </c>
      <c r="D103" s="14" t="s">
        <v>7407</v>
      </c>
      <c r="E103" s="14" t="s">
        <v>7380</v>
      </c>
      <c r="F103" s="21" t="s">
        <v>7386</v>
      </c>
      <c r="G103" s="22" t="s">
        <v>7382</v>
      </c>
      <c r="H103" s="14">
        <v>29</v>
      </c>
      <c r="I103" s="16">
        <v>0.34</v>
      </c>
      <c r="J103" s="16">
        <f t="shared" si="10"/>
        <v>1.3385826771653545E-2</v>
      </c>
      <c r="K103" s="16">
        <v>2.669</v>
      </c>
      <c r="L103" s="23"/>
      <c r="M103" s="23"/>
      <c r="N103" s="23"/>
      <c r="O103" s="23"/>
      <c r="P103" s="23"/>
      <c r="Q103" s="19"/>
      <c r="R103" s="17">
        <v>3</v>
      </c>
      <c r="S103" s="17">
        <v>8</v>
      </c>
      <c r="T103" s="16">
        <f t="shared" si="11"/>
        <v>2438.3999999999996</v>
      </c>
      <c r="U103" s="16">
        <f t="shared" si="12"/>
        <v>914.4</v>
      </c>
      <c r="V103" s="18">
        <f t="shared" si="13"/>
        <v>2229672.9599999995</v>
      </c>
      <c r="W103" s="18">
        <f t="shared" si="14"/>
        <v>2.2296729599999994</v>
      </c>
      <c r="X103" s="18">
        <f t="shared" si="15"/>
        <v>5.9509971302399984</v>
      </c>
      <c r="Y103" s="24">
        <v>35</v>
      </c>
      <c r="Z103" s="24">
        <f t="shared" si="16"/>
        <v>208.28489955839996</v>
      </c>
      <c r="AA103" s="16">
        <v>45</v>
      </c>
      <c r="AB103" s="16">
        <f t="shared" si="17"/>
        <v>2348.3999999999996</v>
      </c>
      <c r="AC103" s="16">
        <f t="shared" si="17"/>
        <v>824.4</v>
      </c>
      <c r="AD103" s="19">
        <f t="shared" si="18"/>
        <v>1936020.9599999997</v>
      </c>
      <c r="AE103" s="1" t="s">
        <v>7456</v>
      </c>
      <c r="AF103" s="1" t="str">
        <f>VLOOKUP(AE103,t_objeto!B:C,2,FALSE)</f>
        <v>RAW_MATERIAL</v>
      </c>
      <c r="AG103" s="1">
        <v>8</v>
      </c>
      <c r="AH103" s="1" t="str">
        <f>VLOOKUP(AG103,t_entry_status!A:AE,2,FALSE)</f>
        <v>PENDING</v>
      </c>
      <c r="AI103" s="7">
        <v>45560</v>
      </c>
      <c r="AJ103" s="1" t="s">
        <v>7449</v>
      </c>
      <c r="AK103" s="7">
        <v>45560</v>
      </c>
      <c r="AL103" s="1" t="s">
        <v>7449</v>
      </c>
    </row>
    <row r="104" spans="1:38" s="20" customFormat="1" x14ac:dyDescent="0.25">
      <c r="A104" s="14">
        <v>103</v>
      </c>
      <c r="B104" s="14" t="str">
        <f>_xlfn.CONCAT(AE104,"-",VLOOKUP(AE104,t_objeto!B:D,3,FALSE),"-",A104)</f>
        <v>RRMM-PERCCO-103</v>
      </c>
      <c r="C104" s="22" t="str">
        <f t="shared" si="19"/>
        <v>LAMINA_LISA__ACERO_ROLADA EN CALIENTE_3'X8'_30</v>
      </c>
      <c r="D104" s="14" t="s">
        <v>7407</v>
      </c>
      <c r="E104" s="14" t="s">
        <v>7380</v>
      </c>
      <c r="F104" s="21" t="s">
        <v>7386</v>
      </c>
      <c r="G104" s="22" t="s">
        <v>7382</v>
      </c>
      <c r="H104" s="14">
        <v>30</v>
      </c>
      <c r="I104" s="16">
        <v>0.3</v>
      </c>
      <c r="J104" s="16">
        <f t="shared" si="10"/>
        <v>1.1811023622047244E-2</v>
      </c>
      <c r="K104" s="16">
        <v>2.355</v>
      </c>
      <c r="L104" s="23"/>
      <c r="M104" s="23"/>
      <c r="N104" s="23"/>
      <c r="O104" s="23"/>
      <c r="P104" s="23"/>
      <c r="Q104" s="19"/>
      <c r="R104" s="17">
        <v>3</v>
      </c>
      <c r="S104" s="17">
        <v>8</v>
      </c>
      <c r="T104" s="16">
        <f t="shared" si="11"/>
        <v>2438.3999999999996</v>
      </c>
      <c r="U104" s="16">
        <f t="shared" si="12"/>
        <v>914.4</v>
      </c>
      <c r="V104" s="18">
        <f t="shared" si="13"/>
        <v>2229672.9599999995</v>
      </c>
      <c r="W104" s="18">
        <f t="shared" si="14"/>
        <v>2.2296729599999994</v>
      </c>
      <c r="X104" s="18">
        <f t="shared" si="15"/>
        <v>5.250879820799998</v>
      </c>
      <c r="Y104" s="24">
        <v>35</v>
      </c>
      <c r="Z104" s="24">
        <f t="shared" si="16"/>
        <v>183.78079372799994</v>
      </c>
      <c r="AA104" s="16">
        <v>46</v>
      </c>
      <c r="AB104" s="16">
        <f t="shared" si="17"/>
        <v>2346.3999999999996</v>
      </c>
      <c r="AC104" s="16">
        <f t="shared" si="17"/>
        <v>822.4</v>
      </c>
      <c r="AD104" s="19">
        <f t="shared" si="18"/>
        <v>1929679.3599999996</v>
      </c>
      <c r="AE104" s="1" t="s">
        <v>7456</v>
      </c>
      <c r="AF104" s="1" t="str">
        <f>VLOOKUP(AE104,t_objeto!B:C,2,FALSE)</f>
        <v>RAW_MATERIAL</v>
      </c>
      <c r="AG104" s="1">
        <v>8</v>
      </c>
      <c r="AH104" s="1" t="str">
        <f>VLOOKUP(AG104,t_entry_status!A:AE,2,FALSE)</f>
        <v>PENDING</v>
      </c>
      <c r="AI104" s="7">
        <v>45560</v>
      </c>
      <c r="AJ104" s="1" t="s">
        <v>7449</v>
      </c>
      <c r="AK104" s="7">
        <v>45560</v>
      </c>
      <c r="AL104" s="1" t="s">
        <v>7449</v>
      </c>
    </row>
    <row r="105" spans="1:38" s="20" customFormat="1" x14ac:dyDescent="0.25">
      <c r="A105" s="14">
        <v>104</v>
      </c>
      <c r="B105" s="14" t="str">
        <f>_xlfn.CONCAT(AE105,"-",VLOOKUP(AE105,t_objeto!B:D,3,FALSE),"-",A105)</f>
        <v>RRMM-PERCCO-104</v>
      </c>
      <c r="C105" s="22" t="str">
        <f t="shared" si="19"/>
        <v>PLACA__ACERO_ROLADA EN FRIO_3'X8'_1"</v>
      </c>
      <c r="D105" s="14" t="s">
        <v>7385</v>
      </c>
      <c r="E105" s="14" t="s">
        <v>7380</v>
      </c>
      <c r="F105" s="21" t="s">
        <v>7400</v>
      </c>
      <c r="G105" s="22" t="s">
        <v>7382</v>
      </c>
      <c r="H105" s="14" t="s">
        <v>7387</v>
      </c>
      <c r="I105" s="16">
        <v>25.4</v>
      </c>
      <c r="J105" s="16">
        <f t="shared" si="10"/>
        <v>1</v>
      </c>
      <c r="K105" s="16">
        <v>199.39</v>
      </c>
      <c r="L105" s="23"/>
      <c r="M105" s="23"/>
      <c r="N105" s="23"/>
      <c r="O105" s="23"/>
      <c r="P105" s="23"/>
      <c r="Q105" s="19"/>
      <c r="R105" s="17">
        <v>3</v>
      </c>
      <c r="S105" s="17">
        <v>8</v>
      </c>
      <c r="T105" s="16">
        <f t="shared" si="11"/>
        <v>2438.3999999999996</v>
      </c>
      <c r="U105" s="16">
        <f t="shared" si="12"/>
        <v>914.4</v>
      </c>
      <c r="V105" s="18">
        <f t="shared" si="13"/>
        <v>2229672.9599999995</v>
      </c>
      <c r="W105" s="18">
        <f t="shared" si="14"/>
        <v>2.2296729599999994</v>
      </c>
      <c r="X105" s="18">
        <f t="shared" si="15"/>
        <v>444.57449149439987</v>
      </c>
      <c r="Y105" s="24">
        <v>35</v>
      </c>
      <c r="Z105" s="24">
        <f t="shared" si="16"/>
        <v>15560.107202303996</v>
      </c>
      <c r="AA105" s="16">
        <v>8</v>
      </c>
      <c r="AB105" s="16">
        <f t="shared" si="17"/>
        <v>2422.3999999999996</v>
      </c>
      <c r="AC105" s="16">
        <f t="shared" si="17"/>
        <v>898.4</v>
      </c>
      <c r="AD105" s="19">
        <f t="shared" si="18"/>
        <v>2176284.1599999997</v>
      </c>
      <c r="AE105" s="1" t="s">
        <v>7456</v>
      </c>
      <c r="AF105" s="1" t="str">
        <f>VLOOKUP(AE105,t_objeto!B:C,2,FALSE)</f>
        <v>RAW_MATERIAL</v>
      </c>
      <c r="AG105" s="1">
        <v>8</v>
      </c>
      <c r="AH105" s="1" t="str">
        <f>VLOOKUP(AG105,t_entry_status!A:AE,2,FALSE)</f>
        <v>PENDING</v>
      </c>
      <c r="AI105" s="7">
        <v>45560</v>
      </c>
      <c r="AJ105" s="1" t="s">
        <v>7449</v>
      </c>
      <c r="AK105" s="7">
        <v>45560</v>
      </c>
      <c r="AL105" s="1" t="s">
        <v>7449</v>
      </c>
    </row>
    <row r="106" spans="1:38" s="20" customFormat="1" x14ac:dyDescent="0.25">
      <c r="A106" s="14">
        <v>105</v>
      </c>
      <c r="B106" s="14" t="str">
        <f>_xlfn.CONCAT(AE106,"-",VLOOKUP(AE106,t_objeto!B:D,3,FALSE),"-",A106)</f>
        <v>RRMM-PERCCO-105</v>
      </c>
      <c r="C106" s="22" t="str">
        <f t="shared" si="19"/>
        <v>PLACA__ACERO_ROLADA EN FRIO_3'X8'_7/8"</v>
      </c>
      <c r="D106" s="14" t="s">
        <v>7385</v>
      </c>
      <c r="E106" s="14" t="s">
        <v>7380</v>
      </c>
      <c r="F106" s="21" t="s">
        <v>7400</v>
      </c>
      <c r="G106" s="22" t="s">
        <v>7382</v>
      </c>
      <c r="H106" s="14" t="s">
        <v>7388</v>
      </c>
      <c r="I106" s="16">
        <v>22.22</v>
      </c>
      <c r="J106" s="16">
        <f t="shared" si="10"/>
        <v>0.87480314960629924</v>
      </c>
      <c r="K106" s="16">
        <v>174.42699999999999</v>
      </c>
      <c r="L106" s="23"/>
      <c r="M106" s="23"/>
      <c r="N106" s="23"/>
      <c r="O106" s="23"/>
      <c r="P106" s="23"/>
      <c r="Q106" s="19"/>
      <c r="R106" s="17">
        <v>3</v>
      </c>
      <c r="S106" s="17">
        <v>8</v>
      </c>
      <c r="T106" s="16">
        <f t="shared" si="11"/>
        <v>2438.3999999999996</v>
      </c>
      <c r="U106" s="16">
        <f t="shared" si="12"/>
        <v>914.4</v>
      </c>
      <c r="V106" s="18">
        <f t="shared" si="13"/>
        <v>2229672.9599999995</v>
      </c>
      <c r="W106" s="18">
        <f t="shared" si="14"/>
        <v>2.2296729599999994</v>
      </c>
      <c r="X106" s="18">
        <f t="shared" si="15"/>
        <v>388.91516539391989</v>
      </c>
      <c r="Y106" s="24">
        <v>35</v>
      </c>
      <c r="Z106" s="24">
        <f t="shared" si="16"/>
        <v>13612.030788787197</v>
      </c>
      <c r="AA106" s="16">
        <v>9</v>
      </c>
      <c r="AB106" s="16">
        <f t="shared" si="17"/>
        <v>2420.3999999999996</v>
      </c>
      <c r="AC106" s="16">
        <f t="shared" si="17"/>
        <v>896.4</v>
      </c>
      <c r="AD106" s="19">
        <f t="shared" si="18"/>
        <v>2169646.5599999996</v>
      </c>
      <c r="AE106" s="1" t="s">
        <v>7456</v>
      </c>
      <c r="AF106" s="1" t="str">
        <f>VLOOKUP(AE106,t_objeto!B:C,2,FALSE)</f>
        <v>RAW_MATERIAL</v>
      </c>
      <c r="AG106" s="1">
        <v>8</v>
      </c>
      <c r="AH106" s="1" t="str">
        <f>VLOOKUP(AG106,t_entry_status!A:AE,2,FALSE)</f>
        <v>PENDING</v>
      </c>
      <c r="AI106" s="7">
        <v>45560</v>
      </c>
      <c r="AJ106" s="1" t="s">
        <v>7449</v>
      </c>
      <c r="AK106" s="7">
        <v>45560</v>
      </c>
      <c r="AL106" s="1" t="s">
        <v>7449</v>
      </c>
    </row>
    <row r="107" spans="1:38" s="20" customFormat="1" x14ac:dyDescent="0.25">
      <c r="A107" s="14">
        <v>106</v>
      </c>
      <c r="B107" s="14" t="str">
        <f>_xlfn.CONCAT(AE107,"-",VLOOKUP(AE107,t_objeto!B:D,3,FALSE),"-",A107)</f>
        <v>RRMM-PERCCO-106</v>
      </c>
      <c r="C107" s="22" t="str">
        <f t="shared" si="19"/>
        <v>PLACA__ACERO_ROLADA EN FRIO_3'X8'_3/4"</v>
      </c>
      <c r="D107" s="14" t="s">
        <v>7385</v>
      </c>
      <c r="E107" s="14" t="s">
        <v>7380</v>
      </c>
      <c r="F107" s="21" t="s">
        <v>7400</v>
      </c>
      <c r="G107" s="22" t="s">
        <v>7382</v>
      </c>
      <c r="H107" s="14" t="s">
        <v>7389</v>
      </c>
      <c r="I107" s="16">
        <v>19.05</v>
      </c>
      <c r="J107" s="16">
        <f t="shared" si="10"/>
        <v>0.75000000000000011</v>
      </c>
      <c r="K107" s="16">
        <v>149.54300000000001</v>
      </c>
      <c r="L107" s="23"/>
      <c r="M107" s="23"/>
      <c r="N107" s="23"/>
      <c r="O107" s="23"/>
      <c r="P107" s="23"/>
      <c r="Q107" s="19"/>
      <c r="R107" s="17">
        <v>3</v>
      </c>
      <c r="S107" s="17">
        <v>8</v>
      </c>
      <c r="T107" s="16">
        <f t="shared" si="11"/>
        <v>2438.3999999999996</v>
      </c>
      <c r="U107" s="16">
        <f t="shared" si="12"/>
        <v>914.4</v>
      </c>
      <c r="V107" s="18">
        <f t="shared" si="13"/>
        <v>2229672.9599999995</v>
      </c>
      <c r="W107" s="18">
        <f t="shared" si="14"/>
        <v>2.2296729599999994</v>
      </c>
      <c r="X107" s="18">
        <f t="shared" si="15"/>
        <v>333.4319834572799</v>
      </c>
      <c r="Y107" s="24">
        <v>35</v>
      </c>
      <c r="Z107" s="24">
        <f t="shared" si="16"/>
        <v>11670.119421004796</v>
      </c>
      <c r="AA107" s="16">
        <v>10</v>
      </c>
      <c r="AB107" s="16">
        <f t="shared" si="17"/>
        <v>2418.3999999999996</v>
      </c>
      <c r="AC107" s="16">
        <f t="shared" si="17"/>
        <v>894.4</v>
      </c>
      <c r="AD107" s="19">
        <f t="shared" si="18"/>
        <v>2163016.9599999995</v>
      </c>
      <c r="AE107" s="1" t="s">
        <v>7456</v>
      </c>
      <c r="AF107" s="1" t="str">
        <f>VLOOKUP(AE107,t_objeto!B:C,2,FALSE)</f>
        <v>RAW_MATERIAL</v>
      </c>
      <c r="AG107" s="1">
        <v>8</v>
      </c>
      <c r="AH107" s="1" t="str">
        <f>VLOOKUP(AG107,t_entry_status!A:AE,2,FALSE)</f>
        <v>PENDING</v>
      </c>
      <c r="AI107" s="7">
        <v>45560</v>
      </c>
      <c r="AJ107" s="1" t="s">
        <v>7449</v>
      </c>
      <c r="AK107" s="7">
        <v>45560</v>
      </c>
      <c r="AL107" s="1" t="s">
        <v>7449</v>
      </c>
    </row>
    <row r="108" spans="1:38" s="20" customFormat="1" x14ac:dyDescent="0.25">
      <c r="A108" s="14">
        <v>107</v>
      </c>
      <c r="B108" s="14" t="str">
        <f>_xlfn.CONCAT(AE108,"-",VLOOKUP(AE108,t_objeto!B:D,3,FALSE),"-",A108)</f>
        <v>RRMM-PERCCO-107</v>
      </c>
      <c r="C108" s="22" t="str">
        <f t="shared" si="19"/>
        <v>PLACA__ACERO_ROLADA EN FRIO_3'X8'_11/16"</v>
      </c>
      <c r="D108" s="14" t="s">
        <v>7385</v>
      </c>
      <c r="E108" s="14" t="s">
        <v>7380</v>
      </c>
      <c r="F108" s="21" t="s">
        <v>7400</v>
      </c>
      <c r="G108" s="22" t="s">
        <v>7382</v>
      </c>
      <c r="H108" s="14" t="s">
        <v>7390</v>
      </c>
      <c r="I108" s="16">
        <v>17.46</v>
      </c>
      <c r="J108" s="16">
        <f t="shared" si="10"/>
        <v>0.68740157480314967</v>
      </c>
      <c r="K108" s="16">
        <v>137.06100000000001</v>
      </c>
      <c r="L108" s="23"/>
      <c r="M108" s="23"/>
      <c r="N108" s="23"/>
      <c r="O108" s="23"/>
      <c r="P108" s="23"/>
      <c r="Q108" s="19"/>
      <c r="R108" s="17">
        <v>3</v>
      </c>
      <c r="S108" s="17">
        <v>8</v>
      </c>
      <c r="T108" s="16">
        <f t="shared" si="11"/>
        <v>2438.3999999999996</v>
      </c>
      <c r="U108" s="16">
        <f t="shared" si="12"/>
        <v>914.4</v>
      </c>
      <c r="V108" s="18">
        <f t="shared" si="13"/>
        <v>2229672.9599999995</v>
      </c>
      <c r="W108" s="18">
        <f t="shared" si="14"/>
        <v>2.2296729599999994</v>
      </c>
      <c r="X108" s="18">
        <f t="shared" si="15"/>
        <v>305.60120557055996</v>
      </c>
      <c r="Y108" s="24">
        <v>35</v>
      </c>
      <c r="Z108" s="24">
        <f t="shared" si="16"/>
        <v>10696.042194969599</v>
      </c>
      <c r="AA108" s="16">
        <v>11</v>
      </c>
      <c r="AB108" s="16">
        <f t="shared" si="17"/>
        <v>2416.3999999999996</v>
      </c>
      <c r="AC108" s="16">
        <f t="shared" si="17"/>
        <v>892.4</v>
      </c>
      <c r="AD108" s="19">
        <f t="shared" si="18"/>
        <v>2156395.3599999994</v>
      </c>
      <c r="AE108" s="1" t="s">
        <v>7456</v>
      </c>
      <c r="AF108" s="1" t="str">
        <f>VLOOKUP(AE108,t_objeto!B:C,2,FALSE)</f>
        <v>RAW_MATERIAL</v>
      </c>
      <c r="AG108" s="1">
        <v>8</v>
      </c>
      <c r="AH108" s="1" t="str">
        <f>VLOOKUP(AG108,t_entry_status!A:AE,2,FALSE)</f>
        <v>PENDING</v>
      </c>
      <c r="AI108" s="7">
        <v>45560</v>
      </c>
      <c r="AJ108" s="1" t="s">
        <v>7449</v>
      </c>
      <c r="AK108" s="7">
        <v>45560</v>
      </c>
      <c r="AL108" s="1" t="s">
        <v>7449</v>
      </c>
    </row>
    <row r="109" spans="1:38" s="20" customFormat="1" x14ac:dyDescent="0.25">
      <c r="A109" s="14">
        <v>108</v>
      </c>
      <c r="B109" s="14" t="str">
        <f>_xlfn.CONCAT(AE109,"-",VLOOKUP(AE109,t_objeto!B:D,3,FALSE),"-",A109)</f>
        <v>RRMM-PERCCO-108</v>
      </c>
      <c r="C109" s="22" t="str">
        <f t="shared" si="19"/>
        <v>PLACA__ACERO_ROLADA EN FRIO_3'X8'_5/8"</v>
      </c>
      <c r="D109" s="14" t="s">
        <v>7385</v>
      </c>
      <c r="E109" s="14" t="s">
        <v>7380</v>
      </c>
      <c r="F109" s="21" t="s">
        <v>7400</v>
      </c>
      <c r="G109" s="22" t="s">
        <v>7382</v>
      </c>
      <c r="H109" s="14" t="s">
        <v>7391</v>
      </c>
      <c r="I109" s="16">
        <v>15.87</v>
      </c>
      <c r="J109" s="16">
        <f t="shared" si="10"/>
        <v>0.62480314960629924</v>
      </c>
      <c r="K109" s="16">
        <v>124.58</v>
      </c>
      <c r="L109" s="23"/>
      <c r="M109" s="23"/>
      <c r="N109" s="23"/>
      <c r="O109" s="23"/>
      <c r="P109" s="23"/>
      <c r="Q109" s="19"/>
      <c r="R109" s="17">
        <v>3</v>
      </c>
      <c r="S109" s="17">
        <v>8</v>
      </c>
      <c r="T109" s="16">
        <f t="shared" si="11"/>
        <v>2438.3999999999996</v>
      </c>
      <c r="U109" s="16">
        <f t="shared" si="12"/>
        <v>914.4</v>
      </c>
      <c r="V109" s="18">
        <f t="shared" si="13"/>
        <v>2229672.9599999995</v>
      </c>
      <c r="W109" s="18">
        <f t="shared" si="14"/>
        <v>2.2296729599999994</v>
      </c>
      <c r="X109" s="18">
        <f t="shared" si="15"/>
        <v>277.77265735679993</v>
      </c>
      <c r="Y109" s="24">
        <v>35</v>
      </c>
      <c r="Z109" s="24">
        <f t="shared" si="16"/>
        <v>9722.0430074879969</v>
      </c>
      <c r="AA109" s="16">
        <v>12</v>
      </c>
      <c r="AB109" s="16">
        <f t="shared" si="17"/>
        <v>2414.3999999999996</v>
      </c>
      <c r="AC109" s="16">
        <f t="shared" si="17"/>
        <v>890.4</v>
      </c>
      <c r="AD109" s="19">
        <f t="shared" si="18"/>
        <v>2149781.7599999998</v>
      </c>
      <c r="AE109" s="1" t="s">
        <v>7456</v>
      </c>
      <c r="AF109" s="1" t="str">
        <f>VLOOKUP(AE109,t_objeto!B:C,2,FALSE)</f>
        <v>RAW_MATERIAL</v>
      </c>
      <c r="AG109" s="1">
        <v>8</v>
      </c>
      <c r="AH109" s="1" t="str">
        <f>VLOOKUP(AG109,t_entry_status!A:AE,2,FALSE)</f>
        <v>PENDING</v>
      </c>
      <c r="AI109" s="7">
        <v>45560</v>
      </c>
      <c r="AJ109" s="1" t="s">
        <v>7449</v>
      </c>
      <c r="AK109" s="7">
        <v>45560</v>
      </c>
      <c r="AL109" s="1" t="s">
        <v>7449</v>
      </c>
    </row>
    <row r="110" spans="1:38" s="20" customFormat="1" x14ac:dyDescent="0.25">
      <c r="A110" s="14">
        <v>109</v>
      </c>
      <c r="B110" s="14" t="str">
        <f>_xlfn.CONCAT(AE110,"-",VLOOKUP(AE110,t_objeto!B:D,3,FALSE),"-",A110)</f>
        <v>RRMM-PERCCO-109</v>
      </c>
      <c r="C110" s="22" t="str">
        <f t="shared" si="19"/>
        <v>PLACA__ACERO_ROLADA EN FRIO_3'X8'_9/16"</v>
      </c>
      <c r="D110" s="14" t="s">
        <v>7385</v>
      </c>
      <c r="E110" s="14" t="s">
        <v>7380</v>
      </c>
      <c r="F110" s="21" t="s">
        <v>7400</v>
      </c>
      <c r="G110" s="22" t="s">
        <v>7382</v>
      </c>
      <c r="H110" s="14" t="s">
        <v>7392</v>
      </c>
      <c r="I110" s="16">
        <v>14.28</v>
      </c>
      <c r="J110" s="16">
        <f t="shared" si="10"/>
        <v>0.5622047244094488</v>
      </c>
      <c r="K110" s="16">
        <v>112.098</v>
      </c>
      <c r="L110" s="23"/>
      <c r="M110" s="23"/>
      <c r="N110" s="23"/>
      <c r="O110" s="23"/>
      <c r="P110" s="23"/>
      <c r="Q110" s="19"/>
      <c r="R110" s="17">
        <v>3</v>
      </c>
      <c r="S110" s="17">
        <v>8</v>
      </c>
      <c r="T110" s="16">
        <f t="shared" si="11"/>
        <v>2438.3999999999996</v>
      </c>
      <c r="U110" s="16">
        <f t="shared" si="12"/>
        <v>914.4</v>
      </c>
      <c r="V110" s="18">
        <f t="shared" si="13"/>
        <v>2229672.9599999995</v>
      </c>
      <c r="W110" s="18">
        <f t="shared" si="14"/>
        <v>2.2296729599999994</v>
      </c>
      <c r="X110" s="18">
        <f t="shared" si="15"/>
        <v>249.94187947007993</v>
      </c>
      <c r="Y110" s="24">
        <v>35</v>
      </c>
      <c r="Z110" s="24">
        <f t="shared" si="16"/>
        <v>8747.9657814527982</v>
      </c>
      <c r="AA110" s="16">
        <v>13</v>
      </c>
      <c r="AB110" s="16">
        <f t="shared" si="17"/>
        <v>2412.3999999999996</v>
      </c>
      <c r="AC110" s="16">
        <f t="shared" si="17"/>
        <v>888.4</v>
      </c>
      <c r="AD110" s="19">
        <f t="shared" si="18"/>
        <v>2143176.1599999997</v>
      </c>
      <c r="AE110" s="1" t="s">
        <v>7456</v>
      </c>
      <c r="AF110" s="1" t="str">
        <f>VLOOKUP(AE110,t_objeto!B:C,2,FALSE)</f>
        <v>RAW_MATERIAL</v>
      </c>
      <c r="AG110" s="1">
        <v>8</v>
      </c>
      <c r="AH110" s="1" t="str">
        <f>VLOOKUP(AG110,t_entry_status!A:AE,2,FALSE)</f>
        <v>PENDING</v>
      </c>
      <c r="AI110" s="7">
        <v>45560</v>
      </c>
      <c r="AJ110" s="1" t="s">
        <v>7449</v>
      </c>
      <c r="AK110" s="7">
        <v>45560</v>
      </c>
      <c r="AL110" s="1" t="s">
        <v>7449</v>
      </c>
    </row>
    <row r="111" spans="1:38" s="20" customFormat="1" x14ac:dyDescent="0.25">
      <c r="A111" s="14">
        <v>110</v>
      </c>
      <c r="B111" s="14" t="str">
        <f>_xlfn.CONCAT(AE111,"-",VLOOKUP(AE111,t_objeto!B:D,3,FALSE),"-",A111)</f>
        <v>RRMM-PERCCO-110</v>
      </c>
      <c r="C111" s="22" t="str">
        <f t="shared" si="19"/>
        <v>PLACA__ACERO_ROLADA EN FRIO_3'X8'_1/2"</v>
      </c>
      <c r="D111" s="14" t="s">
        <v>7385</v>
      </c>
      <c r="E111" s="14" t="s">
        <v>7380</v>
      </c>
      <c r="F111" s="21" t="s">
        <v>7400</v>
      </c>
      <c r="G111" s="22" t="s">
        <v>7382</v>
      </c>
      <c r="H111" s="14" t="s">
        <v>7393</v>
      </c>
      <c r="I111" s="16">
        <v>12.7</v>
      </c>
      <c r="J111" s="16">
        <f t="shared" si="10"/>
        <v>0.5</v>
      </c>
      <c r="K111" s="16">
        <v>99.694999999999993</v>
      </c>
      <c r="L111" s="23"/>
      <c r="M111" s="23"/>
      <c r="N111" s="23"/>
      <c r="O111" s="23"/>
      <c r="P111" s="23"/>
      <c r="Q111" s="19"/>
      <c r="R111" s="17">
        <v>3</v>
      </c>
      <c r="S111" s="17">
        <v>8</v>
      </c>
      <c r="T111" s="16">
        <f t="shared" si="11"/>
        <v>2438.3999999999996</v>
      </c>
      <c r="U111" s="16">
        <f t="shared" si="12"/>
        <v>914.4</v>
      </c>
      <c r="V111" s="18">
        <f t="shared" si="13"/>
        <v>2229672.9599999995</v>
      </c>
      <c r="W111" s="18">
        <f t="shared" si="14"/>
        <v>2.2296729599999994</v>
      </c>
      <c r="X111" s="18">
        <f t="shared" si="15"/>
        <v>222.28724574719993</v>
      </c>
      <c r="Y111" s="24">
        <v>35</v>
      </c>
      <c r="Z111" s="24">
        <f t="shared" si="16"/>
        <v>7780.053601151998</v>
      </c>
      <c r="AA111" s="16">
        <v>14</v>
      </c>
      <c r="AB111" s="16">
        <f t="shared" si="17"/>
        <v>2410.3999999999996</v>
      </c>
      <c r="AC111" s="16">
        <f t="shared" si="17"/>
        <v>886.4</v>
      </c>
      <c r="AD111" s="19">
        <f t="shared" si="18"/>
        <v>2136578.5599999996</v>
      </c>
      <c r="AE111" s="1" t="s">
        <v>7456</v>
      </c>
      <c r="AF111" s="1" t="str">
        <f>VLOOKUP(AE111,t_objeto!B:C,2,FALSE)</f>
        <v>RAW_MATERIAL</v>
      </c>
      <c r="AG111" s="1">
        <v>8</v>
      </c>
      <c r="AH111" s="1" t="str">
        <f>VLOOKUP(AG111,t_entry_status!A:AE,2,FALSE)</f>
        <v>PENDING</v>
      </c>
      <c r="AI111" s="7">
        <v>45560</v>
      </c>
      <c r="AJ111" s="1" t="s">
        <v>7449</v>
      </c>
      <c r="AK111" s="7">
        <v>45560</v>
      </c>
      <c r="AL111" s="1" t="s">
        <v>7449</v>
      </c>
    </row>
    <row r="112" spans="1:38" s="20" customFormat="1" x14ac:dyDescent="0.25">
      <c r="A112" s="14">
        <v>111</v>
      </c>
      <c r="B112" s="14" t="str">
        <f>_xlfn.CONCAT(AE112,"-",VLOOKUP(AE112,t_objeto!B:D,3,FALSE),"-",A112)</f>
        <v>RRMM-PERCCO-111</v>
      </c>
      <c r="C112" s="22" t="str">
        <f t="shared" si="19"/>
        <v>PLACA__ACERO_ROLADA EN FRIO_3'X8'_7/16"</v>
      </c>
      <c r="D112" s="14" t="s">
        <v>7385</v>
      </c>
      <c r="E112" s="14" t="s">
        <v>7380</v>
      </c>
      <c r="F112" s="21" t="s">
        <v>7400</v>
      </c>
      <c r="G112" s="22" t="s">
        <v>7382</v>
      </c>
      <c r="H112" s="14" t="s">
        <v>7394</v>
      </c>
      <c r="I112" s="16">
        <v>11.11</v>
      </c>
      <c r="J112" s="16">
        <f t="shared" si="10"/>
        <v>0.43740157480314962</v>
      </c>
      <c r="K112" s="16">
        <v>87.213999999999999</v>
      </c>
      <c r="L112" s="23"/>
      <c r="M112" s="23"/>
      <c r="N112" s="23"/>
      <c r="O112" s="23"/>
      <c r="P112" s="23"/>
      <c r="Q112" s="19"/>
      <c r="R112" s="17">
        <v>3</v>
      </c>
      <c r="S112" s="17">
        <v>8</v>
      </c>
      <c r="T112" s="16">
        <f t="shared" si="11"/>
        <v>2438.3999999999996</v>
      </c>
      <c r="U112" s="16">
        <f t="shared" si="12"/>
        <v>914.4</v>
      </c>
      <c r="V112" s="18">
        <f t="shared" si="13"/>
        <v>2229672.9599999995</v>
      </c>
      <c r="W112" s="18">
        <f t="shared" si="14"/>
        <v>2.2296729599999994</v>
      </c>
      <c r="X112" s="18">
        <f t="shared" si="15"/>
        <v>194.45869753343993</v>
      </c>
      <c r="Y112" s="24">
        <v>35</v>
      </c>
      <c r="Z112" s="24">
        <f t="shared" si="16"/>
        <v>6806.0544136703975</v>
      </c>
      <c r="AA112" s="16">
        <v>15</v>
      </c>
      <c r="AB112" s="16">
        <f t="shared" si="17"/>
        <v>2408.3999999999996</v>
      </c>
      <c r="AC112" s="16">
        <f t="shared" si="17"/>
        <v>884.4</v>
      </c>
      <c r="AD112" s="19">
        <f t="shared" si="18"/>
        <v>2129988.9599999995</v>
      </c>
      <c r="AE112" s="1" t="s">
        <v>7456</v>
      </c>
      <c r="AF112" s="1" t="str">
        <f>VLOOKUP(AE112,t_objeto!B:C,2,FALSE)</f>
        <v>RAW_MATERIAL</v>
      </c>
      <c r="AG112" s="1">
        <v>8</v>
      </c>
      <c r="AH112" s="1" t="str">
        <f>VLOOKUP(AG112,t_entry_status!A:AE,2,FALSE)</f>
        <v>PENDING</v>
      </c>
      <c r="AI112" s="7">
        <v>45560</v>
      </c>
      <c r="AJ112" s="1" t="s">
        <v>7449</v>
      </c>
      <c r="AK112" s="7">
        <v>45560</v>
      </c>
      <c r="AL112" s="1" t="s">
        <v>7449</v>
      </c>
    </row>
    <row r="113" spans="1:38" s="20" customFormat="1" x14ac:dyDescent="0.25">
      <c r="A113" s="14">
        <v>112</v>
      </c>
      <c r="B113" s="14" t="str">
        <f>_xlfn.CONCAT(AE113,"-",VLOOKUP(AE113,t_objeto!B:D,3,FALSE),"-",A113)</f>
        <v>RRMM-PERCCO-112</v>
      </c>
      <c r="C113" s="22" t="str">
        <f t="shared" si="19"/>
        <v>PLACA__ACERO_ROLADA EN FRIO_3'X8'_3/8"</v>
      </c>
      <c r="D113" s="14" t="s">
        <v>7385</v>
      </c>
      <c r="E113" s="14" t="s">
        <v>7380</v>
      </c>
      <c r="F113" s="21" t="s">
        <v>7400</v>
      </c>
      <c r="G113" s="22" t="s">
        <v>7382</v>
      </c>
      <c r="H113" s="14" t="s">
        <v>7395</v>
      </c>
      <c r="I113" s="16">
        <v>9.52</v>
      </c>
      <c r="J113" s="16">
        <f t="shared" si="10"/>
        <v>0.37480314960629924</v>
      </c>
      <c r="K113" s="16">
        <v>74.731999999999999</v>
      </c>
      <c r="L113" s="23"/>
      <c r="M113" s="23"/>
      <c r="N113" s="23"/>
      <c r="O113" s="23"/>
      <c r="P113" s="23"/>
      <c r="Q113" s="19"/>
      <c r="R113" s="17">
        <v>3</v>
      </c>
      <c r="S113" s="17">
        <v>8</v>
      </c>
      <c r="T113" s="16">
        <f t="shared" si="11"/>
        <v>2438.3999999999996</v>
      </c>
      <c r="U113" s="16">
        <f t="shared" si="12"/>
        <v>914.4</v>
      </c>
      <c r="V113" s="18">
        <f t="shared" si="13"/>
        <v>2229672.9599999995</v>
      </c>
      <c r="W113" s="18">
        <f t="shared" si="14"/>
        <v>2.2296729599999994</v>
      </c>
      <c r="X113" s="18">
        <f t="shared" si="15"/>
        <v>166.62791964671996</v>
      </c>
      <c r="Y113" s="24">
        <v>35</v>
      </c>
      <c r="Z113" s="24">
        <f t="shared" si="16"/>
        <v>5831.9771876351988</v>
      </c>
      <c r="AA113" s="16">
        <v>16</v>
      </c>
      <c r="AB113" s="16">
        <f t="shared" si="17"/>
        <v>2406.3999999999996</v>
      </c>
      <c r="AC113" s="16">
        <f t="shared" si="17"/>
        <v>882.4</v>
      </c>
      <c r="AD113" s="19">
        <f t="shared" si="18"/>
        <v>2123407.3599999994</v>
      </c>
      <c r="AE113" s="1" t="s">
        <v>7456</v>
      </c>
      <c r="AF113" s="1" t="str">
        <f>VLOOKUP(AE113,t_objeto!B:C,2,FALSE)</f>
        <v>RAW_MATERIAL</v>
      </c>
      <c r="AG113" s="1">
        <v>8</v>
      </c>
      <c r="AH113" s="1" t="str">
        <f>VLOOKUP(AG113,t_entry_status!A:AE,2,FALSE)</f>
        <v>PENDING</v>
      </c>
      <c r="AI113" s="7">
        <v>45560</v>
      </c>
      <c r="AJ113" s="1" t="s">
        <v>7449</v>
      </c>
      <c r="AK113" s="7">
        <v>45560</v>
      </c>
      <c r="AL113" s="1" t="s">
        <v>7449</v>
      </c>
    </row>
    <row r="114" spans="1:38" s="20" customFormat="1" x14ac:dyDescent="0.25">
      <c r="A114" s="14">
        <v>113</v>
      </c>
      <c r="B114" s="14" t="str">
        <f>_xlfn.CONCAT(AE114,"-",VLOOKUP(AE114,t_objeto!B:D,3,FALSE),"-",A114)</f>
        <v>RRMM-PERCCO-113</v>
      </c>
      <c r="C114" s="22" t="str">
        <f t="shared" si="19"/>
        <v>PLACA__ACERO_ROLADA EN FRIO_3'X8'_5/16"</v>
      </c>
      <c r="D114" s="14" t="s">
        <v>7385</v>
      </c>
      <c r="E114" s="14" t="s">
        <v>7380</v>
      </c>
      <c r="F114" s="21" t="s">
        <v>7400</v>
      </c>
      <c r="G114" s="22" t="s">
        <v>7382</v>
      </c>
      <c r="H114" s="14" t="s">
        <v>7396</v>
      </c>
      <c r="I114" s="16">
        <v>7.93</v>
      </c>
      <c r="J114" s="16">
        <f t="shared" si="10"/>
        <v>0.31220472440944885</v>
      </c>
      <c r="K114" s="16">
        <v>62.250999999999998</v>
      </c>
      <c r="L114" s="23"/>
      <c r="M114" s="23"/>
      <c r="N114" s="23"/>
      <c r="O114" s="23"/>
      <c r="P114" s="23"/>
      <c r="Q114" s="19"/>
      <c r="R114" s="17">
        <v>3</v>
      </c>
      <c r="S114" s="17">
        <v>8</v>
      </c>
      <c r="T114" s="16">
        <f t="shared" si="11"/>
        <v>2438.3999999999996</v>
      </c>
      <c r="U114" s="16">
        <f t="shared" si="12"/>
        <v>914.4</v>
      </c>
      <c r="V114" s="18">
        <f t="shared" si="13"/>
        <v>2229672.9599999995</v>
      </c>
      <c r="W114" s="18">
        <f t="shared" si="14"/>
        <v>2.2296729599999994</v>
      </c>
      <c r="X114" s="18">
        <f t="shared" si="15"/>
        <v>138.79937143295996</v>
      </c>
      <c r="Y114" s="24">
        <v>35</v>
      </c>
      <c r="Z114" s="24">
        <f t="shared" si="16"/>
        <v>4857.9780001535983</v>
      </c>
      <c r="AA114" s="16">
        <v>17</v>
      </c>
      <c r="AB114" s="16">
        <f t="shared" si="17"/>
        <v>2404.3999999999996</v>
      </c>
      <c r="AC114" s="16">
        <f t="shared" si="17"/>
        <v>880.4</v>
      </c>
      <c r="AD114" s="19">
        <f t="shared" si="18"/>
        <v>2116833.7599999998</v>
      </c>
      <c r="AE114" s="1" t="s">
        <v>7456</v>
      </c>
      <c r="AF114" s="1" t="str">
        <f>VLOOKUP(AE114,t_objeto!B:C,2,FALSE)</f>
        <v>RAW_MATERIAL</v>
      </c>
      <c r="AG114" s="1">
        <v>8</v>
      </c>
      <c r="AH114" s="1" t="str">
        <f>VLOOKUP(AG114,t_entry_status!A:AE,2,FALSE)</f>
        <v>PENDING</v>
      </c>
      <c r="AI114" s="7">
        <v>45560</v>
      </c>
      <c r="AJ114" s="1" t="s">
        <v>7449</v>
      </c>
      <c r="AK114" s="7">
        <v>45560</v>
      </c>
      <c r="AL114" s="1" t="s">
        <v>7449</v>
      </c>
    </row>
    <row r="115" spans="1:38" s="20" customFormat="1" x14ac:dyDescent="0.25">
      <c r="A115" s="14">
        <v>114</v>
      </c>
      <c r="B115" s="14" t="str">
        <f>_xlfn.CONCAT(AE115,"-",VLOOKUP(AE115,t_objeto!B:D,3,FALSE),"-",A115)</f>
        <v>RRMM-PERCCO-114</v>
      </c>
      <c r="C115" s="22" t="str">
        <f t="shared" si="19"/>
        <v>PLACA__ACERO_ROLADA EN FRIO_3'X8'_1/4"</v>
      </c>
      <c r="D115" s="14" t="s">
        <v>7385</v>
      </c>
      <c r="E115" s="14" t="s">
        <v>7380</v>
      </c>
      <c r="F115" s="21" t="s">
        <v>7400</v>
      </c>
      <c r="G115" s="22" t="s">
        <v>7382</v>
      </c>
      <c r="H115" s="14" t="s">
        <v>7397</v>
      </c>
      <c r="I115" s="16">
        <v>6.35</v>
      </c>
      <c r="J115" s="16">
        <f t="shared" si="10"/>
        <v>0.25</v>
      </c>
      <c r="K115" s="16">
        <v>49.847999999999999</v>
      </c>
      <c r="L115" s="23">
        <v>1.2</v>
      </c>
      <c r="M115" s="23">
        <v>0.6</v>
      </c>
      <c r="N115" s="23"/>
      <c r="O115" s="23"/>
      <c r="P115" s="23"/>
      <c r="Q115" s="19" t="s">
        <v>7401</v>
      </c>
      <c r="R115" s="17">
        <v>3</v>
      </c>
      <c r="S115" s="17">
        <v>8</v>
      </c>
      <c r="T115" s="16">
        <f t="shared" si="11"/>
        <v>2438.3999999999996</v>
      </c>
      <c r="U115" s="16">
        <f t="shared" si="12"/>
        <v>914.4</v>
      </c>
      <c r="V115" s="18">
        <f t="shared" si="13"/>
        <v>2229672.9599999995</v>
      </c>
      <c r="W115" s="18">
        <f t="shared" si="14"/>
        <v>2.2296729599999994</v>
      </c>
      <c r="X115" s="18">
        <f t="shared" si="15"/>
        <v>111.14473771007997</v>
      </c>
      <c r="Y115" s="24">
        <v>35</v>
      </c>
      <c r="Z115" s="24">
        <f t="shared" si="16"/>
        <v>3890.065819852799</v>
      </c>
      <c r="AA115" s="16">
        <v>18</v>
      </c>
      <c r="AB115" s="16">
        <f t="shared" si="17"/>
        <v>2402.3999999999996</v>
      </c>
      <c r="AC115" s="16">
        <f t="shared" si="17"/>
        <v>878.4</v>
      </c>
      <c r="AD115" s="19">
        <f t="shared" si="18"/>
        <v>2110268.1599999997</v>
      </c>
      <c r="AE115" s="1" t="s">
        <v>7456</v>
      </c>
      <c r="AF115" s="1" t="str">
        <f>VLOOKUP(AE115,t_objeto!B:C,2,FALSE)</f>
        <v>RAW_MATERIAL</v>
      </c>
      <c r="AG115" s="1">
        <v>8</v>
      </c>
      <c r="AH115" s="1" t="str">
        <f>VLOOKUP(AG115,t_entry_status!A:AE,2,FALSE)</f>
        <v>PENDING</v>
      </c>
      <c r="AI115" s="7">
        <v>45560</v>
      </c>
      <c r="AJ115" s="1" t="s">
        <v>7449</v>
      </c>
      <c r="AK115" s="7">
        <v>45560</v>
      </c>
      <c r="AL115" s="1" t="s">
        <v>7449</v>
      </c>
    </row>
    <row r="116" spans="1:38" s="20" customFormat="1" x14ac:dyDescent="0.25">
      <c r="A116" s="14">
        <v>115</v>
      </c>
      <c r="B116" s="14" t="str">
        <f>_xlfn.CONCAT(AE116,"-",VLOOKUP(AE116,t_objeto!B:D,3,FALSE),"-",A116)</f>
        <v>RRMM-PERCCO-115</v>
      </c>
      <c r="C116" s="22" t="str">
        <f t="shared" si="19"/>
        <v>PLACA__ACERO_ROLADA EN FRIO_3'X8'_3/16"</v>
      </c>
      <c r="D116" s="14" t="s">
        <v>7385</v>
      </c>
      <c r="E116" s="14" t="s">
        <v>7380</v>
      </c>
      <c r="F116" s="21" t="s">
        <v>7400</v>
      </c>
      <c r="G116" s="22" t="s">
        <v>7382</v>
      </c>
      <c r="H116" s="14" t="s">
        <v>7398</v>
      </c>
      <c r="I116" s="16">
        <v>4.76</v>
      </c>
      <c r="J116" s="16">
        <f t="shared" si="10"/>
        <v>0.18740157480314962</v>
      </c>
      <c r="K116" s="16">
        <v>37.366</v>
      </c>
      <c r="L116" s="23"/>
      <c r="M116" s="23"/>
      <c r="N116" s="23"/>
      <c r="O116" s="23"/>
      <c r="P116" s="23"/>
      <c r="Q116" s="19"/>
      <c r="R116" s="17">
        <v>3</v>
      </c>
      <c r="S116" s="17">
        <v>8</v>
      </c>
      <c r="T116" s="16">
        <f t="shared" si="11"/>
        <v>2438.3999999999996</v>
      </c>
      <c r="U116" s="16">
        <f t="shared" si="12"/>
        <v>914.4</v>
      </c>
      <c r="V116" s="18">
        <f t="shared" si="13"/>
        <v>2229672.9599999995</v>
      </c>
      <c r="W116" s="18">
        <f t="shared" si="14"/>
        <v>2.2296729599999994</v>
      </c>
      <c r="X116" s="18">
        <f t="shared" si="15"/>
        <v>83.31395982335998</v>
      </c>
      <c r="Y116" s="24">
        <v>35</v>
      </c>
      <c r="Z116" s="24">
        <f t="shared" si="16"/>
        <v>2915.9885938175994</v>
      </c>
      <c r="AA116" s="16">
        <v>19</v>
      </c>
      <c r="AB116" s="16">
        <f t="shared" si="17"/>
        <v>2400.3999999999996</v>
      </c>
      <c r="AC116" s="16">
        <f t="shared" si="17"/>
        <v>876.4</v>
      </c>
      <c r="AD116" s="19">
        <f t="shared" si="18"/>
        <v>2103710.5599999996</v>
      </c>
      <c r="AE116" s="1" t="s">
        <v>7456</v>
      </c>
      <c r="AF116" s="1" t="str">
        <f>VLOOKUP(AE116,t_objeto!B:C,2,FALSE)</f>
        <v>RAW_MATERIAL</v>
      </c>
      <c r="AG116" s="1">
        <v>8</v>
      </c>
      <c r="AH116" s="1" t="str">
        <f>VLOOKUP(AG116,t_entry_status!A:AE,2,FALSE)</f>
        <v>PENDING</v>
      </c>
      <c r="AI116" s="7">
        <v>45560</v>
      </c>
      <c r="AJ116" s="1" t="s">
        <v>7449</v>
      </c>
      <c r="AK116" s="7">
        <v>45560</v>
      </c>
      <c r="AL116" s="1" t="s">
        <v>7449</v>
      </c>
    </row>
    <row r="117" spans="1:38" s="20" customFormat="1" x14ac:dyDescent="0.25">
      <c r="A117" s="14">
        <v>116</v>
      </c>
      <c r="B117" s="14" t="str">
        <f>_xlfn.CONCAT(AE117,"-",VLOOKUP(AE117,t_objeto!B:D,3,FALSE),"-",A117)</f>
        <v>RRMM-PERCCO-116</v>
      </c>
      <c r="C117" s="22" t="str">
        <f t="shared" si="19"/>
        <v>LAMINA_LISA__ACERO_ROLADA EN FRIO_3'X8'_4</v>
      </c>
      <c r="D117" s="14" t="s">
        <v>7407</v>
      </c>
      <c r="E117" s="14" t="s">
        <v>7380</v>
      </c>
      <c r="F117" s="21" t="s">
        <v>7400</v>
      </c>
      <c r="G117" s="22" t="s">
        <v>7382</v>
      </c>
      <c r="H117" s="14">
        <v>4</v>
      </c>
      <c r="I117" s="16">
        <v>5.69</v>
      </c>
      <c r="J117" s="16">
        <f t="shared" si="10"/>
        <v>0.2240157480314961</v>
      </c>
      <c r="K117" s="16">
        <v>44.667000000000002</v>
      </c>
      <c r="L117" s="23"/>
      <c r="M117" s="23"/>
      <c r="N117" s="23"/>
      <c r="O117" s="23"/>
      <c r="P117" s="23"/>
      <c r="Q117" s="19"/>
      <c r="R117" s="17">
        <v>3</v>
      </c>
      <c r="S117" s="17">
        <v>8</v>
      </c>
      <c r="T117" s="16">
        <f t="shared" si="11"/>
        <v>2438.3999999999996</v>
      </c>
      <c r="U117" s="16">
        <f t="shared" si="12"/>
        <v>914.4</v>
      </c>
      <c r="V117" s="18">
        <f t="shared" si="13"/>
        <v>2229672.9599999995</v>
      </c>
      <c r="W117" s="18">
        <f t="shared" si="14"/>
        <v>2.2296729599999994</v>
      </c>
      <c r="X117" s="18">
        <f t="shared" si="15"/>
        <v>99.592802104319972</v>
      </c>
      <c r="Y117" s="24">
        <v>35</v>
      </c>
      <c r="Z117" s="24">
        <f t="shared" si="16"/>
        <v>3485.7480736511989</v>
      </c>
      <c r="AA117" s="16">
        <v>20</v>
      </c>
      <c r="AB117" s="16">
        <f t="shared" si="17"/>
        <v>2398.3999999999996</v>
      </c>
      <c r="AC117" s="16">
        <f t="shared" si="17"/>
        <v>874.4</v>
      </c>
      <c r="AD117" s="19">
        <f t="shared" si="18"/>
        <v>2097160.9599999995</v>
      </c>
      <c r="AE117" s="1" t="s">
        <v>7456</v>
      </c>
      <c r="AF117" s="1" t="str">
        <f>VLOOKUP(AE117,t_objeto!B:C,2,FALSE)</f>
        <v>RAW_MATERIAL</v>
      </c>
      <c r="AG117" s="1">
        <v>8</v>
      </c>
      <c r="AH117" s="1" t="str">
        <f>VLOOKUP(AG117,t_entry_status!A:AE,2,FALSE)</f>
        <v>PENDING</v>
      </c>
      <c r="AI117" s="7">
        <v>45560</v>
      </c>
      <c r="AJ117" s="1" t="s">
        <v>7449</v>
      </c>
      <c r="AK117" s="7">
        <v>45560</v>
      </c>
      <c r="AL117" s="1" t="s">
        <v>7449</v>
      </c>
    </row>
    <row r="118" spans="1:38" s="20" customFormat="1" x14ac:dyDescent="0.25">
      <c r="A118" s="14">
        <v>117</v>
      </c>
      <c r="B118" s="14" t="str">
        <f>_xlfn.CONCAT(AE118,"-",VLOOKUP(AE118,t_objeto!B:D,3,FALSE),"-",A118)</f>
        <v>RRMM-PERCCO-117</v>
      </c>
      <c r="C118" s="22" t="str">
        <f t="shared" si="19"/>
        <v>LAMINA_LISA__ACERO_ROLADA EN FRIO_3'X8'_5</v>
      </c>
      <c r="D118" s="14" t="s">
        <v>7407</v>
      </c>
      <c r="E118" s="14" t="s">
        <v>7380</v>
      </c>
      <c r="F118" s="21" t="s">
        <v>7400</v>
      </c>
      <c r="G118" s="22" t="s">
        <v>7382</v>
      </c>
      <c r="H118" s="14">
        <v>5</v>
      </c>
      <c r="I118" s="16">
        <v>5.31</v>
      </c>
      <c r="J118" s="16">
        <f t="shared" si="10"/>
        <v>0.20905511811023622</v>
      </c>
      <c r="K118" s="16">
        <v>41.683999999999997</v>
      </c>
      <c r="L118" s="23"/>
      <c r="M118" s="23"/>
      <c r="N118" s="23"/>
      <c r="O118" s="23"/>
      <c r="P118" s="23"/>
      <c r="Q118" s="19"/>
      <c r="R118" s="17">
        <v>3</v>
      </c>
      <c r="S118" s="17">
        <v>8</v>
      </c>
      <c r="T118" s="16">
        <f t="shared" si="11"/>
        <v>2438.3999999999996</v>
      </c>
      <c r="U118" s="16">
        <f t="shared" si="12"/>
        <v>914.4</v>
      </c>
      <c r="V118" s="18">
        <f t="shared" si="13"/>
        <v>2229672.9599999995</v>
      </c>
      <c r="W118" s="18">
        <f t="shared" si="14"/>
        <v>2.2296729599999994</v>
      </c>
      <c r="X118" s="18">
        <f t="shared" si="15"/>
        <v>92.941687664639971</v>
      </c>
      <c r="Y118" s="24">
        <v>35</v>
      </c>
      <c r="Z118" s="24">
        <f t="shared" si="16"/>
        <v>3252.9590682623989</v>
      </c>
      <c r="AA118" s="16">
        <v>21</v>
      </c>
      <c r="AB118" s="16">
        <f t="shared" si="17"/>
        <v>2396.3999999999996</v>
      </c>
      <c r="AC118" s="16">
        <f t="shared" si="17"/>
        <v>872.4</v>
      </c>
      <c r="AD118" s="19">
        <f t="shared" si="18"/>
        <v>2090619.3599999996</v>
      </c>
      <c r="AE118" s="1" t="s">
        <v>7456</v>
      </c>
      <c r="AF118" s="1" t="str">
        <f>VLOOKUP(AE118,t_objeto!B:C,2,FALSE)</f>
        <v>RAW_MATERIAL</v>
      </c>
      <c r="AG118" s="1">
        <v>8</v>
      </c>
      <c r="AH118" s="1" t="str">
        <f>VLOOKUP(AG118,t_entry_status!A:AE,2,FALSE)</f>
        <v>PENDING</v>
      </c>
      <c r="AI118" s="7">
        <v>45560</v>
      </c>
      <c r="AJ118" s="1" t="s">
        <v>7449</v>
      </c>
      <c r="AK118" s="7">
        <v>45560</v>
      </c>
      <c r="AL118" s="1" t="s">
        <v>7449</v>
      </c>
    </row>
    <row r="119" spans="1:38" s="20" customFormat="1" x14ac:dyDescent="0.25">
      <c r="A119" s="14">
        <v>118</v>
      </c>
      <c r="B119" s="14" t="str">
        <f>_xlfn.CONCAT(AE119,"-",VLOOKUP(AE119,t_objeto!B:D,3,FALSE),"-",A119)</f>
        <v>RRMM-PERCCO-118</v>
      </c>
      <c r="C119" s="22" t="str">
        <f t="shared" si="19"/>
        <v>LAMINA_LISA__ACERO_ROLADA EN FRIO_3'X8'_6</v>
      </c>
      <c r="D119" s="14" t="s">
        <v>7407</v>
      </c>
      <c r="E119" s="14" t="s">
        <v>7380</v>
      </c>
      <c r="F119" s="21" t="s">
        <v>7400</v>
      </c>
      <c r="G119" s="22" t="s">
        <v>7382</v>
      </c>
      <c r="H119" s="14">
        <v>6</v>
      </c>
      <c r="I119" s="16">
        <v>4.9400000000000004</v>
      </c>
      <c r="J119" s="16">
        <f t="shared" si="10"/>
        <v>0.19448818897637798</v>
      </c>
      <c r="K119" s="16">
        <v>38.779000000000003</v>
      </c>
      <c r="L119" s="23"/>
      <c r="M119" s="23"/>
      <c r="N119" s="23"/>
      <c r="O119" s="23"/>
      <c r="P119" s="23"/>
      <c r="Q119" s="19"/>
      <c r="R119" s="17">
        <v>3</v>
      </c>
      <c r="S119" s="17">
        <v>8</v>
      </c>
      <c r="T119" s="16">
        <f t="shared" si="11"/>
        <v>2438.3999999999996</v>
      </c>
      <c r="U119" s="16">
        <f t="shared" si="12"/>
        <v>914.4</v>
      </c>
      <c r="V119" s="18">
        <f t="shared" si="13"/>
        <v>2229672.9599999995</v>
      </c>
      <c r="W119" s="18">
        <f t="shared" si="14"/>
        <v>2.2296729599999994</v>
      </c>
      <c r="X119" s="18">
        <f t="shared" si="15"/>
        <v>86.464487715839979</v>
      </c>
      <c r="Y119" s="24">
        <v>35</v>
      </c>
      <c r="Z119" s="24">
        <f t="shared" si="16"/>
        <v>3026.2570700543993</v>
      </c>
      <c r="AA119" s="16">
        <v>22</v>
      </c>
      <c r="AB119" s="16">
        <f t="shared" si="17"/>
        <v>2394.3999999999996</v>
      </c>
      <c r="AC119" s="16">
        <f t="shared" si="17"/>
        <v>870.4</v>
      </c>
      <c r="AD119" s="19">
        <f t="shared" si="18"/>
        <v>2084085.7599999995</v>
      </c>
      <c r="AE119" s="1" t="s">
        <v>7456</v>
      </c>
      <c r="AF119" s="1" t="str">
        <f>VLOOKUP(AE119,t_objeto!B:C,2,FALSE)</f>
        <v>RAW_MATERIAL</v>
      </c>
      <c r="AG119" s="1">
        <v>8</v>
      </c>
      <c r="AH119" s="1" t="str">
        <f>VLOOKUP(AG119,t_entry_status!A:AE,2,FALSE)</f>
        <v>PENDING</v>
      </c>
      <c r="AI119" s="7">
        <v>45560</v>
      </c>
      <c r="AJ119" s="1" t="s">
        <v>7449</v>
      </c>
      <c r="AK119" s="7">
        <v>45560</v>
      </c>
      <c r="AL119" s="1" t="s">
        <v>7449</v>
      </c>
    </row>
    <row r="120" spans="1:38" s="20" customFormat="1" x14ac:dyDescent="0.25">
      <c r="A120" s="14">
        <v>119</v>
      </c>
      <c r="B120" s="14" t="str">
        <f>_xlfn.CONCAT(AE120,"-",VLOOKUP(AE120,t_objeto!B:D,3,FALSE),"-",A120)</f>
        <v>RRMM-PERCCO-119</v>
      </c>
      <c r="C120" s="22" t="str">
        <f t="shared" si="19"/>
        <v>LAMINA_LISA__ACERO_ROLADA EN FRIO_3'X8'_7</v>
      </c>
      <c r="D120" s="14" t="s">
        <v>7407</v>
      </c>
      <c r="E120" s="14" t="s">
        <v>7380</v>
      </c>
      <c r="F120" s="21" t="s">
        <v>7400</v>
      </c>
      <c r="G120" s="22" t="s">
        <v>7382</v>
      </c>
      <c r="H120" s="14">
        <v>7</v>
      </c>
      <c r="I120" s="16">
        <v>4.55</v>
      </c>
      <c r="J120" s="16">
        <f t="shared" si="10"/>
        <v>0.17913385826771655</v>
      </c>
      <c r="K120" s="16">
        <v>35.718000000000004</v>
      </c>
      <c r="L120" s="23"/>
      <c r="M120" s="23"/>
      <c r="N120" s="23"/>
      <c r="O120" s="23"/>
      <c r="P120" s="23"/>
      <c r="Q120" s="19"/>
      <c r="R120" s="17">
        <v>3</v>
      </c>
      <c r="S120" s="17">
        <v>8</v>
      </c>
      <c r="T120" s="16">
        <f t="shared" si="11"/>
        <v>2438.3999999999996</v>
      </c>
      <c r="U120" s="16">
        <f t="shared" si="12"/>
        <v>914.4</v>
      </c>
      <c r="V120" s="18">
        <f t="shared" si="13"/>
        <v>2229672.9599999995</v>
      </c>
      <c r="W120" s="18">
        <f t="shared" si="14"/>
        <v>2.2296729599999994</v>
      </c>
      <c r="X120" s="18">
        <f t="shared" si="15"/>
        <v>79.639458785279984</v>
      </c>
      <c r="Y120" s="24">
        <v>35</v>
      </c>
      <c r="Z120" s="24">
        <f t="shared" si="16"/>
        <v>2787.3810574847994</v>
      </c>
      <c r="AA120" s="16">
        <v>23</v>
      </c>
      <c r="AB120" s="16">
        <f t="shared" si="17"/>
        <v>2392.3999999999996</v>
      </c>
      <c r="AC120" s="16">
        <f t="shared" si="17"/>
        <v>868.4</v>
      </c>
      <c r="AD120" s="19">
        <f t="shared" si="18"/>
        <v>2077560.1599999997</v>
      </c>
      <c r="AE120" s="1" t="s">
        <v>7456</v>
      </c>
      <c r="AF120" s="1" t="str">
        <f>VLOOKUP(AE120,t_objeto!B:C,2,FALSE)</f>
        <v>RAW_MATERIAL</v>
      </c>
      <c r="AG120" s="1">
        <v>8</v>
      </c>
      <c r="AH120" s="1" t="str">
        <f>VLOOKUP(AG120,t_entry_status!A:AE,2,FALSE)</f>
        <v>PENDING</v>
      </c>
      <c r="AI120" s="7">
        <v>45560</v>
      </c>
      <c r="AJ120" s="1" t="s">
        <v>7449</v>
      </c>
      <c r="AK120" s="7">
        <v>45560</v>
      </c>
      <c r="AL120" s="1" t="s">
        <v>7449</v>
      </c>
    </row>
    <row r="121" spans="1:38" s="20" customFormat="1" x14ac:dyDescent="0.25">
      <c r="A121" s="14">
        <v>120</v>
      </c>
      <c r="B121" s="14" t="str">
        <f>_xlfn.CONCAT(AE121,"-",VLOOKUP(AE121,t_objeto!B:D,3,FALSE),"-",A121)</f>
        <v>RRMM-PERCCO-120</v>
      </c>
      <c r="C121" s="22" t="str">
        <f t="shared" si="19"/>
        <v>LAMINA_LISA__ACERO_ROLADA EN FRIO_3'X8'_8</v>
      </c>
      <c r="D121" s="14" t="s">
        <v>7407</v>
      </c>
      <c r="E121" s="14" t="s">
        <v>7380</v>
      </c>
      <c r="F121" s="21" t="s">
        <v>7400</v>
      </c>
      <c r="G121" s="22" t="s">
        <v>7382</v>
      </c>
      <c r="H121" s="14">
        <v>8</v>
      </c>
      <c r="I121" s="16">
        <v>4.18</v>
      </c>
      <c r="J121" s="16">
        <f t="shared" si="10"/>
        <v>0.16456692913385826</v>
      </c>
      <c r="K121" s="16">
        <v>32.813000000000002</v>
      </c>
      <c r="L121" s="23"/>
      <c r="M121" s="23"/>
      <c r="N121" s="23"/>
      <c r="O121" s="23"/>
      <c r="P121" s="23"/>
      <c r="Q121" s="19"/>
      <c r="R121" s="17">
        <v>3</v>
      </c>
      <c r="S121" s="17">
        <v>8</v>
      </c>
      <c r="T121" s="16">
        <f t="shared" si="11"/>
        <v>2438.3999999999996</v>
      </c>
      <c r="U121" s="16">
        <f t="shared" si="12"/>
        <v>914.4</v>
      </c>
      <c r="V121" s="18">
        <f t="shared" si="13"/>
        <v>2229672.9599999995</v>
      </c>
      <c r="W121" s="18">
        <f t="shared" si="14"/>
        <v>2.2296729599999994</v>
      </c>
      <c r="X121" s="18">
        <f t="shared" si="15"/>
        <v>73.162258836479978</v>
      </c>
      <c r="Y121" s="24">
        <v>35</v>
      </c>
      <c r="Z121" s="24">
        <f t="shared" si="16"/>
        <v>2560.6790592767993</v>
      </c>
      <c r="AA121" s="16">
        <v>24</v>
      </c>
      <c r="AB121" s="16">
        <f t="shared" si="17"/>
        <v>2390.3999999999996</v>
      </c>
      <c r="AC121" s="16">
        <f t="shared" si="17"/>
        <v>866.4</v>
      </c>
      <c r="AD121" s="19">
        <f t="shared" si="18"/>
        <v>2071042.5599999996</v>
      </c>
      <c r="AE121" s="1" t="s">
        <v>7456</v>
      </c>
      <c r="AF121" s="1" t="str">
        <f>VLOOKUP(AE121,t_objeto!B:C,2,FALSE)</f>
        <v>RAW_MATERIAL</v>
      </c>
      <c r="AG121" s="1">
        <v>8</v>
      </c>
      <c r="AH121" s="1" t="str">
        <f>VLOOKUP(AG121,t_entry_status!A:AE,2,FALSE)</f>
        <v>PENDING</v>
      </c>
      <c r="AI121" s="7">
        <v>45560</v>
      </c>
      <c r="AJ121" s="1" t="s">
        <v>7449</v>
      </c>
      <c r="AK121" s="7">
        <v>45560</v>
      </c>
      <c r="AL121" s="1" t="s">
        <v>7449</v>
      </c>
    </row>
    <row r="122" spans="1:38" s="20" customFormat="1" x14ac:dyDescent="0.25">
      <c r="A122" s="14">
        <v>121</v>
      </c>
      <c r="B122" s="14" t="str">
        <f>_xlfn.CONCAT(AE122,"-",VLOOKUP(AE122,t_objeto!B:D,3,FALSE),"-",A122)</f>
        <v>RRMM-PERCCO-121</v>
      </c>
      <c r="C122" s="22" t="str">
        <f t="shared" si="19"/>
        <v>LAMINA_LISA__ACERO_ROLADA EN FRIO_3'X8'_9</v>
      </c>
      <c r="D122" s="14" t="s">
        <v>7407</v>
      </c>
      <c r="E122" s="14" t="s">
        <v>7380</v>
      </c>
      <c r="F122" s="21" t="s">
        <v>7400</v>
      </c>
      <c r="G122" s="22" t="s">
        <v>7382</v>
      </c>
      <c r="H122" s="14">
        <v>9</v>
      </c>
      <c r="I122" s="16">
        <v>3.8</v>
      </c>
      <c r="J122" s="16">
        <f t="shared" si="10"/>
        <v>0.14960629921259844</v>
      </c>
      <c r="K122" s="16">
        <v>29.83</v>
      </c>
      <c r="L122" s="23"/>
      <c r="M122" s="23"/>
      <c r="N122" s="23"/>
      <c r="O122" s="23"/>
      <c r="P122" s="23"/>
      <c r="Q122" s="19"/>
      <c r="R122" s="17">
        <v>3</v>
      </c>
      <c r="S122" s="17">
        <v>8</v>
      </c>
      <c r="T122" s="16">
        <f t="shared" si="11"/>
        <v>2438.3999999999996</v>
      </c>
      <c r="U122" s="16">
        <f t="shared" si="12"/>
        <v>914.4</v>
      </c>
      <c r="V122" s="18">
        <f t="shared" si="13"/>
        <v>2229672.9599999995</v>
      </c>
      <c r="W122" s="18">
        <f t="shared" si="14"/>
        <v>2.2296729599999994</v>
      </c>
      <c r="X122" s="18">
        <f t="shared" si="15"/>
        <v>66.511144396799978</v>
      </c>
      <c r="Y122" s="24">
        <v>35</v>
      </c>
      <c r="Z122" s="24">
        <f t="shared" si="16"/>
        <v>2327.8900538879993</v>
      </c>
      <c r="AA122" s="16">
        <v>25</v>
      </c>
      <c r="AB122" s="16">
        <f t="shared" si="17"/>
        <v>2388.3999999999996</v>
      </c>
      <c r="AC122" s="16">
        <f t="shared" si="17"/>
        <v>864.4</v>
      </c>
      <c r="AD122" s="19">
        <f t="shared" si="18"/>
        <v>2064532.9599999997</v>
      </c>
      <c r="AE122" s="1" t="s">
        <v>7456</v>
      </c>
      <c r="AF122" s="1" t="str">
        <f>VLOOKUP(AE122,t_objeto!B:C,2,FALSE)</f>
        <v>RAW_MATERIAL</v>
      </c>
      <c r="AG122" s="1">
        <v>8</v>
      </c>
      <c r="AH122" s="1" t="str">
        <f>VLOOKUP(AG122,t_entry_status!A:AE,2,FALSE)</f>
        <v>PENDING</v>
      </c>
      <c r="AI122" s="7">
        <v>45560</v>
      </c>
      <c r="AJ122" s="1" t="s">
        <v>7449</v>
      </c>
      <c r="AK122" s="7">
        <v>45560</v>
      </c>
      <c r="AL122" s="1" t="s">
        <v>7449</v>
      </c>
    </row>
    <row r="123" spans="1:38" s="20" customFormat="1" x14ac:dyDescent="0.25">
      <c r="A123" s="14">
        <v>122</v>
      </c>
      <c r="B123" s="14" t="str">
        <f>_xlfn.CONCAT(AE123,"-",VLOOKUP(AE123,t_objeto!B:D,3,FALSE),"-",A123)</f>
        <v>RRMM-PERCCO-122</v>
      </c>
      <c r="C123" s="22" t="str">
        <f t="shared" si="19"/>
        <v>LAMINA_LISA__ACERO_ROLADA EN FRIO_3'X8'_10</v>
      </c>
      <c r="D123" s="14" t="s">
        <v>7407</v>
      </c>
      <c r="E123" s="14" t="s">
        <v>7380</v>
      </c>
      <c r="F123" s="21" t="s">
        <v>7400</v>
      </c>
      <c r="G123" s="22" t="s">
        <v>7382</v>
      </c>
      <c r="H123" s="14">
        <v>10</v>
      </c>
      <c r="I123" s="16">
        <v>3.42</v>
      </c>
      <c r="J123" s="16">
        <f t="shared" si="10"/>
        <v>0.13464566929133859</v>
      </c>
      <c r="K123" s="16">
        <v>26.847000000000001</v>
      </c>
      <c r="L123" s="23">
        <v>2</v>
      </c>
      <c r="M123" s="23">
        <v>1</v>
      </c>
      <c r="N123" s="23">
        <v>10</v>
      </c>
      <c r="O123" s="23"/>
      <c r="P123" s="23"/>
      <c r="Q123" s="19" t="s">
        <v>7402</v>
      </c>
      <c r="R123" s="17">
        <v>3</v>
      </c>
      <c r="S123" s="17">
        <v>8</v>
      </c>
      <c r="T123" s="16">
        <f t="shared" si="11"/>
        <v>2438.3999999999996</v>
      </c>
      <c r="U123" s="16">
        <f t="shared" si="12"/>
        <v>914.4</v>
      </c>
      <c r="V123" s="18">
        <f t="shared" si="13"/>
        <v>2229672.9599999995</v>
      </c>
      <c r="W123" s="18">
        <f t="shared" si="14"/>
        <v>2.2296729599999994</v>
      </c>
      <c r="X123" s="18">
        <f t="shared" si="15"/>
        <v>59.860029957119984</v>
      </c>
      <c r="Y123" s="24">
        <v>35</v>
      </c>
      <c r="Z123" s="24">
        <f t="shared" si="16"/>
        <v>2095.1010484991994</v>
      </c>
      <c r="AA123" s="16">
        <v>26</v>
      </c>
      <c r="AB123" s="16">
        <f t="shared" si="17"/>
        <v>2386.3999999999996</v>
      </c>
      <c r="AC123" s="16">
        <f t="shared" si="17"/>
        <v>862.4</v>
      </c>
      <c r="AD123" s="19">
        <f t="shared" si="18"/>
        <v>2058031.3599999996</v>
      </c>
      <c r="AE123" s="1" t="s">
        <v>7456</v>
      </c>
      <c r="AF123" s="1" t="str">
        <f>VLOOKUP(AE123,t_objeto!B:C,2,FALSE)</f>
        <v>RAW_MATERIAL</v>
      </c>
      <c r="AG123" s="1">
        <v>8</v>
      </c>
      <c r="AH123" s="1" t="str">
        <f>VLOOKUP(AG123,t_entry_status!A:AE,2,FALSE)</f>
        <v>PENDING</v>
      </c>
      <c r="AI123" s="7">
        <v>45560</v>
      </c>
      <c r="AJ123" s="1" t="s">
        <v>7449</v>
      </c>
      <c r="AK123" s="7">
        <v>45560</v>
      </c>
      <c r="AL123" s="1" t="s">
        <v>7449</v>
      </c>
    </row>
    <row r="124" spans="1:38" s="20" customFormat="1" x14ac:dyDescent="0.25">
      <c r="A124" s="14">
        <v>123</v>
      </c>
      <c r="B124" s="14" t="str">
        <f>_xlfn.CONCAT(AE124,"-",VLOOKUP(AE124,t_objeto!B:D,3,FALSE),"-",A124)</f>
        <v>RRMM-PERCCO-123</v>
      </c>
      <c r="C124" s="22" t="str">
        <f t="shared" si="19"/>
        <v>LAMINA_LISA__ACERO_ROLADA EN FRIO_3'X8'_1/8"</v>
      </c>
      <c r="D124" s="14" t="s">
        <v>7407</v>
      </c>
      <c r="E124" s="14" t="s">
        <v>7380</v>
      </c>
      <c r="F124" s="21" t="s">
        <v>7400</v>
      </c>
      <c r="G124" s="22" t="s">
        <v>7382</v>
      </c>
      <c r="H124" s="14" t="s">
        <v>7399</v>
      </c>
      <c r="I124" s="16">
        <v>3.18</v>
      </c>
      <c r="J124" s="16">
        <v>0.125</v>
      </c>
      <c r="K124" s="16"/>
      <c r="L124" s="23"/>
      <c r="M124" s="23"/>
      <c r="N124" s="23"/>
      <c r="O124" s="23"/>
      <c r="P124" s="23"/>
      <c r="Q124" s="19"/>
      <c r="R124" s="17">
        <v>3</v>
      </c>
      <c r="S124" s="17">
        <v>8</v>
      </c>
      <c r="T124" s="16">
        <f t="shared" si="11"/>
        <v>2438.3999999999996</v>
      </c>
      <c r="U124" s="16">
        <f t="shared" si="12"/>
        <v>914.4</v>
      </c>
      <c r="V124" s="18">
        <f t="shared" si="13"/>
        <v>2229672.9599999995</v>
      </c>
      <c r="W124" s="18">
        <f t="shared" si="14"/>
        <v>2.2296729599999994</v>
      </c>
      <c r="X124" s="18">
        <f t="shared" si="15"/>
        <v>0</v>
      </c>
      <c r="Y124" s="24">
        <v>35</v>
      </c>
      <c r="Z124" s="24">
        <f t="shared" si="16"/>
        <v>0</v>
      </c>
      <c r="AA124" s="16">
        <v>26</v>
      </c>
      <c r="AB124" s="16">
        <f t="shared" si="17"/>
        <v>2386.3999999999996</v>
      </c>
      <c r="AC124" s="16">
        <f t="shared" si="17"/>
        <v>862.4</v>
      </c>
      <c r="AD124" s="19">
        <f t="shared" si="18"/>
        <v>2058031.3599999996</v>
      </c>
      <c r="AE124" s="1" t="s">
        <v>7456</v>
      </c>
      <c r="AF124" s="1" t="str">
        <f>VLOOKUP(AE124,t_objeto!B:C,2,FALSE)</f>
        <v>RAW_MATERIAL</v>
      </c>
      <c r="AG124" s="1">
        <v>8</v>
      </c>
      <c r="AH124" s="1" t="str">
        <f>VLOOKUP(AG124,t_entry_status!A:AE,2,FALSE)</f>
        <v>PENDING</v>
      </c>
      <c r="AI124" s="7">
        <v>45560</v>
      </c>
      <c r="AJ124" s="1" t="s">
        <v>7449</v>
      </c>
      <c r="AK124" s="7">
        <v>45560</v>
      </c>
      <c r="AL124" s="1" t="s">
        <v>7449</v>
      </c>
    </row>
    <row r="125" spans="1:38" s="20" customFormat="1" x14ac:dyDescent="0.25">
      <c r="A125" s="14">
        <v>124</v>
      </c>
      <c r="B125" s="14" t="str">
        <f>_xlfn.CONCAT(AE125,"-",VLOOKUP(AE125,t_objeto!B:D,3,FALSE),"-",A125)</f>
        <v>RRMM-PERCCO-124</v>
      </c>
      <c r="C125" s="22" t="str">
        <f t="shared" si="19"/>
        <v>LAMINA_LISA__ACERO_ROLADA EN FRIO_3'X8'_11</v>
      </c>
      <c r="D125" s="14" t="s">
        <v>7407</v>
      </c>
      <c r="E125" s="14" t="s">
        <v>7380</v>
      </c>
      <c r="F125" s="21" t="s">
        <v>7400</v>
      </c>
      <c r="G125" s="22" t="s">
        <v>7382</v>
      </c>
      <c r="H125" s="14">
        <v>11</v>
      </c>
      <c r="I125" s="16">
        <v>3.04</v>
      </c>
      <c r="J125" s="16">
        <f t="shared" si="10"/>
        <v>0.11968503937007875</v>
      </c>
      <c r="K125" s="16">
        <v>23.864000000000001</v>
      </c>
      <c r="L125" s="23">
        <v>3</v>
      </c>
      <c r="M125" s="23"/>
      <c r="N125" s="23"/>
      <c r="O125" s="23"/>
      <c r="P125" s="23"/>
      <c r="Q125" s="19"/>
      <c r="R125" s="17">
        <v>3</v>
      </c>
      <c r="S125" s="17">
        <v>8</v>
      </c>
      <c r="T125" s="16">
        <f t="shared" si="11"/>
        <v>2438.3999999999996</v>
      </c>
      <c r="U125" s="16">
        <f t="shared" si="12"/>
        <v>914.4</v>
      </c>
      <c r="V125" s="18">
        <f t="shared" si="13"/>
        <v>2229672.9599999995</v>
      </c>
      <c r="W125" s="18">
        <f t="shared" si="14"/>
        <v>2.2296729599999994</v>
      </c>
      <c r="X125" s="18">
        <f t="shared" si="15"/>
        <v>53.208915517439983</v>
      </c>
      <c r="Y125" s="24">
        <v>35</v>
      </c>
      <c r="Z125" s="24">
        <f t="shared" si="16"/>
        <v>1862.3120431103994</v>
      </c>
      <c r="AA125" s="16">
        <v>27</v>
      </c>
      <c r="AB125" s="16">
        <f t="shared" si="17"/>
        <v>2384.3999999999996</v>
      </c>
      <c r="AC125" s="16">
        <f t="shared" si="17"/>
        <v>860.4</v>
      </c>
      <c r="AD125" s="19">
        <f t="shared" si="18"/>
        <v>2051537.7599999995</v>
      </c>
      <c r="AE125" s="1" t="s">
        <v>7456</v>
      </c>
      <c r="AF125" s="1" t="str">
        <f>VLOOKUP(AE125,t_objeto!B:C,2,FALSE)</f>
        <v>RAW_MATERIAL</v>
      </c>
      <c r="AG125" s="1">
        <v>8</v>
      </c>
      <c r="AH125" s="1" t="str">
        <f>VLOOKUP(AG125,t_entry_status!A:AE,2,FALSE)</f>
        <v>PENDING</v>
      </c>
      <c r="AI125" s="7">
        <v>45560</v>
      </c>
      <c r="AJ125" s="1" t="s">
        <v>7449</v>
      </c>
      <c r="AK125" s="7">
        <v>45560</v>
      </c>
      <c r="AL125" s="1" t="s">
        <v>7449</v>
      </c>
    </row>
    <row r="126" spans="1:38" s="20" customFormat="1" x14ac:dyDescent="0.25">
      <c r="A126" s="14">
        <v>125</v>
      </c>
      <c r="B126" s="14" t="str">
        <f>_xlfn.CONCAT(AE126,"-",VLOOKUP(AE126,t_objeto!B:D,3,FALSE),"-",A126)</f>
        <v>RRMM-PERCCO-125</v>
      </c>
      <c r="C126" s="22" t="str">
        <f t="shared" si="19"/>
        <v>LAMINA_LISA__ACERO_ROLADA EN FRIO_3'X8'_12</v>
      </c>
      <c r="D126" s="14" t="s">
        <v>7407</v>
      </c>
      <c r="E126" s="14" t="s">
        <v>7380</v>
      </c>
      <c r="F126" s="21" t="s">
        <v>7400</v>
      </c>
      <c r="G126" s="22" t="s">
        <v>7382</v>
      </c>
      <c r="H126" s="14">
        <v>12</v>
      </c>
      <c r="I126" s="16">
        <v>2.66</v>
      </c>
      <c r="J126" s="16">
        <f t="shared" si="10"/>
        <v>0.1047244094488189</v>
      </c>
      <c r="K126" s="16">
        <v>20.881</v>
      </c>
      <c r="L126" s="23">
        <v>4</v>
      </c>
      <c r="M126" s="23"/>
      <c r="N126" s="23"/>
      <c r="O126" s="23"/>
      <c r="P126" s="23"/>
      <c r="Q126" s="19"/>
      <c r="R126" s="17">
        <v>3</v>
      </c>
      <c r="S126" s="17">
        <v>8</v>
      </c>
      <c r="T126" s="16">
        <f t="shared" si="11"/>
        <v>2438.3999999999996</v>
      </c>
      <c r="U126" s="16">
        <f t="shared" si="12"/>
        <v>914.4</v>
      </c>
      <c r="V126" s="18">
        <f t="shared" si="13"/>
        <v>2229672.9599999995</v>
      </c>
      <c r="W126" s="18">
        <f t="shared" si="14"/>
        <v>2.2296729599999994</v>
      </c>
      <c r="X126" s="18">
        <f t="shared" si="15"/>
        <v>46.55780107775999</v>
      </c>
      <c r="Y126" s="24">
        <v>35</v>
      </c>
      <c r="Z126" s="24">
        <f t="shared" si="16"/>
        <v>1629.5230377215996</v>
      </c>
      <c r="AA126" s="16">
        <v>28</v>
      </c>
      <c r="AB126" s="16">
        <f t="shared" si="17"/>
        <v>2382.3999999999996</v>
      </c>
      <c r="AC126" s="16">
        <f t="shared" si="17"/>
        <v>858.4</v>
      </c>
      <c r="AD126" s="19">
        <f t="shared" si="18"/>
        <v>2045052.1599999997</v>
      </c>
      <c r="AE126" s="1" t="s">
        <v>7456</v>
      </c>
      <c r="AF126" s="1" t="str">
        <f>VLOOKUP(AE126,t_objeto!B:C,2,FALSE)</f>
        <v>RAW_MATERIAL</v>
      </c>
      <c r="AG126" s="1">
        <v>8</v>
      </c>
      <c r="AH126" s="1" t="str">
        <f>VLOOKUP(AG126,t_entry_status!A:AE,2,FALSE)</f>
        <v>PENDING</v>
      </c>
      <c r="AI126" s="7">
        <v>45560</v>
      </c>
      <c r="AJ126" s="1" t="s">
        <v>7449</v>
      </c>
      <c r="AK126" s="7">
        <v>45560</v>
      </c>
      <c r="AL126" s="1" t="s">
        <v>7449</v>
      </c>
    </row>
    <row r="127" spans="1:38" s="20" customFormat="1" x14ac:dyDescent="0.25">
      <c r="A127" s="14">
        <v>126</v>
      </c>
      <c r="B127" s="14" t="str">
        <f>_xlfn.CONCAT(AE127,"-",VLOOKUP(AE127,t_objeto!B:D,3,FALSE),"-",A127)</f>
        <v>RRMM-PERCCO-126</v>
      </c>
      <c r="C127" s="22" t="str">
        <f t="shared" si="19"/>
        <v>LAMINA_LISA__ACERO_ROLADA EN FRIO_3'X8'_13</v>
      </c>
      <c r="D127" s="14" t="s">
        <v>7407</v>
      </c>
      <c r="E127" s="14" t="s">
        <v>7380</v>
      </c>
      <c r="F127" s="21" t="s">
        <v>7400</v>
      </c>
      <c r="G127" s="22" t="s">
        <v>7382</v>
      </c>
      <c r="H127" s="14">
        <v>13</v>
      </c>
      <c r="I127" s="16">
        <v>2.2799999999999998</v>
      </c>
      <c r="J127" s="16">
        <f t="shared" si="10"/>
        <v>8.9763779527559054E-2</v>
      </c>
      <c r="K127" s="16">
        <v>17.898</v>
      </c>
      <c r="L127" s="23">
        <v>5</v>
      </c>
      <c r="M127" s="23"/>
      <c r="N127" s="23"/>
      <c r="O127" s="23"/>
      <c r="P127" s="23"/>
      <c r="Q127" s="19"/>
      <c r="R127" s="17">
        <v>3</v>
      </c>
      <c r="S127" s="17">
        <v>8</v>
      </c>
      <c r="T127" s="16">
        <f t="shared" si="11"/>
        <v>2438.3999999999996</v>
      </c>
      <c r="U127" s="16">
        <f t="shared" si="12"/>
        <v>914.4</v>
      </c>
      <c r="V127" s="18">
        <f t="shared" si="13"/>
        <v>2229672.9599999995</v>
      </c>
      <c r="W127" s="18">
        <f t="shared" si="14"/>
        <v>2.2296729599999994</v>
      </c>
      <c r="X127" s="18">
        <f t="shared" si="15"/>
        <v>39.906686638079989</v>
      </c>
      <c r="Y127" s="24">
        <v>35</v>
      </c>
      <c r="Z127" s="24">
        <f t="shared" si="16"/>
        <v>1396.7340323327996</v>
      </c>
      <c r="AA127" s="16">
        <v>29</v>
      </c>
      <c r="AB127" s="16">
        <f t="shared" si="17"/>
        <v>2380.3999999999996</v>
      </c>
      <c r="AC127" s="16">
        <f t="shared" si="17"/>
        <v>856.4</v>
      </c>
      <c r="AD127" s="19">
        <f t="shared" si="18"/>
        <v>2038574.5599999996</v>
      </c>
      <c r="AE127" s="1" t="s">
        <v>7456</v>
      </c>
      <c r="AF127" s="1" t="str">
        <f>VLOOKUP(AE127,t_objeto!B:C,2,FALSE)</f>
        <v>RAW_MATERIAL</v>
      </c>
      <c r="AG127" s="1">
        <v>8</v>
      </c>
      <c r="AH127" s="1" t="str">
        <f>VLOOKUP(AG127,t_entry_status!A:AE,2,FALSE)</f>
        <v>PENDING</v>
      </c>
      <c r="AI127" s="7">
        <v>45560</v>
      </c>
      <c r="AJ127" s="1" t="s">
        <v>7449</v>
      </c>
      <c r="AK127" s="7">
        <v>45560</v>
      </c>
      <c r="AL127" s="1" t="s">
        <v>7449</v>
      </c>
    </row>
    <row r="128" spans="1:38" s="20" customFormat="1" x14ac:dyDescent="0.25">
      <c r="A128" s="14">
        <v>127</v>
      </c>
      <c r="B128" s="14" t="str">
        <f>_xlfn.CONCAT(AE128,"-",VLOOKUP(AE128,t_objeto!B:D,3,FALSE),"-",A128)</f>
        <v>RRMM-PERCCO-127</v>
      </c>
      <c r="C128" s="22" t="str">
        <f t="shared" si="19"/>
        <v>LAMINA_LISA__ACERO_ROLADA EN FRIO_3'X8'_14</v>
      </c>
      <c r="D128" s="14" t="s">
        <v>7407</v>
      </c>
      <c r="E128" s="14" t="s">
        <v>7380</v>
      </c>
      <c r="F128" s="21" t="s">
        <v>7400</v>
      </c>
      <c r="G128" s="22" t="s">
        <v>7382</v>
      </c>
      <c r="H128" s="14">
        <v>14</v>
      </c>
      <c r="I128" s="16">
        <v>1.9</v>
      </c>
      <c r="J128" s="16">
        <f t="shared" si="10"/>
        <v>7.4803149606299218E-2</v>
      </c>
      <c r="K128" s="16">
        <v>14.914999999999999</v>
      </c>
      <c r="L128" s="23">
        <v>5</v>
      </c>
      <c r="M128" s="23">
        <v>1</v>
      </c>
      <c r="N128" s="23">
        <v>10</v>
      </c>
      <c r="O128" s="23"/>
      <c r="P128" s="23"/>
      <c r="Q128" s="19" t="s">
        <v>7402</v>
      </c>
      <c r="R128" s="17">
        <v>3</v>
      </c>
      <c r="S128" s="17">
        <v>8</v>
      </c>
      <c r="T128" s="16">
        <f t="shared" si="11"/>
        <v>2438.3999999999996</v>
      </c>
      <c r="U128" s="16">
        <f t="shared" si="12"/>
        <v>914.4</v>
      </c>
      <c r="V128" s="18">
        <f t="shared" si="13"/>
        <v>2229672.9599999995</v>
      </c>
      <c r="W128" s="18">
        <f t="shared" si="14"/>
        <v>2.2296729599999994</v>
      </c>
      <c r="X128" s="18">
        <f t="shared" si="15"/>
        <v>33.255572198399989</v>
      </c>
      <c r="Y128" s="24">
        <v>35</v>
      </c>
      <c r="Z128" s="24">
        <f t="shared" si="16"/>
        <v>1163.9450269439997</v>
      </c>
      <c r="AA128" s="16">
        <v>30</v>
      </c>
      <c r="AB128" s="16">
        <f t="shared" si="17"/>
        <v>2378.3999999999996</v>
      </c>
      <c r="AC128" s="16">
        <f t="shared" si="17"/>
        <v>854.4</v>
      </c>
      <c r="AD128" s="19">
        <f t="shared" si="18"/>
        <v>2032104.9599999997</v>
      </c>
      <c r="AE128" s="1" t="s">
        <v>7456</v>
      </c>
      <c r="AF128" s="1" t="str">
        <f>VLOOKUP(AE128,t_objeto!B:C,2,FALSE)</f>
        <v>RAW_MATERIAL</v>
      </c>
      <c r="AG128" s="1">
        <v>8</v>
      </c>
      <c r="AH128" s="1" t="str">
        <f>VLOOKUP(AG128,t_entry_status!A:AE,2,FALSE)</f>
        <v>PENDING</v>
      </c>
      <c r="AI128" s="7">
        <v>45560</v>
      </c>
      <c r="AJ128" s="1" t="s">
        <v>7449</v>
      </c>
      <c r="AK128" s="7">
        <v>45560</v>
      </c>
      <c r="AL128" s="1" t="s">
        <v>7449</v>
      </c>
    </row>
    <row r="129" spans="1:38" s="20" customFormat="1" x14ac:dyDescent="0.25">
      <c r="A129" s="14">
        <v>128</v>
      </c>
      <c r="B129" s="14" t="str">
        <f>_xlfn.CONCAT(AE129,"-",VLOOKUP(AE129,t_objeto!B:D,3,FALSE),"-",A129)</f>
        <v>RRMM-PERCCO-128</v>
      </c>
      <c r="C129" s="22" t="str">
        <f t="shared" si="19"/>
        <v>LAMINA_LISA__ACERO_ROLADA EN FRIO_3'X8'_15</v>
      </c>
      <c r="D129" s="14" t="s">
        <v>7407</v>
      </c>
      <c r="E129" s="14" t="s">
        <v>7380</v>
      </c>
      <c r="F129" s="21" t="s">
        <v>7400</v>
      </c>
      <c r="G129" s="22" t="s">
        <v>7382</v>
      </c>
      <c r="H129" s="14">
        <v>15</v>
      </c>
      <c r="I129" s="16">
        <v>1.71</v>
      </c>
      <c r="J129" s="16">
        <f t="shared" si="10"/>
        <v>6.7322834645669294E-2</v>
      </c>
      <c r="K129" s="16">
        <v>13.423999999999999</v>
      </c>
      <c r="L129" s="23"/>
      <c r="M129" s="23"/>
      <c r="N129" s="23"/>
      <c r="O129" s="23"/>
      <c r="P129" s="23"/>
      <c r="Q129" s="19"/>
      <c r="R129" s="17">
        <v>3</v>
      </c>
      <c r="S129" s="17">
        <v>8</v>
      </c>
      <c r="T129" s="16">
        <f t="shared" si="11"/>
        <v>2438.3999999999996</v>
      </c>
      <c r="U129" s="16">
        <f t="shared" si="12"/>
        <v>914.4</v>
      </c>
      <c r="V129" s="18">
        <f t="shared" si="13"/>
        <v>2229672.9599999995</v>
      </c>
      <c r="W129" s="18">
        <f t="shared" si="14"/>
        <v>2.2296729599999994</v>
      </c>
      <c r="X129" s="18">
        <f t="shared" si="15"/>
        <v>29.931129815039991</v>
      </c>
      <c r="Y129" s="24">
        <v>35</v>
      </c>
      <c r="Z129" s="24">
        <f t="shared" si="16"/>
        <v>1047.5895435263997</v>
      </c>
      <c r="AA129" s="16">
        <v>31</v>
      </c>
      <c r="AB129" s="16">
        <f t="shared" si="17"/>
        <v>2376.3999999999996</v>
      </c>
      <c r="AC129" s="16">
        <f t="shared" si="17"/>
        <v>852.4</v>
      </c>
      <c r="AD129" s="19">
        <f t="shared" si="18"/>
        <v>2025643.3599999996</v>
      </c>
      <c r="AE129" s="1" t="s">
        <v>7456</v>
      </c>
      <c r="AF129" s="1" t="str">
        <f>VLOOKUP(AE129,t_objeto!B:C,2,FALSE)</f>
        <v>RAW_MATERIAL</v>
      </c>
      <c r="AG129" s="1">
        <v>8</v>
      </c>
      <c r="AH129" s="1" t="str">
        <f>VLOOKUP(AG129,t_entry_status!A:AE,2,FALSE)</f>
        <v>PENDING</v>
      </c>
      <c r="AI129" s="7">
        <v>45560</v>
      </c>
      <c r="AJ129" s="1" t="s">
        <v>7449</v>
      </c>
      <c r="AK129" s="7">
        <v>45560</v>
      </c>
      <c r="AL129" s="1" t="s">
        <v>7449</v>
      </c>
    </row>
    <row r="130" spans="1:38" s="20" customFormat="1" x14ac:dyDescent="0.25">
      <c r="A130" s="14">
        <v>129</v>
      </c>
      <c r="B130" s="14" t="str">
        <f>_xlfn.CONCAT(AE130,"-",VLOOKUP(AE130,t_objeto!B:D,3,FALSE),"-",A130)</f>
        <v>RRMM-PERCCO-129</v>
      </c>
      <c r="C130" s="22" t="str">
        <f t="shared" si="19"/>
        <v>LAMINA_LISA__ACERO_ROLADA EN FRIO_3'X8'_16</v>
      </c>
      <c r="D130" s="14" t="s">
        <v>7407</v>
      </c>
      <c r="E130" s="14" t="s">
        <v>7380</v>
      </c>
      <c r="F130" s="21" t="s">
        <v>7400</v>
      </c>
      <c r="G130" s="22" t="s">
        <v>7382</v>
      </c>
      <c r="H130" s="14">
        <v>16</v>
      </c>
      <c r="I130" s="16">
        <v>1.52</v>
      </c>
      <c r="J130" s="16">
        <f t="shared" ref="J130:J144" si="20">I130/25.4</f>
        <v>5.9842519685039376E-2</v>
      </c>
      <c r="K130" s="16">
        <v>11.932</v>
      </c>
      <c r="L130" s="23"/>
      <c r="M130" s="23"/>
      <c r="N130" s="23"/>
      <c r="O130" s="23"/>
      <c r="P130" s="23"/>
      <c r="Q130" s="19"/>
      <c r="R130" s="17">
        <v>3</v>
      </c>
      <c r="S130" s="17">
        <v>8</v>
      </c>
      <c r="T130" s="16">
        <f t="shared" ref="T130:T193" si="21">S130*12*25.4</f>
        <v>2438.3999999999996</v>
      </c>
      <c r="U130" s="16">
        <f t="shared" ref="U130:U193" si="22">R130*12*25.4</f>
        <v>914.4</v>
      </c>
      <c r="V130" s="18">
        <f t="shared" ref="V130:V193" si="23">T130*U130</f>
        <v>2229672.9599999995</v>
      </c>
      <c r="W130" s="18">
        <f t="shared" ref="W130:W193" si="24">V130/1000000</f>
        <v>2.2296729599999994</v>
      </c>
      <c r="X130" s="18">
        <f t="shared" ref="X130:X193" si="25">K130*W130</f>
        <v>26.604457758719992</v>
      </c>
      <c r="Y130" s="24">
        <v>35</v>
      </c>
      <c r="Z130" s="24">
        <f t="shared" ref="Z130:Z193" si="26">X130*Y130</f>
        <v>931.15602155519969</v>
      </c>
      <c r="AA130" s="16">
        <v>32</v>
      </c>
      <c r="AB130" s="16">
        <f t="shared" ref="AB130:AC193" si="27">T130-($AA130*2)</f>
        <v>2374.3999999999996</v>
      </c>
      <c r="AC130" s="16">
        <f t="shared" si="27"/>
        <v>850.4</v>
      </c>
      <c r="AD130" s="19">
        <f t="shared" ref="AD130:AD193" si="28">AB130*AC130</f>
        <v>2019189.7599999995</v>
      </c>
      <c r="AE130" s="1" t="s">
        <v>7456</v>
      </c>
      <c r="AF130" s="1" t="str">
        <f>VLOOKUP(AE130,t_objeto!B:C,2,FALSE)</f>
        <v>RAW_MATERIAL</v>
      </c>
      <c r="AG130" s="1">
        <v>8</v>
      </c>
      <c r="AH130" s="1" t="str">
        <f>VLOOKUP(AG130,t_entry_status!A:AE,2,FALSE)</f>
        <v>PENDING</v>
      </c>
      <c r="AI130" s="7">
        <v>45560</v>
      </c>
      <c r="AJ130" s="1" t="s">
        <v>7449</v>
      </c>
      <c r="AK130" s="7">
        <v>45560</v>
      </c>
      <c r="AL130" s="1" t="s">
        <v>7449</v>
      </c>
    </row>
    <row r="131" spans="1:38" s="20" customFormat="1" x14ac:dyDescent="0.25">
      <c r="A131" s="14">
        <v>130</v>
      </c>
      <c r="B131" s="14" t="str">
        <f>_xlfn.CONCAT(AE131,"-",VLOOKUP(AE131,t_objeto!B:D,3,FALSE),"-",A131)</f>
        <v>RRMM-PERCCO-130</v>
      </c>
      <c r="C131" s="22" t="str">
        <f t="shared" ref="C131:C194" si="29">_xlfn.CONCAT(D131,"_","_",E131,"_",F131,"_",R131,"'","X",S131,"'","_",H131)</f>
        <v>LAMINA_LISA__ACERO_ROLADA EN FRIO_3'X8'_17</v>
      </c>
      <c r="D131" s="14" t="s">
        <v>7407</v>
      </c>
      <c r="E131" s="14" t="s">
        <v>7380</v>
      </c>
      <c r="F131" s="21" t="s">
        <v>7400</v>
      </c>
      <c r="G131" s="22" t="s">
        <v>7382</v>
      </c>
      <c r="H131" s="14">
        <v>17</v>
      </c>
      <c r="I131" s="16">
        <v>1.37</v>
      </c>
      <c r="J131" s="16">
        <f t="shared" si="20"/>
        <v>5.3937007874015758E-2</v>
      </c>
      <c r="K131" s="16">
        <v>10.755000000000001</v>
      </c>
      <c r="L131" s="23"/>
      <c r="M131" s="23"/>
      <c r="N131" s="23"/>
      <c r="O131" s="23"/>
      <c r="P131" s="23"/>
      <c r="Q131" s="19"/>
      <c r="R131" s="17">
        <v>3</v>
      </c>
      <c r="S131" s="17">
        <v>8</v>
      </c>
      <c r="T131" s="16">
        <f t="shared" si="21"/>
        <v>2438.3999999999996</v>
      </c>
      <c r="U131" s="16">
        <f t="shared" si="22"/>
        <v>914.4</v>
      </c>
      <c r="V131" s="18">
        <f t="shared" si="23"/>
        <v>2229672.9599999995</v>
      </c>
      <c r="W131" s="18">
        <f t="shared" si="24"/>
        <v>2.2296729599999994</v>
      </c>
      <c r="X131" s="18">
        <f t="shared" si="25"/>
        <v>23.980132684799994</v>
      </c>
      <c r="Y131" s="24">
        <v>35</v>
      </c>
      <c r="Z131" s="24">
        <f t="shared" si="26"/>
        <v>839.30464396799982</v>
      </c>
      <c r="AA131" s="16">
        <v>33</v>
      </c>
      <c r="AB131" s="16">
        <f t="shared" si="27"/>
        <v>2372.3999999999996</v>
      </c>
      <c r="AC131" s="16">
        <f t="shared" si="27"/>
        <v>848.4</v>
      </c>
      <c r="AD131" s="19">
        <f t="shared" si="28"/>
        <v>2012744.1599999997</v>
      </c>
      <c r="AE131" s="1" t="s">
        <v>7456</v>
      </c>
      <c r="AF131" s="1" t="str">
        <f>VLOOKUP(AE131,t_objeto!B:C,2,FALSE)</f>
        <v>RAW_MATERIAL</v>
      </c>
      <c r="AG131" s="1">
        <v>8</v>
      </c>
      <c r="AH131" s="1" t="str">
        <f>VLOOKUP(AG131,t_entry_status!A:AE,2,FALSE)</f>
        <v>PENDING</v>
      </c>
      <c r="AI131" s="7">
        <v>45560</v>
      </c>
      <c r="AJ131" s="1" t="s">
        <v>7449</v>
      </c>
      <c r="AK131" s="7">
        <v>45560</v>
      </c>
      <c r="AL131" s="1" t="s">
        <v>7449</v>
      </c>
    </row>
    <row r="132" spans="1:38" s="20" customFormat="1" x14ac:dyDescent="0.25">
      <c r="A132" s="14">
        <v>131</v>
      </c>
      <c r="B132" s="14" t="str">
        <f>_xlfn.CONCAT(AE132,"-",VLOOKUP(AE132,t_objeto!B:D,3,FALSE),"-",A132)</f>
        <v>RRMM-PERCCO-131</v>
      </c>
      <c r="C132" s="22" t="str">
        <f t="shared" si="29"/>
        <v>LAMINA_LISA__ACERO_ROLADA EN FRIO_3'X8'_18</v>
      </c>
      <c r="D132" s="14" t="s">
        <v>7407</v>
      </c>
      <c r="E132" s="14" t="s">
        <v>7380</v>
      </c>
      <c r="F132" s="21" t="s">
        <v>7400</v>
      </c>
      <c r="G132" s="22" t="s">
        <v>7382</v>
      </c>
      <c r="H132" s="14">
        <v>18</v>
      </c>
      <c r="I132" s="16">
        <v>1.21</v>
      </c>
      <c r="J132" s="16">
        <f t="shared" si="20"/>
        <v>4.7637795275590554E-2</v>
      </c>
      <c r="K132" s="16">
        <v>9.4990000000000006</v>
      </c>
      <c r="L132" s="23"/>
      <c r="M132" s="23"/>
      <c r="N132" s="23"/>
      <c r="O132" s="23"/>
      <c r="P132" s="23"/>
      <c r="Q132" s="19"/>
      <c r="R132" s="17">
        <v>3</v>
      </c>
      <c r="S132" s="17">
        <v>8</v>
      </c>
      <c r="T132" s="16">
        <f t="shared" si="21"/>
        <v>2438.3999999999996</v>
      </c>
      <c r="U132" s="16">
        <f t="shared" si="22"/>
        <v>914.4</v>
      </c>
      <c r="V132" s="18">
        <f t="shared" si="23"/>
        <v>2229672.9599999995</v>
      </c>
      <c r="W132" s="18">
        <f t="shared" si="24"/>
        <v>2.2296729599999994</v>
      </c>
      <c r="X132" s="18">
        <f t="shared" si="25"/>
        <v>21.179663447039996</v>
      </c>
      <c r="Y132" s="24">
        <v>35</v>
      </c>
      <c r="Z132" s="24">
        <f t="shared" si="26"/>
        <v>741.28822064639985</v>
      </c>
      <c r="AA132" s="16">
        <v>34</v>
      </c>
      <c r="AB132" s="16">
        <f t="shared" si="27"/>
        <v>2370.3999999999996</v>
      </c>
      <c r="AC132" s="16">
        <f t="shared" si="27"/>
        <v>846.4</v>
      </c>
      <c r="AD132" s="19">
        <f t="shared" si="28"/>
        <v>2006306.5599999996</v>
      </c>
      <c r="AE132" s="1" t="s">
        <v>7456</v>
      </c>
      <c r="AF132" s="1" t="str">
        <f>VLOOKUP(AE132,t_objeto!B:C,2,FALSE)</f>
        <v>RAW_MATERIAL</v>
      </c>
      <c r="AG132" s="1">
        <v>8</v>
      </c>
      <c r="AH132" s="1" t="str">
        <f>VLOOKUP(AG132,t_entry_status!A:AE,2,FALSE)</f>
        <v>PENDING</v>
      </c>
      <c r="AI132" s="7">
        <v>45560</v>
      </c>
      <c r="AJ132" s="1" t="s">
        <v>7449</v>
      </c>
      <c r="AK132" s="7">
        <v>45560</v>
      </c>
      <c r="AL132" s="1" t="s">
        <v>7449</v>
      </c>
    </row>
    <row r="133" spans="1:38" s="20" customFormat="1" x14ac:dyDescent="0.25">
      <c r="A133" s="14">
        <v>132</v>
      </c>
      <c r="B133" s="14" t="str">
        <f>_xlfn.CONCAT(AE133,"-",VLOOKUP(AE133,t_objeto!B:D,3,FALSE),"-",A133)</f>
        <v>RRMM-PERCCO-132</v>
      </c>
      <c r="C133" s="22" t="str">
        <f t="shared" si="29"/>
        <v>LAMINA_LISA__ACERO_ROLADA EN FRIO_3'X8'_19</v>
      </c>
      <c r="D133" s="14" t="s">
        <v>7407</v>
      </c>
      <c r="E133" s="14" t="s">
        <v>7380</v>
      </c>
      <c r="F133" s="21" t="s">
        <v>7400</v>
      </c>
      <c r="G133" s="22" t="s">
        <v>7382</v>
      </c>
      <c r="H133" s="14">
        <v>19</v>
      </c>
      <c r="I133" s="16">
        <v>1.06</v>
      </c>
      <c r="J133" s="16">
        <f t="shared" si="20"/>
        <v>4.1732283464566935E-2</v>
      </c>
      <c r="K133" s="16">
        <v>8.3209999999999997</v>
      </c>
      <c r="L133" s="23"/>
      <c r="M133" s="23"/>
      <c r="N133" s="23"/>
      <c r="O133" s="23"/>
      <c r="P133" s="23"/>
      <c r="Q133" s="19"/>
      <c r="R133" s="17">
        <v>3</v>
      </c>
      <c r="S133" s="17">
        <v>8</v>
      </c>
      <c r="T133" s="16">
        <f t="shared" si="21"/>
        <v>2438.3999999999996</v>
      </c>
      <c r="U133" s="16">
        <f t="shared" si="22"/>
        <v>914.4</v>
      </c>
      <c r="V133" s="18">
        <f t="shared" si="23"/>
        <v>2229672.9599999995</v>
      </c>
      <c r="W133" s="18">
        <f t="shared" si="24"/>
        <v>2.2296729599999994</v>
      </c>
      <c r="X133" s="18">
        <f t="shared" si="25"/>
        <v>18.553108700159996</v>
      </c>
      <c r="Y133" s="24">
        <v>35</v>
      </c>
      <c r="Z133" s="24">
        <f t="shared" si="26"/>
        <v>649.35880450559989</v>
      </c>
      <c r="AA133" s="16">
        <v>35</v>
      </c>
      <c r="AB133" s="16">
        <f t="shared" si="27"/>
        <v>2368.3999999999996</v>
      </c>
      <c r="AC133" s="16">
        <f t="shared" si="27"/>
        <v>844.4</v>
      </c>
      <c r="AD133" s="19">
        <f t="shared" si="28"/>
        <v>1999876.9599999997</v>
      </c>
      <c r="AE133" s="1" t="s">
        <v>7456</v>
      </c>
      <c r="AF133" s="1" t="str">
        <f>VLOOKUP(AE133,t_objeto!B:C,2,FALSE)</f>
        <v>RAW_MATERIAL</v>
      </c>
      <c r="AG133" s="1">
        <v>8</v>
      </c>
      <c r="AH133" s="1" t="str">
        <f>VLOOKUP(AG133,t_entry_status!A:AE,2,FALSE)</f>
        <v>PENDING</v>
      </c>
      <c r="AI133" s="7">
        <v>45560</v>
      </c>
      <c r="AJ133" s="1" t="s">
        <v>7449</v>
      </c>
      <c r="AK133" s="7">
        <v>45560</v>
      </c>
      <c r="AL133" s="1" t="s">
        <v>7449</v>
      </c>
    </row>
    <row r="134" spans="1:38" s="20" customFormat="1" x14ac:dyDescent="0.25">
      <c r="A134" s="14">
        <v>133</v>
      </c>
      <c r="B134" s="14" t="str">
        <f>_xlfn.CONCAT(AE134,"-",VLOOKUP(AE134,t_objeto!B:D,3,FALSE),"-",A134)</f>
        <v>RRMM-PERCCO-133</v>
      </c>
      <c r="C134" s="22" t="str">
        <f t="shared" si="29"/>
        <v>LAMINA_LISA__ACERO_ROLADA EN FRIO_3'X8'_20</v>
      </c>
      <c r="D134" s="14" t="s">
        <v>7407</v>
      </c>
      <c r="E134" s="14" t="s">
        <v>7380</v>
      </c>
      <c r="F134" s="21" t="s">
        <v>7400</v>
      </c>
      <c r="G134" s="22" t="s">
        <v>7382</v>
      </c>
      <c r="H134" s="14">
        <v>20</v>
      </c>
      <c r="I134" s="16">
        <v>0.91</v>
      </c>
      <c r="J134" s="16">
        <f t="shared" si="20"/>
        <v>3.582677165354331E-2</v>
      </c>
      <c r="K134" s="16">
        <v>7.1440000000000001</v>
      </c>
      <c r="L134" s="23"/>
      <c r="M134" s="23"/>
      <c r="N134" s="23"/>
      <c r="O134" s="23"/>
      <c r="P134" s="23"/>
      <c r="Q134" s="19"/>
      <c r="R134" s="17">
        <v>3</v>
      </c>
      <c r="S134" s="17">
        <v>8</v>
      </c>
      <c r="T134" s="16">
        <f t="shared" si="21"/>
        <v>2438.3999999999996</v>
      </c>
      <c r="U134" s="16">
        <f t="shared" si="22"/>
        <v>914.4</v>
      </c>
      <c r="V134" s="18">
        <f t="shared" si="23"/>
        <v>2229672.9599999995</v>
      </c>
      <c r="W134" s="18">
        <f t="shared" si="24"/>
        <v>2.2296729599999994</v>
      </c>
      <c r="X134" s="18">
        <f t="shared" si="25"/>
        <v>15.928783626239996</v>
      </c>
      <c r="Y134" s="24">
        <v>35</v>
      </c>
      <c r="Z134" s="24">
        <f t="shared" si="26"/>
        <v>557.50742691839991</v>
      </c>
      <c r="AA134" s="16">
        <v>36</v>
      </c>
      <c r="AB134" s="16">
        <f t="shared" si="27"/>
        <v>2366.3999999999996</v>
      </c>
      <c r="AC134" s="16">
        <f t="shared" si="27"/>
        <v>842.4</v>
      </c>
      <c r="AD134" s="19">
        <f t="shared" si="28"/>
        <v>1993455.3599999996</v>
      </c>
      <c r="AE134" s="1" t="s">
        <v>7456</v>
      </c>
      <c r="AF134" s="1" t="str">
        <f>VLOOKUP(AE134,t_objeto!B:C,2,FALSE)</f>
        <v>RAW_MATERIAL</v>
      </c>
      <c r="AG134" s="1">
        <v>8</v>
      </c>
      <c r="AH134" s="1" t="str">
        <f>VLOOKUP(AG134,t_entry_status!A:AE,2,FALSE)</f>
        <v>PENDING</v>
      </c>
      <c r="AI134" s="7">
        <v>45560</v>
      </c>
      <c r="AJ134" s="1" t="s">
        <v>7449</v>
      </c>
      <c r="AK134" s="7">
        <v>45560</v>
      </c>
      <c r="AL134" s="1" t="s">
        <v>7449</v>
      </c>
    </row>
    <row r="135" spans="1:38" s="20" customFormat="1" x14ac:dyDescent="0.25">
      <c r="A135" s="14">
        <v>134</v>
      </c>
      <c r="B135" s="14" t="str">
        <f>_xlfn.CONCAT(AE135,"-",VLOOKUP(AE135,t_objeto!B:D,3,FALSE),"-",A135)</f>
        <v>RRMM-PERCCO-134</v>
      </c>
      <c r="C135" s="22" t="str">
        <f t="shared" si="29"/>
        <v>LAMINA_LISA__ACERO_ROLADA EN FRIO_3'X8'_21</v>
      </c>
      <c r="D135" s="14" t="s">
        <v>7407</v>
      </c>
      <c r="E135" s="14" t="s">
        <v>7380</v>
      </c>
      <c r="F135" s="21" t="s">
        <v>7400</v>
      </c>
      <c r="G135" s="22" t="s">
        <v>7382</v>
      </c>
      <c r="H135" s="14">
        <v>21</v>
      </c>
      <c r="I135" s="16">
        <v>0.84</v>
      </c>
      <c r="J135" s="16">
        <f t="shared" si="20"/>
        <v>3.3070866141732283E-2</v>
      </c>
      <c r="K135" s="16">
        <v>6.5940000000000003</v>
      </c>
      <c r="L135" s="23"/>
      <c r="M135" s="23"/>
      <c r="N135" s="23"/>
      <c r="O135" s="23"/>
      <c r="P135" s="23"/>
      <c r="Q135" s="19"/>
      <c r="R135" s="17">
        <v>3</v>
      </c>
      <c r="S135" s="17">
        <v>8</v>
      </c>
      <c r="T135" s="16">
        <f t="shared" si="21"/>
        <v>2438.3999999999996</v>
      </c>
      <c r="U135" s="16">
        <f t="shared" si="22"/>
        <v>914.4</v>
      </c>
      <c r="V135" s="18">
        <f t="shared" si="23"/>
        <v>2229672.9599999995</v>
      </c>
      <c r="W135" s="18">
        <f t="shared" si="24"/>
        <v>2.2296729599999994</v>
      </c>
      <c r="X135" s="18">
        <f t="shared" si="25"/>
        <v>14.702463498239997</v>
      </c>
      <c r="Y135" s="24">
        <v>35</v>
      </c>
      <c r="Z135" s="24">
        <f t="shared" si="26"/>
        <v>514.58622243839989</v>
      </c>
      <c r="AA135" s="16">
        <v>37</v>
      </c>
      <c r="AB135" s="16">
        <f t="shared" si="27"/>
        <v>2364.3999999999996</v>
      </c>
      <c r="AC135" s="16">
        <f t="shared" si="27"/>
        <v>840.4</v>
      </c>
      <c r="AD135" s="19">
        <f t="shared" si="28"/>
        <v>1987041.7599999995</v>
      </c>
      <c r="AE135" s="1" t="s">
        <v>7456</v>
      </c>
      <c r="AF135" s="1" t="str">
        <f>VLOOKUP(AE135,t_objeto!B:C,2,FALSE)</f>
        <v>RAW_MATERIAL</v>
      </c>
      <c r="AG135" s="1">
        <v>8</v>
      </c>
      <c r="AH135" s="1" t="str">
        <f>VLOOKUP(AG135,t_entry_status!A:AE,2,FALSE)</f>
        <v>PENDING</v>
      </c>
      <c r="AI135" s="7">
        <v>45560</v>
      </c>
      <c r="AJ135" s="1" t="s">
        <v>7449</v>
      </c>
      <c r="AK135" s="7">
        <v>45560</v>
      </c>
      <c r="AL135" s="1" t="s">
        <v>7449</v>
      </c>
    </row>
    <row r="136" spans="1:38" s="20" customFormat="1" x14ac:dyDescent="0.25">
      <c r="A136" s="14">
        <v>135</v>
      </c>
      <c r="B136" s="14" t="str">
        <f>_xlfn.CONCAT(AE136,"-",VLOOKUP(AE136,t_objeto!B:D,3,FALSE),"-",A136)</f>
        <v>RRMM-PERCCO-135</v>
      </c>
      <c r="C136" s="22" t="str">
        <f t="shared" si="29"/>
        <v>LAMINA_LISA__ACERO_ROLADA EN FRIO_3'X8'_22</v>
      </c>
      <c r="D136" s="14" t="s">
        <v>7407</v>
      </c>
      <c r="E136" s="14" t="s">
        <v>7380</v>
      </c>
      <c r="F136" s="21" t="s">
        <v>7400</v>
      </c>
      <c r="G136" s="22" t="s">
        <v>7382</v>
      </c>
      <c r="H136" s="14">
        <v>22</v>
      </c>
      <c r="I136" s="16">
        <v>0.76</v>
      </c>
      <c r="J136" s="16">
        <f t="shared" si="20"/>
        <v>2.9921259842519688E-2</v>
      </c>
      <c r="K136" s="16">
        <v>6.1050000000000004</v>
      </c>
      <c r="L136" s="23"/>
      <c r="M136" s="23"/>
      <c r="N136" s="23"/>
      <c r="O136" s="23"/>
      <c r="P136" s="23"/>
      <c r="Q136" s="19"/>
      <c r="R136" s="17">
        <v>3</v>
      </c>
      <c r="S136" s="17">
        <v>8</v>
      </c>
      <c r="T136" s="16">
        <f t="shared" si="21"/>
        <v>2438.3999999999996</v>
      </c>
      <c r="U136" s="16">
        <f t="shared" si="22"/>
        <v>914.4</v>
      </c>
      <c r="V136" s="18">
        <f t="shared" si="23"/>
        <v>2229672.9599999995</v>
      </c>
      <c r="W136" s="18">
        <f t="shared" si="24"/>
        <v>2.2296729599999994</v>
      </c>
      <c r="X136" s="18">
        <f t="shared" si="25"/>
        <v>13.612153420799997</v>
      </c>
      <c r="Y136" s="24">
        <v>35</v>
      </c>
      <c r="Z136" s="24">
        <f t="shared" si="26"/>
        <v>476.42536972799991</v>
      </c>
      <c r="AA136" s="16">
        <v>38</v>
      </c>
      <c r="AB136" s="16">
        <f t="shared" si="27"/>
        <v>2362.3999999999996</v>
      </c>
      <c r="AC136" s="16">
        <f t="shared" si="27"/>
        <v>838.4</v>
      </c>
      <c r="AD136" s="19">
        <f t="shared" si="28"/>
        <v>1980636.1599999997</v>
      </c>
      <c r="AE136" s="1" t="s">
        <v>7456</v>
      </c>
      <c r="AF136" s="1" t="str">
        <f>VLOOKUP(AE136,t_objeto!B:C,2,FALSE)</f>
        <v>RAW_MATERIAL</v>
      </c>
      <c r="AG136" s="1">
        <v>8</v>
      </c>
      <c r="AH136" s="1" t="str">
        <f>VLOOKUP(AG136,t_entry_status!A:AE,2,FALSE)</f>
        <v>PENDING</v>
      </c>
      <c r="AI136" s="7">
        <v>45560</v>
      </c>
      <c r="AJ136" s="1" t="s">
        <v>7449</v>
      </c>
      <c r="AK136" s="7">
        <v>45560</v>
      </c>
      <c r="AL136" s="1" t="s">
        <v>7449</v>
      </c>
    </row>
    <row r="137" spans="1:38" s="20" customFormat="1" x14ac:dyDescent="0.25">
      <c r="A137" s="14">
        <v>136</v>
      </c>
      <c r="B137" s="14" t="str">
        <f>_xlfn.CONCAT(AE137,"-",VLOOKUP(AE137,t_objeto!B:D,3,FALSE),"-",A137)</f>
        <v>RRMM-PERCCO-136</v>
      </c>
      <c r="C137" s="22" t="str">
        <f t="shared" si="29"/>
        <v>LAMINA_LISA__ACERO_ROLADA EN FRIO_3'X8'_23</v>
      </c>
      <c r="D137" s="14" t="s">
        <v>7407</v>
      </c>
      <c r="E137" s="14" t="s">
        <v>7380</v>
      </c>
      <c r="F137" s="21" t="s">
        <v>7400</v>
      </c>
      <c r="G137" s="22" t="s">
        <v>7382</v>
      </c>
      <c r="H137" s="14">
        <v>23</v>
      </c>
      <c r="I137" s="16">
        <v>0.68</v>
      </c>
      <c r="J137" s="16">
        <f t="shared" si="20"/>
        <v>2.677165354330709E-2</v>
      </c>
      <c r="K137" s="16">
        <v>5.3380000000000001</v>
      </c>
      <c r="L137" s="23"/>
      <c r="M137" s="23"/>
      <c r="N137" s="23"/>
      <c r="O137" s="23"/>
      <c r="P137" s="23"/>
      <c r="Q137" s="19"/>
      <c r="R137" s="17">
        <v>3</v>
      </c>
      <c r="S137" s="17">
        <v>8</v>
      </c>
      <c r="T137" s="16">
        <f t="shared" si="21"/>
        <v>2438.3999999999996</v>
      </c>
      <c r="U137" s="16">
        <f t="shared" si="22"/>
        <v>914.4</v>
      </c>
      <c r="V137" s="18">
        <f t="shared" si="23"/>
        <v>2229672.9599999995</v>
      </c>
      <c r="W137" s="18">
        <f t="shared" si="24"/>
        <v>2.2296729599999994</v>
      </c>
      <c r="X137" s="18">
        <f t="shared" si="25"/>
        <v>11.901994260479997</v>
      </c>
      <c r="Y137" s="24">
        <v>35</v>
      </c>
      <c r="Z137" s="24">
        <f t="shared" si="26"/>
        <v>416.56979911679991</v>
      </c>
      <c r="AA137" s="16">
        <v>39</v>
      </c>
      <c r="AB137" s="16">
        <f t="shared" si="27"/>
        <v>2360.3999999999996</v>
      </c>
      <c r="AC137" s="16">
        <f t="shared" si="27"/>
        <v>836.4</v>
      </c>
      <c r="AD137" s="19">
        <f t="shared" si="28"/>
        <v>1974238.5599999996</v>
      </c>
      <c r="AE137" s="1" t="s">
        <v>7456</v>
      </c>
      <c r="AF137" s="1" t="str">
        <f>VLOOKUP(AE137,t_objeto!B:C,2,FALSE)</f>
        <v>RAW_MATERIAL</v>
      </c>
      <c r="AG137" s="1">
        <v>8</v>
      </c>
      <c r="AH137" s="1" t="str">
        <f>VLOOKUP(AG137,t_entry_status!A:AE,2,FALSE)</f>
        <v>PENDING</v>
      </c>
      <c r="AI137" s="7">
        <v>45560</v>
      </c>
      <c r="AJ137" s="1" t="s">
        <v>7449</v>
      </c>
      <c r="AK137" s="7">
        <v>45560</v>
      </c>
      <c r="AL137" s="1" t="s">
        <v>7449</v>
      </c>
    </row>
    <row r="138" spans="1:38" s="20" customFormat="1" x14ac:dyDescent="0.25">
      <c r="A138" s="14">
        <v>137</v>
      </c>
      <c r="B138" s="14" t="str">
        <f>_xlfn.CONCAT(AE138,"-",VLOOKUP(AE138,t_objeto!B:D,3,FALSE),"-",A138)</f>
        <v>RRMM-PERCCO-137</v>
      </c>
      <c r="C138" s="22" t="str">
        <f t="shared" si="29"/>
        <v>LAMINA_LISA__ACERO_ROLADA EN FRIO_3'X8'_24</v>
      </c>
      <c r="D138" s="14" t="s">
        <v>7407</v>
      </c>
      <c r="E138" s="14" t="s">
        <v>7380</v>
      </c>
      <c r="F138" s="21" t="s">
        <v>7400</v>
      </c>
      <c r="G138" s="22" t="s">
        <v>7382</v>
      </c>
      <c r="H138" s="14">
        <v>24</v>
      </c>
      <c r="I138" s="16">
        <v>0.61</v>
      </c>
      <c r="J138" s="16">
        <f t="shared" si="20"/>
        <v>2.4015748031496063E-2</v>
      </c>
      <c r="K138" s="16">
        <v>4.7889999999999997</v>
      </c>
      <c r="L138" s="23"/>
      <c r="M138" s="23"/>
      <c r="N138" s="23"/>
      <c r="O138" s="23"/>
      <c r="P138" s="23"/>
      <c r="Q138" s="19"/>
      <c r="R138" s="17">
        <v>3</v>
      </c>
      <c r="S138" s="17">
        <v>8</v>
      </c>
      <c r="T138" s="16">
        <f t="shared" si="21"/>
        <v>2438.3999999999996</v>
      </c>
      <c r="U138" s="16">
        <f t="shared" si="22"/>
        <v>914.4</v>
      </c>
      <c r="V138" s="18">
        <f t="shared" si="23"/>
        <v>2229672.9599999995</v>
      </c>
      <c r="W138" s="18">
        <f t="shared" si="24"/>
        <v>2.2296729599999994</v>
      </c>
      <c r="X138" s="18">
        <f t="shared" si="25"/>
        <v>10.677903805439996</v>
      </c>
      <c r="Y138" s="24">
        <v>35</v>
      </c>
      <c r="Z138" s="24">
        <f t="shared" si="26"/>
        <v>373.72663319039987</v>
      </c>
      <c r="AA138" s="16">
        <v>40</v>
      </c>
      <c r="AB138" s="16">
        <f t="shared" si="27"/>
        <v>2358.3999999999996</v>
      </c>
      <c r="AC138" s="16">
        <f t="shared" si="27"/>
        <v>834.4</v>
      </c>
      <c r="AD138" s="19">
        <f t="shared" si="28"/>
        <v>1967848.9599999997</v>
      </c>
      <c r="AE138" s="1" t="s">
        <v>7456</v>
      </c>
      <c r="AF138" s="1" t="str">
        <f>VLOOKUP(AE138,t_objeto!B:C,2,FALSE)</f>
        <v>RAW_MATERIAL</v>
      </c>
      <c r="AG138" s="1">
        <v>8</v>
      </c>
      <c r="AH138" s="1" t="str">
        <f>VLOOKUP(AG138,t_entry_status!A:AE,2,FALSE)</f>
        <v>PENDING</v>
      </c>
      <c r="AI138" s="7">
        <v>45560</v>
      </c>
      <c r="AJ138" s="1" t="s">
        <v>7449</v>
      </c>
      <c r="AK138" s="7">
        <v>45560</v>
      </c>
      <c r="AL138" s="1" t="s">
        <v>7449</v>
      </c>
    </row>
    <row r="139" spans="1:38" s="20" customFormat="1" x14ac:dyDescent="0.25">
      <c r="A139" s="14">
        <v>138</v>
      </c>
      <c r="B139" s="14" t="str">
        <f>_xlfn.CONCAT(AE139,"-",VLOOKUP(AE139,t_objeto!B:D,3,FALSE),"-",A139)</f>
        <v>RRMM-PERCCO-138</v>
      </c>
      <c r="C139" s="22" t="str">
        <f t="shared" si="29"/>
        <v>LAMINA_LISA__ACERO_ROLADA EN FRIO_3'X8'_25</v>
      </c>
      <c r="D139" s="14" t="s">
        <v>7407</v>
      </c>
      <c r="E139" s="14" t="s">
        <v>7380</v>
      </c>
      <c r="F139" s="21" t="s">
        <v>7400</v>
      </c>
      <c r="G139" s="22" t="s">
        <v>7382</v>
      </c>
      <c r="H139" s="14">
        <v>25</v>
      </c>
      <c r="I139" s="16">
        <v>0.53</v>
      </c>
      <c r="J139" s="16">
        <f t="shared" si="20"/>
        <v>2.0866141732283468E-2</v>
      </c>
      <c r="K139" s="16">
        <v>4.1609999999999996</v>
      </c>
      <c r="L139" s="23"/>
      <c r="M139" s="23"/>
      <c r="N139" s="23"/>
      <c r="O139" s="23"/>
      <c r="P139" s="23"/>
      <c r="Q139" s="19"/>
      <c r="R139" s="17">
        <v>3</v>
      </c>
      <c r="S139" s="17">
        <v>8</v>
      </c>
      <c r="T139" s="16">
        <f t="shared" si="21"/>
        <v>2438.3999999999996</v>
      </c>
      <c r="U139" s="16">
        <f t="shared" si="22"/>
        <v>914.4</v>
      </c>
      <c r="V139" s="18">
        <f t="shared" si="23"/>
        <v>2229672.9599999995</v>
      </c>
      <c r="W139" s="18">
        <f t="shared" si="24"/>
        <v>2.2296729599999994</v>
      </c>
      <c r="X139" s="18">
        <f t="shared" si="25"/>
        <v>9.2776691865599972</v>
      </c>
      <c r="Y139" s="24">
        <v>35</v>
      </c>
      <c r="Z139" s="24">
        <f t="shared" si="26"/>
        <v>324.71842152959988</v>
      </c>
      <c r="AA139" s="16">
        <v>41</v>
      </c>
      <c r="AB139" s="16">
        <f t="shared" si="27"/>
        <v>2356.3999999999996</v>
      </c>
      <c r="AC139" s="16">
        <f t="shared" si="27"/>
        <v>832.4</v>
      </c>
      <c r="AD139" s="19">
        <f t="shared" si="28"/>
        <v>1961467.3599999996</v>
      </c>
      <c r="AE139" s="1" t="s">
        <v>7456</v>
      </c>
      <c r="AF139" s="1" t="str">
        <f>VLOOKUP(AE139,t_objeto!B:C,2,FALSE)</f>
        <v>RAW_MATERIAL</v>
      </c>
      <c r="AG139" s="1">
        <v>8</v>
      </c>
      <c r="AH139" s="1" t="str">
        <f>VLOOKUP(AG139,t_entry_status!A:AE,2,FALSE)</f>
        <v>PENDING</v>
      </c>
      <c r="AI139" s="7">
        <v>45560</v>
      </c>
      <c r="AJ139" s="1" t="s">
        <v>7449</v>
      </c>
      <c r="AK139" s="7">
        <v>45560</v>
      </c>
      <c r="AL139" s="1" t="s">
        <v>7449</v>
      </c>
    </row>
    <row r="140" spans="1:38" s="20" customFormat="1" x14ac:dyDescent="0.25">
      <c r="A140" s="14">
        <v>139</v>
      </c>
      <c r="B140" s="14" t="str">
        <f>_xlfn.CONCAT(AE140,"-",VLOOKUP(AE140,t_objeto!B:D,3,FALSE),"-",A140)</f>
        <v>RRMM-PERCCO-139</v>
      </c>
      <c r="C140" s="22" t="str">
        <f t="shared" si="29"/>
        <v>LAMINA_LISA__ACERO_ROLADA EN FRIO_3'X8'_26</v>
      </c>
      <c r="D140" s="14" t="s">
        <v>7407</v>
      </c>
      <c r="E140" s="14" t="s">
        <v>7380</v>
      </c>
      <c r="F140" s="21" t="s">
        <v>7400</v>
      </c>
      <c r="G140" s="22" t="s">
        <v>7382</v>
      </c>
      <c r="H140" s="14">
        <v>26</v>
      </c>
      <c r="I140" s="16">
        <v>0.45</v>
      </c>
      <c r="J140" s="16">
        <f t="shared" si="20"/>
        <v>1.7716535433070866E-2</v>
      </c>
      <c r="K140" s="16">
        <v>3.5329999999999999</v>
      </c>
      <c r="L140" s="23"/>
      <c r="M140" s="23"/>
      <c r="N140" s="23"/>
      <c r="O140" s="23"/>
      <c r="P140" s="23"/>
      <c r="Q140" s="19"/>
      <c r="R140" s="17">
        <v>3</v>
      </c>
      <c r="S140" s="17">
        <v>8</v>
      </c>
      <c r="T140" s="16">
        <f t="shared" si="21"/>
        <v>2438.3999999999996</v>
      </c>
      <c r="U140" s="16">
        <f t="shared" si="22"/>
        <v>914.4</v>
      </c>
      <c r="V140" s="18">
        <f t="shared" si="23"/>
        <v>2229672.9599999995</v>
      </c>
      <c r="W140" s="18">
        <f t="shared" si="24"/>
        <v>2.2296729599999994</v>
      </c>
      <c r="X140" s="18">
        <f t="shared" si="25"/>
        <v>7.8774345676799973</v>
      </c>
      <c r="Y140" s="24">
        <v>35</v>
      </c>
      <c r="Z140" s="24">
        <f t="shared" si="26"/>
        <v>275.71020986879989</v>
      </c>
      <c r="AA140" s="16">
        <v>42</v>
      </c>
      <c r="AB140" s="16">
        <f t="shared" si="27"/>
        <v>2354.3999999999996</v>
      </c>
      <c r="AC140" s="16">
        <f t="shared" si="27"/>
        <v>830.4</v>
      </c>
      <c r="AD140" s="19">
        <f t="shared" si="28"/>
        <v>1955093.7599999995</v>
      </c>
      <c r="AE140" s="1" t="s">
        <v>7456</v>
      </c>
      <c r="AF140" s="1" t="str">
        <f>VLOOKUP(AE140,t_objeto!B:C,2,FALSE)</f>
        <v>RAW_MATERIAL</v>
      </c>
      <c r="AG140" s="1">
        <v>8</v>
      </c>
      <c r="AH140" s="1" t="str">
        <f>VLOOKUP(AG140,t_entry_status!A:AE,2,FALSE)</f>
        <v>PENDING</v>
      </c>
      <c r="AI140" s="7">
        <v>45560</v>
      </c>
      <c r="AJ140" s="1" t="s">
        <v>7449</v>
      </c>
      <c r="AK140" s="7">
        <v>45560</v>
      </c>
      <c r="AL140" s="1" t="s">
        <v>7449</v>
      </c>
    </row>
    <row r="141" spans="1:38" s="20" customFormat="1" x14ac:dyDescent="0.25">
      <c r="A141" s="14">
        <v>140</v>
      </c>
      <c r="B141" s="14" t="str">
        <f>_xlfn.CONCAT(AE141,"-",VLOOKUP(AE141,t_objeto!B:D,3,FALSE),"-",A141)</f>
        <v>RRMM-PERCCO-140</v>
      </c>
      <c r="C141" s="22" t="str">
        <f t="shared" si="29"/>
        <v>LAMINA_LISA__ACERO_ROLADA EN FRIO_3'X8'_27</v>
      </c>
      <c r="D141" s="14" t="s">
        <v>7407</v>
      </c>
      <c r="E141" s="14" t="s">
        <v>7380</v>
      </c>
      <c r="F141" s="21" t="s">
        <v>7400</v>
      </c>
      <c r="G141" s="22" t="s">
        <v>7382</v>
      </c>
      <c r="H141" s="14">
        <v>27</v>
      </c>
      <c r="I141" s="16">
        <v>0.42</v>
      </c>
      <c r="J141" s="16">
        <f t="shared" si="20"/>
        <v>1.6535433070866142E-2</v>
      </c>
      <c r="K141" s="16">
        <v>3.2970000000000002</v>
      </c>
      <c r="L141" s="23"/>
      <c r="M141" s="23"/>
      <c r="N141" s="23"/>
      <c r="O141" s="23"/>
      <c r="P141" s="23"/>
      <c r="Q141" s="19"/>
      <c r="R141" s="17">
        <v>3</v>
      </c>
      <c r="S141" s="17">
        <v>8</v>
      </c>
      <c r="T141" s="16">
        <f t="shared" si="21"/>
        <v>2438.3999999999996</v>
      </c>
      <c r="U141" s="16">
        <f t="shared" si="22"/>
        <v>914.4</v>
      </c>
      <c r="V141" s="18">
        <f t="shared" si="23"/>
        <v>2229672.9599999995</v>
      </c>
      <c r="W141" s="18">
        <f t="shared" si="24"/>
        <v>2.2296729599999994</v>
      </c>
      <c r="X141" s="18">
        <f t="shared" si="25"/>
        <v>7.3512317491199983</v>
      </c>
      <c r="Y141" s="24">
        <v>35</v>
      </c>
      <c r="Z141" s="24">
        <f t="shared" si="26"/>
        <v>257.29311121919994</v>
      </c>
      <c r="AA141" s="16">
        <v>43</v>
      </c>
      <c r="AB141" s="16">
        <f t="shared" si="27"/>
        <v>2352.3999999999996</v>
      </c>
      <c r="AC141" s="16">
        <f t="shared" si="27"/>
        <v>828.4</v>
      </c>
      <c r="AD141" s="19">
        <f t="shared" si="28"/>
        <v>1948728.1599999997</v>
      </c>
      <c r="AE141" s="1" t="s">
        <v>7456</v>
      </c>
      <c r="AF141" s="1" t="str">
        <f>VLOOKUP(AE141,t_objeto!B:C,2,FALSE)</f>
        <v>RAW_MATERIAL</v>
      </c>
      <c r="AG141" s="1">
        <v>8</v>
      </c>
      <c r="AH141" s="1" t="str">
        <f>VLOOKUP(AG141,t_entry_status!A:AE,2,FALSE)</f>
        <v>PENDING</v>
      </c>
      <c r="AI141" s="7">
        <v>45560</v>
      </c>
      <c r="AJ141" s="1" t="s">
        <v>7449</v>
      </c>
      <c r="AK141" s="7">
        <v>45560</v>
      </c>
      <c r="AL141" s="1" t="s">
        <v>7449</v>
      </c>
    </row>
    <row r="142" spans="1:38" s="20" customFormat="1" x14ac:dyDescent="0.25">
      <c r="A142" s="14">
        <v>141</v>
      </c>
      <c r="B142" s="14" t="str">
        <f>_xlfn.CONCAT(AE142,"-",VLOOKUP(AE142,t_objeto!B:D,3,FALSE),"-",A142)</f>
        <v>RRMM-PERCCO-141</v>
      </c>
      <c r="C142" s="22" t="str">
        <f t="shared" si="29"/>
        <v>LAMINA_LISA__ACERO_ROLADA EN FRIO_3'X8'_28</v>
      </c>
      <c r="D142" s="14" t="s">
        <v>7407</v>
      </c>
      <c r="E142" s="14" t="s">
        <v>7380</v>
      </c>
      <c r="F142" s="21" t="s">
        <v>7400</v>
      </c>
      <c r="G142" s="22" t="s">
        <v>7382</v>
      </c>
      <c r="H142" s="14">
        <v>28</v>
      </c>
      <c r="I142" s="16">
        <v>0.38</v>
      </c>
      <c r="J142" s="16">
        <f t="shared" si="20"/>
        <v>1.4960629921259844E-2</v>
      </c>
      <c r="K142" s="16">
        <v>2.9830000000000001</v>
      </c>
      <c r="L142" s="23"/>
      <c r="M142" s="23"/>
      <c r="N142" s="23"/>
      <c r="O142" s="23"/>
      <c r="P142" s="23"/>
      <c r="Q142" s="19"/>
      <c r="R142" s="17">
        <v>3</v>
      </c>
      <c r="S142" s="17">
        <v>8</v>
      </c>
      <c r="T142" s="16">
        <f t="shared" si="21"/>
        <v>2438.3999999999996</v>
      </c>
      <c r="U142" s="16">
        <f t="shared" si="22"/>
        <v>914.4</v>
      </c>
      <c r="V142" s="18">
        <f t="shared" si="23"/>
        <v>2229672.9599999995</v>
      </c>
      <c r="W142" s="18">
        <f t="shared" si="24"/>
        <v>2.2296729599999994</v>
      </c>
      <c r="X142" s="18">
        <f t="shared" si="25"/>
        <v>6.6511144396799979</v>
      </c>
      <c r="Y142" s="24">
        <v>35</v>
      </c>
      <c r="Z142" s="24">
        <f t="shared" si="26"/>
        <v>232.78900538879992</v>
      </c>
      <c r="AA142" s="16">
        <v>44</v>
      </c>
      <c r="AB142" s="16">
        <f t="shared" si="27"/>
        <v>2350.3999999999996</v>
      </c>
      <c r="AC142" s="16">
        <f t="shared" si="27"/>
        <v>826.4</v>
      </c>
      <c r="AD142" s="19">
        <f t="shared" si="28"/>
        <v>1942370.5599999996</v>
      </c>
      <c r="AE142" s="1" t="s">
        <v>7456</v>
      </c>
      <c r="AF142" s="1" t="str">
        <f>VLOOKUP(AE142,t_objeto!B:C,2,FALSE)</f>
        <v>RAW_MATERIAL</v>
      </c>
      <c r="AG142" s="1">
        <v>8</v>
      </c>
      <c r="AH142" s="1" t="str">
        <f>VLOOKUP(AG142,t_entry_status!A:AE,2,FALSE)</f>
        <v>PENDING</v>
      </c>
      <c r="AI142" s="7">
        <v>45560</v>
      </c>
      <c r="AJ142" s="1" t="s">
        <v>7449</v>
      </c>
      <c r="AK142" s="7">
        <v>45560</v>
      </c>
      <c r="AL142" s="1" t="s">
        <v>7449</v>
      </c>
    </row>
    <row r="143" spans="1:38" s="20" customFormat="1" x14ac:dyDescent="0.25">
      <c r="A143" s="14">
        <v>142</v>
      </c>
      <c r="B143" s="14" t="str">
        <f>_xlfn.CONCAT(AE143,"-",VLOOKUP(AE143,t_objeto!B:D,3,FALSE),"-",A143)</f>
        <v>RRMM-PERCCO-142</v>
      </c>
      <c r="C143" s="22" t="str">
        <f t="shared" si="29"/>
        <v>LAMINA_LISA__ACERO_ROLADA EN FRIO_3'X8'_29</v>
      </c>
      <c r="D143" s="14" t="s">
        <v>7407</v>
      </c>
      <c r="E143" s="14" t="s">
        <v>7380</v>
      </c>
      <c r="F143" s="21" t="s">
        <v>7400</v>
      </c>
      <c r="G143" s="22" t="s">
        <v>7382</v>
      </c>
      <c r="H143" s="14">
        <v>29</v>
      </c>
      <c r="I143" s="16">
        <v>0.34</v>
      </c>
      <c r="J143" s="16">
        <f t="shared" si="20"/>
        <v>1.3385826771653545E-2</v>
      </c>
      <c r="K143" s="16">
        <v>2.669</v>
      </c>
      <c r="L143" s="23"/>
      <c r="M143" s="23"/>
      <c r="N143" s="23"/>
      <c r="O143" s="23"/>
      <c r="P143" s="23"/>
      <c r="Q143" s="19"/>
      <c r="R143" s="17">
        <v>3</v>
      </c>
      <c r="S143" s="17">
        <v>8</v>
      </c>
      <c r="T143" s="16">
        <f t="shared" si="21"/>
        <v>2438.3999999999996</v>
      </c>
      <c r="U143" s="16">
        <f t="shared" si="22"/>
        <v>914.4</v>
      </c>
      <c r="V143" s="18">
        <f t="shared" si="23"/>
        <v>2229672.9599999995</v>
      </c>
      <c r="W143" s="18">
        <f t="shared" si="24"/>
        <v>2.2296729599999994</v>
      </c>
      <c r="X143" s="18">
        <f t="shared" si="25"/>
        <v>5.9509971302399984</v>
      </c>
      <c r="Y143" s="24">
        <v>35</v>
      </c>
      <c r="Z143" s="24">
        <f t="shared" si="26"/>
        <v>208.28489955839996</v>
      </c>
      <c r="AA143" s="16">
        <v>45</v>
      </c>
      <c r="AB143" s="16">
        <f t="shared" si="27"/>
        <v>2348.3999999999996</v>
      </c>
      <c r="AC143" s="16">
        <f t="shared" si="27"/>
        <v>824.4</v>
      </c>
      <c r="AD143" s="19">
        <f t="shared" si="28"/>
        <v>1936020.9599999997</v>
      </c>
      <c r="AE143" s="1" t="s">
        <v>7456</v>
      </c>
      <c r="AF143" s="1" t="str">
        <f>VLOOKUP(AE143,t_objeto!B:C,2,FALSE)</f>
        <v>RAW_MATERIAL</v>
      </c>
      <c r="AG143" s="1">
        <v>8</v>
      </c>
      <c r="AH143" s="1" t="str">
        <f>VLOOKUP(AG143,t_entry_status!A:AE,2,FALSE)</f>
        <v>PENDING</v>
      </c>
      <c r="AI143" s="7">
        <v>45560</v>
      </c>
      <c r="AJ143" s="1" t="s">
        <v>7449</v>
      </c>
      <c r="AK143" s="7">
        <v>45560</v>
      </c>
      <c r="AL143" s="1" t="s">
        <v>7449</v>
      </c>
    </row>
    <row r="144" spans="1:38" s="20" customFormat="1" x14ac:dyDescent="0.25">
      <c r="A144" s="14">
        <v>143</v>
      </c>
      <c r="B144" s="14" t="str">
        <f>_xlfn.CONCAT(AE144,"-",VLOOKUP(AE144,t_objeto!B:D,3,FALSE),"-",A144)</f>
        <v>RRMM-PERCCO-143</v>
      </c>
      <c r="C144" s="22" t="str">
        <f t="shared" si="29"/>
        <v>LAMINA_LISA__ACERO_ROLADA EN FRIO_3'X8'_30</v>
      </c>
      <c r="D144" s="14" t="s">
        <v>7407</v>
      </c>
      <c r="E144" s="14" t="s">
        <v>7380</v>
      </c>
      <c r="F144" s="21" t="s">
        <v>7400</v>
      </c>
      <c r="G144" s="22" t="s">
        <v>7382</v>
      </c>
      <c r="H144" s="14">
        <v>30</v>
      </c>
      <c r="I144" s="16">
        <v>0.3</v>
      </c>
      <c r="J144" s="16">
        <f t="shared" si="20"/>
        <v>1.1811023622047244E-2</v>
      </c>
      <c r="K144" s="16">
        <v>2.355</v>
      </c>
      <c r="L144" s="23"/>
      <c r="M144" s="23"/>
      <c r="N144" s="23"/>
      <c r="O144" s="23"/>
      <c r="P144" s="23"/>
      <c r="Q144" s="19"/>
      <c r="R144" s="17">
        <v>3</v>
      </c>
      <c r="S144" s="17">
        <v>8</v>
      </c>
      <c r="T144" s="16">
        <f t="shared" si="21"/>
        <v>2438.3999999999996</v>
      </c>
      <c r="U144" s="16">
        <f t="shared" si="22"/>
        <v>914.4</v>
      </c>
      <c r="V144" s="18">
        <f t="shared" si="23"/>
        <v>2229672.9599999995</v>
      </c>
      <c r="W144" s="18">
        <f t="shared" si="24"/>
        <v>2.2296729599999994</v>
      </c>
      <c r="X144" s="18">
        <f t="shared" si="25"/>
        <v>5.250879820799998</v>
      </c>
      <c r="Y144" s="24">
        <v>35</v>
      </c>
      <c r="Z144" s="24">
        <f t="shared" si="26"/>
        <v>183.78079372799994</v>
      </c>
      <c r="AA144" s="16">
        <v>46</v>
      </c>
      <c r="AB144" s="16">
        <f t="shared" si="27"/>
        <v>2346.3999999999996</v>
      </c>
      <c r="AC144" s="16">
        <f t="shared" si="27"/>
        <v>822.4</v>
      </c>
      <c r="AD144" s="19">
        <f t="shared" si="28"/>
        <v>1929679.3599999996</v>
      </c>
      <c r="AE144" s="1" t="s">
        <v>7456</v>
      </c>
      <c r="AF144" s="1" t="str">
        <f>VLOOKUP(AE144,t_objeto!B:C,2,FALSE)</f>
        <v>RAW_MATERIAL</v>
      </c>
      <c r="AG144" s="1">
        <v>8</v>
      </c>
      <c r="AH144" s="1" t="str">
        <f>VLOOKUP(AG144,t_entry_status!A:AE,2,FALSE)</f>
        <v>PENDING</v>
      </c>
      <c r="AI144" s="7">
        <v>45560</v>
      </c>
      <c r="AJ144" s="1" t="s">
        <v>7449</v>
      </c>
      <c r="AK144" s="7">
        <v>45560</v>
      </c>
      <c r="AL144" s="1" t="s">
        <v>7449</v>
      </c>
    </row>
    <row r="145" spans="1:38" s="20" customFormat="1" x14ac:dyDescent="0.25">
      <c r="A145" s="14">
        <v>144</v>
      </c>
      <c r="B145" s="14" t="str">
        <f>_xlfn.CONCAT(AE145,"-",VLOOKUP(AE145,t_objeto!B:D,3,FALSE),"-",A145)</f>
        <v>RRMM-PERCCO-144</v>
      </c>
      <c r="C145" s="22" t="str">
        <f t="shared" si="29"/>
        <v>LAMINA_LISA__INOX_304/316 L_3'X8'_10</v>
      </c>
      <c r="D145" s="14" t="s">
        <v>7407</v>
      </c>
      <c r="E145" s="14" t="s">
        <v>7403</v>
      </c>
      <c r="F145" s="21" t="s">
        <v>7404</v>
      </c>
      <c r="G145" s="22" t="s">
        <v>7382</v>
      </c>
      <c r="H145" s="14">
        <v>10</v>
      </c>
      <c r="I145" s="16">
        <v>3.42</v>
      </c>
      <c r="J145" s="16">
        <f>I145/25.4</f>
        <v>0.13464566929133859</v>
      </c>
      <c r="K145" s="16">
        <v>27.783000000000001</v>
      </c>
      <c r="L145" s="23"/>
      <c r="M145" s="23"/>
      <c r="N145" s="23"/>
      <c r="O145" s="23"/>
      <c r="P145" s="23"/>
      <c r="Q145" s="19"/>
      <c r="R145" s="17">
        <v>3</v>
      </c>
      <c r="S145" s="17">
        <v>8</v>
      </c>
      <c r="T145" s="16">
        <f t="shared" si="21"/>
        <v>2438.3999999999996</v>
      </c>
      <c r="U145" s="16">
        <f t="shared" si="22"/>
        <v>914.4</v>
      </c>
      <c r="V145" s="18">
        <f t="shared" si="23"/>
        <v>2229672.9599999995</v>
      </c>
      <c r="W145" s="18">
        <f t="shared" si="24"/>
        <v>2.2296729599999994</v>
      </c>
      <c r="X145" s="18">
        <f t="shared" si="25"/>
        <v>61.947003847679987</v>
      </c>
      <c r="Y145" s="24">
        <v>35</v>
      </c>
      <c r="Z145" s="24">
        <f t="shared" si="26"/>
        <v>2168.1451346687995</v>
      </c>
      <c r="AA145" s="16">
        <v>67</v>
      </c>
      <c r="AB145" s="16">
        <f t="shared" si="27"/>
        <v>2304.3999999999996</v>
      </c>
      <c r="AC145" s="16">
        <f t="shared" si="27"/>
        <v>780.4</v>
      </c>
      <c r="AD145" s="19">
        <f t="shared" si="28"/>
        <v>1798353.7599999998</v>
      </c>
      <c r="AE145" s="1" t="s">
        <v>7456</v>
      </c>
      <c r="AF145" s="1" t="str">
        <f>VLOOKUP(AE145,t_objeto!B:C,2,FALSE)</f>
        <v>RAW_MATERIAL</v>
      </c>
      <c r="AG145" s="1">
        <v>8</v>
      </c>
      <c r="AH145" s="1" t="str">
        <f>VLOOKUP(AG145,t_entry_status!A:AE,2,FALSE)</f>
        <v>PENDING</v>
      </c>
      <c r="AI145" s="7">
        <v>45560</v>
      </c>
      <c r="AJ145" s="1" t="s">
        <v>7449</v>
      </c>
      <c r="AK145" s="7">
        <v>45560</v>
      </c>
      <c r="AL145" s="1" t="s">
        <v>7449</v>
      </c>
    </row>
    <row r="146" spans="1:38" s="20" customFormat="1" x14ac:dyDescent="0.25">
      <c r="A146" s="14">
        <v>145</v>
      </c>
      <c r="B146" s="14" t="str">
        <f>_xlfn.CONCAT(AE146,"-",VLOOKUP(AE146,t_objeto!B:D,3,FALSE),"-",A146)</f>
        <v>RRMM-PERCCO-145</v>
      </c>
      <c r="C146" s="22" t="str">
        <f t="shared" si="29"/>
        <v>LAMINA_LISA__INOX_304/316 L_3'X8'_11</v>
      </c>
      <c r="D146" s="14" t="s">
        <v>7407</v>
      </c>
      <c r="E146" s="14" t="s">
        <v>7403</v>
      </c>
      <c r="F146" s="21" t="s">
        <v>7404</v>
      </c>
      <c r="G146" s="22" t="s">
        <v>7382</v>
      </c>
      <c r="H146" s="14">
        <v>11</v>
      </c>
      <c r="I146" s="16">
        <v>3.04</v>
      </c>
      <c r="J146" s="16">
        <f t="shared" ref="J146:J209" si="30">I146/25.4</f>
        <v>0.11968503937007875</v>
      </c>
      <c r="K146" s="16">
        <v>24.704999999999998</v>
      </c>
      <c r="L146" s="23"/>
      <c r="M146" s="23"/>
      <c r="N146" s="23"/>
      <c r="O146" s="23"/>
      <c r="P146" s="23"/>
      <c r="Q146" s="19"/>
      <c r="R146" s="17">
        <v>3</v>
      </c>
      <c r="S146" s="17">
        <v>8</v>
      </c>
      <c r="T146" s="16">
        <f t="shared" si="21"/>
        <v>2438.3999999999996</v>
      </c>
      <c r="U146" s="16">
        <f t="shared" si="22"/>
        <v>914.4</v>
      </c>
      <c r="V146" s="18">
        <f t="shared" si="23"/>
        <v>2229672.9599999995</v>
      </c>
      <c r="W146" s="18">
        <f t="shared" si="24"/>
        <v>2.2296729599999994</v>
      </c>
      <c r="X146" s="18">
        <f t="shared" si="25"/>
        <v>55.08407047679998</v>
      </c>
      <c r="Y146" s="24">
        <v>35</v>
      </c>
      <c r="Z146" s="24">
        <f t="shared" si="26"/>
        <v>1927.9424666879993</v>
      </c>
      <c r="AA146" s="16">
        <v>68</v>
      </c>
      <c r="AB146" s="16">
        <f t="shared" si="27"/>
        <v>2302.3999999999996</v>
      </c>
      <c r="AC146" s="16">
        <f t="shared" si="27"/>
        <v>778.4</v>
      </c>
      <c r="AD146" s="19">
        <f t="shared" si="28"/>
        <v>1792188.1599999997</v>
      </c>
      <c r="AE146" s="1" t="s">
        <v>7456</v>
      </c>
      <c r="AF146" s="1" t="str">
        <f>VLOOKUP(AE146,t_objeto!B:C,2,FALSE)</f>
        <v>RAW_MATERIAL</v>
      </c>
      <c r="AG146" s="1">
        <v>8</v>
      </c>
      <c r="AH146" s="1" t="str">
        <f>VLOOKUP(AG146,t_entry_status!A:AE,2,FALSE)</f>
        <v>PENDING</v>
      </c>
      <c r="AI146" s="7">
        <v>45560</v>
      </c>
      <c r="AJ146" s="1" t="s">
        <v>7449</v>
      </c>
      <c r="AK146" s="7">
        <v>45560</v>
      </c>
      <c r="AL146" s="1" t="s">
        <v>7449</v>
      </c>
    </row>
    <row r="147" spans="1:38" s="20" customFormat="1" x14ac:dyDescent="0.25">
      <c r="A147" s="14">
        <v>146</v>
      </c>
      <c r="B147" s="14" t="str">
        <f>_xlfn.CONCAT(AE147,"-",VLOOKUP(AE147,t_objeto!B:D,3,FALSE),"-",A147)</f>
        <v>RRMM-PERCCO-146</v>
      </c>
      <c r="C147" s="22" t="str">
        <f t="shared" si="29"/>
        <v>LAMINA_LISA__INOX_304/316 L_3'X8'_12</v>
      </c>
      <c r="D147" s="14" t="s">
        <v>7407</v>
      </c>
      <c r="E147" s="14" t="s">
        <v>7403</v>
      </c>
      <c r="F147" s="21" t="s">
        <v>7404</v>
      </c>
      <c r="G147" s="22" t="s">
        <v>7382</v>
      </c>
      <c r="H147" s="14">
        <v>12</v>
      </c>
      <c r="I147" s="16">
        <v>2.66</v>
      </c>
      <c r="J147" s="16">
        <f t="shared" si="30"/>
        <v>0.1047244094488189</v>
      </c>
      <c r="K147" s="16">
        <v>21.626999999999999</v>
      </c>
      <c r="L147" s="23"/>
      <c r="M147" s="23"/>
      <c r="N147" s="23"/>
      <c r="O147" s="23"/>
      <c r="P147" s="23"/>
      <c r="Q147" s="19"/>
      <c r="R147" s="17">
        <v>3</v>
      </c>
      <c r="S147" s="17">
        <v>8</v>
      </c>
      <c r="T147" s="16">
        <f t="shared" si="21"/>
        <v>2438.3999999999996</v>
      </c>
      <c r="U147" s="16">
        <f t="shared" si="22"/>
        <v>914.4</v>
      </c>
      <c r="V147" s="18">
        <f t="shared" si="23"/>
        <v>2229672.9599999995</v>
      </c>
      <c r="W147" s="18">
        <f t="shared" si="24"/>
        <v>2.2296729599999994</v>
      </c>
      <c r="X147" s="18">
        <f t="shared" si="25"/>
        <v>48.221137105919986</v>
      </c>
      <c r="Y147" s="24">
        <v>35</v>
      </c>
      <c r="Z147" s="24">
        <f t="shared" si="26"/>
        <v>1687.7397987071995</v>
      </c>
      <c r="AA147" s="16">
        <v>69</v>
      </c>
      <c r="AB147" s="16">
        <f t="shared" si="27"/>
        <v>2300.3999999999996</v>
      </c>
      <c r="AC147" s="16">
        <f t="shared" si="27"/>
        <v>776.4</v>
      </c>
      <c r="AD147" s="19">
        <f t="shared" si="28"/>
        <v>1786030.5599999996</v>
      </c>
      <c r="AE147" s="1" t="s">
        <v>7456</v>
      </c>
      <c r="AF147" s="1" t="str">
        <f>VLOOKUP(AE147,t_objeto!B:C,2,FALSE)</f>
        <v>RAW_MATERIAL</v>
      </c>
      <c r="AG147" s="1">
        <v>8</v>
      </c>
      <c r="AH147" s="1" t="str">
        <f>VLOOKUP(AG147,t_entry_status!A:AE,2,FALSE)</f>
        <v>PENDING</v>
      </c>
      <c r="AI147" s="7">
        <v>45560</v>
      </c>
      <c r="AJ147" s="1" t="s">
        <v>7449</v>
      </c>
      <c r="AK147" s="7">
        <v>45560</v>
      </c>
      <c r="AL147" s="1" t="s">
        <v>7449</v>
      </c>
    </row>
    <row r="148" spans="1:38" s="20" customFormat="1" x14ac:dyDescent="0.25">
      <c r="A148" s="14">
        <v>147</v>
      </c>
      <c r="B148" s="14" t="str">
        <f>_xlfn.CONCAT(AE148,"-",VLOOKUP(AE148,t_objeto!B:D,3,FALSE),"-",A148)</f>
        <v>RRMM-PERCCO-147</v>
      </c>
      <c r="C148" s="22" t="str">
        <f t="shared" si="29"/>
        <v>LAMINA_LISA__INOX_304/316 L_3'X8'_13</v>
      </c>
      <c r="D148" s="14" t="s">
        <v>7407</v>
      </c>
      <c r="E148" s="14" t="s">
        <v>7403</v>
      </c>
      <c r="F148" s="21" t="s">
        <v>7404</v>
      </c>
      <c r="G148" s="22" t="s">
        <v>7382</v>
      </c>
      <c r="H148" s="14">
        <v>13</v>
      </c>
      <c r="I148" s="16">
        <v>2.2799999999999998</v>
      </c>
      <c r="J148" s="16">
        <f t="shared" si="30"/>
        <v>8.9763779527559054E-2</v>
      </c>
      <c r="K148" s="16">
        <v>18.225000000000001</v>
      </c>
      <c r="L148" s="23"/>
      <c r="M148" s="23"/>
      <c r="N148" s="23"/>
      <c r="O148" s="23"/>
      <c r="P148" s="23"/>
      <c r="Q148" s="19"/>
      <c r="R148" s="17">
        <v>3</v>
      </c>
      <c r="S148" s="17">
        <v>8</v>
      </c>
      <c r="T148" s="16">
        <f t="shared" si="21"/>
        <v>2438.3999999999996</v>
      </c>
      <c r="U148" s="16">
        <f t="shared" si="22"/>
        <v>914.4</v>
      </c>
      <c r="V148" s="18">
        <f t="shared" si="23"/>
        <v>2229672.9599999995</v>
      </c>
      <c r="W148" s="18">
        <f t="shared" si="24"/>
        <v>2.2296729599999994</v>
      </c>
      <c r="X148" s="18">
        <f t="shared" si="25"/>
        <v>40.635789695999989</v>
      </c>
      <c r="Y148" s="24">
        <v>35</v>
      </c>
      <c r="Z148" s="24">
        <f t="shared" si="26"/>
        <v>1422.2526393599996</v>
      </c>
      <c r="AA148" s="16">
        <v>70</v>
      </c>
      <c r="AB148" s="16">
        <f t="shared" si="27"/>
        <v>2298.3999999999996</v>
      </c>
      <c r="AC148" s="16">
        <f t="shared" si="27"/>
        <v>774.4</v>
      </c>
      <c r="AD148" s="19">
        <f t="shared" si="28"/>
        <v>1779880.9599999997</v>
      </c>
      <c r="AE148" s="1" t="s">
        <v>7456</v>
      </c>
      <c r="AF148" s="1" t="str">
        <f>VLOOKUP(AE148,t_objeto!B:C,2,FALSE)</f>
        <v>RAW_MATERIAL</v>
      </c>
      <c r="AG148" s="1">
        <v>8</v>
      </c>
      <c r="AH148" s="1" t="str">
        <f>VLOOKUP(AG148,t_entry_status!A:AE,2,FALSE)</f>
        <v>PENDING</v>
      </c>
      <c r="AI148" s="7">
        <v>45560</v>
      </c>
      <c r="AJ148" s="1" t="s">
        <v>7449</v>
      </c>
      <c r="AK148" s="7">
        <v>45560</v>
      </c>
      <c r="AL148" s="1" t="s">
        <v>7449</v>
      </c>
    </row>
    <row r="149" spans="1:38" s="20" customFormat="1" x14ac:dyDescent="0.25">
      <c r="A149" s="14">
        <v>148</v>
      </c>
      <c r="B149" s="14" t="str">
        <f>_xlfn.CONCAT(AE149,"-",VLOOKUP(AE149,t_objeto!B:D,3,FALSE),"-",A149)</f>
        <v>RRMM-PERCCO-148</v>
      </c>
      <c r="C149" s="22" t="str">
        <f t="shared" si="29"/>
        <v>LAMINA_LISA__INOX_304/316 L_3'X8'_14</v>
      </c>
      <c r="D149" s="14" t="s">
        <v>7407</v>
      </c>
      <c r="E149" s="14" t="s">
        <v>7403</v>
      </c>
      <c r="F149" s="21" t="s">
        <v>7404</v>
      </c>
      <c r="G149" s="22" t="s">
        <v>7382</v>
      </c>
      <c r="H149" s="14">
        <v>14</v>
      </c>
      <c r="I149" s="16">
        <v>1.9</v>
      </c>
      <c r="J149" s="16">
        <f t="shared" si="30"/>
        <v>7.4803149606299218E-2</v>
      </c>
      <c r="K149" s="16">
        <v>15.39</v>
      </c>
      <c r="L149" s="23"/>
      <c r="M149" s="23"/>
      <c r="N149" s="23"/>
      <c r="O149" s="23"/>
      <c r="P149" s="23"/>
      <c r="Q149" s="19"/>
      <c r="R149" s="17">
        <v>3</v>
      </c>
      <c r="S149" s="17">
        <v>8</v>
      </c>
      <c r="T149" s="16">
        <f t="shared" si="21"/>
        <v>2438.3999999999996</v>
      </c>
      <c r="U149" s="16">
        <f t="shared" si="22"/>
        <v>914.4</v>
      </c>
      <c r="V149" s="18">
        <f t="shared" si="23"/>
        <v>2229672.9599999995</v>
      </c>
      <c r="W149" s="18">
        <f t="shared" si="24"/>
        <v>2.2296729599999994</v>
      </c>
      <c r="X149" s="18">
        <f t="shared" si="25"/>
        <v>34.314666854399995</v>
      </c>
      <c r="Y149" s="24">
        <v>35</v>
      </c>
      <c r="Z149" s="24">
        <f t="shared" si="26"/>
        <v>1201.0133399039998</v>
      </c>
      <c r="AA149" s="16">
        <v>71</v>
      </c>
      <c r="AB149" s="16">
        <f t="shared" si="27"/>
        <v>2296.3999999999996</v>
      </c>
      <c r="AC149" s="16">
        <f t="shared" si="27"/>
        <v>772.4</v>
      </c>
      <c r="AD149" s="19">
        <f t="shared" si="28"/>
        <v>1773739.3599999996</v>
      </c>
      <c r="AE149" s="1" t="s">
        <v>7456</v>
      </c>
      <c r="AF149" s="1" t="str">
        <f>VLOOKUP(AE149,t_objeto!B:C,2,FALSE)</f>
        <v>RAW_MATERIAL</v>
      </c>
      <c r="AG149" s="1">
        <v>8</v>
      </c>
      <c r="AH149" s="1" t="str">
        <f>VLOOKUP(AG149,t_entry_status!A:AE,2,FALSE)</f>
        <v>PENDING</v>
      </c>
      <c r="AI149" s="7">
        <v>45560</v>
      </c>
      <c r="AJ149" s="1" t="s">
        <v>7449</v>
      </c>
      <c r="AK149" s="7">
        <v>45560</v>
      </c>
      <c r="AL149" s="1" t="s">
        <v>7449</v>
      </c>
    </row>
    <row r="150" spans="1:38" s="20" customFormat="1" x14ac:dyDescent="0.25">
      <c r="A150" s="14">
        <v>149</v>
      </c>
      <c r="B150" s="14" t="str">
        <f>_xlfn.CONCAT(AE150,"-",VLOOKUP(AE150,t_objeto!B:D,3,FALSE),"-",A150)</f>
        <v>RRMM-PERCCO-149</v>
      </c>
      <c r="C150" s="22" t="str">
        <f t="shared" si="29"/>
        <v>LAMINA_LISA__INOX_304/316 L_3'X8'_15</v>
      </c>
      <c r="D150" s="14" t="s">
        <v>7407</v>
      </c>
      <c r="E150" s="14" t="s">
        <v>7403</v>
      </c>
      <c r="F150" s="21" t="s">
        <v>7404</v>
      </c>
      <c r="G150" s="22" t="s">
        <v>7382</v>
      </c>
      <c r="H150" s="14">
        <v>15</v>
      </c>
      <c r="I150" s="16">
        <v>1.71</v>
      </c>
      <c r="J150" s="16">
        <f t="shared" si="30"/>
        <v>6.7322834645669294E-2</v>
      </c>
      <c r="K150" s="16">
        <v>13.669</v>
      </c>
      <c r="L150" s="23"/>
      <c r="M150" s="23"/>
      <c r="N150" s="23"/>
      <c r="O150" s="23"/>
      <c r="P150" s="23"/>
      <c r="Q150" s="19"/>
      <c r="R150" s="17">
        <v>3</v>
      </c>
      <c r="S150" s="17">
        <v>8</v>
      </c>
      <c r="T150" s="16">
        <f t="shared" si="21"/>
        <v>2438.3999999999996</v>
      </c>
      <c r="U150" s="16">
        <f t="shared" si="22"/>
        <v>914.4</v>
      </c>
      <c r="V150" s="18">
        <f t="shared" si="23"/>
        <v>2229672.9599999995</v>
      </c>
      <c r="W150" s="18">
        <f t="shared" si="24"/>
        <v>2.2296729599999994</v>
      </c>
      <c r="X150" s="18">
        <f t="shared" si="25"/>
        <v>30.477399690239992</v>
      </c>
      <c r="Y150" s="24">
        <v>35</v>
      </c>
      <c r="Z150" s="24">
        <f t="shared" si="26"/>
        <v>1066.7089891583996</v>
      </c>
      <c r="AA150" s="16">
        <v>72</v>
      </c>
      <c r="AB150" s="16">
        <f t="shared" si="27"/>
        <v>2294.3999999999996</v>
      </c>
      <c r="AC150" s="16">
        <f t="shared" si="27"/>
        <v>770.4</v>
      </c>
      <c r="AD150" s="19">
        <f t="shared" si="28"/>
        <v>1767605.7599999998</v>
      </c>
      <c r="AE150" s="1" t="s">
        <v>7456</v>
      </c>
      <c r="AF150" s="1" t="str">
        <f>VLOOKUP(AE150,t_objeto!B:C,2,FALSE)</f>
        <v>RAW_MATERIAL</v>
      </c>
      <c r="AG150" s="1">
        <v>8</v>
      </c>
      <c r="AH150" s="1" t="str">
        <f>VLOOKUP(AG150,t_entry_status!A:AE,2,FALSE)</f>
        <v>PENDING</v>
      </c>
      <c r="AI150" s="7">
        <v>45560</v>
      </c>
      <c r="AJ150" s="1" t="s">
        <v>7449</v>
      </c>
      <c r="AK150" s="7">
        <v>45560</v>
      </c>
      <c r="AL150" s="1" t="s">
        <v>7449</v>
      </c>
    </row>
    <row r="151" spans="1:38" s="20" customFormat="1" x14ac:dyDescent="0.25">
      <c r="A151" s="14">
        <v>150</v>
      </c>
      <c r="B151" s="14" t="str">
        <f>_xlfn.CONCAT(AE151,"-",VLOOKUP(AE151,t_objeto!B:D,3,FALSE),"-",A151)</f>
        <v>RRMM-PERCCO-150</v>
      </c>
      <c r="C151" s="22" t="str">
        <f t="shared" si="29"/>
        <v>LAMINA_LISA__INOX_304/316 L_3'X8'_16</v>
      </c>
      <c r="D151" s="14" t="s">
        <v>7407</v>
      </c>
      <c r="E151" s="14" t="s">
        <v>7403</v>
      </c>
      <c r="F151" s="21" t="s">
        <v>7404</v>
      </c>
      <c r="G151" s="22" t="s">
        <v>7382</v>
      </c>
      <c r="H151" s="14">
        <v>16</v>
      </c>
      <c r="I151" s="16">
        <v>1.52</v>
      </c>
      <c r="J151" s="16">
        <f t="shared" si="30"/>
        <v>5.9842519685039376E-2</v>
      </c>
      <c r="K151" s="16">
        <v>12.311999999999999</v>
      </c>
      <c r="L151" s="23"/>
      <c r="M151" s="23"/>
      <c r="N151" s="23"/>
      <c r="O151" s="23"/>
      <c r="P151" s="23"/>
      <c r="Q151" s="19"/>
      <c r="R151" s="17">
        <v>3</v>
      </c>
      <c r="S151" s="17">
        <v>8</v>
      </c>
      <c r="T151" s="16">
        <f t="shared" si="21"/>
        <v>2438.3999999999996</v>
      </c>
      <c r="U151" s="16">
        <f t="shared" si="22"/>
        <v>914.4</v>
      </c>
      <c r="V151" s="18">
        <f t="shared" si="23"/>
        <v>2229672.9599999995</v>
      </c>
      <c r="W151" s="18">
        <f t="shared" si="24"/>
        <v>2.2296729599999994</v>
      </c>
      <c r="X151" s="18">
        <f t="shared" si="25"/>
        <v>27.451733483519991</v>
      </c>
      <c r="Y151" s="24">
        <v>35</v>
      </c>
      <c r="Z151" s="24">
        <f t="shared" si="26"/>
        <v>960.81067192319972</v>
      </c>
      <c r="AA151" s="16">
        <v>73</v>
      </c>
      <c r="AB151" s="16">
        <f t="shared" si="27"/>
        <v>2292.3999999999996</v>
      </c>
      <c r="AC151" s="16">
        <f t="shared" si="27"/>
        <v>768.4</v>
      </c>
      <c r="AD151" s="19">
        <f t="shared" si="28"/>
        <v>1761480.1599999997</v>
      </c>
      <c r="AE151" s="1" t="s">
        <v>7456</v>
      </c>
      <c r="AF151" s="1" t="str">
        <f>VLOOKUP(AE151,t_objeto!B:C,2,FALSE)</f>
        <v>RAW_MATERIAL</v>
      </c>
      <c r="AG151" s="1">
        <v>8</v>
      </c>
      <c r="AH151" s="1" t="str">
        <f>VLOOKUP(AG151,t_entry_status!A:AE,2,FALSE)</f>
        <v>PENDING</v>
      </c>
      <c r="AI151" s="7">
        <v>45560</v>
      </c>
      <c r="AJ151" s="1" t="s">
        <v>7449</v>
      </c>
      <c r="AK151" s="7">
        <v>45560</v>
      </c>
      <c r="AL151" s="1" t="s">
        <v>7449</v>
      </c>
    </row>
    <row r="152" spans="1:38" s="20" customFormat="1" x14ac:dyDescent="0.25">
      <c r="A152" s="14">
        <v>151</v>
      </c>
      <c r="B152" s="14" t="str">
        <f>_xlfn.CONCAT(AE152,"-",VLOOKUP(AE152,t_objeto!B:D,3,FALSE),"-",A152)</f>
        <v>RRMM-PERCCO-151</v>
      </c>
      <c r="C152" s="22" t="str">
        <f t="shared" si="29"/>
        <v>LAMINA_LISA__INOX_304/316 L_3'X8'_17</v>
      </c>
      <c r="D152" s="14" t="s">
        <v>7407</v>
      </c>
      <c r="E152" s="14" t="s">
        <v>7403</v>
      </c>
      <c r="F152" s="21" t="s">
        <v>7404</v>
      </c>
      <c r="G152" s="22" t="s">
        <v>7382</v>
      </c>
      <c r="H152" s="14">
        <v>17</v>
      </c>
      <c r="I152" s="16">
        <v>1.37</v>
      </c>
      <c r="J152" s="16">
        <f t="shared" si="30"/>
        <v>5.3937007874015758E-2</v>
      </c>
      <c r="K152" s="16">
        <v>10.951000000000001</v>
      </c>
      <c r="L152" s="23"/>
      <c r="M152" s="23"/>
      <c r="N152" s="23"/>
      <c r="O152" s="23"/>
      <c r="P152" s="23"/>
      <c r="Q152" s="19"/>
      <c r="R152" s="17">
        <v>3</v>
      </c>
      <c r="S152" s="17">
        <v>8</v>
      </c>
      <c r="T152" s="16">
        <f t="shared" si="21"/>
        <v>2438.3999999999996</v>
      </c>
      <c r="U152" s="16">
        <f t="shared" si="22"/>
        <v>914.4</v>
      </c>
      <c r="V152" s="18">
        <f t="shared" si="23"/>
        <v>2229672.9599999995</v>
      </c>
      <c r="W152" s="18">
        <f t="shared" si="24"/>
        <v>2.2296729599999994</v>
      </c>
      <c r="X152" s="18">
        <f t="shared" si="25"/>
        <v>24.417148584959993</v>
      </c>
      <c r="Y152" s="24">
        <v>35</v>
      </c>
      <c r="Z152" s="24">
        <f t="shared" si="26"/>
        <v>854.60020047359978</v>
      </c>
      <c r="AA152" s="16">
        <v>74</v>
      </c>
      <c r="AB152" s="16">
        <f t="shared" si="27"/>
        <v>2290.3999999999996</v>
      </c>
      <c r="AC152" s="16">
        <f t="shared" si="27"/>
        <v>766.4</v>
      </c>
      <c r="AD152" s="19">
        <f t="shared" si="28"/>
        <v>1755362.5599999996</v>
      </c>
      <c r="AE152" s="1" t="s">
        <v>7456</v>
      </c>
      <c r="AF152" s="1" t="str">
        <f>VLOOKUP(AE152,t_objeto!B:C,2,FALSE)</f>
        <v>RAW_MATERIAL</v>
      </c>
      <c r="AG152" s="1">
        <v>8</v>
      </c>
      <c r="AH152" s="1" t="str">
        <f>VLOOKUP(AG152,t_entry_status!A:AE,2,FALSE)</f>
        <v>PENDING</v>
      </c>
      <c r="AI152" s="7">
        <v>45560</v>
      </c>
      <c r="AJ152" s="1" t="s">
        <v>7449</v>
      </c>
      <c r="AK152" s="7">
        <v>45560</v>
      </c>
      <c r="AL152" s="1" t="s">
        <v>7449</v>
      </c>
    </row>
    <row r="153" spans="1:38" s="20" customFormat="1" x14ac:dyDescent="0.25">
      <c r="A153" s="14">
        <v>152</v>
      </c>
      <c r="B153" s="14" t="str">
        <f>_xlfn.CONCAT(AE153,"-",VLOOKUP(AE153,t_objeto!B:D,3,FALSE),"-",A153)</f>
        <v>RRMM-PERCCO-152</v>
      </c>
      <c r="C153" s="22" t="str">
        <f t="shared" si="29"/>
        <v>LAMINA_LISA__INOX_304/316 L_3'X8'_18</v>
      </c>
      <c r="D153" s="14" t="s">
        <v>7407</v>
      </c>
      <c r="E153" s="14" t="s">
        <v>7403</v>
      </c>
      <c r="F153" s="21" t="s">
        <v>7404</v>
      </c>
      <c r="G153" s="22" t="s">
        <v>7382</v>
      </c>
      <c r="H153" s="14">
        <v>18</v>
      </c>
      <c r="I153" s="16">
        <v>1.21</v>
      </c>
      <c r="J153" s="16">
        <f t="shared" si="30"/>
        <v>4.7637795275590554E-2</v>
      </c>
      <c r="K153" s="16">
        <v>9.8819999999999997</v>
      </c>
      <c r="L153" s="23"/>
      <c r="M153" s="23"/>
      <c r="N153" s="23"/>
      <c r="O153" s="23"/>
      <c r="P153" s="23"/>
      <c r="Q153" s="19"/>
      <c r="R153" s="17">
        <v>3</v>
      </c>
      <c r="S153" s="17">
        <v>8</v>
      </c>
      <c r="T153" s="16">
        <f t="shared" si="21"/>
        <v>2438.3999999999996</v>
      </c>
      <c r="U153" s="16">
        <f t="shared" si="22"/>
        <v>914.4</v>
      </c>
      <c r="V153" s="18">
        <f t="shared" si="23"/>
        <v>2229672.9599999995</v>
      </c>
      <c r="W153" s="18">
        <f t="shared" si="24"/>
        <v>2.2296729599999994</v>
      </c>
      <c r="X153" s="18">
        <f t="shared" si="25"/>
        <v>22.033628190719995</v>
      </c>
      <c r="Y153" s="24">
        <v>35</v>
      </c>
      <c r="Z153" s="24">
        <f t="shared" si="26"/>
        <v>771.17698667519983</v>
      </c>
      <c r="AA153" s="16">
        <v>75</v>
      </c>
      <c r="AB153" s="16">
        <f t="shared" si="27"/>
        <v>2288.3999999999996</v>
      </c>
      <c r="AC153" s="16">
        <f t="shared" si="27"/>
        <v>764.4</v>
      </c>
      <c r="AD153" s="19">
        <f t="shared" si="28"/>
        <v>1749252.9599999997</v>
      </c>
      <c r="AE153" s="1" t="s">
        <v>7456</v>
      </c>
      <c r="AF153" s="1" t="str">
        <f>VLOOKUP(AE153,t_objeto!B:C,2,FALSE)</f>
        <v>RAW_MATERIAL</v>
      </c>
      <c r="AG153" s="1">
        <v>8</v>
      </c>
      <c r="AH153" s="1" t="str">
        <f>VLOOKUP(AG153,t_entry_status!A:AE,2,FALSE)</f>
        <v>PENDING</v>
      </c>
      <c r="AI153" s="7">
        <v>45560</v>
      </c>
      <c r="AJ153" s="1" t="s">
        <v>7449</v>
      </c>
      <c r="AK153" s="7">
        <v>45560</v>
      </c>
      <c r="AL153" s="1" t="s">
        <v>7449</v>
      </c>
    </row>
    <row r="154" spans="1:38" s="20" customFormat="1" x14ac:dyDescent="0.25">
      <c r="A154" s="14">
        <v>153</v>
      </c>
      <c r="B154" s="14" t="str">
        <f>_xlfn.CONCAT(AE154,"-",VLOOKUP(AE154,t_objeto!B:D,3,FALSE),"-",A154)</f>
        <v>RRMM-PERCCO-153</v>
      </c>
      <c r="C154" s="22" t="str">
        <f t="shared" si="29"/>
        <v>LAMINA_LISA__INOX_304/316 L_3'X8'_19</v>
      </c>
      <c r="D154" s="14" t="s">
        <v>7407</v>
      </c>
      <c r="E154" s="14" t="s">
        <v>7403</v>
      </c>
      <c r="F154" s="21" t="s">
        <v>7404</v>
      </c>
      <c r="G154" s="22" t="s">
        <v>7382</v>
      </c>
      <c r="H154" s="14">
        <v>19</v>
      </c>
      <c r="I154" s="16">
        <v>1.06</v>
      </c>
      <c r="J154" s="16">
        <f t="shared" si="30"/>
        <v>4.1732283464566935E-2</v>
      </c>
      <c r="K154" s="16">
        <v>8.4730000000000008</v>
      </c>
      <c r="L154" s="23"/>
      <c r="M154" s="23"/>
      <c r="N154" s="23"/>
      <c r="O154" s="23"/>
      <c r="P154" s="23"/>
      <c r="Q154" s="19"/>
      <c r="R154" s="17">
        <v>3</v>
      </c>
      <c r="S154" s="17">
        <v>8</v>
      </c>
      <c r="T154" s="16">
        <f t="shared" si="21"/>
        <v>2438.3999999999996</v>
      </c>
      <c r="U154" s="16">
        <f t="shared" si="22"/>
        <v>914.4</v>
      </c>
      <c r="V154" s="18">
        <f t="shared" si="23"/>
        <v>2229672.9599999995</v>
      </c>
      <c r="W154" s="18">
        <f t="shared" si="24"/>
        <v>2.2296729599999994</v>
      </c>
      <c r="X154" s="18">
        <f t="shared" si="25"/>
        <v>18.892018990079997</v>
      </c>
      <c r="Y154" s="24">
        <v>35</v>
      </c>
      <c r="Z154" s="24">
        <f t="shared" si="26"/>
        <v>661.22066465279988</v>
      </c>
      <c r="AA154" s="16">
        <v>76</v>
      </c>
      <c r="AB154" s="16">
        <f t="shared" si="27"/>
        <v>2286.3999999999996</v>
      </c>
      <c r="AC154" s="16">
        <f t="shared" si="27"/>
        <v>762.4</v>
      </c>
      <c r="AD154" s="19">
        <f t="shared" si="28"/>
        <v>1743151.3599999996</v>
      </c>
      <c r="AE154" s="1" t="s">
        <v>7456</v>
      </c>
      <c r="AF154" s="1" t="str">
        <f>VLOOKUP(AE154,t_objeto!B:C,2,FALSE)</f>
        <v>RAW_MATERIAL</v>
      </c>
      <c r="AG154" s="1">
        <v>8</v>
      </c>
      <c r="AH154" s="1" t="str">
        <f>VLOOKUP(AG154,t_entry_status!A:AE,2,FALSE)</f>
        <v>PENDING</v>
      </c>
      <c r="AI154" s="7">
        <v>45560</v>
      </c>
      <c r="AJ154" s="1" t="s">
        <v>7449</v>
      </c>
      <c r="AK154" s="7">
        <v>45560</v>
      </c>
      <c r="AL154" s="1" t="s">
        <v>7449</v>
      </c>
    </row>
    <row r="155" spans="1:38" s="20" customFormat="1" x14ac:dyDescent="0.25">
      <c r="A155" s="14">
        <v>154</v>
      </c>
      <c r="B155" s="14" t="str">
        <f>_xlfn.CONCAT(AE155,"-",VLOOKUP(AE155,t_objeto!B:D,3,FALSE),"-",A155)</f>
        <v>RRMM-PERCCO-154</v>
      </c>
      <c r="C155" s="22" t="str">
        <f t="shared" si="29"/>
        <v>LAMINA_LISA__INOX_304/316 L_3'X8'_20</v>
      </c>
      <c r="D155" s="14" t="s">
        <v>7407</v>
      </c>
      <c r="E155" s="14" t="s">
        <v>7403</v>
      </c>
      <c r="F155" s="21" t="s">
        <v>7404</v>
      </c>
      <c r="G155" s="22" t="s">
        <v>7382</v>
      </c>
      <c r="H155" s="14">
        <v>20</v>
      </c>
      <c r="I155" s="16">
        <v>0.91</v>
      </c>
      <c r="J155" s="16">
        <f t="shared" si="30"/>
        <v>3.582677165354331E-2</v>
      </c>
      <c r="K155" s="16">
        <v>7.2249999999999996</v>
      </c>
      <c r="L155" s="23"/>
      <c r="M155" s="23"/>
      <c r="N155" s="23"/>
      <c r="O155" s="23"/>
      <c r="P155" s="23"/>
      <c r="Q155" s="19"/>
      <c r="R155" s="17">
        <v>3</v>
      </c>
      <c r="S155" s="17">
        <v>8</v>
      </c>
      <c r="T155" s="16">
        <f t="shared" si="21"/>
        <v>2438.3999999999996</v>
      </c>
      <c r="U155" s="16">
        <f t="shared" si="22"/>
        <v>914.4</v>
      </c>
      <c r="V155" s="18">
        <f t="shared" si="23"/>
        <v>2229672.9599999995</v>
      </c>
      <c r="W155" s="18">
        <f t="shared" si="24"/>
        <v>2.2296729599999994</v>
      </c>
      <c r="X155" s="18">
        <f t="shared" si="25"/>
        <v>16.109387135999995</v>
      </c>
      <c r="Y155" s="24">
        <v>35</v>
      </c>
      <c r="Z155" s="24">
        <f t="shared" si="26"/>
        <v>563.82854975999987</v>
      </c>
      <c r="AA155" s="16">
        <v>77</v>
      </c>
      <c r="AB155" s="16">
        <f t="shared" si="27"/>
        <v>2284.3999999999996</v>
      </c>
      <c r="AC155" s="16">
        <f t="shared" si="27"/>
        <v>760.4</v>
      </c>
      <c r="AD155" s="19">
        <f t="shared" si="28"/>
        <v>1737057.7599999998</v>
      </c>
      <c r="AE155" s="1" t="s">
        <v>7456</v>
      </c>
      <c r="AF155" s="1" t="str">
        <f>VLOOKUP(AE155,t_objeto!B:C,2,FALSE)</f>
        <v>RAW_MATERIAL</v>
      </c>
      <c r="AG155" s="1">
        <v>8</v>
      </c>
      <c r="AH155" s="1" t="str">
        <f>VLOOKUP(AG155,t_entry_status!A:AE,2,FALSE)</f>
        <v>PENDING</v>
      </c>
      <c r="AI155" s="7">
        <v>45560</v>
      </c>
      <c r="AJ155" s="1" t="s">
        <v>7449</v>
      </c>
      <c r="AK155" s="7">
        <v>45560</v>
      </c>
      <c r="AL155" s="1" t="s">
        <v>7449</v>
      </c>
    </row>
    <row r="156" spans="1:38" s="20" customFormat="1" x14ac:dyDescent="0.25">
      <c r="A156" s="14">
        <v>155</v>
      </c>
      <c r="B156" s="14" t="str">
        <f>_xlfn.CONCAT(AE156,"-",VLOOKUP(AE156,t_objeto!B:D,3,FALSE),"-",A156)</f>
        <v>RRMM-PERCCO-155</v>
      </c>
      <c r="C156" s="22" t="str">
        <f t="shared" si="29"/>
        <v>LAMINA_LISA__INOX_304/316 L_3'X8'_21</v>
      </c>
      <c r="D156" s="14" t="s">
        <v>7407</v>
      </c>
      <c r="E156" s="14" t="s">
        <v>7403</v>
      </c>
      <c r="F156" s="21" t="s">
        <v>7404</v>
      </c>
      <c r="G156" s="22" t="s">
        <v>7382</v>
      </c>
      <c r="H156" s="14">
        <v>21</v>
      </c>
      <c r="I156" s="16">
        <v>0.84</v>
      </c>
      <c r="J156" s="16">
        <f t="shared" si="30"/>
        <v>3.3070866141732283E-2</v>
      </c>
      <c r="K156" s="16">
        <v>6.7149999999999999</v>
      </c>
      <c r="L156" s="23"/>
      <c r="M156" s="23"/>
      <c r="N156" s="23"/>
      <c r="O156" s="23"/>
      <c r="P156" s="23"/>
      <c r="Q156" s="19"/>
      <c r="R156" s="17">
        <v>3</v>
      </c>
      <c r="S156" s="17">
        <v>8</v>
      </c>
      <c r="T156" s="16">
        <f t="shared" si="21"/>
        <v>2438.3999999999996</v>
      </c>
      <c r="U156" s="16">
        <f t="shared" si="22"/>
        <v>914.4</v>
      </c>
      <c r="V156" s="18">
        <f t="shared" si="23"/>
        <v>2229672.9599999995</v>
      </c>
      <c r="W156" s="18">
        <f t="shared" si="24"/>
        <v>2.2296729599999994</v>
      </c>
      <c r="X156" s="18">
        <f t="shared" si="25"/>
        <v>14.972253926399995</v>
      </c>
      <c r="Y156" s="24">
        <v>35</v>
      </c>
      <c r="Z156" s="24">
        <f t="shared" si="26"/>
        <v>524.02888742399978</v>
      </c>
      <c r="AA156" s="16">
        <v>78</v>
      </c>
      <c r="AB156" s="16">
        <f t="shared" si="27"/>
        <v>2282.3999999999996</v>
      </c>
      <c r="AC156" s="16">
        <f t="shared" si="27"/>
        <v>758.4</v>
      </c>
      <c r="AD156" s="19">
        <f t="shared" si="28"/>
        <v>1730972.1599999997</v>
      </c>
      <c r="AE156" s="1" t="s">
        <v>7456</v>
      </c>
      <c r="AF156" s="1" t="str">
        <f>VLOOKUP(AE156,t_objeto!B:C,2,FALSE)</f>
        <v>RAW_MATERIAL</v>
      </c>
      <c r="AG156" s="1">
        <v>8</v>
      </c>
      <c r="AH156" s="1" t="str">
        <f>VLOOKUP(AG156,t_entry_status!A:AE,2,FALSE)</f>
        <v>PENDING</v>
      </c>
      <c r="AI156" s="7">
        <v>45560</v>
      </c>
      <c r="AJ156" s="1" t="s">
        <v>7449</v>
      </c>
      <c r="AK156" s="7">
        <v>45560</v>
      </c>
      <c r="AL156" s="1" t="s">
        <v>7449</v>
      </c>
    </row>
    <row r="157" spans="1:38" s="20" customFormat="1" x14ac:dyDescent="0.25">
      <c r="A157" s="14">
        <v>156</v>
      </c>
      <c r="B157" s="14" t="str">
        <f>_xlfn.CONCAT(AE157,"-",VLOOKUP(AE157,t_objeto!B:D,3,FALSE),"-",A157)</f>
        <v>RRMM-PERCCO-156</v>
      </c>
      <c r="C157" s="22" t="str">
        <f t="shared" si="29"/>
        <v>LAMINA_LISA__INOX_304/316 L_3'X8'_22</v>
      </c>
      <c r="D157" s="14" t="s">
        <v>7407</v>
      </c>
      <c r="E157" s="14" t="s">
        <v>7403</v>
      </c>
      <c r="F157" s="21" t="s">
        <v>7404</v>
      </c>
      <c r="G157" s="22" t="s">
        <v>7382</v>
      </c>
      <c r="H157" s="14">
        <v>22</v>
      </c>
      <c r="I157" s="16">
        <v>0.76</v>
      </c>
      <c r="J157" s="16">
        <f t="shared" si="30"/>
        <v>2.9921259842519688E-2</v>
      </c>
      <c r="K157" s="16">
        <v>5.9939999999999998</v>
      </c>
      <c r="L157" s="23"/>
      <c r="M157" s="23"/>
      <c r="N157" s="23"/>
      <c r="O157" s="23"/>
      <c r="P157" s="23"/>
      <c r="Q157" s="19"/>
      <c r="R157" s="17">
        <v>3</v>
      </c>
      <c r="S157" s="17">
        <v>8</v>
      </c>
      <c r="T157" s="16">
        <f t="shared" si="21"/>
        <v>2438.3999999999996</v>
      </c>
      <c r="U157" s="16">
        <f t="shared" si="22"/>
        <v>914.4</v>
      </c>
      <c r="V157" s="18">
        <f t="shared" si="23"/>
        <v>2229672.9599999995</v>
      </c>
      <c r="W157" s="18">
        <f t="shared" si="24"/>
        <v>2.2296729599999994</v>
      </c>
      <c r="X157" s="18">
        <f t="shared" si="25"/>
        <v>13.364659722239995</v>
      </c>
      <c r="Y157" s="24">
        <v>35</v>
      </c>
      <c r="Z157" s="24">
        <f t="shared" si="26"/>
        <v>467.76309027839983</v>
      </c>
      <c r="AA157" s="16">
        <v>79</v>
      </c>
      <c r="AB157" s="16">
        <f t="shared" si="27"/>
        <v>2280.3999999999996</v>
      </c>
      <c r="AC157" s="16">
        <f t="shared" si="27"/>
        <v>756.4</v>
      </c>
      <c r="AD157" s="19">
        <f t="shared" si="28"/>
        <v>1724894.5599999996</v>
      </c>
      <c r="AE157" s="1" t="s">
        <v>7456</v>
      </c>
      <c r="AF157" s="1" t="str">
        <f>VLOOKUP(AE157,t_objeto!B:C,2,FALSE)</f>
        <v>RAW_MATERIAL</v>
      </c>
      <c r="AG157" s="1">
        <v>8</v>
      </c>
      <c r="AH157" s="1" t="str">
        <f>VLOOKUP(AG157,t_entry_status!A:AE,2,FALSE)</f>
        <v>PENDING</v>
      </c>
      <c r="AI157" s="7">
        <v>45560</v>
      </c>
      <c r="AJ157" s="1" t="s">
        <v>7449</v>
      </c>
      <c r="AK157" s="7">
        <v>45560</v>
      </c>
      <c r="AL157" s="1" t="s">
        <v>7449</v>
      </c>
    </row>
    <row r="158" spans="1:38" s="20" customFormat="1" x14ac:dyDescent="0.25">
      <c r="A158" s="14">
        <v>157</v>
      </c>
      <c r="B158" s="14" t="str">
        <f>_xlfn.CONCAT(AE158,"-",VLOOKUP(AE158,t_objeto!B:D,3,FALSE),"-",A158)</f>
        <v>RRMM-PERCCO-157</v>
      </c>
      <c r="C158" s="22" t="str">
        <f t="shared" si="29"/>
        <v>LAMINA_LISA__INOX_304/316 L_3'X8'_23</v>
      </c>
      <c r="D158" s="14" t="s">
        <v>7407</v>
      </c>
      <c r="E158" s="14" t="s">
        <v>7403</v>
      </c>
      <c r="F158" s="21" t="s">
        <v>7404</v>
      </c>
      <c r="G158" s="22" t="s">
        <v>7382</v>
      </c>
      <c r="H158" s="14">
        <v>23</v>
      </c>
      <c r="I158" s="16">
        <v>0.68</v>
      </c>
      <c r="J158" s="16">
        <f t="shared" si="30"/>
        <v>2.677165354330709E-2</v>
      </c>
      <c r="K158" s="16">
        <v>5.4359999999999999</v>
      </c>
      <c r="L158" s="23"/>
      <c r="M158" s="23"/>
      <c r="N158" s="23"/>
      <c r="O158" s="23"/>
      <c r="P158" s="23"/>
      <c r="Q158" s="19"/>
      <c r="R158" s="17">
        <v>3</v>
      </c>
      <c r="S158" s="17">
        <v>8</v>
      </c>
      <c r="T158" s="16">
        <f t="shared" si="21"/>
        <v>2438.3999999999996</v>
      </c>
      <c r="U158" s="16">
        <f t="shared" si="22"/>
        <v>914.4</v>
      </c>
      <c r="V158" s="18">
        <f t="shared" si="23"/>
        <v>2229672.9599999995</v>
      </c>
      <c r="W158" s="18">
        <f t="shared" si="24"/>
        <v>2.2296729599999994</v>
      </c>
      <c r="X158" s="18">
        <f t="shared" si="25"/>
        <v>12.120502210559996</v>
      </c>
      <c r="Y158" s="24">
        <v>35</v>
      </c>
      <c r="Z158" s="24">
        <f t="shared" si="26"/>
        <v>424.21757736959989</v>
      </c>
      <c r="AA158" s="16">
        <v>80</v>
      </c>
      <c r="AB158" s="16">
        <f t="shared" si="27"/>
        <v>2278.3999999999996</v>
      </c>
      <c r="AC158" s="16">
        <f t="shared" si="27"/>
        <v>754.4</v>
      </c>
      <c r="AD158" s="19">
        <f t="shared" si="28"/>
        <v>1718824.9599999997</v>
      </c>
      <c r="AE158" s="1" t="s">
        <v>7456</v>
      </c>
      <c r="AF158" s="1" t="str">
        <f>VLOOKUP(AE158,t_objeto!B:C,2,FALSE)</f>
        <v>RAW_MATERIAL</v>
      </c>
      <c r="AG158" s="1">
        <v>8</v>
      </c>
      <c r="AH158" s="1" t="str">
        <f>VLOOKUP(AG158,t_entry_status!A:AE,2,FALSE)</f>
        <v>PENDING</v>
      </c>
      <c r="AI158" s="7">
        <v>45560</v>
      </c>
      <c r="AJ158" s="1" t="s">
        <v>7449</v>
      </c>
      <c r="AK158" s="7">
        <v>45560</v>
      </c>
      <c r="AL158" s="1" t="s">
        <v>7449</v>
      </c>
    </row>
    <row r="159" spans="1:38" s="20" customFormat="1" x14ac:dyDescent="0.25">
      <c r="A159" s="14">
        <v>158</v>
      </c>
      <c r="B159" s="14" t="str">
        <f>_xlfn.CONCAT(AE159,"-",VLOOKUP(AE159,t_objeto!B:D,3,FALSE),"-",A159)</f>
        <v>RRMM-PERCCO-158</v>
      </c>
      <c r="C159" s="22" t="str">
        <f t="shared" si="29"/>
        <v>LAMINA_LISA__INOX_304/316 L_3'X8'_24</v>
      </c>
      <c r="D159" s="14" t="s">
        <v>7407</v>
      </c>
      <c r="E159" s="14" t="s">
        <v>7403</v>
      </c>
      <c r="F159" s="21" t="s">
        <v>7404</v>
      </c>
      <c r="G159" s="22" t="s">
        <v>7382</v>
      </c>
      <c r="H159" s="14">
        <v>24</v>
      </c>
      <c r="I159" s="16">
        <v>0.61</v>
      </c>
      <c r="J159" s="16">
        <f t="shared" si="30"/>
        <v>2.4015748031496063E-2</v>
      </c>
      <c r="K159" s="16">
        <v>4.9409999999999998</v>
      </c>
      <c r="L159" s="23"/>
      <c r="M159" s="23"/>
      <c r="N159" s="23"/>
      <c r="O159" s="23"/>
      <c r="P159" s="23"/>
      <c r="Q159" s="19"/>
      <c r="R159" s="17">
        <v>3</v>
      </c>
      <c r="S159" s="17">
        <v>8</v>
      </c>
      <c r="T159" s="16">
        <f t="shared" si="21"/>
        <v>2438.3999999999996</v>
      </c>
      <c r="U159" s="16">
        <f t="shared" si="22"/>
        <v>914.4</v>
      </c>
      <c r="V159" s="18">
        <f t="shared" si="23"/>
        <v>2229672.9599999995</v>
      </c>
      <c r="W159" s="18">
        <f t="shared" si="24"/>
        <v>2.2296729599999994</v>
      </c>
      <c r="X159" s="18">
        <f t="shared" si="25"/>
        <v>11.016814095359997</v>
      </c>
      <c r="Y159" s="24">
        <v>35</v>
      </c>
      <c r="Z159" s="24">
        <f t="shared" si="26"/>
        <v>385.58849333759991</v>
      </c>
      <c r="AA159" s="16">
        <v>81</v>
      </c>
      <c r="AB159" s="16">
        <f t="shared" si="27"/>
        <v>2276.3999999999996</v>
      </c>
      <c r="AC159" s="16">
        <f t="shared" si="27"/>
        <v>752.4</v>
      </c>
      <c r="AD159" s="19">
        <f t="shared" si="28"/>
        <v>1712763.3599999996</v>
      </c>
      <c r="AE159" s="1" t="s">
        <v>7456</v>
      </c>
      <c r="AF159" s="1" t="str">
        <f>VLOOKUP(AE159,t_objeto!B:C,2,FALSE)</f>
        <v>RAW_MATERIAL</v>
      </c>
      <c r="AG159" s="1">
        <v>8</v>
      </c>
      <c r="AH159" s="1" t="str">
        <f>VLOOKUP(AG159,t_entry_status!A:AE,2,FALSE)</f>
        <v>PENDING</v>
      </c>
      <c r="AI159" s="7">
        <v>45560</v>
      </c>
      <c r="AJ159" s="1" t="s">
        <v>7449</v>
      </c>
      <c r="AK159" s="7">
        <v>45560</v>
      </c>
      <c r="AL159" s="1" t="s">
        <v>7449</v>
      </c>
    </row>
    <row r="160" spans="1:38" s="20" customFormat="1" x14ac:dyDescent="0.25">
      <c r="A160" s="14">
        <v>159</v>
      </c>
      <c r="B160" s="14" t="str">
        <f>_xlfn.CONCAT(AE160,"-",VLOOKUP(AE160,t_objeto!B:D,3,FALSE),"-",A160)</f>
        <v>RRMM-PERCCO-159</v>
      </c>
      <c r="C160" s="22" t="str">
        <f t="shared" si="29"/>
        <v>LAMINA_LISA__INOX_304/316 L_3'X8'_25</v>
      </c>
      <c r="D160" s="14" t="s">
        <v>7407</v>
      </c>
      <c r="E160" s="14" t="s">
        <v>7403</v>
      </c>
      <c r="F160" s="21" t="s">
        <v>7404</v>
      </c>
      <c r="G160" s="22" t="s">
        <v>7382</v>
      </c>
      <c r="H160" s="14">
        <v>25</v>
      </c>
      <c r="I160" s="16">
        <v>0.53</v>
      </c>
      <c r="J160" s="16">
        <f t="shared" si="30"/>
        <v>2.0866141732283468E-2</v>
      </c>
      <c r="K160" s="16">
        <v>4.2370000000000001</v>
      </c>
      <c r="L160" s="23"/>
      <c r="M160" s="23"/>
      <c r="N160" s="23"/>
      <c r="O160" s="23"/>
      <c r="P160" s="23"/>
      <c r="Q160" s="19"/>
      <c r="R160" s="17">
        <v>3</v>
      </c>
      <c r="S160" s="17">
        <v>8</v>
      </c>
      <c r="T160" s="16">
        <f t="shared" si="21"/>
        <v>2438.3999999999996</v>
      </c>
      <c r="U160" s="16">
        <f t="shared" si="22"/>
        <v>914.4</v>
      </c>
      <c r="V160" s="18">
        <f t="shared" si="23"/>
        <v>2229672.9599999995</v>
      </c>
      <c r="W160" s="18">
        <f t="shared" si="24"/>
        <v>2.2296729599999994</v>
      </c>
      <c r="X160" s="18">
        <f t="shared" si="25"/>
        <v>9.4471243315199978</v>
      </c>
      <c r="Y160" s="24">
        <v>35</v>
      </c>
      <c r="Z160" s="24">
        <f t="shared" si="26"/>
        <v>330.64935160319993</v>
      </c>
      <c r="AA160" s="16">
        <v>82</v>
      </c>
      <c r="AB160" s="16">
        <f t="shared" si="27"/>
        <v>2274.3999999999996</v>
      </c>
      <c r="AC160" s="16">
        <f t="shared" si="27"/>
        <v>750.4</v>
      </c>
      <c r="AD160" s="19">
        <f t="shared" si="28"/>
        <v>1706709.7599999998</v>
      </c>
      <c r="AE160" s="1" t="s">
        <v>7456</v>
      </c>
      <c r="AF160" s="1" t="str">
        <f>VLOOKUP(AE160,t_objeto!B:C,2,FALSE)</f>
        <v>RAW_MATERIAL</v>
      </c>
      <c r="AG160" s="1">
        <v>8</v>
      </c>
      <c r="AH160" s="1" t="str">
        <f>VLOOKUP(AG160,t_entry_status!A:AE,2,FALSE)</f>
        <v>PENDING</v>
      </c>
      <c r="AI160" s="7">
        <v>45560</v>
      </c>
      <c r="AJ160" s="1" t="s">
        <v>7449</v>
      </c>
      <c r="AK160" s="7">
        <v>45560</v>
      </c>
      <c r="AL160" s="1" t="s">
        <v>7449</v>
      </c>
    </row>
    <row r="161" spans="1:38" s="20" customFormat="1" x14ac:dyDescent="0.25">
      <c r="A161" s="14">
        <v>160</v>
      </c>
      <c r="B161" s="14" t="str">
        <f>_xlfn.CONCAT(AE161,"-",VLOOKUP(AE161,t_objeto!B:D,3,FALSE),"-",A161)</f>
        <v>RRMM-PERCCO-160</v>
      </c>
      <c r="C161" s="22" t="str">
        <f t="shared" si="29"/>
        <v>LAMINA_LISA__INOX_304/316 L_3'X8'_26</v>
      </c>
      <c r="D161" s="14" t="s">
        <v>7407</v>
      </c>
      <c r="E161" s="14" t="s">
        <v>7403</v>
      </c>
      <c r="F161" s="21" t="s">
        <v>7404</v>
      </c>
      <c r="G161" s="22" t="s">
        <v>7382</v>
      </c>
      <c r="H161" s="14">
        <v>26</v>
      </c>
      <c r="I161" s="16">
        <v>0.45</v>
      </c>
      <c r="J161" s="16">
        <f t="shared" si="30"/>
        <v>1.7716535433070866E-2</v>
      </c>
      <c r="K161" s="16">
        <v>3.6859999999999999</v>
      </c>
      <c r="L161" s="23"/>
      <c r="M161" s="23"/>
      <c r="N161" s="23"/>
      <c r="O161" s="23"/>
      <c r="P161" s="23"/>
      <c r="Q161" s="19"/>
      <c r="R161" s="17">
        <v>3</v>
      </c>
      <c r="S161" s="17">
        <v>8</v>
      </c>
      <c r="T161" s="16">
        <f t="shared" si="21"/>
        <v>2438.3999999999996</v>
      </c>
      <c r="U161" s="16">
        <f t="shared" si="22"/>
        <v>914.4</v>
      </c>
      <c r="V161" s="18">
        <f t="shared" si="23"/>
        <v>2229672.9599999995</v>
      </c>
      <c r="W161" s="18">
        <f t="shared" si="24"/>
        <v>2.2296729599999994</v>
      </c>
      <c r="X161" s="18">
        <f t="shared" si="25"/>
        <v>8.218574530559998</v>
      </c>
      <c r="Y161" s="24">
        <v>35</v>
      </c>
      <c r="Z161" s="24">
        <f t="shared" si="26"/>
        <v>287.65010856959992</v>
      </c>
      <c r="AA161" s="16">
        <v>83</v>
      </c>
      <c r="AB161" s="16">
        <f t="shared" si="27"/>
        <v>2272.3999999999996</v>
      </c>
      <c r="AC161" s="16">
        <f t="shared" si="27"/>
        <v>748.4</v>
      </c>
      <c r="AD161" s="19">
        <f t="shared" si="28"/>
        <v>1700664.1599999997</v>
      </c>
      <c r="AE161" s="1" t="s">
        <v>7456</v>
      </c>
      <c r="AF161" s="1" t="str">
        <f>VLOOKUP(AE161,t_objeto!B:C,2,FALSE)</f>
        <v>RAW_MATERIAL</v>
      </c>
      <c r="AG161" s="1">
        <v>8</v>
      </c>
      <c r="AH161" s="1" t="str">
        <f>VLOOKUP(AG161,t_entry_status!A:AE,2,FALSE)</f>
        <v>PENDING</v>
      </c>
      <c r="AI161" s="7">
        <v>45560</v>
      </c>
      <c r="AJ161" s="1" t="s">
        <v>7449</v>
      </c>
      <c r="AK161" s="7">
        <v>45560</v>
      </c>
      <c r="AL161" s="1" t="s">
        <v>7449</v>
      </c>
    </row>
    <row r="162" spans="1:38" s="20" customFormat="1" x14ac:dyDescent="0.25">
      <c r="A162" s="14">
        <v>161</v>
      </c>
      <c r="B162" s="14" t="str">
        <f>_xlfn.CONCAT(AE162,"-",VLOOKUP(AE162,t_objeto!B:D,3,FALSE),"-",A162)</f>
        <v>RRMM-PERCCO-161</v>
      </c>
      <c r="C162" s="22" t="str">
        <f t="shared" si="29"/>
        <v>LAMINA_LISA__ACERO_GALVANIZADA_3'X10'_10</v>
      </c>
      <c r="D162" s="14" t="s">
        <v>7407</v>
      </c>
      <c r="E162" s="14" t="s">
        <v>7380</v>
      </c>
      <c r="F162" s="21" t="s">
        <v>7381</v>
      </c>
      <c r="G162" s="22" t="s">
        <v>7382</v>
      </c>
      <c r="H162" s="14">
        <v>10</v>
      </c>
      <c r="I162" s="14">
        <v>3.42</v>
      </c>
      <c r="J162" s="16">
        <f t="shared" si="30"/>
        <v>0.13464566929133859</v>
      </c>
      <c r="K162" s="16">
        <v>27.106999999999999</v>
      </c>
      <c r="L162" s="23">
        <v>1.9</v>
      </c>
      <c r="M162" s="23"/>
      <c r="N162" s="23"/>
      <c r="O162" s="23"/>
      <c r="P162" s="23"/>
      <c r="Q162" s="19"/>
      <c r="R162" s="17">
        <v>3</v>
      </c>
      <c r="S162" s="17">
        <v>10</v>
      </c>
      <c r="T162" s="16">
        <f t="shared" si="21"/>
        <v>3048</v>
      </c>
      <c r="U162" s="16">
        <f t="shared" si="22"/>
        <v>914.4</v>
      </c>
      <c r="V162" s="18">
        <f t="shared" si="23"/>
        <v>2787091.1999999997</v>
      </c>
      <c r="W162" s="18">
        <f t="shared" si="24"/>
        <v>2.7870911999999999</v>
      </c>
      <c r="X162" s="18">
        <f t="shared" si="25"/>
        <v>75.549681158399991</v>
      </c>
      <c r="Y162" s="24">
        <v>35</v>
      </c>
      <c r="Z162" s="24">
        <f t="shared" si="26"/>
        <v>2644.2388405439997</v>
      </c>
      <c r="AA162" s="16">
        <v>5</v>
      </c>
      <c r="AB162" s="16">
        <f t="shared" si="27"/>
        <v>3038</v>
      </c>
      <c r="AC162" s="16">
        <f t="shared" si="27"/>
        <v>904.4</v>
      </c>
      <c r="AD162" s="19">
        <f t="shared" si="28"/>
        <v>2747567.1999999997</v>
      </c>
      <c r="AE162" s="1" t="s">
        <v>7456</v>
      </c>
      <c r="AF162" s="1" t="str">
        <f>VLOOKUP(AE162,t_objeto!B:C,2,FALSE)</f>
        <v>RAW_MATERIAL</v>
      </c>
      <c r="AG162" s="1">
        <v>8</v>
      </c>
      <c r="AH162" s="1" t="str">
        <f>VLOOKUP(AG162,t_entry_status!A:AE,2,FALSE)</f>
        <v>PENDING</v>
      </c>
      <c r="AI162" s="7">
        <v>45560</v>
      </c>
      <c r="AJ162" s="1" t="s">
        <v>7449</v>
      </c>
      <c r="AK162" s="7">
        <v>45560</v>
      </c>
      <c r="AL162" s="1" t="s">
        <v>7449</v>
      </c>
    </row>
    <row r="163" spans="1:38" s="20" customFormat="1" x14ac:dyDescent="0.25">
      <c r="A163" s="14">
        <v>162</v>
      </c>
      <c r="B163" s="14" t="str">
        <f>_xlfn.CONCAT(AE163,"-",VLOOKUP(AE163,t_objeto!B:D,3,FALSE),"-",A163)</f>
        <v>RRMM-PERCCO-162</v>
      </c>
      <c r="C163" s="22" t="str">
        <f t="shared" si="29"/>
        <v>LAMINA_LISA__ACERO_GALVANIZADA_3'X10'_11</v>
      </c>
      <c r="D163" s="14" t="s">
        <v>7407</v>
      </c>
      <c r="E163" s="14" t="s">
        <v>7380</v>
      </c>
      <c r="F163" s="21" t="s">
        <v>7381</v>
      </c>
      <c r="G163" s="22" t="s">
        <v>7382</v>
      </c>
      <c r="H163" s="14">
        <v>11</v>
      </c>
      <c r="I163" s="16">
        <v>3.04</v>
      </c>
      <c r="J163" s="16">
        <f t="shared" si="30"/>
        <v>0.11968503937007875</v>
      </c>
      <c r="K163" s="16">
        <v>24.190999999999999</v>
      </c>
      <c r="L163" s="23">
        <v>3</v>
      </c>
      <c r="M163" s="23"/>
      <c r="N163" s="23"/>
      <c r="O163" s="23"/>
      <c r="P163" s="23"/>
      <c r="Q163" s="19"/>
      <c r="R163" s="17">
        <v>3</v>
      </c>
      <c r="S163" s="17">
        <v>10</v>
      </c>
      <c r="T163" s="16">
        <f t="shared" si="21"/>
        <v>3048</v>
      </c>
      <c r="U163" s="16">
        <f t="shared" si="22"/>
        <v>914.4</v>
      </c>
      <c r="V163" s="18">
        <f t="shared" si="23"/>
        <v>2787091.1999999997</v>
      </c>
      <c r="W163" s="18">
        <f t="shared" si="24"/>
        <v>2.7870911999999999</v>
      </c>
      <c r="X163" s="18">
        <f t="shared" si="25"/>
        <v>67.422523219199988</v>
      </c>
      <c r="Y163" s="24">
        <v>35</v>
      </c>
      <c r="Z163" s="24">
        <f t="shared" si="26"/>
        <v>2359.7883126719994</v>
      </c>
      <c r="AA163" s="16">
        <v>5</v>
      </c>
      <c r="AB163" s="16">
        <f t="shared" si="27"/>
        <v>3038</v>
      </c>
      <c r="AC163" s="16">
        <f t="shared" si="27"/>
        <v>904.4</v>
      </c>
      <c r="AD163" s="19">
        <f t="shared" si="28"/>
        <v>2747567.1999999997</v>
      </c>
      <c r="AE163" s="1" t="s">
        <v>7456</v>
      </c>
      <c r="AF163" s="1" t="str">
        <f>VLOOKUP(AE163,t_objeto!B:C,2,FALSE)</f>
        <v>RAW_MATERIAL</v>
      </c>
      <c r="AG163" s="1">
        <v>8</v>
      </c>
      <c r="AH163" s="1" t="str">
        <f>VLOOKUP(AG163,t_entry_status!A:AE,2,FALSE)</f>
        <v>PENDING</v>
      </c>
      <c r="AI163" s="7">
        <v>45560</v>
      </c>
      <c r="AJ163" s="1" t="s">
        <v>7449</v>
      </c>
      <c r="AK163" s="7">
        <v>45560</v>
      </c>
      <c r="AL163" s="1" t="s">
        <v>7449</v>
      </c>
    </row>
    <row r="164" spans="1:38" s="20" customFormat="1" x14ac:dyDescent="0.25">
      <c r="A164" s="14">
        <v>163</v>
      </c>
      <c r="B164" s="14" t="str">
        <f>_xlfn.CONCAT(AE164,"-",VLOOKUP(AE164,t_objeto!B:D,3,FALSE),"-",A164)</f>
        <v>RRMM-PERCCO-163</v>
      </c>
      <c r="C164" s="22" t="str">
        <f t="shared" si="29"/>
        <v>LAMINA_LISA__ACERO_GALVANIZADA_3'X10'_12</v>
      </c>
      <c r="D164" s="14" t="s">
        <v>7407</v>
      </c>
      <c r="E164" s="14" t="s">
        <v>7380</v>
      </c>
      <c r="F164" s="21" t="s">
        <v>7381</v>
      </c>
      <c r="G164" s="22" t="s">
        <v>7382</v>
      </c>
      <c r="H164" s="14">
        <v>12</v>
      </c>
      <c r="I164" s="14">
        <v>2.66</v>
      </c>
      <c r="J164" s="16">
        <f t="shared" si="30"/>
        <v>0.1047244094488189</v>
      </c>
      <c r="K164" s="16">
        <v>21.641999999999999</v>
      </c>
      <c r="L164" s="23">
        <v>3.8</v>
      </c>
      <c r="M164" s="23"/>
      <c r="N164" s="23"/>
      <c r="O164" s="23"/>
      <c r="P164" s="23"/>
      <c r="Q164" s="19"/>
      <c r="R164" s="17">
        <v>3</v>
      </c>
      <c r="S164" s="17">
        <v>10</v>
      </c>
      <c r="T164" s="16">
        <f t="shared" si="21"/>
        <v>3048</v>
      </c>
      <c r="U164" s="16">
        <f t="shared" si="22"/>
        <v>914.4</v>
      </c>
      <c r="V164" s="18">
        <f t="shared" si="23"/>
        <v>2787091.1999999997</v>
      </c>
      <c r="W164" s="18">
        <f t="shared" si="24"/>
        <v>2.7870911999999999</v>
      </c>
      <c r="X164" s="18">
        <f t="shared" si="25"/>
        <v>60.318227750399998</v>
      </c>
      <c r="Y164" s="24">
        <v>35</v>
      </c>
      <c r="Z164" s="24">
        <f t="shared" si="26"/>
        <v>2111.137971264</v>
      </c>
      <c r="AA164" s="16">
        <v>5</v>
      </c>
      <c r="AB164" s="16">
        <f t="shared" si="27"/>
        <v>3038</v>
      </c>
      <c r="AC164" s="16">
        <f t="shared" si="27"/>
        <v>904.4</v>
      </c>
      <c r="AD164" s="19">
        <f t="shared" si="28"/>
        <v>2747567.1999999997</v>
      </c>
      <c r="AE164" s="1" t="s">
        <v>7456</v>
      </c>
      <c r="AF164" s="1" t="str">
        <f>VLOOKUP(AE164,t_objeto!B:C,2,FALSE)</f>
        <v>RAW_MATERIAL</v>
      </c>
      <c r="AG164" s="1">
        <v>8</v>
      </c>
      <c r="AH164" s="1" t="str">
        <f>VLOOKUP(AG164,t_entry_status!A:AE,2,FALSE)</f>
        <v>PENDING</v>
      </c>
      <c r="AI164" s="7">
        <v>45560</v>
      </c>
      <c r="AJ164" s="1" t="s">
        <v>7449</v>
      </c>
      <c r="AK164" s="7">
        <v>45560</v>
      </c>
      <c r="AL164" s="1" t="s">
        <v>7449</v>
      </c>
    </row>
    <row r="165" spans="1:38" s="20" customFormat="1" x14ac:dyDescent="0.25">
      <c r="A165" s="14">
        <v>164</v>
      </c>
      <c r="B165" s="14" t="str">
        <f>_xlfn.CONCAT(AE165,"-",VLOOKUP(AE165,t_objeto!B:D,3,FALSE),"-",A165)</f>
        <v>RRMM-PERCCO-164</v>
      </c>
      <c r="C165" s="22" t="str">
        <f t="shared" si="29"/>
        <v>LAMINA_LISA__ACERO_GALVANIZADA_3'X10'_13</v>
      </c>
      <c r="D165" s="14" t="s">
        <v>7407</v>
      </c>
      <c r="E165" s="14" t="s">
        <v>7380</v>
      </c>
      <c r="F165" s="21" t="s">
        <v>7381</v>
      </c>
      <c r="G165" s="22" t="s">
        <v>7382</v>
      </c>
      <c r="H165" s="14">
        <v>13</v>
      </c>
      <c r="I165" s="16">
        <v>2.2799999999999998</v>
      </c>
      <c r="J165" s="16">
        <f t="shared" si="30"/>
        <v>8.9763779527559054E-2</v>
      </c>
      <c r="K165" s="16">
        <v>18.143000000000001</v>
      </c>
      <c r="L165" s="23">
        <v>4</v>
      </c>
      <c r="M165" s="23"/>
      <c r="N165" s="23"/>
      <c r="O165" s="23"/>
      <c r="P165" s="23"/>
      <c r="Q165" s="19"/>
      <c r="R165" s="17">
        <v>3</v>
      </c>
      <c r="S165" s="17">
        <v>10</v>
      </c>
      <c r="T165" s="16">
        <f t="shared" si="21"/>
        <v>3048</v>
      </c>
      <c r="U165" s="16">
        <f t="shared" si="22"/>
        <v>914.4</v>
      </c>
      <c r="V165" s="18">
        <f t="shared" si="23"/>
        <v>2787091.1999999997</v>
      </c>
      <c r="W165" s="18">
        <f t="shared" si="24"/>
        <v>2.7870911999999999</v>
      </c>
      <c r="X165" s="18">
        <f t="shared" si="25"/>
        <v>50.566195641599997</v>
      </c>
      <c r="Y165" s="24">
        <v>35</v>
      </c>
      <c r="Z165" s="24">
        <f t="shared" si="26"/>
        <v>1769.8168474559998</v>
      </c>
      <c r="AA165" s="16">
        <v>5</v>
      </c>
      <c r="AB165" s="16">
        <f t="shared" si="27"/>
        <v>3038</v>
      </c>
      <c r="AC165" s="16">
        <f t="shared" si="27"/>
        <v>904.4</v>
      </c>
      <c r="AD165" s="19">
        <f t="shared" si="28"/>
        <v>2747567.1999999997</v>
      </c>
      <c r="AE165" s="1" t="s">
        <v>7456</v>
      </c>
      <c r="AF165" s="1" t="str">
        <f>VLOOKUP(AE165,t_objeto!B:C,2,FALSE)</f>
        <v>RAW_MATERIAL</v>
      </c>
      <c r="AG165" s="1">
        <v>8</v>
      </c>
      <c r="AH165" s="1" t="str">
        <f>VLOOKUP(AG165,t_entry_status!A:AE,2,FALSE)</f>
        <v>PENDING</v>
      </c>
      <c r="AI165" s="7">
        <v>45560</v>
      </c>
      <c r="AJ165" s="1" t="s">
        <v>7449</v>
      </c>
      <c r="AK165" s="7">
        <v>45560</v>
      </c>
      <c r="AL165" s="1" t="s">
        <v>7449</v>
      </c>
    </row>
    <row r="166" spans="1:38" s="20" customFormat="1" ht="18.75" x14ac:dyDescent="0.3">
      <c r="A166" s="14">
        <v>165</v>
      </c>
      <c r="B166" s="14" t="str">
        <f>_xlfn.CONCAT(AE166,"-",VLOOKUP(AE166,t_objeto!B:D,3,FALSE),"-",A166)</f>
        <v>RRMM-PERCCO-165</v>
      </c>
      <c r="C166" s="22" t="str">
        <f t="shared" si="29"/>
        <v>LAMINA_LISA__ACERO_GALVANIZADA_3'X10'_14</v>
      </c>
      <c r="D166" s="14" t="s">
        <v>7407</v>
      </c>
      <c r="E166" s="14" t="s">
        <v>7380</v>
      </c>
      <c r="F166" s="21" t="s">
        <v>7381</v>
      </c>
      <c r="G166" s="22" t="s">
        <v>7382</v>
      </c>
      <c r="H166" s="14">
        <v>14</v>
      </c>
      <c r="I166" s="14">
        <v>1.9</v>
      </c>
      <c r="J166" s="16">
        <f t="shared" si="30"/>
        <v>7.4803149606299218E-2</v>
      </c>
      <c r="K166" s="25">
        <v>16.928999999999998</v>
      </c>
      <c r="L166" s="23">
        <v>6</v>
      </c>
      <c r="M166" s="23"/>
      <c r="N166" s="23"/>
      <c r="O166" s="23"/>
      <c r="P166" s="23"/>
      <c r="Q166" s="19"/>
      <c r="R166" s="17">
        <v>3</v>
      </c>
      <c r="S166" s="17">
        <v>10</v>
      </c>
      <c r="T166" s="16">
        <f t="shared" si="21"/>
        <v>3048</v>
      </c>
      <c r="U166" s="16">
        <f t="shared" si="22"/>
        <v>914.4</v>
      </c>
      <c r="V166" s="18">
        <f t="shared" si="23"/>
        <v>2787091.1999999997</v>
      </c>
      <c r="W166" s="18">
        <f t="shared" si="24"/>
        <v>2.7870911999999999</v>
      </c>
      <c r="X166" s="18">
        <f t="shared" si="25"/>
        <v>47.182666924799996</v>
      </c>
      <c r="Y166" s="24">
        <v>35</v>
      </c>
      <c r="Z166" s="24">
        <f t="shared" si="26"/>
        <v>1651.3933423679998</v>
      </c>
      <c r="AA166" s="16">
        <v>5</v>
      </c>
      <c r="AB166" s="16">
        <f t="shared" si="27"/>
        <v>3038</v>
      </c>
      <c r="AC166" s="16">
        <f t="shared" si="27"/>
        <v>904.4</v>
      </c>
      <c r="AD166" s="19">
        <f t="shared" si="28"/>
        <v>2747567.1999999997</v>
      </c>
      <c r="AE166" s="1" t="s">
        <v>7456</v>
      </c>
      <c r="AF166" s="1" t="str">
        <f>VLOOKUP(AE166,t_objeto!B:C,2,FALSE)</f>
        <v>RAW_MATERIAL</v>
      </c>
      <c r="AG166" s="1">
        <v>8</v>
      </c>
      <c r="AH166" s="1" t="str">
        <f>VLOOKUP(AG166,t_entry_status!A:AE,2,FALSE)</f>
        <v>PENDING</v>
      </c>
      <c r="AI166" s="7">
        <v>45560</v>
      </c>
      <c r="AJ166" s="1" t="s">
        <v>7449</v>
      </c>
      <c r="AK166" s="7">
        <v>45560</v>
      </c>
      <c r="AL166" s="1" t="s">
        <v>7449</v>
      </c>
    </row>
    <row r="167" spans="1:38" s="20" customFormat="1" x14ac:dyDescent="0.25">
      <c r="A167" s="14">
        <v>166</v>
      </c>
      <c r="B167" s="14" t="str">
        <f>_xlfn.CONCAT(AE167,"-",VLOOKUP(AE167,t_objeto!B:D,3,FALSE),"-",A167)</f>
        <v>RRMM-PERCCO-166</v>
      </c>
      <c r="C167" s="22" t="str">
        <f t="shared" si="29"/>
        <v>LAMINA_LISA__ACERO_GALVANIZADA_3'X10'_15</v>
      </c>
      <c r="D167" s="14" t="s">
        <v>7407</v>
      </c>
      <c r="E167" s="14" t="s">
        <v>7380</v>
      </c>
      <c r="F167" s="21" t="s">
        <v>7381</v>
      </c>
      <c r="G167" s="22" t="s">
        <v>7382</v>
      </c>
      <c r="H167" s="14">
        <v>15</v>
      </c>
      <c r="I167" s="16">
        <v>1.71</v>
      </c>
      <c r="J167" s="16">
        <f t="shared" si="30"/>
        <v>6.7322834645669294E-2</v>
      </c>
      <c r="K167" s="16">
        <v>13.606999999999999</v>
      </c>
      <c r="L167" s="23"/>
      <c r="M167" s="23"/>
      <c r="N167" s="23"/>
      <c r="O167" s="23"/>
      <c r="P167" s="23"/>
      <c r="Q167" s="19"/>
      <c r="R167" s="17">
        <v>3</v>
      </c>
      <c r="S167" s="17">
        <v>10</v>
      </c>
      <c r="T167" s="16">
        <f t="shared" si="21"/>
        <v>3048</v>
      </c>
      <c r="U167" s="16">
        <f t="shared" si="22"/>
        <v>914.4</v>
      </c>
      <c r="V167" s="18">
        <f t="shared" si="23"/>
        <v>2787091.1999999997</v>
      </c>
      <c r="W167" s="18">
        <f t="shared" si="24"/>
        <v>2.7870911999999999</v>
      </c>
      <c r="X167" s="18">
        <f t="shared" si="25"/>
        <v>37.923949958399994</v>
      </c>
      <c r="Y167" s="24">
        <v>35</v>
      </c>
      <c r="Z167" s="24">
        <f t="shared" si="26"/>
        <v>1327.3382485439997</v>
      </c>
      <c r="AA167" s="16">
        <v>5</v>
      </c>
      <c r="AB167" s="16">
        <f t="shared" si="27"/>
        <v>3038</v>
      </c>
      <c r="AC167" s="16">
        <f t="shared" si="27"/>
        <v>904.4</v>
      </c>
      <c r="AD167" s="19">
        <f t="shared" si="28"/>
        <v>2747567.1999999997</v>
      </c>
      <c r="AE167" s="1" t="s">
        <v>7456</v>
      </c>
      <c r="AF167" s="1" t="str">
        <f>VLOOKUP(AE167,t_objeto!B:C,2,FALSE)</f>
        <v>RAW_MATERIAL</v>
      </c>
      <c r="AG167" s="1">
        <v>8</v>
      </c>
      <c r="AH167" s="1" t="str">
        <f>VLOOKUP(AG167,t_entry_status!A:AE,2,FALSE)</f>
        <v>PENDING</v>
      </c>
      <c r="AI167" s="7">
        <v>45560</v>
      </c>
      <c r="AJ167" s="1" t="s">
        <v>7449</v>
      </c>
      <c r="AK167" s="7">
        <v>45560</v>
      </c>
      <c r="AL167" s="1" t="s">
        <v>7449</v>
      </c>
    </row>
    <row r="168" spans="1:38" s="20" customFormat="1" x14ac:dyDescent="0.25">
      <c r="A168" s="14">
        <v>167</v>
      </c>
      <c r="B168" s="14" t="str">
        <f>_xlfn.CONCAT(AE168,"-",VLOOKUP(AE168,t_objeto!B:D,3,FALSE),"-",A168)</f>
        <v>RRMM-PERCCO-167</v>
      </c>
      <c r="C168" s="22" t="str">
        <f t="shared" si="29"/>
        <v>LAMINA_LISA__ACERO_GALVANIZADA_3'X10'_16</v>
      </c>
      <c r="D168" s="14" t="s">
        <v>7407</v>
      </c>
      <c r="E168" s="14" t="s">
        <v>7380</v>
      </c>
      <c r="F168" s="21" t="s">
        <v>7381</v>
      </c>
      <c r="G168" s="22" t="s">
        <v>7382</v>
      </c>
      <c r="H168" s="14">
        <v>16</v>
      </c>
      <c r="I168" s="14">
        <v>1.52</v>
      </c>
      <c r="J168" s="16">
        <f t="shared" si="30"/>
        <v>5.9842519685039376E-2</v>
      </c>
      <c r="K168" s="16">
        <v>12.484999999999999</v>
      </c>
      <c r="L168" s="23"/>
      <c r="M168" s="23"/>
      <c r="N168" s="23"/>
      <c r="O168" s="23"/>
      <c r="P168" s="23"/>
      <c r="Q168" s="19"/>
      <c r="R168" s="17">
        <v>3</v>
      </c>
      <c r="S168" s="17">
        <v>10</v>
      </c>
      <c r="T168" s="16">
        <f t="shared" si="21"/>
        <v>3048</v>
      </c>
      <c r="U168" s="16">
        <f t="shared" si="22"/>
        <v>914.4</v>
      </c>
      <c r="V168" s="18">
        <f t="shared" si="23"/>
        <v>2787091.1999999997</v>
      </c>
      <c r="W168" s="18">
        <f t="shared" si="24"/>
        <v>2.7870911999999999</v>
      </c>
      <c r="X168" s="18">
        <f t="shared" si="25"/>
        <v>34.796833631999995</v>
      </c>
      <c r="Y168" s="24">
        <v>35</v>
      </c>
      <c r="Z168" s="24">
        <f t="shared" si="26"/>
        <v>1217.8891771199999</v>
      </c>
      <c r="AA168" s="16">
        <v>5</v>
      </c>
      <c r="AB168" s="16">
        <f t="shared" si="27"/>
        <v>3038</v>
      </c>
      <c r="AC168" s="16">
        <f t="shared" si="27"/>
        <v>904.4</v>
      </c>
      <c r="AD168" s="19">
        <f t="shared" si="28"/>
        <v>2747567.1999999997</v>
      </c>
      <c r="AE168" s="1" t="s">
        <v>7456</v>
      </c>
      <c r="AF168" s="1" t="str">
        <f>VLOOKUP(AE168,t_objeto!B:C,2,FALSE)</f>
        <v>RAW_MATERIAL</v>
      </c>
      <c r="AG168" s="1">
        <v>8</v>
      </c>
      <c r="AH168" s="1" t="str">
        <f>VLOOKUP(AG168,t_entry_status!A:AE,2,FALSE)</f>
        <v>PENDING</v>
      </c>
      <c r="AI168" s="7">
        <v>45560</v>
      </c>
      <c r="AJ168" s="1" t="s">
        <v>7449</v>
      </c>
      <c r="AK168" s="7">
        <v>45560</v>
      </c>
      <c r="AL168" s="1" t="s">
        <v>7449</v>
      </c>
    </row>
    <row r="169" spans="1:38" s="20" customFormat="1" x14ac:dyDescent="0.25">
      <c r="A169" s="14">
        <v>168</v>
      </c>
      <c r="B169" s="14" t="str">
        <f>_xlfn.CONCAT(AE169,"-",VLOOKUP(AE169,t_objeto!B:D,3,FALSE),"-",A169)</f>
        <v>RRMM-PERCCO-168</v>
      </c>
      <c r="C169" s="22" t="str">
        <f t="shared" si="29"/>
        <v>LAMINA_LISA__ACERO_GALVANIZADA_3'X10'_17</v>
      </c>
      <c r="D169" s="14" t="s">
        <v>7407</v>
      </c>
      <c r="E169" s="14" t="s">
        <v>7380</v>
      </c>
      <c r="F169" s="21" t="s">
        <v>7381</v>
      </c>
      <c r="G169" s="22" t="s">
        <v>7382</v>
      </c>
      <c r="H169" s="14">
        <v>17</v>
      </c>
      <c r="I169" s="16">
        <v>1.37</v>
      </c>
      <c r="J169" s="16">
        <f t="shared" si="30"/>
        <v>5.3937007874015758E-2</v>
      </c>
      <c r="K169" s="16">
        <v>10.901999999999999</v>
      </c>
      <c r="L169" s="23"/>
      <c r="M169" s="23"/>
      <c r="N169" s="23"/>
      <c r="O169" s="23"/>
      <c r="P169" s="23"/>
      <c r="Q169" s="19"/>
      <c r="R169" s="17">
        <v>3</v>
      </c>
      <c r="S169" s="17">
        <v>10</v>
      </c>
      <c r="T169" s="16">
        <f t="shared" si="21"/>
        <v>3048</v>
      </c>
      <c r="U169" s="16">
        <f t="shared" si="22"/>
        <v>914.4</v>
      </c>
      <c r="V169" s="18">
        <f t="shared" si="23"/>
        <v>2787091.1999999997</v>
      </c>
      <c r="W169" s="18">
        <f t="shared" si="24"/>
        <v>2.7870911999999999</v>
      </c>
      <c r="X169" s="18">
        <f t="shared" si="25"/>
        <v>30.384868262399998</v>
      </c>
      <c r="Y169" s="24">
        <v>35</v>
      </c>
      <c r="Z169" s="24">
        <f t="shared" si="26"/>
        <v>1063.4703891839999</v>
      </c>
      <c r="AA169" s="16">
        <v>5</v>
      </c>
      <c r="AB169" s="16">
        <f t="shared" si="27"/>
        <v>3038</v>
      </c>
      <c r="AC169" s="16">
        <f t="shared" si="27"/>
        <v>904.4</v>
      </c>
      <c r="AD169" s="19">
        <f t="shared" si="28"/>
        <v>2747567.1999999997</v>
      </c>
      <c r="AE169" s="1" t="s">
        <v>7456</v>
      </c>
      <c r="AF169" s="1" t="str">
        <f>VLOOKUP(AE169,t_objeto!B:C,2,FALSE)</f>
        <v>RAW_MATERIAL</v>
      </c>
      <c r="AG169" s="1">
        <v>8</v>
      </c>
      <c r="AH169" s="1" t="str">
        <f>VLOOKUP(AG169,t_entry_status!A:AE,2,FALSE)</f>
        <v>PENDING</v>
      </c>
      <c r="AI169" s="7">
        <v>45560</v>
      </c>
      <c r="AJ169" s="1" t="s">
        <v>7449</v>
      </c>
      <c r="AK169" s="7">
        <v>45560</v>
      </c>
      <c r="AL169" s="1" t="s">
        <v>7449</v>
      </c>
    </row>
    <row r="170" spans="1:38" s="20" customFormat="1" x14ac:dyDescent="0.25">
      <c r="A170" s="14">
        <v>169</v>
      </c>
      <c r="B170" s="14" t="str">
        <f>_xlfn.CONCAT(AE170,"-",VLOOKUP(AE170,t_objeto!B:D,3,FALSE),"-",A170)</f>
        <v>RRMM-PERCCO-169</v>
      </c>
      <c r="C170" s="22" t="str">
        <f t="shared" si="29"/>
        <v>LAMINA_LISA__ACERO_GALVANIZADA_3'X10'_18</v>
      </c>
      <c r="D170" s="14" t="s">
        <v>7407</v>
      </c>
      <c r="E170" s="14" t="s">
        <v>7380</v>
      </c>
      <c r="F170" s="21" t="s">
        <v>7381</v>
      </c>
      <c r="G170" s="22" t="s">
        <v>7382</v>
      </c>
      <c r="H170" s="14">
        <v>18</v>
      </c>
      <c r="I170" s="14">
        <v>1.21</v>
      </c>
      <c r="J170" s="16">
        <f t="shared" si="30"/>
        <v>4.7637795275590554E-2</v>
      </c>
      <c r="K170" s="16">
        <v>10.042999999999999</v>
      </c>
      <c r="L170" s="23"/>
      <c r="M170" s="23"/>
      <c r="N170" s="23"/>
      <c r="O170" s="23"/>
      <c r="P170" s="23"/>
      <c r="Q170" s="19"/>
      <c r="R170" s="17">
        <v>3</v>
      </c>
      <c r="S170" s="17">
        <v>10</v>
      </c>
      <c r="T170" s="16">
        <f t="shared" si="21"/>
        <v>3048</v>
      </c>
      <c r="U170" s="16">
        <f t="shared" si="22"/>
        <v>914.4</v>
      </c>
      <c r="V170" s="18">
        <f t="shared" si="23"/>
        <v>2787091.1999999997</v>
      </c>
      <c r="W170" s="18">
        <f t="shared" si="24"/>
        <v>2.7870911999999999</v>
      </c>
      <c r="X170" s="18">
        <f t="shared" si="25"/>
        <v>27.990756921599996</v>
      </c>
      <c r="Y170" s="24">
        <v>35</v>
      </c>
      <c r="Z170" s="24">
        <f t="shared" si="26"/>
        <v>979.67649225599985</v>
      </c>
      <c r="AA170" s="16">
        <v>5</v>
      </c>
      <c r="AB170" s="16">
        <f t="shared" si="27"/>
        <v>3038</v>
      </c>
      <c r="AC170" s="16">
        <f t="shared" si="27"/>
        <v>904.4</v>
      </c>
      <c r="AD170" s="19">
        <f t="shared" si="28"/>
        <v>2747567.1999999997</v>
      </c>
      <c r="AE170" s="1" t="s">
        <v>7456</v>
      </c>
      <c r="AF170" s="1" t="str">
        <f>VLOOKUP(AE170,t_objeto!B:C,2,FALSE)</f>
        <v>RAW_MATERIAL</v>
      </c>
      <c r="AG170" s="1">
        <v>8</v>
      </c>
      <c r="AH170" s="1" t="str">
        <f>VLOOKUP(AG170,t_entry_status!A:AE,2,FALSE)</f>
        <v>PENDING</v>
      </c>
      <c r="AI170" s="7">
        <v>45560</v>
      </c>
      <c r="AJ170" s="1" t="s">
        <v>7449</v>
      </c>
      <c r="AK170" s="7">
        <v>45560</v>
      </c>
      <c r="AL170" s="1" t="s">
        <v>7449</v>
      </c>
    </row>
    <row r="171" spans="1:38" s="20" customFormat="1" x14ac:dyDescent="0.25">
      <c r="A171" s="14">
        <v>170</v>
      </c>
      <c r="B171" s="14" t="str">
        <f>_xlfn.CONCAT(AE171,"-",VLOOKUP(AE171,t_objeto!B:D,3,FALSE),"-",A171)</f>
        <v>RRMM-PERCCO-170</v>
      </c>
      <c r="C171" s="22" t="str">
        <f t="shared" si="29"/>
        <v>LAMINA_LISA__ACERO_GALVANIZADA_3'X10'_19</v>
      </c>
      <c r="D171" s="14" t="s">
        <v>7407</v>
      </c>
      <c r="E171" s="14" t="s">
        <v>7380</v>
      </c>
      <c r="F171" s="21" t="s">
        <v>7381</v>
      </c>
      <c r="G171" s="22" t="s">
        <v>7382</v>
      </c>
      <c r="H171" s="14">
        <v>19</v>
      </c>
      <c r="I171" s="16">
        <v>1.06</v>
      </c>
      <c r="J171" s="16">
        <f t="shared" si="30"/>
        <v>4.1732283464566935E-2</v>
      </c>
      <c r="K171" s="16">
        <v>8.4350000000000005</v>
      </c>
      <c r="L171" s="23"/>
      <c r="M171" s="23"/>
      <c r="N171" s="23"/>
      <c r="O171" s="23"/>
      <c r="P171" s="23"/>
      <c r="Q171" s="19"/>
      <c r="R171" s="17">
        <v>3</v>
      </c>
      <c r="S171" s="17">
        <v>10</v>
      </c>
      <c r="T171" s="16">
        <f t="shared" si="21"/>
        <v>3048</v>
      </c>
      <c r="U171" s="16">
        <f t="shared" si="22"/>
        <v>914.4</v>
      </c>
      <c r="V171" s="18">
        <f t="shared" si="23"/>
        <v>2787091.1999999997</v>
      </c>
      <c r="W171" s="18">
        <f t="shared" si="24"/>
        <v>2.7870911999999999</v>
      </c>
      <c r="X171" s="18">
        <f t="shared" si="25"/>
        <v>23.509114272000001</v>
      </c>
      <c r="Y171" s="24">
        <v>35</v>
      </c>
      <c r="Z171" s="24">
        <f t="shared" si="26"/>
        <v>822.81899952000003</v>
      </c>
      <c r="AA171" s="16">
        <v>5</v>
      </c>
      <c r="AB171" s="16">
        <f t="shared" si="27"/>
        <v>3038</v>
      </c>
      <c r="AC171" s="16">
        <f t="shared" si="27"/>
        <v>904.4</v>
      </c>
      <c r="AD171" s="19">
        <f t="shared" si="28"/>
        <v>2747567.1999999997</v>
      </c>
      <c r="AE171" s="1" t="s">
        <v>7456</v>
      </c>
      <c r="AF171" s="1" t="str">
        <f>VLOOKUP(AE171,t_objeto!B:C,2,FALSE)</f>
        <v>RAW_MATERIAL</v>
      </c>
      <c r="AG171" s="1">
        <v>8</v>
      </c>
      <c r="AH171" s="1" t="str">
        <f>VLOOKUP(AG171,t_entry_status!A:AE,2,FALSE)</f>
        <v>PENDING</v>
      </c>
      <c r="AI171" s="7">
        <v>45560</v>
      </c>
      <c r="AJ171" s="1" t="s">
        <v>7449</v>
      </c>
      <c r="AK171" s="7">
        <v>45560</v>
      </c>
      <c r="AL171" s="1" t="s">
        <v>7449</v>
      </c>
    </row>
    <row r="172" spans="1:38" s="20" customFormat="1" x14ac:dyDescent="0.25">
      <c r="A172" s="14">
        <v>171</v>
      </c>
      <c r="B172" s="14" t="str">
        <f>_xlfn.CONCAT(AE172,"-",VLOOKUP(AE172,t_objeto!B:D,3,FALSE),"-",A172)</f>
        <v>RRMM-PERCCO-171</v>
      </c>
      <c r="C172" s="22" t="str">
        <f t="shared" si="29"/>
        <v>LAMINA_LISA__ACERO_GALVANIZADA_3'X10'_20</v>
      </c>
      <c r="D172" s="14" t="s">
        <v>7407</v>
      </c>
      <c r="E172" s="14" t="s">
        <v>7380</v>
      </c>
      <c r="F172" s="21" t="s">
        <v>7381</v>
      </c>
      <c r="G172" s="22" t="s">
        <v>7382</v>
      </c>
      <c r="H172" s="14">
        <v>20</v>
      </c>
      <c r="I172" s="14">
        <v>0.91</v>
      </c>
      <c r="J172" s="16">
        <f t="shared" si="30"/>
        <v>3.582677165354331E-2</v>
      </c>
      <c r="K172" s="16">
        <v>7.601</v>
      </c>
      <c r="L172" s="23"/>
      <c r="M172" s="23"/>
      <c r="N172" s="23"/>
      <c r="O172" s="23"/>
      <c r="P172" s="23"/>
      <c r="Q172" s="19"/>
      <c r="R172" s="17">
        <v>3</v>
      </c>
      <c r="S172" s="17">
        <v>10</v>
      </c>
      <c r="T172" s="16">
        <f t="shared" si="21"/>
        <v>3048</v>
      </c>
      <c r="U172" s="16">
        <f t="shared" si="22"/>
        <v>914.4</v>
      </c>
      <c r="V172" s="18">
        <f t="shared" si="23"/>
        <v>2787091.1999999997</v>
      </c>
      <c r="W172" s="18">
        <f t="shared" si="24"/>
        <v>2.7870911999999999</v>
      </c>
      <c r="X172" s="18">
        <f t="shared" si="25"/>
        <v>21.1846802112</v>
      </c>
      <c r="Y172" s="24">
        <v>35</v>
      </c>
      <c r="Z172" s="24">
        <f t="shared" si="26"/>
        <v>741.46380739200004</v>
      </c>
      <c r="AA172" s="16">
        <v>5</v>
      </c>
      <c r="AB172" s="16">
        <f t="shared" si="27"/>
        <v>3038</v>
      </c>
      <c r="AC172" s="16">
        <f t="shared" si="27"/>
        <v>904.4</v>
      </c>
      <c r="AD172" s="19">
        <f t="shared" si="28"/>
        <v>2747567.1999999997</v>
      </c>
      <c r="AE172" s="1" t="s">
        <v>7456</v>
      </c>
      <c r="AF172" s="1" t="str">
        <f>VLOOKUP(AE172,t_objeto!B:C,2,FALSE)</f>
        <v>RAW_MATERIAL</v>
      </c>
      <c r="AG172" s="1">
        <v>8</v>
      </c>
      <c r="AH172" s="1" t="str">
        <f>VLOOKUP(AG172,t_entry_status!A:AE,2,FALSE)</f>
        <v>PENDING</v>
      </c>
      <c r="AI172" s="7">
        <v>45560</v>
      </c>
      <c r="AJ172" s="1" t="s">
        <v>7449</v>
      </c>
      <c r="AK172" s="7">
        <v>45560</v>
      </c>
      <c r="AL172" s="1" t="s">
        <v>7449</v>
      </c>
    </row>
    <row r="173" spans="1:38" s="20" customFormat="1" x14ac:dyDescent="0.25">
      <c r="A173" s="14">
        <v>172</v>
      </c>
      <c r="B173" s="14" t="str">
        <f>_xlfn.CONCAT(AE173,"-",VLOOKUP(AE173,t_objeto!B:D,3,FALSE),"-",A173)</f>
        <v>RRMM-PERCCO-172</v>
      </c>
      <c r="C173" s="22" t="str">
        <f t="shared" si="29"/>
        <v>LAMINA_LISA__ACERO_GALVANIZADA_3'X10'_21</v>
      </c>
      <c r="D173" s="14" t="s">
        <v>7407</v>
      </c>
      <c r="E173" s="14" t="s">
        <v>7380</v>
      </c>
      <c r="F173" s="21" t="s">
        <v>7381</v>
      </c>
      <c r="G173" s="22" t="s">
        <v>7382</v>
      </c>
      <c r="H173" s="14">
        <v>21</v>
      </c>
      <c r="I173" s="16">
        <v>0.84</v>
      </c>
      <c r="J173" s="16">
        <f t="shared" si="30"/>
        <v>3.3070866141732283E-2</v>
      </c>
      <c r="K173" s="16">
        <v>6.6840000000000002</v>
      </c>
      <c r="L173" s="23"/>
      <c r="M173" s="23"/>
      <c r="N173" s="23"/>
      <c r="O173" s="23"/>
      <c r="P173" s="23"/>
      <c r="Q173" s="19"/>
      <c r="R173" s="17">
        <v>3</v>
      </c>
      <c r="S173" s="17">
        <v>10</v>
      </c>
      <c r="T173" s="16">
        <f t="shared" si="21"/>
        <v>3048</v>
      </c>
      <c r="U173" s="16">
        <f t="shared" si="22"/>
        <v>914.4</v>
      </c>
      <c r="V173" s="18">
        <f t="shared" si="23"/>
        <v>2787091.1999999997</v>
      </c>
      <c r="W173" s="18">
        <f t="shared" si="24"/>
        <v>2.7870911999999999</v>
      </c>
      <c r="X173" s="18">
        <f t="shared" si="25"/>
        <v>18.6289175808</v>
      </c>
      <c r="Y173" s="24">
        <v>35</v>
      </c>
      <c r="Z173" s="24">
        <f t="shared" si="26"/>
        <v>652.01211532799994</v>
      </c>
      <c r="AA173" s="16">
        <v>5</v>
      </c>
      <c r="AB173" s="16">
        <f t="shared" si="27"/>
        <v>3038</v>
      </c>
      <c r="AC173" s="16">
        <f t="shared" si="27"/>
        <v>904.4</v>
      </c>
      <c r="AD173" s="19">
        <f t="shared" si="28"/>
        <v>2747567.1999999997</v>
      </c>
      <c r="AE173" s="1" t="s">
        <v>7456</v>
      </c>
      <c r="AF173" s="1" t="str">
        <f>VLOOKUP(AE173,t_objeto!B:C,2,FALSE)</f>
        <v>RAW_MATERIAL</v>
      </c>
      <c r="AG173" s="1">
        <v>8</v>
      </c>
      <c r="AH173" s="1" t="str">
        <f>VLOOKUP(AG173,t_entry_status!A:AE,2,FALSE)</f>
        <v>PENDING</v>
      </c>
      <c r="AI173" s="7">
        <v>45560</v>
      </c>
      <c r="AJ173" s="1" t="s">
        <v>7449</v>
      </c>
      <c r="AK173" s="7">
        <v>45560</v>
      </c>
      <c r="AL173" s="1" t="s">
        <v>7449</v>
      </c>
    </row>
    <row r="174" spans="1:38" s="20" customFormat="1" x14ac:dyDescent="0.25">
      <c r="A174" s="14">
        <v>173</v>
      </c>
      <c r="B174" s="14" t="str">
        <f>_xlfn.CONCAT(AE174,"-",VLOOKUP(AE174,t_objeto!B:D,3,FALSE),"-",A174)</f>
        <v>RRMM-PERCCO-173</v>
      </c>
      <c r="C174" s="22" t="str">
        <f t="shared" si="29"/>
        <v>LAMINA_LISA__ACERO_GALVANIZADA_3'X10'_22</v>
      </c>
      <c r="D174" s="14" t="s">
        <v>7407</v>
      </c>
      <c r="E174" s="14" t="s">
        <v>7380</v>
      </c>
      <c r="F174" s="21" t="s">
        <v>7381</v>
      </c>
      <c r="G174" s="22" t="s">
        <v>7382</v>
      </c>
      <c r="H174" s="14">
        <v>22</v>
      </c>
      <c r="I174" s="14">
        <v>0.76</v>
      </c>
      <c r="J174" s="16">
        <f t="shared" si="30"/>
        <v>2.9921259842519688E-2</v>
      </c>
      <c r="K174" s="16">
        <v>6.38</v>
      </c>
      <c r="L174" s="23"/>
      <c r="M174" s="23"/>
      <c r="N174" s="23"/>
      <c r="O174" s="23"/>
      <c r="P174" s="23"/>
      <c r="Q174" s="19"/>
      <c r="R174" s="17">
        <v>3</v>
      </c>
      <c r="S174" s="17">
        <v>10</v>
      </c>
      <c r="T174" s="16">
        <f t="shared" si="21"/>
        <v>3048</v>
      </c>
      <c r="U174" s="16">
        <f t="shared" si="22"/>
        <v>914.4</v>
      </c>
      <c r="V174" s="18">
        <f t="shared" si="23"/>
        <v>2787091.1999999997</v>
      </c>
      <c r="W174" s="18">
        <f t="shared" si="24"/>
        <v>2.7870911999999999</v>
      </c>
      <c r="X174" s="18">
        <f t="shared" si="25"/>
        <v>17.781641856</v>
      </c>
      <c r="Y174" s="24">
        <v>35</v>
      </c>
      <c r="Z174" s="24">
        <f t="shared" si="26"/>
        <v>622.35746496000002</v>
      </c>
      <c r="AA174" s="16">
        <v>5</v>
      </c>
      <c r="AB174" s="16">
        <f t="shared" si="27"/>
        <v>3038</v>
      </c>
      <c r="AC174" s="16">
        <f t="shared" si="27"/>
        <v>904.4</v>
      </c>
      <c r="AD174" s="19">
        <f t="shared" si="28"/>
        <v>2747567.1999999997</v>
      </c>
      <c r="AE174" s="1" t="s">
        <v>7456</v>
      </c>
      <c r="AF174" s="1" t="str">
        <f>VLOOKUP(AE174,t_objeto!B:C,2,FALSE)</f>
        <v>RAW_MATERIAL</v>
      </c>
      <c r="AG174" s="1">
        <v>8</v>
      </c>
      <c r="AH174" s="1" t="str">
        <f>VLOOKUP(AG174,t_entry_status!A:AE,2,FALSE)</f>
        <v>PENDING</v>
      </c>
      <c r="AI174" s="7">
        <v>45560</v>
      </c>
      <c r="AJ174" s="1" t="s">
        <v>7449</v>
      </c>
      <c r="AK174" s="7">
        <v>45560</v>
      </c>
      <c r="AL174" s="1" t="s">
        <v>7449</v>
      </c>
    </row>
    <row r="175" spans="1:38" s="20" customFormat="1" x14ac:dyDescent="0.25">
      <c r="A175" s="14">
        <v>174</v>
      </c>
      <c r="B175" s="14" t="str">
        <f>_xlfn.CONCAT(AE175,"-",VLOOKUP(AE175,t_objeto!B:D,3,FALSE),"-",A175)</f>
        <v>RRMM-PERCCO-174</v>
      </c>
      <c r="C175" s="22" t="str">
        <f t="shared" si="29"/>
        <v>LAMINA_LISA__ACERO_GALVANIZADA_3'X10'_23</v>
      </c>
      <c r="D175" s="14" t="s">
        <v>7407</v>
      </c>
      <c r="E175" s="14" t="s">
        <v>7380</v>
      </c>
      <c r="F175" s="21" t="s">
        <v>7381</v>
      </c>
      <c r="G175" s="22" t="s">
        <v>7382</v>
      </c>
      <c r="H175" s="14">
        <v>23</v>
      </c>
      <c r="I175" s="16">
        <v>0.68</v>
      </c>
      <c r="J175" s="16">
        <f t="shared" si="30"/>
        <v>2.677165354330709E-2</v>
      </c>
      <c r="K175" s="16">
        <v>5.4109999999999996</v>
      </c>
      <c r="L175" s="23"/>
      <c r="M175" s="23"/>
      <c r="N175" s="23"/>
      <c r="O175" s="23"/>
      <c r="P175" s="23"/>
      <c r="Q175" s="19"/>
      <c r="R175" s="17">
        <v>3</v>
      </c>
      <c r="S175" s="17">
        <v>10</v>
      </c>
      <c r="T175" s="16">
        <f t="shared" si="21"/>
        <v>3048</v>
      </c>
      <c r="U175" s="16">
        <f t="shared" si="22"/>
        <v>914.4</v>
      </c>
      <c r="V175" s="18">
        <f t="shared" si="23"/>
        <v>2787091.1999999997</v>
      </c>
      <c r="W175" s="18">
        <f t="shared" si="24"/>
        <v>2.7870911999999999</v>
      </c>
      <c r="X175" s="18">
        <f t="shared" si="25"/>
        <v>15.080950483199999</v>
      </c>
      <c r="Y175" s="24">
        <v>35</v>
      </c>
      <c r="Z175" s="24">
        <f t="shared" si="26"/>
        <v>527.833266912</v>
      </c>
      <c r="AA175" s="16">
        <v>5</v>
      </c>
      <c r="AB175" s="16">
        <f t="shared" si="27"/>
        <v>3038</v>
      </c>
      <c r="AC175" s="16">
        <f t="shared" si="27"/>
        <v>904.4</v>
      </c>
      <c r="AD175" s="19">
        <f t="shared" si="28"/>
        <v>2747567.1999999997</v>
      </c>
      <c r="AE175" s="1" t="s">
        <v>7456</v>
      </c>
      <c r="AF175" s="1" t="str">
        <f>VLOOKUP(AE175,t_objeto!B:C,2,FALSE)</f>
        <v>RAW_MATERIAL</v>
      </c>
      <c r="AG175" s="1">
        <v>8</v>
      </c>
      <c r="AH175" s="1" t="str">
        <f>VLOOKUP(AG175,t_entry_status!A:AE,2,FALSE)</f>
        <v>PENDING</v>
      </c>
      <c r="AI175" s="7">
        <v>45560</v>
      </c>
      <c r="AJ175" s="1" t="s">
        <v>7449</v>
      </c>
      <c r="AK175" s="7">
        <v>45560</v>
      </c>
      <c r="AL175" s="1" t="s">
        <v>7449</v>
      </c>
    </row>
    <row r="176" spans="1:38" s="20" customFormat="1" x14ac:dyDescent="0.25">
      <c r="A176" s="14">
        <v>175</v>
      </c>
      <c r="B176" s="14" t="str">
        <f>_xlfn.CONCAT(AE176,"-",VLOOKUP(AE176,t_objeto!B:D,3,FALSE),"-",A176)</f>
        <v>RRMM-PERCCO-175</v>
      </c>
      <c r="C176" s="22" t="str">
        <f t="shared" si="29"/>
        <v>LAMINA_LISA__ACERO_GALVANIZADA_3'X10'_24</v>
      </c>
      <c r="D176" s="14" t="s">
        <v>7407</v>
      </c>
      <c r="E176" s="14" t="s">
        <v>7380</v>
      </c>
      <c r="F176" s="21" t="s">
        <v>7381</v>
      </c>
      <c r="G176" s="22" t="s">
        <v>7382</v>
      </c>
      <c r="H176" s="14">
        <v>24</v>
      </c>
      <c r="I176" s="14">
        <v>0.61</v>
      </c>
      <c r="J176" s="16">
        <f t="shared" si="30"/>
        <v>2.4015748031496063E-2</v>
      </c>
      <c r="K176" s="16">
        <v>5.1589999999999998</v>
      </c>
      <c r="L176" s="23"/>
      <c r="M176" s="23"/>
      <c r="N176" s="23"/>
      <c r="O176" s="23"/>
      <c r="P176" s="23"/>
      <c r="Q176" s="19"/>
      <c r="R176" s="17">
        <v>3</v>
      </c>
      <c r="S176" s="17">
        <v>10</v>
      </c>
      <c r="T176" s="16">
        <f t="shared" si="21"/>
        <v>3048</v>
      </c>
      <c r="U176" s="16">
        <f t="shared" si="22"/>
        <v>914.4</v>
      </c>
      <c r="V176" s="18">
        <f t="shared" si="23"/>
        <v>2787091.1999999997</v>
      </c>
      <c r="W176" s="18">
        <f t="shared" si="24"/>
        <v>2.7870911999999999</v>
      </c>
      <c r="X176" s="18">
        <f t="shared" si="25"/>
        <v>14.378603500799999</v>
      </c>
      <c r="Y176" s="24">
        <v>35</v>
      </c>
      <c r="Z176" s="24">
        <f t="shared" si="26"/>
        <v>503.25112252799994</v>
      </c>
      <c r="AA176" s="16">
        <v>5</v>
      </c>
      <c r="AB176" s="16">
        <f t="shared" si="27"/>
        <v>3038</v>
      </c>
      <c r="AC176" s="16">
        <f t="shared" si="27"/>
        <v>904.4</v>
      </c>
      <c r="AD176" s="19">
        <f t="shared" si="28"/>
        <v>2747567.1999999997</v>
      </c>
      <c r="AE176" s="1" t="s">
        <v>7456</v>
      </c>
      <c r="AF176" s="1" t="str">
        <f>VLOOKUP(AE176,t_objeto!B:C,2,FALSE)</f>
        <v>RAW_MATERIAL</v>
      </c>
      <c r="AG176" s="1">
        <v>8</v>
      </c>
      <c r="AH176" s="1" t="str">
        <f>VLOOKUP(AG176,t_entry_status!A:AE,2,FALSE)</f>
        <v>PENDING</v>
      </c>
      <c r="AI176" s="7">
        <v>45560</v>
      </c>
      <c r="AJ176" s="1" t="s">
        <v>7449</v>
      </c>
      <c r="AK176" s="7">
        <v>45560</v>
      </c>
      <c r="AL176" s="1" t="s">
        <v>7449</v>
      </c>
    </row>
    <row r="177" spans="1:38" s="20" customFormat="1" x14ac:dyDescent="0.25">
      <c r="A177" s="14">
        <v>176</v>
      </c>
      <c r="B177" s="14" t="str">
        <f>_xlfn.CONCAT(AE177,"-",VLOOKUP(AE177,t_objeto!B:D,3,FALSE),"-",A177)</f>
        <v>RRMM-PERCCO-176</v>
      </c>
      <c r="C177" s="22" t="str">
        <f t="shared" si="29"/>
        <v>LAMINA_LISA__ACERO_GALVANIZADA_3'X10'_25</v>
      </c>
      <c r="D177" s="14" t="s">
        <v>7407</v>
      </c>
      <c r="E177" s="14" t="s">
        <v>7380</v>
      </c>
      <c r="F177" s="21" t="s">
        <v>7381</v>
      </c>
      <c r="G177" s="22" t="s">
        <v>7382</v>
      </c>
      <c r="H177" s="14">
        <v>25</v>
      </c>
      <c r="I177" s="16">
        <v>0.53</v>
      </c>
      <c r="J177" s="16">
        <f t="shared" si="30"/>
        <v>2.0866141732283468E-2</v>
      </c>
      <c r="K177" s="16">
        <v>4.2169999999999996</v>
      </c>
      <c r="L177" s="23"/>
      <c r="M177" s="23"/>
      <c r="N177" s="23"/>
      <c r="O177" s="23"/>
      <c r="P177" s="23"/>
      <c r="Q177" s="19"/>
      <c r="R177" s="17">
        <v>3</v>
      </c>
      <c r="S177" s="17">
        <v>10</v>
      </c>
      <c r="T177" s="16">
        <f t="shared" si="21"/>
        <v>3048</v>
      </c>
      <c r="U177" s="16">
        <f t="shared" si="22"/>
        <v>914.4</v>
      </c>
      <c r="V177" s="18">
        <f t="shared" si="23"/>
        <v>2787091.1999999997</v>
      </c>
      <c r="W177" s="18">
        <f t="shared" si="24"/>
        <v>2.7870911999999999</v>
      </c>
      <c r="X177" s="18">
        <f t="shared" si="25"/>
        <v>11.753163590399998</v>
      </c>
      <c r="Y177" s="24">
        <v>35</v>
      </c>
      <c r="Z177" s="24">
        <f t="shared" si="26"/>
        <v>411.36072566399992</v>
      </c>
      <c r="AA177" s="16">
        <v>5</v>
      </c>
      <c r="AB177" s="16">
        <f t="shared" si="27"/>
        <v>3038</v>
      </c>
      <c r="AC177" s="16">
        <f t="shared" si="27"/>
        <v>904.4</v>
      </c>
      <c r="AD177" s="19">
        <f t="shared" si="28"/>
        <v>2747567.1999999997</v>
      </c>
      <c r="AE177" s="1" t="s">
        <v>7456</v>
      </c>
      <c r="AF177" s="1" t="str">
        <f>VLOOKUP(AE177,t_objeto!B:C,2,FALSE)</f>
        <v>RAW_MATERIAL</v>
      </c>
      <c r="AG177" s="1">
        <v>8</v>
      </c>
      <c r="AH177" s="1" t="str">
        <f>VLOOKUP(AG177,t_entry_status!A:AE,2,FALSE)</f>
        <v>PENDING</v>
      </c>
      <c r="AI177" s="7">
        <v>45560</v>
      </c>
      <c r="AJ177" s="1" t="s">
        <v>7449</v>
      </c>
      <c r="AK177" s="7">
        <v>45560</v>
      </c>
      <c r="AL177" s="1" t="s">
        <v>7449</v>
      </c>
    </row>
    <row r="178" spans="1:38" s="20" customFormat="1" x14ac:dyDescent="0.25">
      <c r="A178" s="14">
        <v>177</v>
      </c>
      <c r="B178" s="14" t="str">
        <f>_xlfn.CONCAT(AE178,"-",VLOOKUP(AE178,t_objeto!B:D,3,FALSE),"-",A178)</f>
        <v>RRMM-PERCCO-177</v>
      </c>
      <c r="C178" s="22" t="str">
        <f t="shared" si="29"/>
        <v>LAMINA_LISA__ACERO_GALVANIZADA_3'X10'_26</v>
      </c>
      <c r="D178" s="14" t="s">
        <v>7407</v>
      </c>
      <c r="E178" s="14" t="s">
        <v>7380</v>
      </c>
      <c r="F178" s="21" t="s">
        <v>7381</v>
      </c>
      <c r="G178" s="22" t="s">
        <v>7382</v>
      </c>
      <c r="H178" s="14">
        <v>26</v>
      </c>
      <c r="I178" s="14">
        <v>0.45</v>
      </c>
      <c r="J178" s="16">
        <f t="shared" si="30"/>
        <v>1.7716535433070866E-2</v>
      </c>
      <c r="K178" s="16">
        <f>3.663+0.275</f>
        <v>3.9379999999999997</v>
      </c>
      <c r="L178" s="23"/>
      <c r="M178" s="23"/>
      <c r="N178" s="23"/>
      <c r="O178" s="23"/>
      <c r="P178" s="23"/>
      <c r="Q178" s="19"/>
      <c r="R178" s="17">
        <v>3</v>
      </c>
      <c r="S178" s="17">
        <v>10</v>
      </c>
      <c r="T178" s="16">
        <f t="shared" si="21"/>
        <v>3048</v>
      </c>
      <c r="U178" s="16">
        <f t="shared" si="22"/>
        <v>914.4</v>
      </c>
      <c r="V178" s="18">
        <f t="shared" si="23"/>
        <v>2787091.1999999997</v>
      </c>
      <c r="W178" s="18">
        <f t="shared" si="24"/>
        <v>2.7870911999999999</v>
      </c>
      <c r="X178" s="18">
        <f t="shared" si="25"/>
        <v>10.975565145599999</v>
      </c>
      <c r="Y178" s="24">
        <v>35</v>
      </c>
      <c r="Z178" s="24">
        <f t="shared" si="26"/>
        <v>384.14478009599998</v>
      </c>
      <c r="AA178" s="16">
        <v>5</v>
      </c>
      <c r="AB178" s="16">
        <f t="shared" si="27"/>
        <v>3038</v>
      </c>
      <c r="AC178" s="16">
        <f t="shared" si="27"/>
        <v>904.4</v>
      </c>
      <c r="AD178" s="19">
        <f t="shared" si="28"/>
        <v>2747567.1999999997</v>
      </c>
      <c r="AE178" s="1" t="s">
        <v>7456</v>
      </c>
      <c r="AF178" s="1" t="str">
        <f>VLOOKUP(AE178,t_objeto!B:C,2,FALSE)</f>
        <v>RAW_MATERIAL</v>
      </c>
      <c r="AG178" s="1">
        <v>8</v>
      </c>
      <c r="AH178" s="1" t="str">
        <f>VLOOKUP(AG178,t_entry_status!A:AE,2,FALSE)</f>
        <v>PENDING</v>
      </c>
      <c r="AI178" s="7">
        <v>45560</v>
      </c>
      <c r="AJ178" s="1" t="s">
        <v>7449</v>
      </c>
      <c r="AK178" s="7">
        <v>45560</v>
      </c>
      <c r="AL178" s="1" t="s">
        <v>7449</v>
      </c>
    </row>
    <row r="179" spans="1:38" s="20" customFormat="1" x14ac:dyDescent="0.25">
      <c r="A179" s="14">
        <v>178</v>
      </c>
      <c r="B179" s="14" t="str">
        <f>_xlfn.CONCAT(AE179,"-",VLOOKUP(AE179,t_objeto!B:D,3,FALSE),"-",A179)</f>
        <v>RRMM-PERCCO-178</v>
      </c>
      <c r="C179" s="22" t="str">
        <f t="shared" si="29"/>
        <v>LAMINA_LISA__ACERO_GALVANIZADA_3'X10'_27</v>
      </c>
      <c r="D179" s="14" t="s">
        <v>7407</v>
      </c>
      <c r="E179" s="14" t="s">
        <v>7380</v>
      </c>
      <c r="F179" s="21" t="s">
        <v>7381</v>
      </c>
      <c r="G179" s="22" t="s">
        <v>7382</v>
      </c>
      <c r="H179" s="14">
        <v>27</v>
      </c>
      <c r="I179" s="16">
        <v>0.42</v>
      </c>
      <c r="J179" s="16">
        <f t="shared" si="30"/>
        <v>1.6535433070866142E-2</v>
      </c>
      <c r="K179" s="16">
        <v>3.3420000000000001</v>
      </c>
      <c r="L179" s="23"/>
      <c r="M179" s="23"/>
      <c r="N179" s="23"/>
      <c r="O179" s="23"/>
      <c r="P179" s="23"/>
      <c r="Q179" s="19"/>
      <c r="R179" s="17">
        <v>3</v>
      </c>
      <c r="S179" s="17">
        <v>10</v>
      </c>
      <c r="T179" s="16">
        <f t="shared" si="21"/>
        <v>3048</v>
      </c>
      <c r="U179" s="16">
        <f t="shared" si="22"/>
        <v>914.4</v>
      </c>
      <c r="V179" s="18">
        <f t="shared" si="23"/>
        <v>2787091.1999999997</v>
      </c>
      <c r="W179" s="18">
        <f t="shared" si="24"/>
        <v>2.7870911999999999</v>
      </c>
      <c r="X179" s="18">
        <f t="shared" si="25"/>
        <v>9.3144587903999998</v>
      </c>
      <c r="Y179" s="24">
        <v>35</v>
      </c>
      <c r="Z179" s="24">
        <f t="shared" si="26"/>
        <v>326.00605766399997</v>
      </c>
      <c r="AA179" s="16">
        <v>5</v>
      </c>
      <c r="AB179" s="16">
        <f t="shared" si="27"/>
        <v>3038</v>
      </c>
      <c r="AC179" s="16">
        <f t="shared" si="27"/>
        <v>904.4</v>
      </c>
      <c r="AD179" s="19">
        <f t="shared" si="28"/>
        <v>2747567.1999999997</v>
      </c>
      <c r="AE179" s="1" t="s">
        <v>7456</v>
      </c>
      <c r="AF179" s="1" t="str">
        <f>VLOOKUP(AE179,t_objeto!B:C,2,FALSE)</f>
        <v>RAW_MATERIAL</v>
      </c>
      <c r="AG179" s="1">
        <v>8</v>
      </c>
      <c r="AH179" s="1" t="str">
        <f>VLOOKUP(AG179,t_entry_status!A:AE,2,FALSE)</f>
        <v>PENDING</v>
      </c>
      <c r="AI179" s="7">
        <v>45560</v>
      </c>
      <c r="AJ179" s="1" t="s">
        <v>7449</v>
      </c>
      <c r="AK179" s="7">
        <v>45560</v>
      </c>
      <c r="AL179" s="1" t="s">
        <v>7449</v>
      </c>
    </row>
    <row r="180" spans="1:38" s="20" customFormat="1" x14ac:dyDescent="0.25">
      <c r="A180" s="14">
        <v>179</v>
      </c>
      <c r="B180" s="14" t="str">
        <f>_xlfn.CONCAT(AE180,"-",VLOOKUP(AE180,t_objeto!B:D,3,FALSE),"-",A180)</f>
        <v>RRMM-PERCCO-179</v>
      </c>
      <c r="C180" s="22" t="str">
        <f t="shared" si="29"/>
        <v>LAMINA_LISA__ACERO_GALVANIZADA_3'X10'_28</v>
      </c>
      <c r="D180" s="14" t="s">
        <v>7407</v>
      </c>
      <c r="E180" s="14" t="s">
        <v>7380</v>
      </c>
      <c r="F180" s="21" t="s">
        <v>7381</v>
      </c>
      <c r="G180" s="22" t="s">
        <v>7382</v>
      </c>
      <c r="H180" s="14">
        <v>28</v>
      </c>
      <c r="I180" s="14">
        <v>0.38</v>
      </c>
      <c r="J180" s="16">
        <f t="shared" si="30"/>
        <v>1.4960629921259844E-2</v>
      </c>
      <c r="K180" s="16">
        <v>3.327</v>
      </c>
      <c r="L180" s="23"/>
      <c r="M180" s="23"/>
      <c r="N180" s="23"/>
      <c r="O180" s="23"/>
      <c r="P180" s="23"/>
      <c r="Q180" s="19"/>
      <c r="R180" s="17">
        <v>3</v>
      </c>
      <c r="S180" s="17">
        <v>10</v>
      </c>
      <c r="T180" s="16">
        <f t="shared" si="21"/>
        <v>3048</v>
      </c>
      <c r="U180" s="16">
        <f t="shared" si="22"/>
        <v>914.4</v>
      </c>
      <c r="V180" s="18">
        <f t="shared" si="23"/>
        <v>2787091.1999999997</v>
      </c>
      <c r="W180" s="18">
        <f t="shared" si="24"/>
        <v>2.7870911999999999</v>
      </c>
      <c r="X180" s="18">
        <f t="shared" si="25"/>
        <v>9.2726524224000002</v>
      </c>
      <c r="Y180" s="24">
        <v>35</v>
      </c>
      <c r="Z180" s="24">
        <f t="shared" si="26"/>
        <v>324.54283478399998</v>
      </c>
      <c r="AA180" s="16">
        <v>5</v>
      </c>
      <c r="AB180" s="16">
        <f t="shared" si="27"/>
        <v>3038</v>
      </c>
      <c r="AC180" s="16">
        <f t="shared" si="27"/>
        <v>904.4</v>
      </c>
      <c r="AD180" s="19">
        <f t="shared" si="28"/>
        <v>2747567.1999999997</v>
      </c>
      <c r="AE180" s="1" t="s">
        <v>7456</v>
      </c>
      <c r="AF180" s="1" t="str">
        <f>VLOOKUP(AE180,t_objeto!B:C,2,FALSE)</f>
        <v>RAW_MATERIAL</v>
      </c>
      <c r="AG180" s="1">
        <v>8</v>
      </c>
      <c r="AH180" s="1" t="str">
        <f>VLOOKUP(AG180,t_entry_status!A:AE,2,FALSE)</f>
        <v>PENDING</v>
      </c>
      <c r="AI180" s="7">
        <v>45560</v>
      </c>
      <c r="AJ180" s="1" t="s">
        <v>7449</v>
      </c>
      <c r="AK180" s="7">
        <v>45560</v>
      </c>
      <c r="AL180" s="1" t="s">
        <v>7449</v>
      </c>
    </row>
    <row r="181" spans="1:38" s="20" customFormat="1" x14ac:dyDescent="0.25">
      <c r="A181" s="14">
        <v>180</v>
      </c>
      <c r="B181" s="14" t="str">
        <f>_xlfn.CONCAT(AE181,"-",VLOOKUP(AE181,t_objeto!B:D,3,FALSE),"-",A181)</f>
        <v>RRMM-PERCCO-180</v>
      </c>
      <c r="C181" s="22" t="str">
        <f t="shared" si="29"/>
        <v>LAMINA_LISA__ACERO_GALVANIZADA_3'X10'_29</v>
      </c>
      <c r="D181" s="14" t="s">
        <v>7407</v>
      </c>
      <c r="E181" s="14" t="s">
        <v>7380</v>
      </c>
      <c r="F181" s="21" t="s">
        <v>7381</v>
      </c>
      <c r="G181" s="22" t="s">
        <v>7382</v>
      </c>
      <c r="H181" s="14">
        <v>29</v>
      </c>
      <c r="I181" s="16">
        <v>0.34</v>
      </c>
      <c r="J181" s="16">
        <f t="shared" si="30"/>
        <v>1.3385826771653545E-2</v>
      </c>
      <c r="K181" s="16">
        <v>2.706</v>
      </c>
      <c r="L181" s="23"/>
      <c r="M181" s="23"/>
      <c r="N181" s="23"/>
      <c r="O181" s="23"/>
      <c r="P181" s="23"/>
      <c r="Q181" s="19"/>
      <c r="R181" s="17">
        <v>3</v>
      </c>
      <c r="S181" s="17">
        <v>10</v>
      </c>
      <c r="T181" s="16">
        <f t="shared" si="21"/>
        <v>3048</v>
      </c>
      <c r="U181" s="16">
        <f t="shared" si="22"/>
        <v>914.4</v>
      </c>
      <c r="V181" s="18">
        <f t="shared" si="23"/>
        <v>2787091.1999999997</v>
      </c>
      <c r="W181" s="18">
        <f t="shared" si="24"/>
        <v>2.7870911999999999</v>
      </c>
      <c r="X181" s="18">
        <f t="shared" si="25"/>
        <v>7.5418687871999994</v>
      </c>
      <c r="Y181" s="24">
        <v>35</v>
      </c>
      <c r="Z181" s="24">
        <f t="shared" si="26"/>
        <v>263.96540755199999</v>
      </c>
      <c r="AA181" s="16">
        <v>5</v>
      </c>
      <c r="AB181" s="16">
        <f t="shared" si="27"/>
        <v>3038</v>
      </c>
      <c r="AC181" s="16">
        <f t="shared" si="27"/>
        <v>904.4</v>
      </c>
      <c r="AD181" s="19">
        <f t="shared" si="28"/>
        <v>2747567.1999999997</v>
      </c>
      <c r="AE181" s="1" t="s">
        <v>7456</v>
      </c>
      <c r="AF181" s="1" t="str">
        <f>VLOOKUP(AE181,t_objeto!B:C,2,FALSE)</f>
        <v>RAW_MATERIAL</v>
      </c>
      <c r="AG181" s="1">
        <v>8</v>
      </c>
      <c r="AH181" s="1" t="str">
        <f>VLOOKUP(AG181,t_entry_status!A:AE,2,FALSE)</f>
        <v>PENDING</v>
      </c>
      <c r="AI181" s="7">
        <v>45560</v>
      </c>
      <c r="AJ181" s="1" t="s">
        <v>7449</v>
      </c>
      <c r="AK181" s="7">
        <v>45560</v>
      </c>
      <c r="AL181" s="1" t="s">
        <v>7449</v>
      </c>
    </row>
    <row r="182" spans="1:38" s="20" customFormat="1" x14ac:dyDescent="0.25">
      <c r="A182" s="14">
        <v>181</v>
      </c>
      <c r="B182" s="14" t="str">
        <f>_xlfn.CONCAT(AE182,"-",VLOOKUP(AE182,t_objeto!B:D,3,FALSE),"-",A182)</f>
        <v>RRMM-PERCCO-181</v>
      </c>
      <c r="C182" s="22" t="str">
        <f t="shared" si="29"/>
        <v>LAMINA_LISA__ACERO_GALVANIZADA_3'X10'_30</v>
      </c>
      <c r="D182" s="14" t="s">
        <v>7407</v>
      </c>
      <c r="E182" s="14" t="s">
        <v>7380</v>
      </c>
      <c r="F182" s="21" t="s">
        <v>7381</v>
      </c>
      <c r="G182" s="22" t="s">
        <v>7382</v>
      </c>
      <c r="H182" s="14">
        <v>30</v>
      </c>
      <c r="I182" s="14">
        <v>0.3</v>
      </c>
      <c r="J182" s="16">
        <f t="shared" si="30"/>
        <v>1.1811023622047244E-2</v>
      </c>
      <c r="K182" s="16">
        <v>2.673</v>
      </c>
      <c r="L182" s="23"/>
      <c r="M182" s="23"/>
      <c r="N182" s="23"/>
      <c r="O182" s="23"/>
      <c r="P182" s="23"/>
      <c r="Q182" s="19"/>
      <c r="R182" s="17">
        <v>3</v>
      </c>
      <c r="S182" s="17">
        <v>10</v>
      </c>
      <c r="T182" s="16">
        <f t="shared" si="21"/>
        <v>3048</v>
      </c>
      <c r="U182" s="16">
        <f t="shared" si="22"/>
        <v>914.4</v>
      </c>
      <c r="V182" s="18">
        <f t="shared" si="23"/>
        <v>2787091.1999999997</v>
      </c>
      <c r="W182" s="18">
        <f t="shared" si="24"/>
        <v>2.7870911999999999</v>
      </c>
      <c r="X182" s="18">
        <f t="shared" si="25"/>
        <v>7.4498947776</v>
      </c>
      <c r="Y182" s="24">
        <v>35</v>
      </c>
      <c r="Z182" s="24">
        <f t="shared" si="26"/>
        <v>260.74631721600002</v>
      </c>
      <c r="AA182" s="16">
        <v>5</v>
      </c>
      <c r="AB182" s="16">
        <f t="shared" si="27"/>
        <v>3038</v>
      </c>
      <c r="AC182" s="16">
        <f t="shared" si="27"/>
        <v>904.4</v>
      </c>
      <c r="AD182" s="19">
        <f t="shared" si="28"/>
        <v>2747567.1999999997</v>
      </c>
      <c r="AE182" s="1" t="s">
        <v>7456</v>
      </c>
      <c r="AF182" s="1" t="str">
        <f>VLOOKUP(AE182,t_objeto!B:C,2,FALSE)</f>
        <v>RAW_MATERIAL</v>
      </c>
      <c r="AG182" s="1">
        <v>8</v>
      </c>
      <c r="AH182" s="1" t="str">
        <f>VLOOKUP(AG182,t_entry_status!A:AE,2,FALSE)</f>
        <v>PENDING</v>
      </c>
      <c r="AI182" s="7">
        <v>45560</v>
      </c>
      <c r="AJ182" s="1" t="s">
        <v>7449</v>
      </c>
      <c r="AK182" s="7">
        <v>45560</v>
      </c>
      <c r="AL182" s="1" t="s">
        <v>7449</v>
      </c>
    </row>
    <row r="183" spans="1:38" s="20" customFormat="1" x14ac:dyDescent="0.25">
      <c r="A183" s="14">
        <v>182</v>
      </c>
      <c r="B183" s="14" t="str">
        <f>_xlfn.CONCAT(AE183,"-",VLOOKUP(AE183,t_objeto!B:D,3,FALSE),"-",A183)</f>
        <v>RRMM-PERCCO-182</v>
      </c>
      <c r="C183" s="22" t="str">
        <f t="shared" si="29"/>
        <v>PLACA__ACERO_ROLADA EN CALIENTE_3'X10'_1"</v>
      </c>
      <c r="D183" s="14" t="s">
        <v>7385</v>
      </c>
      <c r="E183" s="14" t="s">
        <v>7380</v>
      </c>
      <c r="F183" s="21" t="s">
        <v>7386</v>
      </c>
      <c r="G183" s="22" t="s">
        <v>7382</v>
      </c>
      <c r="H183" s="14" t="s">
        <v>7387</v>
      </c>
      <c r="I183" s="16">
        <v>25.4</v>
      </c>
      <c r="J183" s="16">
        <f t="shared" si="30"/>
        <v>1</v>
      </c>
      <c r="K183" s="16">
        <v>199.39</v>
      </c>
      <c r="L183" s="23"/>
      <c r="M183" s="23"/>
      <c r="N183" s="23"/>
      <c r="O183" s="23"/>
      <c r="P183" s="23"/>
      <c r="Q183" s="19"/>
      <c r="R183" s="17">
        <v>3</v>
      </c>
      <c r="S183" s="17">
        <v>10</v>
      </c>
      <c r="T183" s="16">
        <f t="shared" si="21"/>
        <v>3048</v>
      </c>
      <c r="U183" s="16">
        <f t="shared" si="22"/>
        <v>914.4</v>
      </c>
      <c r="V183" s="18">
        <f t="shared" si="23"/>
        <v>2787091.1999999997</v>
      </c>
      <c r="W183" s="18">
        <f t="shared" si="24"/>
        <v>2.7870911999999999</v>
      </c>
      <c r="X183" s="18">
        <f t="shared" si="25"/>
        <v>555.71811436799999</v>
      </c>
      <c r="Y183" s="24">
        <v>35</v>
      </c>
      <c r="Z183" s="24">
        <f t="shared" si="26"/>
        <v>19450.13400288</v>
      </c>
      <c r="AA183" s="16">
        <v>8</v>
      </c>
      <c r="AB183" s="16">
        <f t="shared" si="27"/>
        <v>3032</v>
      </c>
      <c r="AC183" s="16">
        <f t="shared" si="27"/>
        <v>898.4</v>
      </c>
      <c r="AD183" s="19">
        <f t="shared" si="28"/>
        <v>2723948.8</v>
      </c>
      <c r="AE183" s="1" t="s">
        <v>7456</v>
      </c>
      <c r="AF183" s="1" t="str">
        <f>VLOOKUP(AE183,t_objeto!B:C,2,FALSE)</f>
        <v>RAW_MATERIAL</v>
      </c>
      <c r="AG183" s="1">
        <v>8</v>
      </c>
      <c r="AH183" s="1" t="str">
        <f>VLOOKUP(AG183,t_entry_status!A:AE,2,FALSE)</f>
        <v>PENDING</v>
      </c>
      <c r="AI183" s="7">
        <v>45560</v>
      </c>
      <c r="AJ183" s="1" t="s">
        <v>7449</v>
      </c>
      <c r="AK183" s="7">
        <v>45560</v>
      </c>
      <c r="AL183" s="1" t="s">
        <v>7449</v>
      </c>
    </row>
    <row r="184" spans="1:38" s="20" customFormat="1" x14ac:dyDescent="0.25">
      <c r="A184" s="14">
        <v>183</v>
      </c>
      <c r="B184" s="14" t="str">
        <f>_xlfn.CONCAT(AE184,"-",VLOOKUP(AE184,t_objeto!B:D,3,FALSE),"-",A184)</f>
        <v>RRMM-PERCCO-183</v>
      </c>
      <c r="C184" s="22" t="str">
        <f t="shared" si="29"/>
        <v>PLACA__ACERO_ROLADA EN CALIENTE_3'X10'_7/8"</v>
      </c>
      <c r="D184" s="14" t="s">
        <v>7385</v>
      </c>
      <c r="E184" s="14" t="s">
        <v>7380</v>
      </c>
      <c r="F184" s="21" t="s">
        <v>7386</v>
      </c>
      <c r="G184" s="22" t="s">
        <v>7382</v>
      </c>
      <c r="H184" s="14" t="s">
        <v>7388</v>
      </c>
      <c r="I184" s="16">
        <v>22.22</v>
      </c>
      <c r="J184" s="16">
        <f t="shared" si="30"/>
        <v>0.87480314960629924</v>
      </c>
      <c r="K184" s="16">
        <v>174.42699999999999</v>
      </c>
      <c r="L184" s="23"/>
      <c r="M184" s="23"/>
      <c r="N184" s="23"/>
      <c r="O184" s="23"/>
      <c r="P184" s="23"/>
      <c r="Q184" s="19"/>
      <c r="R184" s="17">
        <v>3</v>
      </c>
      <c r="S184" s="17">
        <v>10</v>
      </c>
      <c r="T184" s="16">
        <f t="shared" si="21"/>
        <v>3048</v>
      </c>
      <c r="U184" s="16">
        <f t="shared" si="22"/>
        <v>914.4</v>
      </c>
      <c r="V184" s="18">
        <f t="shared" si="23"/>
        <v>2787091.1999999997</v>
      </c>
      <c r="W184" s="18">
        <f t="shared" si="24"/>
        <v>2.7870911999999999</v>
      </c>
      <c r="X184" s="18">
        <f t="shared" si="25"/>
        <v>486.14395674239995</v>
      </c>
      <c r="Y184" s="24">
        <v>35</v>
      </c>
      <c r="Z184" s="24">
        <f t="shared" si="26"/>
        <v>17015.038485983998</v>
      </c>
      <c r="AA184" s="16">
        <v>9</v>
      </c>
      <c r="AB184" s="16">
        <f t="shared" si="27"/>
        <v>3030</v>
      </c>
      <c r="AC184" s="16">
        <f t="shared" si="27"/>
        <v>896.4</v>
      </c>
      <c r="AD184" s="19">
        <f t="shared" si="28"/>
        <v>2716092</v>
      </c>
      <c r="AE184" s="1" t="s">
        <v>7456</v>
      </c>
      <c r="AF184" s="1" t="str">
        <f>VLOOKUP(AE184,t_objeto!B:C,2,FALSE)</f>
        <v>RAW_MATERIAL</v>
      </c>
      <c r="AG184" s="1">
        <v>8</v>
      </c>
      <c r="AH184" s="1" t="str">
        <f>VLOOKUP(AG184,t_entry_status!A:AE,2,FALSE)</f>
        <v>PENDING</v>
      </c>
      <c r="AI184" s="7">
        <v>45560</v>
      </c>
      <c r="AJ184" s="1" t="s">
        <v>7449</v>
      </c>
      <c r="AK184" s="7">
        <v>45560</v>
      </c>
      <c r="AL184" s="1" t="s">
        <v>7449</v>
      </c>
    </row>
    <row r="185" spans="1:38" s="20" customFormat="1" x14ac:dyDescent="0.25">
      <c r="A185" s="14">
        <v>184</v>
      </c>
      <c r="B185" s="14" t="str">
        <f>_xlfn.CONCAT(AE185,"-",VLOOKUP(AE185,t_objeto!B:D,3,FALSE),"-",A185)</f>
        <v>RRMM-PERCCO-184</v>
      </c>
      <c r="C185" s="22" t="str">
        <f t="shared" si="29"/>
        <v>PLACA__ACERO_ROLADA EN CALIENTE_3'X10'_3/4"</v>
      </c>
      <c r="D185" s="14" t="s">
        <v>7385</v>
      </c>
      <c r="E185" s="14" t="s">
        <v>7380</v>
      </c>
      <c r="F185" s="21" t="s">
        <v>7386</v>
      </c>
      <c r="G185" s="22" t="s">
        <v>7382</v>
      </c>
      <c r="H185" s="14" t="s">
        <v>7389</v>
      </c>
      <c r="I185" s="16">
        <v>19.05</v>
      </c>
      <c r="J185" s="16">
        <f t="shared" si="30"/>
        <v>0.75000000000000011</v>
      </c>
      <c r="K185" s="16">
        <v>149.54300000000001</v>
      </c>
      <c r="L185" s="23"/>
      <c r="M185" s="23"/>
      <c r="N185" s="23"/>
      <c r="O185" s="23"/>
      <c r="P185" s="23"/>
      <c r="Q185" s="19"/>
      <c r="R185" s="17">
        <v>3</v>
      </c>
      <c r="S185" s="17">
        <v>10</v>
      </c>
      <c r="T185" s="16">
        <f t="shared" si="21"/>
        <v>3048</v>
      </c>
      <c r="U185" s="16">
        <f t="shared" si="22"/>
        <v>914.4</v>
      </c>
      <c r="V185" s="18">
        <f t="shared" si="23"/>
        <v>2787091.1999999997</v>
      </c>
      <c r="W185" s="18">
        <f t="shared" si="24"/>
        <v>2.7870911999999999</v>
      </c>
      <c r="X185" s="18">
        <f t="shared" si="25"/>
        <v>416.78997932160001</v>
      </c>
      <c r="Y185" s="24">
        <v>35</v>
      </c>
      <c r="Z185" s="24">
        <f t="shared" si="26"/>
        <v>14587.649276256001</v>
      </c>
      <c r="AA185" s="16">
        <v>10</v>
      </c>
      <c r="AB185" s="16">
        <f t="shared" si="27"/>
        <v>3028</v>
      </c>
      <c r="AC185" s="16">
        <f t="shared" si="27"/>
        <v>894.4</v>
      </c>
      <c r="AD185" s="19">
        <f t="shared" si="28"/>
        <v>2708243.1999999997</v>
      </c>
      <c r="AE185" s="1" t="s">
        <v>7456</v>
      </c>
      <c r="AF185" s="1" t="str">
        <f>VLOOKUP(AE185,t_objeto!B:C,2,FALSE)</f>
        <v>RAW_MATERIAL</v>
      </c>
      <c r="AG185" s="1">
        <v>8</v>
      </c>
      <c r="AH185" s="1" t="str">
        <f>VLOOKUP(AG185,t_entry_status!A:AE,2,FALSE)</f>
        <v>PENDING</v>
      </c>
      <c r="AI185" s="7">
        <v>45560</v>
      </c>
      <c r="AJ185" s="1" t="s">
        <v>7449</v>
      </c>
      <c r="AK185" s="7">
        <v>45560</v>
      </c>
      <c r="AL185" s="1" t="s">
        <v>7449</v>
      </c>
    </row>
    <row r="186" spans="1:38" s="20" customFormat="1" x14ac:dyDescent="0.25">
      <c r="A186" s="14">
        <v>185</v>
      </c>
      <c r="B186" s="14" t="str">
        <f>_xlfn.CONCAT(AE186,"-",VLOOKUP(AE186,t_objeto!B:D,3,FALSE),"-",A186)</f>
        <v>RRMM-PERCCO-185</v>
      </c>
      <c r="C186" s="22" t="str">
        <f t="shared" si="29"/>
        <v>PLACA__ACERO_ROLADA EN CALIENTE_3'X10'_11/16"</v>
      </c>
      <c r="D186" s="14" t="s">
        <v>7385</v>
      </c>
      <c r="E186" s="14" t="s">
        <v>7380</v>
      </c>
      <c r="F186" s="21" t="s">
        <v>7386</v>
      </c>
      <c r="G186" s="22" t="s">
        <v>7382</v>
      </c>
      <c r="H186" s="14" t="s">
        <v>7390</v>
      </c>
      <c r="I186" s="16">
        <v>17.46</v>
      </c>
      <c r="J186" s="16">
        <f t="shared" si="30"/>
        <v>0.68740157480314967</v>
      </c>
      <c r="K186" s="16">
        <v>137.06100000000001</v>
      </c>
      <c r="L186" s="23"/>
      <c r="M186" s="23"/>
      <c r="N186" s="23"/>
      <c r="O186" s="23"/>
      <c r="P186" s="23"/>
      <c r="Q186" s="19"/>
      <c r="R186" s="17">
        <v>3</v>
      </c>
      <c r="S186" s="17">
        <v>10</v>
      </c>
      <c r="T186" s="16">
        <f t="shared" si="21"/>
        <v>3048</v>
      </c>
      <c r="U186" s="16">
        <f t="shared" si="22"/>
        <v>914.4</v>
      </c>
      <c r="V186" s="18">
        <f t="shared" si="23"/>
        <v>2787091.1999999997</v>
      </c>
      <c r="W186" s="18">
        <f t="shared" si="24"/>
        <v>2.7870911999999999</v>
      </c>
      <c r="X186" s="18">
        <f t="shared" si="25"/>
        <v>382.00150696320003</v>
      </c>
      <c r="Y186" s="24">
        <v>35</v>
      </c>
      <c r="Z186" s="24">
        <f t="shared" si="26"/>
        <v>13370.052743712002</v>
      </c>
      <c r="AA186" s="16">
        <v>11</v>
      </c>
      <c r="AB186" s="16">
        <f t="shared" si="27"/>
        <v>3026</v>
      </c>
      <c r="AC186" s="16">
        <f t="shared" si="27"/>
        <v>892.4</v>
      </c>
      <c r="AD186" s="19">
        <f t="shared" si="28"/>
        <v>2700402.4</v>
      </c>
      <c r="AE186" s="1" t="s">
        <v>7456</v>
      </c>
      <c r="AF186" s="1" t="str">
        <f>VLOOKUP(AE186,t_objeto!B:C,2,FALSE)</f>
        <v>RAW_MATERIAL</v>
      </c>
      <c r="AG186" s="1">
        <v>8</v>
      </c>
      <c r="AH186" s="1" t="str">
        <f>VLOOKUP(AG186,t_entry_status!A:AE,2,FALSE)</f>
        <v>PENDING</v>
      </c>
      <c r="AI186" s="7">
        <v>45560</v>
      </c>
      <c r="AJ186" s="1" t="s">
        <v>7449</v>
      </c>
      <c r="AK186" s="7">
        <v>45560</v>
      </c>
      <c r="AL186" s="1" t="s">
        <v>7449</v>
      </c>
    </row>
    <row r="187" spans="1:38" s="20" customFormat="1" x14ac:dyDescent="0.25">
      <c r="A187" s="14">
        <v>186</v>
      </c>
      <c r="B187" s="14" t="str">
        <f>_xlfn.CONCAT(AE187,"-",VLOOKUP(AE187,t_objeto!B:D,3,FALSE),"-",A187)</f>
        <v>RRMM-PERCCO-186</v>
      </c>
      <c r="C187" s="22" t="str">
        <f t="shared" si="29"/>
        <v>PLACA__ACERO_ROLADA EN CALIENTE_3'X10'_5/8"</v>
      </c>
      <c r="D187" s="14" t="s">
        <v>7385</v>
      </c>
      <c r="E187" s="14" t="s">
        <v>7380</v>
      </c>
      <c r="F187" s="21" t="s">
        <v>7386</v>
      </c>
      <c r="G187" s="22" t="s">
        <v>7382</v>
      </c>
      <c r="H187" s="14" t="s">
        <v>7391</v>
      </c>
      <c r="I187" s="16">
        <v>15.87</v>
      </c>
      <c r="J187" s="16">
        <f t="shared" si="30"/>
        <v>0.62480314960629924</v>
      </c>
      <c r="K187" s="16">
        <v>124.58</v>
      </c>
      <c r="L187" s="23"/>
      <c r="M187" s="23"/>
      <c r="N187" s="23"/>
      <c r="O187" s="23"/>
      <c r="P187" s="23"/>
      <c r="Q187" s="19"/>
      <c r="R187" s="17">
        <v>3</v>
      </c>
      <c r="S187" s="17">
        <v>10</v>
      </c>
      <c r="T187" s="16">
        <f t="shared" si="21"/>
        <v>3048</v>
      </c>
      <c r="U187" s="16">
        <f t="shared" si="22"/>
        <v>914.4</v>
      </c>
      <c r="V187" s="18">
        <f t="shared" si="23"/>
        <v>2787091.1999999997</v>
      </c>
      <c r="W187" s="18">
        <f t="shared" si="24"/>
        <v>2.7870911999999999</v>
      </c>
      <c r="X187" s="18">
        <f t="shared" si="25"/>
        <v>347.21582169599998</v>
      </c>
      <c r="Y187" s="24">
        <v>35</v>
      </c>
      <c r="Z187" s="24">
        <f t="shared" si="26"/>
        <v>12152.553759359998</v>
      </c>
      <c r="AA187" s="16">
        <v>12</v>
      </c>
      <c r="AB187" s="16">
        <f t="shared" si="27"/>
        <v>3024</v>
      </c>
      <c r="AC187" s="16">
        <f t="shared" si="27"/>
        <v>890.4</v>
      </c>
      <c r="AD187" s="19">
        <f t="shared" si="28"/>
        <v>2692569.6</v>
      </c>
      <c r="AE187" s="1" t="s">
        <v>7456</v>
      </c>
      <c r="AF187" s="1" t="str">
        <f>VLOOKUP(AE187,t_objeto!B:C,2,FALSE)</f>
        <v>RAW_MATERIAL</v>
      </c>
      <c r="AG187" s="1">
        <v>8</v>
      </c>
      <c r="AH187" s="1" t="str">
        <f>VLOOKUP(AG187,t_entry_status!A:AE,2,FALSE)</f>
        <v>PENDING</v>
      </c>
      <c r="AI187" s="7">
        <v>45560</v>
      </c>
      <c r="AJ187" s="1" t="s">
        <v>7449</v>
      </c>
      <c r="AK187" s="7">
        <v>45560</v>
      </c>
      <c r="AL187" s="1" t="s">
        <v>7449</v>
      </c>
    </row>
    <row r="188" spans="1:38" s="20" customFormat="1" x14ac:dyDescent="0.25">
      <c r="A188" s="14">
        <v>187</v>
      </c>
      <c r="B188" s="14" t="str">
        <f>_xlfn.CONCAT(AE188,"-",VLOOKUP(AE188,t_objeto!B:D,3,FALSE),"-",A188)</f>
        <v>RRMM-PERCCO-187</v>
      </c>
      <c r="C188" s="22" t="str">
        <f t="shared" si="29"/>
        <v>PLACA__ACERO_ROLADA EN CALIENTE_3'X10'_9/16"</v>
      </c>
      <c r="D188" s="14" t="s">
        <v>7385</v>
      </c>
      <c r="E188" s="14" t="s">
        <v>7380</v>
      </c>
      <c r="F188" s="21" t="s">
        <v>7386</v>
      </c>
      <c r="G188" s="22" t="s">
        <v>7382</v>
      </c>
      <c r="H188" s="14" t="s">
        <v>7392</v>
      </c>
      <c r="I188" s="16">
        <v>14.28</v>
      </c>
      <c r="J188" s="16">
        <f t="shared" si="30"/>
        <v>0.5622047244094488</v>
      </c>
      <c r="K188" s="16">
        <v>112.098</v>
      </c>
      <c r="L188" s="23"/>
      <c r="M188" s="23"/>
      <c r="N188" s="23"/>
      <c r="O188" s="23"/>
      <c r="P188" s="23"/>
      <c r="Q188" s="19"/>
      <c r="R188" s="17">
        <v>3</v>
      </c>
      <c r="S188" s="17">
        <v>10</v>
      </c>
      <c r="T188" s="16">
        <f t="shared" si="21"/>
        <v>3048</v>
      </c>
      <c r="U188" s="16">
        <f t="shared" si="22"/>
        <v>914.4</v>
      </c>
      <c r="V188" s="18">
        <f t="shared" si="23"/>
        <v>2787091.1999999997</v>
      </c>
      <c r="W188" s="18">
        <f t="shared" si="24"/>
        <v>2.7870911999999999</v>
      </c>
      <c r="X188" s="18">
        <f t="shared" si="25"/>
        <v>312.42734933759999</v>
      </c>
      <c r="Y188" s="24">
        <v>35</v>
      </c>
      <c r="Z188" s="24">
        <f t="shared" si="26"/>
        <v>10934.957226815999</v>
      </c>
      <c r="AA188" s="16">
        <v>13</v>
      </c>
      <c r="AB188" s="16">
        <f t="shared" si="27"/>
        <v>3022</v>
      </c>
      <c r="AC188" s="16">
        <f t="shared" si="27"/>
        <v>888.4</v>
      </c>
      <c r="AD188" s="19">
        <f t="shared" si="28"/>
        <v>2684744.8</v>
      </c>
      <c r="AE188" s="1" t="s">
        <v>7456</v>
      </c>
      <c r="AF188" s="1" t="str">
        <f>VLOOKUP(AE188,t_objeto!B:C,2,FALSE)</f>
        <v>RAW_MATERIAL</v>
      </c>
      <c r="AG188" s="1">
        <v>8</v>
      </c>
      <c r="AH188" s="1" t="str">
        <f>VLOOKUP(AG188,t_entry_status!A:AE,2,FALSE)</f>
        <v>PENDING</v>
      </c>
      <c r="AI188" s="7">
        <v>45560</v>
      </c>
      <c r="AJ188" s="1" t="s">
        <v>7449</v>
      </c>
      <c r="AK188" s="7">
        <v>45560</v>
      </c>
      <c r="AL188" s="1" t="s">
        <v>7449</v>
      </c>
    </row>
    <row r="189" spans="1:38" s="20" customFormat="1" x14ac:dyDescent="0.25">
      <c r="A189" s="14">
        <v>188</v>
      </c>
      <c r="B189" s="14" t="str">
        <f>_xlfn.CONCAT(AE189,"-",VLOOKUP(AE189,t_objeto!B:D,3,FALSE),"-",A189)</f>
        <v>RRMM-PERCCO-188</v>
      </c>
      <c r="C189" s="22" t="str">
        <f t="shared" si="29"/>
        <v>PLACA__ACERO_ROLADA EN CALIENTE_3'X10'_1/2"</v>
      </c>
      <c r="D189" s="14" t="s">
        <v>7385</v>
      </c>
      <c r="E189" s="14" t="s">
        <v>7380</v>
      </c>
      <c r="F189" s="21" t="s">
        <v>7386</v>
      </c>
      <c r="G189" s="22" t="s">
        <v>7382</v>
      </c>
      <c r="H189" s="14" t="s">
        <v>7393</v>
      </c>
      <c r="I189" s="16">
        <v>12.7</v>
      </c>
      <c r="J189" s="16">
        <f t="shared" si="30"/>
        <v>0.5</v>
      </c>
      <c r="K189" s="16">
        <v>99.694999999999993</v>
      </c>
      <c r="L189" s="23"/>
      <c r="M189" s="23"/>
      <c r="N189" s="23"/>
      <c r="O189" s="23"/>
      <c r="P189" s="23"/>
      <c r="Q189" s="19"/>
      <c r="R189" s="17">
        <v>3</v>
      </c>
      <c r="S189" s="17">
        <v>10</v>
      </c>
      <c r="T189" s="16">
        <f t="shared" si="21"/>
        <v>3048</v>
      </c>
      <c r="U189" s="16">
        <f t="shared" si="22"/>
        <v>914.4</v>
      </c>
      <c r="V189" s="18">
        <f t="shared" si="23"/>
        <v>2787091.1999999997</v>
      </c>
      <c r="W189" s="18">
        <f t="shared" si="24"/>
        <v>2.7870911999999999</v>
      </c>
      <c r="X189" s="18">
        <f t="shared" si="25"/>
        <v>277.85905718399999</v>
      </c>
      <c r="Y189" s="24">
        <v>35</v>
      </c>
      <c r="Z189" s="24">
        <f t="shared" si="26"/>
        <v>9725.0670014400002</v>
      </c>
      <c r="AA189" s="16">
        <v>14</v>
      </c>
      <c r="AB189" s="16">
        <f t="shared" si="27"/>
        <v>3020</v>
      </c>
      <c r="AC189" s="16">
        <f t="shared" si="27"/>
        <v>886.4</v>
      </c>
      <c r="AD189" s="19">
        <f t="shared" si="28"/>
        <v>2676928</v>
      </c>
      <c r="AE189" s="1" t="s">
        <v>7456</v>
      </c>
      <c r="AF189" s="1" t="str">
        <f>VLOOKUP(AE189,t_objeto!B:C,2,FALSE)</f>
        <v>RAW_MATERIAL</v>
      </c>
      <c r="AG189" s="1">
        <v>8</v>
      </c>
      <c r="AH189" s="1" t="str">
        <f>VLOOKUP(AG189,t_entry_status!A:AE,2,FALSE)</f>
        <v>PENDING</v>
      </c>
      <c r="AI189" s="7">
        <v>45560</v>
      </c>
      <c r="AJ189" s="1" t="s">
        <v>7449</v>
      </c>
      <c r="AK189" s="7">
        <v>45560</v>
      </c>
      <c r="AL189" s="1" t="s">
        <v>7449</v>
      </c>
    </row>
    <row r="190" spans="1:38" s="20" customFormat="1" x14ac:dyDescent="0.25">
      <c r="A190" s="14">
        <v>189</v>
      </c>
      <c r="B190" s="14" t="str">
        <f>_xlfn.CONCAT(AE190,"-",VLOOKUP(AE190,t_objeto!B:D,3,FALSE),"-",A190)</f>
        <v>RRMM-PERCCO-189</v>
      </c>
      <c r="C190" s="22" t="str">
        <f t="shared" si="29"/>
        <v>PLACA__ACERO_ROLADA EN CALIENTE_3'X10'_7/16"</v>
      </c>
      <c r="D190" s="14" t="s">
        <v>7385</v>
      </c>
      <c r="E190" s="14" t="s">
        <v>7380</v>
      </c>
      <c r="F190" s="21" t="s">
        <v>7386</v>
      </c>
      <c r="G190" s="22" t="s">
        <v>7382</v>
      </c>
      <c r="H190" s="14" t="s">
        <v>7394</v>
      </c>
      <c r="I190" s="16">
        <v>11.11</v>
      </c>
      <c r="J190" s="16">
        <f t="shared" si="30"/>
        <v>0.43740157480314962</v>
      </c>
      <c r="K190" s="16">
        <v>87.213999999999999</v>
      </c>
      <c r="L190" s="23"/>
      <c r="M190" s="23"/>
      <c r="N190" s="23"/>
      <c r="O190" s="23"/>
      <c r="P190" s="23"/>
      <c r="Q190" s="19"/>
      <c r="R190" s="17">
        <v>3</v>
      </c>
      <c r="S190" s="17">
        <v>10</v>
      </c>
      <c r="T190" s="16">
        <f t="shared" si="21"/>
        <v>3048</v>
      </c>
      <c r="U190" s="16">
        <f t="shared" si="22"/>
        <v>914.4</v>
      </c>
      <c r="V190" s="18">
        <f t="shared" si="23"/>
        <v>2787091.1999999997</v>
      </c>
      <c r="W190" s="18">
        <f t="shared" si="24"/>
        <v>2.7870911999999999</v>
      </c>
      <c r="X190" s="18">
        <f t="shared" si="25"/>
        <v>243.0733719168</v>
      </c>
      <c r="Y190" s="24">
        <v>35</v>
      </c>
      <c r="Z190" s="24">
        <f t="shared" si="26"/>
        <v>8507.5680170880005</v>
      </c>
      <c r="AA190" s="16">
        <v>15</v>
      </c>
      <c r="AB190" s="16">
        <f t="shared" si="27"/>
        <v>3018</v>
      </c>
      <c r="AC190" s="16">
        <f t="shared" si="27"/>
        <v>884.4</v>
      </c>
      <c r="AD190" s="19">
        <f t="shared" si="28"/>
        <v>2669119.1999999997</v>
      </c>
      <c r="AE190" s="1" t="s">
        <v>7456</v>
      </c>
      <c r="AF190" s="1" t="str">
        <f>VLOOKUP(AE190,t_objeto!B:C,2,FALSE)</f>
        <v>RAW_MATERIAL</v>
      </c>
      <c r="AG190" s="1">
        <v>8</v>
      </c>
      <c r="AH190" s="1" t="str">
        <f>VLOOKUP(AG190,t_entry_status!A:AE,2,FALSE)</f>
        <v>PENDING</v>
      </c>
      <c r="AI190" s="7">
        <v>45560</v>
      </c>
      <c r="AJ190" s="1" t="s">
        <v>7449</v>
      </c>
      <c r="AK190" s="7">
        <v>45560</v>
      </c>
      <c r="AL190" s="1" t="s">
        <v>7449</v>
      </c>
    </row>
    <row r="191" spans="1:38" s="20" customFormat="1" x14ac:dyDescent="0.25">
      <c r="A191" s="14">
        <v>190</v>
      </c>
      <c r="B191" s="14" t="str">
        <f>_xlfn.CONCAT(AE191,"-",VLOOKUP(AE191,t_objeto!B:D,3,FALSE),"-",A191)</f>
        <v>RRMM-PERCCO-190</v>
      </c>
      <c r="C191" s="22" t="str">
        <f t="shared" si="29"/>
        <v>PLACA__ACERO_ROLADA EN CALIENTE_3'X10'_3/8"</v>
      </c>
      <c r="D191" s="14" t="s">
        <v>7385</v>
      </c>
      <c r="E191" s="14" t="s">
        <v>7380</v>
      </c>
      <c r="F191" s="21" t="s">
        <v>7386</v>
      </c>
      <c r="G191" s="22" t="s">
        <v>7382</v>
      </c>
      <c r="H191" s="14" t="s">
        <v>7395</v>
      </c>
      <c r="I191" s="16">
        <v>9.52</v>
      </c>
      <c r="J191" s="16">
        <f t="shared" si="30"/>
        <v>0.37480314960629924</v>
      </c>
      <c r="K191" s="16">
        <v>74.731999999999999</v>
      </c>
      <c r="L191" s="23"/>
      <c r="M191" s="23"/>
      <c r="N191" s="23"/>
      <c r="O191" s="23"/>
      <c r="P191" s="23"/>
      <c r="Q191" s="19"/>
      <c r="R191" s="17">
        <v>3</v>
      </c>
      <c r="S191" s="17">
        <v>10</v>
      </c>
      <c r="T191" s="16">
        <f t="shared" si="21"/>
        <v>3048</v>
      </c>
      <c r="U191" s="16">
        <f t="shared" si="22"/>
        <v>914.4</v>
      </c>
      <c r="V191" s="18">
        <f t="shared" si="23"/>
        <v>2787091.1999999997</v>
      </c>
      <c r="W191" s="18">
        <f t="shared" si="24"/>
        <v>2.7870911999999999</v>
      </c>
      <c r="X191" s="18">
        <f t="shared" si="25"/>
        <v>208.28489955839999</v>
      </c>
      <c r="Y191" s="24">
        <v>35</v>
      </c>
      <c r="Z191" s="24">
        <f t="shared" si="26"/>
        <v>7289.9714845439994</v>
      </c>
      <c r="AA191" s="16">
        <v>16</v>
      </c>
      <c r="AB191" s="16">
        <f t="shared" si="27"/>
        <v>3016</v>
      </c>
      <c r="AC191" s="16">
        <f t="shared" si="27"/>
        <v>882.4</v>
      </c>
      <c r="AD191" s="19">
        <f t="shared" si="28"/>
        <v>2661318.4</v>
      </c>
      <c r="AE191" s="1" t="s">
        <v>7456</v>
      </c>
      <c r="AF191" s="1" t="str">
        <f>VLOOKUP(AE191,t_objeto!B:C,2,FALSE)</f>
        <v>RAW_MATERIAL</v>
      </c>
      <c r="AG191" s="1">
        <v>8</v>
      </c>
      <c r="AH191" s="1" t="str">
        <f>VLOOKUP(AG191,t_entry_status!A:AE,2,FALSE)</f>
        <v>PENDING</v>
      </c>
      <c r="AI191" s="7">
        <v>45560</v>
      </c>
      <c r="AJ191" s="1" t="s">
        <v>7449</v>
      </c>
      <c r="AK191" s="7">
        <v>45560</v>
      </c>
      <c r="AL191" s="1" t="s">
        <v>7449</v>
      </c>
    </row>
    <row r="192" spans="1:38" s="20" customFormat="1" x14ac:dyDescent="0.25">
      <c r="A192" s="14">
        <v>191</v>
      </c>
      <c r="B192" s="14" t="str">
        <f>_xlfn.CONCAT(AE192,"-",VLOOKUP(AE192,t_objeto!B:D,3,FALSE),"-",A192)</f>
        <v>RRMM-PERCCO-191</v>
      </c>
      <c r="C192" s="22" t="str">
        <f t="shared" si="29"/>
        <v>PLACA__ACERO_ROLADA EN CALIENTE_3'X10'_5/16"</v>
      </c>
      <c r="D192" s="14" t="s">
        <v>7385</v>
      </c>
      <c r="E192" s="14" t="s">
        <v>7380</v>
      </c>
      <c r="F192" s="21" t="s">
        <v>7386</v>
      </c>
      <c r="G192" s="22" t="s">
        <v>7382</v>
      </c>
      <c r="H192" s="14" t="s">
        <v>7396</v>
      </c>
      <c r="I192" s="16">
        <v>7.93</v>
      </c>
      <c r="J192" s="16">
        <f t="shared" si="30"/>
        <v>0.31220472440944885</v>
      </c>
      <c r="K192" s="16">
        <v>62.250999999999998</v>
      </c>
      <c r="L192" s="23"/>
      <c r="M192" s="23"/>
      <c r="N192" s="23"/>
      <c r="O192" s="23"/>
      <c r="P192" s="23"/>
      <c r="Q192" s="19"/>
      <c r="R192" s="17">
        <v>3</v>
      </c>
      <c r="S192" s="17">
        <v>10</v>
      </c>
      <c r="T192" s="16">
        <f t="shared" si="21"/>
        <v>3048</v>
      </c>
      <c r="U192" s="16">
        <f t="shared" si="22"/>
        <v>914.4</v>
      </c>
      <c r="V192" s="18">
        <f t="shared" si="23"/>
        <v>2787091.1999999997</v>
      </c>
      <c r="W192" s="18">
        <f t="shared" si="24"/>
        <v>2.7870911999999999</v>
      </c>
      <c r="X192" s="18">
        <f t="shared" si="25"/>
        <v>173.49921429119999</v>
      </c>
      <c r="Y192" s="24">
        <v>35</v>
      </c>
      <c r="Z192" s="24">
        <f t="shared" si="26"/>
        <v>6072.4725001919996</v>
      </c>
      <c r="AA192" s="16">
        <v>17</v>
      </c>
      <c r="AB192" s="16">
        <f t="shared" si="27"/>
        <v>3014</v>
      </c>
      <c r="AC192" s="16">
        <f t="shared" si="27"/>
        <v>880.4</v>
      </c>
      <c r="AD192" s="19">
        <f t="shared" si="28"/>
        <v>2653525.6</v>
      </c>
      <c r="AE192" s="1" t="s">
        <v>7456</v>
      </c>
      <c r="AF192" s="1" t="str">
        <f>VLOOKUP(AE192,t_objeto!B:C,2,FALSE)</f>
        <v>RAW_MATERIAL</v>
      </c>
      <c r="AG192" s="1">
        <v>8</v>
      </c>
      <c r="AH192" s="1" t="str">
        <f>VLOOKUP(AG192,t_entry_status!A:AE,2,FALSE)</f>
        <v>PENDING</v>
      </c>
      <c r="AI192" s="7">
        <v>45560</v>
      </c>
      <c r="AJ192" s="1" t="s">
        <v>7449</v>
      </c>
      <c r="AK192" s="7">
        <v>45560</v>
      </c>
      <c r="AL192" s="1" t="s">
        <v>7449</v>
      </c>
    </row>
    <row r="193" spans="1:38" s="20" customFormat="1" x14ac:dyDescent="0.25">
      <c r="A193" s="14">
        <v>192</v>
      </c>
      <c r="B193" s="14" t="str">
        <f>_xlfn.CONCAT(AE193,"-",VLOOKUP(AE193,t_objeto!B:D,3,FALSE),"-",A193)</f>
        <v>RRMM-PERCCO-192</v>
      </c>
      <c r="C193" s="22" t="str">
        <f t="shared" si="29"/>
        <v>PLACA__ACERO_ROLADA EN CALIENTE_3'X10'_1/4"</v>
      </c>
      <c r="D193" s="14" t="s">
        <v>7385</v>
      </c>
      <c r="E193" s="14" t="s">
        <v>7380</v>
      </c>
      <c r="F193" s="21" t="s">
        <v>7386</v>
      </c>
      <c r="G193" s="22" t="s">
        <v>7382</v>
      </c>
      <c r="H193" s="14" t="s">
        <v>7397</v>
      </c>
      <c r="I193" s="16">
        <v>6.35</v>
      </c>
      <c r="J193" s="16">
        <f t="shared" si="30"/>
        <v>0.25</v>
      </c>
      <c r="K193" s="16">
        <v>49.847999999999999</v>
      </c>
      <c r="L193" s="23"/>
      <c r="M193" s="23"/>
      <c r="N193" s="23"/>
      <c r="O193" s="23"/>
      <c r="P193" s="23"/>
      <c r="Q193" s="19"/>
      <c r="R193" s="17">
        <v>3</v>
      </c>
      <c r="S193" s="17">
        <v>10</v>
      </c>
      <c r="T193" s="16">
        <f t="shared" si="21"/>
        <v>3048</v>
      </c>
      <c r="U193" s="16">
        <f t="shared" si="22"/>
        <v>914.4</v>
      </c>
      <c r="V193" s="18">
        <f t="shared" si="23"/>
        <v>2787091.1999999997</v>
      </c>
      <c r="W193" s="18">
        <f t="shared" si="24"/>
        <v>2.7870911999999999</v>
      </c>
      <c r="X193" s="18">
        <f t="shared" si="25"/>
        <v>138.93092213759999</v>
      </c>
      <c r="Y193" s="24">
        <v>35</v>
      </c>
      <c r="Z193" s="24">
        <f t="shared" si="26"/>
        <v>4862.5822748159999</v>
      </c>
      <c r="AA193" s="16">
        <v>18</v>
      </c>
      <c r="AB193" s="16">
        <f t="shared" si="27"/>
        <v>3012</v>
      </c>
      <c r="AC193" s="16">
        <f t="shared" si="27"/>
        <v>878.4</v>
      </c>
      <c r="AD193" s="19">
        <f t="shared" si="28"/>
        <v>2645740.7999999998</v>
      </c>
      <c r="AE193" s="1" t="s">
        <v>7456</v>
      </c>
      <c r="AF193" s="1" t="str">
        <f>VLOOKUP(AE193,t_objeto!B:C,2,FALSE)</f>
        <v>RAW_MATERIAL</v>
      </c>
      <c r="AG193" s="1">
        <v>8</v>
      </c>
      <c r="AH193" s="1" t="str">
        <f>VLOOKUP(AG193,t_entry_status!A:AE,2,FALSE)</f>
        <v>PENDING</v>
      </c>
      <c r="AI193" s="7">
        <v>45560</v>
      </c>
      <c r="AJ193" s="1" t="s">
        <v>7449</v>
      </c>
      <c r="AK193" s="7">
        <v>45560</v>
      </c>
      <c r="AL193" s="1" t="s">
        <v>7449</v>
      </c>
    </row>
    <row r="194" spans="1:38" s="20" customFormat="1" x14ac:dyDescent="0.25">
      <c r="A194" s="14">
        <v>193</v>
      </c>
      <c r="B194" s="14" t="str">
        <f>_xlfn.CONCAT(AE194,"-",VLOOKUP(AE194,t_objeto!B:D,3,FALSE),"-",A194)</f>
        <v>RRMM-PERCCO-193</v>
      </c>
      <c r="C194" s="22" t="str">
        <f t="shared" si="29"/>
        <v>PLACA__ACERO_ROLADA EN CALIENTE_3'X10'_3/16"</v>
      </c>
      <c r="D194" s="14" t="s">
        <v>7385</v>
      </c>
      <c r="E194" s="14" t="s">
        <v>7380</v>
      </c>
      <c r="F194" s="21" t="s">
        <v>7386</v>
      </c>
      <c r="G194" s="22" t="s">
        <v>7382</v>
      </c>
      <c r="H194" s="14" t="s">
        <v>7398</v>
      </c>
      <c r="I194" s="16">
        <v>4.76</v>
      </c>
      <c r="J194" s="16">
        <f t="shared" si="30"/>
        <v>0.18740157480314962</v>
      </c>
      <c r="K194" s="16">
        <v>37.366</v>
      </c>
      <c r="L194" s="23"/>
      <c r="M194" s="23"/>
      <c r="N194" s="23"/>
      <c r="O194" s="23"/>
      <c r="P194" s="23"/>
      <c r="Q194" s="19"/>
      <c r="R194" s="17">
        <v>3</v>
      </c>
      <c r="S194" s="17">
        <v>10</v>
      </c>
      <c r="T194" s="16">
        <f t="shared" ref="T194:T257" si="31">S194*12*25.4</f>
        <v>3048</v>
      </c>
      <c r="U194" s="16">
        <f t="shared" ref="U194:U257" si="32">R194*12*25.4</f>
        <v>914.4</v>
      </c>
      <c r="V194" s="18">
        <f t="shared" ref="V194:V257" si="33">T194*U194</f>
        <v>2787091.1999999997</v>
      </c>
      <c r="W194" s="18">
        <f t="shared" ref="W194:W257" si="34">V194/1000000</f>
        <v>2.7870911999999999</v>
      </c>
      <c r="X194" s="18">
        <f t="shared" ref="X194:X257" si="35">K194*W194</f>
        <v>104.14244977919999</v>
      </c>
      <c r="Y194" s="24">
        <v>35</v>
      </c>
      <c r="Z194" s="24">
        <f t="shared" ref="Z194:Z257" si="36">X194*Y194</f>
        <v>3644.9857422719997</v>
      </c>
      <c r="AA194" s="16">
        <v>19</v>
      </c>
      <c r="AB194" s="16">
        <f t="shared" ref="AB194:AC257" si="37">T194-($AA194*2)</f>
        <v>3010</v>
      </c>
      <c r="AC194" s="16">
        <f t="shared" si="37"/>
        <v>876.4</v>
      </c>
      <c r="AD194" s="19">
        <f t="shared" ref="AD194:AD257" si="38">AB194*AC194</f>
        <v>2637964</v>
      </c>
      <c r="AE194" s="1" t="s">
        <v>7456</v>
      </c>
      <c r="AF194" s="1" t="str">
        <f>VLOOKUP(AE194,t_objeto!B:C,2,FALSE)</f>
        <v>RAW_MATERIAL</v>
      </c>
      <c r="AG194" s="1">
        <v>8</v>
      </c>
      <c r="AH194" s="1" t="str">
        <f>VLOOKUP(AG194,t_entry_status!A:AE,2,FALSE)</f>
        <v>PENDING</v>
      </c>
      <c r="AI194" s="7">
        <v>45560</v>
      </c>
      <c r="AJ194" s="1" t="s">
        <v>7449</v>
      </c>
      <c r="AK194" s="7">
        <v>45560</v>
      </c>
      <c r="AL194" s="1" t="s">
        <v>7449</v>
      </c>
    </row>
    <row r="195" spans="1:38" s="20" customFormat="1" x14ac:dyDescent="0.25">
      <c r="A195" s="14">
        <v>194</v>
      </c>
      <c r="B195" s="14" t="str">
        <f>_xlfn.CONCAT(AE195,"-",VLOOKUP(AE195,t_objeto!B:D,3,FALSE),"-",A195)</f>
        <v>RRMM-PERCCO-194</v>
      </c>
      <c r="C195" s="22" t="str">
        <f t="shared" ref="C195:C258" si="39">_xlfn.CONCAT(D195,"_","_",E195,"_",F195,"_",R195,"'","X",S195,"'","_",H195)</f>
        <v>LAMINA_LISA__ACERO_ROLADA EN CALIENTE_3'X10'_4</v>
      </c>
      <c r="D195" s="14" t="s">
        <v>7407</v>
      </c>
      <c r="E195" s="14" t="s">
        <v>7380</v>
      </c>
      <c r="F195" s="21" t="s">
        <v>7386</v>
      </c>
      <c r="G195" s="22" t="s">
        <v>7382</v>
      </c>
      <c r="H195" s="14">
        <v>4</v>
      </c>
      <c r="I195" s="16">
        <v>5.69</v>
      </c>
      <c r="J195" s="16">
        <f t="shared" si="30"/>
        <v>0.2240157480314961</v>
      </c>
      <c r="K195" s="16">
        <v>44.667000000000002</v>
      </c>
      <c r="L195" s="23"/>
      <c r="M195" s="23"/>
      <c r="N195" s="23"/>
      <c r="O195" s="23"/>
      <c r="P195" s="23"/>
      <c r="Q195" s="19"/>
      <c r="R195" s="17">
        <v>3</v>
      </c>
      <c r="S195" s="17">
        <v>10</v>
      </c>
      <c r="T195" s="16">
        <f t="shared" si="31"/>
        <v>3048</v>
      </c>
      <c r="U195" s="16">
        <f t="shared" si="32"/>
        <v>914.4</v>
      </c>
      <c r="V195" s="18">
        <f t="shared" si="33"/>
        <v>2787091.1999999997</v>
      </c>
      <c r="W195" s="18">
        <f t="shared" si="34"/>
        <v>2.7870911999999999</v>
      </c>
      <c r="X195" s="18">
        <f t="shared" si="35"/>
        <v>124.4910026304</v>
      </c>
      <c r="Y195" s="24">
        <v>35</v>
      </c>
      <c r="Z195" s="24">
        <f t="shared" si="36"/>
        <v>4357.1850920639999</v>
      </c>
      <c r="AA195" s="16">
        <v>20</v>
      </c>
      <c r="AB195" s="16">
        <f t="shared" si="37"/>
        <v>3008</v>
      </c>
      <c r="AC195" s="16">
        <f t="shared" si="37"/>
        <v>874.4</v>
      </c>
      <c r="AD195" s="19">
        <f t="shared" si="38"/>
        <v>2630195.1999999997</v>
      </c>
      <c r="AE195" s="1" t="s">
        <v>7456</v>
      </c>
      <c r="AF195" s="1" t="str">
        <f>VLOOKUP(AE195,t_objeto!B:C,2,FALSE)</f>
        <v>RAW_MATERIAL</v>
      </c>
      <c r="AG195" s="1">
        <v>8</v>
      </c>
      <c r="AH195" s="1" t="str">
        <f>VLOOKUP(AG195,t_entry_status!A:AE,2,FALSE)</f>
        <v>PENDING</v>
      </c>
      <c r="AI195" s="7">
        <v>45560</v>
      </c>
      <c r="AJ195" s="1" t="s">
        <v>7449</v>
      </c>
      <c r="AK195" s="7">
        <v>45560</v>
      </c>
      <c r="AL195" s="1" t="s">
        <v>7449</v>
      </c>
    </row>
    <row r="196" spans="1:38" s="20" customFormat="1" x14ac:dyDescent="0.25">
      <c r="A196" s="14">
        <v>195</v>
      </c>
      <c r="B196" s="14" t="str">
        <f>_xlfn.CONCAT(AE196,"-",VLOOKUP(AE196,t_objeto!B:D,3,FALSE),"-",A196)</f>
        <v>RRMM-PERCCO-195</v>
      </c>
      <c r="C196" s="22" t="str">
        <f t="shared" si="39"/>
        <v>LAMINA_LISA__ACERO_ROLADA EN CALIENTE_3'X10'_5</v>
      </c>
      <c r="D196" s="14" t="s">
        <v>7407</v>
      </c>
      <c r="E196" s="14" t="s">
        <v>7380</v>
      </c>
      <c r="F196" s="21" t="s">
        <v>7386</v>
      </c>
      <c r="G196" s="22" t="s">
        <v>7382</v>
      </c>
      <c r="H196" s="14">
        <v>5</v>
      </c>
      <c r="I196" s="16">
        <v>5.31</v>
      </c>
      <c r="J196" s="16">
        <f t="shared" si="30"/>
        <v>0.20905511811023622</v>
      </c>
      <c r="K196" s="16">
        <v>41.683999999999997</v>
      </c>
      <c r="L196" s="23"/>
      <c r="M196" s="23"/>
      <c r="N196" s="23"/>
      <c r="O196" s="23"/>
      <c r="P196" s="23"/>
      <c r="Q196" s="19"/>
      <c r="R196" s="17">
        <v>3</v>
      </c>
      <c r="S196" s="17">
        <v>10</v>
      </c>
      <c r="T196" s="16">
        <f t="shared" si="31"/>
        <v>3048</v>
      </c>
      <c r="U196" s="16">
        <f t="shared" si="32"/>
        <v>914.4</v>
      </c>
      <c r="V196" s="18">
        <f t="shared" si="33"/>
        <v>2787091.1999999997</v>
      </c>
      <c r="W196" s="18">
        <f t="shared" si="34"/>
        <v>2.7870911999999999</v>
      </c>
      <c r="X196" s="18">
        <f t="shared" si="35"/>
        <v>116.17710958079999</v>
      </c>
      <c r="Y196" s="24">
        <v>35</v>
      </c>
      <c r="Z196" s="24">
        <f t="shared" si="36"/>
        <v>4066.1988353279999</v>
      </c>
      <c r="AA196" s="16">
        <v>21</v>
      </c>
      <c r="AB196" s="16">
        <f t="shared" si="37"/>
        <v>3006</v>
      </c>
      <c r="AC196" s="16">
        <f t="shared" si="37"/>
        <v>872.4</v>
      </c>
      <c r="AD196" s="19">
        <f t="shared" si="38"/>
        <v>2622434.4</v>
      </c>
      <c r="AE196" s="1" t="s">
        <v>7456</v>
      </c>
      <c r="AF196" s="1" t="str">
        <f>VLOOKUP(AE196,t_objeto!B:C,2,FALSE)</f>
        <v>RAW_MATERIAL</v>
      </c>
      <c r="AG196" s="1">
        <v>8</v>
      </c>
      <c r="AH196" s="1" t="str">
        <f>VLOOKUP(AG196,t_entry_status!A:AE,2,FALSE)</f>
        <v>PENDING</v>
      </c>
      <c r="AI196" s="7">
        <v>45560</v>
      </c>
      <c r="AJ196" s="1" t="s">
        <v>7449</v>
      </c>
      <c r="AK196" s="7">
        <v>45560</v>
      </c>
      <c r="AL196" s="1" t="s">
        <v>7449</v>
      </c>
    </row>
    <row r="197" spans="1:38" s="20" customFormat="1" x14ac:dyDescent="0.25">
      <c r="A197" s="14">
        <v>196</v>
      </c>
      <c r="B197" s="14" t="str">
        <f>_xlfn.CONCAT(AE197,"-",VLOOKUP(AE197,t_objeto!B:D,3,FALSE),"-",A197)</f>
        <v>RRMM-PERCCO-196</v>
      </c>
      <c r="C197" s="22" t="str">
        <f t="shared" si="39"/>
        <v>LAMINA_LISA__ACERO_ROLADA EN CALIENTE_3'X10'_6</v>
      </c>
      <c r="D197" s="14" t="s">
        <v>7407</v>
      </c>
      <c r="E197" s="14" t="s">
        <v>7380</v>
      </c>
      <c r="F197" s="21" t="s">
        <v>7386</v>
      </c>
      <c r="G197" s="22" t="s">
        <v>7382</v>
      </c>
      <c r="H197" s="14">
        <v>6</v>
      </c>
      <c r="I197" s="16">
        <v>4.9400000000000004</v>
      </c>
      <c r="J197" s="16">
        <f t="shared" si="30"/>
        <v>0.19448818897637798</v>
      </c>
      <c r="K197" s="16">
        <v>38.779000000000003</v>
      </c>
      <c r="L197" s="23"/>
      <c r="M197" s="23"/>
      <c r="N197" s="23"/>
      <c r="O197" s="23"/>
      <c r="P197" s="23"/>
      <c r="Q197" s="19"/>
      <c r="R197" s="17">
        <v>3</v>
      </c>
      <c r="S197" s="17">
        <v>10</v>
      </c>
      <c r="T197" s="16">
        <f t="shared" si="31"/>
        <v>3048</v>
      </c>
      <c r="U197" s="16">
        <f t="shared" si="32"/>
        <v>914.4</v>
      </c>
      <c r="V197" s="18">
        <f t="shared" si="33"/>
        <v>2787091.1999999997</v>
      </c>
      <c r="W197" s="18">
        <f t="shared" si="34"/>
        <v>2.7870911999999999</v>
      </c>
      <c r="X197" s="18">
        <f t="shared" si="35"/>
        <v>108.08060964480001</v>
      </c>
      <c r="Y197" s="24">
        <v>35</v>
      </c>
      <c r="Z197" s="24">
        <f t="shared" si="36"/>
        <v>3782.8213375680002</v>
      </c>
      <c r="AA197" s="16">
        <v>22</v>
      </c>
      <c r="AB197" s="16">
        <f t="shared" si="37"/>
        <v>3004</v>
      </c>
      <c r="AC197" s="16">
        <f t="shared" si="37"/>
        <v>870.4</v>
      </c>
      <c r="AD197" s="19">
        <f t="shared" si="38"/>
        <v>2614681.6000000001</v>
      </c>
      <c r="AE197" s="1" t="s">
        <v>7456</v>
      </c>
      <c r="AF197" s="1" t="str">
        <f>VLOOKUP(AE197,t_objeto!B:C,2,FALSE)</f>
        <v>RAW_MATERIAL</v>
      </c>
      <c r="AG197" s="1">
        <v>8</v>
      </c>
      <c r="AH197" s="1" t="str">
        <f>VLOOKUP(AG197,t_entry_status!A:AE,2,FALSE)</f>
        <v>PENDING</v>
      </c>
      <c r="AI197" s="7">
        <v>45560</v>
      </c>
      <c r="AJ197" s="1" t="s">
        <v>7449</v>
      </c>
      <c r="AK197" s="7">
        <v>45560</v>
      </c>
      <c r="AL197" s="1" t="s">
        <v>7449</v>
      </c>
    </row>
    <row r="198" spans="1:38" s="20" customFormat="1" x14ac:dyDescent="0.25">
      <c r="A198" s="14">
        <v>197</v>
      </c>
      <c r="B198" s="14" t="str">
        <f>_xlfn.CONCAT(AE198,"-",VLOOKUP(AE198,t_objeto!B:D,3,FALSE),"-",A198)</f>
        <v>RRMM-PERCCO-197</v>
      </c>
      <c r="C198" s="22" t="str">
        <f t="shared" si="39"/>
        <v>LAMINA_LISA__ACERO_ROLADA EN CALIENTE_3'X10'_7</v>
      </c>
      <c r="D198" s="14" t="s">
        <v>7407</v>
      </c>
      <c r="E198" s="14" t="s">
        <v>7380</v>
      </c>
      <c r="F198" s="21" t="s">
        <v>7386</v>
      </c>
      <c r="G198" s="22" t="s">
        <v>7382</v>
      </c>
      <c r="H198" s="14">
        <v>7</v>
      </c>
      <c r="I198" s="16">
        <v>4.55</v>
      </c>
      <c r="J198" s="16">
        <f t="shared" si="30"/>
        <v>0.17913385826771655</v>
      </c>
      <c r="K198" s="16">
        <v>35.718000000000004</v>
      </c>
      <c r="L198" s="23"/>
      <c r="M198" s="23"/>
      <c r="N198" s="23"/>
      <c r="O198" s="23"/>
      <c r="P198" s="23"/>
      <c r="Q198" s="19"/>
      <c r="R198" s="17">
        <v>3</v>
      </c>
      <c r="S198" s="17">
        <v>10</v>
      </c>
      <c r="T198" s="16">
        <f t="shared" si="31"/>
        <v>3048</v>
      </c>
      <c r="U198" s="16">
        <f t="shared" si="32"/>
        <v>914.4</v>
      </c>
      <c r="V198" s="18">
        <f t="shared" si="33"/>
        <v>2787091.1999999997</v>
      </c>
      <c r="W198" s="18">
        <f t="shared" si="34"/>
        <v>2.7870911999999999</v>
      </c>
      <c r="X198" s="18">
        <f t="shared" si="35"/>
        <v>99.549323481600013</v>
      </c>
      <c r="Y198" s="24">
        <v>35</v>
      </c>
      <c r="Z198" s="24">
        <f t="shared" si="36"/>
        <v>3484.2263218560006</v>
      </c>
      <c r="AA198" s="16">
        <v>23</v>
      </c>
      <c r="AB198" s="16">
        <f t="shared" si="37"/>
        <v>3002</v>
      </c>
      <c r="AC198" s="16">
        <f t="shared" si="37"/>
        <v>868.4</v>
      </c>
      <c r="AD198" s="19">
        <f t="shared" si="38"/>
        <v>2606936.7999999998</v>
      </c>
      <c r="AE198" s="1" t="s">
        <v>7456</v>
      </c>
      <c r="AF198" s="1" t="str">
        <f>VLOOKUP(AE198,t_objeto!B:C,2,FALSE)</f>
        <v>RAW_MATERIAL</v>
      </c>
      <c r="AG198" s="1">
        <v>8</v>
      </c>
      <c r="AH198" s="1" t="str">
        <f>VLOOKUP(AG198,t_entry_status!A:AE,2,FALSE)</f>
        <v>PENDING</v>
      </c>
      <c r="AI198" s="7">
        <v>45560</v>
      </c>
      <c r="AJ198" s="1" t="s">
        <v>7449</v>
      </c>
      <c r="AK198" s="7">
        <v>45560</v>
      </c>
      <c r="AL198" s="1" t="s">
        <v>7449</v>
      </c>
    </row>
    <row r="199" spans="1:38" s="20" customFormat="1" x14ac:dyDescent="0.25">
      <c r="A199" s="14">
        <v>198</v>
      </c>
      <c r="B199" s="14" t="str">
        <f>_xlfn.CONCAT(AE199,"-",VLOOKUP(AE199,t_objeto!B:D,3,FALSE),"-",A199)</f>
        <v>RRMM-PERCCO-198</v>
      </c>
      <c r="C199" s="22" t="str">
        <f t="shared" si="39"/>
        <v>LAMINA_LISA__ACERO_ROLADA EN CALIENTE_3'X10'_8</v>
      </c>
      <c r="D199" s="14" t="s">
        <v>7407</v>
      </c>
      <c r="E199" s="14" t="s">
        <v>7380</v>
      </c>
      <c r="F199" s="21" t="s">
        <v>7386</v>
      </c>
      <c r="G199" s="22" t="s">
        <v>7382</v>
      </c>
      <c r="H199" s="14">
        <v>8</v>
      </c>
      <c r="I199" s="16">
        <v>4.18</v>
      </c>
      <c r="J199" s="16">
        <f t="shared" si="30"/>
        <v>0.16456692913385826</v>
      </c>
      <c r="K199" s="16">
        <v>32.813000000000002</v>
      </c>
      <c r="L199" s="23"/>
      <c r="M199" s="23"/>
      <c r="N199" s="23"/>
      <c r="O199" s="23"/>
      <c r="P199" s="23"/>
      <c r="Q199" s="19"/>
      <c r="R199" s="17">
        <v>3</v>
      </c>
      <c r="S199" s="17">
        <v>10</v>
      </c>
      <c r="T199" s="16">
        <f t="shared" si="31"/>
        <v>3048</v>
      </c>
      <c r="U199" s="16">
        <f t="shared" si="32"/>
        <v>914.4</v>
      </c>
      <c r="V199" s="18">
        <f t="shared" si="33"/>
        <v>2787091.1999999997</v>
      </c>
      <c r="W199" s="18">
        <f t="shared" si="34"/>
        <v>2.7870911999999999</v>
      </c>
      <c r="X199" s="18">
        <f t="shared" si="35"/>
        <v>91.452823545599998</v>
      </c>
      <c r="Y199" s="24">
        <v>35</v>
      </c>
      <c r="Z199" s="24">
        <f t="shared" si="36"/>
        <v>3200.848824096</v>
      </c>
      <c r="AA199" s="16">
        <v>24</v>
      </c>
      <c r="AB199" s="16">
        <f t="shared" si="37"/>
        <v>3000</v>
      </c>
      <c r="AC199" s="16">
        <f t="shared" si="37"/>
        <v>866.4</v>
      </c>
      <c r="AD199" s="19">
        <f t="shared" si="38"/>
        <v>2599200</v>
      </c>
      <c r="AE199" s="1" t="s">
        <v>7456</v>
      </c>
      <c r="AF199" s="1" t="str">
        <f>VLOOKUP(AE199,t_objeto!B:C,2,FALSE)</f>
        <v>RAW_MATERIAL</v>
      </c>
      <c r="AG199" s="1">
        <v>8</v>
      </c>
      <c r="AH199" s="1" t="str">
        <f>VLOOKUP(AG199,t_entry_status!A:AE,2,FALSE)</f>
        <v>PENDING</v>
      </c>
      <c r="AI199" s="7">
        <v>45560</v>
      </c>
      <c r="AJ199" s="1" t="s">
        <v>7449</v>
      </c>
      <c r="AK199" s="7">
        <v>45560</v>
      </c>
      <c r="AL199" s="1" t="s">
        <v>7449</v>
      </c>
    </row>
    <row r="200" spans="1:38" s="20" customFormat="1" x14ac:dyDescent="0.25">
      <c r="A200" s="14">
        <v>199</v>
      </c>
      <c r="B200" s="14" t="str">
        <f>_xlfn.CONCAT(AE200,"-",VLOOKUP(AE200,t_objeto!B:D,3,FALSE),"-",A200)</f>
        <v>RRMM-PERCCO-199</v>
      </c>
      <c r="C200" s="22" t="str">
        <f t="shared" si="39"/>
        <v>LAMINA_LISA__ACERO_ROLADA EN CALIENTE_3'X10'_9</v>
      </c>
      <c r="D200" s="14" t="s">
        <v>7407</v>
      </c>
      <c r="E200" s="14" t="s">
        <v>7380</v>
      </c>
      <c r="F200" s="21" t="s">
        <v>7386</v>
      </c>
      <c r="G200" s="22" t="s">
        <v>7382</v>
      </c>
      <c r="H200" s="14">
        <v>9</v>
      </c>
      <c r="I200" s="16">
        <v>3.8</v>
      </c>
      <c r="J200" s="16">
        <f t="shared" si="30"/>
        <v>0.14960629921259844</v>
      </c>
      <c r="K200" s="16">
        <v>29.83</v>
      </c>
      <c r="L200" s="23"/>
      <c r="M200" s="23"/>
      <c r="N200" s="23"/>
      <c r="O200" s="23"/>
      <c r="P200" s="23"/>
      <c r="Q200" s="19"/>
      <c r="R200" s="17">
        <v>3</v>
      </c>
      <c r="S200" s="17">
        <v>10</v>
      </c>
      <c r="T200" s="16">
        <f t="shared" si="31"/>
        <v>3048</v>
      </c>
      <c r="U200" s="16">
        <f t="shared" si="32"/>
        <v>914.4</v>
      </c>
      <c r="V200" s="18">
        <f t="shared" si="33"/>
        <v>2787091.1999999997</v>
      </c>
      <c r="W200" s="18">
        <f t="shared" si="34"/>
        <v>2.7870911999999999</v>
      </c>
      <c r="X200" s="18">
        <f t="shared" si="35"/>
        <v>83.138930495999986</v>
      </c>
      <c r="Y200" s="24">
        <v>35</v>
      </c>
      <c r="Z200" s="24">
        <f t="shared" si="36"/>
        <v>2909.8625673599995</v>
      </c>
      <c r="AA200" s="16">
        <v>25</v>
      </c>
      <c r="AB200" s="16">
        <f t="shared" si="37"/>
        <v>2998</v>
      </c>
      <c r="AC200" s="16">
        <f t="shared" si="37"/>
        <v>864.4</v>
      </c>
      <c r="AD200" s="19">
        <f t="shared" si="38"/>
        <v>2591471.1999999997</v>
      </c>
      <c r="AE200" s="1" t="s">
        <v>7456</v>
      </c>
      <c r="AF200" s="1" t="str">
        <f>VLOOKUP(AE200,t_objeto!B:C,2,FALSE)</f>
        <v>RAW_MATERIAL</v>
      </c>
      <c r="AG200" s="1">
        <v>8</v>
      </c>
      <c r="AH200" s="1" t="str">
        <f>VLOOKUP(AG200,t_entry_status!A:AE,2,FALSE)</f>
        <v>PENDING</v>
      </c>
      <c r="AI200" s="7">
        <v>45560</v>
      </c>
      <c r="AJ200" s="1" t="s">
        <v>7449</v>
      </c>
      <c r="AK200" s="7">
        <v>45560</v>
      </c>
      <c r="AL200" s="1" t="s">
        <v>7449</v>
      </c>
    </row>
    <row r="201" spans="1:38" s="20" customFormat="1" x14ac:dyDescent="0.25">
      <c r="A201" s="14">
        <v>200</v>
      </c>
      <c r="B201" s="14" t="str">
        <f>_xlfn.CONCAT(AE201,"-",VLOOKUP(AE201,t_objeto!B:D,3,FALSE),"-",A201)</f>
        <v>RRMM-PERCCO-200</v>
      </c>
      <c r="C201" s="22" t="str">
        <f t="shared" si="39"/>
        <v>LAMINA_LISA__ACERO_ROLADA EN CALIENTE_3'X10'_10</v>
      </c>
      <c r="D201" s="14" t="s">
        <v>7407</v>
      </c>
      <c r="E201" s="14" t="s">
        <v>7380</v>
      </c>
      <c r="F201" s="21" t="s">
        <v>7386</v>
      </c>
      <c r="G201" s="22" t="s">
        <v>7382</v>
      </c>
      <c r="H201" s="14">
        <v>10</v>
      </c>
      <c r="I201" s="16">
        <v>3.42</v>
      </c>
      <c r="J201" s="16">
        <f t="shared" si="30"/>
        <v>0.13464566929133859</v>
      </c>
      <c r="K201" s="16">
        <v>26.847000000000001</v>
      </c>
      <c r="L201" s="23"/>
      <c r="M201" s="23"/>
      <c r="N201" s="23"/>
      <c r="O201" s="23"/>
      <c r="P201" s="23"/>
      <c r="Q201" s="19"/>
      <c r="R201" s="17">
        <v>3</v>
      </c>
      <c r="S201" s="17">
        <v>10</v>
      </c>
      <c r="T201" s="16">
        <f t="shared" si="31"/>
        <v>3048</v>
      </c>
      <c r="U201" s="16">
        <f t="shared" si="32"/>
        <v>914.4</v>
      </c>
      <c r="V201" s="18">
        <f t="shared" si="33"/>
        <v>2787091.1999999997</v>
      </c>
      <c r="W201" s="18">
        <f t="shared" si="34"/>
        <v>2.7870911999999999</v>
      </c>
      <c r="X201" s="18">
        <f t="shared" si="35"/>
        <v>74.825037446400003</v>
      </c>
      <c r="Y201" s="24">
        <v>35</v>
      </c>
      <c r="Z201" s="24">
        <f t="shared" si="36"/>
        <v>2618.8763106240003</v>
      </c>
      <c r="AA201" s="16">
        <v>26</v>
      </c>
      <c r="AB201" s="16">
        <f t="shared" si="37"/>
        <v>2996</v>
      </c>
      <c r="AC201" s="16">
        <f t="shared" si="37"/>
        <v>862.4</v>
      </c>
      <c r="AD201" s="19">
        <f t="shared" si="38"/>
        <v>2583750.4</v>
      </c>
      <c r="AE201" s="1" t="s">
        <v>7456</v>
      </c>
      <c r="AF201" s="1" t="str">
        <f>VLOOKUP(AE201,t_objeto!B:C,2,FALSE)</f>
        <v>RAW_MATERIAL</v>
      </c>
      <c r="AG201" s="1">
        <v>8</v>
      </c>
      <c r="AH201" s="1" t="str">
        <f>VLOOKUP(AG201,t_entry_status!A:AE,2,FALSE)</f>
        <v>PENDING</v>
      </c>
      <c r="AI201" s="7">
        <v>45560</v>
      </c>
      <c r="AJ201" s="1" t="s">
        <v>7449</v>
      </c>
      <c r="AK201" s="7">
        <v>45560</v>
      </c>
      <c r="AL201" s="1" t="s">
        <v>7449</v>
      </c>
    </row>
    <row r="202" spans="1:38" s="20" customFormat="1" x14ac:dyDescent="0.25">
      <c r="A202" s="14">
        <v>201</v>
      </c>
      <c r="B202" s="14" t="str">
        <f>_xlfn.CONCAT(AE202,"-",VLOOKUP(AE202,t_objeto!B:D,3,FALSE),"-",A202)</f>
        <v>RRMM-PERCCO-201</v>
      </c>
      <c r="C202" s="22" t="str">
        <f t="shared" si="39"/>
        <v>LAMINA_LISA__ACERO_ROLADA EN CALIENTE_3'X10'_1/8"</v>
      </c>
      <c r="D202" s="14" t="s">
        <v>7407</v>
      </c>
      <c r="E202" s="14" t="s">
        <v>7380</v>
      </c>
      <c r="F202" s="21" t="s">
        <v>7386</v>
      </c>
      <c r="G202" s="22" t="s">
        <v>7382</v>
      </c>
      <c r="H202" s="14" t="s">
        <v>7399</v>
      </c>
      <c r="I202" s="16">
        <v>3.18</v>
      </c>
      <c r="J202" s="16">
        <v>0.125</v>
      </c>
      <c r="K202" s="16"/>
      <c r="L202" s="23"/>
      <c r="M202" s="23"/>
      <c r="N202" s="23"/>
      <c r="O202" s="23"/>
      <c r="P202" s="23"/>
      <c r="Q202" s="19"/>
      <c r="R202" s="17">
        <v>3</v>
      </c>
      <c r="S202" s="17">
        <v>10</v>
      </c>
      <c r="T202" s="16">
        <f t="shared" si="31"/>
        <v>3048</v>
      </c>
      <c r="U202" s="16">
        <f t="shared" si="32"/>
        <v>914.4</v>
      </c>
      <c r="V202" s="18">
        <f t="shared" si="33"/>
        <v>2787091.1999999997</v>
      </c>
      <c r="W202" s="18">
        <f t="shared" si="34"/>
        <v>2.7870911999999999</v>
      </c>
      <c r="X202" s="18">
        <f t="shared" si="35"/>
        <v>0</v>
      </c>
      <c r="Y202" s="24">
        <v>35</v>
      </c>
      <c r="Z202" s="24">
        <f t="shared" si="36"/>
        <v>0</v>
      </c>
      <c r="AA202" s="16">
        <v>26</v>
      </c>
      <c r="AB202" s="16">
        <f t="shared" si="37"/>
        <v>2996</v>
      </c>
      <c r="AC202" s="16">
        <f t="shared" si="37"/>
        <v>862.4</v>
      </c>
      <c r="AD202" s="19">
        <f t="shared" si="38"/>
        <v>2583750.4</v>
      </c>
      <c r="AE202" s="1" t="s">
        <v>7456</v>
      </c>
      <c r="AF202" s="1" t="str">
        <f>VLOOKUP(AE202,t_objeto!B:C,2,FALSE)</f>
        <v>RAW_MATERIAL</v>
      </c>
      <c r="AG202" s="1">
        <v>8</v>
      </c>
      <c r="AH202" s="1" t="str">
        <f>VLOOKUP(AG202,t_entry_status!A:AE,2,FALSE)</f>
        <v>PENDING</v>
      </c>
      <c r="AI202" s="7">
        <v>45560</v>
      </c>
      <c r="AJ202" s="1" t="s">
        <v>7449</v>
      </c>
      <c r="AK202" s="7">
        <v>45560</v>
      </c>
      <c r="AL202" s="1" t="s">
        <v>7449</v>
      </c>
    </row>
    <row r="203" spans="1:38" s="20" customFormat="1" x14ac:dyDescent="0.25">
      <c r="A203" s="14">
        <v>202</v>
      </c>
      <c r="B203" s="14" t="str">
        <f>_xlfn.CONCAT(AE203,"-",VLOOKUP(AE203,t_objeto!B:D,3,FALSE),"-",A203)</f>
        <v>RRMM-PERCCO-202</v>
      </c>
      <c r="C203" s="22" t="str">
        <f t="shared" si="39"/>
        <v>LAMINA_LISA__ACERO_ROLADA EN CALIENTE_3'X10'_11</v>
      </c>
      <c r="D203" s="14" t="s">
        <v>7407</v>
      </c>
      <c r="E203" s="14" t="s">
        <v>7380</v>
      </c>
      <c r="F203" s="21" t="s">
        <v>7386</v>
      </c>
      <c r="G203" s="22" t="s">
        <v>7382</v>
      </c>
      <c r="H203" s="14">
        <v>11</v>
      </c>
      <c r="I203" s="16">
        <v>3.04</v>
      </c>
      <c r="J203" s="16">
        <f t="shared" si="30"/>
        <v>0.11968503937007875</v>
      </c>
      <c r="K203" s="16">
        <v>23.864000000000001</v>
      </c>
      <c r="L203" s="23"/>
      <c r="M203" s="23"/>
      <c r="N203" s="23"/>
      <c r="O203" s="23"/>
      <c r="P203" s="23"/>
      <c r="Q203" s="19"/>
      <c r="R203" s="17">
        <v>3</v>
      </c>
      <c r="S203" s="17">
        <v>10</v>
      </c>
      <c r="T203" s="16">
        <f t="shared" si="31"/>
        <v>3048</v>
      </c>
      <c r="U203" s="16">
        <f t="shared" si="32"/>
        <v>914.4</v>
      </c>
      <c r="V203" s="18">
        <f t="shared" si="33"/>
        <v>2787091.1999999997</v>
      </c>
      <c r="W203" s="18">
        <f t="shared" si="34"/>
        <v>2.7870911999999999</v>
      </c>
      <c r="X203" s="18">
        <f t="shared" si="35"/>
        <v>66.511144396800006</v>
      </c>
      <c r="Y203" s="24">
        <v>35</v>
      </c>
      <c r="Z203" s="24">
        <f t="shared" si="36"/>
        <v>2327.8900538880002</v>
      </c>
      <c r="AA203" s="16">
        <v>27</v>
      </c>
      <c r="AB203" s="16">
        <f t="shared" si="37"/>
        <v>2994</v>
      </c>
      <c r="AC203" s="16">
        <f t="shared" si="37"/>
        <v>860.4</v>
      </c>
      <c r="AD203" s="19">
        <f t="shared" si="38"/>
        <v>2576037.6</v>
      </c>
      <c r="AE203" s="1" t="s">
        <v>7456</v>
      </c>
      <c r="AF203" s="1" t="str">
        <f>VLOOKUP(AE203,t_objeto!B:C,2,FALSE)</f>
        <v>RAW_MATERIAL</v>
      </c>
      <c r="AG203" s="1">
        <v>8</v>
      </c>
      <c r="AH203" s="1" t="str">
        <f>VLOOKUP(AG203,t_entry_status!A:AE,2,FALSE)</f>
        <v>PENDING</v>
      </c>
      <c r="AI203" s="7">
        <v>45560</v>
      </c>
      <c r="AJ203" s="1" t="s">
        <v>7449</v>
      </c>
      <c r="AK203" s="7">
        <v>45560</v>
      </c>
      <c r="AL203" s="1" t="s">
        <v>7449</v>
      </c>
    </row>
    <row r="204" spans="1:38" s="20" customFormat="1" x14ac:dyDescent="0.25">
      <c r="A204" s="14">
        <v>203</v>
      </c>
      <c r="B204" s="14" t="str">
        <f>_xlfn.CONCAT(AE204,"-",VLOOKUP(AE204,t_objeto!B:D,3,FALSE),"-",A204)</f>
        <v>RRMM-PERCCO-203</v>
      </c>
      <c r="C204" s="22" t="str">
        <f t="shared" si="39"/>
        <v>LAMINA_LISA__ACERO_ROLADA EN CALIENTE_3'X10'_12</v>
      </c>
      <c r="D204" s="14" t="s">
        <v>7407</v>
      </c>
      <c r="E204" s="14" t="s">
        <v>7380</v>
      </c>
      <c r="F204" s="21" t="s">
        <v>7386</v>
      </c>
      <c r="G204" s="22" t="s">
        <v>7382</v>
      </c>
      <c r="H204" s="14">
        <v>12</v>
      </c>
      <c r="I204" s="16">
        <v>2.66</v>
      </c>
      <c r="J204" s="16">
        <f t="shared" si="30"/>
        <v>0.1047244094488189</v>
      </c>
      <c r="K204" s="16">
        <v>20.881</v>
      </c>
      <c r="L204" s="23"/>
      <c r="M204" s="23"/>
      <c r="N204" s="23"/>
      <c r="O204" s="23"/>
      <c r="P204" s="23"/>
      <c r="Q204" s="19"/>
      <c r="R204" s="17">
        <v>3</v>
      </c>
      <c r="S204" s="17">
        <v>10</v>
      </c>
      <c r="T204" s="16">
        <f t="shared" si="31"/>
        <v>3048</v>
      </c>
      <c r="U204" s="16">
        <f t="shared" si="32"/>
        <v>914.4</v>
      </c>
      <c r="V204" s="18">
        <f t="shared" si="33"/>
        <v>2787091.1999999997</v>
      </c>
      <c r="W204" s="18">
        <f t="shared" si="34"/>
        <v>2.7870911999999999</v>
      </c>
      <c r="X204" s="18">
        <f t="shared" si="35"/>
        <v>58.197251347199995</v>
      </c>
      <c r="Y204" s="24">
        <v>35</v>
      </c>
      <c r="Z204" s="24">
        <f t="shared" si="36"/>
        <v>2036.9037971519997</v>
      </c>
      <c r="AA204" s="16">
        <v>28</v>
      </c>
      <c r="AB204" s="16">
        <f t="shared" si="37"/>
        <v>2992</v>
      </c>
      <c r="AC204" s="16">
        <f t="shared" si="37"/>
        <v>858.4</v>
      </c>
      <c r="AD204" s="19">
        <f t="shared" si="38"/>
        <v>2568332.7999999998</v>
      </c>
      <c r="AE204" s="1" t="s">
        <v>7456</v>
      </c>
      <c r="AF204" s="1" t="str">
        <f>VLOOKUP(AE204,t_objeto!B:C,2,FALSE)</f>
        <v>RAW_MATERIAL</v>
      </c>
      <c r="AG204" s="1">
        <v>8</v>
      </c>
      <c r="AH204" s="1" t="str">
        <f>VLOOKUP(AG204,t_entry_status!A:AE,2,FALSE)</f>
        <v>PENDING</v>
      </c>
      <c r="AI204" s="7">
        <v>45560</v>
      </c>
      <c r="AJ204" s="1" t="s">
        <v>7449</v>
      </c>
      <c r="AK204" s="7">
        <v>45560</v>
      </c>
      <c r="AL204" s="1" t="s">
        <v>7449</v>
      </c>
    </row>
    <row r="205" spans="1:38" s="20" customFormat="1" x14ac:dyDescent="0.25">
      <c r="A205" s="14">
        <v>204</v>
      </c>
      <c r="B205" s="14" t="str">
        <f>_xlfn.CONCAT(AE205,"-",VLOOKUP(AE205,t_objeto!B:D,3,FALSE),"-",A205)</f>
        <v>RRMM-PERCCO-204</v>
      </c>
      <c r="C205" s="22" t="str">
        <f t="shared" si="39"/>
        <v>LAMINA_LISA__ACERO_ROLADA EN CALIENTE_3'X10'_13</v>
      </c>
      <c r="D205" s="14" t="s">
        <v>7407</v>
      </c>
      <c r="E205" s="14" t="s">
        <v>7380</v>
      </c>
      <c r="F205" s="21" t="s">
        <v>7386</v>
      </c>
      <c r="G205" s="22" t="s">
        <v>7382</v>
      </c>
      <c r="H205" s="14">
        <v>13</v>
      </c>
      <c r="I205" s="16">
        <v>2.2799999999999998</v>
      </c>
      <c r="J205" s="16">
        <f t="shared" si="30"/>
        <v>8.9763779527559054E-2</v>
      </c>
      <c r="K205" s="16">
        <v>17.898</v>
      </c>
      <c r="L205" s="23"/>
      <c r="M205" s="23"/>
      <c r="N205" s="23"/>
      <c r="O205" s="23"/>
      <c r="P205" s="23"/>
      <c r="Q205" s="19"/>
      <c r="R205" s="17">
        <v>3</v>
      </c>
      <c r="S205" s="17">
        <v>10</v>
      </c>
      <c r="T205" s="16">
        <f t="shared" si="31"/>
        <v>3048</v>
      </c>
      <c r="U205" s="16">
        <f t="shared" si="32"/>
        <v>914.4</v>
      </c>
      <c r="V205" s="18">
        <f t="shared" si="33"/>
        <v>2787091.1999999997</v>
      </c>
      <c r="W205" s="18">
        <f t="shared" si="34"/>
        <v>2.7870911999999999</v>
      </c>
      <c r="X205" s="18">
        <f t="shared" si="35"/>
        <v>49.883358297599997</v>
      </c>
      <c r="Y205" s="24">
        <v>35</v>
      </c>
      <c r="Z205" s="24">
        <f t="shared" si="36"/>
        <v>1745.9175404159998</v>
      </c>
      <c r="AA205" s="16">
        <v>29</v>
      </c>
      <c r="AB205" s="16">
        <f t="shared" si="37"/>
        <v>2990</v>
      </c>
      <c r="AC205" s="16">
        <f t="shared" si="37"/>
        <v>856.4</v>
      </c>
      <c r="AD205" s="19">
        <f t="shared" si="38"/>
        <v>2560636</v>
      </c>
      <c r="AE205" s="1" t="s">
        <v>7456</v>
      </c>
      <c r="AF205" s="1" t="str">
        <f>VLOOKUP(AE205,t_objeto!B:C,2,FALSE)</f>
        <v>RAW_MATERIAL</v>
      </c>
      <c r="AG205" s="1">
        <v>8</v>
      </c>
      <c r="AH205" s="1" t="str">
        <f>VLOOKUP(AG205,t_entry_status!A:AE,2,FALSE)</f>
        <v>PENDING</v>
      </c>
      <c r="AI205" s="7">
        <v>45560</v>
      </c>
      <c r="AJ205" s="1" t="s">
        <v>7449</v>
      </c>
      <c r="AK205" s="7">
        <v>45560</v>
      </c>
      <c r="AL205" s="1" t="s">
        <v>7449</v>
      </c>
    </row>
    <row r="206" spans="1:38" s="20" customFormat="1" x14ac:dyDescent="0.25">
      <c r="A206" s="14">
        <v>205</v>
      </c>
      <c r="B206" s="14" t="str">
        <f>_xlfn.CONCAT(AE206,"-",VLOOKUP(AE206,t_objeto!B:D,3,FALSE),"-",A206)</f>
        <v>RRMM-PERCCO-205</v>
      </c>
      <c r="C206" s="22" t="str">
        <f t="shared" si="39"/>
        <v>LAMINA_LISA__ACERO_ROLADA EN CALIENTE_3'X10'_14</v>
      </c>
      <c r="D206" s="14" t="s">
        <v>7407</v>
      </c>
      <c r="E206" s="14" t="s">
        <v>7380</v>
      </c>
      <c r="F206" s="21" t="s">
        <v>7386</v>
      </c>
      <c r="G206" s="22" t="s">
        <v>7382</v>
      </c>
      <c r="H206" s="14">
        <v>14</v>
      </c>
      <c r="I206" s="16">
        <v>1.9</v>
      </c>
      <c r="J206" s="16">
        <f t="shared" si="30"/>
        <v>7.4803149606299218E-2</v>
      </c>
      <c r="K206" s="16">
        <v>14.914999999999999</v>
      </c>
      <c r="L206" s="23"/>
      <c r="M206" s="23"/>
      <c r="N206" s="23"/>
      <c r="O206" s="23"/>
      <c r="P206" s="23"/>
      <c r="Q206" s="19"/>
      <c r="R206" s="17">
        <v>3</v>
      </c>
      <c r="S206" s="17">
        <v>10</v>
      </c>
      <c r="T206" s="16">
        <f t="shared" si="31"/>
        <v>3048</v>
      </c>
      <c r="U206" s="16">
        <f t="shared" si="32"/>
        <v>914.4</v>
      </c>
      <c r="V206" s="18">
        <f t="shared" si="33"/>
        <v>2787091.1999999997</v>
      </c>
      <c r="W206" s="18">
        <f t="shared" si="34"/>
        <v>2.7870911999999999</v>
      </c>
      <c r="X206" s="18">
        <f t="shared" si="35"/>
        <v>41.569465247999993</v>
      </c>
      <c r="Y206" s="24">
        <v>35</v>
      </c>
      <c r="Z206" s="24">
        <f t="shared" si="36"/>
        <v>1454.9312836799998</v>
      </c>
      <c r="AA206" s="16">
        <v>30</v>
      </c>
      <c r="AB206" s="16">
        <f t="shared" si="37"/>
        <v>2988</v>
      </c>
      <c r="AC206" s="16">
        <f t="shared" si="37"/>
        <v>854.4</v>
      </c>
      <c r="AD206" s="19">
        <f t="shared" si="38"/>
        <v>2552947.1999999997</v>
      </c>
      <c r="AE206" s="1" t="s">
        <v>7456</v>
      </c>
      <c r="AF206" s="1" t="str">
        <f>VLOOKUP(AE206,t_objeto!B:C,2,FALSE)</f>
        <v>RAW_MATERIAL</v>
      </c>
      <c r="AG206" s="1">
        <v>8</v>
      </c>
      <c r="AH206" s="1" t="str">
        <f>VLOOKUP(AG206,t_entry_status!A:AE,2,FALSE)</f>
        <v>PENDING</v>
      </c>
      <c r="AI206" s="7">
        <v>45560</v>
      </c>
      <c r="AJ206" s="1" t="s">
        <v>7449</v>
      </c>
      <c r="AK206" s="7">
        <v>45560</v>
      </c>
      <c r="AL206" s="1" t="s">
        <v>7449</v>
      </c>
    </row>
    <row r="207" spans="1:38" s="20" customFormat="1" x14ac:dyDescent="0.25">
      <c r="A207" s="14">
        <v>206</v>
      </c>
      <c r="B207" s="14" t="str">
        <f>_xlfn.CONCAT(AE207,"-",VLOOKUP(AE207,t_objeto!B:D,3,FALSE),"-",A207)</f>
        <v>RRMM-PERCCO-206</v>
      </c>
      <c r="C207" s="22" t="str">
        <f t="shared" si="39"/>
        <v>LAMINA_LISA__ACERO_ROLADA EN CALIENTE_3'X10'_15</v>
      </c>
      <c r="D207" s="14" t="s">
        <v>7407</v>
      </c>
      <c r="E207" s="14" t="s">
        <v>7380</v>
      </c>
      <c r="F207" s="21" t="s">
        <v>7386</v>
      </c>
      <c r="G207" s="22" t="s">
        <v>7382</v>
      </c>
      <c r="H207" s="14">
        <v>15</v>
      </c>
      <c r="I207" s="16">
        <v>1.71</v>
      </c>
      <c r="J207" s="16">
        <f t="shared" si="30"/>
        <v>6.7322834645669294E-2</v>
      </c>
      <c r="K207" s="16">
        <v>13.423999999999999</v>
      </c>
      <c r="L207" s="23"/>
      <c r="M207" s="23"/>
      <c r="N207" s="23"/>
      <c r="O207" s="23"/>
      <c r="P207" s="23"/>
      <c r="Q207" s="19"/>
      <c r="R207" s="17">
        <v>3</v>
      </c>
      <c r="S207" s="17">
        <v>10</v>
      </c>
      <c r="T207" s="16">
        <f t="shared" si="31"/>
        <v>3048</v>
      </c>
      <c r="U207" s="16">
        <f t="shared" si="32"/>
        <v>914.4</v>
      </c>
      <c r="V207" s="18">
        <f t="shared" si="33"/>
        <v>2787091.1999999997</v>
      </c>
      <c r="W207" s="18">
        <f t="shared" si="34"/>
        <v>2.7870911999999999</v>
      </c>
      <c r="X207" s="18">
        <f t="shared" si="35"/>
        <v>37.413912268799997</v>
      </c>
      <c r="Y207" s="24">
        <v>35</v>
      </c>
      <c r="Z207" s="24">
        <f t="shared" si="36"/>
        <v>1309.4869294079999</v>
      </c>
      <c r="AA207" s="16">
        <v>31</v>
      </c>
      <c r="AB207" s="16">
        <f t="shared" si="37"/>
        <v>2986</v>
      </c>
      <c r="AC207" s="16">
        <f t="shared" si="37"/>
        <v>852.4</v>
      </c>
      <c r="AD207" s="19">
        <f t="shared" si="38"/>
        <v>2545266.4</v>
      </c>
      <c r="AE207" s="1" t="s">
        <v>7456</v>
      </c>
      <c r="AF207" s="1" t="str">
        <f>VLOOKUP(AE207,t_objeto!B:C,2,FALSE)</f>
        <v>RAW_MATERIAL</v>
      </c>
      <c r="AG207" s="1">
        <v>8</v>
      </c>
      <c r="AH207" s="1" t="str">
        <f>VLOOKUP(AG207,t_entry_status!A:AE,2,FALSE)</f>
        <v>PENDING</v>
      </c>
      <c r="AI207" s="7">
        <v>45560</v>
      </c>
      <c r="AJ207" s="1" t="s">
        <v>7449</v>
      </c>
      <c r="AK207" s="7">
        <v>45560</v>
      </c>
      <c r="AL207" s="1" t="s">
        <v>7449</v>
      </c>
    </row>
    <row r="208" spans="1:38" s="20" customFormat="1" x14ac:dyDescent="0.25">
      <c r="A208" s="14">
        <v>207</v>
      </c>
      <c r="B208" s="14" t="str">
        <f>_xlfn.CONCAT(AE208,"-",VLOOKUP(AE208,t_objeto!B:D,3,FALSE),"-",A208)</f>
        <v>RRMM-PERCCO-207</v>
      </c>
      <c r="C208" s="22" t="str">
        <f t="shared" si="39"/>
        <v>LAMINA_LISA__ACERO_ROLADA EN CALIENTE_3'X10'_16</v>
      </c>
      <c r="D208" s="14" t="s">
        <v>7407</v>
      </c>
      <c r="E208" s="14" t="s">
        <v>7380</v>
      </c>
      <c r="F208" s="21" t="s">
        <v>7386</v>
      </c>
      <c r="G208" s="22" t="s">
        <v>7382</v>
      </c>
      <c r="H208" s="14">
        <v>16</v>
      </c>
      <c r="I208" s="16">
        <v>1.52</v>
      </c>
      <c r="J208" s="16">
        <f t="shared" si="30"/>
        <v>5.9842519685039376E-2</v>
      </c>
      <c r="K208" s="16">
        <v>11.932</v>
      </c>
      <c r="L208" s="23"/>
      <c r="M208" s="23"/>
      <c r="N208" s="23"/>
      <c r="O208" s="23"/>
      <c r="P208" s="23"/>
      <c r="Q208" s="19"/>
      <c r="R208" s="17">
        <v>3</v>
      </c>
      <c r="S208" s="17">
        <v>10</v>
      </c>
      <c r="T208" s="16">
        <f t="shared" si="31"/>
        <v>3048</v>
      </c>
      <c r="U208" s="16">
        <f t="shared" si="32"/>
        <v>914.4</v>
      </c>
      <c r="V208" s="18">
        <f t="shared" si="33"/>
        <v>2787091.1999999997</v>
      </c>
      <c r="W208" s="18">
        <f t="shared" si="34"/>
        <v>2.7870911999999999</v>
      </c>
      <c r="X208" s="18">
        <f t="shared" si="35"/>
        <v>33.255572198400003</v>
      </c>
      <c r="Y208" s="24">
        <v>35</v>
      </c>
      <c r="Z208" s="24">
        <f t="shared" si="36"/>
        <v>1163.9450269440001</v>
      </c>
      <c r="AA208" s="16">
        <v>32</v>
      </c>
      <c r="AB208" s="16">
        <f t="shared" si="37"/>
        <v>2984</v>
      </c>
      <c r="AC208" s="16">
        <f t="shared" si="37"/>
        <v>850.4</v>
      </c>
      <c r="AD208" s="19">
        <f t="shared" si="38"/>
        <v>2537593.6</v>
      </c>
      <c r="AE208" s="1" t="s">
        <v>7456</v>
      </c>
      <c r="AF208" s="1" t="str">
        <f>VLOOKUP(AE208,t_objeto!B:C,2,FALSE)</f>
        <v>RAW_MATERIAL</v>
      </c>
      <c r="AG208" s="1">
        <v>8</v>
      </c>
      <c r="AH208" s="1" t="str">
        <f>VLOOKUP(AG208,t_entry_status!A:AE,2,FALSE)</f>
        <v>PENDING</v>
      </c>
      <c r="AI208" s="7">
        <v>45560</v>
      </c>
      <c r="AJ208" s="1" t="s">
        <v>7449</v>
      </c>
      <c r="AK208" s="7">
        <v>45560</v>
      </c>
      <c r="AL208" s="1" t="s">
        <v>7449</v>
      </c>
    </row>
    <row r="209" spans="1:38" s="20" customFormat="1" x14ac:dyDescent="0.25">
      <c r="A209" s="14">
        <v>208</v>
      </c>
      <c r="B209" s="14" t="str">
        <f>_xlfn.CONCAT(AE209,"-",VLOOKUP(AE209,t_objeto!B:D,3,FALSE),"-",A209)</f>
        <v>RRMM-PERCCO-208</v>
      </c>
      <c r="C209" s="22" t="str">
        <f t="shared" si="39"/>
        <v>LAMINA_LISA__ACERO_ROLADA EN CALIENTE_3'X10'_17</v>
      </c>
      <c r="D209" s="14" t="s">
        <v>7407</v>
      </c>
      <c r="E209" s="14" t="s">
        <v>7380</v>
      </c>
      <c r="F209" s="21" t="s">
        <v>7386</v>
      </c>
      <c r="G209" s="22" t="s">
        <v>7382</v>
      </c>
      <c r="H209" s="14">
        <v>17</v>
      </c>
      <c r="I209" s="16">
        <v>1.37</v>
      </c>
      <c r="J209" s="16">
        <f t="shared" si="30"/>
        <v>5.3937007874015758E-2</v>
      </c>
      <c r="K209" s="16">
        <v>10.755000000000001</v>
      </c>
      <c r="L209" s="23"/>
      <c r="M209" s="23"/>
      <c r="N209" s="23"/>
      <c r="O209" s="23"/>
      <c r="P209" s="23"/>
      <c r="Q209" s="19"/>
      <c r="R209" s="17">
        <v>3</v>
      </c>
      <c r="S209" s="17">
        <v>10</v>
      </c>
      <c r="T209" s="16">
        <f t="shared" si="31"/>
        <v>3048</v>
      </c>
      <c r="U209" s="16">
        <f t="shared" si="32"/>
        <v>914.4</v>
      </c>
      <c r="V209" s="18">
        <f t="shared" si="33"/>
        <v>2787091.1999999997</v>
      </c>
      <c r="W209" s="18">
        <f t="shared" si="34"/>
        <v>2.7870911999999999</v>
      </c>
      <c r="X209" s="18">
        <f t="shared" si="35"/>
        <v>29.975165856</v>
      </c>
      <c r="Y209" s="24">
        <v>35</v>
      </c>
      <c r="Z209" s="24">
        <f t="shared" si="36"/>
        <v>1049.13080496</v>
      </c>
      <c r="AA209" s="16">
        <v>33</v>
      </c>
      <c r="AB209" s="16">
        <f t="shared" si="37"/>
        <v>2982</v>
      </c>
      <c r="AC209" s="16">
        <f t="shared" si="37"/>
        <v>848.4</v>
      </c>
      <c r="AD209" s="19">
        <f t="shared" si="38"/>
        <v>2529928.7999999998</v>
      </c>
      <c r="AE209" s="1" t="s">
        <v>7456</v>
      </c>
      <c r="AF209" s="1" t="str">
        <f>VLOOKUP(AE209,t_objeto!B:C,2,FALSE)</f>
        <v>RAW_MATERIAL</v>
      </c>
      <c r="AG209" s="1">
        <v>8</v>
      </c>
      <c r="AH209" s="1" t="str">
        <f>VLOOKUP(AG209,t_entry_status!A:AE,2,FALSE)</f>
        <v>PENDING</v>
      </c>
      <c r="AI209" s="7">
        <v>45560</v>
      </c>
      <c r="AJ209" s="1" t="s">
        <v>7449</v>
      </c>
      <c r="AK209" s="7">
        <v>45560</v>
      </c>
      <c r="AL209" s="1" t="s">
        <v>7449</v>
      </c>
    </row>
    <row r="210" spans="1:38" s="20" customFormat="1" x14ac:dyDescent="0.25">
      <c r="A210" s="14">
        <v>209</v>
      </c>
      <c r="B210" s="14" t="str">
        <f>_xlfn.CONCAT(AE210,"-",VLOOKUP(AE210,t_objeto!B:D,3,FALSE),"-",A210)</f>
        <v>RRMM-PERCCO-209</v>
      </c>
      <c r="C210" s="22" t="str">
        <f t="shared" si="39"/>
        <v>LAMINA_LISA__ACERO_ROLADA EN CALIENTE_3'X10'_18</v>
      </c>
      <c r="D210" s="14" t="s">
        <v>7407</v>
      </c>
      <c r="E210" s="14" t="s">
        <v>7380</v>
      </c>
      <c r="F210" s="21" t="s">
        <v>7386</v>
      </c>
      <c r="G210" s="22" t="s">
        <v>7382</v>
      </c>
      <c r="H210" s="14">
        <v>18</v>
      </c>
      <c r="I210" s="16">
        <v>1.21</v>
      </c>
      <c r="J210" s="16">
        <f t="shared" ref="J210:J273" si="40">I210/25.4</f>
        <v>4.7637795275590554E-2</v>
      </c>
      <c r="K210" s="16">
        <v>9.4990000000000006</v>
      </c>
      <c r="L210" s="23"/>
      <c r="M210" s="23"/>
      <c r="N210" s="23"/>
      <c r="O210" s="23"/>
      <c r="P210" s="23"/>
      <c r="Q210" s="19"/>
      <c r="R210" s="17">
        <v>3</v>
      </c>
      <c r="S210" s="17">
        <v>10</v>
      </c>
      <c r="T210" s="16">
        <f t="shared" si="31"/>
        <v>3048</v>
      </c>
      <c r="U210" s="16">
        <f t="shared" si="32"/>
        <v>914.4</v>
      </c>
      <c r="V210" s="18">
        <f t="shared" si="33"/>
        <v>2787091.1999999997</v>
      </c>
      <c r="W210" s="18">
        <f t="shared" si="34"/>
        <v>2.7870911999999999</v>
      </c>
      <c r="X210" s="18">
        <f t="shared" si="35"/>
        <v>26.474579308799999</v>
      </c>
      <c r="Y210" s="24">
        <v>35</v>
      </c>
      <c r="Z210" s="24">
        <f t="shared" si="36"/>
        <v>926.61027580799998</v>
      </c>
      <c r="AA210" s="16">
        <v>34</v>
      </c>
      <c r="AB210" s="16">
        <f t="shared" si="37"/>
        <v>2980</v>
      </c>
      <c r="AC210" s="16">
        <f t="shared" si="37"/>
        <v>846.4</v>
      </c>
      <c r="AD210" s="19">
        <f t="shared" si="38"/>
        <v>2522272</v>
      </c>
      <c r="AE210" s="1" t="s">
        <v>7456</v>
      </c>
      <c r="AF210" s="1" t="str">
        <f>VLOOKUP(AE210,t_objeto!B:C,2,FALSE)</f>
        <v>RAW_MATERIAL</v>
      </c>
      <c r="AG210" s="1">
        <v>8</v>
      </c>
      <c r="AH210" s="1" t="str">
        <f>VLOOKUP(AG210,t_entry_status!A:AE,2,FALSE)</f>
        <v>PENDING</v>
      </c>
      <c r="AI210" s="7">
        <v>45560</v>
      </c>
      <c r="AJ210" s="1" t="s">
        <v>7449</v>
      </c>
      <c r="AK210" s="7">
        <v>45560</v>
      </c>
      <c r="AL210" s="1" t="s">
        <v>7449</v>
      </c>
    </row>
    <row r="211" spans="1:38" s="20" customFormat="1" x14ac:dyDescent="0.25">
      <c r="A211" s="14">
        <v>210</v>
      </c>
      <c r="B211" s="14" t="str">
        <f>_xlfn.CONCAT(AE211,"-",VLOOKUP(AE211,t_objeto!B:D,3,FALSE),"-",A211)</f>
        <v>RRMM-PERCCO-210</v>
      </c>
      <c r="C211" s="22" t="str">
        <f t="shared" si="39"/>
        <v>LAMINA_LISA__ACERO_ROLADA EN CALIENTE_3'X10'_19</v>
      </c>
      <c r="D211" s="14" t="s">
        <v>7407</v>
      </c>
      <c r="E211" s="14" t="s">
        <v>7380</v>
      </c>
      <c r="F211" s="21" t="s">
        <v>7386</v>
      </c>
      <c r="G211" s="22" t="s">
        <v>7382</v>
      </c>
      <c r="H211" s="14">
        <v>19</v>
      </c>
      <c r="I211" s="16">
        <v>1.06</v>
      </c>
      <c r="J211" s="16">
        <f t="shared" si="40"/>
        <v>4.1732283464566935E-2</v>
      </c>
      <c r="K211" s="16">
        <v>8.3209999999999997</v>
      </c>
      <c r="L211" s="23"/>
      <c r="M211" s="23"/>
      <c r="N211" s="23"/>
      <c r="O211" s="23"/>
      <c r="P211" s="23"/>
      <c r="Q211" s="19"/>
      <c r="R211" s="17">
        <v>3</v>
      </c>
      <c r="S211" s="17">
        <v>10</v>
      </c>
      <c r="T211" s="16">
        <f t="shared" si="31"/>
        <v>3048</v>
      </c>
      <c r="U211" s="16">
        <f t="shared" si="32"/>
        <v>914.4</v>
      </c>
      <c r="V211" s="18">
        <f t="shared" si="33"/>
        <v>2787091.1999999997</v>
      </c>
      <c r="W211" s="18">
        <f t="shared" si="34"/>
        <v>2.7870911999999999</v>
      </c>
      <c r="X211" s="18">
        <f t="shared" si="35"/>
        <v>23.191385875199998</v>
      </c>
      <c r="Y211" s="24">
        <v>35</v>
      </c>
      <c r="Z211" s="24">
        <f t="shared" si="36"/>
        <v>811.69850563199998</v>
      </c>
      <c r="AA211" s="16">
        <v>35</v>
      </c>
      <c r="AB211" s="16">
        <f t="shared" si="37"/>
        <v>2978</v>
      </c>
      <c r="AC211" s="16">
        <f t="shared" si="37"/>
        <v>844.4</v>
      </c>
      <c r="AD211" s="19">
        <f t="shared" si="38"/>
        <v>2514623.1999999997</v>
      </c>
      <c r="AE211" s="1" t="s">
        <v>7456</v>
      </c>
      <c r="AF211" s="1" t="str">
        <f>VLOOKUP(AE211,t_objeto!B:C,2,FALSE)</f>
        <v>RAW_MATERIAL</v>
      </c>
      <c r="AG211" s="1">
        <v>8</v>
      </c>
      <c r="AH211" s="1" t="str">
        <f>VLOOKUP(AG211,t_entry_status!A:AE,2,FALSE)</f>
        <v>PENDING</v>
      </c>
      <c r="AI211" s="7">
        <v>45560</v>
      </c>
      <c r="AJ211" s="1" t="s">
        <v>7449</v>
      </c>
      <c r="AK211" s="7">
        <v>45560</v>
      </c>
      <c r="AL211" s="1" t="s">
        <v>7449</v>
      </c>
    </row>
    <row r="212" spans="1:38" s="20" customFormat="1" x14ac:dyDescent="0.25">
      <c r="A212" s="14">
        <v>211</v>
      </c>
      <c r="B212" s="14" t="str">
        <f>_xlfn.CONCAT(AE212,"-",VLOOKUP(AE212,t_objeto!B:D,3,FALSE),"-",A212)</f>
        <v>RRMM-PERCCO-211</v>
      </c>
      <c r="C212" s="22" t="str">
        <f t="shared" si="39"/>
        <v>LAMINA_LISA__ACERO_ROLADA EN CALIENTE_3'X10'_20</v>
      </c>
      <c r="D212" s="14" t="s">
        <v>7407</v>
      </c>
      <c r="E212" s="14" t="s">
        <v>7380</v>
      </c>
      <c r="F212" s="21" t="s">
        <v>7386</v>
      </c>
      <c r="G212" s="22" t="s">
        <v>7382</v>
      </c>
      <c r="H212" s="14">
        <v>20</v>
      </c>
      <c r="I212" s="16">
        <v>0.91</v>
      </c>
      <c r="J212" s="16">
        <f t="shared" si="40"/>
        <v>3.582677165354331E-2</v>
      </c>
      <c r="K212" s="16">
        <v>7.1440000000000001</v>
      </c>
      <c r="L212" s="23"/>
      <c r="M212" s="23"/>
      <c r="N212" s="23"/>
      <c r="O212" s="23"/>
      <c r="P212" s="23"/>
      <c r="Q212" s="19"/>
      <c r="R212" s="17">
        <v>3</v>
      </c>
      <c r="S212" s="17">
        <v>10</v>
      </c>
      <c r="T212" s="16">
        <f t="shared" si="31"/>
        <v>3048</v>
      </c>
      <c r="U212" s="16">
        <f t="shared" si="32"/>
        <v>914.4</v>
      </c>
      <c r="V212" s="18">
        <f t="shared" si="33"/>
        <v>2787091.1999999997</v>
      </c>
      <c r="W212" s="18">
        <f t="shared" si="34"/>
        <v>2.7870911999999999</v>
      </c>
      <c r="X212" s="18">
        <f t="shared" si="35"/>
        <v>19.910979532799999</v>
      </c>
      <c r="Y212" s="24">
        <v>35</v>
      </c>
      <c r="Z212" s="24">
        <f t="shared" si="36"/>
        <v>696.88428364799995</v>
      </c>
      <c r="AA212" s="16">
        <v>36</v>
      </c>
      <c r="AB212" s="16">
        <f t="shared" si="37"/>
        <v>2976</v>
      </c>
      <c r="AC212" s="16">
        <f t="shared" si="37"/>
        <v>842.4</v>
      </c>
      <c r="AD212" s="19">
        <f t="shared" si="38"/>
        <v>2506982.3999999999</v>
      </c>
      <c r="AE212" s="1" t="s">
        <v>7456</v>
      </c>
      <c r="AF212" s="1" t="str">
        <f>VLOOKUP(AE212,t_objeto!B:C,2,FALSE)</f>
        <v>RAW_MATERIAL</v>
      </c>
      <c r="AG212" s="1">
        <v>8</v>
      </c>
      <c r="AH212" s="1" t="str">
        <f>VLOOKUP(AG212,t_entry_status!A:AE,2,FALSE)</f>
        <v>PENDING</v>
      </c>
      <c r="AI212" s="7">
        <v>45560</v>
      </c>
      <c r="AJ212" s="1" t="s">
        <v>7449</v>
      </c>
      <c r="AK212" s="7">
        <v>45560</v>
      </c>
      <c r="AL212" s="1" t="s">
        <v>7449</v>
      </c>
    </row>
    <row r="213" spans="1:38" s="20" customFormat="1" x14ac:dyDescent="0.25">
      <c r="A213" s="14">
        <v>212</v>
      </c>
      <c r="B213" s="14" t="str">
        <f>_xlfn.CONCAT(AE213,"-",VLOOKUP(AE213,t_objeto!B:D,3,FALSE),"-",A213)</f>
        <v>RRMM-PERCCO-212</v>
      </c>
      <c r="C213" s="22" t="str">
        <f t="shared" si="39"/>
        <v>LAMINA_LISA__ACERO_ROLADA EN CALIENTE_3'X10'_21</v>
      </c>
      <c r="D213" s="14" t="s">
        <v>7407</v>
      </c>
      <c r="E213" s="14" t="s">
        <v>7380</v>
      </c>
      <c r="F213" s="21" t="s">
        <v>7386</v>
      </c>
      <c r="G213" s="22" t="s">
        <v>7382</v>
      </c>
      <c r="H213" s="14">
        <v>21</v>
      </c>
      <c r="I213" s="16">
        <v>0.84</v>
      </c>
      <c r="J213" s="16">
        <f t="shared" si="40"/>
        <v>3.3070866141732283E-2</v>
      </c>
      <c r="K213" s="16">
        <v>6.5940000000000003</v>
      </c>
      <c r="L213" s="23"/>
      <c r="M213" s="23"/>
      <c r="N213" s="23"/>
      <c r="O213" s="23"/>
      <c r="P213" s="23"/>
      <c r="Q213" s="19"/>
      <c r="R213" s="17">
        <v>3</v>
      </c>
      <c r="S213" s="17">
        <v>10</v>
      </c>
      <c r="T213" s="16">
        <f t="shared" si="31"/>
        <v>3048</v>
      </c>
      <c r="U213" s="16">
        <f t="shared" si="32"/>
        <v>914.4</v>
      </c>
      <c r="V213" s="18">
        <f t="shared" si="33"/>
        <v>2787091.1999999997</v>
      </c>
      <c r="W213" s="18">
        <f t="shared" si="34"/>
        <v>2.7870911999999999</v>
      </c>
      <c r="X213" s="18">
        <f t="shared" si="35"/>
        <v>18.378079372799998</v>
      </c>
      <c r="Y213" s="24">
        <v>35</v>
      </c>
      <c r="Z213" s="24">
        <f t="shared" si="36"/>
        <v>643.232778048</v>
      </c>
      <c r="AA213" s="16">
        <v>37</v>
      </c>
      <c r="AB213" s="16">
        <f t="shared" si="37"/>
        <v>2974</v>
      </c>
      <c r="AC213" s="16">
        <f t="shared" si="37"/>
        <v>840.4</v>
      </c>
      <c r="AD213" s="19">
        <f t="shared" si="38"/>
        <v>2499349.6</v>
      </c>
      <c r="AE213" s="1" t="s">
        <v>7456</v>
      </c>
      <c r="AF213" s="1" t="str">
        <f>VLOOKUP(AE213,t_objeto!B:C,2,FALSE)</f>
        <v>RAW_MATERIAL</v>
      </c>
      <c r="AG213" s="1">
        <v>8</v>
      </c>
      <c r="AH213" s="1" t="str">
        <f>VLOOKUP(AG213,t_entry_status!A:AE,2,FALSE)</f>
        <v>PENDING</v>
      </c>
      <c r="AI213" s="7">
        <v>45560</v>
      </c>
      <c r="AJ213" s="1" t="s">
        <v>7449</v>
      </c>
      <c r="AK213" s="7">
        <v>45560</v>
      </c>
      <c r="AL213" s="1" t="s">
        <v>7449</v>
      </c>
    </row>
    <row r="214" spans="1:38" s="20" customFormat="1" x14ac:dyDescent="0.25">
      <c r="A214" s="14">
        <v>213</v>
      </c>
      <c r="B214" s="14" t="str">
        <f>_xlfn.CONCAT(AE214,"-",VLOOKUP(AE214,t_objeto!B:D,3,FALSE),"-",A214)</f>
        <v>RRMM-PERCCO-213</v>
      </c>
      <c r="C214" s="22" t="str">
        <f t="shared" si="39"/>
        <v>LAMINA_LISA__ACERO_ROLADA EN CALIENTE_3'X10'_22</v>
      </c>
      <c r="D214" s="14" t="s">
        <v>7407</v>
      </c>
      <c r="E214" s="14" t="s">
        <v>7380</v>
      </c>
      <c r="F214" s="21" t="s">
        <v>7386</v>
      </c>
      <c r="G214" s="22" t="s">
        <v>7382</v>
      </c>
      <c r="H214" s="14">
        <v>22</v>
      </c>
      <c r="I214" s="16">
        <v>0.76</v>
      </c>
      <c r="J214" s="16">
        <f t="shared" si="40"/>
        <v>2.9921259842519688E-2</v>
      </c>
      <c r="K214" s="16">
        <v>6.1050000000000004</v>
      </c>
      <c r="L214" s="23"/>
      <c r="M214" s="23"/>
      <c r="N214" s="23"/>
      <c r="O214" s="23"/>
      <c r="P214" s="23"/>
      <c r="Q214" s="19"/>
      <c r="R214" s="17">
        <v>3</v>
      </c>
      <c r="S214" s="17">
        <v>10</v>
      </c>
      <c r="T214" s="16">
        <f t="shared" si="31"/>
        <v>3048</v>
      </c>
      <c r="U214" s="16">
        <f t="shared" si="32"/>
        <v>914.4</v>
      </c>
      <c r="V214" s="18">
        <f t="shared" si="33"/>
        <v>2787091.1999999997</v>
      </c>
      <c r="W214" s="18">
        <f t="shared" si="34"/>
        <v>2.7870911999999999</v>
      </c>
      <c r="X214" s="18">
        <f t="shared" si="35"/>
        <v>17.015191776000002</v>
      </c>
      <c r="Y214" s="24">
        <v>35</v>
      </c>
      <c r="Z214" s="24">
        <f t="shared" si="36"/>
        <v>595.5317121600001</v>
      </c>
      <c r="AA214" s="16">
        <v>38</v>
      </c>
      <c r="AB214" s="16">
        <f t="shared" si="37"/>
        <v>2972</v>
      </c>
      <c r="AC214" s="16">
        <f t="shared" si="37"/>
        <v>838.4</v>
      </c>
      <c r="AD214" s="19">
        <f t="shared" si="38"/>
        <v>2491724.7999999998</v>
      </c>
      <c r="AE214" s="1" t="s">
        <v>7456</v>
      </c>
      <c r="AF214" s="1" t="str">
        <f>VLOOKUP(AE214,t_objeto!B:C,2,FALSE)</f>
        <v>RAW_MATERIAL</v>
      </c>
      <c r="AG214" s="1">
        <v>8</v>
      </c>
      <c r="AH214" s="1" t="str">
        <f>VLOOKUP(AG214,t_entry_status!A:AE,2,FALSE)</f>
        <v>PENDING</v>
      </c>
      <c r="AI214" s="7">
        <v>45560</v>
      </c>
      <c r="AJ214" s="1" t="s">
        <v>7449</v>
      </c>
      <c r="AK214" s="7">
        <v>45560</v>
      </c>
      <c r="AL214" s="1" t="s">
        <v>7449</v>
      </c>
    </row>
    <row r="215" spans="1:38" s="20" customFormat="1" x14ac:dyDescent="0.25">
      <c r="A215" s="14">
        <v>214</v>
      </c>
      <c r="B215" s="14" t="str">
        <f>_xlfn.CONCAT(AE215,"-",VLOOKUP(AE215,t_objeto!B:D,3,FALSE),"-",A215)</f>
        <v>RRMM-PERCCO-214</v>
      </c>
      <c r="C215" s="22" t="str">
        <f t="shared" si="39"/>
        <v>LAMINA_LISA__ACERO_ROLADA EN CALIENTE_3'X10'_23</v>
      </c>
      <c r="D215" s="14" t="s">
        <v>7407</v>
      </c>
      <c r="E215" s="14" t="s">
        <v>7380</v>
      </c>
      <c r="F215" s="21" t="s">
        <v>7386</v>
      </c>
      <c r="G215" s="22" t="s">
        <v>7382</v>
      </c>
      <c r="H215" s="14">
        <v>23</v>
      </c>
      <c r="I215" s="16">
        <v>0.68</v>
      </c>
      <c r="J215" s="16">
        <f t="shared" si="40"/>
        <v>2.677165354330709E-2</v>
      </c>
      <c r="K215" s="16">
        <v>5.3380000000000001</v>
      </c>
      <c r="L215" s="23"/>
      <c r="M215" s="23"/>
      <c r="N215" s="23"/>
      <c r="O215" s="23"/>
      <c r="P215" s="23"/>
      <c r="Q215" s="19"/>
      <c r="R215" s="17">
        <v>3</v>
      </c>
      <c r="S215" s="17">
        <v>10</v>
      </c>
      <c r="T215" s="16">
        <f t="shared" si="31"/>
        <v>3048</v>
      </c>
      <c r="U215" s="16">
        <f t="shared" si="32"/>
        <v>914.4</v>
      </c>
      <c r="V215" s="18">
        <f t="shared" si="33"/>
        <v>2787091.1999999997</v>
      </c>
      <c r="W215" s="18">
        <f t="shared" si="34"/>
        <v>2.7870911999999999</v>
      </c>
      <c r="X215" s="18">
        <f t="shared" si="35"/>
        <v>14.877492825599999</v>
      </c>
      <c r="Y215" s="24">
        <v>35</v>
      </c>
      <c r="Z215" s="24">
        <f t="shared" si="36"/>
        <v>520.71224889600001</v>
      </c>
      <c r="AA215" s="16">
        <v>39</v>
      </c>
      <c r="AB215" s="16">
        <f t="shared" si="37"/>
        <v>2970</v>
      </c>
      <c r="AC215" s="16">
        <f t="shared" si="37"/>
        <v>836.4</v>
      </c>
      <c r="AD215" s="19">
        <f t="shared" si="38"/>
        <v>2484108</v>
      </c>
      <c r="AE215" s="1" t="s">
        <v>7456</v>
      </c>
      <c r="AF215" s="1" t="str">
        <f>VLOOKUP(AE215,t_objeto!B:C,2,FALSE)</f>
        <v>RAW_MATERIAL</v>
      </c>
      <c r="AG215" s="1">
        <v>8</v>
      </c>
      <c r="AH215" s="1" t="str">
        <f>VLOOKUP(AG215,t_entry_status!A:AE,2,FALSE)</f>
        <v>PENDING</v>
      </c>
      <c r="AI215" s="7">
        <v>45560</v>
      </c>
      <c r="AJ215" s="1" t="s">
        <v>7449</v>
      </c>
      <c r="AK215" s="7">
        <v>45560</v>
      </c>
      <c r="AL215" s="1" t="s">
        <v>7449</v>
      </c>
    </row>
    <row r="216" spans="1:38" s="20" customFormat="1" x14ac:dyDescent="0.25">
      <c r="A216" s="14">
        <v>215</v>
      </c>
      <c r="B216" s="14" t="str">
        <f>_xlfn.CONCAT(AE216,"-",VLOOKUP(AE216,t_objeto!B:D,3,FALSE),"-",A216)</f>
        <v>RRMM-PERCCO-215</v>
      </c>
      <c r="C216" s="22" t="str">
        <f t="shared" si="39"/>
        <v>LAMINA_LISA__ACERO_ROLADA EN CALIENTE_3'X10'_24</v>
      </c>
      <c r="D216" s="14" t="s">
        <v>7407</v>
      </c>
      <c r="E216" s="14" t="s">
        <v>7380</v>
      </c>
      <c r="F216" s="21" t="s">
        <v>7386</v>
      </c>
      <c r="G216" s="22" t="s">
        <v>7382</v>
      </c>
      <c r="H216" s="14">
        <v>24</v>
      </c>
      <c r="I216" s="16">
        <v>0.61</v>
      </c>
      <c r="J216" s="16">
        <f t="shared" si="40"/>
        <v>2.4015748031496063E-2</v>
      </c>
      <c r="K216" s="16">
        <v>4.7889999999999997</v>
      </c>
      <c r="L216" s="23"/>
      <c r="M216" s="23"/>
      <c r="N216" s="23"/>
      <c r="O216" s="23"/>
      <c r="P216" s="23"/>
      <c r="Q216" s="19"/>
      <c r="R216" s="17">
        <v>3</v>
      </c>
      <c r="S216" s="17">
        <v>10</v>
      </c>
      <c r="T216" s="16">
        <f t="shared" si="31"/>
        <v>3048</v>
      </c>
      <c r="U216" s="16">
        <f t="shared" si="32"/>
        <v>914.4</v>
      </c>
      <c r="V216" s="18">
        <f t="shared" si="33"/>
        <v>2787091.1999999997</v>
      </c>
      <c r="W216" s="18">
        <f t="shared" si="34"/>
        <v>2.7870911999999999</v>
      </c>
      <c r="X216" s="18">
        <f t="shared" si="35"/>
        <v>13.347379756799999</v>
      </c>
      <c r="Y216" s="24">
        <v>35</v>
      </c>
      <c r="Z216" s="24">
        <f t="shared" si="36"/>
        <v>467.15829148799997</v>
      </c>
      <c r="AA216" s="16">
        <v>40</v>
      </c>
      <c r="AB216" s="16">
        <f t="shared" si="37"/>
        <v>2968</v>
      </c>
      <c r="AC216" s="16">
        <f t="shared" si="37"/>
        <v>834.4</v>
      </c>
      <c r="AD216" s="19">
        <f t="shared" si="38"/>
        <v>2476499.1999999997</v>
      </c>
      <c r="AE216" s="1" t="s">
        <v>7456</v>
      </c>
      <c r="AF216" s="1" t="str">
        <f>VLOOKUP(AE216,t_objeto!B:C,2,FALSE)</f>
        <v>RAW_MATERIAL</v>
      </c>
      <c r="AG216" s="1">
        <v>8</v>
      </c>
      <c r="AH216" s="1" t="str">
        <f>VLOOKUP(AG216,t_entry_status!A:AE,2,FALSE)</f>
        <v>PENDING</v>
      </c>
      <c r="AI216" s="7">
        <v>45560</v>
      </c>
      <c r="AJ216" s="1" t="s">
        <v>7449</v>
      </c>
      <c r="AK216" s="7">
        <v>45560</v>
      </c>
      <c r="AL216" s="1" t="s">
        <v>7449</v>
      </c>
    </row>
    <row r="217" spans="1:38" s="20" customFormat="1" x14ac:dyDescent="0.25">
      <c r="A217" s="14">
        <v>216</v>
      </c>
      <c r="B217" s="14" t="str">
        <f>_xlfn.CONCAT(AE217,"-",VLOOKUP(AE217,t_objeto!B:D,3,FALSE),"-",A217)</f>
        <v>RRMM-PERCCO-216</v>
      </c>
      <c r="C217" s="22" t="str">
        <f t="shared" si="39"/>
        <v>LAMINA_LISA__ACERO_ROLADA EN CALIENTE_3'X10'_25</v>
      </c>
      <c r="D217" s="14" t="s">
        <v>7407</v>
      </c>
      <c r="E217" s="14" t="s">
        <v>7380</v>
      </c>
      <c r="F217" s="21" t="s">
        <v>7386</v>
      </c>
      <c r="G217" s="22" t="s">
        <v>7382</v>
      </c>
      <c r="H217" s="14">
        <v>25</v>
      </c>
      <c r="I217" s="16">
        <v>0.53</v>
      </c>
      <c r="J217" s="16">
        <f t="shared" si="40"/>
        <v>2.0866141732283468E-2</v>
      </c>
      <c r="K217" s="16">
        <v>4.1609999999999996</v>
      </c>
      <c r="L217" s="23"/>
      <c r="M217" s="23"/>
      <c r="N217" s="23"/>
      <c r="O217" s="23"/>
      <c r="P217" s="23"/>
      <c r="Q217" s="19"/>
      <c r="R217" s="17">
        <v>3</v>
      </c>
      <c r="S217" s="17">
        <v>10</v>
      </c>
      <c r="T217" s="16">
        <f t="shared" si="31"/>
        <v>3048</v>
      </c>
      <c r="U217" s="16">
        <f t="shared" si="32"/>
        <v>914.4</v>
      </c>
      <c r="V217" s="18">
        <f t="shared" si="33"/>
        <v>2787091.1999999997</v>
      </c>
      <c r="W217" s="18">
        <f t="shared" si="34"/>
        <v>2.7870911999999999</v>
      </c>
      <c r="X217" s="18">
        <f t="shared" si="35"/>
        <v>11.597086483199998</v>
      </c>
      <c r="Y217" s="24">
        <v>35</v>
      </c>
      <c r="Z217" s="24">
        <f t="shared" si="36"/>
        <v>405.89802691199992</v>
      </c>
      <c r="AA217" s="16">
        <v>41</v>
      </c>
      <c r="AB217" s="16">
        <f t="shared" si="37"/>
        <v>2966</v>
      </c>
      <c r="AC217" s="16">
        <f t="shared" si="37"/>
        <v>832.4</v>
      </c>
      <c r="AD217" s="19">
        <f t="shared" si="38"/>
        <v>2468898.4</v>
      </c>
      <c r="AE217" s="1" t="s">
        <v>7456</v>
      </c>
      <c r="AF217" s="1" t="str">
        <f>VLOOKUP(AE217,t_objeto!B:C,2,FALSE)</f>
        <v>RAW_MATERIAL</v>
      </c>
      <c r="AG217" s="1">
        <v>8</v>
      </c>
      <c r="AH217" s="1" t="str">
        <f>VLOOKUP(AG217,t_entry_status!A:AE,2,FALSE)</f>
        <v>PENDING</v>
      </c>
      <c r="AI217" s="7">
        <v>45560</v>
      </c>
      <c r="AJ217" s="1" t="s">
        <v>7449</v>
      </c>
      <c r="AK217" s="7">
        <v>45560</v>
      </c>
      <c r="AL217" s="1" t="s">
        <v>7449</v>
      </c>
    </row>
    <row r="218" spans="1:38" s="20" customFormat="1" x14ac:dyDescent="0.25">
      <c r="A218" s="14">
        <v>217</v>
      </c>
      <c r="B218" s="14" t="str">
        <f>_xlfn.CONCAT(AE218,"-",VLOOKUP(AE218,t_objeto!B:D,3,FALSE),"-",A218)</f>
        <v>RRMM-PERCCO-217</v>
      </c>
      <c r="C218" s="22" t="str">
        <f t="shared" si="39"/>
        <v>LAMINA_LISA__ACERO_ROLADA EN CALIENTE_3'X10'_26</v>
      </c>
      <c r="D218" s="14" t="s">
        <v>7407</v>
      </c>
      <c r="E218" s="14" t="s">
        <v>7380</v>
      </c>
      <c r="F218" s="21" t="s">
        <v>7386</v>
      </c>
      <c r="G218" s="22" t="s">
        <v>7382</v>
      </c>
      <c r="H218" s="14">
        <v>26</v>
      </c>
      <c r="I218" s="16">
        <v>0.45</v>
      </c>
      <c r="J218" s="16">
        <f t="shared" si="40"/>
        <v>1.7716535433070866E-2</v>
      </c>
      <c r="K218" s="16">
        <v>3.5329999999999999</v>
      </c>
      <c r="L218" s="23"/>
      <c r="M218" s="23"/>
      <c r="N218" s="23"/>
      <c r="O218" s="23"/>
      <c r="P218" s="23"/>
      <c r="Q218" s="19"/>
      <c r="R218" s="17">
        <v>3</v>
      </c>
      <c r="S218" s="17">
        <v>10</v>
      </c>
      <c r="T218" s="16">
        <f t="shared" si="31"/>
        <v>3048</v>
      </c>
      <c r="U218" s="16">
        <f t="shared" si="32"/>
        <v>914.4</v>
      </c>
      <c r="V218" s="18">
        <f t="shared" si="33"/>
        <v>2787091.1999999997</v>
      </c>
      <c r="W218" s="18">
        <f t="shared" si="34"/>
        <v>2.7870911999999999</v>
      </c>
      <c r="X218" s="18">
        <f t="shared" si="35"/>
        <v>9.8467932095999995</v>
      </c>
      <c r="Y218" s="24">
        <v>35</v>
      </c>
      <c r="Z218" s="24">
        <f t="shared" si="36"/>
        <v>344.63776233599998</v>
      </c>
      <c r="AA218" s="16">
        <v>42</v>
      </c>
      <c r="AB218" s="16">
        <f t="shared" si="37"/>
        <v>2964</v>
      </c>
      <c r="AC218" s="16">
        <f t="shared" si="37"/>
        <v>830.4</v>
      </c>
      <c r="AD218" s="19">
        <f t="shared" si="38"/>
        <v>2461305.6</v>
      </c>
      <c r="AE218" s="1" t="s">
        <v>7456</v>
      </c>
      <c r="AF218" s="1" t="str">
        <f>VLOOKUP(AE218,t_objeto!B:C,2,FALSE)</f>
        <v>RAW_MATERIAL</v>
      </c>
      <c r="AG218" s="1">
        <v>8</v>
      </c>
      <c r="AH218" s="1" t="str">
        <f>VLOOKUP(AG218,t_entry_status!A:AE,2,FALSE)</f>
        <v>PENDING</v>
      </c>
      <c r="AI218" s="7">
        <v>45560</v>
      </c>
      <c r="AJ218" s="1" t="s">
        <v>7449</v>
      </c>
      <c r="AK218" s="7">
        <v>45560</v>
      </c>
      <c r="AL218" s="1" t="s">
        <v>7449</v>
      </c>
    </row>
    <row r="219" spans="1:38" s="20" customFormat="1" x14ac:dyDescent="0.25">
      <c r="A219" s="14">
        <v>218</v>
      </c>
      <c r="B219" s="14" t="str">
        <f>_xlfn.CONCAT(AE219,"-",VLOOKUP(AE219,t_objeto!B:D,3,FALSE),"-",A219)</f>
        <v>RRMM-PERCCO-218</v>
      </c>
      <c r="C219" s="22" t="str">
        <f t="shared" si="39"/>
        <v>LAMINA_LISA__ACERO_ROLADA EN CALIENTE_3'X10'_27</v>
      </c>
      <c r="D219" s="14" t="s">
        <v>7407</v>
      </c>
      <c r="E219" s="14" t="s">
        <v>7380</v>
      </c>
      <c r="F219" s="21" t="s">
        <v>7386</v>
      </c>
      <c r="G219" s="22" t="s">
        <v>7382</v>
      </c>
      <c r="H219" s="14">
        <v>27</v>
      </c>
      <c r="I219" s="16">
        <v>0.42</v>
      </c>
      <c r="J219" s="16">
        <f t="shared" si="40"/>
        <v>1.6535433070866142E-2</v>
      </c>
      <c r="K219" s="16">
        <v>3.2970000000000002</v>
      </c>
      <c r="L219" s="23"/>
      <c r="M219" s="23"/>
      <c r="N219" s="23"/>
      <c r="O219" s="23"/>
      <c r="P219" s="23"/>
      <c r="Q219" s="19"/>
      <c r="R219" s="17">
        <v>3</v>
      </c>
      <c r="S219" s="17">
        <v>10</v>
      </c>
      <c r="T219" s="16">
        <f t="shared" si="31"/>
        <v>3048</v>
      </c>
      <c r="U219" s="16">
        <f t="shared" si="32"/>
        <v>914.4</v>
      </c>
      <c r="V219" s="18">
        <f t="shared" si="33"/>
        <v>2787091.1999999997</v>
      </c>
      <c r="W219" s="18">
        <f t="shared" si="34"/>
        <v>2.7870911999999999</v>
      </c>
      <c r="X219" s="18">
        <f t="shared" si="35"/>
        <v>9.1890396863999992</v>
      </c>
      <c r="Y219" s="24">
        <v>35</v>
      </c>
      <c r="Z219" s="24">
        <f t="shared" si="36"/>
        <v>321.616389024</v>
      </c>
      <c r="AA219" s="16">
        <v>43</v>
      </c>
      <c r="AB219" s="16">
        <f t="shared" si="37"/>
        <v>2962</v>
      </c>
      <c r="AC219" s="16">
        <f t="shared" si="37"/>
        <v>828.4</v>
      </c>
      <c r="AD219" s="19">
        <f t="shared" si="38"/>
        <v>2453720.7999999998</v>
      </c>
      <c r="AE219" s="1" t="s">
        <v>7456</v>
      </c>
      <c r="AF219" s="1" t="str">
        <f>VLOOKUP(AE219,t_objeto!B:C,2,FALSE)</f>
        <v>RAW_MATERIAL</v>
      </c>
      <c r="AG219" s="1">
        <v>8</v>
      </c>
      <c r="AH219" s="1" t="str">
        <f>VLOOKUP(AG219,t_entry_status!A:AE,2,FALSE)</f>
        <v>PENDING</v>
      </c>
      <c r="AI219" s="7">
        <v>45560</v>
      </c>
      <c r="AJ219" s="1" t="s">
        <v>7449</v>
      </c>
      <c r="AK219" s="7">
        <v>45560</v>
      </c>
      <c r="AL219" s="1" t="s">
        <v>7449</v>
      </c>
    </row>
    <row r="220" spans="1:38" s="20" customFormat="1" x14ac:dyDescent="0.25">
      <c r="A220" s="14">
        <v>219</v>
      </c>
      <c r="B220" s="14" t="str">
        <f>_xlfn.CONCAT(AE220,"-",VLOOKUP(AE220,t_objeto!B:D,3,FALSE),"-",A220)</f>
        <v>RRMM-PERCCO-219</v>
      </c>
      <c r="C220" s="22" t="str">
        <f t="shared" si="39"/>
        <v>LAMINA_LISA__ACERO_ROLADA EN CALIENTE_3'X10'_28</v>
      </c>
      <c r="D220" s="14" t="s">
        <v>7407</v>
      </c>
      <c r="E220" s="14" t="s">
        <v>7380</v>
      </c>
      <c r="F220" s="21" t="s">
        <v>7386</v>
      </c>
      <c r="G220" s="22" t="s">
        <v>7382</v>
      </c>
      <c r="H220" s="14">
        <v>28</v>
      </c>
      <c r="I220" s="16">
        <v>0.38</v>
      </c>
      <c r="J220" s="16">
        <f t="shared" si="40"/>
        <v>1.4960629921259844E-2</v>
      </c>
      <c r="K220" s="16">
        <v>2.9830000000000001</v>
      </c>
      <c r="L220" s="23"/>
      <c r="M220" s="23"/>
      <c r="N220" s="23"/>
      <c r="O220" s="23"/>
      <c r="P220" s="23"/>
      <c r="Q220" s="19"/>
      <c r="R220" s="17">
        <v>3</v>
      </c>
      <c r="S220" s="17">
        <v>10</v>
      </c>
      <c r="T220" s="16">
        <f t="shared" si="31"/>
        <v>3048</v>
      </c>
      <c r="U220" s="16">
        <f t="shared" si="32"/>
        <v>914.4</v>
      </c>
      <c r="V220" s="18">
        <f t="shared" si="33"/>
        <v>2787091.1999999997</v>
      </c>
      <c r="W220" s="18">
        <f t="shared" si="34"/>
        <v>2.7870911999999999</v>
      </c>
      <c r="X220" s="18">
        <f t="shared" si="35"/>
        <v>8.3138930496000008</v>
      </c>
      <c r="Y220" s="24">
        <v>35</v>
      </c>
      <c r="Z220" s="24">
        <f t="shared" si="36"/>
        <v>290.98625673600003</v>
      </c>
      <c r="AA220" s="16">
        <v>44</v>
      </c>
      <c r="AB220" s="16">
        <f t="shared" si="37"/>
        <v>2960</v>
      </c>
      <c r="AC220" s="16">
        <f t="shared" si="37"/>
        <v>826.4</v>
      </c>
      <c r="AD220" s="19">
        <f t="shared" si="38"/>
        <v>2446144</v>
      </c>
      <c r="AE220" s="1" t="s">
        <v>7456</v>
      </c>
      <c r="AF220" s="1" t="str">
        <f>VLOOKUP(AE220,t_objeto!B:C,2,FALSE)</f>
        <v>RAW_MATERIAL</v>
      </c>
      <c r="AG220" s="1">
        <v>8</v>
      </c>
      <c r="AH220" s="1" t="str">
        <f>VLOOKUP(AG220,t_entry_status!A:AE,2,FALSE)</f>
        <v>PENDING</v>
      </c>
      <c r="AI220" s="7">
        <v>45560</v>
      </c>
      <c r="AJ220" s="1" t="s">
        <v>7449</v>
      </c>
      <c r="AK220" s="7">
        <v>45560</v>
      </c>
      <c r="AL220" s="1" t="s">
        <v>7449</v>
      </c>
    </row>
    <row r="221" spans="1:38" s="20" customFormat="1" x14ac:dyDescent="0.25">
      <c r="A221" s="14">
        <v>220</v>
      </c>
      <c r="B221" s="14" t="str">
        <f>_xlfn.CONCAT(AE221,"-",VLOOKUP(AE221,t_objeto!B:D,3,FALSE),"-",A221)</f>
        <v>RRMM-PERCCO-220</v>
      </c>
      <c r="C221" s="22" t="str">
        <f t="shared" si="39"/>
        <v>LAMINA_LISA__ACERO_ROLADA EN CALIENTE_3'X10'_29</v>
      </c>
      <c r="D221" s="14" t="s">
        <v>7407</v>
      </c>
      <c r="E221" s="14" t="s">
        <v>7380</v>
      </c>
      <c r="F221" s="21" t="s">
        <v>7386</v>
      </c>
      <c r="G221" s="22" t="s">
        <v>7382</v>
      </c>
      <c r="H221" s="14">
        <v>29</v>
      </c>
      <c r="I221" s="16">
        <v>0.34</v>
      </c>
      <c r="J221" s="16">
        <f t="shared" si="40"/>
        <v>1.3385826771653545E-2</v>
      </c>
      <c r="K221" s="16">
        <v>2.669</v>
      </c>
      <c r="L221" s="23"/>
      <c r="M221" s="23"/>
      <c r="N221" s="23"/>
      <c r="O221" s="23"/>
      <c r="P221" s="23"/>
      <c r="Q221" s="19"/>
      <c r="R221" s="17">
        <v>3</v>
      </c>
      <c r="S221" s="17">
        <v>10</v>
      </c>
      <c r="T221" s="16">
        <f t="shared" si="31"/>
        <v>3048</v>
      </c>
      <c r="U221" s="16">
        <f t="shared" si="32"/>
        <v>914.4</v>
      </c>
      <c r="V221" s="18">
        <f t="shared" si="33"/>
        <v>2787091.1999999997</v>
      </c>
      <c r="W221" s="18">
        <f t="shared" si="34"/>
        <v>2.7870911999999999</v>
      </c>
      <c r="X221" s="18">
        <f t="shared" si="35"/>
        <v>7.4387464127999996</v>
      </c>
      <c r="Y221" s="24">
        <v>35</v>
      </c>
      <c r="Z221" s="24">
        <f t="shared" si="36"/>
        <v>260.356124448</v>
      </c>
      <c r="AA221" s="16">
        <v>45</v>
      </c>
      <c r="AB221" s="16">
        <f t="shared" si="37"/>
        <v>2958</v>
      </c>
      <c r="AC221" s="16">
        <f t="shared" si="37"/>
        <v>824.4</v>
      </c>
      <c r="AD221" s="19">
        <f t="shared" si="38"/>
        <v>2438575.1999999997</v>
      </c>
      <c r="AE221" s="1" t="s">
        <v>7456</v>
      </c>
      <c r="AF221" s="1" t="str">
        <f>VLOOKUP(AE221,t_objeto!B:C,2,FALSE)</f>
        <v>RAW_MATERIAL</v>
      </c>
      <c r="AG221" s="1">
        <v>8</v>
      </c>
      <c r="AH221" s="1" t="str">
        <f>VLOOKUP(AG221,t_entry_status!A:AE,2,FALSE)</f>
        <v>PENDING</v>
      </c>
      <c r="AI221" s="7">
        <v>45560</v>
      </c>
      <c r="AJ221" s="1" t="s">
        <v>7449</v>
      </c>
      <c r="AK221" s="7">
        <v>45560</v>
      </c>
      <c r="AL221" s="1" t="s">
        <v>7449</v>
      </c>
    </row>
    <row r="222" spans="1:38" s="20" customFormat="1" x14ac:dyDescent="0.25">
      <c r="A222" s="14">
        <v>221</v>
      </c>
      <c r="B222" s="14" t="str">
        <f>_xlfn.CONCAT(AE222,"-",VLOOKUP(AE222,t_objeto!B:D,3,FALSE),"-",A222)</f>
        <v>RRMM-PERCCO-221</v>
      </c>
      <c r="C222" s="22" t="str">
        <f t="shared" si="39"/>
        <v>LAMINA_LISA__ACERO_ROLADA EN CALIENTE_3'X10'_30</v>
      </c>
      <c r="D222" s="14" t="s">
        <v>7407</v>
      </c>
      <c r="E222" s="14" t="s">
        <v>7380</v>
      </c>
      <c r="F222" s="21" t="s">
        <v>7386</v>
      </c>
      <c r="G222" s="22" t="s">
        <v>7382</v>
      </c>
      <c r="H222" s="14">
        <v>30</v>
      </c>
      <c r="I222" s="16">
        <v>0.3</v>
      </c>
      <c r="J222" s="16">
        <f t="shared" si="40"/>
        <v>1.1811023622047244E-2</v>
      </c>
      <c r="K222" s="16">
        <v>2.355</v>
      </c>
      <c r="L222" s="23"/>
      <c r="M222" s="23"/>
      <c r="N222" s="23"/>
      <c r="O222" s="23"/>
      <c r="P222" s="23"/>
      <c r="Q222" s="19"/>
      <c r="R222" s="17">
        <v>3</v>
      </c>
      <c r="S222" s="17">
        <v>10</v>
      </c>
      <c r="T222" s="16">
        <f t="shared" si="31"/>
        <v>3048</v>
      </c>
      <c r="U222" s="16">
        <f t="shared" si="32"/>
        <v>914.4</v>
      </c>
      <c r="V222" s="18">
        <f t="shared" si="33"/>
        <v>2787091.1999999997</v>
      </c>
      <c r="W222" s="18">
        <f t="shared" si="34"/>
        <v>2.7870911999999999</v>
      </c>
      <c r="X222" s="18">
        <f t="shared" si="35"/>
        <v>6.5635997759999993</v>
      </c>
      <c r="Y222" s="24">
        <v>35</v>
      </c>
      <c r="Z222" s="24">
        <f t="shared" si="36"/>
        <v>229.72599215999998</v>
      </c>
      <c r="AA222" s="16">
        <v>46</v>
      </c>
      <c r="AB222" s="16">
        <f t="shared" si="37"/>
        <v>2956</v>
      </c>
      <c r="AC222" s="16">
        <f t="shared" si="37"/>
        <v>822.4</v>
      </c>
      <c r="AD222" s="19">
        <f t="shared" si="38"/>
        <v>2431014.4</v>
      </c>
      <c r="AE222" s="1" t="s">
        <v>7456</v>
      </c>
      <c r="AF222" s="1" t="str">
        <f>VLOOKUP(AE222,t_objeto!B:C,2,FALSE)</f>
        <v>RAW_MATERIAL</v>
      </c>
      <c r="AG222" s="1">
        <v>8</v>
      </c>
      <c r="AH222" s="1" t="str">
        <f>VLOOKUP(AG222,t_entry_status!A:AE,2,FALSE)</f>
        <v>PENDING</v>
      </c>
      <c r="AI222" s="7">
        <v>45560</v>
      </c>
      <c r="AJ222" s="1" t="s">
        <v>7449</v>
      </c>
      <c r="AK222" s="7">
        <v>45560</v>
      </c>
      <c r="AL222" s="1" t="s">
        <v>7449</v>
      </c>
    </row>
    <row r="223" spans="1:38" s="20" customFormat="1" x14ac:dyDescent="0.25">
      <c r="A223" s="14">
        <v>222</v>
      </c>
      <c r="B223" s="14" t="str">
        <f>_xlfn.CONCAT(AE223,"-",VLOOKUP(AE223,t_objeto!B:D,3,FALSE),"-",A223)</f>
        <v>RRMM-PERCCO-222</v>
      </c>
      <c r="C223" s="22" t="str">
        <f t="shared" si="39"/>
        <v>PLACA__ACERO_ROLADA EN FRIO_3'X10'_1"</v>
      </c>
      <c r="D223" s="14" t="s">
        <v>7385</v>
      </c>
      <c r="E223" s="14" t="s">
        <v>7380</v>
      </c>
      <c r="F223" s="21" t="s">
        <v>7400</v>
      </c>
      <c r="G223" s="22" t="s">
        <v>7382</v>
      </c>
      <c r="H223" s="14" t="s">
        <v>7387</v>
      </c>
      <c r="I223" s="16">
        <v>25.4</v>
      </c>
      <c r="J223" s="16">
        <f t="shared" si="40"/>
        <v>1</v>
      </c>
      <c r="K223" s="16">
        <v>199.39</v>
      </c>
      <c r="L223" s="23"/>
      <c r="M223" s="23"/>
      <c r="N223" s="23"/>
      <c r="O223" s="23"/>
      <c r="P223" s="23"/>
      <c r="Q223" s="19"/>
      <c r="R223" s="17">
        <v>3</v>
      </c>
      <c r="S223" s="17">
        <v>10</v>
      </c>
      <c r="T223" s="16">
        <f t="shared" si="31"/>
        <v>3048</v>
      </c>
      <c r="U223" s="16">
        <f t="shared" si="32"/>
        <v>914.4</v>
      </c>
      <c r="V223" s="18">
        <f t="shared" si="33"/>
        <v>2787091.1999999997</v>
      </c>
      <c r="W223" s="18">
        <f t="shared" si="34"/>
        <v>2.7870911999999999</v>
      </c>
      <c r="X223" s="18">
        <f t="shared" si="35"/>
        <v>555.71811436799999</v>
      </c>
      <c r="Y223" s="24">
        <v>35</v>
      </c>
      <c r="Z223" s="24">
        <f t="shared" si="36"/>
        <v>19450.13400288</v>
      </c>
      <c r="AA223" s="16">
        <v>8</v>
      </c>
      <c r="AB223" s="16">
        <f t="shared" si="37"/>
        <v>3032</v>
      </c>
      <c r="AC223" s="16">
        <f t="shared" si="37"/>
        <v>898.4</v>
      </c>
      <c r="AD223" s="19">
        <f t="shared" si="38"/>
        <v>2723948.8</v>
      </c>
      <c r="AE223" s="1" t="s">
        <v>7456</v>
      </c>
      <c r="AF223" s="1" t="str">
        <f>VLOOKUP(AE223,t_objeto!B:C,2,FALSE)</f>
        <v>RAW_MATERIAL</v>
      </c>
      <c r="AG223" s="1">
        <v>8</v>
      </c>
      <c r="AH223" s="1" t="str">
        <f>VLOOKUP(AG223,t_entry_status!A:AE,2,FALSE)</f>
        <v>PENDING</v>
      </c>
      <c r="AI223" s="7">
        <v>45560</v>
      </c>
      <c r="AJ223" s="1" t="s">
        <v>7449</v>
      </c>
      <c r="AK223" s="7">
        <v>45560</v>
      </c>
      <c r="AL223" s="1" t="s">
        <v>7449</v>
      </c>
    </row>
    <row r="224" spans="1:38" s="20" customFormat="1" x14ac:dyDescent="0.25">
      <c r="A224" s="14">
        <v>223</v>
      </c>
      <c r="B224" s="14" t="str">
        <f>_xlfn.CONCAT(AE224,"-",VLOOKUP(AE224,t_objeto!B:D,3,FALSE),"-",A224)</f>
        <v>RRMM-PERCCO-223</v>
      </c>
      <c r="C224" s="22" t="str">
        <f t="shared" si="39"/>
        <v>PLACA__ACERO_ROLADA EN FRIO_3'X10'_7/8"</v>
      </c>
      <c r="D224" s="14" t="s">
        <v>7385</v>
      </c>
      <c r="E224" s="14" t="s">
        <v>7380</v>
      </c>
      <c r="F224" s="21" t="s">
        <v>7400</v>
      </c>
      <c r="G224" s="22" t="s">
        <v>7382</v>
      </c>
      <c r="H224" s="14" t="s">
        <v>7388</v>
      </c>
      <c r="I224" s="16">
        <v>22.22</v>
      </c>
      <c r="J224" s="16">
        <f t="shared" si="40"/>
        <v>0.87480314960629924</v>
      </c>
      <c r="K224" s="16">
        <v>174.42699999999999</v>
      </c>
      <c r="L224" s="23"/>
      <c r="M224" s="23"/>
      <c r="N224" s="23"/>
      <c r="O224" s="23"/>
      <c r="P224" s="23"/>
      <c r="Q224" s="19"/>
      <c r="R224" s="17">
        <v>3</v>
      </c>
      <c r="S224" s="17">
        <v>10</v>
      </c>
      <c r="T224" s="16">
        <f t="shared" si="31"/>
        <v>3048</v>
      </c>
      <c r="U224" s="16">
        <f t="shared" si="32"/>
        <v>914.4</v>
      </c>
      <c r="V224" s="18">
        <f t="shared" si="33"/>
        <v>2787091.1999999997</v>
      </c>
      <c r="W224" s="18">
        <f t="shared" si="34"/>
        <v>2.7870911999999999</v>
      </c>
      <c r="X224" s="18">
        <f t="shared" si="35"/>
        <v>486.14395674239995</v>
      </c>
      <c r="Y224" s="24">
        <v>35</v>
      </c>
      <c r="Z224" s="24">
        <f t="shared" si="36"/>
        <v>17015.038485983998</v>
      </c>
      <c r="AA224" s="16">
        <v>9</v>
      </c>
      <c r="AB224" s="16">
        <f t="shared" si="37"/>
        <v>3030</v>
      </c>
      <c r="AC224" s="16">
        <f t="shared" si="37"/>
        <v>896.4</v>
      </c>
      <c r="AD224" s="19">
        <f t="shared" si="38"/>
        <v>2716092</v>
      </c>
      <c r="AE224" s="1" t="s">
        <v>7456</v>
      </c>
      <c r="AF224" s="1" t="str">
        <f>VLOOKUP(AE224,t_objeto!B:C,2,FALSE)</f>
        <v>RAW_MATERIAL</v>
      </c>
      <c r="AG224" s="1">
        <v>8</v>
      </c>
      <c r="AH224" s="1" t="str">
        <f>VLOOKUP(AG224,t_entry_status!A:AE,2,FALSE)</f>
        <v>PENDING</v>
      </c>
      <c r="AI224" s="7">
        <v>45560</v>
      </c>
      <c r="AJ224" s="1" t="s">
        <v>7449</v>
      </c>
      <c r="AK224" s="7">
        <v>45560</v>
      </c>
      <c r="AL224" s="1" t="s">
        <v>7449</v>
      </c>
    </row>
    <row r="225" spans="1:38" s="20" customFormat="1" x14ac:dyDescent="0.25">
      <c r="A225" s="14">
        <v>224</v>
      </c>
      <c r="B225" s="14" t="str">
        <f>_xlfn.CONCAT(AE225,"-",VLOOKUP(AE225,t_objeto!B:D,3,FALSE),"-",A225)</f>
        <v>RRMM-PERCCO-224</v>
      </c>
      <c r="C225" s="22" t="str">
        <f t="shared" si="39"/>
        <v>PLACA__ACERO_ROLADA EN FRIO_3'X10'_3/4"</v>
      </c>
      <c r="D225" s="14" t="s">
        <v>7385</v>
      </c>
      <c r="E225" s="14" t="s">
        <v>7380</v>
      </c>
      <c r="F225" s="21" t="s">
        <v>7400</v>
      </c>
      <c r="G225" s="22" t="s">
        <v>7382</v>
      </c>
      <c r="H225" s="14" t="s">
        <v>7389</v>
      </c>
      <c r="I225" s="16">
        <v>19.05</v>
      </c>
      <c r="J225" s="16">
        <f t="shared" si="40"/>
        <v>0.75000000000000011</v>
      </c>
      <c r="K225" s="16">
        <v>149.54300000000001</v>
      </c>
      <c r="L225" s="23"/>
      <c r="M225" s="23"/>
      <c r="N225" s="23"/>
      <c r="O225" s="23"/>
      <c r="P225" s="23"/>
      <c r="Q225" s="19"/>
      <c r="R225" s="17">
        <v>3</v>
      </c>
      <c r="S225" s="17">
        <v>10</v>
      </c>
      <c r="T225" s="16">
        <f t="shared" si="31"/>
        <v>3048</v>
      </c>
      <c r="U225" s="16">
        <f t="shared" si="32"/>
        <v>914.4</v>
      </c>
      <c r="V225" s="18">
        <f t="shared" si="33"/>
        <v>2787091.1999999997</v>
      </c>
      <c r="W225" s="18">
        <f t="shared" si="34"/>
        <v>2.7870911999999999</v>
      </c>
      <c r="X225" s="18">
        <f t="shared" si="35"/>
        <v>416.78997932160001</v>
      </c>
      <c r="Y225" s="24">
        <v>35</v>
      </c>
      <c r="Z225" s="24">
        <f t="shared" si="36"/>
        <v>14587.649276256001</v>
      </c>
      <c r="AA225" s="16">
        <v>10</v>
      </c>
      <c r="AB225" s="16">
        <f t="shared" si="37"/>
        <v>3028</v>
      </c>
      <c r="AC225" s="16">
        <f t="shared" si="37"/>
        <v>894.4</v>
      </c>
      <c r="AD225" s="19">
        <f t="shared" si="38"/>
        <v>2708243.1999999997</v>
      </c>
      <c r="AE225" s="1" t="s">
        <v>7456</v>
      </c>
      <c r="AF225" s="1" t="str">
        <f>VLOOKUP(AE225,t_objeto!B:C,2,FALSE)</f>
        <v>RAW_MATERIAL</v>
      </c>
      <c r="AG225" s="1">
        <v>8</v>
      </c>
      <c r="AH225" s="1" t="str">
        <f>VLOOKUP(AG225,t_entry_status!A:AE,2,FALSE)</f>
        <v>PENDING</v>
      </c>
      <c r="AI225" s="7">
        <v>45560</v>
      </c>
      <c r="AJ225" s="1" t="s">
        <v>7449</v>
      </c>
      <c r="AK225" s="7">
        <v>45560</v>
      </c>
      <c r="AL225" s="1" t="s">
        <v>7449</v>
      </c>
    </row>
    <row r="226" spans="1:38" s="20" customFormat="1" x14ac:dyDescent="0.25">
      <c r="A226" s="14">
        <v>225</v>
      </c>
      <c r="B226" s="14" t="str">
        <f>_xlfn.CONCAT(AE226,"-",VLOOKUP(AE226,t_objeto!B:D,3,FALSE),"-",A226)</f>
        <v>RRMM-PERCCO-225</v>
      </c>
      <c r="C226" s="22" t="str">
        <f t="shared" si="39"/>
        <v>PLACA__ACERO_ROLADA EN FRIO_3'X10'_11/16"</v>
      </c>
      <c r="D226" s="14" t="s">
        <v>7385</v>
      </c>
      <c r="E226" s="14" t="s">
        <v>7380</v>
      </c>
      <c r="F226" s="21" t="s">
        <v>7400</v>
      </c>
      <c r="G226" s="22" t="s">
        <v>7382</v>
      </c>
      <c r="H226" s="14" t="s">
        <v>7390</v>
      </c>
      <c r="I226" s="16">
        <v>17.46</v>
      </c>
      <c r="J226" s="16">
        <f t="shared" si="40"/>
        <v>0.68740157480314967</v>
      </c>
      <c r="K226" s="16">
        <v>137.06100000000001</v>
      </c>
      <c r="L226" s="23"/>
      <c r="M226" s="23"/>
      <c r="N226" s="23"/>
      <c r="O226" s="23"/>
      <c r="P226" s="23"/>
      <c r="Q226" s="19"/>
      <c r="R226" s="17">
        <v>3</v>
      </c>
      <c r="S226" s="17">
        <v>10</v>
      </c>
      <c r="T226" s="16">
        <f t="shared" si="31"/>
        <v>3048</v>
      </c>
      <c r="U226" s="16">
        <f t="shared" si="32"/>
        <v>914.4</v>
      </c>
      <c r="V226" s="18">
        <f t="shared" si="33"/>
        <v>2787091.1999999997</v>
      </c>
      <c r="W226" s="18">
        <f t="shared" si="34"/>
        <v>2.7870911999999999</v>
      </c>
      <c r="X226" s="18">
        <f t="shared" si="35"/>
        <v>382.00150696320003</v>
      </c>
      <c r="Y226" s="24">
        <v>35</v>
      </c>
      <c r="Z226" s="24">
        <f t="shared" si="36"/>
        <v>13370.052743712002</v>
      </c>
      <c r="AA226" s="16">
        <v>11</v>
      </c>
      <c r="AB226" s="16">
        <f t="shared" si="37"/>
        <v>3026</v>
      </c>
      <c r="AC226" s="16">
        <f t="shared" si="37"/>
        <v>892.4</v>
      </c>
      <c r="AD226" s="19">
        <f t="shared" si="38"/>
        <v>2700402.4</v>
      </c>
      <c r="AE226" s="1" t="s">
        <v>7456</v>
      </c>
      <c r="AF226" s="1" t="str">
        <f>VLOOKUP(AE226,t_objeto!B:C,2,FALSE)</f>
        <v>RAW_MATERIAL</v>
      </c>
      <c r="AG226" s="1">
        <v>8</v>
      </c>
      <c r="AH226" s="1" t="str">
        <f>VLOOKUP(AG226,t_entry_status!A:AE,2,FALSE)</f>
        <v>PENDING</v>
      </c>
      <c r="AI226" s="7">
        <v>45560</v>
      </c>
      <c r="AJ226" s="1" t="s">
        <v>7449</v>
      </c>
      <c r="AK226" s="7">
        <v>45560</v>
      </c>
      <c r="AL226" s="1" t="s">
        <v>7449</v>
      </c>
    </row>
    <row r="227" spans="1:38" s="20" customFormat="1" x14ac:dyDescent="0.25">
      <c r="A227" s="14">
        <v>226</v>
      </c>
      <c r="B227" s="14" t="str">
        <f>_xlfn.CONCAT(AE227,"-",VLOOKUP(AE227,t_objeto!B:D,3,FALSE),"-",A227)</f>
        <v>RRMM-PERCCO-226</v>
      </c>
      <c r="C227" s="22" t="str">
        <f t="shared" si="39"/>
        <v>PLACA__ACERO_ROLADA EN FRIO_3'X10'_5/8"</v>
      </c>
      <c r="D227" s="14" t="s">
        <v>7385</v>
      </c>
      <c r="E227" s="14" t="s">
        <v>7380</v>
      </c>
      <c r="F227" s="21" t="s">
        <v>7400</v>
      </c>
      <c r="G227" s="22" t="s">
        <v>7382</v>
      </c>
      <c r="H227" s="14" t="s">
        <v>7391</v>
      </c>
      <c r="I227" s="16">
        <v>15.87</v>
      </c>
      <c r="J227" s="16">
        <f t="shared" si="40"/>
        <v>0.62480314960629924</v>
      </c>
      <c r="K227" s="16">
        <v>124.58</v>
      </c>
      <c r="L227" s="23"/>
      <c r="M227" s="23"/>
      <c r="N227" s="23"/>
      <c r="O227" s="23"/>
      <c r="P227" s="23"/>
      <c r="Q227" s="19"/>
      <c r="R227" s="17">
        <v>3</v>
      </c>
      <c r="S227" s="17">
        <v>10</v>
      </c>
      <c r="T227" s="16">
        <f t="shared" si="31"/>
        <v>3048</v>
      </c>
      <c r="U227" s="16">
        <f t="shared" si="32"/>
        <v>914.4</v>
      </c>
      <c r="V227" s="18">
        <f t="shared" si="33"/>
        <v>2787091.1999999997</v>
      </c>
      <c r="W227" s="18">
        <f t="shared" si="34"/>
        <v>2.7870911999999999</v>
      </c>
      <c r="X227" s="18">
        <f t="shared" si="35"/>
        <v>347.21582169599998</v>
      </c>
      <c r="Y227" s="24">
        <v>35</v>
      </c>
      <c r="Z227" s="24">
        <f t="shared" si="36"/>
        <v>12152.553759359998</v>
      </c>
      <c r="AA227" s="16">
        <v>12</v>
      </c>
      <c r="AB227" s="16">
        <f t="shared" si="37"/>
        <v>3024</v>
      </c>
      <c r="AC227" s="16">
        <f t="shared" si="37"/>
        <v>890.4</v>
      </c>
      <c r="AD227" s="19">
        <f t="shared" si="38"/>
        <v>2692569.6</v>
      </c>
      <c r="AE227" s="1" t="s">
        <v>7456</v>
      </c>
      <c r="AF227" s="1" t="str">
        <f>VLOOKUP(AE227,t_objeto!B:C,2,FALSE)</f>
        <v>RAW_MATERIAL</v>
      </c>
      <c r="AG227" s="1">
        <v>8</v>
      </c>
      <c r="AH227" s="1" t="str">
        <f>VLOOKUP(AG227,t_entry_status!A:AE,2,FALSE)</f>
        <v>PENDING</v>
      </c>
      <c r="AI227" s="7">
        <v>45560</v>
      </c>
      <c r="AJ227" s="1" t="s">
        <v>7449</v>
      </c>
      <c r="AK227" s="7">
        <v>45560</v>
      </c>
      <c r="AL227" s="1" t="s">
        <v>7449</v>
      </c>
    </row>
    <row r="228" spans="1:38" s="20" customFormat="1" x14ac:dyDescent="0.25">
      <c r="A228" s="14">
        <v>227</v>
      </c>
      <c r="B228" s="14" t="str">
        <f>_xlfn.CONCAT(AE228,"-",VLOOKUP(AE228,t_objeto!B:D,3,FALSE),"-",A228)</f>
        <v>RRMM-PERCCO-227</v>
      </c>
      <c r="C228" s="22" t="str">
        <f t="shared" si="39"/>
        <v>PLACA__ACERO_ROLADA EN FRIO_3'X10'_9/16"</v>
      </c>
      <c r="D228" s="14" t="s">
        <v>7385</v>
      </c>
      <c r="E228" s="14" t="s">
        <v>7380</v>
      </c>
      <c r="F228" s="21" t="s">
        <v>7400</v>
      </c>
      <c r="G228" s="22" t="s">
        <v>7382</v>
      </c>
      <c r="H228" s="14" t="s">
        <v>7392</v>
      </c>
      <c r="I228" s="16">
        <v>14.28</v>
      </c>
      <c r="J228" s="16">
        <f t="shared" si="40"/>
        <v>0.5622047244094488</v>
      </c>
      <c r="K228" s="16">
        <v>112.098</v>
      </c>
      <c r="L228" s="23"/>
      <c r="M228" s="23"/>
      <c r="N228" s="23"/>
      <c r="O228" s="23"/>
      <c r="P228" s="23"/>
      <c r="Q228" s="19"/>
      <c r="R228" s="17">
        <v>3</v>
      </c>
      <c r="S228" s="17">
        <v>10</v>
      </c>
      <c r="T228" s="16">
        <f t="shared" si="31"/>
        <v>3048</v>
      </c>
      <c r="U228" s="16">
        <f t="shared" si="32"/>
        <v>914.4</v>
      </c>
      <c r="V228" s="18">
        <f t="shared" si="33"/>
        <v>2787091.1999999997</v>
      </c>
      <c r="W228" s="18">
        <f t="shared" si="34"/>
        <v>2.7870911999999999</v>
      </c>
      <c r="X228" s="18">
        <f t="shared" si="35"/>
        <v>312.42734933759999</v>
      </c>
      <c r="Y228" s="24">
        <v>35</v>
      </c>
      <c r="Z228" s="24">
        <f t="shared" si="36"/>
        <v>10934.957226815999</v>
      </c>
      <c r="AA228" s="16">
        <v>13</v>
      </c>
      <c r="AB228" s="16">
        <f t="shared" si="37"/>
        <v>3022</v>
      </c>
      <c r="AC228" s="16">
        <f t="shared" si="37"/>
        <v>888.4</v>
      </c>
      <c r="AD228" s="19">
        <f t="shared" si="38"/>
        <v>2684744.8</v>
      </c>
      <c r="AE228" s="1" t="s">
        <v>7456</v>
      </c>
      <c r="AF228" s="1" t="str">
        <f>VLOOKUP(AE228,t_objeto!B:C,2,FALSE)</f>
        <v>RAW_MATERIAL</v>
      </c>
      <c r="AG228" s="1">
        <v>8</v>
      </c>
      <c r="AH228" s="1" t="str">
        <f>VLOOKUP(AG228,t_entry_status!A:AE,2,FALSE)</f>
        <v>PENDING</v>
      </c>
      <c r="AI228" s="7">
        <v>45560</v>
      </c>
      <c r="AJ228" s="1" t="s">
        <v>7449</v>
      </c>
      <c r="AK228" s="7">
        <v>45560</v>
      </c>
      <c r="AL228" s="1" t="s">
        <v>7449</v>
      </c>
    </row>
    <row r="229" spans="1:38" s="20" customFormat="1" x14ac:dyDescent="0.25">
      <c r="A229" s="14">
        <v>228</v>
      </c>
      <c r="B229" s="14" t="str">
        <f>_xlfn.CONCAT(AE229,"-",VLOOKUP(AE229,t_objeto!B:D,3,FALSE),"-",A229)</f>
        <v>RRMM-PERCCO-228</v>
      </c>
      <c r="C229" s="22" t="str">
        <f t="shared" si="39"/>
        <v>PLACA__ACERO_ROLADA EN FRIO_3'X10'_1/2"</v>
      </c>
      <c r="D229" s="14" t="s">
        <v>7385</v>
      </c>
      <c r="E229" s="14" t="s">
        <v>7380</v>
      </c>
      <c r="F229" s="21" t="s">
        <v>7400</v>
      </c>
      <c r="G229" s="22" t="s">
        <v>7382</v>
      </c>
      <c r="H229" s="14" t="s">
        <v>7393</v>
      </c>
      <c r="I229" s="16">
        <v>12.7</v>
      </c>
      <c r="J229" s="16">
        <f t="shared" si="40"/>
        <v>0.5</v>
      </c>
      <c r="K229" s="16">
        <v>99.694999999999993</v>
      </c>
      <c r="L229" s="23"/>
      <c r="M229" s="23"/>
      <c r="N229" s="23"/>
      <c r="O229" s="23"/>
      <c r="P229" s="23"/>
      <c r="Q229" s="19"/>
      <c r="R229" s="17">
        <v>3</v>
      </c>
      <c r="S229" s="17">
        <v>10</v>
      </c>
      <c r="T229" s="16">
        <f t="shared" si="31"/>
        <v>3048</v>
      </c>
      <c r="U229" s="16">
        <f t="shared" si="32"/>
        <v>914.4</v>
      </c>
      <c r="V229" s="18">
        <f t="shared" si="33"/>
        <v>2787091.1999999997</v>
      </c>
      <c r="W229" s="18">
        <f t="shared" si="34"/>
        <v>2.7870911999999999</v>
      </c>
      <c r="X229" s="18">
        <f t="shared" si="35"/>
        <v>277.85905718399999</v>
      </c>
      <c r="Y229" s="24">
        <v>35</v>
      </c>
      <c r="Z229" s="24">
        <f t="shared" si="36"/>
        <v>9725.0670014400002</v>
      </c>
      <c r="AA229" s="16">
        <v>14</v>
      </c>
      <c r="AB229" s="16">
        <f t="shared" si="37"/>
        <v>3020</v>
      </c>
      <c r="AC229" s="16">
        <f t="shared" si="37"/>
        <v>886.4</v>
      </c>
      <c r="AD229" s="19">
        <f t="shared" si="38"/>
        <v>2676928</v>
      </c>
      <c r="AE229" s="1" t="s">
        <v>7456</v>
      </c>
      <c r="AF229" s="1" t="str">
        <f>VLOOKUP(AE229,t_objeto!B:C,2,FALSE)</f>
        <v>RAW_MATERIAL</v>
      </c>
      <c r="AG229" s="1">
        <v>8</v>
      </c>
      <c r="AH229" s="1" t="str">
        <f>VLOOKUP(AG229,t_entry_status!A:AE,2,FALSE)</f>
        <v>PENDING</v>
      </c>
      <c r="AI229" s="7">
        <v>45560</v>
      </c>
      <c r="AJ229" s="1" t="s">
        <v>7449</v>
      </c>
      <c r="AK229" s="7">
        <v>45560</v>
      </c>
      <c r="AL229" s="1" t="s">
        <v>7449</v>
      </c>
    </row>
    <row r="230" spans="1:38" s="20" customFormat="1" x14ac:dyDescent="0.25">
      <c r="A230" s="14">
        <v>229</v>
      </c>
      <c r="B230" s="14" t="str">
        <f>_xlfn.CONCAT(AE230,"-",VLOOKUP(AE230,t_objeto!B:D,3,FALSE),"-",A230)</f>
        <v>RRMM-PERCCO-229</v>
      </c>
      <c r="C230" s="22" t="str">
        <f t="shared" si="39"/>
        <v>PLACA__ACERO_ROLADA EN FRIO_3'X10'_7/16"</v>
      </c>
      <c r="D230" s="14" t="s">
        <v>7385</v>
      </c>
      <c r="E230" s="14" t="s">
        <v>7380</v>
      </c>
      <c r="F230" s="21" t="s">
        <v>7400</v>
      </c>
      <c r="G230" s="22" t="s">
        <v>7382</v>
      </c>
      <c r="H230" s="14" t="s">
        <v>7394</v>
      </c>
      <c r="I230" s="16">
        <v>11.11</v>
      </c>
      <c r="J230" s="16">
        <f t="shared" si="40"/>
        <v>0.43740157480314962</v>
      </c>
      <c r="K230" s="16">
        <v>87.213999999999999</v>
      </c>
      <c r="L230" s="23"/>
      <c r="M230" s="23"/>
      <c r="N230" s="23"/>
      <c r="O230" s="23"/>
      <c r="P230" s="23"/>
      <c r="Q230" s="19"/>
      <c r="R230" s="17">
        <v>3</v>
      </c>
      <c r="S230" s="17">
        <v>10</v>
      </c>
      <c r="T230" s="16">
        <f t="shared" si="31"/>
        <v>3048</v>
      </c>
      <c r="U230" s="16">
        <f t="shared" si="32"/>
        <v>914.4</v>
      </c>
      <c r="V230" s="18">
        <f t="shared" si="33"/>
        <v>2787091.1999999997</v>
      </c>
      <c r="W230" s="18">
        <f t="shared" si="34"/>
        <v>2.7870911999999999</v>
      </c>
      <c r="X230" s="18">
        <f t="shared" si="35"/>
        <v>243.0733719168</v>
      </c>
      <c r="Y230" s="24">
        <v>35</v>
      </c>
      <c r="Z230" s="24">
        <f t="shared" si="36"/>
        <v>8507.5680170880005</v>
      </c>
      <c r="AA230" s="16">
        <v>15</v>
      </c>
      <c r="AB230" s="16">
        <f t="shared" si="37"/>
        <v>3018</v>
      </c>
      <c r="AC230" s="16">
        <f t="shared" si="37"/>
        <v>884.4</v>
      </c>
      <c r="AD230" s="19">
        <f t="shared" si="38"/>
        <v>2669119.1999999997</v>
      </c>
      <c r="AE230" s="1" t="s">
        <v>7456</v>
      </c>
      <c r="AF230" s="1" t="str">
        <f>VLOOKUP(AE230,t_objeto!B:C,2,FALSE)</f>
        <v>RAW_MATERIAL</v>
      </c>
      <c r="AG230" s="1">
        <v>8</v>
      </c>
      <c r="AH230" s="1" t="str">
        <f>VLOOKUP(AG230,t_entry_status!A:AE,2,FALSE)</f>
        <v>PENDING</v>
      </c>
      <c r="AI230" s="7">
        <v>45560</v>
      </c>
      <c r="AJ230" s="1" t="s">
        <v>7449</v>
      </c>
      <c r="AK230" s="7">
        <v>45560</v>
      </c>
      <c r="AL230" s="1" t="s">
        <v>7449</v>
      </c>
    </row>
    <row r="231" spans="1:38" s="20" customFormat="1" x14ac:dyDescent="0.25">
      <c r="A231" s="14">
        <v>230</v>
      </c>
      <c r="B231" s="14" t="str">
        <f>_xlfn.CONCAT(AE231,"-",VLOOKUP(AE231,t_objeto!B:D,3,FALSE),"-",A231)</f>
        <v>RRMM-PERCCO-230</v>
      </c>
      <c r="C231" s="22" t="str">
        <f t="shared" si="39"/>
        <v>PLACA__ACERO_ROLADA EN FRIO_3'X10'_3/8"</v>
      </c>
      <c r="D231" s="14" t="s">
        <v>7385</v>
      </c>
      <c r="E231" s="14" t="s">
        <v>7380</v>
      </c>
      <c r="F231" s="21" t="s">
        <v>7400</v>
      </c>
      <c r="G231" s="22" t="s">
        <v>7382</v>
      </c>
      <c r="H231" s="14" t="s">
        <v>7395</v>
      </c>
      <c r="I231" s="16">
        <v>9.52</v>
      </c>
      <c r="J231" s="16">
        <f t="shared" si="40"/>
        <v>0.37480314960629924</v>
      </c>
      <c r="K231" s="16">
        <v>74.731999999999999</v>
      </c>
      <c r="L231" s="23"/>
      <c r="M231" s="23"/>
      <c r="N231" s="23"/>
      <c r="O231" s="23"/>
      <c r="P231" s="23"/>
      <c r="Q231" s="19"/>
      <c r="R231" s="17">
        <v>3</v>
      </c>
      <c r="S231" s="17">
        <v>10</v>
      </c>
      <c r="T231" s="16">
        <f t="shared" si="31"/>
        <v>3048</v>
      </c>
      <c r="U231" s="16">
        <f t="shared" si="32"/>
        <v>914.4</v>
      </c>
      <c r="V231" s="18">
        <f t="shared" si="33"/>
        <v>2787091.1999999997</v>
      </c>
      <c r="W231" s="18">
        <f t="shared" si="34"/>
        <v>2.7870911999999999</v>
      </c>
      <c r="X231" s="18">
        <f t="shared" si="35"/>
        <v>208.28489955839999</v>
      </c>
      <c r="Y231" s="24">
        <v>35</v>
      </c>
      <c r="Z231" s="24">
        <f t="shared" si="36"/>
        <v>7289.9714845439994</v>
      </c>
      <c r="AA231" s="16">
        <v>16</v>
      </c>
      <c r="AB231" s="16">
        <f t="shared" si="37"/>
        <v>3016</v>
      </c>
      <c r="AC231" s="16">
        <f t="shared" si="37"/>
        <v>882.4</v>
      </c>
      <c r="AD231" s="19">
        <f t="shared" si="38"/>
        <v>2661318.4</v>
      </c>
      <c r="AE231" s="1" t="s">
        <v>7456</v>
      </c>
      <c r="AF231" s="1" t="str">
        <f>VLOOKUP(AE231,t_objeto!B:C,2,FALSE)</f>
        <v>RAW_MATERIAL</v>
      </c>
      <c r="AG231" s="1">
        <v>8</v>
      </c>
      <c r="AH231" s="1" t="str">
        <f>VLOOKUP(AG231,t_entry_status!A:AE,2,FALSE)</f>
        <v>PENDING</v>
      </c>
      <c r="AI231" s="7">
        <v>45560</v>
      </c>
      <c r="AJ231" s="1" t="s">
        <v>7449</v>
      </c>
      <c r="AK231" s="7">
        <v>45560</v>
      </c>
      <c r="AL231" s="1" t="s">
        <v>7449</v>
      </c>
    </row>
    <row r="232" spans="1:38" s="20" customFormat="1" x14ac:dyDescent="0.25">
      <c r="A232" s="14">
        <v>231</v>
      </c>
      <c r="B232" s="14" t="str">
        <f>_xlfn.CONCAT(AE232,"-",VLOOKUP(AE232,t_objeto!B:D,3,FALSE),"-",A232)</f>
        <v>RRMM-PERCCO-231</v>
      </c>
      <c r="C232" s="22" t="str">
        <f t="shared" si="39"/>
        <v>PLACA__ACERO_ROLADA EN FRIO_3'X10'_5/16"</v>
      </c>
      <c r="D232" s="14" t="s">
        <v>7385</v>
      </c>
      <c r="E232" s="14" t="s">
        <v>7380</v>
      </c>
      <c r="F232" s="21" t="s">
        <v>7400</v>
      </c>
      <c r="G232" s="22" t="s">
        <v>7382</v>
      </c>
      <c r="H232" s="14" t="s">
        <v>7396</v>
      </c>
      <c r="I232" s="16">
        <v>7.93</v>
      </c>
      <c r="J232" s="16">
        <f t="shared" si="40"/>
        <v>0.31220472440944885</v>
      </c>
      <c r="K232" s="16">
        <v>62.250999999999998</v>
      </c>
      <c r="L232" s="23"/>
      <c r="M232" s="23"/>
      <c r="N232" s="23"/>
      <c r="O232" s="23"/>
      <c r="P232" s="23"/>
      <c r="Q232" s="19"/>
      <c r="R232" s="17">
        <v>3</v>
      </c>
      <c r="S232" s="17">
        <v>10</v>
      </c>
      <c r="T232" s="16">
        <f t="shared" si="31"/>
        <v>3048</v>
      </c>
      <c r="U232" s="16">
        <f t="shared" si="32"/>
        <v>914.4</v>
      </c>
      <c r="V232" s="18">
        <f t="shared" si="33"/>
        <v>2787091.1999999997</v>
      </c>
      <c r="W232" s="18">
        <f t="shared" si="34"/>
        <v>2.7870911999999999</v>
      </c>
      <c r="X232" s="18">
        <f t="shared" si="35"/>
        <v>173.49921429119999</v>
      </c>
      <c r="Y232" s="24">
        <v>35</v>
      </c>
      <c r="Z232" s="24">
        <f t="shared" si="36"/>
        <v>6072.4725001919996</v>
      </c>
      <c r="AA232" s="16">
        <v>17</v>
      </c>
      <c r="AB232" s="16">
        <f t="shared" si="37"/>
        <v>3014</v>
      </c>
      <c r="AC232" s="16">
        <f t="shared" si="37"/>
        <v>880.4</v>
      </c>
      <c r="AD232" s="19">
        <f t="shared" si="38"/>
        <v>2653525.6</v>
      </c>
      <c r="AE232" s="1" t="s">
        <v>7456</v>
      </c>
      <c r="AF232" s="1" t="str">
        <f>VLOOKUP(AE232,t_objeto!B:C,2,FALSE)</f>
        <v>RAW_MATERIAL</v>
      </c>
      <c r="AG232" s="1">
        <v>8</v>
      </c>
      <c r="AH232" s="1" t="str">
        <f>VLOOKUP(AG232,t_entry_status!A:AE,2,FALSE)</f>
        <v>PENDING</v>
      </c>
      <c r="AI232" s="7">
        <v>45560</v>
      </c>
      <c r="AJ232" s="1" t="s">
        <v>7449</v>
      </c>
      <c r="AK232" s="7">
        <v>45560</v>
      </c>
      <c r="AL232" s="1" t="s">
        <v>7449</v>
      </c>
    </row>
    <row r="233" spans="1:38" s="20" customFormat="1" x14ac:dyDescent="0.25">
      <c r="A233" s="14">
        <v>232</v>
      </c>
      <c r="B233" s="14" t="str">
        <f>_xlfn.CONCAT(AE233,"-",VLOOKUP(AE233,t_objeto!B:D,3,FALSE),"-",A233)</f>
        <v>RRMM-PERCCO-232</v>
      </c>
      <c r="C233" s="22" t="str">
        <f t="shared" si="39"/>
        <v>PLACA__ACERO_ROLADA EN FRIO_3'X10'_1/4"</v>
      </c>
      <c r="D233" s="14" t="s">
        <v>7385</v>
      </c>
      <c r="E233" s="14" t="s">
        <v>7380</v>
      </c>
      <c r="F233" s="21" t="s">
        <v>7400</v>
      </c>
      <c r="G233" s="22" t="s">
        <v>7382</v>
      </c>
      <c r="H233" s="14" t="s">
        <v>7397</v>
      </c>
      <c r="I233" s="16">
        <v>6.35</v>
      </c>
      <c r="J233" s="16">
        <f t="shared" si="40"/>
        <v>0.25</v>
      </c>
      <c r="K233" s="16">
        <v>49.847999999999999</v>
      </c>
      <c r="L233" s="23">
        <v>1.2</v>
      </c>
      <c r="M233" s="23">
        <v>0.6</v>
      </c>
      <c r="N233" s="23"/>
      <c r="O233" s="23"/>
      <c r="P233" s="23"/>
      <c r="Q233" s="19" t="s">
        <v>7401</v>
      </c>
      <c r="R233" s="17">
        <v>3</v>
      </c>
      <c r="S233" s="17">
        <v>10</v>
      </c>
      <c r="T233" s="16">
        <f t="shared" si="31"/>
        <v>3048</v>
      </c>
      <c r="U233" s="16">
        <f t="shared" si="32"/>
        <v>914.4</v>
      </c>
      <c r="V233" s="18">
        <f t="shared" si="33"/>
        <v>2787091.1999999997</v>
      </c>
      <c r="W233" s="18">
        <f t="shared" si="34"/>
        <v>2.7870911999999999</v>
      </c>
      <c r="X233" s="18">
        <f t="shared" si="35"/>
        <v>138.93092213759999</v>
      </c>
      <c r="Y233" s="24">
        <v>35</v>
      </c>
      <c r="Z233" s="24">
        <f t="shared" si="36"/>
        <v>4862.5822748159999</v>
      </c>
      <c r="AA233" s="16">
        <v>18</v>
      </c>
      <c r="AB233" s="16">
        <f t="shared" si="37"/>
        <v>3012</v>
      </c>
      <c r="AC233" s="16">
        <f t="shared" si="37"/>
        <v>878.4</v>
      </c>
      <c r="AD233" s="19">
        <f t="shared" si="38"/>
        <v>2645740.7999999998</v>
      </c>
      <c r="AE233" s="1" t="s">
        <v>7456</v>
      </c>
      <c r="AF233" s="1" t="str">
        <f>VLOOKUP(AE233,t_objeto!B:C,2,FALSE)</f>
        <v>RAW_MATERIAL</v>
      </c>
      <c r="AG233" s="1">
        <v>8</v>
      </c>
      <c r="AH233" s="1" t="str">
        <f>VLOOKUP(AG233,t_entry_status!A:AE,2,FALSE)</f>
        <v>PENDING</v>
      </c>
      <c r="AI233" s="7">
        <v>45560</v>
      </c>
      <c r="AJ233" s="1" t="s">
        <v>7449</v>
      </c>
      <c r="AK233" s="7">
        <v>45560</v>
      </c>
      <c r="AL233" s="1" t="s">
        <v>7449</v>
      </c>
    </row>
    <row r="234" spans="1:38" s="20" customFormat="1" x14ac:dyDescent="0.25">
      <c r="A234" s="14">
        <v>233</v>
      </c>
      <c r="B234" s="14" t="str">
        <f>_xlfn.CONCAT(AE234,"-",VLOOKUP(AE234,t_objeto!B:D,3,FALSE),"-",A234)</f>
        <v>RRMM-PERCCO-233</v>
      </c>
      <c r="C234" s="22" t="str">
        <f t="shared" si="39"/>
        <v>PLACA__ACERO_ROLADA EN FRIO_3'X10'_3/16"</v>
      </c>
      <c r="D234" s="14" t="s">
        <v>7385</v>
      </c>
      <c r="E234" s="14" t="s">
        <v>7380</v>
      </c>
      <c r="F234" s="21" t="s">
        <v>7400</v>
      </c>
      <c r="G234" s="22" t="s">
        <v>7382</v>
      </c>
      <c r="H234" s="14" t="s">
        <v>7398</v>
      </c>
      <c r="I234" s="16">
        <v>4.76</v>
      </c>
      <c r="J234" s="16">
        <f t="shared" si="40"/>
        <v>0.18740157480314962</v>
      </c>
      <c r="K234" s="16">
        <v>37.366</v>
      </c>
      <c r="L234" s="23"/>
      <c r="M234" s="23"/>
      <c r="N234" s="23"/>
      <c r="O234" s="23"/>
      <c r="P234" s="23"/>
      <c r="Q234" s="19"/>
      <c r="R234" s="17">
        <v>3</v>
      </c>
      <c r="S234" s="17">
        <v>10</v>
      </c>
      <c r="T234" s="16">
        <f t="shared" si="31"/>
        <v>3048</v>
      </c>
      <c r="U234" s="16">
        <f t="shared" si="32"/>
        <v>914.4</v>
      </c>
      <c r="V234" s="18">
        <f t="shared" si="33"/>
        <v>2787091.1999999997</v>
      </c>
      <c r="W234" s="18">
        <f t="shared" si="34"/>
        <v>2.7870911999999999</v>
      </c>
      <c r="X234" s="18">
        <f t="shared" si="35"/>
        <v>104.14244977919999</v>
      </c>
      <c r="Y234" s="24">
        <v>35</v>
      </c>
      <c r="Z234" s="24">
        <f t="shared" si="36"/>
        <v>3644.9857422719997</v>
      </c>
      <c r="AA234" s="16">
        <v>19</v>
      </c>
      <c r="AB234" s="16">
        <f t="shared" si="37"/>
        <v>3010</v>
      </c>
      <c r="AC234" s="16">
        <f t="shared" si="37"/>
        <v>876.4</v>
      </c>
      <c r="AD234" s="19">
        <f t="shared" si="38"/>
        <v>2637964</v>
      </c>
      <c r="AE234" s="1" t="s">
        <v>7456</v>
      </c>
      <c r="AF234" s="1" t="str">
        <f>VLOOKUP(AE234,t_objeto!B:C,2,FALSE)</f>
        <v>RAW_MATERIAL</v>
      </c>
      <c r="AG234" s="1">
        <v>8</v>
      </c>
      <c r="AH234" s="1" t="str">
        <f>VLOOKUP(AG234,t_entry_status!A:AE,2,FALSE)</f>
        <v>PENDING</v>
      </c>
      <c r="AI234" s="7">
        <v>45560</v>
      </c>
      <c r="AJ234" s="1" t="s">
        <v>7449</v>
      </c>
      <c r="AK234" s="7">
        <v>45560</v>
      </c>
      <c r="AL234" s="1" t="s">
        <v>7449</v>
      </c>
    </row>
    <row r="235" spans="1:38" s="20" customFormat="1" x14ac:dyDescent="0.25">
      <c r="A235" s="14">
        <v>234</v>
      </c>
      <c r="B235" s="14" t="str">
        <f>_xlfn.CONCAT(AE235,"-",VLOOKUP(AE235,t_objeto!B:D,3,FALSE),"-",A235)</f>
        <v>RRMM-PERCCO-234</v>
      </c>
      <c r="C235" s="22" t="str">
        <f t="shared" si="39"/>
        <v>LAMINA_LISA__ACERO_ROLADA EN FRIO_3'X10'_4</v>
      </c>
      <c r="D235" s="14" t="s">
        <v>7407</v>
      </c>
      <c r="E235" s="14" t="s">
        <v>7380</v>
      </c>
      <c r="F235" s="21" t="s">
        <v>7400</v>
      </c>
      <c r="G235" s="22" t="s">
        <v>7382</v>
      </c>
      <c r="H235" s="14">
        <v>4</v>
      </c>
      <c r="I235" s="16">
        <v>5.69</v>
      </c>
      <c r="J235" s="16">
        <f t="shared" si="40"/>
        <v>0.2240157480314961</v>
      </c>
      <c r="K235" s="16">
        <v>44.667000000000002</v>
      </c>
      <c r="L235" s="23"/>
      <c r="M235" s="23"/>
      <c r="N235" s="23"/>
      <c r="O235" s="23"/>
      <c r="P235" s="23"/>
      <c r="Q235" s="19"/>
      <c r="R235" s="17">
        <v>3</v>
      </c>
      <c r="S235" s="17">
        <v>10</v>
      </c>
      <c r="T235" s="16">
        <f t="shared" si="31"/>
        <v>3048</v>
      </c>
      <c r="U235" s="16">
        <f t="shared" si="32"/>
        <v>914.4</v>
      </c>
      <c r="V235" s="18">
        <f t="shared" si="33"/>
        <v>2787091.1999999997</v>
      </c>
      <c r="W235" s="18">
        <f t="shared" si="34"/>
        <v>2.7870911999999999</v>
      </c>
      <c r="X235" s="18">
        <f t="shared" si="35"/>
        <v>124.4910026304</v>
      </c>
      <c r="Y235" s="24">
        <v>35</v>
      </c>
      <c r="Z235" s="24">
        <f t="shared" si="36"/>
        <v>4357.1850920639999</v>
      </c>
      <c r="AA235" s="16">
        <v>20</v>
      </c>
      <c r="AB235" s="16">
        <f t="shared" si="37"/>
        <v>3008</v>
      </c>
      <c r="AC235" s="16">
        <f t="shared" si="37"/>
        <v>874.4</v>
      </c>
      <c r="AD235" s="19">
        <f t="shared" si="38"/>
        <v>2630195.1999999997</v>
      </c>
      <c r="AE235" s="1" t="s">
        <v>7456</v>
      </c>
      <c r="AF235" s="1" t="str">
        <f>VLOOKUP(AE235,t_objeto!B:C,2,FALSE)</f>
        <v>RAW_MATERIAL</v>
      </c>
      <c r="AG235" s="1">
        <v>8</v>
      </c>
      <c r="AH235" s="1" t="str">
        <f>VLOOKUP(AG235,t_entry_status!A:AE,2,FALSE)</f>
        <v>PENDING</v>
      </c>
      <c r="AI235" s="7">
        <v>45560</v>
      </c>
      <c r="AJ235" s="1" t="s">
        <v>7449</v>
      </c>
      <c r="AK235" s="7">
        <v>45560</v>
      </c>
      <c r="AL235" s="1" t="s">
        <v>7449</v>
      </c>
    </row>
    <row r="236" spans="1:38" s="20" customFormat="1" x14ac:dyDescent="0.25">
      <c r="A236" s="14">
        <v>235</v>
      </c>
      <c r="B236" s="14" t="str">
        <f>_xlfn.CONCAT(AE236,"-",VLOOKUP(AE236,t_objeto!B:D,3,FALSE),"-",A236)</f>
        <v>RRMM-PERCCO-235</v>
      </c>
      <c r="C236" s="22" t="str">
        <f t="shared" si="39"/>
        <v>LAMINA_LISA__ACERO_ROLADA EN FRIO_3'X10'_5</v>
      </c>
      <c r="D236" s="14" t="s">
        <v>7407</v>
      </c>
      <c r="E236" s="14" t="s">
        <v>7380</v>
      </c>
      <c r="F236" s="21" t="s">
        <v>7400</v>
      </c>
      <c r="G236" s="22" t="s">
        <v>7382</v>
      </c>
      <c r="H236" s="14">
        <v>5</v>
      </c>
      <c r="I236" s="16">
        <v>5.31</v>
      </c>
      <c r="J236" s="16">
        <f t="shared" si="40"/>
        <v>0.20905511811023622</v>
      </c>
      <c r="K236" s="16">
        <v>41.683999999999997</v>
      </c>
      <c r="L236" s="23"/>
      <c r="M236" s="23"/>
      <c r="N236" s="23"/>
      <c r="O236" s="23"/>
      <c r="P236" s="23"/>
      <c r="Q236" s="19"/>
      <c r="R236" s="17">
        <v>3</v>
      </c>
      <c r="S236" s="17">
        <v>10</v>
      </c>
      <c r="T236" s="16">
        <f t="shared" si="31"/>
        <v>3048</v>
      </c>
      <c r="U236" s="16">
        <f t="shared" si="32"/>
        <v>914.4</v>
      </c>
      <c r="V236" s="18">
        <f t="shared" si="33"/>
        <v>2787091.1999999997</v>
      </c>
      <c r="W236" s="18">
        <f t="shared" si="34"/>
        <v>2.7870911999999999</v>
      </c>
      <c r="X236" s="18">
        <f t="shared" si="35"/>
        <v>116.17710958079999</v>
      </c>
      <c r="Y236" s="24">
        <v>35</v>
      </c>
      <c r="Z236" s="24">
        <f t="shared" si="36"/>
        <v>4066.1988353279999</v>
      </c>
      <c r="AA236" s="16">
        <v>21</v>
      </c>
      <c r="AB236" s="16">
        <f t="shared" si="37"/>
        <v>3006</v>
      </c>
      <c r="AC236" s="16">
        <f t="shared" si="37"/>
        <v>872.4</v>
      </c>
      <c r="AD236" s="19">
        <f t="shared" si="38"/>
        <v>2622434.4</v>
      </c>
      <c r="AE236" s="1" t="s">
        <v>7456</v>
      </c>
      <c r="AF236" s="1" t="str">
        <f>VLOOKUP(AE236,t_objeto!B:C,2,FALSE)</f>
        <v>RAW_MATERIAL</v>
      </c>
      <c r="AG236" s="1">
        <v>8</v>
      </c>
      <c r="AH236" s="1" t="str">
        <f>VLOOKUP(AG236,t_entry_status!A:AE,2,FALSE)</f>
        <v>PENDING</v>
      </c>
      <c r="AI236" s="7">
        <v>45560</v>
      </c>
      <c r="AJ236" s="1" t="s">
        <v>7449</v>
      </c>
      <c r="AK236" s="7">
        <v>45560</v>
      </c>
      <c r="AL236" s="1" t="s">
        <v>7449</v>
      </c>
    </row>
    <row r="237" spans="1:38" s="20" customFormat="1" x14ac:dyDescent="0.25">
      <c r="A237" s="14">
        <v>236</v>
      </c>
      <c r="B237" s="14" t="str">
        <f>_xlfn.CONCAT(AE237,"-",VLOOKUP(AE237,t_objeto!B:D,3,FALSE),"-",A237)</f>
        <v>RRMM-PERCCO-236</v>
      </c>
      <c r="C237" s="22" t="str">
        <f t="shared" si="39"/>
        <v>LAMINA_LISA__ACERO_ROLADA EN FRIO_3'X10'_6</v>
      </c>
      <c r="D237" s="14" t="s">
        <v>7407</v>
      </c>
      <c r="E237" s="14" t="s">
        <v>7380</v>
      </c>
      <c r="F237" s="21" t="s">
        <v>7400</v>
      </c>
      <c r="G237" s="22" t="s">
        <v>7382</v>
      </c>
      <c r="H237" s="14">
        <v>6</v>
      </c>
      <c r="I237" s="16">
        <v>4.9400000000000004</v>
      </c>
      <c r="J237" s="16">
        <f t="shared" si="40"/>
        <v>0.19448818897637798</v>
      </c>
      <c r="K237" s="16">
        <v>38.779000000000003</v>
      </c>
      <c r="L237" s="23"/>
      <c r="M237" s="23"/>
      <c r="N237" s="23"/>
      <c r="O237" s="23"/>
      <c r="P237" s="23"/>
      <c r="Q237" s="19"/>
      <c r="R237" s="17">
        <v>3</v>
      </c>
      <c r="S237" s="17">
        <v>10</v>
      </c>
      <c r="T237" s="16">
        <f t="shared" si="31"/>
        <v>3048</v>
      </c>
      <c r="U237" s="16">
        <f t="shared" si="32"/>
        <v>914.4</v>
      </c>
      <c r="V237" s="18">
        <f t="shared" si="33"/>
        <v>2787091.1999999997</v>
      </c>
      <c r="W237" s="18">
        <f t="shared" si="34"/>
        <v>2.7870911999999999</v>
      </c>
      <c r="X237" s="18">
        <f t="shared" si="35"/>
        <v>108.08060964480001</v>
      </c>
      <c r="Y237" s="24">
        <v>35</v>
      </c>
      <c r="Z237" s="24">
        <f t="shared" si="36"/>
        <v>3782.8213375680002</v>
      </c>
      <c r="AA237" s="16">
        <v>22</v>
      </c>
      <c r="AB237" s="16">
        <f t="shared" si="37"/>
        <v>3004</v>
      </c>
      <c r="AC237" s="16">
        <f t="shared" si="37"/>
        <v>870.4</v>
      </c>
      <c r="AD237" s="19">
        <f t="shared" si="38"/>
        <v>2614681.6000000001</v>
      </c>
      <c r="AE237" s="1" t="s">
        <v>7456</v>
      </c>
      <c r="AF237" s="1" t="str">
        <f>VLOOKUP(AE237,t_objeto!B:C,2,FALSE)</f>
        <v>RAW_MATERIAL</v>
      </c>
      <c r="AG237" s="1">
        <v>8</v>
      </c>
      <c r="AH237" s="1" t="str">
        <f>VLOOKUP(AG237,t_entry_status!A:AE,2,FALSE)</f>
        <v>PENDING</v>
      </c>
      <c r="AI237" s="7">
        <v>45560</v>
      </c>
      <c r="AJ237" s="1" t="s">
        <v>7449</v>
      </c>
      <c r="AK237" s="7">
        <v>45560</v>
      </c>
      <c r="AL237" s="1" t="s">
        <v>7449</v>
      </c>
    </row>
    <row r="238" spans="1:38" s="20" customFormat="1" x14ac:dyDescent="0.25">
      <c r="A238" s="14">
        <v>237</v>
      </c>
      <c r="B238" s="14" t="str">
        <f>_xlfn.CONCAT(AE238,"-",VLOOKUP(AE238,t_objeto!B:D,3,FALSE),"-",A238)</f>
        <v>RRMM-PERCCO-237</v>
      </c>
      <c r="C238" s="22" t="str">
        <f t="shared" si="39"/>
        <v>LAMINA_LISA__ACERO_ROLADA EN FRIO_3'X10'_7</v>
      </c>
      <c r="D238" s="14" t="s">
        <v>7407</v>
      </c>
      <c r="E238" s="14" t="s">
        <v>7380</v>
      </c>
      <c r="F238" s="21" t="s">
        <v>7400</v>
      </c>
      <c r="G238" s="22" t="s">
        <v>7382</v>
      </c>
      <c r="H238" s="14">
        <v>7</v>
      </c>
      <c r="I238" s="16">
        <v>4.55</v>
      </c>
      <c r="J238" s="16">
        <f t="shared" si="40"/>
        <v>0.17913385826771655</v>
      </c>
      <c r="K238" s="16">
        <v>35.718000000000004</v>
      </c>
      <c r="L238" s="23"/>
      <c r="M238" s="23"/>
      <c r="N238" s="23"/>
      <c r="O238" s="23"/>
      <c r="P238" s="23"/>
      <c r="Q238" s="19"/>
      <c r="R238" s="17">
        <v>3</v>
      </c>
      <c r="S238" s="17">
        <v>10</v>
      </c>
      <c r="T238" s="16">
        <f t="shared" si="31"/>
        <v>3048</v>
      </c>
      <c r="U238" s="16">
        <f t="shared" si="32"/>
        <v>914.4</v>
      </c>
      <c r="V238" s="18">
        <f t="shared" si="33"/>
        <v>2787091.1999999997</v>
      </c>
      <c r="W238" s="18">
        <f t="shared" si="34"/>
        <v>2.7870911999999999</v>
      </c>
      <c r="X238" s="18">
        <f t="shared" si="35"/>
        <v>99.549323481600013</v>
      </c>
      <c r="Y238" s="24">
        <v>35</v>
      </c>
      <c r="Z238" s="24">
        <f t="shared" si="36"/>
        <v>3484.2263218560006</v>
      </c>
      <c r="AA238" s="16">
        <v>23</v>
      </c>
      <c r="AB238" s="16">
        <f t="shared" si="37"/>
        <v>3002</v>
      </c>
      <c r="AC238" s="16">
        <f t="shared" si="37"/>
        <v>868.4</v>
      </c>
      <c r="AD238" s="19">
        <f t="shared" si="38"/>
        <v>2606936.7999999998</v>
      </c>
      <c r="AE238" s="1" t="s">
        <v>7456</v>
      </c>
      <c r="AF238" s="1" t="str">
        <f>VLOOKUP(AE238,t_objeto!B:C,2,FALSE)</f>
        <v>RAW_MATERIAL</v>
      </c>
      <c r="AG238" s="1">
        <v>8</v>
      </c>
      <c r="AH238" s="1" t="str">
        <f>VLOOKUP(AG238,t_entry_status!A:AE,2,FALSE)</f>
        <v>PENDING</v>
      </c>
      <c r="AI238" s="7">
        <v>45560</v>
      </c>
      <c r="AJ238" s="1" t="s">
        <v>7449</v>
      </c>
      <c r="AK238" s="7">
        <v>45560</v>
      </c>
      <c r="AL238" s="1" t="s">
        <v>7449</v>
      </c>
    </row>
    <row r="239" spans="1:38" s="20" customFormat="1" x14ac:dyDescent="0.25">
      <c r="A239" s="14">
        <v>238</v>
      </c>
      <c r="B239" s="14" t="str">
        <f>_xlfn.CONCAT(AE239,"-",VLOOKUP(AE239,t_objeto!B:D,3,FALSE),"-",A239)</f>
        <v>RRMM-PERCCO-238</v>
      </c>
      <c r="C239" s="22" t="str">
        <f t="shared" si="39"/>
        <v>LAMINA_LISA__ACERO_ROLADA EN FRIO_3'X10'_8</v>
      </c>
      <c r="D239" s="14" t="s">
        <v>7407</v>
      </c>
      <c r="E239" s="14" t="s">
        <v>7380</v>
      </c>
      <c r="F239" s="21" t="s">
        <v>7400</v>
      </c>
      <c r="G239" s="22" t="s">
        <v>7382</v>
      </c>
      <c r="H239" s="14">
        <v>8</v>
      </c>
      <c r="I239" s="16">
        <v>4.18</v>
      </c>
      <c r="J239" s="16">
        <f t="shared" si="40"/>
        <v>0.16456692913385826</v>
      </c>
      <c r="K239" s="16">
        <v>32.813000000000002</v>
      </c>
      <c r="L239" s="23"/>
      <c r="M239" s="23"/>
      <c r="N239" s="23"/>
      <c r="O239" s="23"/>
      <c r="P239" s="23"/>
      <c r="Q239" s="19"/>
      <c r="R239" s="17">
        <v>3</v>
      </c>
      <c r="S239" s="17">
        <v>10</v>
      </c>
      <c r="T239" s="16">
        <f t="shared" si="31"/>
        <v>3048</v>
      </c>
      <c r="U239" s="16">
        <f t="shared" si="32"/>
        <v>914.4</v>
      </c>
      <c r="V239" s="18">
        <f t="shared" si="33"/>
        <v>2787091.1999999997</v>
      </c>
      <c r="W239" s="18">
        <f t="shared" si="34"/>
        <v>2.7870911999999999</v>
      </c>
      <c r="X239" s="18">
        <f t="shared" si="35"/>
        <v>91.452823545599998</v>
      </c>
      <c r="Y239" s="24">
        <v>35</v>
      </c>
      <c r="Z239" s="24">
        <f t="shared" si="36"/>
        <v>3200.848824096</v>
      </c>
      <c r="AA239" s="16">
        <v>24</v>
      </c>
      <c r="AB239" s="16">
        <f t="shared" si="37"/>
        <v>3000</v>
      </c>
      <c r="AC239" s="16">
        <f t="shared" si="37"/>
        <v>866.4</v>
      </c>
      <c r="AD239" s="19">
        <f t="shared" si="38"/>
        <v>2599200</v>
      </c>
      <c r="AE239" s="1" t="s">
        <v>7456</v>
      </c>
      <c r="AF239" s="1" t="str">
        <f>VLOOKUP(AE239,t_objeto!B:C,2,FALSE)</f>
        <v>RAW_MATERIAL</v>
      </c>
      <c r="AG239" s="1">
        <v>8</v>
      </c>
      <c r="AH239" s="1" t="str">
        <f>VLOOKUP(AG239,t_entry_status!A:AE,2,FALSE)</f>
        <v>PENDING</v>
      </c>
      <c r="AI239" s="7">
        <v>45560</v>
      </c>
      <c r="AJ239" s="1" t="s">
        <v>7449</v>
      </c>
      <c r="AK239" s="7">
        <v>45560</v>
      </c>
      <c r="AL239" s="1" t="s">
        <v>7449</v>
      </c>
    </row>
    <row r="240" spans="1:38" s="20" customFormat="1" x14ac:dyDescent="0.25">
      <c r="A240" s="14">
        <v>239</v>
      </c>
      <c r="B240" s="14" t="str">
        <f>_xlfn.CONCAT(AE240,"-",VLOOKUP(AE240,t_objeto!B:D,3,FALSE),"-",A240)</f>
        <v>RRMM-PERCCO-239</v>
      </c>
      <c r="C240" s="22" t="str">
        <f t="shared" si="39"/>
        <v>LAMINA_LISA__ACERO_ROLADA EN FRIO_3'X10'_9</v>
      </c>
      <c r="D240" s="14" t="s">
        <v>7407</v>
      </c>
      <c r="E240" s="14" t="s">
        <v>7380</v>
      </c>
      <c r="F240" s="21" t="s">
        <v>7400</v>
      </c>
      <c r="G240" s="22" t="s">
        <v>7382</v>
      </c>
      <c r="H240" s="14">
        <v>9</v>
      </c>
      <c r="I240" s="16">
        <v>3.8</v>
      </c>
      <c r="J240" s="16">
        <f t="shared" si="40"/>
        <v>0.14960629921259844</v>
      </c>
      <c r="K240" s="16">
        <v>29.83</v>
      </c>
      <c r="L240" s="23"/>
      <c r="M240" s="23"/>
      <c r="N240" s="23"/>
      <c r="O240" s="23"/>
      <c r="P240" s="23"/>
      <c r="Q240" s="19"/>
      <c r="R240" s="17">
        <v>3</v>
      </c>
      <c r="S240" s="17">
        <v>10</v>
      </c>
      <c r="T240" s="16">
        <f t="shared" si="31"/>
        <v>3048</v>
      </c>
      <c r="U240" s="16">
        <f t="shared" si="32"/>
        <v>914.4</v>
      </c>
      <c r="V240" s="18">
        <f t="shared" si="33"/>
        <v>2787091.1999999997</v>
      </c>
      <c r="W240" s="18">
        <f t="shared" si="34"/>
        <v>2.7870911999999999</v>
      </c>
      <c r="X240" s="18">
        <f t="shared" si="35"/>
        <v>83.138930495999986</v>
      </c>
      <c r="Y240" s="24">
        <v>35</v>
      </c>
      <c r="Z240" s="24">
        <f t="shared" si="36"/>
        <v>2909.8625673599995</v>
      </c>
      <c r="AA240" s="16">
        <v>25</v>
      </c>
      <c r="AB240" s="16">
        <f t="shared" si="37"/>
        <v>2998</v>
      </c>
      <c r="AC240" s="16">
        <f t="shared" si="37"/>
        <v>864.4</v>
      </c>
      <c r="AD240" s="19">
        <f t="shared" si="38"/>
        <v>2591471.1999999997</v>
      </c>
      <c r="AE240" s="1" t="s">
        <v>7456</v>
      </c>
      <c r="AF240" s="1" t="str">
        <f>VLOOKUP(AE240,t_objeto!B:C,2,FALSE)</f>
        <v>RAW_MATERIAL</v>
      </c>
      <c r="AG240" s="1">
        <v>8</v>
      </c>
      <c r="AH240" s="1" t="str">
        <f>VLOOKUP(AG240,t_entry_status!A:AE,2,FALSE)</f>
        <v>PENDING</v>
      </c>
      <c r="AI240" s="7">
        <v>45560</v>
      </c>
      <c r="AJ240" s="1" t="s">
        <v>7449</v>
      </c>
      <c r="AK240" s="7">
        <v>45560</v>
      </c>
      <c r="AL240" s="1" t="s">
        <v>7449</v>
      </c>
    </row>
    <row r="241" spans="1:38" s="20" customFormat="1" x14ac:dyDescent="0.25">
      <c r="A241" s="14">
        <v>240</v>
      </c>
      <c r="B241" s="14" t="str">
        <f>_xlfn.CONCAT(AE241,"-",VLOOKUP(AE241,t_objeto!B:D,3,FALSE),"-",A241)</f>
        <v>RRMM-PERCCO-240</v>
      </c>
      <c r="C241" s="22" t="str">
        <f t="shared" si="39"/>
        <v>LAMINA_LISA__ACERO_ROLADA EN FRIO_3'X10'_10</v>
      </c>
      <c r="D241" s="14" t="s">
        <v>7407</v>
      </c>
      <c r="E241" s="14" t="s">
        <v>7380</v>
      </c>
      <c r="F241" s="21" t="s">
        <v>7400</v>
      </c>
      <c r="G241" s="22" t="s">
        <v>7382</v>
      </c>
      <c r="H241" s="14">
        <v>10</v>
      </c>
      <c r="I241" s="16">
        <v>3.42</v>
      </c>
      <c r="J241" s="16">
        <f t="shared" si="40"/>
        <v>0.13464566929133859</v>
      </c>
      <c r="K241" s="16">
        <v>26.847000000000001</v>
      </c>
      <c r="L241" s="23">
        <v>2</v>
      </c>
      <c r="M241" s="23">
        <v>1</v>
      </c>
      <c r="N241" s="23">
        <v>10</v>
      </c>
      <c r="O241" s="23"/>
      <c r="P241" s="23"/>
      <c r="Q241" s="19" t="s">
        <v>7402</v>
      </c>
      <c r="R241" s="17">
        <v>3</v>
      </c>
      <c r="S241" s="17">
        <v>10</v>
      </c>
      <c r="T241" s="16">
        <f t="shared" si="31"/>
        <v>3048</v>
      </c>
      <c r="U241" s="16">
        <f t="shared" si="32"/>
        <v>914.4</v>
      </c>
      <c r="V241" s="18">
        <f t="shared" si="33"/>
        <v>2787091.1999999997</v>
      </c>
      <c r="W241" s="18">
        <f t="shared" si="34"/>
        <v>2.7870911999999999</v>
      </c>
      <c r="X241" s="18">
        <f t="shared" si="35"/>
        <v>74.825037446400003</v>
      </c>
      <c r="Y241" s="24">
        <v>35</v>
      </c>
      <c r="Z241" s="24">
        <f t="shared" si="36"/>
        <v>2618.8763106240003</v>
      </c>
      <c r="AA241" s="16">
        <v>26</v>
      </c>
      <c r="AB241" s="16">
        <f t="shared" si="37"/>
        <v>2996</v>
      </c>
      <c r="AC241" s="16">
        <f t="shared" si="37"/>
        <v>862.4</v>
      </c>
      <c r="AD241" s="19">
        <f t="shared" si="38"/>
        <v>2583750.4</v>
      </c>
      <c r="AE241" s="1" t="s">
        <v>7456</v>
      </c>
      <c r="AF241" s="1" t="str">
        <f>VLOOKUP(AE241,t_objeto!B:C,2,FALSE)</f>
        <v>RAW_MATERIAL</v>
      </c>
      <c r="AG241" s="1">
        <v>8</v>
      </c>
      <c r="AH241" s="1" t="str">
        <f>VLOOKUP(AG241,t_entry_status!A:AE,2,FALSE)</f>
        <v>PENDING</v>
      </c>
      <c r="AI241" s="7">
        <v>45560</v>
      </c>
      <c r="AJ241" s="1" t="s">
        <v>7449</v>
      </c>
      <c r="AK241" s="7">
        <v>45560</v>
      </c>
      <c r="AL241" s="1" t="s">
        <v>7449</v>
      </c>
    </row>
    <row r="242" spans="1:38" s="20" customFormat="1" x14ac:dyDescent="0.25">
      <c r="A242" s="14">
        <v>241</v>
      </c>
      <c r="B242" s="14" t="str">
        <f>_xlfn.CONCAT(AE242,"-",VLOOKUP(AE242,t_objeto!B:D,3,FALSE),"-",A242)</f>
        <v>RRMM-PERCCO-241</v>
      </c>
      <c r="C242" s="22" t="str">
        <f t="shared" si="39"/>
        <v>LAMINA_LISA__ACERO_ROLADA EN FRIO_3'X8'_1/8"</v>
      </c>
      <c r="D242" s="14" t="s">
        <v>7407</v>
      </c>
      <c r="E242" s="14" t="s">
        <v>7380</v>
      </c>
      <c r="F242" s="21" t="s">
        <v>7400</v>
      </c>
      <c r="G242" s="22" t="s">
        <v>7382</v>
      </c>
      <c r="H242" s="14" t="s">
        <v>7399</v>
      </c>
      <c r="I242" s="16">
        <v>3.18</v>
      </c>
      <c r="J242" s="16">
        <v>0.125</v>
      </c>
      <c r="K242" s="16"/>
      <c r="L242" s="23"/>
      <c r="M242" s="23"/>
      <c r="N242" s="23"/>
      <c r="O242" s="23"/>
      <c r="P242" s="23"/>
      <c r="Q242" s="19"/>
      <c r="R242" s="17">
        <v>3</v>
      </c>
      <c r="S242" s="17">
        <v>8</v>
      </c>
      <c r="T242" s="16">
        <f t="shared" si="31"/>
        <v>2438.3999999999996</v>
      </c>
      <c r="U242" s="16">
        <f t="shared" si="32"/>
        <v>914.4</v>
      </c>
      <c r="V242" s="18">
        <f t="shared" si="33"/>
        <v>2229672.9599999995</v>
      </c>
      <c r="W242" s="18">
        <f t="shared" si="34"/>
        <v>2.2296729599999994</v>
      </c>
      <c r="X242" s="18">
        <f t="shared" si="35"/>
        <v>0</v>
      </c>
      <c r="Y242" s="24">
        <v>35</v>
      </c>
      <c r="Z242" s="24">
        <f t="shared" si="36"/>
        <v>0</v>
      </c>
      <c r="AA242" s="16">
        <v>26</v>
      </c>
      <c r="AB242" s="16">
        <f t="shared" si="37"/>
        <v>2386.3999999999996</v>
      </c>
      <c r="AC242" s="16">
        <f t="shared" si="37"/>
        <v>862.4</v>
      </c>
      <c r="AD242" s="19">
        <f t="shared" si="38"/>
        <v>2058031.3599999996</v>
      </c>
      <c r="AE242" s="1" t="s">
        <v>7456</v>
      </c>
      <c r="AF242" s="1" t="str">
        <f>VLOOKUP(AE242,t_objeto!B:C,2,FALSE)</f>
        <v>RAW_MATERIAL</v>
      </c>
      <c r="AG242" s="1">
        <v>8</v>
      </c>
      <c r="AH242" s="1" t="str">
        <f>VLOOKUP(AG242,t_entry_status!A:AE,2,FALSE)</f>
        <v>PENDING</v>
      </c>
      <c r="AI242" s="7">
        <v>45560</v>
      </c>
      <c r="AJ242" s="1" t="s">
        <v>7449</v>
      </c>
      <c r="AK242" s="7">
        <v>45560</v>
      </c>
      <c r="AL242" s="1" t="s">
        <v>7449</v>
      </c>
    </row>
    <row r="243" spans="1:38" s="20" customFormat="1" x14ac:dyDescent="0.25">
      <c r="A243" s="14">
        <v>242</v>
      </c>
      <c r="B243" s="14" t="str">
        <f>_xlfn.CONCAT(AE243,"-",VLOOKUP(AE243,t_objeto!B:D,3,FALSE),"-",A243)</f>
        <v>RRMM-PERCCO-242</v>
      </c>
      <c r="C243" s="22" t="str">
        <f t="shared" si="39"/>
        <v>LAMINA_LISA__ACERO_ROLADA EN FRIO_3'X10'_11</v>
      </c>
      <c r="D243" s="14" t="s">
        <v>7407</v>
      </c>
      <c r="E243" s="14" t="s">
        <v>7380</v>
      </c>
      <c r="F243" s="21" t="s">
        <v>7400</v>
      </c>
      <c r="G243" s="22" t="s">
        <v>7382</v>
      </c>
      <c r="H243" s="14">
        <v>11</v>
      </c>
      <c r="I243" s="16">
        <v>3.04</v>
      </c>
      <c r="J243" s="16">
        <f t="shared" si="40"/>
        <v>0.11968503937007875</v>
      </c>
      <c r="K243" s="16">
        <v>23.864000000000001</v>
      </c>
      <c r="L243" s="23">
        <v>3</v>
      </c>
      <c r="M243" s="23"/>
      <c r="N243" s="23"/>
      <c r="O243" s="23"/>
      <c r="P243" s="23"/>
      <c r="Q243" s="19"/>
      <c r="R243" s="17">
        <v>3</v>
      </c>
      <c r="S243" s="17">
        <v>10</v>
      </c>
      <c r="T243" s="16">
        <f t="shared" si="31"/>
        <v>3048</v>
      </c>
      <c r="U243" s="16">
        <f t="shared" si="32"/>
        <v>914.4</v>
      </c>
      <c r="V243" s="18">
        <f t="shared" si="33"/>
        <v>2787091.1999999997</v>
      </c>
      <c r="W243" s="18">
        <f t="shared" si="34"/>
        <v>2.7870911999999999</v>
      </c>
      <c r="X243" s="18">
        <f t="shared" si="35"/>
        <v>66.511144396800006</v>
      </c>
      <c r="Y243" s="24">
        <v>35</v>
      </c>
      <c r="Z243" s="24">
        <f t="shared" si="36"/>
        <v>2327.8900538880002</v>
      </c>
      <c r="AA243" s="16">
        <v>27</v>
      </c>
      <c r="AB243" s="16">
        <f t="shared" si="37"/>
        <v>2994</v>
      </c>
      <c r="AC243" s="16">
        <f t="shared" si="37"/>
        <v>860.4</v>
      </c>
      <c r="AD243" s="19">
        <f t="shared" si="38"/>
        <v>2576037.6</v>
      </c>
      <c r="AE243" s="1" t="s">
        <v>7456</v>
      </c>
      <c r="AF243" s="1" t="str">
        <f>VLOOKUP(AE243,t_objeto!B:C,2,FALSE)</f>
        <v>RAW_MATERIAL</v>
      </c>
      <c r="AG243" s="1">
        <v>8</v>
      </c>
      <c r="AH243" s="1" t="str">
        <f>VLOOKUP(AG243,t_entry_status!A:AE,2,FALSE)</f>
        <v>PENDING</v>
      </c>
      <c r="AI243" s="7">
        <v>45560</v>
      </c>
      <c r="AJ243" s="1" t="s">
        <v>7449</v>
      </c>
      <c r="AK243" s="7">
        <v>45560</v>
      </c>
      <c r="AL243" s="1" t="s">
        <v>7449</v>
      </c>
    </row>
    <row r="244" spans="1:38" s="20" customFormat="1" x14ac:dyDescent="0.25">
      <c r="A244" s="14">
        <v>243</v>
      </c>
      <c r="B244" s="14" t="str">
        <f>_xlfn.CONCAT(AE244,"-",VLOOKUP(AE244,t_objeto!B:D,3,FALSE),"-",A244)</f>
        <v>RRMM-PERCCO-243</v>
      </c>
      <c r="C244" s="22" t="str">
        <f t="shared" si="39"/>
        <v>LAMINA_LISA__ACERO_ROLADA EN FRIO_3'X10'_12</v>
      </c>
      <c r="D244" s="14" t="s">
        <v>7407</v>
      </c>
      <c r="E244" s="14" t="s">
        <v>7380</v>
      </c>
      <c r="F244" s="21" t="s">
        <v>7400</v>
      </c>
      <c r="G244" s="22" t="s">
        <v>7382</v>
      </c>
      <c r="H244" s="14">
        <v>12</v>
      </c>
      <c r="I244" s="16">
        <v>2.66</v>
      </c>
      <c r="J244" s="16">
        <f t="shared" si="40"/>
        <v>0.1047244094488189</v>
      </c>
      <c r="K244" s="16">
        <v>20.881</v>
      </c>
      <c r="L244" s="23">
        <v>4</v>
      </c>
      <c r="M244" s="23"/>
      <c r="N244" s="23"/>
      <c r="O244" s="23"/>
      <c r="P244" s="23"/>
      <c r="Q244" s="19"/>
      <c r="R244" s="17">
        <v>3</v>
      </c>
      <c r="S244" s="17">
        <v>10</v>
      </c>
      <c r="T244" s="16">
        <f t="shared" si="31"/>
        <v>3048</v>
      </c>
      <c r="U244" s="16">
        <f t="shared" si="32"/>
        <v>914.4</v>
      </c>
      <c r="V244" s="18">
        <f t="shared" si="33"/>
        <v>2787091.1999999997</v>
      </c>
      <c r="W244" s="18">
        <f t="shared" si="34"/>
        <v>2.7870911999999999</v>
      </c>
      <c r="X244" s="18">
        <f t="shared" si="35"/>
        <v>58.197251347199995</v>
      </c>
      <c r="Y244" s="24">
        <v>35</v>
      </c>
      <c r="Z244" s="24">
        <f t="shared" si="36"/>
        <v>2036.9037971519997</v>
      </c>
      <c r="AA244" s="16">
        <v>28</v>
      </c>
      <c r="AB244" s="16">
        <f t="shared" si="37"/>
        <v>2992</v>
      </c>
      <c r="AC244" s="16">
        <f t="shared" si="37"/>
        <v>858.4</v>
      </c>
      <c r="AD244" s="19">
        <f t="shared" si="38"/>
        <v>2568332.7999999998</v>
      </c>
      <c r="AE244" s="1" t="s">
        <v>7456</v>
      </c>
      <c r="AF244" s="1" t="str">
        <f>VLOOKUP(AE244,t_objeto!B:C,2,FALSE)</f>
        <v>RAW_MATERIAL</v>
      </c>
      <c r="AG244" s="1">
        <v>8</v>
      </c>
      <c r="AH244" s="1" t="str">
        <f>VLOOKUP(AG244,t_entry_status!A:AE,2,FALSE)</f>
        <v>PENDING</v>
      </c>
      <c r="AI244" s="7">
        <v>45560</v>
      </c>
      <c r="AJ244" s="1" t="s">
        <v>7449</v>
      </c>
      <c r="AK244" s="7">
        <v>45560</v>
      </c>
      <c r="AL244" s="1" t="s">
        <v>7449</v>
      </c>
    </row>
    <row r="245" spans="1:38" s="20" customFormat="1" x14ac:dyDescent="0.25">
      <c r="A245" s="14">
        <v>244</v>
      </c>
      <c r="B245" s="14" t="str">
        <f>_xlfn.CONCAT(AE245,"-",VLOOKUP(AE245,t_objeto!B:D,3,FALSE),"-",A245)</f>
        <v>RRMM-PERCCO-244</v>
      </c>
      <c r="C245" s="22" t="str">
        <f t="shared" si="39"/>
        <v>LAMINA_LISA__ACERO_ROLADA EN FRIO_3'X10'_13</v>
      </c>
      <c r="D245" s="14" t="s">
        <v>7407</v>
      </c>
      <c r="E245" s="14" t="s">
        <v>7380</v>
      </c>
      <c r="F245" s="21" t="s">
        <v>7400</v>
      </c>
      <c r="G245" s="22" t="s">
        <v>7382</v>
      </c>
      <c r="H245" s="14">
        <v>13</v>
      </c>
      <c r="I245" s="16">
        <v>2.2799999999999998</v>
      </c>
      <c r="J245" s="16">
        <f t="shared" si="40"/>
        <v>8.9763779527559054E-2</v>
      </c>
      <c r="K245" s="16">
        <v>17.898</v>
      </c>
      <c r="L245" s="23">
        <v>5</v>
      </c>
      <c r="M245" s="23"/>
      <c r="N245" s="23"/>
      <c r="O245" s="23"/>
      <c r="P245" s="23"/>
      <c r="Q245" s="19"/>
      <c r="R245" s="17">
        <v>3</v>
      </c>
      <c r="S245" s="17">
        <v>10</v>
      </c>
      <c r="T245" s="16">
        <f t="shared" si="31"/>
        <v>3048</v>
      </c>
      <c r="U245" s="16">
        <f t="shared" si="32"/>
        <v>914.4</v>
      </c>
      <c r="V245" s="18">
        <f t="shared" si="33"/>
        <v>2787091.1999999997</v>
      </c>
      <c r="W245" s="18">
        <f t="shared" si="34"/>
        <v>2.7870911999999999</v>
      </c>
      <c r="X245" s="18">
        <f t="shared" si="35"/>
        <v>49.883358297599997</v>
      </c>
      <c r="Y245" s="24">
        <v>35</v>
      </c>
      <c r="Z245" s="24">
        <f t="shared" si="36"/>
        <v>1745.9175404159998</v>
      </c>
      <c r="AA245" s="16">
        <v>29</v>
      </c>
      <c r="AB245" s="16">
        <f t="shared" si="37"/>
        <v>2990</v>
      </c>
      <c r="AC245" s="16">
        <f t="shared" si="37"/>
        <v>856.4</v>
      </c>
      <c r="AD245" s="19">
        <f t="shared" si="38"/>
        <v>2560636</v>
      </c>
      <c r="AE245" s="1" t="s">
        <v>7456</v>
      </c>
      <c r="AF245" s="1" t="str">
        <f>VLOOKUP(AE245,t_objeto!B:C,2,FALSE)</f>
        <v>RAW_MATERIAL</v>
      </c>
      <c r="AG245" s="1">
        <v>8</v>
      </c>
      <c r="AH245" s="1" t="str">
        <f>VLOOKUP(AG245,t_entry_status!A:AE,2,FALSE)</f>
        <v>PENDING</v>
      </c>
      <c r="AI245" s="7">
        <v>45560</v>
      </c>
      <c r="AJ245" s="1" t="s">
        <v>7449</v>
      </c>
      <c r="AK245" s="7">
        <v>45560</v>
      </c>
      <c r="AL245" s="1" t="s">
        <v>7449</v>
      </c>
    </row>
    <row r="246" spans="1:38" s="20" customFormat="1" x14ac:dyDescent="0.25">
      <c r="A246" s="14">
        <v>245</v>
      </c>
      <c r="B246" s="14" t="str">
        <f>_xlfn.CONCAT(AE246,"-",VLOOKUP(AE246,t_objeto!B:D,3,FALSE),"-",A246)</f>
        <v>RRMM-PERCCO-245</v>
      </c>
      <c r="C246" s="22" t="str">
        <f t="shared" si="39"/>
        <v>LAMINA_LISA__ACERO_ROLADA EN FRIO_3'X10'_14</v>
      </c>
      <c r="D246" s="14" t="s">
        <v>7407</v>
      </c>
      <c r="E246" s="14" t="s">
        <v>7380</v>
      </c>
      <c r="F246" s="21" t="s">
        <v>7400</v>
      </c>
      <c r="G246" s="22" t="s">
        <v>7382</v>
      </c>
      <c r="H246" s="14">
        <v>14</v>
      </c>
      <c r="I246" s="16">
        <v>1.9</v>
      </c>
      <c r="J246" s="16">
        <f t="shared" si="40"/>
        <v>7.4803149606299218E-2</v>
      </c>
      <c r="K246" s="16">
        <v>14.914999999999999</v>
      </c>
      <c r="L246" s="23">
        <v>5</v>
      </c>
      <c r="M246" s="23">
        <v>1</v>
      </c>
      <c r="N246" s="23">
        <v>10</v>
      </c>
      <c r="O246" s="23"/>
      <c r="P246" s="23"/>
      <c r="Q246" s="19" t="s">
        <v>7402</v>
      </c>
      <c r="R246" s="17">
        <v>3</v>
      </c>
      <c r="S246" s="17">
        <v>10</v>
      </c>
      <c r="T246" s="16">
        <f t="shared" si="31"/>
        <v>3048</v>
      </c>
      <c r="U246" s="16">
        <f t="shared" si="32"/>
        <v>914.4</v>
      </c>
      <c r="V246" s="18">
        <f t="shared" si="33"/>
        <v>2787091.1999999997</v>
      </c>
      <c r="W246" s="18">
        <f t="shared" si="34"/>
        <v>2.7870911999999999</v>
      </c>
      <c r="X246" s="18">
        <f t="shared" si="35"/>
        <v>41.569465247999993</v>
      </c>
      <c r="Y246" s="24">
        <v>35</v>
      </c>
      <c r="Z246" s="24">
        <f t="shared" si="36"/>
        <v>1454.9312836799998</v>
      </c>
      <c r="AA246" s="16">
        <v>30</v>
      </c>
      <c r="AB246" s="16">
        <f t="shared" si="37"/>
        <v>2988</v>
      </c>
      <c r="AC246" s="16">
        <f t="shared" si="37"/>
        <v>854.4</v>
      </c>
      <c r="AD246" s="19">
        <f t="shared" si="38"/>
        <v>2552947.1999999997</v>
      </c>
      <c r="AE246" s="1" t="s">
        <v>7456</v>
      </c>
      <c r="AF246" s="1" t="str">
        <f>VLOOKUP(AE246,t_objeto!B:C,2,FALSE)</f>
        <v>RAW_MATERIAL</v>
      </c>
      <c r="AG246" s="1">
        <v>8</v>
      </c>
      <c r="AH246" s="1" t="str">
        <f>VLOOKUP(AG246,t_entry_status!A:AE,2,FALSE)</f>
        <v>PENDING</v>
      </c>
      <c r="AI246" s="7">
        <v>45560</v>
      </c>
      <c r="AJ246" s="1" t="s">
        <v>7449</v>
      </c>
      <c r="AK246" s="7">
        <v>45560</v>
      </c>
      <c r="AL246" s="1" t="s">
        <v>7449</v>
      </c>
    </row>
    <row r="247" spans="1:38" s="20" customFormat="1" x14ac:dyDescent="0.25">
      <c r="A247" s="14">
        <v>246</v>
      </c>
      <c r="B247" s="14" t="str">
        <f>_xlfn.CONCAT(AE247,"-",VLOOKUP(AE247,t_objeto!B:D,3,FALSE),"-",A247)</f>
        <v>RRMM-PERCCO-246</v>
      </c>
      <c r="C247" s="22" t="str">
        <f t="shared" si="39"/>
        <v>LAMINA_LISA__ACERO_ROLADA EN FRIO_3'X10'_15</v>
      </c>
      <c r="D247" s="14" t="s">
        <v>7407</v>
      </c>
      <c r="E247" s="14" t="s">
        <v>7380</v>
      </c>
      <c r="F247" s="21" t="s">
        <v>7400</v>
      </c>
      <c r="G247" s="22" t="s">
        <v>7382</v>
      </c>
      <c r="H247" s="14">
        <v>15</v>
      </c>
      <c r="I247" s="16">
        <v>1.71</v>
      </c>
      <c r="J247" s="16">
        <f t="shared" si="40"/>
        <v>6.7322834645669294E-2</v>
      </c>
      <c r="K247" s="16">
        <v>13.423999999999999</v>
      </c>
      <c r="L247" s="23"/>
      <c r="M247" s="23"/>
      <c r="N247" s="23"/>
      <c r="O247" s="23"/>
      <c r="P247" s="23"/>
      <c r="Q247" s="19"/>
      <c r="R247" s="17">
        <v>3</v>
      </c>
      <c r="S247" s="17">
        <v>10</v>
      </c>
      <c r="T247" s="16">
        <f t="shared" si="31"/>
        <v>3048</v>
      </c>
      <c r="U247" s="16">
        <f t="shared" si="32"/>
        <v>914.4</v>
      </c>
      <c r="V247" s="18">
        <f t="shared" si="33"/>
        <v>2787091.1999999997</v>
      </c>
      <c r="W247" s="18">
        <f t="shared" si="34"/>
        <v>2.7870911999999999</v>
      </c>
      <c r="X247" s="18">
        <f t="shared" si="35"/>
        <v>37.413912268799997</v>
      </c>
      <c r="Y247" s="24">
        <v>35</v>
      </c>
      <c r="Z247" s="24">
        <f t="shared" si="36"/>
        <v>1309.4869294079999</v>
      </c>
      <c r="AA247" s="16">
        <v>31</v>
      </c>
      <c r="AB247" s="16">
        <f t="shared" si="37"/>
        <v>2986</v>
      </c>
      <c r="AC247" s="16">
        <f t="shared" si="37"/>
        <v>852.4</v>
      </c>
      <c r="AD247" s="19">
        <f t="shared" si="38"/>
        <v>2545266.4</v>
      </c>
      <c r="AE247" s="1" t="s">
        <v>7456</v>
      </c>
      <c r="AF247" s="1" t="str">
        <f>VLOOKUP(AE247,t_objeto!B:C,2,FALSE)</f>
        <v>RAW_MATERIAL</v>
      </c>
      <c r="AG247" s="1">
        <v>8</v>
      </c>
      <c r="AH247" s="1" t="str">
        <f>VLOOKUP(AG247,t_entry_status!A:AE,2,FALSE)</f>
        <v>PENDING</v>
      </c>
      <c r="AI247" s="7">
        <v>45560</v>
      </c>
      <c r="AJ247" s="1" t="s">
        <v>7449</v>
      </c>
      <c r="AK247" s="7">
        <v>45560</v>
      </c>
      <c r="AL247" s="1" t="s">
        <v>7449</v>
      </c>
    </row>
    <row r="248" spans="1:38" s="20" customFormat="1" x14ac:dyDescent="0.25">
      <c r="A248" s="14">
        <v>247</v>
      </c>
      <c r="B248" s="14" t="str">
        <f>_xlfn.CONCAT(AE248,"-",VLOOKUP(AE248,t_objeto!B:D,3,FALSE),"-",A248)</f>
        <v>RRMM-PERCCO-247</v>
      </c>
      <c r="C248" s="22" t="str">
        <f t="shared" si="39"/>
        <v>LAMINA_LISA__ACERO_ROLADA EN FRIO_3'X10'_16</v>
      </c>
      <c r="D248" s="14" t="s">
        <v>7407</v>
      </c>
      <c r="E248" s="14" t="s">
        <v>7380</v>
      </c>
      <c r="F248" s="21" t="s">
        <v>7400</v>
      </c>
      <c r="G248" s="22" t="s">
        <v>7382</v>
      </c>
      <c r="H248" s="14">
        <v>16</v>
      </c>
      <c r="I248" s="16">
        <v>1.52</v>
      </c>
      <c r="J248" s="16">
        <f t="shared" si="40"/>
        <v>5.9842519685039376E-2</v>
      </c>
      <c r="K248" s="16">
        <v>11.932</v>
      </c>
      <c r="L248" s="23"/>
      <c r="M248" s="23"/>
      <c r="N248" s="23"/>
      <c r="O248" s="23"/>
      <c r="P248" s="23"/>
      <c r="Q248" s="19"/>
      <c r="R248" s="17">
        <v>3</v>
      </c>
      <c r="S248" s="17">
        <v>10</v>
      </c>
      <c r="T248" s="16">
        <f t="shared" si="31"/>
        <v>3048</v>
      </c>
      <c r="U248" s="16">
        <f t="shared" si="32"/>
        <v>914.4</v>
      </c>
      <c r="V248" s="18">
        <f t="shared" si="33"/>
        <v>2787091.1999999997</v>
      </c>
      <c r="W248" s="18">
        <f t="shared" si="34"/>
        <v>2.7870911999999999</v>
      </c>
      <c r="X248" s="18">
        <f t="shared" si="35"/>
        <v>33.255572198400003</v>
      </c>
      <c r="Y248" s="24">
        <v>35</v>
      </c>
      <c r="Z248" s="24">
        <f t="shared" si="36"/>
        <v>1163.9450269440001</v>
      </c>
      <c r="AA248" s="16">
        <v>32</v>
      </c>
      <c r="AB248" s="16">
        <f t="shared" si="37"/>
        <v>2984</v>
      </c>
      <c r="AC248" s="16">
        <f t="shared" si="37"/>
        <v>850.4</v>
      </c>
      <c r="AD248" s="19">
        <f t="shared" si="38"/>
        <v>2537593.6</v>
      </c>
      <c r="AE248" s="1" t="s">
        <v>7456</v>
      </c>
      <c r="AF248" s="1" t="str">
        <f>VLOOKUP(AE248,t_objeto!B:C,2,FALSE)</f>
        <v>RAW_MATERIAL</v>
      </c>
      <c r="AG248" s="1">
        <v>8</v>
      </c>
      <c r="AH248" s="1" t="str">
        <f>VLOOKUP(AG248,t_entry_status!A:AE,2,FALSE)</f>
        <v>PENDING</v>
      </c>
      <c r="AI248" s="7">
        <v>45560</v>
      </c>
      <c r="AJ248" s="1" t="s">
        <v>7449</v>
      </c>
      <c r="AK248" s="7">
        <v>45560</v>
      </c>
      <c r="AL248" s="1" t="s">
        <v>7449</v>
      </c>
    </row>
    <row r="249" spans="1:38" s="20" customFormat="1" x14ac:dyDescent="0.25">
      <c r="A249" s="14">
        <v>248</v>
      </c>
      <c r="B249" s="14" t="str">
        <f>_xlfn.CONCAT(AE249,"-",VLOOKUP(AE249,t_objeto!B:D,3,FALSE),"-",A249)</f>
        <v>RRMM-PERCCO-248</v>
      </c>
      <c r="C249" s="22" t="str">
        <f t="shared" si="39"/>
        <v>LAMINA_LISA__ACERO_ROLADA EN FRIO_3'X10'_17</v>
      </c>
      <c r="D249" s="14" t="s">
        <v>7407</v>
      </c>
      <c r="E249" s="14" t="s">
        <v>7380</v>
      </c>
      <c r="F249" s="21" t="s">
        <v>7400</v>
      </c>
      <c r="G249" s="22" t="s">
        <v>7382</v>
      </c>
      <c r="H249" s="14">
        <v>17</v>
      </c>
      <c r="I249" s="16">
        <v>1.37</v>
      </c>
      <c r="J249" s="16">
        <f t="shared" si="40"/>
        <v>5.3937007874015758E-2</v>
      </c>
      <c r="K249" s="16">
        <v>10.755000000000001</v>
      </c>
      <c r="L249" s="23"/>
      <c r="M249" s="23"/>
      <c r="N249" s="23"/>
      <c r="O249" s="23"/>
      <c r="P249" s="23"/>
      <c r="Q249" s="19"/>
      <c r="R249" s="17">
        <v>3</v>
      </c>
      <c r="S249" s="17">
        <v>10</v>
      </c>
      <c r="T249" s="16">
        <f t="shared" si="31"/>
        <v>3048</v>
      </c>
      <c r="U249" s="16">
        <f t="shared" si="32"/>
        <v>914.4</v>
      </c>
      <c r="V249" s="18">
        <f t="shared" si="33"/>
        <v>2787091.1999999997</v>
      </c>
      <c r="W249" s="18">
        <f t="shared" si="34"/>
        <v>2.7870911999999999</v>
      </c>
      <c r="X249" s="18">
        <f t="shared" si="35"/>
        <v>29.975165856</v>
      </c>
      <c r="Y249" s="24">
        <v>35</v>
      </c>
      <c r="Z249" s="24">
        <f t="shared" si="36"/>
        <v>1049.13080496</v>
      </c>
      <c r="AA249" s="16">
        <v>33</v>
      </c>
      <c r="AB249" s="16">
        <f t="shared" si="37"/>
        <v>2982</v>
      </c>
      <c r="AC249" s="16">
        <f t="shared" si="37"/>
        <v>848.4</v>
      </c>
      <c r="AD249" s="19">
        <f t="shared" si="38"/>
        <v>2529928.7999999998</v>
      </c>
      <c r="AE249" s="1" t="s">
        <v>7456</v>
      </c>
      <c r="AF249" s="1" t="str">
        <f>VLOOKUP(AE249,t_objeto!B:C,2,FALSE)</f>
        <v>RAW_MATERIAL</v>
      </c>
      <c r="AG249" s="1">
        <v>8</v>
      </c>
      <c r="AH249" s="1" t="str">
        <f>VLOOKUP(AG249,t_entry_status!A:AE,2,FALSE)</f>
        <v>PENDING</v>
      </c>
      <c r="AI249" s="7">
        <v>45560</v>
      </c>
      <c r="AJ249" s="1" t="s">
        <v>7449</v>
      </c>
      <c r="AK249" s="7">
        <v>45560</v>
      </c>
      <c r="AL249" s="1" t="s">
        <v>7449</v>
      </c>
    </row>
    <row r="250" spans="1:38" s="20" customFormat="1" x14ac:dyDescent="0.25">
      <c r="A250" s="14">
        <v>249</v>
      </c>
      <c r="B250" s="14" t="str">
        <f>_xlfn.CONCAT(AE250,"-",VLOOKUP(AE250,t_objeto!B:D,3,FALSE),"-",A250)</f>
        <v>RRMM-PERCCO-249</v>
      </c>
      <c r="C250" s="22" t="str">
        <f t="shared" si="39"/>
        <v>LAMINA_LISA__ACERO_ROLADA EN FRIO_3'X10'_18</v>
      </c>
      <c r="D250" s="14" t="s">
        <v>7407</v>
      </c>
      <c r="E250" s="14" t="s">
        <v>7380</v>
      </c>
      <c r="F250" s="21" t="s">
        <v>7400</v>
      </c>
      <c r="G250" s="22" t="s">
        <v>7382</v>
      </c>
      <c r="H250" s="14">
        <v>18</v>
      </c>
      <c r="I250" s="16">
        <v>1.21</v>
      </c>
      <c r="J250" s="16">
        <f t="shared" si="40"/>
        <v>4.7637795275590554E-2</v>
      </c>
      <c r="K250" s="16">
        <v>9.4990000000000006</v>
      </c>
      <c r="L250" s="23"/>
      <c r="M250" s="23"/>
      <c r="N250" s="23"/>
      <c r="O250" s="23"/>
      <c r="P250" s="23"/>
      <c r="Q250" s="19"/>
      <c r="R250" s="17">
        <v>3</v>
      </c>
      <c r="S250" s="17">
        <v>10</v>
      </c>
      <c r="T250" s="16">
        <f t="shared" si="31"/>
        <v>3048</v>
      </c>
      <c r="U250" s="16">
        <f t="shared" si="32"/>
        <v>914.4</v>
      </c>
      <c r="V250" s="18">
        <f t="shared" si="33"/>
        <v>2787091.1999999997</v>
      </c>
      <c r="W250" s="18">
        <f t="shared" si="34"/>
        <v>2.7870911999999999</v>
      </c>
      <c r="X250" s="18">
        <f t="shared" si="35"/>
        <v>26.474579308799999</v>
      </c>
      <c r="Y250" s="24">
        <v>35</v>
      </c>
      <c r="Z250" s="24">
        <f t="shared" si="36"/>
        <v>926.61027580799998</v>
      </c>
      <c r="AA250" s="16">
        <v>34</v>
      </c>
      <c r="AB250" s="16">
        <f t="shared" si="37"/>
        <v>2980</v>
      </c>
      <c r="AC250" s="16">
        <f t="shared" si="37"/>
        <v>846.4</v>
      </c>
      <c r="AD250" s="19">
        <f t="shared" si="38"/>
        <v>2522272</v>
      </c>
      <c r="AE250" s="1" t="s">
        <v>7456</v>
      </c>
      <c r="AF250" s="1" t="str">
        <f>VLOOKUP(AE250,t_objeto!B:C,2,FALSE)</f>
        <v>RAW_MATERIAL</v>
      </c>
      <c r="AG250" s="1">
        <v>8</v>
      </c>
      <c r="AH250" s="1" t="str">
        <f>VLOOKUP(AG250,t_entry_status!A:AE,2,FALSE)</f>
        <v>PENDING</v>
      </c>
      <c r="AI250" s="7">
        <v>45560</v>
      </c>
      <c r="AJ250" s="1" t="s">
        <v>7449</v>
      </c>
      <c r="AK250" s="7">
        <v>45560</v>
      </c>
      <c r="AL250" s="1" t="s">
        <v>7449</v>
      </c>
    </row>
    <row r="251" spans="1:38" s="20" customFormat="1" x14ac:dyDescent="0.25">
      <c r="A251" s="14">
        <v>250</v>
      </c>
      <c r="B251" s="14" t="str">
        <f>_xlfn.CONCAT(AE251,"-",VLOOKUP(AE251,t_objeto!B:D,3,FALSE),"-",A251)</f>
        <v>RRMM-PERCCO-250</v>
      </c>
      <c r="C251" s="22" t="str">
        <f t="shared" si="39"/>
        <v>LAMINA_LISA__ACERO_ROLADA EN FRIO_3'X10'_19</v>
      </c>
      <c r="D251" s="14" t="s">
        <v>7407</v>
      </c>
      <c r="E251" s="14" t="s">
        <v>7380</v>
      </c>
      <c r="F251" s="21" t="s">
        <v>7400</v>
      </c>
      <c r="G251" s="22" t="s">
        <v>7382</v>
      </c>
      <c r="H251" s="14">
        <v>19</v>
      </c>
      <c r="I251" s="16">
        <v>1.06</v>
      </c>
      <c r="J251" s="16">
        <f t="shared" si="40"/>
        <v>4.1732283464566935E-2</v>
      </c>
      <c r="K251" s="16">
        <v>8.3209999999999997</v>
      </c>
      <c r="L251" s="23"/>
      <c r="M251" s="23"/>
      <c r="N251" s="23"/>
      <c r="O251" s="23"/>
      <c r="P251" s="23"/>
      <c r="Q251" s="19"/>
      <c r="R251" s="17">
        <v>3</v>
      </c>
      <c r="S251" s="17">
        <v>10</v>
      </c>
      <c r="T251" s="16">
        <f t="shared" si="31"/>
        <v>3048</v>
      </c>
      <c r="U251" s="16">
        <f t="shared" si="32"/>
        <v>914.4</v>
      </c>
      <c r="V251" s="18">
        <f t="shared" si="33"/>
        <v>2787091.1999999997</v>
      </c>
      <c r="W251" s="18">
        <f t="shared" si="34"/>
        <v>2.7870911999999999</v>
      </c>
      <c r="X251" s="18">
        <f t="shared" si="35"/>
        <v>23.191385875199998</v>
      </c>
      <c r="Y251" s="24">
        <v>35</v>
      </c>
      <c r="Z251" s="24">
        <f t="shared" si="36"/>
        <v>811.69850563199998</v>
      </c>
      <c r="AA251" s="16">
        <v>35</v>
      </c>
      <c r="AB251" s="16">
        <f t="shared" si="37"/>
        <v>2978</v>
      </c>
      <c r="AC251" s="16">
        <f t="shared" si="37"/>
        <v>844.4</v>
      </c>
      <c r="AD251" s="19">
        <f t="shared" si="38"/>
        <v>2514623.1999999997</v>
      </c>
      <c r="AE251" s="1" t="s">
        <v>7456</v>
      </c>
      <c r="AF251" s="1" t="str">
        <f>VLOOKUP(AE251,t_objeto!B:C,2,FALSE)</f>
        <v>RAW_MATERIAL</v>
      </c>
      <c r="AG251" s="1">
        <v>8</v>
      </c>
      <c r="AH251" s="1" t="str">
        <f>VLOOKUP(AG251,t_entry_status!A:AE,2,FALSE)</f>
        <v>PENDING</v>
      </c>
      <c r="AI251" s="7">
        <v>45560</v>
      </c>
      <c r="AJ251" s="1" t="s">
        <v>7449</v>
      </c>
      <c r="AK251" s="7">
        <v>45560</v>
      </c>
      <c r="AL251" s="1" t="s">
        <v>7449</v>
      </c>
    </row>
    <row r="252" spans="1:38" s="20" customFormat="1" x14ac:dyDescent="0.25">
      <c r="A252" s="14">
        <v>251</v>
      </c>
      <c r="B252" s="14" t="str">
        <f>_xlfn.CONCAT(AE252,"-",VLOOKUP(AE252,t_objeto!B:D,3,FALSE),"-",A252)</f>
        <v>RRMM-PERCCO-251</v>
      </c>
      <c r="C252" s="22" t="str">
        <f t="shared" si="39"/>
        <v>LAMINA_LISA__ACERO_ROLADA EN FRIO_3'X10'_20</v>
      </c>
      <c r="D252" s="14" t="s">
        <v>7407</v>
      </c>
      <c r="E252" s="14" t="s">
        <v>7380</v>
      </c>
      <c r="F252" s="21" t="s">
        <v>7400</v>
      </c>
      <c r="G252" s="22" t="s">
        <v>7382</v>
      </c>
      <c r="H252" s="14">
        <v>20</v>
      </c>
      <c r="I252" s="16">
        <v>0.91</v>
      </c>
      <c r="J252" s="16">
        <f t="shared" si="40"/>
        <v>3.582677165354331E-2</v>
      </c>
      <c r="K252" s="16">
        <v>7.1440000000000001</v>
      </c>
      <c r="L252" s="23"/>
      <c r="M252" s="23"/>
      <c r="N252" s="23"/>
      <c r="O252" s="23"/>
      <c r="P252" s="23"/>
      <c r="Q252" s="19"/>
      <c r="R252" s="17">
        <v>3</v>
      </c>
      <c r="S252" s="17">
        <v>10</v>
      </c>
      <c r="T252" s="16">
        <f t="shared" si="31"/>
        <v>3048</v>
      </c>
      <c r="U252" s="16">
        <f t="shared" si="32"/>
        <v>914.4</v>
      </c>
      <c r="V252" s="18">
        <f t="shared" si="33"/>
        <v>2787091.1999999997</v>
      </c>
      <c r="W252" s="18">
        <f t="shared" si="34"/>
        <v>2.7870911999999999</v>
      </c>
      <c r="X252" s="18">
        <f t="shared" si="35"/>
        <v>19.910979532799999</v>
      </c>
      <c r="Y252" s="24">
        <v>35</v>
      </c>
      <c r="Z252" s="24">
        <f t="shared" si="36"/>
        <v>696.88428364799995</v>
      </c>
      <c r="AA252" s="16">
        <v>36</v>
      </c>
      <c r="AB252" s="16">
        <f t="shared" si="37"/>
        <v>2976</v>
      </c>
      <c r="AC252" s="16">
        <f t="shared" si="37"/>
        <v>842.4</v>
      </c>
      <c r="AD252" s="19">
        <f t="shared" si="38"/>
        <v>2506982.3999999999</v>
      </c>
      <c r="AE252" s="1" t="s">
        <v>7456</v>
      </c>
      <c r="AF252" s="1" t="str">
        <f>VLOOKUP(AE252,t_objeto!B:C,2,FALSE)</f>
        <v>RAW_MATERIAL</v>
      </c>
      <c r="AG252" s="1">
        <v>8</v>
      </c>
      <c r="AH252" s="1" t="str">
        <f>VLOOKUP(AG252,t_entry_status!A:AE,2,FALSE)</f>
        <v>PENDING</v>
      </c>
      <c r="AI252" s="7">
        <v>45560</v>
      </c>
      <c r="AJ252" s="1" t="s">
        <v>7449</v>
      </c>
      <c r="AK252" s="7">
        <v>45560</v>
      </c>
      <c r="AL252" s="1" t="s">
        <v>7449</v>
      </c>
    </row>
    <row r="253" spans="1:38" s="20" customFormat="1" x14ac:dyDescent="0.25">
      <c r="A253" s="14">
        <v>252</v>
      </c>
      <c r="B253" s="14" t="str">
        <f>_xlfn.CONCAT(AE253,"-",VLOOKUP(AE253,t_objeto!B:D,3,FALSE),"-",A253)</f>
        <v>RRMM-PERCCO-252</v>
      </c>
      <c r="C253" s="22" t="str">
        <f t="shared" si="39"/>
        <v>LAMINA_LISA__ACERO_ROLADA EN FRIO_3'X10'_21</v>
      </c>
      <c r="D253" s="14" t="s">
        <v>7407</v>
      </c>
      <c r="E253" s="14" t="s">
        <v>7380</v>
      </c>
      <c r="F253" s="21" t="s">
        <v>7400</v>
      </c>
      <c r="G253" s="22" t="s">
        <v>7382</v>
      </c>
      <c r="H253" s="14">
        <v>21</v>
      </c>
      <c r="I253" s="16">
        <v>0.84</v>
      </c>
      <c r="J253" s="16">
        <f t="shared" si="40"/>
        <v>3.3070866141732283E-2</v>
      </c>
      <c r="K253" s="16">
        <v>6.5940000000000003</v>
      </c>
      <c r="L253" s="23"/>
      <c r="M253" s="23"/>
      <c r="N253" s="23"/>
      <c r="O253" s="23"/>
      <c r="P253" s="23"/>
      <c r="Q253" s="19"/>
      <c r="R253" s="17">
        <v>3</v>
      </c>
      <c r="S253" s="17">
        <v>10</v>
      </c>
      <c r="T253" s="16">
        <f t="shared" si="31"/>
        <v>3048</v>
      </c>
      <c r="U253" s="16">
        <f t="shared" si="32"/>
        <v>914.4</v>
      </c>
      <c r="V253" s="18">
        <f t="shared" si="33"/>
        <v>2787091.1999999997</v>
      </c>
      <c r="W253" s="18">
        <f t="shared" si="34"/>
        <v>2.7870911999999999</v>
      </c>
      <c r="X253" s="18">
        <f t="shared" si="35"/>
        <v>18.378079372799998</v>
      </c>
      <c r="Y253" s="24">
        <v>35</v>
      </c>
      <c r="Z253" s="24">
        <f t="shared" si="36"/>
        <v>643.232778048</v>
      </c>
      <c r="AA253" s="16">
        <v>37</v>
      </c>
      <c r="AB253" s="16">
        <f t="shared" si="37"/>
        <v>2974</v>
      </c>
      <c r="AC253" s="16">
        <f t="shared" si="37"/>
        <v>840.4</v>
      </c>
      <c r="AD253" s="19">
        <f t="shared" si="38"/>
        <v>2499349.6</v>
      </c>
      <c r="AE253" s="1" t="s">
        <v>7456</v>
      </c>
      <c r="AF253" s="1" t="str">
        <f>VLOOKUP(AE253,t_objeto!B:C,2,FALSE)</f>
        <v>RAW_MATERIAL</v>
      </c>
      <c r="AG253" s="1">
        <v>8</v>
      </c>
      <c r="AH253" s="1" t="str">
        <f>VLOOKUP(AG253,t_entry_status!A:AE,2,FALSE)</f>
        <v>PENDING</v>
      </c>
      <c r="AI253" s="7">
        <v>45560</v>
      </c>
      <c r="AJ253" s="1" t="s">
        <v>7449</v>
      </c>
      <c r="AK253" s="7">
        <v>45560</v>
      </c>
      <c r="AL253" s="1" t="s">
        <v>7449</v>
      </c>
    </row>
    <row r="254" spans="1:38" s="20" customFormat="1" x14ac:dyDescent="0.25">
      <c r="A254" s="14">
        <v>253</v>
      </c>
      <c r="B254" s="14" t="str">
        <f>_xlfn.CONCAT(AE254,"-",VLOOKUP(AE254,t_objeto!B:D,3,FALSE),"-",A254)</f>
        <v>RRMM-PERCCO-253</v>
      </c>
      <c r="C254" s="22" t="str">
        <f t="shared" si="39"/>
        <v>LAMINA_LISA__ACERO_ROLADA EN FRIO_3'X10'_22</v>
      </c>
      <c r="D254" s="14" t="s">
        <v>7407</v>
      </c>
      <c r="E254" s="14" t="s">
        <v>7380</v>
      </c>
      <c r="F254" s="21" t="s">
        <v>7400</v>
      </c>
      <c r="G254" s="22" t="s">
        <v>7382</v>
      </c>
      <c r="H254" s="14">
        <v>22</v>
      </c>
      <c r="I254" s="16">
        <v>0.76</v>
      </c>
      <c r="J254" s="16">
        <f t="shared" si="40"/>
        <v>2.9921259842519688E-2</v>
      </c>
      <c r="K254" s="16">
        <v>6.1050000000000004</v>
      </c>
      <c r="L254" s="23"/>
      <c r="M254" s="23"/>
      <c r="N254" s="23"/>
      <c r="O254" s="23"/>
      <c r="P254" s="23"/>
      <c r="Q254" s="19"/>
      <c r="R254" s="17">
        <v>3</v>
      </c>
      <c r="S254" s="17">
        <v>10</v>
      </c>
      <c r="T254" s="16">
        <f t="shared" si="31"/>
        <v>3048</v>
      </c>
      <c r="U254" s="16">
        <f t="shared" si="32"/>
        <v>914.4</v>
      </c>
      <c r="V254" s="18">
        <f t="shared" si="33"/>
        <v>2787091.1999999997</v>
      </c>
      <c r="W254" s="18">
        <f t="shared" si="34"/>
        <v>2.7870911999999999</v>
      </c>
      <c r="X254" s="18">
        <f t="shared" si="35"/>
        <v>17.015191776000002</v>
      </c>
      <c r="Y254" s="24">
        <v>35</v>
      </c>
      <c r="Z254" s="24">
        <f t="shared" si="36"/>
        <v>595.5317121600001</v>
      </c>
      <c r="AA254" s="16">
        <v>38</v>
      </c>
      <c r="AB254" s="16">
        <f t="shared" si="37"/>
        <v>2972</v>
      </c>
      <c r="AC254" s="16">
        <f t="shared" si="37"/>
        <v>838.4</v>
      </c>
      <c r="AD254" s="19">
        <f t="shared" si="38"/>
        <v>2491724.7999999998</v>
      </c>
      <c r="AE254" s="1" t="s">
        <v>7456</v>
      </c>
      <c r="AF254" s="1" t="str">
        <f>VLOOKUP(AE254,t_objeto!B:C,2,FALSE)</f>
        <v>RAW_MATERIAL</v>
      </c>
      <c r="AG254" s="1">
        <v>8</v>
      </c>
      <c r="AH254" s="1" t="str">
        <f>VLOOKUP(AG254,t_entry_status!A:AE,2,FALSE)</f>
        <v>PENDING</v>
      </c>
      <c r="AI254" s="7">
        <v>45560</v>
      </c>
      <c r="AJ254" s="1" t="s">
        <v>7449</v>
      </c>
      <c r="AK254" s="7">
        <v>45560</v>
      </c>
      <c r="AL254" s="1" t="s">
        <v>7449</v>
      </c>
    </row>
    <row r="255" spans="1:38" s="20" customFormat="1" x14ac:dyDescent="0.25">
      <c r="A255" s="14">
        <v>254</v>
      </c>
      <c r="B255" s="14" t="str">
        <f>_xlfn.CONCAT(AE255,"-",VLOOKUP(AE255,t_objeto!B:D,3,FALSE),"-",A255)</f>
        <v>RRMM-PERCCO-254</v>
      </c>
      <c r="C255" s="22" t="str">
        <f t="shared" si="39"/>
        <v>LAMINA_LISA__ACERO_ROLADA EN FRIO_3'X10'_23</v>
      </c>
      <c r="D255" s="14" t="s">
        <v>7407</v>
      </c>
      <c r="E255" s="14" t="s">
        <v>7380</v>
      </c>
      <c r="F255" s="21" t="s">
        <v>7400</v>
      </c>
      <c r="G255" s="22" t="s">
        <v>7382</v>
      </c>
      <c r="H255" s="14">
        <v>23</v>
      </c>
      <c r="I255" s="16">
        <v>0.68</v>
      </c>
      <c r="J255" s="16">
        <f t="shared" si="40"/>
        <v>2.677165354330709E-2</v>
      </c>
      <c r="K255" s="16">
        <v>5.3380000000000001</v>
      </c>
      <c r="L255" s="23"/>
      <c r="M255" s="23"/>
      <c r="N255" s="23"/>
      <c r="O255" s="23"/>
      <c r="P255" s="23"/>
      <c r="Q255" s="19"/>
      <c r="R255" s="17">
        <v>3</v>
      </c>
      <c r="S255" s="17">
        <v>10</v>
      </c>
      <c r="T255" s="16">
        <f t="shared" si="31"/>
        <v>3048</v>
      </c>
      <c r="U255" s="16">
        <f t="shared" si="32"/>
        <v>914.4</v>
      </c>
      <c r="V255" s="18">
        <f t="shared" si="33"/>
        <v>2787091.1999999997</v>
      </c>
      <c r="W255" s="18">
        <f t="shared" si="34"/>
        <v>2.7870911999999999</v>
      </c>
      <c r="X255" s="18">
        <f t="shared" si="35"/>
        <v>14.877492825599999</v>
      </c>
      <c r="Y255" s="24">
        <v>35</v>
      </c>
      <c r="Z255" s="24">
        <f t="shared" si="36"/>
        <v>520.71224889600001</v>
      </c>
      <c r="AA255" s="16">
        <v>39</v>
      </c>
      <c r="AB255" s="16">
        <f t="shared" si="37"/>
        <v>2970</v>
      </c>
      <c r="AC255" s="16">
        <f t="shared" si="37"/>
        <v>836.4</v>
      </c>
      <c r="AD255" s="19">
        <f t="shared" si="38"/>
        <v>2484108</v>
      </c>
      <c r="AE255" s="1" t="s">
        <v>7456</v>
      </c>
      <c r="AF255" s="1" t="str">
        <f>VLOOKUP(AE255,t_objeto!B:C,2,FALSE)</f>
        <v>RAW_MATERIAL</v>
      </c>
      <c r="AG255" s="1">
        <v>8</v>
      </c>
      <c r="AH255" s="1" t="str">
        <f>VLOOKUP(AG255,t_entry_status!A:AE,2,FALSE)</f>
        <v>PENDING</v>
      </c>
      <c r="AI255" s="7">
        <v>45560</v>
      </c>
      <c r="AJ255" s="1" t="s">
        <v>7449</v>
      </c>
      <c r="AK255" s="7">
        <v>45560</v>
      </c>
      <c r="AL255" s="1" t="s">
        <v>7449</v>
      </c>
    </row>
    <row r="256" spans="1:38" s="20" customFormat="1" x14ac:dyDescent="0.25">
      <c r="A256" s="14">
        <v>255</v>
      </c>
      <c r="B256" s="14" t="str">
        <f>_xlfn.CONCAT(AE256,"-",VLOOKUP(AE256,t_objeto!B:D,3,FALSE),"-",A256)</f>
        <v>RRMM-PERCCO-255</v>
      </c>
      <c r="C256" s="22" t="str">
        <f t="shared" si="39"/>
        <v>LAMINA_LISA__ACERO_ROLADA EN FRIO_3'X10'_24</v>
      </c>
      <c r="D256" s="14" t="s">
        <v>7407</v>
      </c>
      <c r="E256" s="14" t="s">
        <v>7380</v>
      </c>
      <c r="F256" s="21" t="s">
        <v>7400</v>
      </c>
      <c r="G256" s="22" t="s">
        <v>7382</v>
      </c>
      <c r="H256" s="14">
        <v>24</v>
      </c>
      <c r="I256" s="16">
        <v>0.61</v>
      </c>
      <c r="J256" s="16">
        <f t="shared" si="40"/>
        <v>2.4015748031496063E-2</v>
      </c>
      <c r="K256" s="16">
        <v>4.7889999999999997</v>
      </c>
      <c r="L256" s="23"/>
      <c r="M256" s="23"/>
      <c r="N256" s="23"/>
      <c r="O256" s="23"/>
      <c r="P256" s="23"/>
      <c r="Q256" s="19"/>
      <c r="R256" s="17">
        <v>3</v>
      </c>
      <c r="S256" s="17">
        <v>10</v>
      </c>
      <c r="T256" s="16">
        <f t="shared" si="31"/>
        <v>3048</v>
      </c>
      <c r="U256" s="16">
        <f t="shared" si="32"/>
        <v>914.4</v>
      </c>
      <c r="V256" s="18">
        <f t="shared" si="33"/>
        <v>2787091.1999999997</v>
      </c>
      <c r="W256" s="18">
        <f t="shared" si="34"/>
        <v>2.7870911999999999</v>
      </c>
      <c r="X256" s="18">
        <f t="shared" si="35"/>
        <v>13.347379756799999</v>
      </c>
      <c r="Y256" s="24">
        <v>35</v>
      </c>
      <c r="Z256" s="24">
        <f t="shared" si="36"/>
        <v>467.15829148799997</v>
      </c>
      <c r="AA256" s="16">
        <v>40</v>
      </c>
      <c r="AB256" s="16">
        <f t="shared" si="37"/>
        <v>2968</v>
      </c>
      <c r="AC256" s="16">
        <f t="shared" si="37"/>
        <v>834.4</v>
      </c>
      <c r="AD256" s="19">
        <f t="shared" si="38"/>
        <v>2476499.1999999997</v>
      </c>
      <c r="AE256" s="1" t="s">
        <v>7456</v>
      </c>
      <c r="AF256" s="1" t="str">
        <f>VLOOKUP(AE256,t_objeto!B:C,2,FALSE)</f>
        <v>RAW_MATERIAL</v>
      </c>
      <c r="AG256" s="1">
        <v>8</v>
      </c>
      <c r="AH256" s="1" t="str">
        <f>VLOOKUP(AG256,t_entry_status!A:AE,2,FALSE)</f>
        <v>PENDING</v>
      </c>
      <c r="AI256" s="7">
        <v>45560</v>
      </c>
      <c r="AJ256" s="1" t="s">
        <v>7449</v>
      </c>
      <c r="AK256" s="7">
        <v>45560</v>
      </c>
      <c r="AL256" s="1" t="s">
        <v>7449</v>
      </c>
    </row>
    <row r="257" spans="1:38" s="20" customFormat="1" x14ac:dyDescent="0.25">
      <c r="A257" s="14">
        <v>256</v>
      </c>
      <c r="B257" s="14" t="str">
        <f>_xlfn.CONCAT(AE257,"-",VLOOKUP(AE257,t_objeto!B:D,3,FALSE),"-",A257)</f>
        <v>RRMM-PERCCO-256</v>
      </c>
      <c r="C257" s="22" t="str">
        <f t="shared" si="39"/>
        <v>LAMINA_LISA__ACERO_ROLADA EN FRIO_3'X10'_25</v>
      </c>
      <c r="D257" s="14" t="s">
        <v>7407</v>
      </c>
      <c r="E257" s="14" t="s">
        <v>7380</v>
      </c>
      <c r="F257" s="21" t="s">
        <v>7400</v>
      </c>
      <c r="G257" s="22" t="s">
        <v>7382</v>
      </c>
      <c r="H257" s="14">
        <v>25</v>
      </c>
      <c r="I257" s="16">
        <v>0.53</v>
      </c>
      <c r="J257" s="16">
        <f t="shared" si="40"/>
        <v>2.0866141732283468E-2</v>
      </c>
      <c r="K257" s="16">
        <v>4.1609999999999996</v>
      </c>
      <c r="L257" s="23"/>
      <c r="M257" s="23"/>
      <c r="N257" s="23"/>
      <c r="O257" s="23"/>
      <c r="P257" s="23"/>
      <c r="Q257" s="19"/>
      <c r="R257" s="17">
        <v>3</v>
      </c>
      <c r="S257" s="17">
        <v>10</v>
      </c>
      <c r="T257" s="16">
        <f t="shared" si="31"/>
        <v>3048</v>
      </c>
      <c r="U257" s="16">
        <f t="shared" si="32"/>
        <v>914.4</v>
      </c>
      <c r="V257" s="18">
        <f t="shared" si="33"/>
        <v>2787091.1999999997</v>
      </c>
      <c r="W257" s="18">
        <f t="shared" si="34"/>
        <v>2.7870911999999999</v>
      </c>
      <c r="X257" s="18">
        <f t="shared" si="35"/>
        <v>11.597086483199998</v>
      </c>
      <c r="Y257" s="24">
        <v>35</v>
      </c>
      <c r="Z257" s="24">
        <f t="shared" si="36"/>
        <v>405.89802691199992</v>
      </c>
      <c r="AA257" s="16">
        <v>41</v>
      </c>
      <c r="AB257" s="16">
        <f t="shared" si="37"/>
        <v>2966</v>
      </c>
      <c r="AC257" s="16">
        <f t="shared" si="37"/>
        <v>832.4</v>
      </c>
      <c r="AD257" s="19">
        <f t="shared" si="38"/>
        <v>2468898.4</v>
      </c>
      <c r="AE257" s="1" t="s">
        <v>7456</v>
      </c>
      <c r="AF257" s="1" t="str">
        <f>VLOOKUP(AE257,t_objeto!B:C,2,FALSE)</f>
        <v>RAW_MATERIAL</v>
      </c>
      <c r="AG257" s="1">
        <v>8</v>
      </c>
      <c r="AH257" s="1" t="str">
        <f>VLOOKUP(AG257,t_entry_status!A:AE,2,FALSE)</f>
        <v>PENDING</v>
      </c>
      <c r="AI257" s="7">
        <v>45560</v>
      </c>
      <c r="AJ257" s="1" t="s">
        <v>7449</v>
      </c>
      <c r="AK257" s="7">
        <v>45560</v>
      </c>
      <c r="AL257" s="1" t="s">
        <v>7449</v>
      </c>
    </row>
    <row r="258" spans="1:38" s="20" customFormat="1" x14ac:dyDescent="0.25">
      <c r="A258" s="14">
        <v>257</v>
      </c>
      <c r="B258" s="14" t="str">
        <f>_xlfn.CONCAT(AE258,"-",VLOOKUP(AE258,t_objeto!B:D,3,FALSE),"-",A258)</f>
        <v>RRMM-PERCCO-257</v>
      </c>
      <c r="C258" s="22" t="str">
        <f t="shared" si="39"/>
        <v>LAMINA_LISA__ACERO_ROLADA EN FRIO_3'X10'_26</v>
      </c>
      <c r="D258" s="14" t="s">
        <v>7407</v>
      </c>
      <c r="E258" s="14" t="s">
        <v>7380</v>
      </c>
      <c r="F258" s="21" t="s">
        <v>7400</v>
      </c>
      <c r="G258" s="22" t="s">
        <v>7382</v>
      </c>
      <c r="H258" s="14">
        <v>26</v>
      </c>
      <c r="I258" s="16">
        <v>0.45</v>
      </c>
      <c r="J258" s="16">
        <f t="shared" si="40"/>
        <v>1.7716535433070866E-2</v>
      </c>
      <c r="K258" s="16">
        <v>3.5329999999999999</v>
      </c>
      <c r="L258" s="23"/>
      <c r="M258" s="23"/>
      <c r="N258" s="23"/>
      <c r="O258" s="23"/>
      <c r="P258" s="23"/>
      <c r="Q258" s="19"/>
      <c r="R258" s="17">
        <v>3</v>
      </c>
      <c r="S258" s="17">
        <v>10</v>
      </c>
      <c r="T258" s="16">
        <f t="shared" ref="T258:T321" si="41">S258*12*25.4</f>
        <v>3048</v>
      </c>
      <c r="U258" s="16">
        <f t="shared" ref="U258:U321" si="42">R258*12*25.4</f>
        <v>914.4</v>
      </c>
      <c r="V258" s="18">
        <f t="shared" ref="V258:V321" si="43">T258*U258</f>
        <v>2787091.1999999997</v>
      </c>
      <c r="W258" s="18">
        <f t="shared" ref="W258:W321" si="44">V258/1000000</f>
        <v>2.7870911999999999</v>
      </c>
      <c r="X258" s="18">
        <f t="shared" ref="X258:X321" si="45">K258*W258</f>
        <v>9.8467932095999995</v>
      </c>
      <c r="Y258" s="24">
        <v>35</v>
      </c>
      <c r="Z258" s="24">
        <f t="shared" ref="Z258:Z321" si="46">X258*Y258</f>
        <v>344.63776233599998</v>
      </c>
      <c r="AA258" s="16">
        <v>42</v>
      </c>
      <c r="AB258" s="16">
        <f t="shared" ref="AB258:AC321" si="47">T258-($AA258*2)</f>
        <v>2964</v>
      </c>
      <c r="AC258" s="16">
        <f t="shared" si="47"/>
        <v>830.4</v>
      </c>
      <c r="AD258" s="19">
        <f t="shared" ref="AD258:AD321" si="48">AB258*AC258</f>
        <v>2461305.6</v>
      </c>
      <c r="AE258" s="1" t="s">
        <v>7456</v>
      </c>
      <c r="AF258" s="1" t="str">
        <f>VLOOKUP(AE258,t_objeto!B:C,2,FALSE)</f>
        <v>RAW_MATERIAL</v>
      </c>
      <c r="AG258" s="1">
        <v>8</v>
      </c>
      <c r="AH258" s="1" t="str">
        <f>VLOOKUP(AG258,t_entry_status!A:AE,2,FALSE)</f>
        <v>PENDING</v>
      </c>
      <c r="AI258" s="7">
        <v>45560</v>
      </c>
      <c r="AJ258" s="1" t="s">
        <v>7449</v>
      </c>
      <c r="AK258" s="7">
        <v>45560</v>
      </c>
      <c r="AL258" s="1" t="s">
        <v>7449</v>
      </c>
    </row>
    <row r="259" spans="1:38" s="20" customFormat="1" x14ac:dyDescent="0.25">
      <c r="A259" s="14">
        <v>258</v>
      </c>
      <c r="B259" s="14" t="str">
        <f>_xlfn.CONCAT(AE259,"-",VLOOKUP(AE259,t_objeto!B:D,3,FALSE),"-",A259)</f>
        <v>RRMM-PERCCO-258</v>
      </c>
      <c r="C259" s="22" t="str">
        <f t="shared" ref="C259:C322" si="49">_xlfn.CONCAT(D259,"_","_",E259,"_",F259,"_",R259,"'","X",S259,"'","_",H259)</f>
        <v>LAMINA_LISA__ACERO_ROLADA EN FRIO_3'X10'_27</v>
      </c>
      <c r="D259" s="14" t="s">
        <v>7407</v>
      </c>
      <c r="E259" s="14" t="s">
        <v>7380</v>
      </c>
      <c r="F259" s="21" t="s">
        <v>7400</v>
      </c>
      <c r="G259" s="22" t="s">
        <v>7382</v>
      </c>
      <c r="H259" s="14">
        <v>27</v>
      </c>
      <c r="I259" s="16">
        <v>0.42</v>
      </c>
      <c r="J259" s="16">
        <f t="shared" si="40"/>
        <v>1.6535433070866142E-2</v>
      </c>
      <c r="K259" s="16">
        <v>3.2970000000000002</v>
      </c>
      <c r="L259" s="23"/>
      <c r="M259" s="23"/>
      <c r="N259" s="23"/>
      <c r="O259" s="23"/>
      <c r="P259" s="23"/>
      <c r="Q259" s="19"/>
      <c r="R259" s="17">
        <v>3</v>
      </c>
      <c r="S259" s="17">
        <v>10</v>
      </c>
      <c r="T259" s="16">
        <f t="shared" si="41"/>
        <v>3048</v>
      </c>
      <c r="U259" s="16">
        <f t="shared" si="42"/>
        <v>914.4</v>
      </c>
      <c r="V259" s="18">
        <f t="shared" si="43"/>
        <v>2787091.1999999997</v>
      </c>
      <c r="W259" s="18">
        <f t="shared" si="44"/>
        <v>2.7870911999999999</v>
      </c>
      <c r="X259" s="18">
        <f t="shared" si="45"/>
        <v>9.1890396863999992</v>
      </c>
      <c r="Y259" s="24">
        <v>35</v>
      </c>
      <c r="Z259" s="24">
        <f t="shared" si="46"/>
        <v>321.616389024</v>
      </c>
      <c r="AA259" s="16">
        <v>43</v>
      </c>
      <c r="AB259" s="16">
        <f t="shared" si="47"/>
        <v>2962</v>
      </c>
      <c r="AC259" s="16">
        <f t="shared" si="47"/>
        <v>828.4</v>
      </c>
      <c r="AD259" s="19">
        <f t="shared" si="48"/>
        <v>2453720.7999999998</v>
      </c>
      <c r="AE259" s="1" t="s">
        <v>7456</v>
      </c>
      <c r="AF259" s="1" t="str">
        <f>VLOOKUP(AE259,t_objeto!B:C,2,FALSE)</f>
        <v>RAW_MATERIAL</v>
      </c>
      <c r="AG259" s="1">
        <v>8</v>
      </c>
      <c r="AH259" s="1" t="str">
        <f>VLOOKUP(AG259,t_entry_status!A:AE,2,FALSE)</f>
        <v>PENDING</v>
      </c>
      <c r="AI259" s="7">
        <v>45560</v>
      </c>
      <c r="AJ259" s="1" t="s">
        <v>7449</v>
      </c>
      <c r="AK259" s="7">
        <v>45560</v>
      </c>
      <c r="AL259" s="1" t="s">
        <v>7449</v>
      </c>
    </row>
    <row r="260" spans="1:38" s="20" customFormat="1" x14ac:dyDescent="0.25">
      <c r="A260" s="14">
        <v>259</v>
      </c>
      <c r="B260" s="14" t="str">
        <f>_xlfn.CONCAT(AE260,"-",VLOOKUP(AE260,t_objeto!B:D,3,FALSE),"-",A260)</f>
        <v>RRMM-PERCCO-259</v>
      </c>
      <c r="C260" s="22" t="str">
        <f t="shared" si="49"/>
        <v>LAMINA_LISA__ACERO_ROLADA EN FRIO_3'X10'_28</v>
      </c>
      <c r="D260" s="14" t="s">
        <v>7407</v>
      </c>
      <c r="E260" s="14" t="s">
        <v>7380</v>
      </c>
      <c r="F260" s="21" t="s">
        <v>7400</v>
      </c>
      <c r="G260" s="22" t="s">
        <v>7382</v>
      </c>
      <c r="H260" s="14">
        <v>28</v>
      </c>
      <c r="I260" s="16">
        <v>0.38</v>
      </c>
      <c r="J260" s="16">
        <f t="shared" si="40"/>
        <v>1.4960629921259844E-2</v>
      </c>
      <c r="K260" s="16">
        <v>2.9830000000000001</v>
      </c>
      <c r="L260" s="23"/>
      <c r="M260" s="23"/>
      <c r="N260" s="23"/>
      <c r="O260" s="23"/>
      <c r="P260" s="23"/>
      <c r="Q260" s="19"/>
      <c r="R260" s="17">
        <v>3</v>
      </c>
      <c r="S260" s="17">
        <v>10</v>
      </c>
      <c r="T260" s="16">
        <f t="shared" si="41"/>
        <v>3048</v>
      </c>
      <c r="U260" s="16">
        <f t="shared" si="42"/>
        <v>914.4</v>
      </c>
      <c r="V260" s="18">
        <f t="shared" si="43"/>
        <v>2787091.1999999997</v>
      </c>
      <c r="W260" s="18">
        <f t="shared" si="44"/>
        <v>2.7870911999999999</v>
      </c>
      <c r="X260" s="18">
        <f t="shared" si="45"/>
        <v>8.3138930496000008</v>
      </c>
      <c r="Y260" s="24">
        <v>35</v>
      </c>
      <c r="Z260" s="24">
        <f t="shared" si="46"/>
        <v>290.98625673600003</v>
      </c>
      <c r="AA260" s="16">
        <v>44</v>
      </c>
      <c r="AB260" s="16">
        <f t="shared" si="47"/>
        <v>2960</v>
      </c>
      <c r="AC260" s="16">
        <f t="shared" si="47"/>
        <v>826.4</v>
      </c>
      <c r="AD260" s="19">
        <f t="shared" si="48"/>
        <v>2446144</v>
      </c>
      <c r="AE260" s="1" t="s">
        <v>7456</v>
      </c>
      <c r="AF260" s="1" t="str">
        <f>VLOOKUP(AE260,t_objeto!B:C,2,FALSE)</f>
        <v>RAW_MATERIAL</v>
      </c>
      <c r="AG260" s="1">
        <v>8</v>
      </c>
      <c r="AH260" s="1" t="str">
        <f>VLOOKUP(AG260,t_entry_status!A:AE,2,FALSE)</f>
        <v>PENDING</v>
      </c>
      <c r="AI260" s="7">
        <v>45560</v>
      </c>
      <c r="AJ260" s="1" t="s">
        <v>7449</v>
      </c>
      <c r="AK260" s="7">
        <v>45560</v>
      </c>
      <c r="AL260" s="1" t="s">
        <v>7449</v>
      </c>
    </row>
    <row r="261" spans="1:38" s="20" customFormat="1" x14ac:dyDescent="0.25">
      <c r="A261" s="14">
        <v>260</v>
      </c>
      <c r="B261" s="14" t="str">
        <f>_xlfn.CONCAT(AE261,"-",VLOOKUP(AE261,t_objeto!B:D,3,FALSE),"-",A261)</f>
        <v>RRMM-PERCCO-260</v>
      </c>
      <c r="C261" s="22" t="str">
        <f t="shared" si="49"/>
        <v>LAMINA_LISA__ACERO_ROLADA EN FRIO_3'X10'_29</v>
      </c>
      <c r="D261" s="14" t="s">
        <v>7407</v>
      </c>
      <c r="E261" s="14" t="s">
        <v>7380</v>
      </c>
      <c r="F261" s="21" t="s">
        <v>7400</v>
      </c>
      <c r="G261" s="22" t="s">
        <v>7382</v>
      </c>
      <c r="H261" s="14">
        <v>29</v>
      </c>
      <c r="I261" s="16">
        <v>0.34</v>
      </c>
      <c r="J261" s="16">
        <f t="shared" si="40"/>
        <v>1.3385826771653545E-2</v>
      </c>
      <c r="K261" s="16">
        <v>2.669</v>
      </c>
      <c r="L261" s="23"/>
      <c r="M261" s="23"/>
      <c r="N261" s="23"/>
      <c r="O261" s="23"/>
      <c r="P261" s="23"/>
      <c r="Q261" s="19"/>
      <c r="R261" s="17">
        <v>3</v>
      </c>
      <c r="S261" s="17">
        <v>10</v>
      </c>
      <c r="T261" s="16">
        <f t="shared" si="41"/>
        <v>3048</v>
      </c>
      <c r="U261" s="16">
        <f t="shared" si="42"/>
        <v>914.4</v>
      </c>
      <c r="V261" s="18">
        <f t="shared" si="43"/>
        <v>2787091.1999999997</v>
      </c>
      <c r="W261" s="18">
        <f t="shared" si="44"/>
        <v>2.7870911999999999</v>
      </c>
      <c r="X261" s="18">
        <f t="shared" si="45"/>
        <v>7.4387464127999996</v>
      </c>
      <c r="Y261" s="24">
        <v>35</v>
      </c>
      <c r="Z261" s="24">
        <f t="shared" si="46"/>
        <v>260.356124448</v>
      </c>
      <c r="AA261" s="16">
        <v>45</v>
      </c>
      <c r="AB261" s="16">
        <f t="shared" si="47"/>
        <v>2958</v>
      </c>
      <c r="AC261" s="16">
        <f t="shared" si="47"/>
        <v>824.4</v>
      </c>
      <c r="AD261" s="19">
        <f t="shared" si="48"/>
        <v>2438575.1999999997</v>
      </c>
      <c r="AE261" s="1" t="s">
        <v>7456</v>
      </c>
      <c r="AF261" s="1" t="str">
        <f>VLOOKUP(AE261,t_objeto!B:C,2,FALSE)</f>
        <v>RAW_MATERIAL</v>
      </c>
      <c r="AG261" s="1">
        <v>8</v>
      </c>
      <c r="AH261" s="1" t="str">
        <f>VLOOKUP(AG261,t_entry_status!A:AE,2,FALSE)</f>
        <v>PENDING</v>
      </c>
      <c r="AI261" s="7">
        <v>45560</v>
      </c>
      <c r="AJ261" s="1" t="s">
        <v>7449</v>
      </c>
      <c r="AK261" s="7">
        <v>45560</v>
      </c>
      <c r="AL261" s="1" t="s">
        <v>7449</v>
      </c>
    </row>
    <row r="262" spans="1:38" s="20" customFormat="1" x14ac:dyDescent="0.25">
      <c r="A262" s="14">
        <v>261</v>
      </c>
      <c r="B262" s="14" t="str">
        <f>_xlfn.CONCAT(AE262,"-",VLOOKUP(AE262,t_objeto!B:D,3,FALSE),"-",A262)</f>
        <v>RRMM-PERCCO-261</v>
      </c>
      <c r="C262" s="22" t="str">
        <f t="shared" si="49"/>
        <v>LAMINA_LISA__ACERO_ROLADA EN FRIO_3'X10'_30</v>
      </c>
      <c r="D262" s="14" t="s">
        <v>7407</v>
      </c>
      <c r="E262" s="14" t="s">
        <v>7380</v>
      </c>
      <c r="F262" s="21" t="s">
        <v>7400</v>
      </c>
      <c r="G262" s="22" t="s">
        <v>7382</v>
      </c>
      <c r="H262" s="14">
        <v>30</v>
      </c>
      <c r="I262" s="16">
        <v>0.3</v>
      </c>
      <c r="J262" s="16">
        <f t="shared" si="40"/>
        <v>1.1811023622047244E-2</v>
      </c>
      <c r="K262" s="16">
        <v>2.355</v>
      </c>
      <c r="L262" s="23"/>
      <c r="M262" s="23"/>
      <c r="N262" s="23"/>
      <c r="O262" s="23"/>
      <c r="P262" s="23"/>
      <c r="Q262" s="19"/>
      <c r="R262" s="17">
        <v>3</v>
      </c>
      <c r="S262" s="17">
        <v>10</v>
      </c>
      <c r="T262" s="16">
        <f t="shared" si="41"/>
        <v>3048</v>
      </c>
      <c r="U262" s="16">
        <f t="shared" si="42"/>
        <v>914.4</v>
      </c>
      <c r="V262" s="18">
        <f t="shared" si="43"/>
        <v>2787091.1999999997</v>
      </c>
      <c r="W262" s="18">
        <f t="shared" si="44"/>
        <v>2.7870911999999999</v>
      </c>
      <c r="X262" s="18">
        <f t="shared" si="45"/>
        <v>6.5635997759999993</v>
      </c>
      <c r="Y262" s="24">
        <v>35</v>
      </c>
      <c r="Z262" s="24">
        <f t="shared" si="46"/>
        <v>229.72599215999998</v>
      </c>
      <c r="AA262" s="16">
        <v>46</v>
      </c>
      <c r="AB262" s="16">
        <f t="shared" si="47"/>
        <v>2956</v>
      </c>
      <c r="AC262" s="16">
        <f t="shared" si="47"/>
        <v>822.4</v>
      </c>
      <c r="AD262" s="19">
        <f t="shared" si="48"/>
        <v>2431014.4</v>
      </c>
      <c r="AE262" s="1" t="s">
        <v>7456</v>
      </c>
      <c r="AF262" s="1" t="str">
        <f>VLOOKUP(AE262,t_objeto!B:C,2,FALSE)</f>
        <v>RAW_MATERIAL</v>
      </c>
      <c r="AG262" s="1">
        <v>8</v>
      </c>
      <c r="AH262" s="1" t="str">
        <f>VLOOKUP(AG262,t_entry_status!A:AE,2,FALSE)</f>
        <v>PENDING</v>
      </c>
      <c r="AI262" s="7">
        <v>45560</v>
      </c>
      <c r="AJ262" s="1" t="s">
        <v>7449</v>
      </c>
      <c r="AK262" s="7">
        <v>45560</v>
      </c>
      <c r="AL262" s="1" t="s">
        <v>7449</v>
      </c>
    </row>
    <row r="263" spans="1:38" s="20" customFormat="1" x14ac:dyDescent="0.25">
      <c r="A263" s="14">
        <v>262</v>
      </c>
      <c r="B263" s="14" t="str">
        <f>_xlfn.CONCAT(AE263,"-",VLOOKUP(AE263,t_objeto!B:D,3,FALSE),"-",A263)</f>
        <v>RRMM-PERCCO-262</v>
      </c>
      <c r="C263" s="22" t="str">
        <f t="shared" si="49"/>
        <v>LAMINA_LISA__INOX_304/316 L_3'X10'_10</v>
      </c>
      <c r="D263" s="14" t="s">
        <v>7407</v>
      </c>
      <c r="E263" s="14" t="s">
        <v>7403</v>
      </c>
      <c r="F263" s="21" t="s">
        <v>7404</v>
      </c>
      <c r="G263" s="22" t="s">
        <v>7382</v>
      </c>
      <c r="H263" s="14">
        <v>10</v>
      </c>
      <c r="I263" s="16">
        <v>3.42</v>
      </c>
      <c r="J263" s="16">
        <f t="shared" si="40"/>
        <v>0.13464566929133859</v>
      </c>
      <c r="K263" s="16">
        <v>27.783000000000001</v>
      </c>
      <c r="L263" s="23"/>
      <c r="M263" s="23"/>
      <c r="N263" s="23"/>
      <c r="O263" s="23"/>
      <c r="P263" s="23"/>
      <c r="Q263" s="19"/>
      <c r="R263" s="17">
        <v>3</v>
      </c>
      <c r="S263" s="17">
        <v>10</v>
      </c>
      <c r="T263" s="16">
        <f t="shared" si="41"/>
        <v>3048</v>
      </c>
      <c r="U263" s="16">
        <f t="shared" si="42"/>
        <v>914.4</v>
      </c>
      <c r="V263" s="18">
        <f t="shared" si="43"/>
        <v>2787091.1999999997</v>
      </c>
      <c r="W263" s="18">
        <f t="shared" si="44"/>
        <v>2.7870911999999999</v>
      </c>
      <c r="X263" s="18">
        <f t="shared" si="45"/>
        <v>77.433754809600003</v>
      </c>
      <c r="Y263" s="24">
        <v>35</v>
      </c>
      <c r="Z263" s="24">
        <f t="shared" si="46"/>
        <v>2710.1814183360002</v>
      </c>
      <c r="AA263" s="16">
        <v>67</v>
      </c>
      <c r="AB263" s="16">
        <f t="shared" si="47"/>
        <v>2914</v>
      </c>
      <c r="AC263" s="16">
        <f t="shared" si="47"/>
        <v>780.4</v>
      </c>
      <c r="AD263" s="19">
        <f t="shared" si="48"/>
        <v>2274085.6</v>
      </c>
      <c r="AE263" s="1" t="s">
        <v>7456</v>
      </c>
      <c r="AF263" s="1" t="str">
        <f>VLOOKUP(AE263,t_objeto!B:C,2,FALSE)</f>
        <v>RAW_MATERIAL</v>
      </c>
      <c r="AG263" s="1">
        <v>8</v>
      </c>
      <c r="AH263" s="1" t="str">
        <f>VLOOKUP(AG263,t_entry_status!A:AE,2,FALSE)</f>
        <v>PENDING</v>
      </c>
      <c r="AI263" s="7">
        <v>45560</v>
      </c>
      <c r="AJ263" s="1" t="s">
        <v>7449</v>
      </c>
      <c r="AK263" s="7">
        <v>45560</v>
      </c>
      <c r="AL263" s="1" t="s">
        <v>7449</v>
      </c>
    </row>
    <row r="264" spans="1:38" s="20" customFormat="1" x14ac:dyDescent="0.25">
      <c r="A264" s="14">
        <v>263</v>
      </c>
      <c r="B264" s="14" t="str">
        <f>_xlfn.CONCAT(AE264,"-",VLOOKUP(AE264,t_objeto!B:D,3,FALSE),"-",A264)</f>
        <v>RRMM-PERCCO-263</v>
      </c>
      <c r="C264" s="22" t="str">
        <f t="shared" si="49"/>
        <v>LAMINA_LISA__INOX_304/316 L_3'X10'_11</v>
      </c>
      <c r="D264" s="14" t="s">
        <v>7407</v>
      </c>
      <c r="E264" s="14" t="s">
        <v>7403</v>
      </c>
      <c r="F264" s="21" t="s">
        <v>7404</v>
      </c>
      <c r="G264" s="22" t="s">
        <v>7382</v>
      </c>
      <c r="H264" s="14">
        <v>11</v>
      </c>
      <c r="I264" s="16">
        <v>3.04</v>
      </c>
      <c r="J264" s="16">
        <f t="shared" si="40"/>
        <v>0.11968503937007875</v>
      </c>
      <c r="K264" s="16">
        <v>24.704999999999998</v>
      </c>
      <c r="L264" s="23"/>
      <c r="M264" s="23"/>
      <c r="N264" s="23"/>
      <c r="O264" s="23"/>
      <c r="P264" s="23"/>
      <c r="Q264" s="19"/>
      <c r="R264" s="17">
        <v>3</v>
      </c>
      <c r="S264" s="17">
        <v>10</v>
      </c>
      <c r="T264" s="16">
        <f t="shared" si="41"/>
        <v>3048</v>
      </c>
      <c r="U264" s="16">
        <f t="shared" si="42"/>
        <v>914.4</v>
      </c>
      <c r="V264" s="18">
        <f t="shared" si="43"/>
        <v>2787091.1999999997</v>
      </c>
      <c r="W264" s="18">
        <f t="shared" si="44"/>
        <v>2.7870911999999999</v>
      </c>
      <c r="X264" s="18">
        <f t="shared" si="45"/>
        <v>68.855088095999989</v>
      </c>
      <c r="Y264" s="24">
        <v>35</v>
      </c>
      <c r="Z264" s="24">
        <f t="shared" si="46"/>
        <v>2409.9280833599996</v>
      </c>
      <c r="AA264" s="16">
        <v>68</v>
      </c>
      <c r="AB264" s="16">
        <f t="shared" si="47"/>
        <v>2912</v>
      </c>
      <c r="AC264" s="16">
        <f t="shared" si="47"/>
        <v>778.4</v>
      </c>
      <c r="AD264" s="19">
        <f t="shared" si="48"/>
        <v>2266700.7999999998</v>
      </c>
      <c r="AE264" s="1" t="s">
        <v>7456</v>
      </c>
      <c r="AF264" s="1" t="str">
        <f>VLOOKUP(AE264,t_objeto!B:C,2,FALSE)</f>
        <v>RAW_MATERIAL</v>
      </c>
      <c r="AG264" s="1">
        <v>8</v>
      </c>
      <c r="AH264" s="1" t="str">
        <f>VLOOKUP(AG264,t_entry_status!A:AE,2,FALSE)</f>
        <v>PENDING</v>
      </c>
      <c r="AI264" s="7">
        <v>45560</v>
      </c>
      <c r="AJ264" s="1" t="s">
        <v>7449</v>
      </c>
      <c r="AK264" s="7">
        <v>45560</v>
      </c>
      <c r="AL264" s="1" t="s">
        <v>7449</v>
      </c>
    </row>
    <row r="265" spans="1:38" s="20" customFormat="1" x14ac:dyDescent="0.25">
      <c r="A265" s="14">
        <v>264</v>
      </c>
      <c r="B265" s="14" t="str">
        <f>_xlfn.CONCAT(AE265,"-",VLOOKUP(AE265,t_objeto!B:D,3,FALSE),"-",A265)</f>
        <v>RRMM-PERCCO-264</v>
      </c>
      <c r="C265" s="22" t="str">
        <f t="shared" si="49"/>
        <v>LAMINA_LISA__INOX_304/316 L_3'X10'_12</v>
      </c>
      <c r="D265" s="14" t="s">
        <v>7407</v>
      </c>
      <c r="E265" s="14" t="s">
        <v>7403</v>
      </c>
      <c r="F265" s="21" t="s">
        <v>7404</v>
      </c>
      <c r="G265" s="22" t="s">
        <v>7382</v>
      </c>
      <c r="H265" s="14">
        <v>12</v>
      </c>
      <c r="I265" s="16">
        <v>2.66</v>
      </c>
      <c r="J265" s="16">
        <f t="shared" si="40"/>
        <v>0.1047244094488189</v>
      </c>
      <c r="K265" s="16">
        <v>21.626999999999999</v>
      </c>
      <c r="L265" s="23"/>
      <c r="M265" s="23"/>
      <c r="N265" s="23"/>
      <c r="O265" s="23"/>
      <c r="P265" s="23"/>
      <c r="Q265" s="19"/>
      <c r="R265" s="17">
        <v>3</v>
      </c>
      <c r="S265" s="17">
        <v>10</v>
      </c>
      <c r="T265" s="16">
        <f t="shared" si="41"/>
        <v>3048</v>
      </c>
      <c r="U265" s="16">
        <f t="shared" si="42"/>
        <v>914.4</v>
      </c>
      <c r="V265" s="18">
        <f t="shared" si="43"/>
        <v>2787091.1999999997</v>
      </c>
      <c r="W265" s="18">
        <f t="shared" si="44"/>
        <v>2.7870911999999999</v>
      </c>
      <c r="X265" s="18">
        <f t="shared" si="45"/>
        <v>60.276421382399995</v>
      </c>
      <c r="Y265" s="24">
        <v>35</v>
      </c>
      <c r="Z265" s="24">
        <f t="shared" si="46"/>
        <v>2109.6747483839999</v>
      </c>
      <c r="AA265" s="16">
        <v>69</v>
      </c>
      <c r="AB265" s="16">
        <f t="shared" si="47"/>
        <v>2910</v>
      </c>
      <c r="AC265" s="16">
        <f t="shared" si="47"/>
        <v>776.4</v>
      </c>
      <c r="AD265" s="19">
        <f t="shared" si="48"/>
        <v>2259324</v>
      </c>
      <c r="AE265" s="1" t="s">
        <v>7456</v>
      </c>
      <c r="AF265" s="1" t="str">
        <f>VLOOKUP(AE265,t_objeto!B:C,2,FALSE)</f>
        <v>RAW_MATERIAL</v>
      </c>
      <c r="AG265" s="1">
        <v>8</v>
      </c>
      <c r="AH265" s="1" t="str">
        <f>VLOOKUP(AG265,t_entry_status!A:AE,2,FALSE)</f>
        <v>PENDING</v>
      </c>
      <c r="AI265" s="7">
        <v>45560</v>
      </c>
      <c r="AJ265" s="1" t="s">
        <v>7449</v>
      </c>
      <c r="AK265" s="7">
        <v>45560</v>
      </c>
      <c r="AL265" s="1" t="s">
        <v>7449</v>
      </c>
    </row>
    <row r="266" spans="1:38" s="20" customFormat="1" x14ac:dyDescent="0.25">
      <c r="A266" s="14">
        <v>265</v>
      </c>
      <c r="B266" s="14" t="str">
        <f>_xlfn.CONCAT(AE266,"-",VLOOKUP(AE266,t_objeto!B:D,3,FALSE),"-",A266)</f>
        <v>RRMM-PERCCO-265</v>
      </c>
      <c r="C266" s="22" t="str">
        <f t="shared" si="49"/>
        <v>LAMINA_LISA__INOX_304/316 L_3'X10'_13</v>
      </c>
      <c r="D266" s="14" t="s">
        <v>7407</v>
      </c>
      <c r="E266" s="14" t="s">
        <v>7403</v>
      </c>
      <c r="F266" s="21" t="s">
        <v>7404</v>
      </c>
      <c r="G266" s="22" t="s">
        <v>7382</v>
      </c>
      <c r="H266" s="14">
        <v>13</v>
      </c>
      <c r="I266" s="16">
        <v>2.2799999999999998</v>
      </c>
      <c r="J266" s="16">
        <f t="shared" si="40"/>
        <v>8.9763779527559054E-2</v>
      </c>
      <c r="K266" s="16">
        <v>18.225000000000001</v>
      </c>
      <c r="L266" s="23"/>
      <c r="M266" s="23"/>
      <c r="N266" s="23"/>
      <c r="O266" s="23"/>
      <c r="P266" s="23"/>
      <c r="Q266" s="19"/>
      <c r="R266" s="17">
        <v>3</v>
      </c>
      <c r="S266" s="17">
        <v>10</v>
      </c>
      <c r="T266" s="16">
        <f t="shared" si="41"/>
        <v>3048</v>
      </c>
      <c r="U266" s="16">
        <f t="shared" si="42"/>
        <v>914.4</v>
      </c>
      <c r="V266" s="18">
        <f t="shared" si="43"/>
        <v>2787091.1999999997</v>
      </c>
      <c r="W266" s="18">
        <f t="shared" si="44"/>
        <v>2.7870911999999999</v>
      </c>
      <c r="X266" s="18">
        <f t="shared" si="45"/>
        <v>50.794737120000001</v>
      </c>
      <c r="Y266" s="24">
        <v>35</v>
      </c>
      <c r="Z266" s="24">
        <f t="shared" si="46"/>
        <v>1777.8157992000001</v>
      </c>
      <c r="AA266" s="16">
        <v>70</v>
      </c>
      <c r="AB266" s="16">
        <f t="shared" si="47"/>
        <v>2908</v>
      </c>
      <c r="AC266" s="16">
        <f t="shared" si="47"/>
        <v>774.4</v>
      </c>
      <c r="AD266" s="19">
        <f t="shared" si="48"/>
        <v>2251955.1999999997</v>
      </c>
      <c r="AE266" s="1" t="s">
        <v>7456</v>
      </c>
      <c r="AF266" s="1" t="str">
        <f>VLOOKUP(AE266,t_objeto!B:C,2,FALSE)</f>
        <v>RAW_MATERIAL</v>
      </c>
      <c r="AG266" s="1">
        <v>8</v>
      </c>
      <c r="AH266" s="1" t="str">
        <f>VLOOKUP(AG266,t_entry_status!A:AE,2,FALSE)</f>
        <v>PENDING</v>
      </c>
      <c r="AI266" s="7">
        <v>45560</v>
      </c>
      <c r="AJ266" s="1" t="s">
        <v>7449</v>
      </c>
      <c r="AK266" s="7">
        <v>45560</v>
      </c>
      <c r="AL266" s="1" t="s">
        <v>7449</v>
      </c>
    </row>
    <row r="267" spans="1:38" s="20" customFormat="1" x14ac:dyDescent="0.25">
      <c r="A267" s="14">
        <v>266</v>
      </c>
      <c r="B267" s="14" t="str">
        <f>_xlfn.CONCAT(AE267,"-",VLOOKUP(AE267,t_objeto!B:D,3,FALSE),"-",A267)</f>
        <v>RRMM-PERCCO-266</v>
      </c>
      <c r="C267" s="22" t="str">
        <f t="shared" si="49"/>
        <v>LAMINA_LISA__INOX_304/316 L_3'X10'_14</v>
      </c>
      <c r="D267" s="14" t="s">
        <v>7407</v>
      </c>
      <c r="E267" s="14" t="s">
        <v>7403</v>
      </c>
      <c r="F267" s="21" t="s">
        <v>7404</v>
      </c>
      <c r="G267" s="22" t="s">
        <v>7382</v>
      </c>
      <c r="H267" s="14">
        <v>14</v>
      </c>
      <c r="I267" s="16">
        <v>1.9</v>
      </c>
      <c r="J267" s="16">
        <f t="shared" si="40"/>
        <v>7.4803149606299218E-2</v>
      </c>
      <c r="K267" s="16">
        <v>15.39</v>
      </c>
      <c r="L267" s="23"/>
      <c r="M267" s="23"/>
      <c r="N267" s="23"/>
      <c r="O267" s="23"/>
      <c r="P267" s="23"/>
      <c r="Q267" s="19"/>
      <c r="R267" s="17">
        <v>3</v>
      </c>
      <c r="S267" s="17">
        <v>10</v>
      </c>
      <c r="T267" s="16">
        <f t="shared" si="41"/>
        <v>3048</v>
      </c>
      <c r="U267" s="16">
        <f t="shared" si="42"/>
        <v>914.4</v>
      </c>
      <c r="V267" s="18">
        <f t="shared" si="43"/>
        <v>2787091.1999999997</v>
      </c>
      <c r="W267" s="18">
        <f t="shared" si="44"/>
        <v>2.7870911999999999</v>
      </c>
      <c r="X267" s="18">
        <f t="shared" si="45"/>
        <v>42.893333568000003</v>
      </c>
      <c r="Y267" s="24">
        <v>35</v>
      </c>
      <c r="Z267" s="24">
        <f t="shared" si="46"/>
        <v>1501.2666748800002</v>
      </c>
      <c r="AA267" s="16">
        <v>71</v>
      </c>
      <c r="AB267" s="16">
        <f t="shared" si="47"/>
        <v>2906</v>
      </c>
      <c r="AC267" s="16">
        <f t="shared" si="47"/>
        <v>772.4</v>
      </c>
      <c r="AD267" s="19">
        <f t="shared" si="48"/>
        <v>2244594.4</v>
      </c>
      <c r="AE267" s="1" t="s">
        <v>7456</v>
      </c>
      <c r="AF267" s="1" t="str">
        <f>VLOOKUP(AE267,t_objeto!B:C,2,FALSE)</f>
        <v>RAW_MATERIAL</v>
      </c>
      <c r="AG267" s="1">
        <v>8</v>
      </c>
      <c r="AH267" s="1" t="str">
        <f>VLOOKUP(AG267,t_entry_status!A:AE,2,FALSE)</f>
        <v>PENDING</v>
      </c>
      <c r="AI267" s="7">
        <v>45560</v>
      </c>
      <c r="AJ267" s="1" t="s">
        <v>7449</v>
      </c>
      <c r="AK267" s="7">
        <v>45560</v>
      </c>
      <c r="AL267" s="1" t="s">
        <v>7449</v>
      </c>
    </row>
    <row r="268" spans="1:38" s="20" customFormat="1" x14ac:dyDescent="0.25">
      <c r="A268" s="14">
        <v>267</v>
      </c>
      <c r="B268" s="14" t="str">
        <f>_xlfn.CONCAT(AE268,"-",VLOOKUP(AE268,t_objeto!B:D,3,FALSE),"-",A268)</f>
        <v>RRMM-PERCCO-267</v>
      </c>
      <c r="C268" s="22" t="str">
        <f t="shared" si="49"/>
        <v>LAMINA_LISA__INOX_304/316 L_3'X10'_15</v>
      </c>
      <c r="D268" s="14" t="s">
        <v>7407</v>
      </c>
      <c r="E268" s="14" t="s">
        <v>7403</v>
      </c>
      <c r="F268" s="21" t="s">
        <v>7404</v>
      </c>
      <c r="G268" s="22" t="s">
        <v>7382</v>
      </c>
      <c r="H268" s="14">
        <v>15</v>
      </c>
      <c r="I268" s="16">
        <v>1.71</v>
      </c>
      <c r="J268" s="16">
        <f t="shared" si="40"/>
        <v>6.7322834645669294E-2</v>
      </c>
      <c r="K268" s="16">
        <v>13.669</v>
      </c>
      <c r="L268" s="23"/>
      <c r="M268" s="23"/>
      <c r="N268" s="23"/>
      <c r="O268" s="23"/>
      <c r="P268" s="23"/>
      <c r="Q268" s="19"/>
      <c r="R268" s="17">
        <v>3</v>
      </c>
      <c r="S268" s="17">
        <v>10</v>
      </c>
      <c r="T268" s="16">
        <f t="shared" si="41"/>
        <v>3048</v>
      </c>
      <c r="U268" s="16">
        <f t="shared" si="42"/>
        <v>914.4</v>
      </c>
      <c r="V268" s="18">
        <f t="shared" si="43"/>
        <v>2787091.1999999997</v>
      </c>
      <c r="W268" s="18">
        <f t="shared" si="44"/>
        <v>2.7870911999999999</v>
      </c>
      <c r="X268" s="18">
        <f t="shared" si="45"/>
        <v>38.096749612799996</v>
      </c>
      <c r="Y268" s="24">
        <v>35</v>
      </c>
      <c r="Z268" s="24">
        <f t="shared" si="46"/>
        <v>1333.3862364479999</v>
      </c>
      <c r="AA268" s="16">
        <v>72</v>
      </c>
      <c r="AB268" s="16">
        <f t="shared" si="47"/>
        <v>2904</v>
      </c>
      <c r="AC268" s="16">
        <f t="shared" si="47"/>
        <v>770.4</v>
      </c>
      <c r="AD268" s="19">
        <f t="shared" si="48"/>
        <v>2237241.6</v>
      </c>
      <c r="AE268" s="1" t="s">
        <v>7456</v>
      </c>
      <c r="AF268" s="1" t="str">
        <f>VLOOKUP(AE268,t_objeto!B:C,2,FALSE)</f>
        <v>RAW_MATERIAL</v>
      </c>
      <c r="AG268" s="1">
        <v>8</v>
      </c>
      <c r="AH268" s="1" t="str">
        <f>VLOOKUP(AG268,t_entry_status!A:AE,2,FALSE)</f>
        <v>PENDING</v>
      </c>
      <c r="AI268" s="7">
        <v>45560</v>
      </c>
      <c r="AJ268" s="1" t="s">
        <v>7449</v>
      </c>
      <c r="AK268" s="7">
        <v>45560</v>
      </c>
      <c r="AL268" s="1" t="s">
        <v>7449</v>
      </c>
    </row>
    <row r="269" spans="1:38" s="20" customFormat="1" x14ac:dyDescent="0.25">
      <c r="A269" s="14">
        <v>268</v>
      </c>
      <c r="B269" s="14" t="str">
        <f>_xlfn.CONCAT(AE269,"-",VLOOKUP(AE269,t_objeto!B:D,3,FALSE),"-",A269)</f>
        <v>RRMM-PERCCO-268</v>
      </c>
      <c r="C269" s="22" t="str">
        <f t="shared" si="49"/>
        <v>LAMINA_LISA__INOX_304/316 L_3'X10'_16</v>
      </c>
      <c r="D269" s="14" t="s">
        <v>7407</v>
      </c>
      <c r="E269" s="14" t="s">
        <v>7403</v>
      </c>
      <c r="F269" s="21" t="s">
        <v>7404</v>
      </c>
      <c r="G269" s="22" t="s">
        <v>7382</v>
      </c>
      <c r="H269" s="14">
        <v>16</v>
      </c>
      <c r="I269" s="16">
        <v>1.52</v>
      </c>
      <c r="J269" s="16">
        <f t="shared" si="40"/>
        <v>5.9842519685039376E-2</v>
      </c>
      <c r="K269" s="16">
        <v>12.311999999999999</v>
      </c>
      <c r="L269" s="23"/>
      <c r="M269" s="23"/>
      <c r="N269" s="23"/>
      <c r="O269" s="23"/>
      <c r="P269" s="23"/>
      <c r="Q269" s="19"/>
      <c r="R269" s="17">
        <v>3</v>
      </c>
      <c r="S269" s="17">
        <v>10</v>
      </c>
      <c r="T269" s="16">
        <f t="shared" si="41"/>
        <v>3048</v>
      </c>
      <c r="U269" s="16">
        <f t="shared" si="42"/>
        <v>914.4</v>
      </c>
      <c r="V269" s="18">
        <f t="shared" si="43"/>
        <v>2787091.1999999997</v>
      </c>
      <c r="W269" s="18">
        <f t="shared" si="44"/>
        <v>2.7870911999999999</v>
      </c>
      <c r="X269" s="18">
        <f t="shared" si="45"/>
        <v>34.314666854399995</v>
      </c>
      <c r="Y269" s="24">
        <v>35</v>
      </c>
      <c r="Z269" s="24">
        <f t="shared" si="46"/>
        <v>1201.0133399039998</v>
      </c>
      <c r="AA269" s="16">
        <v>73</v>
      </c>
      <c r="AB269" s="16">
        <f t="shared" si="47"/>
        <v>2902</v>
      </c>
      <c r="AC269" s="16">
        <f t="shared" si="47"/>
        <v>768.4</v>
      </c>
      <c r="AD269" s="19">
        <f t="shared" si="48"/>
        <v>2229896.7999999998</v>
      </c>
      <c r="AE269" s="1" t="s">
        <v>7456</v>
      </c>
      <c r="AF269" s="1" t="str">
        <f>VLOOKUP(AE269,t_objeto!B:C,2,FALSE)</f>
        <v>RAW_MATERIAL</v>
      </c>
      <c r="AG269" s="1">
        <v>8</v>
      </c>
      <c r="AH269" s="1" t="str">
        <f>VLOOKUP(AG269,t_entry_status!A:AE,2,FALSE)</f>
        <v>PENDING</v>
      </c>
      <c r="AI269" s="7">
        <v>45560</v>
      </c>
      <c r="AJ269" s="1" t="s">
        <v>7449</v>
      </c>
      <c r="AK269" s="7">
        <v>45560</v>
      </c>
      <c r="AL269" s="1" t="s">
        <v>7449</v>
      </c>
    </row>
    <row r="270" spans="1:38" s="20" customFormat="1" x14ac:dyDescent="0.25">
      <c r="A270" s="14">
        <v>269</v>
      </c>
      <c r="B270" s="14" t="str">
        <f>_xlfn.CONCAT(AE270,"-",VLOOKUP(AE270,t_objeto!B:D,3,FALSE),"-",A270)</f>
        <v>RRMM-PERCCO-269</v>
      </c>
      <c r="C270" s="22" t="str">
        <f t="shared" si="49"/>
        <v>LAMINA_LISA__INOX_304/316 L_3'X10'_17</v>
      </c>
      <c r="D270" s="14" t="s">
        <v>7407</v>
      </c>
      <c r="E270" s="14" t="s">
        <v>7403</v>
      </c>
      <c r="F270" s="21" t="s">
        <v>7404</v>
      </c>
      <c r="G270" s="22" t="s">
        <v>7382</v>
      </c>
      <c r="H270" s="14">
        <v>17</v>
      </c>
      <c r="I270" s="16">
        <v>1.37</v>
      </c>
      <c r="J270" s="16">
        <f t="shared" si="40"/>
        <v>5.3937007874015758E-2</v>
      </c>
      <c r="K270" s="16">
        <v>10.951000000000001</v>
      </c>
      <c r="L270" s="23"/>
      <c r="M270" s="23"/>
      <c r="N270" s="23"/>
      <c r="O270" s="23"/>
      <c r="P270" s="23"/>
      <c r="Q270" s="19"/>
      <c r="R270" s="17">
        <v>3</v>
      </c>
      <c r="S270" s="17">
        <v>10</v>
      </c>
      <c r="T270" s="16">
        <f t="shared" si="41"/>
        <v>3048</v>
      </c>
      <c r="U270" s="16">
        <f t="shared" si="42"/>
        <v>914.4</v>
      </c>
      <c r="V270" s="18">
        <f t="shared" si="43"/>
        <v>2787091.1999999997</v>
      </c>
      <c r="W270" s="18">
        <f t="shared" si="44"/>
        <v>2.7870911999999999</v>
      </c>
      <c r="X270" s="18">
        <f t="shared" si="45"/>
        <v>30.5214357312</v>
      </c>
      <c r="Y270" s="24">
        <v>35</v>
      </c>
      <c r="Z270" s="24">
        <f t="shared" si="46"/>
        <v>1068.2502505919999</v>
      </c>
      <c r="AA270" s="16">
        <v>74</v>
      </c>
      <c r="AB270" s="16">
        <f t="shared" si="47"/>
        <v>2900</v>
      </c>
      <c r="AC270" s="16">
        <f t="shared" si="47"/>
        <v>766.4</v>
      </c>
      <c r="AD270" s="19">
        <f t="shared" si="48"/>
        <v>2222560</v>
      </c>
      <c r="AE270" s="1" t="s">
        <v>7456</v>
      </c>
      <c r="AF270" s="1" t="str">
        <f>VLOOKUP(AE270,t_objeto!B:C,2,FALSE)</f>
        <v>RAW_MATERIAL</v>
      </c>
      <c r="AG270" s="1">
        <v>8</v>
      </c>
      <c r="AH270" s="1" t="str">
        <f>VLOOKUP(AG270,t_entry_status!A:AE,2,FALSE)</f>
        <v>PENDING</v>
      </c>
      <c r="AI270" s="7">
        <v>45560</v>
      </c>
      <c r="AJ270" s="1" t="s">
        <v>7449</v>
      </c>
      <c r="AK270" s="7">
        <v>45560</v>
      </c>
      <c r="AL270" s="1" t="s">
        <v>7449</v>
      </c>
    </row>
    <row r="271" spans="1:38" s="20" customFormat="1" x14ac:dyDescent="0.25">
      <c r="A271" s="14">
        <v>270</v>
      </c>
      <c r="B271" s="14" t="str">
        <f>_xlfn.CONCAT(AE271,"-",VLOOKUP(AE271,t_objeto!B:D,3,FALSE),"-",A271)</f>
        <v>RRMM-PERCCO-270</v>
      </c>
      <c r="C271" s="22" t="str">
        <f t="shared" si="49"/>
        <v>LAMINA_LISA__INOX_304/316 L_3'X10'_18</v>
      </c>
      <c r="D271" s="14" t="s">
        <v>7407</v>
      </c>
      <c r="E271" s="14" t="s">
        <v>7403</v>
      </c>
      <c r="F271" s="21" t="s">
        <v>7404</v>
      </c>
      <c r="G271" s="22" t="s">
        <v>7382</v>
      </c>
      <c r="H271" s="14">
        <v>18</v>
      </c>
      <c r="I271" s="16">
        <v>1.21</v>
      </c>
      <c r="J271" s="16">
        <f t="shared" si="40"/>
        <v>4.7637795275590554E-2</v>
      </c>
      <c r="K271" s="16">
        <v>9.8819999999999997</v>
      </c>
      <c r="L271" s="23"/>
      <c r="M271" s="23"/>
      <c r="N271" s="23"/>
      <c r="O271" s="23"/>
      <c r="P271" s="23"/>
      <c r="Q271" s="19"/>
      <c r="R271" s="17">
        <v>3</v>
      </c>
      <c r="S271" s="17">
        <v>10</v>
      </c>
      <c r="T271" s="16">
        <f t="shared" si="41"/>
        <v>3048</v>
      </c>
      <c r="U271" s="16">
        <f t="shared" si="42"/>
        <v>914.4</v>
      </c>
      <c r="V271" s="18">
        <f t="shared" si="43"/>
        <v>2787091.1999999997</v>
      </c>
      <c r="W271" s="18">
        <f t="shared" si="44"/>
        <v>2.7870911999999999</v>
      </c>
      <c r="X271" s="18">
        <f t="shared" si="45"/>
        <v>27.542035238399997</v>
      </c>
      <c r="Y271" s="24">
        <v>35</v>
      </c>
      <c r="Z271" s="24">
        <f t="shared" si="46"/>
        <v>963.97123334399987</v>
      </c>
      <c r="AA271" s="16">
        <v>75</v>
      </c>
      <c r="AB271" s="16">
        <f t="shared" si="47"/>
        <v>2898</v>
      </c>
      <c r="AC271" s="16">
        <f t="shared" si="47"/>
        <v>764.4</v>
      </c>
      <c r="AD271" s="19">
        <f t="shared" si="48"/>
        <v>2215231.1999999997</v>
      </c>
      <c r="AE271" s="1" t="s">
        <v>7456</v>
      </c>
      <c r="AF271" s="1" t="str">
        <f>VLOOKUP(AE271,t_objeto!B:C,2,FALSE)</f>
        <v>RAW_MATERIAL</v>
      </c>
      <c r="AG271" s="1">
        <v>8</v>
      </c>
      <c r="AH271" s="1" t="str">
        <f>VLOOKUP(AG271,t_entry_status!A:AE,2,FALSE)</f>
        <v>PENDING</v>
      </c>
      <c r="AI271" s="7">
        <v>45560</v>
      </c>
      <c r="AJ271" s="1" t="s">
        <v>7449</v>
      </c>
      <c r="AK271" s="7">
        <v>45560</v>
      </c>
      <c r="AL271" s="1" t="s">
        <v>7449</v>
      </c>
    </row>
    <row r="272" spans="1:38" s="20" customFormat="1" x14ac:dyDescent="0.25">
      <c r="A272" s="14">
        <v>271</v>
      </c>
      <c r="B272" s="14" t="str">
        <f>_xlfn.CONCAT(AE272,"-",VLOOKUP(AE272,t_objeto!B:D,3,FALSE),"-",A272)</f>
        <v>RRMM-PERCCO-271</v>
      </c>
      <c r="C272" s="22" t="str">
        <f t="shared" si="49"/>
        <v>LAMINA_LISA__INOX_304/316 L_3'X10'_19</v>
      </c>
      <c r="D272" s="14" t="s">
        <v>7407</v>
      </c>
      <c r="E272" s="14" t="s">
        <v>7403</v>
      </c>
      <c r="F272" s="21" t="s">
        <v>7404</v>
      </c>
      <c r="G272" s="22" t="s">
        <v>7382</v>
      </c>
      <c r="H272" s="14">
        <v>19</v>
      </c>
      <c r="I272" s="16">
        <v>1.06</v>
      </c>
      <c r="J272" s="16">
        <f t="shared" si="40"/>
        <v>4.1732283464566935E-2</v>
      </c>
      <c r="K272" s="16">
        <v>8.4730000000000008</v>
      </c>
      <c r="L272" s="23"/>
      <c r="M272" s="23"/>
      <c r="N272" s="23"/>
      <c r="O272" s="23"/>
      <c r="P272" s="23"/>
      <c r="Q272" s="19"/>
      <c r="R272" s="17">
        <v>3</v>
      </c>
      <c r="S272" s="17">
        <v>10</v>
      </c>
      <c r="T272" s="16">
        <f t="shared" si="41"/>
        <v>3048</v>
      </c>
      <c r="U272" s="16">
        <f t="shared" si="42"/>
        <v>914.4</v>
      </c>
      <c r="V272" s="18">
        <f t="shared" si="43"/>
        <v>2787091.1999999997</v>
      </c>
      <c r="W272" s="18">
        <f t="shared" si="44"/>
        <v>2.7870911999999999</v>
      </c>
      <c r="X272" s="18">
        <f t="shared" si="45"/>
        <v>23.615023737600001</v>
      </c>
      <c r="Y272" s="24">
        <v>35</v>
      </c>
      <c r="Z272" s="24">
        <f t="shared" si="46"/>
        <v>826.52583081600005</v>
      </c>
      <c r="AA272" s="16">
        <v>76</v>
      </c>
      <c r="AB272" s="16">
        <f t="shared" si="47"/>
        <v>2896</v>
      </c>
      <c r="AC272" s="16">
        <f t="shared" si="47"/>
        <v>762.4</v>
      </c>
      <c r="AD272" s="19">
        <f t="shared" si="48"/>
        <v>2207910.4</v>
      </c>
      <c r="AE272" s="1" t="s">
        <v>7456</v>
      </c>
      <c r="AF272" s="1" t="str">
        <f>VLOOKUP(AE272,t_objeto!B:C,2,FALSE)</f>
        <v>RAW_MATERIAL</v>
      </c>
      <c r="AG272" s="1">
        <v>8</v>
      </c>
      <c r="AH272" s="1" t="str">
        <f>VLOOKUP(AG272,t_entry_status!A:AE,2,FALSE)</f>
        <v>PENDING</v>
      </c>
      <c r="AI272" s="7">
        <v>45560</v>
      </c>
      <c r="AJ272" s="1" t="s">
        <v>7449</v>
      </c>
      <c r="AK272" s="7">
        <v>45560</v>
      </c>
      <c r="AL272" s="1" t="s">
        <v>7449</v>
      </c>
    </row>
    <row r="273" spans="1:38" s="20" customFormat="1" x14ac:dyDescent="0.25">
      <c r="A273" s="14">
        <v>272</v>
      </c>
      <c r="B273" s="14" t="str">
        <f>_xlfn.CONCAT(AE273,"-",VLOOKUP(AE273,t_objeto!B:D,3,FALSE),"-",A273)</f>
        <v>RRMM-PERCCO-272</v>
      </c>
      <c r="C273" s="22" t="str">
        <f t="shared" si="49"/>
        <v>LAMINA_LISA__INOX_304/316 L_3'X10'_20</v>
      </c>
      <c r="D273" s="14" t="s">
        <v>7407</v>
      </c>
      <c r="E273" s="14" t="s">
        <v>7403</v>
      </c>
      <c r="F273" s="21" t="s">
        <v>7404</v>
      </c>
      <c r="G273" s="22" t="s">
        <v>7382</v>
      </c>
      <c r="H273" s="14">
        <v>20</v>
      </c>
      <c r="I273" s="16">
        <v>0.91</v>
      </c>
      <c r="J273" s="16">
        <f t="shared" si="40"/>
        <v>3.582677165354331E-2</v>
      </c>
      <c r="K273" s="16">
        <v>7.2249999999999996</v>
      </c>
      <c r="L273" s="23"/>
      <c r="M273" s="23"/>
      <c r="N273" s="23"/>
      <c r="O273" s="23"/>
      <c r="P273" s="23"/>
      <c r="Q273" s="19"/>
      <c r="R273" s="17">
        <v>3</v>
      </c>
      <c r="S273" s="17">
        <v>10</v>
      </c>
      <c r="T273" s="16">
        <f t="shared" si="41"/>
        <v>3048</v>
      </c>
      <c r="U273" s="16">
        <f t="shared" si="42"/>
        <v>914.4</v>
      </c>
      <c r="V273" s="18">
        <f t="shared" si="43"/>
        <v>2787091.1999999997</v>
      </c>
      <c r="W273" s="18">
        <f t="shared" si="44"/>
        <v>2.7870911999999999</v>
      </c>
      <c r="X273" s="18">
        <f t="shared" si="45"/>
        <v>20.136733919999998</v>
      </c>
      <c r="Y273" s="24">
        <v>35</v>
      </c>
      <c r="Z273" s="24">
        <f t="shared" si="46"/>
        <v>704.78568719999987</v>
      </c>
      <c r="AA273" s="16">
        <v>77</v>
      </c>
      <c r="AB273" s="16">
        <f t="shared" si="47"/>
        <v>2894</v>
      </c>
      <c r="AC273" s="16">
        <f t="shared" si="47"/>
        <v>760.4</v>
      </c>
      <c r="AD273" s="19">
        <f t="shared" si="48"/>
        <v>2200597.6</v>
      </c>
      <c r="AE273" s="1" t="s">
        <v>7456</v>
      </c>
      <c r="AF273" s="1" t="str">
        <f>VLOOKUP(AE273,t_objeto!B:C,2,FALSE)</f>
        <v>RAW_MATERIAL</v>
      </c>
      <c r="AG273" s="1">
        <v>8</v>
      </c>
      <c r="AH273" s="1" t="str">
        <f>VLOOKUP(AG273,t_entry_status!A:AE,2,FALSE)</f>
        <v>PENDING</v>
      </c>
      <c r="AI273" s="7">
        <v>45560</v>
      </c>
      <c r="AJ273" s="1" t="s">
        <v>7449</v>
      </c>
      <c r="AK273" s="7">
        <v>45560</v>
      </c>
      <c r="AL273" s="1" t="s">
        <v>7449</v>
      </c>
    </row>
    <row r="274" spans="1:38" s="20" customFormat="1" x14ac:dyDescent="0.25">
      <c r="A274" s="14">
        <v>273</v>
      </c>
      <c r="B274" s="14" t="str">
        <f>_xlfn.CONCAT(AE274,"-",VLOOKUP(AE274,t_objeto!B:D,3,FALSE),"-",A274)</f>
        <v>RRMM-PERCCO-273</v>
      </c>
      <c r="C274" s="22" t="str">
        <f t="shared" si="49"/>
        <v>LAMINA_LISA__INOX_304/316 L_3'X10'_21</v>
      </c>
      <c r="D274" s="14" t="s">
        <v>7407</v>
      </c>
      <c r="E274" s="14" t="s">
        <v>7403</v>
      </c>
      <c r="F274" s="21" t="s">
        <v>7404</v>
      </c>
      <c r="G274" s="22" t="s">
        <v>7382</v>
      </c>
      <c r="H274" s="14">
        <v>21</v>
      </c>
      <c r="I274" s="16">
        <v>0.84</v>
      </c>
      <c r="J274" s="16">
        <f t="shared" ref="J274:J337" si="50">I274/25.4</f>
        <v>3.3070866141732283E-2</v>
      </c>
      <c r="K274" s="16">
        <v>6.7149999999999999</v>
      </c>
      <c r="L274" s="23"/>
      <c r="M274" s="23"/>
      <c r="N274" s="23"/>
      <c r="O274" s="23"/>
      <c r="P274" s="23"/>
      <c r="Q274" s="19"/>
      <c r="R274" s="17">
        <v>3</v>
      </c>
      <c r="S274" s="17">
        <v>10</v>
      </c>
      <c r="T274" s="16">
        <f t="shared" si="41"/>
        <v>3048</v>
      </c>
      <c r="U274" s="16">
        <f t="shared" si="42"/>
        <v>914.4</v>
      </c>
      <c r="V274" s="18">
        <f t="shared" si="43"/>
        <v>2787091.1999999997</v>
      </c>
      <c r="W274" s="18">
        <f t="shared" si="44"/>
        <v>2.7870911999999999</v>
      </c>
      <c r="X274" s="18">
        <f t="shared" si="45"/>
        <v>18.715317407999997</v>
      </c>
      <c r="Y274" s="24">
        <v>35</v>
      </c>
      <c r="Z274" s="24">
        <f t="shared" si="46"/>
        <v>655.03610927999989</v>
      </c>
      <c r="AA274" s="16">
        <v>78</v>
      </c>
      <c r="AB274" s="16">
        <f t="shared" si="47"/>
        <v>2892</v>
      </c>
      <c r="AC274" s="16">
        <f t="shared" si="47"/>
        <v>758.4</v>
      </c>
      <c r="AD274" s="19">
        <f t="shared" si="48"/>
        <v>2193292.7999999998</v>
      </c>
      <c r="AE274" s="1" t="s">
        <v>7456</v>
      </c>
      <c r="AF274" s="1" t="str">
        <f>VLOOKUP(AE274,t_objeto!B:C,2,FALSE)</f>
        <v>RAW_MATERIAL</v>
      </c>
      <c r="AG274" s="1">
        <v>8</v>
      </c>
      <c r="AH274" s="1" t="str">
        <f>VLOOKUP(AG274,t_entry_status!A:AE,2,FALSE)</f>
        <v>PENDING</v>
      </c>
      <c r="AI274" s="7">
        <v>45560</v>
      </c>
      <c r="AJ274" s="1" t="s">
        <v>7449</v>
      </c>
      <c r="AK274" s="7">
        <v>45560</v>
      </c>
      <c r="AL274" s="1" t="s">
        <v>7449</v>
      </c>
    </row>
    <row r="275" spans="1:38" s="20" customFormat="1" x14ac:dyDescent="0.25">
      <c r="A275" s="14">
        <v>274</v>
      </c>
      <c r="B275" s="14" t="str">
        <f>_xlfn.CONCAT(AE275,"-",VLOOKUP(AE275,t_objeto!B:D,3,FALSE),"-",A275)</f>
        <v>RRMM-PERCCO-274</v>
      </c>
      <c r="C275" s="22" t="str">
        <f t="shared" si="49"/>
        <v>LAMINA_LISA__INOX_304/316 L_3'X10'_22</v>
      </c>
      <c r="D275" s="14" t="s">
        <v>7407</v>
      </c>
      <c r="E275" s="14" t="s">
        <v>7403</v>
      </c>
      <c r="F275" s="21" t="s">
        <v>7404</v>
      </c>
      <c r="G275" s="22" t="s">
        <v>7382</v>
      </c>
      <c r="H275" s="14">
        <v>22</v>
      </c>
      <c r="I275" s="16">
        <v>0.76</v>
      </c>
      <c r="J275" s="16">
        <f t="shared" si="50"/>
        <v>2.9921259842519688E-2</v>
      </c>
      <c r="K275" s="16">
        <v>5.9939999999999998</v>
      </c>
      <c r="L275" s="23"/>
      <c r="M275" s="23"/>
      <c r="N275" s="23"/>
      <c r="O275" s="23"/>
      <c r="P275" s="23"/>
      <c r="Q275" s="19"/>
      <c r="R275" s="17">
        <v>3</v>
      </c>
      <c r="S275" s="17">
        <v>10</v>
      </c>
      <c r="T275" s="16">
        <f t="shared" si="41"/>
        <v>3048</v>
      </c>
      <c r="U275" s="16">
        <f t="shared" si="42"/>
        <v>914.4</v>
      </c>
      <c r="V275" s="18">
        <f t="shared" si="43"/>
        <v>2787091.1999999997</v>
      </c>
      <c r="W275" s="18">
        <f t="shared" si="44"/>
        <v>2.7870911999999999</v>
      </c>
      <c r="X275" s="18">
        <f t="shared" si="45"/>
        <v>16.705824652799997</v>
      </c>
      <c r="Y275" s="24">
        <v>35</v>
      </c>
      <c r="Z275" s="24">
        <f t="shared" si="46"/>
        <v>584.70386284799986</v>
      </c>
      <c r="AA275" s="16">
        <v>79</v>
      </c>
      <c r="AB275" s="16">
        <f t="shared" si="47"/>
        <v>2890</v>
      </c>
      <c r="AC275" s="16">
        <f t="shared" si="47"/>
        <v>756.4</v>
      </c>
      <c r="AD275" s="19">
        <f t="shared" si="48"/>
        <v>2185996</v>
      </c>
      <c r="AE275" s="1" t="s">
        <v>7456</v>
      </c>
      <c r="AF275" s="1" t="str">
        <f>VLOOKUP(AE275,t_objeto!B:C,2,FALSE)</f>
        <v>RAW_MATERIAL</v>
      </c>
      <c r="AG275" s="1">
        <v>8</v>
      </c>
      <c r="AH275" s="1" t="str">
        <f>VLOOKUP(AG275,t_entry_status!A:AE,2,FALSE)</f>
        <v>PENDING</v>
      </c>
      <c r="AI275" s="7">
        <v>45560</v>
      </c>
      <c r="AJ275" s="1" t="s">
        <v>7449</v>
      </c>
      <c r="AK275" s="7">
        <v>45560</v>
      </c>
      <c r="AL275" s="1" t="s">
        <v>7449</v>
      </c>
    </row>
    <row r="276" spans="1:38" s="20" customFormat="1" x14ac:dyDescent="0.25">
      <c r="A276" s="14">
        <v>275</v>
      </c>
      <c r="B276" s="14" t="str">
        <f>_xlfn.CONCAT(AE276,"-",VLOOKUP(AE276,t_objeto!B:D,3,FALSE),"-",A276)</f>
        <v>RRMM-PERCCO-275</v>
      </c>
      <c r="C276" s="22" t="str">
        <f t="shared" si="49"/>
        <v>LAMINA_LISA__INOX_304/316 L_3'X10'_23</v>
      </c>
      <c r="D276" s="14" t="s">
        <v>7407</v>
      </c>
      <c r="E276" s="14" t="s">
        <v>7403</v>
      </c>
      <c r="F276" s="21" t="s">
        <v>7404</v>
      </c>
      <c r="G276" s="22" t="s">
        <v>7382</v>
      </c>
      <c r="H276" s="14">
        <v>23</v>
      </c>
      <c r="I276" s="16">
        <v>0.68</v>
      </c>
      <c r="J276" s="16">
        <f t="shared" si="50"/>
        <v>2.677165354330709E-2</v>
      </c>
      <c r="K276" s="16">
        <v>5.4359999999999999</v>
      </c>
      <c r="L276" s="23"/>
      <c r="M276" s="23"/>
      <c r="N276" s="23"/>
      <c r="O276" s="23"/>
      <c r="P276" s="23"/>
      <c r="Q276" s="19"/>
      <c r="R276" s="17">
        <v>3</v>
      </c>
      <c r="S276" s="17">
        <v>10</v>
      </c>
      <c r="T276" s="16">
        <f t="shared" si="41"/>
        <v>3048</v>
      </c>
      <c r="U276" s="16">
        <f t="shared" si="42"/>
        <v>914.4</v>
      </c>
      <c r="V276" s="18">
        <f t="shared" si="43"/>
        <v>2787091.1999999997</v>
      </c>
      <c r="W276" s="18">
        <f t="shared" si="44"/>
        <v>2.7870911999999999</v>
      </c>
      <c r="X276" s="18">
        <f t="shared" si="45"/>
        <v>15.150627763199999</v>
      </c>
      <c r="Y276" s="24">
        <v>35</v>
      </c>
      <c r="Z276" s="24">
        <f t="shared" si="46"/>
        <v>530.27197171199998</v>
      </c>
      <c r="AA276" s="16">
        <v>80</v>
      </c>
      <c r="AB276" s="16">
        <f t="shared" si="47"/>
        <v>2888</v>
      </c>
      <c r="AC276" s="16">
        <f t="shared" si="47"/>
        <v>754.4</v>
      </c>
      <c r="AD276" s="19">
        <f t="shared" si="48"/>
        <v>2178707.1999999997</v>
      </c>
      <c r="AE276" s="1" t="s">
        <v>7456</v>
      </c>
      <c r="AF276" s="1" t="str">
        <f>VLOOKUP(AE276,t_objeto!B:C,2,FALSE)</f>
        <v>RAW_MATERIAL</v>
      </c>
      <c r="AG276" s="1">
        <v>8</v>
      </c>
      <c r="AH276" s="1" t="str">
        <f>VLOOKUP(AG276,t_entry_status!A:AE,2,FALSE)</f>
        <v>PENDING</v>
      </c>
      <c r="AI276" s="7">
        <v>45560</v>
      </c>
      <c r="AJ276" s="1" t="s">
        <v>7449</v>
      </c>
      <c r="AK276" s="7">
        <v>45560</v>
      </c>
      <c r="AL276" s="1" t="s">
        <v>7449</v>
      </c>
    </row>
    <row r="277" spans="1:38" s="20" customFormat="1" x14ac:dyDescent="0.25">
      <c r="A277" s="14">
        <v>276</v>
      </c>
      <c r="B277" s="14" t="str">
        <f>_xlfn.CONCAT(AE277,"-",VLOOKUP(AE277,t_objeto!B:D,3,FALSE),"-",A277)</f>
        <v>RRMM-PERCCO-276</v>
      </c>
      <c r="C277" s="22" t="str">
        <f t="shared" si="49"/>
        <v>LAMINA_LISA__INOX_304/316 L_3'X10'_24</v>
      </c>
      <c r="D277" s="14" t="s">
        <v>7407</v>
      </c>
      <c r="E277" s="14" t="s">
        <v>7403</v>
      </c>
      <c r="F277" s="21" t="s">
        <v>7404</v>
      </c>
      <c r="G277" s="22" t="s">
        <v>7382</v>
      </c>
      <c r="H277" s="14">
        <v>24</v>
      </c>
      <c r="I277" s="16">
        <v>0.61</v>
      </c>
      <c r="J277" s="16">
        <f t="shared" si="50"/>
        <v>2.4015748031496063E-2</v>
      </c>
      <c r="K277" s="16">
        <v>4.9409999999999998</v>
      </c>
      <c r="L277" s="23"/>
      <c r="M277" s="23"/>
      <c r="N277" s="23"/>
      <c r="O277" s="23"/>
      <c r="P277" s="23"/>
      <c r="Q277" s="19"/>
      <c r="R277" s="17">
        <v>3</v>
      </c>
      <c r="S277" s="17">
        <v>10</v>
      </c>
      <c r="T277" s="16">
        <f t="shared" si="41"/>
        <v>3048</v>
      </c>
      <c r="U277" s="16">
        <f t="shared" si="42"/>
        <v>914.4</v>
      </c>
      <c r="V277" s="18">
        <f t="shared" si="43"/>
        <v>2787091.1999999997</v>
      </c>
      <c r="W277" s="18">
        <f t="shared" si="44"/>
        <v>2.7870911999999999</v>
      </c>
      <c r="X277" s="18">
        <f t="shared" si="45"/>
        <v>13.771017619199998</v>
      </c>
      <c r="Y277" s="24">
        <v>35</v>
      </c>
      <c r="Z277" s="24">
        <f t="shared" si="46"/>
        <v>481.98561667199994</v>
      </c>
      <c r="AA277" s="16">
        <v>81</v>
      </c>
      <c r="AB277" s="16">
        <f t="shared" si="47"/>
        <v>2886</v>
      </c>
      <c r="AC277" s="16">
        <f t="shared" si="47"/>
        <v>752.4</v>
      </c>
      <c r="AD277" s="19">
        <f t="shared" si="48"/>
        <v>2171426.4</v>
      </c>
      <c r="AE277" s="1" t="s">
        <v>7456</v>
      </c>
      <c r="AF277" s="1" t="str">
        <f>VLOOKUP(AE277,t_objeto!B:C,2,FALSE)</f>
        <v>RAW_MATERIAL</v>
      </c>
      <c r="AG277" s="1">
        <v>8</v>
      </c>
      <c r="AH277" s="1" t="str">
        <f>VLOOKUP(AG277,t_entry_status!A:AE,2,FALSE)</f>
        <v>PENDING</v>
      </c>
      <c r="AI277" s="7">
        <v>45560</v>
      </c>
      <c r="AJ277" s="1" t="s">
        <v>7449</v>
      </c>
      <c r="AK277" s="7">
        <v>45560</v>
      </c>
      <c r="AL277" s="1" t="s">
        <v>7449</v>
      </c>
    </row>
    <row r="278" spans="1:38" s="20" customFormat="1" x14ac:dyDescent="0.25">
      <c r="A278" s="14">
        <v>277</v>
      </c>
      <c r="B278" s="14" t="str">
        <f>_xlfn.CONCAT(AE278,"-",VLOOKUP(AE278,t_objeto!B:D,3,FALSE),"-",A278)</f>
        <v>RRMM-PERCCO-277</v>
      </c>
      <c r="C278" s="22" t="str">
        <f t="shared" si="49"/>
        <v>LAMINA_LISA__INOX_304/316 L_3'X10'_25</v>
      </c>
      <c r="D278" s="14" t="s">
        <v>7407</v>
      </c>
      <c r="E278" s="14" t="s">
        <v>7403</v>
      </c>
      <c r="F278" s="21" t="s">
        <v>7404</v>
      </c>
      <c r="G278" s="22" t="s">
        <v>7382</v>
      </c>
      <c r="H278" s="14">
        <v>25</v>
      </c>
      <c r="I278" s="16">
        <v>0.53</v>
      </c>
      <c r="J278" s="16">
        <f t="shared" si="50"/>
        <v>2.0866141732283468E-2</v>
      </c>
      <c r="K278" s="16">
        <v>4.2370000000000001</v>
      </c>
      <c r="L278" s="23"/>
      <c r="M278" s="23"/>
      <c r="N278" s="23"/>
      <c r="O278" s="23"/>
      <c r="P278" s="23"/>
      <c r="Q278" s="19"/>
      <c r="R278" s="17">
        <v>3</v>
      </c>
      <c r="S278" s="17">
        <v>10</v>
      </c>
      <c r="T278" s="16">
        <f t="shared" si="41"/>
        <v>3048</v>
      </c>
      <c r="U278" s="16">
        <f t="shared" si="42"/>
        <v>914.4</v>
      </c>
      <c r="V278" s="18">
        <f t="shared" si="43"/>
        <v>2787091.1999999997</v>
      </c>
      <c r="W278" s="18">
        <f t="shared" si="44"/>
        <v>2.7870911999999999</v>
      </c>
      <c r="X278" s="18">
        <f t="shared" si="45"/>
        <v>11.8089054144</v>
      </c>
      <c r="Y278" s="24">
        <v>35</v>
      </c>
      <c r="Z278" s="24">
        <f t="shared" si="46"/>
        <v>413.31168950400001</v>
      </c>
      <c r="AA278" s="16">
        <v>82</v>
      </c>
      <c r="AB278" s="16">
        <f t="shared" si="47"/>
        <v>2884</v>
      </c>
      <c r="AC278" s="16">
        <f t="shared" si="47"/>
        <v>750.4</v>
      </c>
      <c r="AD278" s="19">
        <f t="shared" si="48"/>
        <v>2164153.6</v>
      </c>
      <c r="AE278" s="1" t="s">
        <v>7456</v>
      </c>
      <c r="AF278" s="1" t="str">
        <f>VLOOKUP(AE278,t_objeto!B:C,2,FALSE)</f>
        <v>RAW_MATERIAL</v>
      </c>
      <c r="AG278" s="1">
        <v>8</v>
      </c>
      <c r="AH278" s="1" t="str">
        <f>VLOOKUP(AG278,t_entry_status!A:AE,2,FALSE)</f>
        <v>PENDING</v>
      </c>
      <c r="AI278" s="7">
        <v>45560</v>
      </c>
      <c r="AJ278" s="1" t="s">
        <v>7449</v>
      </c>
      <c r="AK278" s="7">
        <v>45560</v>
      </c>
      <c r="AL278" s="1" t="s">
        <v>7449</v>
      </c>
    </row>
    <row r="279" spans="1:38" s="20" customFormat="1" x14ac:dyDescent="0.25">
      <c r="A279" s="14">
        <v>278</v>
      </c>
      <c r="B279" s="14" t="str">
        <f>_xlfn.CONCAT(AE279,"-",VLOOKUP(AE279,t_objeto!B:D,3,FALSE),"-",A279)</f>
        <v>RRMM-PERCCO-278</v>
      </c>
      <c r="C279" s="22" t="str">
        <f t="shared" si="49"/>
        <v>LAMINA_LISA__INOX_304/316 L_3'X10'_26</v>
      </c>
      <c r="D279" s="14" t="s">
        <v>7407</v>
      </c>
      <c r="E279" s="14" t="s">
        <v>7403</v>
      </c>
      <c r="F279" s="21" t="s">
        <v>7404</v>
      </c>
      <c r="G279" s="22" t="s">
        <v>7382</v>
      </c>
      <c r="H279" s="14">
        <v>26</v>
      </c>
      <c r="I279" s="16">
        <v>0.45</v>
      </c>
      <c r="J279" s="16">
        <f t="shared" si="50"/>
        <v>1.7716535433070866E-2</v>
      </c>
      <c r="K279" s="16">
        <v>3.6859999999999999</v>
      </c>
      <c r="L279" s="23"/>
      <c r="M279" s="23"/>
      <c r="N279" s="23"/>
      <c r="O279" s="23"/>
      <c r="P279" s="23"/>
      <c r="Q279" s="19"/>
      <c r="R279" s="17">
        <v>3</v>
      </c>
      <c r="S279" s="17">
        <v>10</v>
      </c>
      <c r="T279" s="16">
        <f t="shared" si="41"/>
        <v>3048</v>
      </c>
      <c r="U279" s="16">
        <f t="shared" si="42"/>
        <v>914.4</v>
      </c>
      <c r="V279" s="18">
        <f t="shared" si="43"/>
        <v>2787091.1999999997</v>
      </c>
      <c r="W279" s="18">
        <f t="shared" si="44"/>
        <v>2.7870911999999999</v>
      </c>
      <c r="X279" s="18">
        <f t="shared" si="45"/>
        <v>10.273218163199999</v>
      </c>
      <c r="Y279" s="24">
        <v>35</v>
      </c>
      <c r="Z279" s="24">
        <f t="shared" si="46"/>
        <v>359.56263571199997</v>
      </c>
      <c r="AA279" s="16">
        <v>83</v>
      </c>
      <c r="AB279" s="16">
        <f t="shared" si="47"/>
        <v>2882</v>
      </c>
      <c r="AC279" s="16">
        <f t="shared" si="47"/>
        <v>748.4</v>
      </c>
      <c r="AD279" s="19">
        <f t="shared" si="48"/>
        <v>2156888.7999999998</v>
      </c>
      <c r="AE279" s="1" t="s">
        <v>7456</v>
      </c>
      <c r="AF279" s="1" t="str">
        <f>VLOOKUP(AE279,t_objeto!B:C,2,FALSE)</f>
        <v>RAW_MATERIAL</v>
      </c>
      <c r="AG279" s="1">
        <v>8</v>
      </c>
      <c r="AH279" s="1" t="str">
        <f>VLOOKUP(AG279,t_entry_status!A:AE,2,FALSE)</f>
        <v>PENDING</v>
      </c>
      <c r="AI279" s="7">
        <v>45560</v>
      </c>
      <c r="AJ279" s="1" t="s">
        <v>7449</v>
      </c>
      <c r="AK279" s="7">
        <v>45560</v>
      </c>
      <c r="AL279" s="1" t="s">
        <v>7449</v>
      </c>
    </row>
    <row r="280" spans="1:38" s="20" customFormat="1" x14ac:dyDescent="0.25">
      <c r="A280" s="14">
        <v>279</v>
      </c>
      <c r="B280" s="14" t="str">
        <f>_xlfn.CONCAT(AE280,"-",VLOOKUP(AE280,t_objeto!B:D,3,FALSE),"-",A280)</f>
        <v>RRMM-PERCCO-279</v>
      </c>
      <c r="C280" s="22" t="str">
        <f t="shared" si="49"/>
        <v>LAMINA_LISA__ACERO_GALVANIZADA_4'X8'_12</v>
      </c>
      <c r="D280" s="14" t="s">
        <v>7407</v>
      </c>
      <c r="E280" s="14" t="s">
        <v>7380</v>
      </c>
      <c r="F280" s="21" t="s">
        <v>7381</v>
      </c>
      <c r="G280" s="22" t="s">
        <v>7382</v>
      </c>
      <c r="H280" s="14">
        <v>12</v>
      </c>
      <c r="I280" s="14">
        <v>2.66</v>
      </c>
      <c r="J280" s="16">
        <f t="shared" si="50"/>
        <v>0.1047244094488189</v>
      </c>
      <c r="K280" s="16">
        <v>21.641999999999999</v>
      </c>
      <c r="L280" s="23">
        <v>3.8</v>
      </c>
      <c r="M280" s="23"/>
      <c r="N280" s="23"/>
      <c r="O280" s="23"/>
      <c r="P280" s="23"/>
      <c r="Q280" s="19"/>
      <c r="R280" s="17">
        <v>4</v>
      </c>
      <c r="S280" s="17">
        <v>8</v>
      </c>
      <c r="T280" s="16">
        <f t="shared" si="41"/>
        <v>2438.3999999999996</v>
      </c>
      <c r="U280" s="16">
        <f t="shared" si="42"/>
        <v>1219.1999999999998</v>
      </c>
      <c r="V280" s="18">
        <f t="shared" si="43"/>
        <v>2972897.2799999993</v>
      </c>
      <c r="W280" s="18">
        <f t="shared" si="44"/>
        <v>2.9728972799999993</v>
      </c>
      <c r="X280" s="18">
        <f t="shared" si="45"/>
        <v>64.339442933759983</v>
      </c>
      <c r="Y280" s="24">
        <v>35</v>
      </c>
      <c r="Z280" s="24">
        <f t="shared" si="46"/>
        <v>2251.8805026815994</v>
      </c>
      <c r="AA280" s="16">
        <v>5</v>
      </c>
      <c r="AB280" s="16">
        <f t="shared" si="47"/>
        <v>2428.3999999999996</v>
      </c>
      <c r="AC280" s="16">
        <f t="shared" si="47"/>
        <v>1209.1999999999998</v>
      </c>
      <c r="AD280" s="19">
        <f t="shared" si="48"/>
        <v>2936421.2799999993</v>
      </c>
      <c r="AE280" s="1" t="s">
        <v>7456</v>
      </c>
      <c r="AF280" s="1" t="str">
        <f>VLOOKUP(AE280,t_objeto!B:C,2,FALSE)</f>
        <v>RAW_MATERIAL</v>
      </c>
      <c r="AG280" s="1">
        <v>8</v>
      </c>
      <c r="AH280" s="1" t="str">
        <f>VLOOKUP(AG280,t_entry_status!A:AE,2,FALSE)</f>
        <v>PENDING</v>
      </c>
      <c r="AI280" s="7">
        <v>45560</v>
      </c>
      <c r="AJ280" s="1" t="s">
        <v>7449</v>
      </c>
      <c r="AK280" s="7">
        <v>45560</v>
      </c>
      <c r="AL280" s="1" t="s">
        <v>7449</v>
      </c>
    </row>
    <row r="281" spans="1:38" s="20" customFormat="1" x14ac:dyDescent="0.25">
      <c r="A281" s="14">
        <v>280</v>
      </c>
      <c r="B281" s="14" t="str">
        <f>_xlfn.CONCAT(AE281,"-",VLOOKUP(AE281,t_objeto!B:D,3,FALSE),"-",A281)</f>
        <v>RRMM-PERCCO-280</v>
      </c>
      <c r="C281" s="22" t="str">
        <f t="shared" si="49"/>
        <v>LAMINA_LISA__ACERO_GALVANIZADA_4'X8'_13</v>
      </c>
      <c r="D281" s="14" t="s">
        <v>7407</v>
      </c>
      <c r="E281" s="14" t="s">
        <v>7380</v>
      </c>
      <c r="F281" s="21" t="s">
        <v>7381</v>
      </c>
      <c r="G281" s="22" t="s">
        <v>7382</v>
      </c>
      <c r="H281" s="14">
        <v>13</v>
      </c>
      <c r="I281" s="16">
        <v>2.2799999999999998</v>
      </c>
      <c r="J281" s="16">
        <f t="shared" si="50"/>
        <v>8.9763779527559054E-2</v>
      </c>
      <c r="K281" s="16">
        <v>18.143000000000001</v>
      </c>
      <c r="L281" s="23">
        <v>4</v>
      </c>
      <c r="M281" s="23"/>
      <c r="N281" s="23"/>
      <c r="O281" s="23"/>
      <c r="P281" s="23"/>
      <c r="Q281" s="19"/>
      <c r="R281" s="17">
        <v>4</v>
      </c>
      <c r="S281" s="17">
        <v>8</v>
      </c>
      <c r="T281" s="16">
        <f t="shared" si="41"/>
        <v>2438.3999999999996</v>
      </c>
      <c r="U281" s="16">
        <f t="shared" si="42"/>
        <v>1219.1999999999998</v>
      </c>
      <c r="V281" s="18">
        <f t="shared" si="43"/>
        <v>2972897.2799999993</v>
      </c>
      <c r="W281" s="18">
        <f t="shared" si="44"/>
        <v>2.9728972799999993</v>
      </c>
      <c r="X281" s="18">
        <f t="shared" si="45"/>
        <v>53.937275351039986</v>
      </c>
      <c r="Y281" s="24">
        <v>35</v>
      </c>
      <c r="Z281" s="24">
        <f t="shared" si="46"/>
        <v>1887.8046372863996</v>
      </c>
      <c r="AA281" s="16">
        <v>5</v>
      </c>
      <c r="AB281" s="16">
        <f t="shared" si="47"/>
        <v>2428.3999999999996</v>
      </c>
      <c r="AC281" s="16">
        <f t="shared" si="47"/>
        <v>1209.1999999999998</v>
      </c>
      <c r="AD281" s="19">
        <f t="shared" si="48"/>
        <v>2936421.2799999993</v>
      </c>
      <c r="AE281" s="1" t="s">
        <v>7456</v>
      </c>
      <c r="AF281" s="1" t="str">
        <f>VLOOKUP(AE281,t_objeto!B:C,2,FALSE)</f>
        <v>RAW_MATERIAL</v>
      </c>
      <c r="AG281" s="1">
        <v>8</v>
      </c>
      <c r="AH281" s="1" t="str">
        <f>VLOOKUP(AG281,t_entry_status!A:AE,2,FALSE)</f>
        <v>PENDING</v>
      </c>
      <c r="AI281" s="7">
        <v>45560</v>
      </c>
      <c r="AJ281" s="1" t="s">
        <v>7449</v>
      </c>
      <c r="AK281" s="7">
        <v>45560</v>
      </c>
      <c r="AL281" s="1" t="s">
        <v>7449</v>
      </c>
    </row>
    <row r="282" spans="1:38" s="20" customFormat="1" ht="18.75" x14ac:dyDescent="0.3">
      <c r="A282" s="14">
        <v>281</v>
      </c>
      <c r="B282" s="14" t="str">
        <f>_xlfn.CONCAT(AE282,"-",VLOOKUP(AE282,t_objeto!B:D,3,FALSE),"-",A282)</f>
        <v>RRMM-PERCCO-281</v>
      </c>
      <c r="C282" s="22" t="str">
        <f t="shared" si="49"/>
        <v>LAMINA_LISA__ACERO_GALVANIZADA_4'X8'_14</v>
      </c>
      <c r="D282" s="14" t="s">
        <v>7407</v>
      </c>
      <c r="E282" s="14" t="s">
        <v>7380</v>
      </c>
      <c r="F282" s="21" t="s">
        <v>7381</v>
      </c>
      <c r="G282" s="22" t="s">
        <v>7382</v>
      </c>
      <c r="H282" s="14">
        <v>14</v>
      </c>
      <c r="I282" s="14">
        <v>1.9</v>
      </c>
      <c r="J282" s="16">
        <f t="shared" si="50"/>
        <v>7.4803149606299218E-2</v>
      </c>
      <c r="K282" s="25">
        <v>16.928999999999998</v>
      </c>
      <c r="L282" s="23">
        <v>6</v>
      </c>
      <c r="M282" s="23"/>
      <c r="N282" s="23"/>
      <c r="O282" s="23"/>
      <c r="P282" s="23"/>
      <c r="Q282" s="19"/>
      <c r="R282" s="17">
        <v>4</v>
      </c>
      <c r="S282" s="17">
        <v>8</v>
      </c>
      <c r="T282" s="16">
        <f t="shared" si="41"/>
        <v>2438.3999999999996</v>
      </c>
      <c r="U282" s="16">
        <f t="shared" si="42"/>
        <v>1219.1999999999998</v>
      </c>
      <c r="V282" s="18">
        <f t="shared" si="43"/>
        <v>2972897.2799999993</v>
      </c>
      <c r="W282" s="18">
        <f t="shared" si="44"/>
        <v>2.9728972799999993</v>
      </c>
      <c r="X282" s="18">
        <f t="shared" si="45"/>
        <v>50.328178053119984</v>
      </c>
      <c r="Y282" s="24">
        <v>35</v>
      </c>
      <c r="Z282" s="24">
        <f t="shared" si="46"/>
        <v>1761.4862318591995</v>
      </c>
      <c r="AA282" s="16">
        <v>5</v>
      </c>
      <c r="AB282" s="16">
        <f t="shared" si="47"/>
        <v>2428.3999999999996</v>
      </c>
      <c r="AC282" s="16">
        <f t="shared" si="47"/>
        <v>1209.1999999999998</v>
      </c>
      <c r="AD282" s="19">
        <f t="shared" si="48"/>
        <v>2936421.2799999993</v>
      </c>
      <c r="AE282" s="1" t="s">
        <v>7456</v>
      </c>
      <c r="AF282" s="1" t="str">
        <f>VLOOKUP(AE282,t_objeto!B:C,2,FALSE)</f>
        <v>RAW_MATERIAL</v>
      </c>
      <c r="AG282" s="1">
        <v>8</v>
      </c>
      <c r="AH282" s="1" t="str">
        <f>VLOOKUP(AG282,t_entry_status!A:AE,2,FALSE)</f>
        <v>PENDING</v>
      </c>
      <c r="AI282" s="7">
        <v>45560</v>
      </c>
      <c r="AJ282" s="1" t="s">
        <v>7449</v>
      </c>
      <c r="AK282" s="7">
        <v>45560</v>
      </c>
      <c r="AL282" s="1" t="s">
        <v>7449</v>
      </c>
    </row>
    <row r="283" spans="1:38" s="20" customFormat="1" x14ac:dyDescent="0.25">
      <c r="A283" s="14">
        <v>282</v>
      </c>
      <c r="B283" s="14" t="str">
        <f>_xlfn.CONCAT(AE283,"-",VLOOKUP(AE283,t_objeto!B:D,3,FALSE),"-",A283)</f>
        <v>RRMM-PERCCO-282</v>
      </c>
      <c r="C283" s="22" t="str">
        <f t="shared" si="49"/>
        <v>LAMINA_LISA__ACERO_GALVANIZADA_4'X8'_15</v>
      </c>
      <c r="D283" s="14" t="s">
        <v>7407</v>
      </c>
      <c r="E283" s="14" t="s">
        <v>7380</v>
      </c>
      <c r="F283" s="21" t="s">
        <v>7381</v>
      </c>
      <c r="G283" s="22" t="s">
        <v>7382</v>
      </c>
      <c r="H283" s="14">
        <v>15</v>
      </c>
      <c r="I283" s="16">
        <v>1.71</v>
      </c>
      <c r="J283" s="16">
        <f t="shared" si="50"/>
        <v>6.7322834645669294E-2</v>
      </c>
      <c r="K283" s="16">
        <v>13.606999999999999</v>
      </c>
      <c r="L283" s="23"/>
      <c r="M283" s="23"/>
      <c r="N283" s="23"/>
      <c r="O283" s="23"/>
      <c r="P283" s="23"/>
      <c r="Q283" s="19"/>
      <c r="R283" s="17">
        <v>4</v>
      </c>
      <c r="S283" s="17">
        <v>8</v>
      </c>
      <c r="T283" s="16">
        <f t="shared" si="41"/>
        <v>2438.3999999999996</v>
      </c>
      <c r="U283" s="16">
        <f t="shared" si="42"/>
        <v>1219.1999999999998</v>
      </c>
      <c r="V283" s="18">
        <f t="shared" si="43"/>
        <v>2972897.2799999993</v>
      </c>
      <c r="W283" s="18">
        <f t="shared" si="44"/>
        <v>2.9728972799999993</v>
      </c>
      <c r="X283" s="18">
        <f t="shared" si="45"/>
        <v>40.452213288959989</v>
      </c>
      <c r="Y283" s="24">
        <v>35</v>
      </c>
      <c r="Z283" s="24">
        <f t="shared" si="46"/>
        <v>1415.8274651135996</v>
      </c>
      <c r="AA283" s="16">
        <v>5</v>
      </c>
      <c r="AB283" s="16">
        <f t="shared" si="47"/>
        <v>2428.3999999999996</v>
      </c>
      <c r="AC283" s="16">
        <f t="shared" si="47"/>
        <v>1209.1999999999998</v>
      </c>
      <c r="AD283" s="19">
        <f t="shared" si="48"/>
        <v>2936421.2799999993</v>
      </c>
      <c r="AE283" s="1" t="s">
        <v>7456</v>
      </c>
      <c r="AF283" s="1" t="str">
        <f>VLOOKUP(AE283,t_objeto!B:C,2,FALSE)</f>
        <v>RAW_MATERIAL</v>
      </c>
      <c r="AG283" s="1">
        <v>8</v>
      </c>
      <c r="AH283" s="1" t="str">
        <f>VLOOKUP(AG283,t_entry_status!A:AE,2,FALSE)</f>
        <v>PENDING</v>
      </c>
      <c r="AI283" s="7">
        <v>45560</v>
      </c>
      <c r="AJ283" s="1" t="s">
        <v>7449</v>
      </c>
      <c r="AK283" s="7">
        <v>45560</v>
      </c>
      <c r="AL283" s="1" t="s">
        <v>7449</v>
      </c>
    </row>
    <row r="284" spans="1:38" s="20" customFormat="1" x14ac:dyDescent="0.25">
      <c r="A284" s="14">
        <v>283</v>
      </c>
      <c r="B284" s="14" t="str">
        <f>_xlfn.CONCAT(AE284,"-",VLOOKUP(AE284,t_objeto!B:D,3,FALSE),"-",A284)</f>
        <v>RRMM-PERCCO-283</v>
      </c>
      <c r="C284" s="22" t="str">
        <f t="shared" si="49"/>
        <v>LAMINA_LISA__ACERO_GALVANIZADA_4'X8'_16</v>
      </c>
      <c r="D284" s="14" t="s">
        <v>7407</v>
      </c>
      <c r="E284" s="14" t="s">
        <v>7380</v>
      </c>
      <c r="F284" s="21" t="s">
        <v>7381</v>
      </c>
      <c r="G284" s="22" t="s">
        <v>7382</v>
      </c>
      <c r="H284" s="14">
        <v>16</v>
      </c>
      <c r="I284" s="14">
        <v>1.52</v>
      </c>
      <c r="J284" s="16">
        <f t="shared" si="50"/>
        <v>5.9842519685039376E-2</v>
      </c>
      <c r="K284" s="16">
        <v>12.484999999999999</v>
      </c>
      <c r="L284" s="23"/>
      <c r="M284" s="23"/>
      <c r="N284" s="23"/>
      <c r="O284" s="23"/>
      <c r="P284" s="23"/>
      <c r="Q284" s="19"/>
      <c r="R284" s="17">
        <v>4</v>
      </c>
      <c r="S284" s="17">
        <v>8</v>
      </c>
      <c r="T284" s="16">
        <f t="shared" si="41"/>
        <v>2438.3999999999996</v>
      </c>
      <c r="U284" s="16">
        <f t="shared" si="42"/>
        <v>1219.1999999999998</v>
      </c>
      <c r="V284" s="18">
        <f t="shared" si="43"/>
        <v>2972897.2799999993</v>
      </c>
      <c r="W284" s="18">
        <f t="shared" si="44"/>
        <v>2.9728972799999993</v>
      </c>
      <c r="X284" s="18">
        <f t="shared" si="45"/>
        <v>37.116622540799987</v>
      </c>
      <c r="Y284" s="24">
        <v>35</v>
      </c>
      <c r="Z284" s="24">
        <f t="shared" si="46"/>
        <v>1299.0817889279995</v>
      </c>
      <c r="AA284" s="16">
        <v>5</v>
      </c>
      <c r="AB284" s="16">
        <f t="shared" si="47"/>
        <v>2428.3999999999996</v>
      </c>
      <c r="AC284" s="16">
        <f t="shared" si="47"/>
        <v>1209.1999999999998</v>
      </c>
      <c r="AD284" s="19">
        <f t="shared" si="48"/>
        <v>2936421.2799999993</v>
      </c>
      <c r="AE284" s="1" t="s">
        <v>7456</v>
      </c>
      <c r="AF284" s="1" t="str">
        <f>VLOOKUP(AE284,t_objeto!B:C,2,FALSE)</f>
        <v>RAW_MATERIAL</v>
      </c>
      <c r="AG284" s="1">
        <v>8</v>
      </c>
      <c r="AH284" s="1" t="str">
        <f>VLOOKUP(AG284,t_entry_status!A:AE,2,FALSE)</f>
        <v>PENDING</v>
      </c>
      <c r="AI284" s="7">
        <v>45560</v>
      </c>
      <c r="AJ284" s="1" t="s">
        <v>7449</v>
      </c>
      <c r="AK284" s="7">
        <v>45560</v>
      </c>
      <c r="AL284" s="1" t="s">
        <v>7449</v>
      </c>
    </row>
    <row r="285" spans="1:38" s="20" customFormat="1" x14ac:dyDescent="0.25">
      <c r="A285" s="14">
        <v>284</v>
      </c>
      <c r="B285" s="14" t="str">
        <f>_xlfn.CONCAT(AE285,"-",VLOOKUP(AE285,t_objeto!B:D,3,FALSE),"-",A285)</f>
        <v>RRMM-PERCCO-284</v>
      </c>
      <c r="C285" s="22" t="str">
        <f t="shared" si="49"/>
        <v>LAMINA_LISA__ACERO_GALVANIZADA_4'X8'_17</v>
      </c>
      <c r="D285" s="14" t="s">
        <v>7407</v>
      </c>
      <c r="E285" s="14" t="s">
        <v>7380</v>
      </c>
      <c r="F285" s="21" t="s">
        <v>7381</v>
      </c>
      <c r="G285" s="22" t="s">
        <v>7382</v>
      </c>
      <c r="H285" s="14">
        <v>17</v>
      </c>
      <c r="I285" s="16">
        <v>1.37</v>
      </c>
      <c r="J285" s="16">
        <f t="shared" si="50"/>
        <v>5.3937007874015758E-2</v>
      </c>
      <c r="K285" s="16">
        <v>10.901999999999999</v>
      </c>
      <c r="L285" s="23"/>
      <c r="M285" s="23"/>
      <c r="N285" s="23"/>
      <c r="O285" s="23"/>
      <c r="P285" s="23"/>
      <c r="Q285" s="19"/>
      <c r="R285" s="17">
        <v>4</v>
      </c>
      <c r="S285" s="17">
        <v>8</v>
      </c>
      <c r="T285" s="16">
        <f t="shared" si="41"/>
        <v>2438.3999999999996</v>
      </c>
      <c r="U285" s="16">
        <f t="shared" si="42"/>
        <v>1219.1999999999998</v>
      </c>
      <c r="V285" s="18">
        <f t="shared" si="43"/>
        <v>2972897.2799999993</v>
      </c>
      <c r="W285" s="18">
        <f t="shared" si="44"/>
        <v>2.9728972799999993</v>
      </c>
      <c r="X285" s="18">
        <f t="shared" si="45"/>
        <v>32.410526146559988</v>
      </c>
      <c r="Y285" s="24">
        <v>35</v>
      </c>
      <c r="Z285" s="24">
        <f t="shared" si="46"/>
        <v>1134.3684151295995</v>
      </c>
      <c r="AA285" s="16">
        <v>5</v>
      </c>
      <c r="AB285" s="16">
        <f t="shared" si="47"/>
        <v>2428.3999999999996</v>
      </c>
      <c r="AC285" s="16">
        <f t="shared" si="47"/>
        <v>1209.1999999999998</v>
      </c>
      <c r="AD285" s="19">
        <f t="shared" si="48"/>
        <v>2936421.2799999993</v>
      </c>
      <c r="AE285" s="1" t="s">
        <v>7456</v>
      </c>
      <c r="AF285" s="1" t="str">
        <f>VLOOKUP(AE285,t_objeto!B:C,2,FALSE)</f>
        <v>RAW_MATERIAL</v>
      </c>
      <c r="AG285" s="1">
        <v>8</v>
      </c>
      <c r="AH285" s="1" t="str">
        <f>VLOOKUP(AG285,t_entry_status!A:AE,2,FALSE)</f>
        <v>PENDING</v>
      </c>
      <c r="AI285" s="7">
        <v>45560</v>
      </c>
      <c r="AJ285" s="1" t="s">
        <v>7449</v>
      </c>
      <c r="AK285" s="7">
        <v>45560</v>
      </c>
      <c r="AL285" s="1" t="s">
        <v>7449</v>
      </c>
    </row>
    <row r="286" spans="1:38" s="20" customFormat="1" x14ac:dyDescent="0.25">
      <c r="A286" s="14">
        <v>285</v>
      </c>
      <c r="B286" s="14" t="str">
        <f>_xlfn.CONCAT(AE286,"-",VLOOKUP(AE286,t_objeto!B:D,3,FALSE),"-",A286)</f>
        <v>RRMM-PERCCO-285</v>
      </c>
      <c r="C286" s="22" t="str">
        <f t="shared" si="49"/>
        <v>LAMINA_LISA__ACERO_GALVANIZADA_4'X8'_18</v>
      </c>
      <c r="D286" s="14" t="s">
        <v>7407</v>
      </c>
      <c r="E286" s="14" t="s">
        <v>7380</v>
      </c>
      <c r="F286" s="21" t="s">
        <v>7381</v>
      </c>
      <c r="G286" s="22" t="s">
        <v>7382</v>
      </c>
      <c r="H286" s="14">
        <v>18</v>
      </c>
      <c r="I286" s="14">
        <v>1.21</v>
      </c>
      <c r="J286" s="16">
        <f t="shared" si="50"/>
        <v>4.7637795275590554E-2</v>
      </c>
      <c r="K286" s="16">
        <v>10.042999999999999</v>
      </c>
      <c r="L286" s="23"/>
      <c r="M286" s="23"/>
      <c r="N286" s="23"/>
      <c r="O286" s="23"/>
      <c r="P286" s="23"/>
      <c r="Q286" s="19"/>
      <c r="R286" s="17">
        <v>4</v>
      </c>
      <c r="S286" s="17">
        <v>8</v>
      </c>
      <c r="T286" s="16">
        <f t="shared" si="41"/>
        <v>2438.3999999999996</v>
      </c>
      <c r="U286" s="16">
        <f t="shared" si="42"/>
        <v>1219.1999999999998</v>
      </c>
      <c r="V286" s="18">
        <f t="shared" si="43"/>
        <v>2972897.2799999993</v>
      </c>
      <c r="W286" s="18">
        <f t="shared" si="44"/>
        <v>2.9728972799999993</v>
      </c>
      <c r="X286" s="18">
        <f t="shared" si="45"/>
        <v>29.856807383039992</v>
      </c>
      <c r="Y286" s="24">
        <v>35</v>
      </c>
      <c r="Z286" s="24">
        <f t="shared" si="46"/>
        <v>1044.9882584063998</v>
      </c>
      <c r="AA286" s="16">
        <v>5</v>
      </c>
      <c r="AB286" s="16">
        <f t="shared" si="47"/>
        <v>2428.3999999999996</v>
      </c>
      <c r="AC286" s="16">
        <f t="shared" si="47"/>
        <v>1209.1999999999998</v>
      </c>
      <c r="AD286" s="19">
        <f t="shared" si="48"/>
        <v>2936421.2799999993</v>
      </c>
      <c r="AE286" s="1" t="s">
        <v>7456</v>
      </c>
      <c r="AF286" s="1" t="str">
        <f>VLOOKUP(AE286,t_objeto!B:C,2,FALSE)</f>
        <v>RAW_MATERIAL</v>
      </c>
      <c r="AG286" s="1">
        <v>8</v>
      </c>
      <c r="AH286" s="1" t="str">
        <f>VLOOKUP(AG286,t_entry_status!A:AE,2,FALSE)</f>
        <v>PENDING</v>
      </c>
      <c r="AI286" s="7">
        <v>45560</v>
      </c>
      <c r="AJ286" s="1" t="s">
        <v>7449</v>
      </c>
      <c r="AK286" s="7">
        <v>45560</v>
      </c>
      <c r="AL286" s="1" t="s">
        <v>7449</v>
      </c>
    </row>
    <row r="287" spans="1:38" s="20" customFormat="1" x14ac:dyDescent="0.25">
      <c r="A287" s="14">
        <v>286</v>
      </c>
      <c r="B287" s="14" t="str">
        <f>_xlfn.CONCAT(AE287,"-",VLOOKUP(AE287,t_objeto!B:D,3,FALSE),"-",A287)</f>
        <v>RRMM-PERCCO-286</v>
      </c>
      <c r="C287" s="22" t="str">
        <f t="shared" si="49"/>
        <v>LAMINA_LISA__ACERO_GALVANIZADA_4'X8'_19</v>
      </c>
      <c r="D287" s="14" t="s">
        <v>7407</v>
      </c>
      <c r="E287" s="14" t="s">
        <v>7380</v>
      </c>
      <c r="F287" s="21" t="s">
        <v>7381</v>
      </c>
      <c r="G287" s="22" t="s">
        <v>7382</v>
      </c>
      <c r="H287" s="14">
        <v>19</v>
      </c>
      <c r="I287" s="16">
        <v>1.06</v>
      </c>
      <c r="J287" s="16">
        <f t="shared" si="50"/>
        <v>4.1732283464566935E-2</v>
      </c>
      <c r="K287" s="16">
        <v>8.4350000000000005</v>
      </c>
      <c r="L287" s="23"/>
      <c r="M287" s="23"/>
      <c r="N287" s="23"/>
      <c r="O287" s="23"/>
      <c r="P287" s="23"/>
      <c r="Q287" s="19"/>
      <c r="R287" s="17">
        <v>4</v>
      </c>
      <c r="S287" s="17">
        <v>8</v>
      </c>
      <c r="T287" s="16">
        <f t="shared" si="41"/>
        <v>2438.3999999999996</v>
      </c>
      <c r="U287" s="16">
        <f t="shared" si="42"/>
        <v>1219.1999999999998</v>
      </c>
      <c r="V287" s="18">
        <f t="shared" si="43"/>
        <v>2972897.2799999993</v>
      </c>
      <c r="W287" s="18">
        <f t="shared" si="44"/>
        <v>2.9728972799999993</v>
      </c>
      <c r="X287" s="18">
        <f t="shared" si="45"/>
        <v>25.076388556799994</v>
      </c>
      <c r="Y287" s="24">
        <v>35</v>
      </c>
      <c r="Z287" s="24">
        <f t="shared" si="46"/>
        <v>877.67359948799981</v>
      </c>
      <c r="AA287" s="16">
        <v>5</v>
      </c>
      <c r="AB287" s="16">
        <f t="shared" si="47"/>
        <v>2428.3999999999996</v>
      </c>
      <c r="AC287" s="16">
        <f t="shared" si="47"/>
        <v>1209.1999999999998</v>
      </c>
      <c r="AD287" s="19">
        <f t="shared" si="48"/>
        <v>2936421.2799999993</v>
      </c>
      <c r="AE287" s="1" t="s">
        <v>7456</v>
      </c>
      <c r="AF287" s="1" t="str">
        <f>VLOOKUP(AE287,t_objeto!B:C,2,FALSE)</f>
        <v>RAW_MATERIAL</v>
      </c>
      <c r="AG287" s="1">
        <v>8</v>
      </c>
      <c r="AH287" s="1" t="str">
        <f>VLOOKUP(AG287,t_entry_status!A:AE,2,FALSE)</f>
        <v>PENDING</v>
      </c>
      <c r="AI287" s="7">
        <v>45560</v>
      </c>
      <c r="AJ287" s="1" t="s">
        <v>7449</v>
      </c>
      <c r="AK287" s="7">
        <v>45560</v>
      </c>
      <c r="AL287" s="1" t="s">
        <v>7449</v>
      </c>
    </row>
    <row r="288" spans="1:38" s="20" customFormat="1" x14ac:dyDescent="0.25">
      <c r="A288" s="14">
        <v>287</v>
      </c>
      <c r="B288" s="14" t="str">
        <f>_xlfn.CONCAT(AE288,"-",VLOOKUP(AE288,t_objeto!B:D,3,FALSE),"-",A288)</f>
        <v>RRMM-PERCCO-287</v>
      </c>
      <c r="C288" s="22" t="str">
        <f t="shared" si="49"/>
        <v>LAMINA_LISA__ACERO_GALVANIZADA_4'X8'_20</v>
      </c>
      <c r="D288" s="14" t="s">
        <v>7407</v>
      </c>
      <c r="E288" s="14" t="s">
        <v>7380</v>
      </c>
      <c r="F288" s="21" t="s">
        <v>7381</v>
      </c>
      <c r="G288" s="22" t="s">
        <v>7382</v>
      </c>
      <c r="H288" s="14">
        <v>20</v>
      </c>
      <c r="I288" s="14">
        <v>0.91</v>
      </c>
      <c r="J288" s="16">
        <f t="shared" si="50"/>
        <v>3.582677165354331E-2</v>
      </c>
      <c r="K288" s="16">
        <v>7.601</v>
      </c>
      <c r="L288" s="23"/>
      <c r="M288" s="23"/>
      <c r="N288" s="23"/>
      <c r="O288" s="23"/>
      <c r="P288" s="23"/>
      <c r="Q288" s="19"/>
      <c r="R288" s="17">
        <v>4</v>
      </c>
      <c r="S288" s="17">
        <v>8</v>
      </c>
      <c r="T288" s="16">
        <f t="shared" si="41"/>
        <v>2438.3999999999996</v>
      </c>
      <c r="U288" s="16">
        <f t="shared" si="42"/>
        <v>1219.1999999999998</v>
      </c>
      <c r="V288" s="18">
        <f t="shared" si="43"/>
        <v>2972897.2799999993</v>
      </c>
      <c r="W288" s="18">
        <f t="shared" si="44"/>
        <v>2.9728972799999993</v>
      </c>
      <c r="X288" s="18">
        <f t="shared" si="45"/>
        <v>22.596992225279994</v>
      </c>
      <c r="Y288" s="24">
        <v>35</v>
      </c>
      <c r="Z288" s="24">
        <f t="shared" si="46"/>
        <v>790.89472788479975</v>
      </c>
      <c r="AA288" s="16">
        <v>5</v>
      </c>
      <c r="AB288" s="16">
        <f t="shared" si="47"/>
        <v>2428.3999999999996</v>
      </c>
      <c r="AC288" s="16">
        <f t="shared" si="47"/>
        <v>1209.1999999999998</v>
      </c>
      <c r="AD288" s="19">
        <f t="shared" si="48"/>
        <v>2936421.2799999993</v>
      </c>
      <c r="AE288" s="1" t="s">
        <v>7456</v>
      </c>
      <c r="AF288" s="1" t="str">
        <f>VLOOKUP(AE288,t_objeto!B:C,2,FALSE)</f>
        <v>RAW_MATERIAL</v>
      </c>
      <c r="AG288" s="1">
        <v>8</v>
      </c>
      <c r="AH288" s="1" t="str">
        <f>VLOOKUP(AG288,t_entry_status!A:AE,2,FALSE)</f>
        <v>PENDING</v>
      </c>
      <c r="AI288" s="7">
        <v>45560</v>
      </c>
      <c r="AJ288" s="1" t="s">
        <v>7449</v>
      </c>
      <c r="AK288" s="7">
        <v>45560</v>
      </c>
      <c r="AL288" s="1" t="s">
        <v>7449</v>
      </c>
    </row>
    <row r="289" spans="1:38" s="20" customFormat="1" x14ac:dyDescent="0.25">
      <c r="A289" s="14">
        <v>288</v>
      </c>
      <c r="B289" s="14" t="str">
        <f>_xlfn.CONCAT(AE289,"-",VLOOKUP(AE289,t_objeto!B:D,3,FALSE),"-",A289)</f>
        <v>RRMM-PERCCO-288</v>
      </c>
      <c r="C289" s="22" t="str">
        <f t="shared" si="49"/>
        <v>LAMINA_LISA__ACERO_GALVANIZADA_4'X8'_21</v>
      </c>
      <c r="D289" s="14" t="s">
        <v>7407</v>
      </c>
      <c r="E289" s="14" t="s">
        <v>7380</v>
      </c>
      <c r="F289" s="21" t="s">
        <v>7381</v>
      </c>
      <c r="G289" s="22" t="s">
        <v>7382</v>
      </c>
      <c r="H289" s="14">
        <v>21</v>
      </c>
      <c r="I289" s="16">
        <v>0.84</v>
      </c>
      <c r="J289" s="16">
        <f t="shared" si="50"/>
        <v>3.3070866141732283E-2</v>
      </c>
      <c r="K289" s="16">
        <v>6.6840000000000002</v>
      </c>
      <c r="L289" s="23"/>
      <c r="M289" s="23"/>
      <c r="N289" s="23"/>
      <c r="O289" s="23"/>
      <c r="P289" s="23"/>
      <c r="Q289" s="19"/>
      <c r="R289" s="17">
        <v>4</v>
      </c>
      <c r="S289" s="17">
        <v>8</v>
      </c>
      <c r="T289" s="16">
        <f t="shared" si="41"/>
        <v>2438.3999999999996</v>
      </c>
      <c r="U289" s="16">
        <f t="shared" si="42"/>
        <v>1219.1999999999998</v>
      </c>
      <c r="V289" s="18">
        <f t="shared" si="43"/>
        <v>2972897.2799999993</v>
      </c>
      <c r="W289" s="18">
        <f t="shared" si="44"/>
        <v>2.9728972799999993</v>
      </c>
      <c r="X289" s="18">
        <f t="shared" si="45"/>
        <v>19.870845419519995</v>
      </c>
      <c r="Y289" s="24">
        <v>35</v>
      </c>
      <c r="Z289" s="24">
        <f t="shared" si="46"/>
        <v>695.47958968319983</v>
      </c>
      <c r="AA289" s="16">
        <v>5</v>
      </c>
      <c r="AB289" s="16">
        <f t="shared" si="47"/>
        <v>2428.3999999999996</v>
      </c>
      <c r="AC289" s="16">
        <f t="shared" si="47"/>
        <v>1209.1999999999998</v>
      </c>
      <c r="AD289" s="19">
        <f t="shared" si="48"/>
        <v>2936421.2799999993</v>
      </c>
      <c r="AE289" s="1" t="s">
        <v>7456</v>
      </c>
      <c r="AF289" s="1" t="str">
        <f>VLOOKUP(AE289,t_objeto!B:C,2,FALSE)</f>
        <v>RAW_MATERIAL</v>
      </c>
      <c r="AG289" s="1">
        <v>8</v>
      </c>
      <c r="AH289" s="1" t="str">
        <f>VLOOKUP(AG289,t_entry_status!A:AE,2,FALSE)</f>
        <v>PENDING</v>
      </c>
      <c r="AI289" s="7">
        <v>45560</v>
      </c>
      <c r="AJ289" s="1" t="s">
        <v>7449</v>
      </c>
      <c r="AK289" s="7">
        <v>45560</v>
      </c>
      <c r="AL289" s="1" t="s">
        <v>7449</v>
      </c>
    </row>
    <row r="290" spans="1:38" s="20" customFormat="1" x14ac:dyDescent="0.25">
      <c r="A290" s="14">
        <v>289</v>
      </c>
      <c r="B290" s="14" t="str">
        <f>_xlfn.CONCAT(AE290,"-",VLOOKUP(AE290,t_objeto!B:D,3,FALSE),"-",A290)</f>
        <v>RRMM-PERCCO-289</v>
      </c>
      <c r="C290" s="22" t="str">
        <f t="shared" si="49"/>
        <v>LAMINA_LISA__ACERO_GALVANIZADA_4'X8'_22</v>
      </c>
      <c r="D290" s="14" t="s">
        <v>7407</v>
      </c>
      <c r="E290" s="14" t="s">
        <v>7380</v>
      </c>
      <c r="F290" s="21" t="s">
        <v>7381</v>
      </c>
      <c r="G290" s="22" t="s">
        <v>7382</v>
      </c>
      <c r="H290" s="14">
        <v>22</v>
      </c>
      <c r="I290" s="14">
        <v>0.76</v>
      </c>
      <c r="J290" s="16">
        <f t="shared" si="50"/>
        <v>2.9921259842519688E-2</v>
      </c>
      <c r="K290" s="16">
        <v>6.38</v>
      </c>
      <c r="L290" s="23"/>
      <c r="M290" s="23"/>
      <c r="N290" s="23"/>
      <c r="O290" s="23"/>
      <c r="P290" s="23"/>
      <c r="Q290" s="19"/>
      <c r="R290" s="17">
        <v>4</v>
      </c>
      <c r="S290" s="17">
        <v>8</v>
      </c>
      <c r="T290" s="16">
        <f t="shared" si="41"/>
        <v>2438.3999999999996</v>
      </c>
      <c r="U290" s="16">
        <f t="shared" si="42"/>
        <v>1219.1999999999998</v>
      </c>
      <c r="V290" s="18">
        <f t="shared" si="43"/>
        <v>2972897.2799999993</v>
      </c>
      <c r="W290" s="18">
        <f t="shared" si="44"/>
        <v>2.9728972799999993</v>
      </c>
      <c r="X290" s="18">
        <f t="shared" si="45"/>
        <v>18.967084646399996</v>
      </c>
      <c r="Y290" s="24">
        <v>35</v>
      </c>
      <c r="Z290" s="24">
        <f t="shared" si="46"/>
        <v>663.84796262399982</v>
      </c>
      <c r="AA290" s="16">
        <v>5</v>
      </c>
      <c r="AB290" s="16">
        <f t="shared" si="47"/>
        <v>2428.3999999999996</v>
      </c>
      <c r="AC290" s="16">
        <f t="shared" si="47"/>
        <v>1209.1999999999998</v>
      </c>
      <c r="AD290" s="19">
        <f t="shared" si="48"/>
        <v>2936421.2799999993</v>
      </c>
      <c r="AE290" s="1" t="s">
        <v>7456</v>
      </c>
      <c r="AF290" s="1" t="str">
        <f>VLOOKUP(AE290,t_objeto!B:C,2,FALSE)</f>
        <v>RAW_MATERIAL</v>
      </c>
      <c r="AG290" s="1">
        <v>8</v>
      </c>
      <c r="AH290" s="1" t="str">
        <f>VLOOKUP(AG290,t_entry_status!A:AE,2,FALSE)</f>
        <v>PENDING</v>
      </c>
      <c r="AI290" s="7">
        <v>45560</v>
      </c>
      <c r="AJ290" s="1" t="s">
        <v>7449</v>
      </c>
      <c r="AK290" s="7">
        <v>45560</v>
      </c>
      <c r="AL290" s="1" t="s">
        <v>7449</v>
      </c>
    </row>
    <row r="291" spans="1:38" s="20" customFormat="1" x14ac:dyDescent="0.25">
      <c r="A291" s="14">
        <v>290</v>
      </c>
      <c r="B291" s="14" t="str">
        <f>_xlfn.CONCAT(AE291,"-",VLOOKUP(AE291,t_objeto!B:D,3,FALSE),"-",A291)</f>
        <v>RRMM-PERCCO-290</v>
      </c>
      <c r="C291" s="22" t="str">
        <f t="shared" si="49"/>
        <v>LAMINA_LISA__ACERO_GALVANIZADA_4'X8'_23</v>
      </c>
      <c r="D291" s="14" t="s">
        <v>7407</v>
      </c>
      <c r="E291" s="14" t="s">
        <v>7380</v>
      </c>
      <c r="F291" s="21" t="s">
        <v>7381</v>
      </c>
      <c r="G291" s="22" t="s">
        <v>7382</v>
      </c>
      <c r="H291" s="14">
        <v>23</v>
      </c>
      <c r="I291" s="16">
        <v>0.68</v>
      </c>
      <c r="J291" s="16">
        <f t="shared" si="50"/>
        <v>2.677165354330709E-2</v>
      </c>
      <c r="K291" s="16">
        <v>5.4109999999999996</v>
      </c>
      <c r="L291" s="23"/>
      <c r="M291" s="23"/>
      <c r="N291" s="23"/>
      <c r="O291" s="23"/>
      <c r="P291" s="23"/>
      <c r="Q291" s="19"/>
      <c r="R291" s="17">
        <v>4</v>
      </c>
      <c r="S291" s="17">
        <v>8</v>
      </c>
      <c r="T291" s="16">
        <f t="shared" si="41"/>
        <v>2438.3999999999996</v>
      </c>
      <c r="U291" s="16">
        <f t="shared" si="42"/>
        <v>1219.1999999999998</v>
      </c>
      <c r="V291" s="18">
        <f t="shared" si="43"/>
        <v>2972897.2799999993</v>
      </c>
      <c r="W291" s="18">
        <f t="shared" si="44"/>
        <v>2.9728972799999993</v>
      </c>
      <c r="X291" s="18">
        <f t="shared" si="45"/>
        <v>16.086347182079994</v>
      </c>
      <c r="Y291" s="24">
        <v>35</v>
      </c>
      <c r="Z291" s="24">
        <f t="shared" si="46"/>
        <v>563.02215137279973</v>
      </c>
      <c r="AA291" s="16">
        <v>5</v>
      </c>
      <c r="AB291" s="16">
        <f t="shared" si="47"/>
        <v>2428.3999999999996</v>
      </c>
      <c r="AC291" s="16">
        <f t="shared" si="47"/>
        <v>1209.1999999999998</v>
      </c>
      <c r="AD291" s="19">
        <f t="shared" si="48"/>
        <v>2936421.2799999993</v>
      </c>
      <c r="AE291" s="1" t="s">
        <v>7456</v>
      </c>
      <c r="AF291" s="1" t="str">
        <f>VLOOKUP(AE291,t_objeto!B:C,2,FALSE)</f>
        <v>RAW_MATERIAL</v>
      </c>
      <c r="AG291" s="1">
        <v>8</v>
      </c>
      <c r="AH291" s="1" t="str">
        <f>VLOOKUP(AG291,t_entry_status!A:AE,2,FALSE)</f>
        <v>PENDING</v>
      </c>
      <c r="AI291" s="7">
        <v>45560</v>
      </c>
      <c r="AJ291" s="1" t="s">
        <v>7449</v>
      </c>
      <c r="AK291" s="7">
        <v>45560</v>
      </c>
      <c r="AL291" s="1" t="s">
        <v>7449</v>
      </c>
    </row>
    <row r="292" spans="1:38" s="20" customFormat="1" x14ac:dyDescent="0.25">
      <c r="A292" s="14">
        <v>291</v>
      </c>
      <c r="B292" s="14" t="str">
        <f>_xlfn.CONCAT(AE292,"-",VLOOKUP(AE292,t_objeto!B:D,3,FALSE),"-",A292)</f>
        <v>RRMM-PERCCO-291</v>
      </c>
      <c r="C292" s="22" t="str">
        <f t="shared" si="49"/>
        <v>LAMINA_LISA__ACERO_GALVANIZADA_4'X8'_24</v>
      </c>
      <c r="D292" s="14" t="s">
        <v>7407</v>
      </c>
      <c r="E292" s="14" t="s">
        <v>7380</v>
      </c>
      <c r="F292" s="21" t="s">
        <v>7381</v>
      </c>
      <c r="G292" s="22" t="s">
        <v>7382</v>
      </c>
      <c r="H292" s="14">
        <v>24</v>
      </c>
      <c r="I292" s="14">
        <v>0.61</v>
      </c>
      <c r="J292" s="16">
        <f t="shared" si="50"/>
        <v>2.4015748031496063E-2</v>
      </c>
      <c r="K292" s="16">
        <v>5.1589999999999998</v>
      </c>
      <c r="L292" s="23"/>
      <c r="M292" s="23"/>
      <c r="N292" s="23"/>
      <c r="O292" s="23"/>
      <c r="P292" s="23"/>
      <c r="Q292" s="19"/>
      <c r="R292" s="17">
        <v>4</v>
      </c>
      <c r="S292" s="17">
        <v>8</v>
      </c>
      <c r="T292" s="16">
        <f t="shared" si="41"/>
        <v>2438.3999999999996</v>
      </c>
      <c r="U292" s="16">
        <f t="shared" si="42"/>
        <v>1219.1999999999998</v>
      </c>
      <c r="V292" s="18">
        <f t="shared" si="43"/>
        <v>2972897.2799999993</v>
      </c>
      <c r="W292" s="18">
        <f t="shared" si="44"/>
        <v>2.9728972799999993</v>
      </c>
      <c r="X292" s="18">
        <f t="shared" si="45"/>
        <v>15.337177067519995</v>
      </c>
      <c r="Y292" s="24">
        <v>35</v>
      </c>
      <c r="Z292" s="24">
        <f t="shared" si="46"/>
        <v>536.80119736319989</v>
      </c>
      <c r="AA292" s="16">
        <v>5</v>
      </c>
      <c r="AB292" s="16">
        <f t="shared" si="47"/>
        <v>2428.3999999999996</v>
      </c>
      <c r="AC292" s="16">
        <f t="shared" si="47"/>
        <v>1209.1999999999998</v>
      </c>
      <c r="AD292" s="19">
        <f t="shared" si="48"/>
        <v>2936421.2799999993</v>
      </c>
      <c r="AE292" s="1" t="s">
        <v>7456</v>
      </c>
      <c r="AF292" s="1" t="str">
        <f>VLOOKUP(AE292,t_objeto!B:C,2,FALSE)</f>
        <v>RAW_MATERIAL</v>
      </c>
      <c r="AG292" s="1">
        <v>8</v>
      </c>
      <c r="AH292" s="1" t="str">
        <f>VLOOKUP(AG292,t_entry_status!A:AE,2,FALSE)</f>
        <v>PENDING</v>
      </c>
      <c r="AI292" s="7">
        <v>45560</v>
      </c>
      <c r="AJ292" s="1" t="s">
        <v>7449</v>
      </c>
      <c r="AK292" s="7">
        <v>45560</v>
      </c>
      <c r="AL292" s="1" t="s">
        <v>7449</v>
      </c>
    </row>
    <row r="293" spans="1:38" s="20" customFormat="1" x14ac:dyDescent="0.25">
      <c r="A293" s="14">
        <v>292</v>
      </c>
      <c r="B293" s="14" t="str">
        <f>_xlfn.CONCAT(AE293,"-",VLOOKUP(AE293,t_objeto!B:D,3,FALSE),"-",A293)</f>
        <v>RRMM-PERCCO-292</v>
      </c>
      <c r="C293" s="22" t="str">
        <f t="shared" si="49"/>
        <v>LAMINA_LISA__ACERO_GALVANIZADA_4'X8'_25</v>
      </c>
      <c r="D293" s="14" t="s">
        <v>7407</v>
      </c>
      <c r="E293" s="14" t="s">
        <v>7380</v>
      </c>
      <c r="F293" s="21" t="s">
        <v>7381</v>
      </c>
      <c r="G293" s="22" t="s">
        <v>7382</v>
      </c>
      <c r="H293" s="14">
        <v>25</v>
      </c>
      <c r="I293" s="16">
        <v>0.53</v>
      </c>
      <c r="J293" s="16">
        <f t="shared" si="50"/>
        <v>2.0866141732283468E-2</v>
      </c>
      <c r="K293" s="16">
        <v>4.2169999999999996</v>
      </c>
      <c r="L293" s="23"/>
      <c r="M293" s="23"/>
      <c r="N293" s="23"/>
      <c r="O293" s="23"/>
      <c r="P293" s="23"/>
      <c r="Q293" s="19"/>
      <c r="R293" s="17">
        <v>4</v>
      </c>
      <c r="S293" s="17">
        <v>8</v>
      </c>
      <c r="T293" s="16">
        <f t="shared" si="41"/>
        <v>2438.3999999999996</v>
      </c>
      <c r="U293" s="16">
        <f t="shared" si="42"/>
        <v>1219.1999999999998</v>
      </c>
      <c r="V293" s="18">
        <f t="shared" si="43"/>
        <v>2972897.2799999993</v>
      </c>
      <c r="W293" s="18">
        <f t="shared" si="44"/>
        <v>2.9728972799999993</v>
      </c>
      <c r="X293" s="18">
        <f t="shared" si="45"/>
        <v>12.536707829759996</v>
      </c>
      <c r="Y293" s="24">
        <v>35</v>
      </c>
      <c r="Z293" s="24">
        <f t="shared" si="46"/>
        <v>438.78477404159986</v>
      </c>
      <c r="AA293" s="16">
        <v>5</v>
      </c>
      <c r="AB293" s="16">
        <f t="shared" si="47"/>
        <v>2428.3999999999996</v>
      </c>
      <c r="AC293" s="16">
        <f t="shared" si="47"/>
        <v>1209.1999999999998</v>
      </c>
      <c r="AD293" s="19">
        <f t="shared" si="48"/>
        <v>2936421.2799999993</v>
      </c>
      <c r="AE293" s="1" t="s">
        <v>7456</v>
      </c>
      <c r="AF293" s="1" t="str">
        <f>VLOOKUP(AE293,t_objeto!B:C,2,FALSE)</f>
        <v>RAW_MATERIAL</v>
      </c>
      <c r="AG293" s="1">
        <v>8</v>
      </c>
      <c r="AH293" s="1" t="str">
        <f>VLOOKUP(AG293,t_entry_status!A:AE,2,FALSE)</f>
        <v>PENDING</v>
      </c>
      <c r="AI293" s="7">
        <v>45560</v>
      </c>
      <c r="AJ293" s="1" t="s">
        <v>7449</v>
      </c>
      <c r="AK293" s="7">
        <v>45560</v>
      </c>
      <c r="AL293" s="1" t="s">
        <v>7449</v>
      </c>
    </row>
    <row r="294" spans="1:38" s="20" customFormat="1" x14ac:dyDescent="0.25">
      <c r="A294" s="14">
        <v>293</v>
      </c>
      <c r="B294" s="14" t="str">
        <f>_xlfn.CONCAT(AE294,"-",VLOOKUP(AE294,t_objeto!B:D,3,FALSE),"-",A294)</f>
        <v>RRMM-PERCCO-293</v>
      </c>
      <c r="C294" s="22" t="str">
        <f t="shared" si="49"/>
        <v>LAMINA_LISA__ACERO_GALVANIZADA_4'X8'_26</v>
      </c>
      <c r="D294" s="14" t="s">
        <v>7407</v>
      </c>
      <c r="E294" s="14" t="s">
        <v>7380</v>
      </c>
      <c r="F294" s="21" t="s">
        <v>7381</v>
      </c>
      <c r="G294" s="22" t="s">
        <v>7382</v>
      </c>
      <c r="H294" s="14">
        <v>26</v>
      </c>
      <c r="I294" s="14">
        <v>0.45</v>
      </c>
      <c r="J294" s="16">
        <f t="shared" si="50"/>
        <v>1.7716535433070866E-2</v>
      </c>
      <c r="K294" s="16">
        <f>3.663+0.275</f>
        <v>3.9379999999999997</v>
      </c>
      <c r="L294" s="23"/>
      <c r="M294" s="23"/>
      <c r="N294" s="23"/>
      <c r="O294" s="23"/>
      <c r="P294" s="23"/>
      <c r="Q294" s="19"/>
      <c r="R294" s="17">
        <v>4</v>
      </c>
      <c r="S294" s="17">
        <v>8</v>
      </c>
      <c r="T294" s="16">
        <f t="shared" si="41"/>
        <v>2438.3999999999996</v>
      </c>
      <c r="U294" s="16">
        <f t="shared" si="42"/>
        <v>1219.1999999999998</v>
      </c>
      <c r="V294" s="18">
        <f t="shared" si="43"/>
        <v>2972897.2799999993</v>
      </c>
      <c r="W294" s="18">
        <f t="shared" si="44"/>
        <v>2.9728972799999993</v>
      </c>
      <c r="X294" s="18">
        <f t="shared" si="45"/>
        <v>11.707269488639996</v>
      </c>
      <c r="Y294" s="24">
        <v>35</v>
      </c>
      <c r="Z294" s="24">
        <f t="shared" si="46"/>
        <v>409.75443210239985</v>
      </c>
      <c r="AA294" s="16">
        <v>5</v>
      </c>
      <c r="AB294" s="16">
        <f t="shared" si="47"/>
        <v>2428.3999999999996</v>
      </c>
      <c r="AC294" s="16">
        <f t="shared" si="47"/>
        <v>1209.1999999999998</v>
      </c>
      <c r="AD294" s="19">
        <f t="shared" si="48"/>
        <v>2936421.2799999993</v>
      </c>
      <c r="AE294" s="1" t="s">
        <v>7456</v>
      </c>
      <c r="AF294" s="1" t="str">
        <f>VLOOKUP(AE294,t_objeto!B:C,2,FALSE)</f>
        <v>RAW_MATERIAL</v>
      </c>
      <c r="AG294" s="1">
        <v>8</v>
      </c>
      <c r="AH294" s="1" t="str">
        <f>VLOOKUP(AG294,t_entry_status!A:AE,2,FALSE)</f>
        <v>PENDING</v>
      </c>
      <c r="AI294" s="7">
        <v>45560</v>
      </c>
      <c r="AJ294" s="1" t="s">
        <v>7449</v>
      </c>
      <c r="AK294" s="7">
        <v>45560</v>
      </c>
      <c r="AL294" s="1" t="s">
        <v>7449</v>
      </c>
    </row>
    <row r="295" spans="1:38" s="20" customFormat="1" x14ac:dyDescent="0.25">
      <c r="A295" s="14">
        <v>294</v>
      </c>
      <c r="B295" s="14" t="str">
        <f>_xlfn.CONCAT(AE295,"-",VLOOKUP(AE295,t_objeto!B:D,3,FALSE),"-",A295)</f>
        <v>RRMM-PERCCO-294</v>
      </c>
      <c r="C295" s="22" t="str">
        <f t="shared" si="49"/>
        <v>LAMINA_LISA__ACERO_GALVANIZADA_4'X8'_27</v>
      </c>
      <c r="D295" s="14" t="s">
        <v>7407</v>
      </c>
      <c r="E295" s="14" t="s">
        <v>7380</v>
      </c>
      <c r="F295" s="21" t="s">
        <v>7381</v>
      </c>
      <c r="G295" s="22" t="s">
        <v>7382</v>
      </c>
      <c r="H295" s="14">
        <v>27</v>
      </c>
      <c r="I295" s="16">
        <v>0.42</v>
      </c>
      <c r="J295" s="16">
        <f t="shared" si="50"/>
        <v>1.6535433070866142E-2</v>
      </c>
      <c r="K295" s="16">
        <v>3.3420000000000001</v>
      </c>
      <c r="L295" s="23"/>
      <c r="M295" s="23"/>
      <c r="N295" s="23"/>
      <c r="O295" s="23"/>
      <c r="P295" s="23"/>
      <c r="Q295" s="19"/>
      <c r="R295" s="17">
        <v>4</v>
      </c>
      <c r="S295" s="17">
        <v>8</v>
      </c>
      <c r="T295" s="16">
        <f t="shared" si="41"/>
        <v>2438.3999999999996</v>
      </c>
      <c r="U295" s="16">
        <f t="shared" si="42"/>
        <v>1219.1999999999998</v>
      </c>
      <c r="V295" s="18">
        <f t="shared" si="43"/>
        <v>2972897.2799999993</v>
      </c>
      <c r="W295" s="18">
        <f t="shared" si="44"/>
        <v>2.9728972799999993</v>
      </c>
      <c r="X295" s="18">
        <f t="shared" si="45"/>
        <v>9.9354227097599974</v>
      </c>
      <c r="Y295" s="24">
        <v>35</v>
      </c>
      <c r="Z295" s="24">
        <f t="shared" si="46"/>
        <v>347.73979484159992</v>
      </c>
      <c r="AA295" s="16">
        <v>5</v>
      </c>
      <c r="AB295" s="16">
        <f t="shared" si="47"/>
        <v>2428.3999999999996</v>
      </c>
      <c r="AC295" s="16">
        <f t="shared" si="47"/>
        <v>1209.1999999999998</v>
      </c>
      <c r="AD295" s="19">
        <f t="shared" si="48"/>
        <v>2936421.2799999993</v>
      </c>
      <c r="AE295" s="1" t="s">
        <v>7456</v>
      </c>
      <c r="AF295" s="1" t="str">
        <f>VLOOKUP(AE295,t_objeto!B:C,2,FALSE)</f>
        <v>RAW_MATERIAL</v>
      </c>
      <c r="AG295" s="1">
        <v>8</v>
      </c>
      <c r="AH295" s="1" t="str">
        <f>VLOOKUP(AG295,t_entry_status!A:AE,2,FALSE)</f>
        <v>PENDING</v>
      </c>
      <c r="AI295" s="7">
        <v>45560</v>
      </c>
      <c r="AJ295" s="1" t="s">
        <v>7449</v>
      </c>
      <c r="AK295" s="7">
        <v>45560</v>
      </c>
      <c r="AL295" s="1" t="s">
        <v>7449</v>
      </c>
    </row>
    <row r="296" spans="1:38" s="20" customFormat="1" x14ac:dyDescent="0.25">
      <c r="A296" s="14">
        <v>295</v>
      </c>
      <c r="B296" s="14" t="str">
        <f>_xlfn.CONCAT(AE296,"-",VLOOKUP(AE296,t_objeto!B:D,3,FALSE),"-",A296)</f>
        <v>RRMM-PERCCO-295</v>
      </c>
      <c r="C296" s="22" t="str">
        <f t="shared" si="49"/>
        <v>LAMINA_LISA__ACERO_GALVANIZADA_4'X8'_28</v>
      </c>
      <c r="D296" s="14" t="s">
        <v>7407</v>
      </c>
      <c r="E296" s="14" t="s">
        <v>7380</v>
      </c>
      <c r="F296" s="21" t="s">
        <v>7381</v>
      </c>
      <c r="G296" s="22" t="s">
        <v>7382</v>
      </c>
      <c r="H296" s="14">
        <v>28</v>
      </c>
      <c r="I296" s="14">
        <v>0.38</v>
      </c>
      <c r="J296" s="16">
        <f t="shared" si="50"/>
        <v>1.4960629921259844E-2</v>
      </c>
      <c r="K296" s="16">
        <v>3.327</v>
      </c>
      <c r="L296" s="23"/>
      <c r="M296" s="23"/>
      <c r="N296" s="23"/>
      <c r="O296" s="23"/>
      <c r="P296" s="23"/>
      <c r="Q296" s="19"/>
      <c r="R296" s="17">
        <v>4</v>
      </c>
      <c r="S296" s="17">
        <v>8</v>
      </c>
      <c r="T296" s="16">
        <f t="shared" si="41"/>
        <v>2438.3999999999996</v>
      </c>
      <c r="U296" s="16">
        <f t="shared" si="42"/>
        <v>1219.1999999999998</v>
      </c>
      <c r="V296" s="18">
        <f t="shared" si="43"/>
        <v>2972897.2799999993</v>
      </c>
      <c r="W296" s="18">
        <f t="shared" si="44"/>
        <v>2.9728972799999993</v>
      </c>
      <c r="X296" s="18">
        <f t="shared" si="45"/>
        <v>9.8908292505599977</v>
      </c>
      <c r="Y296" s="24">
        <v>35</v>
      </c>
      <c r="Z296" s="24">
        <f t="shared" si="46"/>
        <v>346.17902376959989</v>
      </c>
      <c r="AA296" s="16">
        <v>5</v>
      </c>
      <c r="AB296" s="16">
        <f t="shared" si="47"/>
        <v>2428.3999999999996</v>
      </c>
      <c r="AC296" s="16">
        <f t="shared" si="47"/>
        <v>1209.1999999999998</v>
      </c>
      <c r="AD296" s="19">
        <f t="shared" si="48"/>
        <v>2936421.2799999993</v>
      </c>
      <c r="AE296" s="1" t="s">
        <v>7456</v>
      </c>
      <c r="AF296" s="1" t="str">
        <f>VLOOKUP(AE296,t_objeto!B:C,2,FALSE)</f>
        <v>RAW_MATERIAL</v>
      </c>
      <c r="AG296" s="1">
        <v>8</v>
      </c>
      <c r="AH296" s="1" t="str">
        <f>VLOOKUP(AG296,t_entry_status!A:AE,2,FALSE)</f>
        <v>PENDING</v>
      </c>
      <c r="AI296" s="7">
        <v>45560</v>
      </c>
      <c r="AJ296" s="1" t="s">
        <v>7449</v>
      </c>
      <c r="AK296" s="7">
        <v>45560</v>
      </c>
      <c r="AL296" s="1" t="s">
        <v>7449</v>
      </c>
    </row>
    <row r="297" spans="1:38" s="20" customFormat="1" x14ac:dyDescent="0.25">
      <c r="A297" s="14">
        <v>296</v>
      </c>
      <c r="B297" s="14" t="str">
        <f>_xlfn.CONCAT(AE297,"-",VLOOKUP(AE297,t_objeto!B:D,3,FALSE),"-",A297)</f>
        <v>RRMM-PERCCO-296</v>
      </c>
      <c r="C297" s="22" t="str">
        <f t="shared" si="49"/>
        <v>LAMINA_LISA__ACERO_PINTRO_3'X10'_10</v>
      </c>
      <c r="D297" s="14" t="s">
        <v>7407</v>
      </c>
      <c r="E297" s="14" t="s">
        <v>7380</v>
      </c>
      <c r="F297" s="21" t="s">
        <v>7383</v>
      </c>
      <c r="G297" s="22" t="s">
        <v>7382</v>
      </c>
      <c r="H297" s="14">
        <v>10</v>
      </c>
      <c r="I297" s="14">
        <v>3.42</v>
      </c>
      <c r="J297" s="16">
        <f t="shared" si="50"/>
        <v>0.13464566929133859</v>
      </c>
      <c r="K297" s="16">
        <v>27.106999999999999</v>
      </c>
      <c r="L297" s="23"/>
      <c r="M297" s="23"/>
      <c r="N297" s="23"/>
      <c r="O297" s="23"/>
      <c r="P297" s="23"/>
      <c r="Q297" s="19"/>
      <c r="R297" s="17">
        <v>3</v>
      </c>
      <c r="S297" s="17">
        <v>10</v>
      </c>
      <c r="T297" s="16">
        <f t="shared" si="41"/>
        <v>3048</v>
      </c>
      <c r="U297" s="16">
        <f t="shared" si="42"/>
        <v>914.4</v>
      </c>
      <c r="V297" s="18">
        <f t="shared" si="43"/>
        <v>2787091.1999999997</v>
      </c>
      <c r="W297" s="18">
        <f t="shared" si="44"/>
        <v>2.7870911999999999</v>
      </c>
      <c r="X297" s="18">
        <f t="shared" si="45"/>
        <v>75.549681158399991</v>
      </c>
      <c r="Y297" s="24">
        <v>35</v>
      </c>
      <c r="Z297" s="24">
        <f t="shared" si="46"/>
        <v>2644.2388405439997</v>
      </c>
      <c r="AA297" s="16">
        <v>5</v>
      </c>
      <c r="AB297" s="16">
        <f t="shared" si="47"/>
        <v>3038</v>
      </c>
      <c r="AC297" s="16">
        <f t="shared" si="47"/>
        <v>904.4</v>
      </c>
      <c r="AD297" s="19">
        <f t="shared" si="48"/>
        <v>2747567.1999999997</v>
      </c>
      <c r="AE297" s="1" t="s">
        <v>7456</v>
      </c>
      <c r="AF297" s="1" t="str">
        <f>VLOOKUP(AE297,t_objeto!B:C,2,FALSE)</f>
        <v>RAW_MATERIAL</v>
      </c>
      <c r="AG297" s="1">
        <v>8</v>
      </c>
      <c r="AH297" s="1" t="str">
        <f>VLOOKUP(AG297,t_entry_status!A:AE,2,FALSE)</f>
        <v>PENDING</v>
      </c>
      <c r="AI297" s="7">
        <v>45560</v>
      </c>
      <c r="AJ297" s="1" t="s">
        <v>7449</v>
      </c>
      <c r="AK297" s="7">
        <v>45560</v>
      </c>
      <c r="AL297" s="1" t="s">
        <v>7449</v>
      </c>
    </row>
    <row r="298" spans="1:38" s="20" customFormat="1" x14ac:dyDescent="0.25">
      <c r="A298" s="14">
        <v>297</v>
      </c>
      <c r="B298" s="14" t="str">
        <f>_xlfn.CONCAT(AE298,"-",VLOOKUP(AE298,t_objeto!B:D,3,FALSE),"-",A298)</f>
        <v>RRMM-PERCCO-297</v>
      </c>
      <c r="C298" s="22" t="str">
        <f t="shared" si="49"/>
        <v>LAMINA_LISA__ACERO_PINTRO_3'X10'_11</v>
      </c>
      <c r="D298" s="14" t="s">
        <v>7407</v>
      </c>
      <c r="E298" s="14" t="s">
        <v>7380</v>
      </c>
      <c r="F298" s="21" t="s">
        <v>7383</v>
      </c>
      <c r="G298" s="22" t="s">
        <v>7382</v>
      </c>
      <c r="H298" s="14">
        <v>11</v>
      </c>
      <c r="I298" s="16">
        <v>3.04</v>
      </c>
      <c r="J298" s="16">
        <f t="shared" si="50"/>
        <v>0.11968503937007875</v>
      </c>
      <c r="K298" s="16">
        <v>24.190999999999999</v>
      </c>
      <c r="L298" s="23"/>
      <c r="M298" s="23"/>
      <c r="N298" s="23"/>
      <c r="O298" s="23"/>
      <c r="P298" s="23"/>
      <c r="Q298" s="19"/>
      <c r="R298" s="17">
        <v>3</v>
      </c>
      <c r="S298" s="17">
        <v>10</v>
      </c>
      <c r="T298" s="16">
        <f t="shared" si="41"/>
        <v>3048</v>
      </c>
      <c r="U298" s="16">
        <f t="shared" si="42"/>
        <v>914.4</v>
      </c>
      <c r="V298" s="18">
        <f t="shared" si="43"/>
        <v>2787091.1999999997</v>
      </c>
      <c r="W298" s="18">
        <f t="shared" si="44"/>
        <v>2.7870911999999999</v>
      </c>
      <c r="X298" s="18">
        <f t="shared" si="45"/>
        <v>67.422523219199988</v>
      </c>
      <c r="Y298" s="24">
        <v>35</v>
      </c>
      <c r="Z298" s="24">
        <f t="shared" si="46"/>
        <v>2359.7883126719994</v>
      </c>
      <c r="AA298" s="16">
        <v>5</v>
      </c>
      <c r="AB298" s="16">
        <f t="shared" si="47"/>
        <v>3038</v>
      </c>
      <c r="AC298" s="16">
        <f t="shared" si="47"/>
        <v>904.4</v>
      </c>
      <c r="AD298" s="19">
        <f t="shared" si="48"/>
        <v>2747567.1999999997</v>
      </c>
      <c r="AE298" s="1" t="s">
        <v>7456</v>
      </c>
      <c r="AF298" s="1" t="str">
        <f>VLOOKUP(AE298,t_objeto!B:C,2,FALSE)</f>
        <v>RAW_MATERIAL</v>
      </c>
      <c r="AG298" s="1">
        <v>8</v>
      </c>
      <c r="AH298" s="1" t="str">
        <f>VLOOKUP(AG298,t_entry_status!A:AE,2,FALSE)</f>
        <v>PENDING</v>
      </c>
      <c r="AI298" s="7">
        <v>45560</v>
      </c>
      <c r="AJ298" s="1" t="s">
        <v>7449</v>
      </c>
      <c r="AK298" s="7">
        <v>45560</v>
      </c>
      <c r="AL298" s="1" t="s">
        <v>7449</v>
      </c>
    </row>
    <row r="299" spans="1:38" s="20" customFormat="1" x14ac:dyDescent="0.25">
      <c r="A299" s="14">
        <v>298</v>
      </c>
      <c r="B299" s="14" t="str">
        <f>_xlfn.CONCAT(AE299,"-",VLOOKUP(AE299,t_objeto!B:D,3,FALSE),"-",A299)</f>
        <v>RRMM-PERCCO-298</v>
      </c>
      <c r="C299" s="22" t="str">
        <f t="shared" si="49"/>
        <v>LAMINA_LISA__ACERO_PINTRO_3'X10'_12</v>
      </c>
      <c r="D299" s="14" t="s">
        <v>7407</v>
      </c>
      <c r="E299" s="14" t="s">
        <v>7380</v>
      </c>
      <c r="F299" s="21" t="s">
        <v>7383</v>
      </c>
      <c r="G299" s="22" t="s">
        <v>7382</v>
      </c>
      <c r="H299" s="14">
        <v>12</v>
      </c>
      <c r="I299" s="14">
        <v>2.66</v>
      </c>
      <c r="J299" s="16">
        <f t="shared" si="50"/>
        <v>0.1047244094488189</v>
      </c>
      <c r="K299" s="16">
        <v>21.641999999999999</v>
      </c>
      <c r="L299" s="23"/>
      <c r="M299" s="23"/>
      <c r="N299" s="23"/>
      <c r="O299" s="23"/>
      <c r="P299" s="23"/>
      <c r="Q299" s="19"/>
      <c r="R299" s="17">
        <v>3</v>
      </c>
      <c r="S299" s="17">
        <v>10</v>
      </c>
      <c r="T299" s="16">
        <f t="shared" si="41"/>
        <v>3048</v>
      </c>
      <c r="U299" s="16">
        <f t="shared" si="42"/>
        <v>914.4</v>
      </c>
      <c r="V299" s="18">
        <f t="shared" si="43"/>
        <v>2787091.1999999997</v>
      </c>
      <c r="W299" s="18">
        <f t="shared" si="44"/>
        <v>2.7870911999999999</v>
      </c>
      <c r="X299" s="18">
        <f t="shared" si="45"/>
        <v>60.318227750399998</v>
      </c>
      <c r="Y299" s="24">
        <v>35</v>
      </c>
      <c r="Z299" s="24">
        <f t="shared" si="46"/>
        <v>2111.137971264</v>
      </c>
      <c r="AA299" s="16">
        <v>5</v>
      </c>
      <c r="AB299" s="16">
        <f t="shared" si="47"/>
        <v>3038</v>
      </c>
      <c r="AC299" s="16">
        <f t="shared" si="47"/>
        <v>904.4</v>
      </c>
      <c r="AD299" s="19">
        <f t="shared" si="48"/>
        <v>2747567.1999999997</v>
      </c>
      <c r="AE299" s="1" t="s">
        <v>7456</v>
      </c>
      <c r="AF299" s="1" t="str">
        <f>VLOOKUP(AE299,t_objeto!B:C,2,FALSE)</f>
        <v>RAW_MATERIAL</v>
      </c>
      <c r="AG299" s="1">
        <v>8</v>
      </c>
      <c r="AH299" s="1" t="str">
        <f>VLOOKUP(AG299,t_entry_status!A:AE,2,FALSE)</f>
        <v>PENDING</v>
      </c>
      <c r="AI299" s="7">
        <v>45560</v>
      </c>
      <c r="AJ299" s="1" t="s">
        <v>7449</v>
      </c>
      <c r="AK299" s="7">
        <v>45560</v>
      </c>
      <c r="AL299" s="1" t="s">
        <v>7449</v>
      </c>
    </row>
    <row r="300" spans="1:38" s="20" customFormat="1" x14ac:dyDescent="0.25">
      <c r="A300" s="14">
        <v>299</v>
      </c>
      <c r="B300" s="14" t="str">
        <f>_xlfn.CONCAT(AE300,"-",VLOOKUP(AE300,t_objeto!B:D,3,FALSE),"-",A300)</f>
        <v>RRMM-PERCCO-299</v>
      </c>
      <c r="C300" s="22" t="str">
        <f t="shared" si="49"/>
        <v>LAMINA_LISA__ACERO_PINTRO_3'X10'_13</v>
      </c>
      <c r="D300" s="14" t="s">
        <v>7407</v>
      </c>
      <c r="E300" s="14" t="s">
        <v>7380</v>
      </c>
      <c r="F300" s="21" t="s">
        <v>7383</v>
      </c>
      <c r="G300" s="22" t="s">
        <v>7382</v>
      </c>
      <c r="H300" s="14">
        <v>13</v>
      </c>
      <c r="I300" s="16">
        <v>2.2799999999999998</v>
      </c>
      <c r="J300" s="16">
        <f t="shared" si="50"/>
        <v>8.9763779527559054E-2</v>
      </c>
      <c r="K300" s="16">
        <v>18.143000000000001</v>
      </c>
      <c r="L300" s="23"/>
      <c r="M300" s="23"/>
      <c r="N300" s="23"/>
      <c r="O300" s="23"/>
      <c r="P300" s="23"/>
      <c r="Q300" s="19"/>
      <c r="R300" s="17">
        <v>3</v>
      </c>
      <c r="S300" s="17">
        <v>10</v>
      </c>
      <c r="T300" s="16">
        <f t="shared" si="41"/>
        <v>3048</v>
      </c>
      <c r="U300" s="16">
        <f t="shared" si="42"/>
        <v>914.4</v>
      </c>
      <c r="V300" s="18">
        <f t="shared" si="43"/>
        <v>2787091.1999999997</v>
      </c>
      <c r="W300" s="18">
        <f t="shared" si="44"/>
        <v>2.7870911999999999</v>
      </c>
      <c r="X300" s="18">
        <f t="shared" si="45"/>
        <v>50.566195641599997</v>
      </c>
      <c r="Y300" s="24">
        <v>35</v>
      </c>
      <c r="Z300" s="24">
        <f t="shared" si="46"/>
        <v>1769.8168474559998</v>
      </c>
      <c r="AA300" s="16">
        <v>5</v>
      </c>
      <c r="AB300" s="16">
        <f t="shared" si="47"/>
        <v>3038</v>
      </c>
      <c r="AC300" s="16">
        <f t="shared" si="47"/>
        <v>904.4</v>
      </c>
      <c r="AD300" s="19">
        <f t="shared" si="48"/>
        <v>2747567.1999999997</v>
      </c>
      <c r="AE300" s="1" t="s">
        <v>7456</v>
      </c>
      <c r="AF300" s="1" t="str">
        <f>VLOOKUP(AE300,t_objeto!B:C,2,FALSE)</f>
        <v>RAW_MATERIAL</v>
      </c>
      <c r="AG300" s="1">
        <v>8</v>
      </c>
      <c r="AH300" s="1" t="str">
        <f>VLOOKUP(AG300,t_entry_status!A:AE,2,FALSE)</f>
        <v>PENDING</v>
      </c>
      <c r="AI300" s="7">
        <v>45560</v>
      </c>
      <c r="AJ300" s="1" t="s">
        <v>7449</v>
      </c>
      <c r="AK300" s="7">
        <v>45560</v>
      </c>
      <c r="AL300" s="1" t="s">
        <v>7449</v>
      </c>
    </row>
    <row r="301" spans="1:38" s="20" customFormat="1" ht="18.75" x14ac:dyDescent="0.3">
      <c r="A301" s="14">
        <v>300</v>
      </c>
      <c r="B301" s="14" t="str">
        <f>_xlfn.CONCAT(AE301,"-",VLOOKUP(AE301,t_objeto!B:D,3,FALSE),"-",A301)</f>
        <v>RRMM-PERCCO-300</v>
      </c>
      <c r="C301" s="22" t="str">
        <f t="shared" si="49"/>
        <v>LAMINA_LISA__ACERO_PINTRO_3'X10'_14</v>
      </c>
      <c r="D301" s="14" t="s">
        <v>7407</v>
      </c>
      <c r="E301" s="14" t="s">
        <v>7380</v>
      </c>
      <c r="F301" s="21" t="s">
        <v>7383</v>
      </c>
      <c r="G301" s="22" t="s">
        <v>7382</v>
      </c>
      <c r="H301" s="14">
        <v>14</v>
      </c>
      <c r="I301" s="14">
        <v>1.9</v>
      </c>
      <c r="J301" s="16">
        <f t="shared" si="50"/>
        <v>7.4803149606299218E-2</v>
      </c>
      <c r="K301" s="25">
        <v>16.928999999999998</v>
      </c>
      <c r="L301" s="23"/>
      <c r="M301" s="23"/>
      <c r="N301" s="23"/>
      <c r="O301" s="23"/>
      <c r="P301" s="23"/>
      <c r="Q301" s="19"/>
      <c r="R301" s="17">
        <v>3</v>
      </c>
      <c r="S301" s="17">
        <v>10</v>
      </c>
      <c r="T301" s="16">
        <f t="shared" si="41"/>
        <v>3048</v>
      </c>
      <c r="U301" s="16">
        <f t="shared" si="42"/>
        <v>914.4</v>
      </c>
      <c r="V301" s="18">
        <f t="shared" si="43"/>
        <v>2787091.1999999997</v>
      </c>
      <c r="W301" s="18">
        <f t="shared" si="44"/>
        <v>2.7870911999999999</v>
      </c>
      <c r="X301" s="18">
        <f t="shared" si="45"/>
        <v>47.182666924799996</v>
      </c>
      <c r="Y301" s="24">
        <v>35</v>
      </c>
      <c r="Z301" s="24">
        <f t="shared" si="46"/>
        <v>1651.3933423679998</v>
      </c>
      <c r="AA301" s="16">
        <v>5</v>
      </c>
      <c r="AB301" s="16">
        <f t="shared" si="47"/>
        <v>3038</v>
      </c>
      <c r="AC301" s="16">
        <f t="shared" si="47"/>
        <v>904.4</v>
      </c>
      <c r="AD301" s="19">
        <f t="shared" si="48"/>
        <v>2747567.1999999997</v>
      </c>
      <c r="AE301" s="1" t="s">
        <v>7456</v>
      </c>
      <c r="AF301" s="1" t="str">
        <f>VLOOKUP(AE301,t_objeto!B:C,2,FALSE)</f>
        <v>RAW_MATERIAL</v>
      </c>
      <c r="AG301" s="1">
        <v>8</v>
      </c>
      <c r="AH301" s="1" t="str">
        <f>VLOOKUP(AG301,t_entry_status!A:AE,2,FALSE)</f>
        <v>PENDING</v>
      </c>
      <c r="AI301" s="7">
        <v>45560</v>
      </c>
      <c r="AJ301" s="1" t="s">
        <v>7449</v>
      </c>
      <c r="AK301" s="7">
        <v>45560</v>
      </c>
      <c r="AL301" s="1" t="s">
        <v>7449</v>
      </c>
    </row>
    <row r="302" spans="1:38" s="20" customFormat="1" x14ac:dyDescent="0.25">
      <c r="A302" s="14">
        <v>301</v>
      </c>
      <c r="B302" s="14" t="str">
        <f>_xlfn.CONCAT(AE302,"-",VLOOKUP(AE302,t_objeto!B:D,3,FALSE),"-",A302)</f>
        <v>RRMM-PERCCO-301</v>
      </c>
      <c r="C302" s="22" t="str">
        <f t="shared" si="49"/>
        <v>LAMINA_LISA__ACERO_PINTRO_3'X10'_15</v>
      </c>
      <c r="D302" s="14" t="s">
        <v>7407</v>
      </c>
      <c r="E302" s="14" t="s">
        <v>7380</v>
      </c>
      <c r="F302" s="21" t="s">
        <v>7383</v>
      </c>
      <c r="G302" s="22" t="s">
        <v>7382</v>
      </c>
      <c r="H302" s="14">
        <v>15</v>
      </c>
      <c r="I302" s="16">
        <v>1.71</v>
      </c>
      <c r="J302" s="16">
        <f t="shared" si="50"/>
        <v>6.7322834645669294E-2</v>
      </c>
      <c r="K302" s="16">
        <v>13.606999999999999</v>
      </c>
      <c r="L302" s="23"/>
      <c r="M302" s="23"/>
      <c r="N302" s="23"/>
      <c r="O302" s="23"/>
      <c r="P302" s="23"/>
      <c r="Q302" s="19"/>
      <c r="R302" s="17">
        <v>3</v>
      </c>
      <c r="S302" s="17">
        <v>10</v>
      </c>
      <c r="T302" s="16">
        <f t="shared" si="41"/>
        <v>3048</v>
      </c>
      <c r="U302" s="16">
        <f t="shared" si="42"/>
        <v>914.4</v>
      </c>
      <c r="V302" s="18">
        <f t="shared" si="43"/>
        <v>2787091.1999999997</v>
      </c>
      <c r="W302" s="18">
        <f t="shared" si="44"/>
        <v>2.7870911999999999</v>
      </c>
      <c r="X302" s="18">
        <f t="shared" si="45"/>
        <v>37.923949958399994</v>
      </c>
      <c r="Y302" s="24">
        <v>35</v>
      </c>
      <c r="Z302" s="24">
        <f t="shared" si="46"/>
        <v>1327.3382485439997</v>
      </c>
      <c r="AA302" s="16">
        <v>5</v>
      </c>
      <c r="AB302" s="16">
        <f t="shared" si="47"/>
        <v>3038</v>
      </c>
      <c r="AC302" s="16">
        <f t="shared" si="47"/>
        <v>904.4</v>
      </c>
      <c r="AD302" s="19">
        <f t="shared" si="48"/>
        <v>2747567.1999999997</v>
      </c>
      <c r="AE302" s="1" t="s">
        <v>7456</v>
      </c>
      <c r="AF302" s="1" t="str">
        <f>VLOOKUP(AE302,t_objeto!B:C,2,FALSE)</f>
        <v>RAW_MATERIAL</v>
      </c>
      <c r="AG302" s="1">
        <v>8</v>
      </c>
      <c r="AH302" s="1" t="str">
        <f>VLOOKUP(AG302,t_entry_status!A:AE,2,FALSE)</f>
        <v>PENDING</v>
      </c>
      <c r="AI302" s="7">
        <v>45560</v>
      </c>
      <c r="AJ302" s="1" t="s">
        <v>7449</v>
      </c>
      <c r="AK302" s="7">
        <v>45560</v>
      </c>
      <c r="AL302" s="1" t="s">
        <v>7449</v>
      </c>
    </row>
    <row r="303" spans="1:38" s="20" customFormat="1" x14ac:dyDescent="0.25">
      <c r="A303" s="14">
        <v>302</v>
      </c>
      <c r="B303" s="14" t="str">
        <f>_xlfn.CONCAT(AE303,"-",VLOOKUP(AE303,t_objeto!B:D,3,FALSE),"-",A303)</f>
        <v>RRMM-PERCCO-302</v>
      </c>
      <c r="C303" s="22" t="str">
        <f t="shared" si="49"/>
        <v>LAMINA_LISA__ACERO_PINTRO_3'X10'_16</v>
      </c>
      <c r="D303" s="14" t="s">
        <v>7407</v>
      </c>
      <c r="E303" s="14" t="s">
        <v>7380</v>
      </c>
      <c r="F303" s="21" t="s">
        <v>7383</v>
      </c>
      <c r="G303" s="22" t="s">
        <v>7382</v>
      </c>
      <c r="H303" s="14">
        <v>16</v>
      </c>
      <c r="I303" s="14">
        <v>1.52</v>
      </c>
      <c r="J303" s="16">
        <f t="shared" si="50"/>
        <v>5.9842519685039376E-2</v>
      </c>
      <c r="K303" s="16">
        <v>12.484999999999999</v>
      </c>
      <c r="L303" s="23"/>
      <c r="M303" s="23"/>
      <c r="N303" s="23"/>
      <c r="O303" s="23"/>
      <c r="P303" s="23"/>
      <c r="Q303" s="19"/>
      <c r="R303" s="17">
        <v>3</v>
      </c>
      <c r="S303" s="17">
        <v>10</v>
      </c>
      <c r="T303" s="16">
        <f t="shared" si="41"/>
        <v>3048</v>
      </c>
      <c r="U303" s="16">
        <f t="shared" si="42"/>
        <v>914.4</v>
      </c>
      <c r="V303" s="18">
        <f t="shared" si="43"/>
        <v>2787091.1999999997</v>
      </c>
      <c r="W303" s="18">
        <f t="shared" si="44"/>
        <v>2.7870911999999999</v>
      </c>
      <c r="X303" s="18">
        <f t="shared" si="45"/>
        <v>34.796833631999995</v>
      </c>
      <c r="Y303" s="24">
        <v>35</v>
      </c>
      <c r="Z303" s="24">
        <f t="shared" si="46"/>
        <v>1217.8891771199999</v>
      </c>
      <c r="AA303" s="16">
        <v>5</v>
      </c>
      <c r="AB303" s="16">
        <f t="shared" si="47"/>
        <v>3038</v>
      </c>
      <c r="AC303" s="16">
        <f t="shared" si="47"/>
        <v>904.4</v>
      </c>
      <c r="AD303" s="19">
        <f t="shared" si="48"/>
        <v>2747567.1999999997</v>
      </c>
      <c r="AE303" s="1" t="s">
        <v>7456</v>
      </c>
      <c r="AF303" s="1" t="str">
        <f>VLOOKUP(AE303,t_objeto!B:C,2,FALSE)</f>
        <v>RAW_MATERIAL</v>
      </c>
      <c r="AG303" s="1">
        <v>8</v>
      </c>
      <c r="AH303" s="1" t="str">
        <f>VLOOKUP(AG303,t_entry_status!A:AE,2,FALSE)</f>
        <v>PENDING</v>
      </c>
      <c r="AI303" s="7">
        <v>45560</v>
      </c>
      <c r="AJ303" s="1" t="s">
        <v>7449</v>
      </c>
      <c r="AK303" s="7">
        <v>45560</v>
      </c>
      <c r="AL303" s="1" t="s">
        <v>7449</v>
      </c>
    </row>
    <row r="304" spans="1:38" s="20" customFormat="1" x14ac:dyDescent="0.25">
      <c r="A304" s="14">
        <v>303</v>
      </c>
      <c r="B304" s="14" t="str">
        <f>_xlfn.CONCAT(AE304,"-",VLOOKUP(AE304,t_objeto!B:D,3,FALSE),"-",A304)</f>
        <v>RRMM-PERCCO-303</v>
      </c>
      <c r="C304" s="22" t="str">
        <f t="shared" si="49"/>
        <v>LAMINA_LISA__ACERO_PINTRO_3'X10'_17</v>
      </c>
      <c r="D304" s="14" t="s">
        <v>7407</v>
      </c>
      <c r="E304" s="14" t="s">
        <v>7380</v>
      </c>
      <c r="F304" s="21" t="s">
        <v>7383</v>
      </c>
      <c r="G304" s="22" t="s">
        <v>7382</v>
      </c>
      <c r="H304" s="14">
        <v>17</v>
      </c>
      <c r="I304" s="16">
        <v>1.37</v>
      </c>
      <c r="J304" s="16">
        <f t="shared" si="50"/>
        <v>5.3937007874015758E-2</v>
      </c>
      <c r="K304" s="16">
        <v>10.901999999999999</v>
      </c>
      <c r="L304" s="23"/>
      <c r="M304" s="23"/>
      <c r="N304" s="23"/>
      <c r="O304" s="23"/>
      <c r="P304" s="23"/>
      <c r="Q304" s="19"/>
      <c r="R304" s="17">
        <v>3</v>
      </c>
      <c r="S304" s="17">
        <v>10</v>
      </c>
      <c r="T304" s="16">
        <f t="shared" si="41"/>
        <v>3048</v>
      </c>
      <c r="U304" s="16">
        <f t="shared" si="42"/>
        <v>914.4</v>
      </c>
      <c r="V304" s="18">
        <f t="shared" si="43"/>
        <v>2787091.1999999997</v>
      </c>
      <c r="W304" s="18">
        <f t="shared" si="44"/>
        <v>2.7870911999999999</v>
      </c>
      <c r="X304" s="18">
        <f t="shared" si="45"/>
        <v>30.384868262399998</v>
      </c>
      <c r="Y304" s="24">
        <v>35</v>
      </c>
      <c r="Z304" s="24">
        <f t="shared" si="46"/>
        <v>1063.4703891839999</v>
      </c>
      <c r="AA304" s="16">
        <v>5</v>
      </c>
      <c r="AB304" s="16">
        <f t="shared" si="47"/>
        <v>3038</v>
      </c>
      <c r="AC304" s="16">
        <f t="shared" si="47"/>
        <v>904.4</v>
      </c>
      <c r="AD304" s="19">
        <f t="shared" si="48"/>
        <v>2747567.1999999997</v>
      </c>
      <c r="AE304" s="1" t="s">
        <v>7456</v>
      </c>
      <c r="AF304" s="1" t="str">
        <f>VLOOKUP(AE304,t_objeto!B:C,2,FALSE)</f>
        <v>RAW_MATERIAL</v>
      </c>
      <c r="AG304" s="1">
        <v>8</v>
      </c>
      <c r="AH304" s="1" t="str">
        <f>VLOOKUP(AG304,t_entry_status!A:AE,2,FALSE)</f>
        <v>PENDING</v>
      </c>
      <c r="AI304" s="7">
        <v>45560</v>
      </c>
      <c r="AJ304" s="1" t="s">
        <v>7449</v>
      </c>
      <c r="AK304" s="7">
        <v>45560</v>
      </c>
      <c r="AL304" s="1" t="s">
        <v>7449</v>
      </c>
    </row>
    <row r="305" spans="1:38" s="20" customFormat="1" x14ac:dyDescent="0.25">
      <c r="A305" s="14">
        <v>304</v>
      </c>
      <c r="B305" s="14" t="str">
        <f>_xlfn.CONCAT(AE305,"-",VLOOKUP(AE305,t_objeto!B:D,3,FALSE),"-",A305)</f>
        <v>RRMM-PERCCO-304</v>
      </c>
      <c r="C305" s="22" t="str">
        <f t="shared" si="49"/>
        <v>LAMINA_LISA__ACERO_PINTRO_3'X10'_18</v>
      </c>
      <c r="D305" s="14" t="s">
        <v>7407</v>
      </c>
      <c r="E305" s="14" t="s">
        <v>7380</v>
      </c>
      <c r="F305" s="21" t="s">
        <v>7383</v>
      </c>
      <c r="G305" s="22" t="s">
        <v>7382</v>
      </c>
      <c r="H305" s="14">
        <v>18</v>
      </c>
      <c r="I305" s="14">
        <v>1.21</v>
      </c>
      <c r="J305" s="16">
        <f t="shared" si="50"/>
        <v>4.7637795275590554E-2</v>
      </c>
      <c r="K305" s="16">
        <v>10.042999999999999</v>
      </c>
      <c r="L305" s="23"/>
      <c r="M305" s="23"/>
      <c r="N305" s="23"/>
      <c r="O305" s="23"/>
      <c r="P305" s="23"/>
      <c r="Q305" s="19"/>
      <c r="R305" s="17">
        <v>3</v>
      </c>
      <c r="S305" s="17">
        <v>10</v>
      </c>
      <c r="T305" s="16">
        <f t="shared" si="41"/>
        <v>3048</v>
      </c>
      <c r="U305" s="16">
        <f t="shared" si="42"/>
        <v>914.4</v>
      </c>
      <c r="V305" s="18">
        <f t="shared" si="43"/>
        <v>2787091.1999999997</v>
      </c>
      <c r="W305" s="18">
        <f t="shared" si="44"/>
        <v>2.7870911999999999</v>
      </c>
      <c r="X305" s="18">
        <f t="shared" si="45"/>
        <v>27.990756921599996</v>
      </c>
      <c r="Y305" s="24">
        <v>35</v>
      </c>
      <c r="Z305" s="24">
        <f t="shared" si="46"/>
        <v>979.67649225599985</v>
      </c>
      <c r="AA305" s="16">
        <v>5</v>
      </c>
      <c r="AB305" s="16">
        <f t="shared" si="47"/>
        <v>3038</v>
      </c>
      <c r="AC305" s="16">
        <f t="shared" si="47"/>
        <v>904.4</v>
      </c>
      <c r="AD305" s="19">
        <f t="shared" si="48"/>
        <v>2747567.1999999997</v>
      </c>
      <c r="AE305" s="1" t="s">
        <v>7456</v>
      </c>
      <c r="AF305" s="1" t="str">
        <f>VLOOKUP(AE305,t_objeto!B:C,2,FALSE)</f>
        <v>RAW_MATERIAL</v>
      </c>
      <c r="AG305" s="1">
        <v>8</v>
      </c>
      <c r="AH305" s="1" t="str">
        <f>VLOOKUP(AG305,t_entry_status!A:AE,2,FALSE)</f>
        <v>PENDING</v>
      </c>
      <c r="AI305" s="7">
        <v>45560</v>
      </c>
      <c r="AJ305" s="1" t="s">
        <v>7449</v>
      </c>
      <c r="AK305" s="7">
        <v>45560</v>
      </c>
      <c r="AL305" s="1" t="s">
        <v>7449</v>
      </c>
    </row>
    <row r="306" spans="1:38" s="20" customFormat="1" x14ac:dyDescent="0.25">
      <c r="A306" s="14">
        <v>305</v>
      </c>
      <c r="B306" s="14" t="str">
        <f>_xlfn.CONCAT(AE306,"-",VLOOKUP(AE306,t_objeto!B:D,3,FALSE),"-",A306)</f>
        <v>RRMM-PERCCO-305</v>
      </c>
      <c r="C306" s="22" t="str">
        <f t="shared" si="49"/>
        <v>LAMINA_LISA__ACERO_PINTRO_3'X10'_19</v>
      </c>
      <c r="D306" s="14" t="s">
        <v>7407</v>
      </c>
      <c r="E306" s="14" t="s">
        <v>7380</v>
      </c>
      <c r="F306" s="21" t="s">
        <v>7383</v>
      </c>
      <c r="G306" s="22" t="s">
        <v>7382</v>
      </c>
      <c r="H306" s="14">
        <v>19</v>
      </c>
      <c r="I306" s="16">
        <v>1.06</v>
      </c>
      <c r="J306" s="16">
        <f t="shared" si="50"/>
        <v>4.1732283464566935E-2</v>
      </c>
      <c r="K306" s="16">
        <v>8.4350000000000005</v>
      </c>
      <c r="L306" s="23"/>
      <c r="M306" s="23"/>
      <c r="N306" s="23"/>
      <c r="O306" s="23"/>
      <c r="P306" s="23"/>
      <c r="Q306" s="19"/>
      <c r="R306" s="17">
        <v>3</v>
      </c>
      <c r="S306" s="17">
        <v>10</v>
      </c>
      <c r="T306" s="16">
        <f t="shared" si="41"/>
        <v>3048</v>
      </c>
      <c r="U306" s="16">
        <f t="shared" si="42"/>
        <v>914.4</v>
      </c>
      <c r="V306" s="18">
        <f t="shared" si="43"/>
        <v>2787091.1999999997</v>
      </c>
      <c r="W306" s="18">
        <f t="shared" si="44"/>
        <v>2.7870911999999999</v>
      </c>
      <c r="X306" s="18">
        <f t="shared" si="45"/>
        <v>23.509114272000001</v>
      </c>
      <c r="Y306" s="24">
        <v>35</v>
      </c>
      <c r="Z306" s="24">
        <f t="shared" si="46"/>
        <v>822.81899952000003</v>
      </c>
      <c r="AA306" s="16">
        <v>5</v>
      </c>
      <c r="AB306" s="16">
        <f t="shared" si="47"/>
        <v>3038</v>
      </c>
      <c r="AC306" s="16">
        <f t="shared" si="47"/>
        <v>904.4</v>
      </c>
      <c r="AD306" s="19">
        <f t="shared" si="48"/>
        <v>2747567.1999999997</v>
      </c>
      <c r="AE306" s="1" t="s">
        <v>7456</v>
      </c>
      <c r="AF306" s="1" t="str">
        <f>VLOOKUP(AE306,t_objeto!B:C,2,FALSE)</f>
        <v>RAW_MATERIAL</v>
      </c>
      <c r="AG306" s="1">
        <v>8</v>
      </c>
      <c r="AH306" s="1" t="str">
        <f>VLOOKUP(AG306,t_entry_status!A:AE,2,FALSE)</f>
        <v>PENDING</v>
      </c>
      <c r="AI306" s="7">
        <v>45560</v>
      </c>
      <c r="AJ306" s="1" t="s">
        <v>7449</v>
      </c>
      <c r="AK306" s="7">
        <v>45560</v>
      </c>
      <c r="AL306" s="1" t="s">
        <v>7449</v>
      </c>
    </row>
    <row r="307" spans="1:38" s="20" customFormat="1" x14ac:dyDescent="0.25">
      <c r="A307" s="14">
        <v>306</v>
      </c>
      <c r="B307" s="14" t="str">
        <f>_xlfn.CONCAT(AE307,"-",VLOOKUP(AE307,t_objeto!B:D,3,FALSE),"-",A307)</f>
        <v>RRMM-PERCCO-306</v>
      </c>
      <c r="C307" s="22" t="str">
        <f t="shared" si="49"/>
        <v>LAMINA_LISA__ACERO_PINTRO_3'X10'_20</v>
      </c>
      <c r="D307" s="14" t="s">
        <v>7407</v>
      </c>
      <c r="E307" s="14" t="s">
        <v>7380</v>
      </c>
      <c r="F307" s="21" t="s">
        <v>7383</v>
      </c>
      <c r="G307" s="22" t="s">
        <v>7382</v>
      </c>
      <c r="H307" s="14">
        <v>20</v>
      </c>
      <c r="I307" s="14">
        <v>0.91</v>
      </c>
      <c r="J307" s="16">
        <f t="shared" si="50"/>
        <v>3.582677165354331E-2</v>
      </c>
      <c r="K307" s="16">
        <v>7.601</v>
      </c>
      <c r="L307" s="23"/>
      <c r="M307" s="23"/>
      <c r="N307" s="23"/>
      <c r="O307" s="23"/>
      <c r="P307" s="23"/>
      <c r="Q307" s="19"/>
      <c r="R307" s="17">
        <v>3</v>
      </c>
      <c r="S307" s="17">
        <v>10</v>
      </c>
      <c r="T307" s="16">
        <f t="shared" si="41"/>
        <v>3048</v>
      </c>
      <c r="U307" s="16">
        <f t="shared" si="42"/>
        <v>914.4</v>
      </c>
      <c r="V307" s="18">
        <f t="shared" si="43"/>
        <v>2787091.1999999997</v>
      </c>
      <c r="W307" s="18">
        <f t="shared" si="44"/>
        <v>2.7870911999999999</v>
      </c>
      <c r="X307" s="18">
        <f t="shared" si="45"/>
        <v>21.1846802112</v>
      </c>
      <c r="Y307" s="24">
        <v>35</v>
      </c>
      <c r="Z307" s="24">
        <f t="shared" si="46"/>
        <v>741.46380739200004</v>
      </c>
      <c r="AA307" s="16">
        <v>5</v>
      </c>
      <c r="AB307" s="16">
        <f t="shared" si="47"/>
        <v>3038</v>
      </c>
      <c r="AC307" s="16">
        <f t="shared" si="47"/>
        <v>904.4</v>
      </c>
      <c r="AD307" s="19">
        <f t="shared" si="48"/>
        <v>2747567.1999999997</v>
      </c>
      <c r="AE307" s="1" t="s">
        <v>7456</v>
      </c>
      <c r="AF307" s="1" t="str">
        <f>VLOOKUP(AE307,t_objeto!B:C,2,FALSE)</f>
        <v>RAW_MATERIAL</v>
      </c>
      <c r="AG307" s="1">
        <v>8</v>
      </c>
      <c r="AH307" s="1" t="str">
        <f>VLOOKUP(AG307,t_entry_status!A:AE,2,FALSE)</f>
        <v>PENDING</v>
      </c>
      <c r="AI307" s="7">
        <v>45560</v>
      </c>
      <c r="AJ307" s="1" t="s">
        <v>7449</v>
      </c>
      <c r="AK307" s="7">
        <v>45560</v>
      </c>
      <c r="AL307" s="1" t="s">
        <v>7449</v>
      </c>
    </row>
    <row r="308" spans="1:38" s="20" customFormat="1" x14ac:dyDescent="0.25">
      <c r="A308" s="14">
        <v>307</v>
      </c>
      <c r="B308" s="14" t="str">
        <f>_xlfn.CONCAT(AE308,"-",VLOOKUP(AE308,t_objeto!B:D,3,FALSE),"-",A308)</f>
        <v>RRMM-PERCCO-307</v>
      </c>
      <c r="C308" s="22" t="str">
        <f t="shared" si="49"/>
        <v>LAMINA_LISA__ACERO_PINTRO_3'X10'_21</v>
      </c>
      <c r="D308" s="14" t="s">
        <v>7407</v>
      </c>
      <c r="E308" s="14" t="s">
        <v>7380</v>
      </c>
      <c r="F308" s="21" t="s">
        <v>7383</v>
      </c>
      <c r="G308" s="22" t="s">
        <v>7382</v>
      </c>
      <c r="H308" s="14">
        <v>21</v>
      </c>
      <c r="I308" s="16">
        <v>0.84</v>
      </c>
      <c r="J308" s="16">
        <f t="shared" si="50"/>
        <v>3.3070866141732283E-2</v>
      </c>
      <c r="K308" s="16">
        <v>6.6840000000000002</v>
      </c>
      <c r="L308" s="23"/>
      <c r="M308" s="23"/>
      <c r="N308" s="23"/>
      <c r="O308" s="23"/>
      <c r="P308" s="23"/>
      <c r="Q308" s="19"/>
      <c r="R308" s="17">
        <v>3</v>
      </c>
      <c r="S308" s="17">
        <v>10</v>
      </c>
      <c r="T308" s="16">
        <f t="shared" si="41"/>
        <v>3048</v>
      </c>
      <c r="U308" s="16">
        <f t="shared" si="42"/>
        <v>914.4</v>
      </c>
      <c r="V308" s="18">
        <f t="shared" si="43"/>
        <v>2787091.1999999997</v>
      </c>
      <c r="W308" s="18">
        <f t="shared" si="44"/>
        <v>2.7870911999999999</v>
      </c>
      <c r="X308" s="18">
        <f t="shared" si="45"/>
        <v>18.6289175808</v>
      </c>
      <c r="Y308" s="24">
        <v>35</v>
      </c>
      <c r="Z308" s="24">
        <f t="shared" si="46"/>
        <v>652.01211532799994</v>
      </c>
      <c r="AA308" s="16">
        <v>5</v>
      </c>
      <c r="AB308" s="16">
        <f t="shared" si="47"/>
        <v>3038</v>
      </c>
      <c r="AC308" s="16">
        <f t="shared" si="47"/>
        <v>904.4</v>
      </c>
      <c r="AD308" s="19">
        <f t="shared" si="48"/>
        <v>2747567.1999999997</v>
      </c>
      <c r="AE308" s="1" t="s">
        <v>7456</v>
      </c>
      <c r="AF308" s="1" t="str">
        <f>VLOOKUP(AE308,t_objeto!B:C,2,FALSE)</f>
        <v>RAW_MATERIAL</v>
      </c>
      <c r="AG308" s="1">
        <v>8</v>
      </c>
      <c r="AH308" s="1" t="str">
        <f>VLOOKUP(AG308,t_entry_status!A:AE,2,FALSE)</f>
        <v>PENDING</v>
      </c>
      <c r="AI308" s="7">
        <v>45560</v>
      </c>
      <c r="AJ308" s="1" t="s">
        <v>7449</v>
      </c>
      <c r="AK308" s="7">
        <v>45560</v>
      </c>
      <c r="AL308" s="1" t="s">
        <v>7449</v>
      </c>
    </row>
    <row r="309" spans="1:38" s="20" customFormat="1" x14ac:dyDescent="0.25">
      <c r="A309" s="14">
        <v>308</v>
      </c>
      <c r="B309" s="14" t="str">
        <f>_xlfn.CONCAT(AE309,"-",VLOOKUP(AE309,t_objeto!B:D,3,FALSE),"-",A309)</f>
        <v>RRMM-PERCCO-308</v>
      </c>
      <c r="C309" s="22" t="str">
        <f t="shared" si="49"/>
        <v>LAMINA_LISA__ACERO_PINTRO_3'X10'_22</v>
      </c>
      <c r="D309" s="14" t="s">
        <v>7407</v>
      </c>
      <c r="E309" s="14" t="s">
        <v>7380</v>
      </c>
      <c r="F309" s="21" t="s">
        <v>7383</v>
      </c>
      <c r="G309" s="22" t="s">
        <v>7382</v>
      </c>
      <c r="H309" s="14">
        <v>22</v>
      </c>
      <c r="I309" s="14">
        <v>0.76</v>
      </c>
      <c r="J309" s="16">
        <f t="shared" si="50"/>
        <v>2.9921259842519688E-2</v>
      </c>
      <c r="K309" s="16">
        <v>6.38</v>
      </c>
      <c r="L309" s="23"/>
      <c r="M309" s="23"/>
      <c r="N309" s="23"/>
      <c r="O309" s="23"/>
      <c r="P309" s="23"/>
      <c r="Q309" s="19"/>
      <c r="R309" s="17">
        <v>3</v>
      </c>
      <c r="S309" s="17">
        <v>10</v>
      </c>
      <c r="T309" s="16">
        <f t="shared" si="41"/>
        <v>3048</v>
      </c>
      <c r="U309" s="16">
        <f t="shared" si="42"/>
        <v>914.4</v>
      </c>
      <c r="V309" s="18">
        <f t="shared" si="43"/>
        <v>2787091.1999999997</v>
      </c>
      <c r="W309" s="18">
        <f t="shared" si="44"/>
        <v>2.7870911999999999</v>
      </c>
      <c r="X309" s="18">
        <f t="shared" si="45"/>
        <v>17.781641856</v>
      </c>
      <c r="Y309" s="24">
        <v>35</v>
      </c>
      <c r="Z309" s="24">
        <f t="shared" si="46"/>
        <v>622.35746496000002</v>
      </c>
      <c r="AA309" s="16">
        <v>5</v>
      </c>
      <c r="AB309" s="16">
        <f t="shared" si="47"/>
        <v>3038</v>
      </c>
      <c r="AC309" s="16">
        <f t="shared" si="47"/>
        <v>904.4</v>
      </c>
      <c r="AD309" s="19">
        <f t="shared" si="48"/>
        <v>2747567.1999999997</v>
      </c>
      <c r="AE309" s="1" t="s">
        <v>7456</v>
      </c>
      <c r="AF309" s="1" t="str">
        <f>VLOOKUP(AE309,t_objeto!B:C,2,FALSE)</f>
        <v>RAW_MATERIAL</v>
      </c>
      <c r="AG309" s="1">
        <v>8</v>
      </c>
      <c r="AH309" s="1" t="str">
        <f>VLOOKUP(AG309,t_entry_status!A:AE,2,FALSE)</f>
        <v>PENDING</v>
      </c>
      <c r="AI309" s="7">
        <v>45560</v>
      </c>
      <c r="AJ309" s="1" t="s">
        <v>7449</v>
      </c>
      <c r="AK309" s="7">
        <v>45560</v>
      </c>
      <c r="AL309" s="1" t="s">
        <v>7449</v>
      </c>
    </row>
    <row r="310" spans="1:38" s="20" customFormat="1" x14ac:dyDescent="0.25">
      <c r="A310" s="14">
        <v>309</v>
      </c>
      <c r="B310" s="14" t="str">
        <f>_xlfn.CONCAT(AE310,"-",VLOOKUP(AE310,t_objeto!B:D,3,FALSE),"-",A310)</f>
        <v>RRMM-PERCCO-309</v>
      </c>
      <c r="C310" s="22" t="str">
        <f t="shared" si="49"/>
        <v>LAMINA_LISA__ACERO_PINTRO_3'X10'_23</v>
      </c>
      <c r="D310" s="14" t="s">
        <v>7407</v>
      </c>
      <c r="E310" s="14" t="s">
        <v>7380</v>
      </c>
      <c r="F310" s="21" t="s">
        <v>7383</v>
      </c>
      <c r="G310" s="22" t="s">
        <v>7382</v>
      </c>
      <c r="H310" s="14">
        <v>23</v>
      </c>
      <c r="I310" s="16">
        <v>0.68</v>
      </c>
      <c r="J310" s="16">
        <f t="shared" si="50"/>
        <v>2.677165354330709E-2</v>
      </c>
      <c r="K310" s="16">
        <v>5.4109999999999996</v>
      </c>
      <c r="L310" s="23"/>
      <c r="M310" s="23"/>
      <c r="N310" s="23"/>
      <c r="O310" s="23"/>
      <c r="P310" s="23"/>
      <c r="Q310" s="19"/>
      <c r="R310" s="17">
        <v>3</v>
      </c>
      <c r="S310" s="17">
        <v>10</v>
      </c>
      <c r="T310" s="16">
        <f t="shared" si="41"/>
        <v>3048</v>
      </c>
      <c r="U310" s="16">
        <f t="shared" si="42"/>
        <v>914.4</v>
      </c>
      <c r="V310" s="18">
        <f t="shared" si="43"/>
        <v>2787091.1999999997</v>
      </c>
      <c r="W310" s="18">
        <f t="shared" si="44"/>
        <v>2.7870911999999999</v>
      </c>
      <c r="X310" s="18">
        <f t="shared" si="45"/>
        <v>15.080950483199999</v>
      </c>
      <c r="Y310" s="24">
        <v>35</v>
      </c>
      <c r="Z310" s="24">
        <f t="shared" si="46"/>
        <v>527.833266912</v>
      </c>
      <c r="AA310" s="16">
        <v>5</v>
      </c>
      <c r="AB310" s="16">
        <f t="shared" si="47"/>
        <v>3038</v>
      </c>
      <c r="AC310" s="16">
        <f t="shared" si="47"/>
        <v>904.4</v>
      </c>
      <c r="AD310" s="19">
        <f t="shared" si="48"/>
        <v>2747567.1999999997</v>
      </c>
      <c r="AE310" s="1" t="s">
        <v>7456</v>
      </c>
      <c r="AF310" s="1" t="str">
        <f>VLOOKUP(AE310,t_objeto!B:C,2,FALSE)</f>
        <v>RAW_MATERIAL</v>
      </c>
      <c r="AG310" s="1">
        <v>8</v>
      </c>
      <c r="AH310" s="1" t="str">
        <f>VLOOKUP(AG310,t_entry_status!A:AE,2,FALSE)</f>
        <v>PENDING</v>
      </c>
      <c r="AI310" s="7">
        <v>45560</v>
      </c>
      <c r="AJ310" s="1" t="s">
        <v>7449</v>
      </c>
      <c r="AK310" s="7">
        <v>45560</v>
      </c>
      <c r="AL310" s="1" t="s">
        <v>7449</v>
      </c>
    </row>
    <row r="311" spans="1:38" s="20" customFormat="1" x14ac:dyDescent="0.25">
      <c r="A311" s="14">
        <v>310</v>
      </c>
      <c r="B311" s="14" t="str">
        <f>_xlfn.CONCAT(AE311,"-",VLOOKUP(AE311,t_objeto!B:D,3,FALSE),"-",A311)</f>
        <v>RRMM-PERCCO-310</v>
      </c>
      <c r="C311" s="22" t="str">
        <f t="shared" si="49"/>
        <v>LAMINA_LISA__ACERO_PINTRO_3'X10'_24</v>
      </c>
      <c r="D311" s="14" t="s">
        <v>7407</v>
      </c>
      <c r="E311" s="14" t="s">
        <v>7380</v>
      </c>
      <c r="F311" s="21" t="s">
        <v>7383</v>
      </c>
      <c r="G311" s="22" t="s">
        <v>7382</v>
      </c>
      <c r="H311" s="14">
        <v>24</v>
      </c>
      <c r="I311" s="14">
        <v>0.61</v>
      </c>
      <c r="J311" s="16">
        <f t="shared" si="50"/>
        <v>2.4015748031496063E-2</v>
      </c>
      <c r="K311" s="16">
        <v>5.1589999999999998</v>
      </c>
      <c r="L311" s="23"/>
      <c r="M311" s="23"/>
      <c r="N311" s="23"/>
      <c r="O311" s="23"/>
      <c r="P311" s="23"/>
      <c r="Q311" s="19"/>
      <c r="R311" s="17">
        <v>3</v>
      </c>
      <c r="S311" s="17">
        <v>10</v>
      </c>
      <c r="T311" s="16">
        <f t="shared" si="41"/>
        <v>3048</v>
      </c>
      <c r="U311" s="16">
        <f t="shared" si="42"/>
        <v>914.4</v>
      </c>
      <c r="V311" s="18">
        <f t="shared" si="43"/>
        <v>2787091.1999999997</v>
      </c>
      <c r="W311" s="18">
        <f t="shared" si="44"/>
        <v>2.7870911999999999</v>
      </c>
      <c r="X311" s="18">
        <f t="shared" si="45"/>
        <v>14.378603500799999</v>
      </c>
      <c r="Y311" s="24">
        <v>35</v>
      </c>
      <c r="Z311" s="24">
        <f t="shared" si="46"/>
        <v>503.25112252799994</v>
      </c>
      <c r="AA311" s="16">
        <v>5</v>
      </c>
      <c r="AB311" s="16">
        <f t="shared" si="47"/>
        <v>3038</v>
      </c>
      <c r="AC311" s="16">
        <f t="shared" si="47"/>
        <v>904.4</v>
      </c>
      <c r="AD311" s="19">
        <f t="shared" si="48"/>
        <v>2747567.1999999997</v>
      </c>
      <c r="AE311" s="1" t="s">
        <v>7456</v>
      </c>
      <c r="AF311" s="1" t="str">
        <f>VLOOKUP(AE311,t_objeto!B:C,2,FALSE)</f>
        <v>RAW_MATERIAL</v>
      </c>
      <c r="AG311" s="1">
        <v>8</v>
      </c>
      <c r="AH311" s="1" t="str">
        <f>VLOOKUP(AG311,t_entry_status!A:AE,2,FALSE)</f>
        <v>PENDING</v>
      </c>
      <c r="AI311" s="7">
        <v>45560</v>
      </c>
      <c r="AJ311" s="1" t="s">
        <v>7449</v>
      </c>
      <c r="AK311" s="7">
        <v>45560</v>
      </c>
      <c r="AL311" s="1" t="s">
        <v>7449</v>
      </c>
    </row>
    <row r="312" spans="1:38" s="20" customFormat="1" x14ac:dyDescent="0.25">
      <c r="A312" s="14">
        <v>311</v>
      </c>
      <c r="B312" s="14" t="str">
        <f>_xlfn.CONCAT(AE312,"-",VLOOKUP(AE312,t_objeto!B:D,3,FALSE),"-",A312)</f>
        <v>RRMM-PERCCO-311</v>
      </c>
      <c r="C312" s="22" t="str">
        <f t="shared" si="49"/>
        <v>LAMINA_LISA__ACERO_PINTRO_3'X10'_25</v>
      </c>
      <c r="D312" s="14" t="s">
        <v>7407</v>
      </c>
      <c r="E312" s="14" t="s">
        <v>7380</v>
      </c>
      <c r="F312" s="21" t="s">
        <v>7383</v>
      </c>
      <c r="G312" s="22" t="s">
        <v>7382</v>
      </c>
      <c r="H312" s="14">
        <v>25</v>
      </c>
      <c r="I312" s="16">
        <v>0.53</v>
      </c>
      <c r="J312" s="16">
        <f t="shared" si="50"/>
        <v>2.0866141732283468E-2</v>
      </c>
      <c r="K312" s="16">
        <v>4.2169999999999996</v>
      </c>
      <c r="L312" s="23"/>
      <c r="M312" s="23"/>
      <c r="N312" s="23"/>
      <c r="O312" s="23"/>
      <c r="P312" s="23"/>
      <c r="Q312" s="19"/>
      <c r="R312" s="17">
        <v>3</v>
      </c>
      <c r="S312" s="17">
        <v>10</v>
      </c>
      <c r="T312" s="16">
        <f t="shared" si="41"/>
        <v>3048</v>
      </c>
      <c r="U312" s="16">
        <f t="shared" si="42"/>
        <v>914.4</v>
      </c>
      <c r="V312" s="18">
        <f t="shared" si="43"/>
        <v>2787091.1999999997</v>
      </c>
      <c r="W312" s="18">
        <f t="shared" si="44"/>
        <v>2.7870911999999999</v>
      </c>
      <c r="X312" s="18">
        <f t="shared" si="45"/>
        <v>11.753163590399998</v>
      </c>
      <c r="Y312" s="24">
        <v>35</v>
      </c>
      <c r="Z312" s="24">
        <f t="shared" si="46"/>
        <v>411.36072566399992</v>
      </c>
      <c r="AA312" s="16">
        <v>5</v>
      </c>
      <c r="AB312" s="16">
        <f t="shared" si="47"/>
        <v>3038</v>
      </c>
      <c r="AC312" s="16">
        <f t="shared" si="47"/>
        <v>904.4</v>
      </c>
      <c r="AD312" s="19">
        <f t="shared" si="48"/>
        <v>2747567.1999999997</v>
      </c>
      <c r="AE312" s="1" t="s">
        <v>7456</v>
      </c>
      <c r="AF312" s="1" t="str">
        <f>VLOOKUP(AE312,t_objeto!B:C,2,FALSE)</f>
        <v>RAW_MATERIAL</v>
      </c>
      <c r="AG312" s="1">
        <v>8</v>
      </c>
      <c r="AH312" s="1" t="str">
        <f>VLOOKUP(AG312,t_entry_status!A:AE,2,FALSE)</f>
        <v>PENDING</v>
      </c>
      <c r="AI312" s="7">
        <v>45560</v>
      </c>
      <c r="AJ312" s="1" t="s">
        <v>7449</v>
      </c>
      <c r="AK312" s="7">
        <v>45560</v>
      </c>
      <c r="AL312" s="1" t="s">
        <v>7449</v>
      </c>
    </row>
    <row r="313" spans="1:38" s="20" customFormat="1" x14ac:dyDescent="0.25">
      <c r="A313" s="14">
        <v>312</v>
      </c>
      <c r="B313" s="14" t="str">
        <f>_xlfn.CONCAT(AE313,"-",VLOOKUP(AE313,t_objeto!B:D,3,FALSE),"-",A313)</f>
        <v>RRMM-PERCCO-312</v>
      </c>
      <c r="C313" s="22" t="str">
        <f t="shared" si="49"/>
        <v>LAMINA_LISA__ACERO_PINTRO_3'X10'_26</v>
      </c>
      <c r="D313" s="14" t="s">
        <v>7407</v>
      </c>
      <c r="E313" s="14" t="s">
        <v>7380</v>
      </c>
      <c r="F313" s="21" t="s">
        <v>7383</v>
      </c>
      <c r="G313" s="22" t="s">
        <v>7382</v>
      </c>
      <c r="H313" s="14">
        <v>26</v>
      </c>
      <c r="I313" s="14">
        <v>0.45</v>
      </c>
      <c r="J313" s="16">
        <f t="shared" si="50"/>
        <v>1.7716535433070866E-2</v>
      </c>
      <c r="K313" s="16">
        <f>3.663+0.275</f>
        <v>3.9379999999999997</v>
      </c>
      <c r="L313" s="23"/>
      <c r="M313" s="23"/>
      <c r="N313" s="23"/>
      <c r="O313" s="23"/>
      <c r="P313" s="23"/>
      <c r="Q313" s="19"/>
      <c r="R313" s="17">
        <v>3</v>
      </c>
      <c r="S313" s="17">
        <v>10</v>
      </c>
      <c r="T313" s="16">
        <f t="shared" si="41"/>
        <v>3048</v>
      </c>
      <c r="U313" s="16">
        <f t="shared" si="42"/>
        <v>914.4</v>
      </c>
      <c r="V313" s="18">
        <f t="shared" si="43"/>
        <v>2787091.1999999997</v>
      </c>
      <c r="W313" s="18">
        <f t="shared" si="44"/>
        <v>2.7870911999999999</v>
      </c>
      <c r="X313" s="18">
        <f t="shared" si="45"/>
        <v>10.975565145599999</v>
      </c>
      <c r="Y313" s="24">
        <v>35</v>
      </c>
      <c r="Z313" s="24">
        <f t="shared" si="46"/>
        <v>384.14478009599998</v>
      </c>
      <c r="AA313" s="16">
        <v>5</v>
      </c>
      <c r="AB313" s="16">
        <f t="shared" si="47"/>
        <v>3038</v>
      </c>
      <c r="AC313" s="16">
        <f t="shared" si="47"/>
        <v>904.4</v>
      </c>
      <c r="AD313" s="19">
        <f t="shared" si="48"/>
        <v>2747567.1999999997</v>
      </c>
      <c r="AE313" s="1" t="s">
        <v>7456</v>
      </c>
      <c r="AF313" s="1" t="str">
        <f>VLOOKUP(AE313,t_objeto!B:C,2,FALSE)</f>
        <v>RAW_MATERIAL</v>
      </c>
      <c r="AG313" s="1">
        <v>8</v>
      </c>
      <c r="AH313" s="1" t="str">
        <f>VLOOKUP(AG313,t_entry_status!A:AE,2,FALSE)</f>
        <v>PENDING</v>
      </c>
      <c r="AI313" s="7">
        <v>45560</v>
      </c>
      <c r="AJ313" s="1" t="s">
        <v>7449</v>
      </c>
      <c r="AK313" s="7">
        <v>45560</v>
      </c>
      <c r="AL313" s="1" t="s">
        <v>7449</v>
      </c>
    </row>
    <row r="314" spans="1:38" s="20" customFormat="1" x14ac:dyDescent="0.25">
      <c r="A314" s="14">
        <v>313</v>
      </c>
      <c r="B314" s="14" t="str">
        <f>_xlfn.CONCAT(AE314,"-",VLOOKUP(AE314,t_objeto!B:D,3,FALSE),"-",A314)</f>
        <v>RRMM-PERCCO-313</v>
      </c>
      <c r="C314" s="22" t="str">
        <f t="shared" si="49"/>
        <v>LAMINA_LISA__ACERO_PINTRO_3'X10'_27</v>
      </c>
      <c r="D314" s="14" t="s">
        <v>7407</v>
      </c>
      <c r="E314" s="14" t="s">
        <v>7380</v>
      </c>
      <c r="F314" s="21" t="s">
        <v>7383</v>
      </c>
      <c r="G314" s="22" t="s">
        <v>7382</v>
      </c>
      <c r="H314" s="14">
        <v>27</v>
      </c>
      <c r="I314" s="16">
        <v>0.42</v>
      </c>
      <c r="J314" s="16">
        <f t="shared" si="50"/>
        <v>1.6535433070866142E-2</v>
      </c>
      <c r="K314" s="16">
        <v>3.3420000000000001</v>
      </c>
      <c r="L314" s="23"/>
      <c r="M314" s="23"/>
      <c r="N314" s="23"/>
      <c r="O314" s="23"/>
      <c r="P314" s="23"/>
      <c r="Q314" s="19"/>
      <c r="R314" s="17">
        <v>3</v>
      </c>
      <c r="S314" s="17">
        <v>10</v>
      </c>
      <c r="T314" s="16">
        <f t="shared" si="41"/>
        <v>3048</v>
      </c>
      <c r="U314" s="16">
        <f t="shared" si="42"/>
        <v>914.4</v>
      </c>
      <c r="V314" s="18">
        <f t="shared" si="43"/>
        <v>2787091.1999999997</v>
      </c>
      <c r="W314" s="18">
        <f t="shared" si="44"/>
        <v>2.7870911999999999</v>
      </c>
      <c r="X314" s="18">
        <f t="shared" si="45"/>
        <v>9.3144587903999998</v>
      </c>
      <c r="Y314" s="24">
        <v>35</v>
      </c>
      <c r="Z314" s="24">
        <f t="shared" si="46"/>
        <v>326.00605766399997</v>
      </c>
      <c r="AA314" s="16">
        <v>5</v>
      </c>
      <c r="AB314" s="16">
        <f t="shared" si="47"/>
        <v>3038</v>
      </c>
      <c r="AC314" s="16">
        <f t="shared" si="47"/>
        <v>904.4</v>
      </c>
      <c r="AD314" s="19">
        <f t="shared" si="48"/>
        <v>2747567.1999999997</v>
      </c>
      <c r="AE314" s="1" t="s">
        <v>7456</v>
      </c>
      <c r="AF314" s="1" t="str">
        <f>VLOOKUP(AE314,t_objeto!B:C,2,FALSE)</f>
        <v>RAW_MATERIAL</v>
      </c>
      <c r="AG314" s="1">
        <v>8</v>
      </c>
      <c r="AH314" s="1" t="str">
        <f>VLOOKUP(AG314,t_entry_status!A:AE,2,FALSE)</f>
        <v>PENDING</v>
      </c>
      <c r="AI314" s="7">
        <v>45560</v>
      </c>
      <c r="AJ314" s="1" t="s">
        <v>7449</v>
      </c>
      <c r="AK314" s="7">
        <v>45560</v>
      </c>
      <c r="AL314" s="1" t="s">
        <v>7449</v>
      </c>
    </row>
    <row r="315" spans="1:38" s="20" customFormat="1" x14ac:dyDescent="0.25">
      <c r="A315" s="14">
        <v>314</v>
      </c>
      <c r="B315" s="14" t="str">
        <f>_xlfn.CONCAT(AE315,"-",VLOOKUP(AE315,t_objeto!B:D,3,FALSE),"-",A315)</f>
        <v>RRMM-PERCCO-314</v>
      </c>
      <c r="C315" s="22" t="str">
        <f t="shared" si="49"/>
        <v>LAMINA_LISA__ACERO_PINTRO_3'X10'_28</v>
      </c>
      <c r="D315" s="14" t="s">
        <v>7407</v>
      </c>
      <c r="E315" s="14" t="s">
        <v>7380</v>
      </c>
      <c r="F315" s="21" t="s">
        <v>7383</v>
      </c>
      <c r="G315" s="22" t="s">
        <v>7382</v>
      </c>
      <c r="H315" s="14">
        <v>28</v>
      </c>
      <c r="I315" s="14">
        <v>0.38</v>
      </c>
      <c r="J315" s="16">
        <f t="shared" si="50"/>
        <v>1.4960629921259844E-2</v>
      </c>
      <c r="K315" s="16">
        <v>3.327</v>
      </c>
      <c r="L315" s="23"/>
      <c r="M315" s="23"/>
      <c r="N315" s="23"/>
      <c r="O315" s="23"/>
      <c r="P315" s="23"/>
      <c r="Q315" s="19"/>
      <c r="R315" s="17">
        <v>3</v>
      </c>
      <c r="S315" s="17">
        <v>10</v>
      </c>
      <c r="T315" s="16">
        <f t="shared" si="41"/>
        <v>3048</v>
      </c>
      <c r="U315" s="16">
        <f t="shared" si="42"/>
        <v>914.4</v>
      </c>
      <c r="V315" s="18">
        <f t="shared" si="43"/>
        <v>2787091.1999999997</v>
      </c>
      <c r="W315" s="18">
        <f t="shared" si="44"/>
        <v>2.7870911999999999</v>
      </c>
      <c r="X315" s="18">
        <f t="shared" si="45"/>
        <v>9.2726524224000002</v>
      </c>
      <c r="Y315" s="24">
        <v>35</v>
      </c>
      <c r="Z315" s="24">
        <f t="shared" si="46"/>
        <v>324.54283478399998</v>
      </c>
      <c r="AA315" s="16">
        <v>5</v>
      </c>
      <c r="AB315" s="16">
        <f t="shared" si="47"/>
        <v>3038</v>
      </c>
      <c r="AC315" s="16">
        <f t="shared" si="47"/>
        <v>904.4</v>
      </c>
      <c r="AD315" s="19">
        <f t="shared" si="48"/>
        <v>2747567.1999999997</v>
      </c>
      <c r="AE315" s="1" t="s">
        <v>7456</v>
      </c>
      <c r="AF315" s="1" t="str">
        <f>VLOOKUP(AE315,t_objeto!B:C,2,FALSE)</f>
        <v>RAW_MATERIAL</v>
      </c>
      <c r="AG315" s="1">
        <v>8</v>
      </c>
      <c r="AH315" s="1" t="str">
        <f>VLOOKUP(AG315,t_entry_status!A:AE,2,FALSE)</f>
        <v>PENDING</v>
      </c>
      <c r="AI315" s="7">
        <v>45560</v>
      </c>
      <c r="AJ315" s="1" t="s">
        <v>7449</v>
      </c>
      <c r="AK315" s="7">
        <v>45560</v>
      </c>
      <c r="AL315" s="1" t="s">
        <v>7449</v>
      </c>
    </row>
    <row r="316" spans="1:38" s="20" customFormat="1" x14ac:dyDescent="0.25">
      <c r="A316" s="14">
        <v>315</v>
      </c>
      <c r="B316" s="14" t="str">
        <f>_xlfn.CONCAT(AE316,"-",VLOOKUP(AE316,t_objeto!B:D,3,FALSE),"-",A316)</f>
        <v>RRMM-PERCCO-315</v>
      </c>
      <c r="C316" s="22" t="str">
        <f t="shared" si="49"/>
        <v>LAMINA_LISA__ACERO_PINTRO_3'X10'_29</v>
      </c>
      <c r="D316" s="14" t="s">
        <v>7407</v>
      </c>
      <c r="E316" s="14" t="s">
        <v>7380</v>
      </c>
      <c r="F316" s="21" t="s">
        <v>7383</v>
      </c>
      <c r="G316" s="22" t="s">
        <v>7382</v>
      </c>
      <c r="H316" s="14">
        <v>29</v>
      </c>
      <c r="I316" s="16">
        <v>0.34</v>
      </c>
      <c r="J316" s="16">
        <f t="shared" si="50"/>
        <v>1.3385826771653545E-2</v>
      </c>
      <c r="K316" s="16">
        <v>2.706</v>
      </c>
      <c r="L316" s="23"/>
      <c r="M316" s="23"/>
      <c r="N316" s="23"/>
      <c r="O316" s="23"/>
      <c r="P316" s="23"/>
      <c r="Q316" s="19"/>
      <c r="R316" s="17">
        <v>3</v>
      </c>
      <c r="S316" s="17">
        <v>10</v>
      </c>
      <c r="T316" s="16">
        <f t="shared" si="41"/>
        <v>3048</v>
      </c>
      <c r="U316" s="16">
        <f t="shared" si="42"/>
        <v>914.4</v>
      </c>
      <c r="V316" s="18">
        <f t="shared" si="43"/>
        <v>2787091.1999999997</v>
      </c>
      <c r="W316" s="18">
        <f t="shared" si="44"/>
        <v>2.7870911999999999</v>
      </c>
      <c r="X316" s="18">
        <f t="shared" si="45"/>
        <v>7.5418687871999994</v>
      </c>
      <c r="Y316" s="24">
        <v>35</v>
      </c>
      <c r="Z316" s="24">
        <f t="shared" si="46"/>
        <v>263.96540755199999</v>
      </c>
      <c r="AA316" s="16">
        <v>5</v>
      </c>
      <c r="AB316" s="16">
        <f t="shared" si="47"/>
        <v>3038</v>
      </c>
      <c r="AC316" s="16">
        <f t="shared" si="47"/>
        <v>904.4</v>
      </c>
      <c r="AD316" s="19">
        <f t="shared" si="48"/>
        <v>2747567.1999999997</v>
      </c>
      <c r="AE316" s="1" t="s">
        <v>7456</v>
      </c>
      <c r="AF316" s="1" t="str">
        <f>VLOOKUP(AE316,t_objeto!B:C,2,FALSE)</f>
        <v>RAW_MATERIAL</v>
      </c>
      <c r="AG316" s="1">
        <v>8</v>
      </c>
      <c r="AH316" s="1" t="str">
        <f>VLOOKUP(AG316,t_entry_status!A:AE,2,FALSE)</f>
        <v>PENDING</v>
      </c>
      <c r="AI316" s="7">
        <v>45560</v>
      </c>
      <c r="AJ316" s="1" t="s">
        <v>7449</v>
      </c>
      <c r="AK316" s="7">
        <v>45560</v>
      </c>
      <c r="AL316" s="1" t="s">
        <v>7449</v>
      </c>
    </row>
    <row r="317" spans="1:38" s="20" customFormat="1" x14ac:dyDescent="0.25">
      <c r="A317" s="14">
        <v>316</v>
      </c>
      <c r="B317" s="14" t="str">
        <f>_xlfn.CONCAT(AE317,"-",VLOOKUP(AE317,t_objeto!B:D,3,FALSE),"-",A317)</f>
        <v>RRMM-PERCCO-316</v>
      </c>
      <c r="C317" s="22" t="str">
        <f t="shared" si="49"/>
        <v>LAMINA_LISA__ACERO_PINTRO_3'X10'_30</v>
      </c>
      <c r="D317" s="14" t="s">
        <v>7407</v>
      </c>
      <c r="E317" s="14" t="s">
        <v>7380</v>
      </c>
      <c r="F317" s="21" t="s">
        <v>7383</v>
      </c>
      <c r="G317" s="22" t="s">
        <v>7382</v>
      </c>
      <c r="H317" s="14">
        <v>30</v>
      </c>
      <c r="I317" s="14">
        <v>0.3</v>
      </c>
      <c r="J317" s="16">
        <f t="shared" si="50"/>
        <v>1.1811023622047244E-2</v>
      </c>
      <c r="K317" s="16">
        <v>2.673</v>
      </c>
      <c r="L317" s="23"/>
      <c r="M317" s="23"/>
      <c r="N317" s="23"/>
      <c r="O317" s="23"/>
      <c r="P317" s="23"/>
      <c r="Q317" s="19"/>
      <c r="R317" s="17">
        <v>3</v>
      </c>
      <c r="S317" s="17">
        <v>10</v>
      </c>
      <c r="T317" s="16">
        <f t="shared" si="41"/>
        <v>3048</v>
      </c>
      <c r="U317" s="16">
        <f t="shared" si="42"/>
        <v>914.4</v>
      </c>
      <c r="V317" s="18">
        <f t="shared" si="43"/>
        <v>2787091.1999999997</v>
      </c>
      <c r="W317" s="18">
        <f t="shared" si="44"/>
        <v>2.7870911999999999</v>
      </c>
      <c r="X317" s="18">
        <f t="shared" si="45"/>
        <v>7.4498947776</v>
      </c>
      <c r="Y317" s="24">
        <v>35</v>
      </c>
      <c r="Z317" s="24">
        <f t="shared" si="46"/>
        <v>260.74631721600002</v>
      </c>
      <c r="AA317" s="16">
        <v>5</v>
      </c>
      <c r="AB317" s="16">
        <f t="shared" si="47"/>
        <v>3038</v>
      </c>
      <c r="AC317" s="16">
        <f t="shared" si="47"/>
        <v>904.4</v>
      </c>
      <c r="AD317" s="19">
        <f t="shared" si="48"/>
        <v>2747567.1999999997</v>
      </c>
      <c r="AE317" s="1" t="s">
        <v>7456</v>
      </c>
      <c r="AF317" s="1" t="str">
        <f>VLOOKUP(AE317,t_objeto!B:C,2,FALSE)</f>
        <v>RAW_MATERIAL</v>
      </c>
      <c r="AG317" s="1">
        <v>8</v>
      </c>
      <c r="AH317" s="1" t="str">
        <f>VLOOKUP(AG317,t_entry_status!A:AE,2,FALSE)</f>
        <v>PENDING</v>
      </c>
      <c r="AI317" s="7">
        <v>45560</v>
      </c>
      <c r="AJ317" s="1" t="s">
        <v>7449</v>
      </c>
      <c r="AK317" s="7">
        <v>45560</v>
      </c>
      <c r="AL317" s="1" t="s">
        <v>7449</v>
      </c>
    </row>
    <row r="318" spans="1:38" s="20" customFormat="1" x14ac:dyDescent="0.25">
      <c r="A318" s="14">
        <v>317</v>
      </c>
      <c r="B318" s="14" t="str">
        <f>_xlfn.CONCAT(AE318,"-",VLOOKUP(AE318,t_objeto!B:D,3,FALSE),"-",A318)</f>
        <v>RRMM-PERCCO-317</v>
      </c>
      <c r="C318" s="22" t="str">
        <f t="shared" si="49"/>
        <v>LAMINA_LISA__ACERO_PINTRO_4'X6'_10</v>
      </c>
      <c r="D318" s="14" t="s">
        <v>7407</v>
      </c>
      <c r="E318" s="14" t="s">
        <v>7380</v>
      </c>
      <c r="F318" s="21" t="s">
        <v>7383</v>
      </c>
      <c r="G318" s="22" t="s">
        <v>7384</v>
      </c>
      <c r="H318" s="14">
        <v>10</v>
      </c>
      <c r="I318" s="14">
        <v>3.42</v>
      </c>
      <c r="J318" s="16">
        <f t="shared" si="50"/>
        <v>0.13464566929133859</v>
      </c>
      <c r="K318" s="16">
        <v>27.106999999999999</v>
      </c>
      <c r="L318" s="23"/>
      <c r="M318" s="23"/>
      <c r="N318" s="23"/>
      <c r="O318" s="23"/>
      <c r="P318" s="23"/>
      <c r="Q318" s="19"/>
      <c r="R318" s="17">
        <v>4</v>
      </c>
      <c r="S318" s="17">
        <v>6</v>
      </c>
      <c r="T318" s="16">
        <f t="shared" si="41"/>
        <v>1828.8</v>
      </c>
      <c r="U318" s="16">
        <f t="shared" si="42"/>
        <v>1219.1999999999998</v>
      </c>
      <c r="V318" s="18">
        <f t="shared" si="43"/>
        <v>2229672.9599999995</v>
      </c>
      <c r="W318" s="18">
        <f t="shared" si="44"/>
        <v>2.2296729599999994</v>
      </c>
      <c r="X318" s="18">
        <f t="shared" si="45"/>
        <v>60.439744926719982</v>
      </c>
      <c r="Y318" s="24">
        <v>35</v>
      </c>
      <c r="Z318" s="24">
        <f t="shared" si="46"/>
        <v>2115.3910724351995</v>
      </c>
      <c r="AA318" s="16">
        <v>5</v>
      </c>
      <c r="AB318" s="16">
        <f t="shared" si="47"/>
        <v>1818.8</v>
      </c>
      <c r="AC318" s="16">
        <f t="shared" si="47"/>
        <v>1209.1999999999998</v>
      </c>
      <c r="AD318" s="19">
        <f t="shared" si="48"/>
        <v>2199292.9599999995</v>
      </c>
      <c r="AE318" s="1" t="s">
        <v>7456</v>
      </c>
      <c r="AF318" s="1" t="str">
        <f>VLOOKUP(AE318,t_objeto!B:C,2,FALSE)</f>
        <v>RAW_MATERIAL</v>
      </c>
      <c r="AG318" s="1">
        <v>8</v>
      </c>
      <c r="AH318" s="1" t="str">
        <f>VLOOKUP(AG318,t_entry_status!A:AE,2,FALSE)</f>
        <v>PENDING</v>
      </c>
      <c r="AI318" s="7">
        <v>45560</v>
      </c>
      <c r="AJ318" s="1" t="s">
        <v>7449</v>
      </c>
      <c r="AK318" s="7">
        <v>45560</v>
      </c>
      <c r="AL318" s="1" t="s">
        <v>7449</v>
      </c>
    </row>
    <row r="319" spans="1:38" s="20" customFormat="1" x14ac:dyDescent="0.25">
      <c r="A319" s="14">
        <v>318</v>
      </c>
      <c r="B319" s="14" t="str">
        <f>_xlfn.CONCAT(AE319,"-",VLOOKUP(AE319,t_objeto!B:D,3,FALSE),"-",A319)</f>
        <v>RRMM-PERCCO-318</v>
      </c>
      <c r="C319" s="22" t="str">
        <f t="shared" si="49"/>
        <v>LAMINA_LISA__ACERO_PINTRO_4'X6'_11</v>
      </c>
      <c r="D319" s="14" t="s">
        <v>7407</v>
      </c>
      <c r="E319" s="14" t="s">
        <v>7380</v>
      </c>
      <c r="F319" s="21" t="s">
        <v>7383</v>
      </c>
      <c r="G319" s="22" t="s">
        <v>7384</v>
      </c>
      <c r="H319" s="14">
        <v>11</v>
      </c>
      <c r="I319" s="16">
        <v>3.04</v>
      </c>
      <c r="J319" s="16">
        <f t="shared" si="50"/>
        <v>0.11968503937007875</v>
      </c>
      <c r="K319" s="16">
        <v>24.190999999999999</v>
      </c>
      <c r="L319" s="23"/>
      <c r="M319" s="23"/>
      <c r="N319" s="23"/>
      <c r="O319" s="23"/>
      <c r="P319" s="23"/>
      <c r="Q319" s="19"/>
      <c r="R319" s="17">
        <v>4</v>
      </c>
      <c r="S319" s="17">
        <v>6</v>
      </c>
      <c r="T319" s="16">
        <f t="shared" si="41"/>
        <v>1828.8</v>
      </c>
      <c r="U319" s="16">
        <f t="shared" si="42"/>
        <v>1219.1999999999998</v>
      </c>
      <c r="V319" s="18">
        <f t="shared" si="43"/>
        <v>2229672.9599999995</v>
      </c>
      <c r="W319" s="18">
        <f t="shared" si="44"/>
        <v>2.2296729599999994</v>
      </c>
      <c r="X319" s="18">
        <f t="shared" si="45"/>
        <v>53.938018575359983</v>
      </c>
      <c r="Y319" s="24">
        <v>35</v>
      </c>
      <c r="Z319" s="24">
        <f t="shared" si="46"/>
        <v>1887.8306501375994</v>
      </c>
      <c r="AA319" s="16">
        <v>5</v>
      </c>
      <c r="AB319" s="16">
        <f t="shared" si="47"/>
        <v>1818.8</v>
      </c>
      <c r="AC319" s="16">
        <f t="shared" si="47"/>
        <v>1209.1999999999998</v>
      </c>
      <c r="AD319" s="19">
        <f t="shared" si="48"/>
        <v>2199292.9599999995</v>
      </c>
      <c r="AE319" s="1" t="s">
        <v>7456</v>
      </c>
      <c r="AF319" s="1" t="str">
        <f>VLOOKUP(AE319,t_objeto!B:C,2,FALSE)</f>
        <v>RAW_MATERIAL</v>
      </c>
      <c r="AG319" s="1">
        <v>8</v>
      </c>
      <c r="AH319" s="1" t="str">
        <f>VLOOKUP(AG319,t_entry_status!A:AE,2,FALSE)</f>
        <v>PENDING</v>
      </c>
      <c r="AI319" s="7">
        <v>45560</v>
      </c>
      <c r="AJ319" s="1" t="s">
        <v>7449</v>
      </c>
      <c r="AK319" s="7">
        <v>45560</v>
      </c>
      <c r="AL319" s="1" t="s">
        <v>7449</v>
      </c>
    </row>
    <row r="320" spans="1:38" s="20" customFormat="1" x14ac:dyDescent="0.25">
      <c r="A320" s="14">
        <v>319</v>
      </c>
      <c r="B320" s="14" t="str">
        <f>_xlfn.CONCAT(AE320,"-",VLOOKUP(AE320,t_objeto!B:D,3,FALSE),"-",A320)</f>
        <v>RRMM-PERCCO-319</v>
      </c>
      <c r="C320" s="22" t="str">
        <f t="shared" si="49"/>
        <v>LAMINA_LISA__ACERO_PINTRO_4'X6'_12</v>
      </c>
      <c r="D320" s="14" t="s">
        <v>7407</v>
      </c>
      <c r="E320" s="14" t="s">
        <v>7380</v>
      </c>
      <c r="F320" s="21" t="s">
        <v>7383</v>
      </c>
      <c r="G320" s="22" t="s">
        <v>7384</v>
      </c>
      <c r="H320" s="14">
        <v>12</v>
      </c>
      <c r="I320" s="14">
        <v>2.66</v>
      </c>
      <c r="J320" s="16">
        <f t="shared" si="50"/>
        <v>0.1047244094488189</v>
      </c>
      <c r="K320" s="16">
        <v>21.641999999999999</v>
      </c>
      <c r="L320" s="23"/>
      <c r="M320" s="23"/>
      <c r="N320" s="23"/>
      <c r="O320" s="23"/>
      <c r="P320" s="23"/>
      <c r="Q320" s="19"/>
      <c r="R320" s="17">
        <v>4</v>
      </c>
      <c r="S320" s="17">
        <v>6</v>
      </c>
      <c r="T320" s="16">
        <f t="shared" si="41"/>
        <v>1828.8</v>
      </c>
      <c r="U320" s="16">
        <f t="shared" si="42"/>
        <v>1219.1999999999998</v>
      </c>
      <c r="V320" s="18">
        <f t="shared" si="43"/>
        <v>2229672.9599999995</v>
      </c>
      <c r="W320" s="18">
        <f t="shared" si="44"/>
        <v>2.2296729599999994</v>
      </c>
      <c r="X320" s="18">
        <f t="shared" si="45"/>
        <v>48.254582200319987</v>
      </c>
      <c r="Y320" s="24">
        <v>35</v>
      </c>
      <c r="Z320" s="24">
        <f t="shared" si="46"/>
        <v>1688.9103770111997</v>
      </c>
      <c r="AA320" s="16">
        <v>5</v>
      </c>
      <c r="AB320" s="16">
        <f t="shared" si="47"/>
        <v>1818.8</v>
      </c>
      <c r="AC320" s="16">
        <f t="shared" si="47"/>
        <v>1209.1999999999998</v>
      </c>
      <c r="AD320" s="19">
        <f t="shared" si="48"/>
        <v>2199292.9599999995</v>
      </c>
      <c r="AE320" s="1" t="s">
        <v>7456</v>
      </c>
      <c r="AF320" s="1" t="str">
        <f>VLOOKUP(AE320,t_objeto!B:C,2,FALSE)</f>
        <v>RAW_MATERIAL</v>
      </c>
      <c r="AG320" s="1">
        <v>8</v>
      </c>
      <c r="AH320" s="1" t="str">
        <f>VLOOKUP(AG320,t_entry_status!A:AE,2,FALSE)</f>
        <v>PENDING</v>
      </c>
      <c r="AI320" s="7">
        <v>45560</v>
      </c>
      <c r="AJ320" s="1" t="s">
        <v>7449</v>
      </c>
      <c r="AK320" s="7">
        <v>45560</v>
      </c>
      <c r="AL320" s="1" t="s">
        <v>7449</v>
      </c>
    </row>
    <row r="321" spans="1:38" s="20" customFormat="1" x14ac:dyDescent="0.25">
      <c r="A321" s="14">
        <v>320</v>
      </c>
      <c r="B321" s="14" t="str">
        <f>_xlfn.CONCAT(AE321,"-",VLOOKUP(AE321,t_objeto!B:D,3,FALSE),"-",A321)</f>
        <v>RRMM-PERCCO-320</v>
      </c>
      <c r="C321" s="22" t="str">
        <f t="shared" si="49"/>
        <v>LAMINA_LISA__ACERO_PINTRO_4'X6'_13</v>
      </c>
      <c r="D321" s="14" t="s">
        <v>7407</v>
      </c>
      <c r="E321" s="14" t="s">
        <v>7380</v>
      </c>
      <c r="F321" s="21" t="s">
        <v>7383</v>
      </c>
      <c r="G321" s="22" t="s">
        <v>7384</v>
      </c>
      <c r="H321" s="14">
        <v>13</v>
      </c>
      <c r="I321" s="16">
        <v>2.2799999999999998</v>
      </c>
      <c r="J321" s="16">
        <f t="shared" si="50"/>
        <v>8.9763779527559054E-2</v>
      </c>
      <c r="K321" s="16">
        <v>18.143000000000001</v>
      </c>
      <c r="L321" s="23"/>
      <c r="M321" s="23"/>
      <c r="N321" s="23"/>
      <c r="O321" s="23"/>
      <c r="P321" s="23"/>
      <c r="Q321" s="19"/>
      <c r="R321" s="17">
        <v>4</v>
      </c>
      <c r="S321" s="17">
        <v>6</v>
      </c>
      <c r="T321" s="16">
        <f t="shared" si="41"/>
        <v>1828.8</v>
      </c>
      <c r="U321" s="16">
        <f t="shared" si="42"/>
        <v>1219.1999999999998</v>
      </c>
      <c r="V321" s="18">
        <f t="shared" si="43"/>
        <v>2229672.9599999995</v>
      </c>
      <c r="W321" s="18">
        <f t="shared" si="44"/>
        <v>2.2296729599999994</v>
      </c>
      <c r="X321" s="18">
        <f t="shared" si="45"/>
        <v>40.452956513279993</v>
      </c>
      <c r="Y321" s="24">
        <v>35</v>
      </c>
      <c r="Z321" s="24">
        <f t="shared" si="46"/>
        <v>1415.8534779647998</v>
      </c>
      <c r="AA321" s="16">
        <v>5</v>
      </c>
      <c r="AB321" s="16">
        <f t="shared" si="47"/>
        <v>1818.8</v>
      </c>
      <c r="AC321" s="16">
        <f t="shared" si="47"/>
        <v>1209.1999999999998</v>
      </c>
      <c r="AD321" s="19">
        <f t="shared" si="48"/>
        <v>2199292.9599999995</v>
      </c>
      <c r="AE321" s="1" t="s">
        <v>7456</v>
      </c>
      <c r="AF321" s="1" t="str">
        <f>VLOOKUP(AE321,t_objeto!B:C,2,FALSE)</f>
        <v>RAW_MATERIAL</v>
      </c>
      <c r="AG321" s="1">
        <v>8</v>
      </c>
      <c r="AH321" s="1" t="str">
        <f>VLOOKUP(AG321,t_entry_status!A:AE,2,FALSE)</f>
        <v>PENDING</v>
      </c>
      <c r="AI321" s="7">
        <v>45560</v>
      </c>
      <c r="AJ321" s="1" t="s">
        <v>7449</v>
      </c>
      <c r="AK321" s="7">
        <v>45560</v>
      </c>
      <c r="AL321" s="1" t="s">
        <v>7449</v>
      </c>
    </row>
    <row r="322" spans="1:38" s="20" customFormat="1" ht="18.75" x14ac:dyDescent="0.3">
      <c r="A322" s="14">
        <v>321</v>
      </c>
      <c r="B322" s="14" t="str">
        <f>_xlfn.CONCAT(AE322,"-",VLOOKUP(AE322,t_objeto!B:D,3,FALSE),"-",A322)</f>
        <v>RRMM-PERCCO-321</v>
      </c>
      <c r="C322" s="22" t="str">
        <f t="shared" si="49"/>
        <v>LAMINA_LISA__ACERO_PINTRO_4'X6'_14</v>
      </c>
      <c r="D322" s="14" t="s">
        <v>7407</v>
      </c>
      <c r="E322" s="14" t="s">
        <v>7380</v>
      </c>
      <c r="F322" s="21" t="s">
        <v>7383</v>
      </c>
      <c r="G322" s="22" t="s">
        <v>7384</v>
      </c>
      <c r="H322" s="14">
        <v>14</v>
      </c>
      <c r="I322" s="14">
        <v>1.9</v>
      </c>
      <c r="J322" s="16">
        <f t="shared" si="50"/>
        <v>7.4803149606299218E-2</v>
      </c>
      <c r="K322" s="25">
        <v>16.928999999999998</v>
      </c>
      <c r="L322" s="23"/>
      <c r="M322" s="23"/>
      <c r="N322" s="23"/>
      <c r="O322" s="23"/>
      <c r="P322" s="23"/>
      <c r="Q322" s="19"/>
      <c r="R322" s="17">
        <v>4</v>
      </c>
      <c r="S322" s="17">
        <v>6</v>
      </c>
      <c r="T322" s="16">
        <f t="shared" ref="T322:T385" si="51">S322*12*25.4</f>
        <v>1828.8</v>
      </c>
      <c r="U322" s="16">
        <f t="shared" ref="U322:U385" si="52">R322*12*25.4</f>
        <v>1219.1999999999998</v>
      </c>
      <c r="V322" s="18">
        <f t="shared" ref="V322:V385" si="53">T322*U322</f>
        <v>2229672.9599999995</v>
      </c>
      <c r="W322" s="18">
        <f t="shared" ref="W322:W385" si="54">V322/1000000</f>
        <v>2.2296729599999994</v>
      </c>
      <c r="X322" s="18">
        <f t="shared" ref="X322:X385" si="55">K322*W322</f>
        <v>37.746133539839988</v>
      </c>
      <c r="Y322" s="24">
        <v>35</v>
      </c>
      <c r="Z322" s="24">
        <f t="shared" ref="Z322:Z385" si="56">X322*Y322</f>
        <v>1321.1146738943996</v>
      </c>
      <c r="AA322" s="16">
        <v>5</v>
      </c>
      <c r="AB322" s="16">
        <f t="shared" ref="AB322:AC385" si="57">T322-($AA322*2)</f>
        <v>1818.8</v>
      </c>
      <c r="AC322" s="16">
        <f t="shared" si="57"/>
        <v>1209.1999999999998</v>
      </c>
      <c r="AD322" s="19">
        <f t="shared" ref="AD322:AD385" si="58">AB322*AC322</f>
        <v>2199292.9599999995</v>
      </c>
      <c r="AE322" s="1" t="s">
        <v>7456</v>
      </c>
      <c r="AF322" s="1" t="str">
        <f>VLOOKUP(AE322,t_objeto!B:C,2,FALSE)</f>
        <v>RAW_MATERIAL</v>
      </c>
      <c r="AG322" s="1">
        <v>8</v>
      </c>
      <c r="AH322" s="1" t="str">
        <f>VLOOKUP(AG322,t_entry_status!A:AE,2,FALSE)</f>
        <v>PENDING</v>
      </c>
      <c r="AI322" s="7">
        <v>45560</v>
      </c>
      <c r="AJ322" s="1" t="s">
        <v>7449</v>
      </c>
      <c r="AK322" s="7">
        <v>45560</v>
      </c>
      <c r="AL322" s="1" t="s">
        <v>7449</v>
      </c>
    </row>
    <row r="323" spans="1:38" s="20" customFormat="1" x14ac:dyDescent="0.25">
      <c r="A323" s="14">
        <v>322</v>
      </c>
      <c r="B323" s="14" t="str">
        <f>_xlfn.CONCAT(AE323,"-",VLOOKUP(AE323,t_objeto!B:D,3,FALSE),"-",A323)</f>
        <v>RRMM-PERCCO-322</v>
      </c>
      <c r="C323" s="22" t="str">
        <f t="shared" ref="C323:C386" si="59">_xlfn.CONCAT(D323,"_","_",E323,"_",F323,"_",R323,"'","X",S323,"'","_",H323)</f>
        <v>LAMINA_LISA__ACERO_PINTRO_4'X6'_15</v>
      </c>
      <c r="D323" s="14" t="s">
        <v>7407</v>
      </c>
      <c r="E323" s="14" t="s">
        <v>7380</v>
      </c>
      <c r="F323" s="21" t="s">
        <v>7383</v>
      </c>
      <c r="G323" s="22" t="s">
        <v>7384</v>
      </c>
      <c r="H323" s="14">
        <v>15</v>
      </c>
      <c r="I323" s="16">
        <v>1.71</v>
      </c>
      <c r="J323" s="16">
        <f t="shared" si="50"/>
        <v>6.7322834645669294E-2</v>
      </c>
      <c r="K323" s="16">
        <v>13.606999999999999</v>
      </c>
      <c r="L323" s="23"/>
      <c r="M323" s="23"/>
      <c r="N323" s="23"/>
      <c r="O323" s="23"/>
      <c r="P323" s="23"/>
      <c r="Q323" s="19"/>
      <c r="R323" s="17">
        <v>4</v>
      </c>
      <c r="S323" s="17">
        <v>6</v>
      </c>
      <c r="T323" s="16">
        <f t="shared" si="51"/>
        <v>1828.8</v>
      </c>
      <c r="U323" s="16">
        <f t="shared" si="52"/>
        <v>1219.1999999999998</v>
      </c>
      <c r="V323" s="18">
        <f t="shared" si="53"/>
        <v>2229672.9599999995</v>
      </c>
      <c r="W323" s="18">
        <f t="shared" si="54"/>
        <v>2.2296729599999994</v>
      </c>
      <c r="X323" s="18">
        <f t="shared" si="55"/>
        <v>30.33915996671999</v>
      </c>
      <c r="Y323" s="24">
        <v>35</v>
      </c>
      <c r="Z323" s="24">
        <f t="shared" si="56"/>
        <v>1061.8705988351996</v>
      </c>
      <c r="AA323" s="16">
        <v>5</v>
      </c>
      <c r="AB323" s="16">
        <f t="shared" si="57"/>
        <v>1818.8</v>
      </c>
      <c r="AC323" s="16">
        <f t="shared" si="57"/>
        <v>1209.1999999999998</v>
      </c>
      <c r="AD323" s="19">
        <f t="shared" si="58"/>
        <v>2199292.9599999995</v>
      </c>
      <c r="AE323" s="1" t="s">
        <v>7456</v>
      </c>
      <c r="AF323" s="1" t="str">
        <f>VLOOKUP(AE323,t_objeto!B:C,2,FALSE)</f>
        <v>RAW_MATERIAL</v>
      </c>
      <c r="AG323" s="1">
        <v>8</v>
      </c>
      <c r="AH323" s="1" t="str">
        <f>VLOOKUP(AG323,t_entry_status!A:AE,2,FALSE)</f>
        <v>PENDING</v>
      </c>
      <c r="AI323" s="7">
        <v>45560</v>
      </c>
      <c r="AJ323" s="1" t="s">
        <v>7449</v>
      </c>
      <c r="AK323" s="7">
        <v>45560</v>
      </c>
      <c r="AL323" s="1" t="s">
        <v>7449</v>
      </c>
    </row>
    <row r="324" spans="1:38" s="20" customFormat="1" x14ac:dyDescent="0.25">
      <c r="A324" s="14">
        <v>323</v>
      </c>
      <c r="B324" s="14" t="str">
        <f>_xlfn.CONCAT(AE324,"-",VLOOKUP(AE324,t_objeto!B:D,3,FALSE),"-",A324)</f>
        <v>RRMM-PERCCO-323</v>
      </c>
      <c r="C324" s="22" t="str">
        <f t="shared" si="59"/>
        <v>LAMINA_LISA__ACERO_PINTRO_4'X6'_16</v>
      </c>
      <c r="D324" s="14" t="s">
        <v>7407</v>
      </c>
      <c r="E324" s="14" t="s">
        <v>7380</v>
      </c>
      <c r="F324" s="21" t="s">
        <v>7383</v>
      </c>
      <c r="G324" s="22" t="s">
        <v>7384</v>
      </c>
      <c r="H324" s="14">
        <v>16</v>
      </c>
      <c r="I324" s="14">
        <v>1.52</v>
      </c>
      <c r="J324" s="16">
        <f t="shared" si="50"/>
        <v>5.9842519685039376E-2</v>
      </c>
      <c r="K324" s="16">
        <v>12.484999999999999</v>
      </c>
      <c r="L324" s="23"/>
      <c r="M324" s="23"/>
      <c r="N324" s="23"/>
      <c r="O324" s="23"/>
      <c r="P324" s="23"/>
      <c r="Q324" s="19"/>
      <c r="R324" s="17">
        <v>4</v>
      </c>
      <c r="S324" s="17">
        <v>6</v>
      </c>
      <c r="T324" s="16">
        <f t="shared" si="51"/>
        <v>1828.8</v>
      </c>
      <c r="U324" s="16">
        <f t="shared" si="52"/>
        <v>1219.1999999999998</v>
      </c>
      <c r="V324" s="18">
        <f t="shared" si="53"/>
        <v>2229672.9599999995</v>
      </c>
      <c r="W324" s="18">
        <f t="shared" si="54"/>
        <v>2.2296729599999994</v>
      </c>
      <c r="X324" s="18">
        <f t="shared" si="55"/>
        <v>27.837466905599992</v>
      </c>
      <c r="Y324" s="24">
        <v>35</v>
      </c>
      <c r="Z324" s="24">
        <f t="shared" si="56"/>
        <v>974.31134169599977</v>
      </c>
      <c r="AA324" s="16">
        <v>5</v>
      </c>
      <c r="AB324" s="16">
        <f t="shared" si="57"/>
        <v>1818.8</v>
      </c>
      <c r="AC324" s="16">
        <f t="shared" si="57"/>
        <v>1209.1999999999998</v>
      </c>
      <c r="AD324" s="19">
        <f t="shared" si="58"/>
        <v>2199292.9599999995</v>
      </c>
      <c r="AE324" s="1" t="s">
        <v>7456</v>
      </c>
      <c r="AF324" s="1" t="str">
        <f>VLOOKUP(AE324,t_objeto!B:C,2,FALSE)</f>
        <v>RAW_MATERIAL</v>
      </c>
      <c r="AG324" s="1">
        <v>8</v>
      </c>
      <c r="AH324" s="1" t="str">
        <f>VLOOKUP(AG324,t_entry_status!A:AE,2,FALSE)</f>
        <v>PENDING</v>
      </c>
      <c r="AI324" s="7">
        <v>45560</v>
      </c>
      <c r="AJ324" s="1" t="s">
        <v>7449</v>
      </c>
      <c r="AK324" s="7">
        <v>45560</v>
      </c>
      <c r="AL324" s="1" t="s">
        <v>7449</v>
      </c>
    </row>
    <row r="325" spans="1:38" s="20" customFormat="1" x14ac:dyDescent="0.25">
      <c r="A325" s="14">
        <v>324</v>
      </c>
      <c r="B325" s="14" t="str">
        <f>_xlfn.CONCAT(AE325,"-",VLOOKUP(AE325,t_objeto!B:D,3,FALSE),"-",A325)</f>
        <v>RRMM-PERCCO-324</v>
      </c>
      <c r="C325" s="22" t="str">
        <f t="shared" si="59"/>
        <v>LAMINA_LISA__ACERO_PINTRO_4'X6'_17</v>
      </c>
      <c r="D325" s="14" t="s">
        <v>7407</v>
      </c>
      <c r="E325" s="14" t="s">
        <v>7380</v>
      </c>
      <c r="F325" s="21" t="s">
        <v>7383</v>
      </c>
      <c r="G325" s="22" t="s">
        <v>7384</v>
      </c>
      <c r="H325" s="14">
        <v>17</v>
      </c>
      <c r="I325" s="16">
        <v>1.37</v>
      </c>
      <c r="J325" s="16">
        <f t="shared" si="50"/>
        <v>5.3937007874015758E-2</v>
      </c>
      <c r="K325" s="16">
        <v>10.901999999999999</v>
      </c>
      <c r="L325" s="23"/>
      <c r="M325" s="23"/>
      <c r="N325" s="23"/>
      <c r="O325" s="23"/>
      <c r="P325" s="23"/>
      <c r="Q325" s="19"/>
      <c r="R325" s="17">
        <v>4</v>
      </c>
      <c r="S325" s="17">
        <v>6</v>
      </c>
      <c r="T325" s="16">
        <f t="shared" si="51"/>
        <v>1828.8</v>
      </c>
      <c r="U325" s="16">
        <f t="shared" si="52"/>
        <v>1219.1999999999998</v>
      </c>
      <c r="V325" s="18">
        <f t="shared" si="53"/>
        <v>2229672.9599999995</v>
      </c>
      <c r="W325" s="18">
        <f t="shared" si="54"/>
        <v>2.2296729599999994</v>
      </c>
      <c r="X325" s="18">
        <f t="shared" si="55"/>
        <v>24.307894609919991</v>
      </c>
      <c r="Y325" s="24">
        <v>35</v>
      </c>
      <c r="Z325" s="24">
        <f t="shared" si="56"/>
        <v>850.77631134719968</v>
      </c>
      <c r="AA325" s="16">
        <v>5</v>
      </c>
      <c r="AB325" s="16">
        <f t="shared" si="57"/>
        <v>1818.8</v>
      </c>
      <c r="AC325" s="16">
        <f t="shared" si="57"/>
        <v>1209.1999999999998</v>
      </c>
      <c r="AD325" s="19">
        <f t="shared" si="58"/>
        <v>2199292.9599999995</v>
      </c>
      <c r="AE325" s="1" t="s">
        <v>7456</v>
      </c>
      <c r="AF325" s="1" t="str">
        <f>VLOOKUP(AE325,t_objeto!B:C,2,FALSE)</f>
        <v>RAW_MATERIAL</v>
      </c>
      <c r="AG325" s="1">
        <v>8</v>
      </c>
      <c r="AH325" s="1" t="str">
        <f>VLOOKUP(AG325,t_entry_status!A:AE,2,FALSE)</f>
        <v>PENDING</v>
      </c>
      <c r="AI325" s="7">
        <v>45560</v>
      </c>
      <c r="AJ325" s="1" t="s">
        <v>7449</v>
      </c>
      <c r="AK325" s="7">
        <v>45560</v>
      </c>
      <c r="AL325" s="1" t="s">
        <v>7449</v>
      </c>
    </row>
    <row r="326" spans="1:38" s="20" customFormat="1" x14ac:dyDescent="0.25">
      <c r="A326" s="14">
        <v>325</v>
      </c>
      <c r="B326" s="14" t="str">
        <f>_xlfn.CONCAT(AE326,"-",VLOOKUP(AE326,t_objeto!B:D,3,FALSE),"-",A326)</f>
        <v>RRMM-PERCCO-325</v>
      </c>
      <c r="C326" s="22" t="str">
        <f t="shared" si="59"/>
        <v>LAMINA_LISA__ACERO_PINTRO_4'X6'_18</v>
      </c>
      <c r="D326" s="14" t="s">
        <v>7407</v>
      </c>
      <c r="E326" s="14" t="s">
        <v>7380</v>
      </c>
      <c r="F326" s="21" t="s">
        <v>7383</v>
      </c>
      <c r="G326" s="22" t="s">
        <v>7384</v>
      </c>
      <c r="H326" s="14">
        <v>18</v>
      </c>
      <c r="I326" s="14">
        <v>1.21</v>
      </c>
      <c r="J326" s="16">
        <f t="shared" si="50"/>
        <v>4.7637795275590554E-2</v>
      </c>
      <c r="K326" s="16">
        <v>10.042999999999999</v>
      </c>
      <c r="L326" s="23"/>
      <c r="M326" s="23"/>
      <c r="N326" s="23"/>
      <c r="O326" s="23"/>
      <c r="P326" s="23"/>
      <c r="Q326" s="19"/>
      <c r="R326" s="17">
        <v>4</v>
      </c>
      <c r="S326" s="17">
        <v>6</v>
      </c>
      <c r="T326" s="16">
        <f t="shared" si="51"/>
        <v>1828.8</v>
      </c>
      <c r="U326" s="16">
        <f t="shared" si="52"/>
        <v>1219.1999999999998</v>
      </c>
      <c r="V326" s="18">
        <f t="shared" si="53"/>
        <v>2229672.9599999995</v>
      </c>
      <c r="W326" s="18">
        <f t="shared" si="54"/>
        <v>2.2296729599999994</v>
      </c>
      <c r="X326" s="18">
        <f t="shared" si="55"/>
        <v>22.392605537279991</v>
      </c>
      <c r="Y326" s="24">
        <v>35</v>
      </c>
      <c r="Z326" s="24">
        <f t="shared" si="56"/>
        <v>783.74119380479965</v>
      </c>
      <c r="AA326" s="16">
        <v>5</v>
      </c>
      <c r="AB326" s="16">
        <f t="shared" si="57"/>
        <v>1818.8</v>
      </c>
      <c r="AC326" s="16">
        <f t="shared" si="57"/>
        <v>1209.1999999999998</v>
      </c>
      <c r="AD326" s="19">
        <f t="shared" si="58"/>
        <v>2199292.9599999995</v>
      </c>
      <c r="AE326" s="1" t="s">
        <v>7456</v>
      </c>
      <c r="AF326" s="1" t="str">
        <f>VLOOKUP(AE326,t_objeto!B:C,2,FALSE)</f>
        <v>RAW_MATERIAL</v>
      </c>
      <c r="AG326" s="1">
        <v>8</v>
      </c>
      <c r="AH326" s="1" t="str">
        <f>VLOOKUP(AG326,t_entry_status!A:AE,2,FALSE)</f>
        <v>PENDING</v>
      </c>
      <c r="AI326" s="7">
        <v>45560</v>
      </c>
      <c r="AJ326" s="1" t="s">
        <v>7449</v>
      </c>
      <c r="AK326" s="7">
        <v>45560</v>
      </c>
      <c r="AL326" s="1" t="s">
        <v>7449</v>
      </c>
    </row>
    <row r="327" spans="1:38" s="20" customFormat="1" x14ac:dyDescent="0.25">
      <c r="A327" s="14">
        <v>326</v>
      </c>
      <c r="B327" s="14" t="str">
        <f>_xlfn.CONCAT(AE327,"-",VLOOKUP(AE327,t_objeto!B:D,3,FALSE),"-",A327)</f>
        <v>RRMM-PERCCO-326</v>
      </c>
      <c r="C327" s="22" t="str">
        <f t="shared" si="59"/>
        <v>LAMINA_LISA__ACERO_PINTRO_4'X6'_19</v>
      </c>
      <c r="D327" s="14" t="s">
        <v>7407</v>
      </c>
      <c r="E327" s="14" t="s">
        <v>7380</v>
      </c>
      <c r="F327" s="21" t="s">
        <v>7383</v>
      </c>
      <c r="G327" s="22" t="s">
        <v>7384</v>
      </c>
      <c r="H327" s="14">
        <v>19</v>
      </c>
      <c r="I327" s="16">
        <v>1.06</v>
      </c>
      <c r="J327" s="16">
        <f t="shared" si="50"/>
        <v>4.1732283464566935E-2</v>
      </c>
      <c r="K327" s="16">
        <v>8.4350000000000005</v>
      </c>
      <c r="L327" s="23"/>
      <c r="M327" s="23"/>
      <c r="N327" s="23"/>
      <c r="O327" s="23"/>
      <c r="P327" s="23"/>
      <c r="Q327" s="19"/>
      <c r="R327" s="17">
        <v>4</v>
      </c>
      <c r="S327" s="17">
        <v>6</v>
      </c>
      <c r="T327" s="16">
        <f t="shared" si="51"/>
        <v>1828.8</v>
      </c>
      <c r="U327" s="16">
        <f t="shared" si="52"/>
        <v>1219.1999999999998</v>
      </c>
      <c r="V327" s="18">
        <f t="shared" si="53"/>
        <v>2229672.9599999995</v>
      </c>
      <c r="W327" s="18">
        <f t="shared" si="54"/>
        <v>2.2296729599999994</v>
      </c>
      <c r="X327" s="18">
        <f t="shared" si="55"/>
        <v>18.807291417599995</v>
      </c>
      <c r="Y327" s="24">
        <v>35</v>
      </c>
      <c r="Z327" s="24">
        <f t="shared" si="56"/>
        <v>658.2551996159998</v>
      </c>
      <c r="AA327" s="16">
        <v>5</v>
      </c>
      <c r="AB327" s="16">
        <f t="shared" si="57"/>
        <v>1818.8</v>
      </c>
      <c r="AC327" s="16">
        <f t="shared" si="57"/>
        <v>1209.1999999999998</v>
      </c>
      <c r="AD327" s="19">
        <f t="shared" si="58"/>
        <v>2199292.9599999995</v>
      </c>
      <c r="AE327" s="1" t="s">
        <v>7456</v>
      </c>
      <c r="AF327" s="1" t="str">
        <f>VLOOKUP(AE327,t_objeto!B:C,2,FALSE)</f>
        <v>RAW_MATERIAL</v>
      </c>
      <c r="AG327" s="1">
        <v>8</v>
      </c>
      <c r="AH327" s="1" t="str">
        <f>VLOOKUP(AG327,t_entry_status!A:AE,2,FALSE)</f>
        <v>PENDING</v>
      </c>
      <c r="AI327" s="7">
        <v>45560</v>
      </c>
      <c r="AJ327" s="1" t="s">
        <v>7449</v>
      </c>
      <c r="AK327" s="7">
        <v>45560</v>
      </c>
      <c r="AL327" s="1" t="s">
        <v>7449</v>
      </c>
    </row>
    <row r="328" spans="1:38" s="20" customFormat="1" x14ac:dyDescent="0.25">
      <c r="A328" s="14">
        <v>327</v>
      </c>
      <c r="B328" s="14" t="str">
        <f>_xlfn.CONCAT(AE328,"-",VLOOKUP(AE328,t_objeto!B:D,3,FALSE),"-",A328)</f>
        <v>RRMM-PERCCO-327</v>
      </c>
      <c r="C328" s="22" t="str">
        <f t="shared" si="59"/>
        <v>LAMINA_LISA__ACERO_PINTRO_4'X6'_20</v>
      </c>
      <c r="D328" s="14" t="s">
        <v>7407</v>
      </c>
      <c r="E328" s="14" t="s">
        <v>7380</v>
      </c>
      <c r="F328" s="21" t="s">
        <v>7383</v>
      </c>
      <c r="G328" s="22" t="s">
        <v>7384</v>
      </c>
      <c r="H328" s="14">
        <v>20</v>
      </c>
      <c r="I328" s="14">
        <v>0.91</v>
      </c>
      <c r="J328" s="16">
        <f t="shared" si="50"/>
        <v>3.582677165354331E-2</v>
      </c>
      <c r="K328" s="16">
        <v>7.601</v>
      </c>
      <c r="L328" s="23"/>
      <c r="M328" s="23"/>
      <c r="N328" s="23"/>
      <c r="O328" s="23"/>
      <c r="P328" s="23"/>
      <c r="Q328" s="19"/>
      <c r="R328" s="17">
        <v>4</v>
      </c>
      <c r="S328" s="17">
        <v>6</v>
      </c>
      <c r="T328" s="16">
        <f t="shared" si="51"/>
        <v>1828.8</v>
      </c>
      <c r="U328" s="16">
        <f t="shared" si="52"/>
        <v>1219.1999999999998</v>
      </c>
      <c r="V328" s="18">
        <f t="shared" si="53"/>
        <v>2229672.9599999995</v>
      </c>
      <c r="W328" s="18">
        <f t="shared" si="54"/>
        <v>2.2296729599999994</v>
      </c>
      <c r="X328" s="18">
        <f t="shared" si="55"/>
        <v>16.947744168959996</v>
      </c>
      <c r="Y328" s="24">
        <v>35</v>
      </c>
      <c r="Z328" s="24">
        <f t="shared" si="56"/>
        <v>593.17104591359987</v>
      </c>
      <c r="AA328" s="16">
        <v>5</v>
      </c>
      <c r="AB328" s="16">
        <f t="shared" si="57"/>
        <v>1818.8</v>
      </c>
      <c r="AC328" s="16">
        <f t="shared" si="57"/>
        <v>1209.1999999999998</v>
      </c>
      <c r="AD328" s="19">
        <f t="shared" si="58"/>
        <v>2199292.9599999995</v>
      </c>
      <c r="AE328" s="1" t="s">
        <v>7456</v>
      </c>
      <c r="AF328" s="1" t="str">
        <f>VLOOKUP(AE328,t_objeto!B:C,2,FALSE)</f>
        <v>RAW_MATERIAL</v>
      </c>
      <c r="AG328" s="1">
        <v>8</v>
      </c>
      <c r="AH328" s="1" t="str">
        <f>VLOOKUP(AG328,t_entry_status!A:AE,2,FALSE)</f>
        <v>PENDING</v>
      </c>
      <c r="AI328" s="7">
        <v>45560</v>
      </c>
      <c r="AJ328" s="1" t="s">
        <v>7449</v>
      </c>
      <c r="AK328" s="7">
        <v>45560</v>
      </c>
      <c r="AL328" s="1" t="s">
        <v>7449</v>
      </c>
    </row>
    <row r="329" spans="1:38" s="20" customFormat="1" x14ac:dyDescent="0.25">
      <c r="A329" s="14">
        <v>328</v>
      </c>
      <c r="B329" s="14" t="str">
        <f>_xlfn.CONCAT(AE329,"-",VLOOKUP(AE329,t_objeto!B:D,3,FALSE),"-",A329)</f>
        <v>RRMM-PERCCO-328</v>
      </c>
      <c r="C329" s="22" t="str">
        <f t="shared" si="59"/>
        <v>LAMINA_LISA__ACERO_PINTRO_4'X6'_21</v>
      </c>
      <c r="D329" s="14" t="s">
        <v>7407</v>
      </c>
      <c r="E329" s="14" t="s">
        <v>7380</v>
      </c>
      <c r="F329" s="21" t="s">
        <v>7383</v>
      </c>
      <c r="G329" s="22" t="s">
        <v>7384</v>
      </c>
      <c r="H329" s="14">
        <v>21</v>
      </c>
      <c r="I329" s="16">
        <v>0.84</v>
      </c>
      <c r="J329" s="16">
        <f t="shared" si="50"/>
        <v>3.3070866141732283E-2</v>
      </c>
      <c r="K329" s="16">
        <v>6.6840000000000002</v>
      </c>
      <c r="L329" s="23"/>
      <c r="M329" s="23"/>
      <c r="N329" s="23"/>
      <c r="O329" s="23"/>
      <c r="P329" s="23"/>
      <c r="Q329" s="19"/>
      <c r="R329" s="17">
        <v>4</v>
      </c>
      <c r="S329" s="17">
        <v>6</v>
      </c>
      <c r="T329" s="16">
        <f t="shared" si="51"/>
        <v>1828.8</v>
      </c>
      <c r="U329" s="16">
        <f t="shared" si="52"/>
        <v>1219.1999999999998</v>
      </c>
      <c r="V329" s="18">
        <f t="shared" si="53"/>
        <v>2229672.9599999995</v>
      </c>
      <c r="W329" s="18">
        <f t="shared" si="54"/>
        <v>2.2296729599999994</v>
      </c>
      <c r="X329" s="18">
        <f t="shared" si="55"/>
        <v>14.903134064639996</v>
      </c>
      <c r="Y329" s="24">
        <v>35</v>
      </c>
      <c r="Z329" s="24">
        <f t="shared" si="56"/>
        <v>521.6096922623999</v>
      </c>
      <c r="AA329" s="16">
        <v>5</v>
      </c>
      <c r="AB329" s="16">
        <f t="shared" si="57"/>
        <v>1818.8</v>
      </c>
      <c r="AC329" s="16">
        <f t="shared" si="57"/>
        <v>1209.1999999999998</v>
      </c>
      <c r="AD329" s="19">
        <f t="shared" si="58"/>
        <v>2199292.9599999995</v>
      </c>
      <c r="AE329" s="1" t="s">
        <v>7456</v>
      </c>
      <c r="AF329" s="1" t="str">
        <f>VLOOKUP(AE329,t_objeto!B:C,2,FALSE)</f>
        <v>RAW_MATERIAL</v>
      </c>
      <c r="AG329" s="1">
        <v>8</v>
      </c>
      <c r="AH329" s="1" t="str">
        <f>VLOOKUP(AG329,t_entry_status!A:AE,2,FALSE)</f>
        <v>PENDING</v>
      </c>
      <c r="AI329" s="7">
        <v>45560</v>
      </c>
      <c r="AJ329" s="1" t="s">
        <v>7449</v>
      </c>
      <c r="AK329" s="7">
        <v>45560</v>
      </c>
      <c r="AL329" s="1" t="s">
        <v>7449</v>
      </c>
    </row>
    <row r="330" spans="1:38" s="20" customFormat="1" x14ac:dyDescent="0.25">
      <c r="A330" s="14">
        <v>329</v>
      </c>
      <c r="B330" s="14" t="str">
        <f>_xlfn.CONCAT(AE330,"-",VLOOKUP(AE330,t_objeto!B:D,3,FALSE),"-",A330)</f>
        <v>RRMM-PERCCO-329</v>
      </c>
      <c r="C330" s="22" t="str">
        <f t="shared" si="59"/>
        <v>LAMINA_LISA__ACERO_PINTRO_4'X6'_22</v>
      </c>
      <c r="D330" s="14" t="s">
        <v>7407</v>
      </c>
      <c r="E330" s="14" t="s">
        <v>7380</v>
      </c>
      <c r="F330" s="21" t="s">
        <v>7383</v>
      </c>
      <c r="G330" s="22" t="s">
        <v>7384</v>
      </c>
      <c r="H330" s="14">
        <v>22</v>
      </c>
      <c r="I330" s="14">
        <v>0.76</v>
      </c>
      <c r="J330" s="16">
        <f t="shared" si="50"/>
        <v>2.9921259842519688E-2</v>
      </c>
      <c r="K330" s="16">
        <v>6.38</v>
      </c>
      <c r="L330" s="23"/>
      <c r="M330" s="23"/>
      <c r="N330" s="23"/>
      <c r="O330" s="23"/>
      <c r="P330" s="23"/>
      <c r="Q330" s="19"/>
      <c r="R330" s="17">
        <v>4</v>
      </c>
      <c r="S330" s="17">
        <v>6</v>
      </c>
      <c r="T330" s="16">
        <f t="shared" si="51"/>
        <v>1828.8</v>
      </c>
      <c r="U330" s="16">
        <f t="shared" si="52"/>
        <v>1219.1999999999998</v>
      </c>
      <c r="V330" s="18">
        <f t="shared" si="53"/>
        <v>2229672.9599999995</v>
      </c>
      <c r="W330" s="18">
        <f t="shared" si="54"/>
        <v>2.2296729599999994</v>
      </c>
      <c r="X330" s="18">
        <f t="shared" si="55"/>
        <v>14.225313484799996</v>
      </c>
      <c r="Y330" s="24">
        <v>35</v>
      </c>
      <c r="Z330" s="24">
        <f t="shared" si="56"/>
        <v>497.88597196799986</v>
      </c>
      <c r="AA330" s="16">
        <v>5</v>
      </c>
      <c r="AB330" s="16">
        <f t="shared" si="57"/>
        <v>1818.8</v>
      </c>
      <c r="AC330" s="16">
        <f t="shared" si="57"/>
        <v>1209.1999999999998</v>
      </c>
      <c r="AD330" s="19">
        <f t="shared" si="58"/>
        <v>2199292.9599999995</v>
      </c>
      <c r="AE330" s="1" t="s">
        <v>7456</v>
      </c>
      <c r="AF330" s="1" t="str">
        <f>VLOOKUP(AE330,t_objeto!B:C,2,FALSE)</f>
        <v>RAW_MATERIAL</v>
      </c>
      <c r="AG330" s="1">
        <v>8</v>
      </c>
      <c r="AH330" s="1" t="str">
        <f>VLOOKUP(AG330,t_entry_status!A:AE,2,FALSE)</f>
        <v>PENDING</v>
      </c>
      <c r="AI330" s="7">
        <v>45560</v>
      </c>
      <c r="AJ330" s="1" t="s">
        <v>7449</v>
      </c>
      <c r="AK330" s="7">
        <v>45560</v>
      </c>
      <c r="AL330" s="1" t="s">
        <v>7449</v>
      </c>
    </row>
    <row r="331" spans="1:38" s="20" customFormat="1" x14ac:dyDescent="0.25">
      <c r="A331" s="14">
        <v>330</v>
      </c>
      <c r="B331" s="14" t="str">
        <f>_xlfn.CONCAT(AE331,"-",VLOOKUP(AE331,t_objeto!B:D,3,FALSE),"-",A331)</f>
        <v>RRMM-PERCCO-330</v>
      </c>
      <c r="C331" s="22" t="str">
        <f t="shared" si="59"/>
        <v>LAMINA_LISA__ACERO_PINTRO_4'X6'_23</v>
      </c>
      <c r="D331" s="14" t="s">
        <v>7407</v>
      </c>
      <c r="E331" s="14" t="s">
        <v>7380</v>
      </c>
      <c r="F331" s="21" t="s">
        <v>7383</v>
      </c>
      <c r="G331" s="22" t="s">
        <v>7384</v>
      </c>
      <c r="H331" s="14">
        <v>23</v>
      </c>
      <c r="I331" s="16">
        <v>0.68</v>
      </c>
      <c r="J331" s="16">
        <f t="shared" si="50"/>
        <v>2.677165354330709E-2</v>
      </c>
      <c r="K331" s="16">
        <v>5.4109999999999996</v>
      </c>
      <c r="L331" s="23"/>
      <c r="M331" s="23"/>
      <c r="N331" s="23"/>
      <c r="O331" s="23"/>
      <c r="P331" s="23"/>
      <c r="Q331" s="19"/>
      <c r="R331" s="17">
        <v>4</v>
      </c>
      <c r="S331" s="17">
        <v>6</v>
      </c>
      <c r="T331" s="16">
        <f t="shared" si="51"/>
        <v>1828.8</v>
      </c>
      <c r="U331" s="16">
        <f t="shared" si="52"/>
        <v>1219.1999999999998</v>
      </c>
      <c r="V331" s="18">
        <f t="shared" si="53"/>
        <v>2229672.9599999995</v>
      </c>
      <c r="W331" s="18">
        <f t="shared" si="54"/>
        <v>2.2296729599999994</v>
      </c>
      <c r="X331" s="18">
        <f t="shared" si="55"/>
        <v>12.064760386559996</v>
      </c>
      <c r="Y331" s="24">
        <v>35</v>
      </c>
      <c r="Z331" s="24">
        <f t="shared" si="56"/>
        <v>422.26661352959985</v>
      </c>
      <c r="AA331" s="16">
        <v>5</v>
      </c>
      <c r="AB331" s="16">
        <f t="shared" si="57"/>
        <v>1818.8</v>
      </c>
      <c r="AC331" s="16">
        <f t="shared" si="57"/>
        <v>1209.1999999999998</v>
      </c>
      <c r="AD331" s="19">
        <f t="shared" si="58"/>
        <v>2199292.9599999995</v>
      </c>
      <c r="AE331" s="1" t="s">
        <v>7456</v>
      </c>
      <c r="AF331" s="1" t="str">
        <f>VLOOKUP(AE331,t_objeto!B:C,2,FALSE)</f>
        <v>RAW_MATERIAL</v>
      </c>
      <c r="AG331" s="1">
        <v>8</v>
      </c>
      <c r="AH331" s="1" t="str">
        <f>VLOOKUP(AG331,t_entry_status!A:AE,2,FALSE)</f>
        <v>PENDING</v>
      </c>
      <c r="AI331" s="7">
        <v>45560</v>
      </c>
      <c r="AJ331" s="1" t="s">
        <v>7449</v>
      </c>
      <c r="AK331" s="7">
        <v>45560</v>
      </c>
      <c r="AL331" s="1" t="s">
        <v>7449</v>
      </c>
    </row>
    <row r="332" spans="1:38" s="20" customFormat="1" x14ac:dyDescent="0.25">
      <c r="A332" s="14">
        <v>331</v>
      </c>
      <c r="B332" s="14" t="str">
        <f>_xlfn.CONCAT(AE332,"-",VLOOKUP(AE332,t_objeto!B:D,3,FALSE),"-",A332)</f>
        <v>RRMM-PERCCO-331</v>
      </c>
      <c r="C332" s="22" t="str">
        <f t="shared" si="59"/>
        <v>LAMINA_LISA__ACERO_PINTRO_4'X6'_24</v>
      </c>
      <c r="D332" s="14" t="s">
        <v>7407</v>
      </c>
      <c r="E332" s="14" t="s">
        <v>7380</v>
      </c>
      <c r="F332" s="21" t="s">
        <v>7383</v>
      </c>
      <c r="G332" s="22" t="s">
        <v>7384</v>
      </c>
      <c r="H332" s="14">
        <v>24</v>
      </c>
      <c r="I332" s="14">
        <v>0.61</v>
      </c>
      <c r="J332" s="16">
        <f t="shared" si="50"/>
        <v>2.4015748031496063E-2</v>
      </c>
      <c r="K332" s="16">
        <v>5.1589999999999998</v>
      </c>
      <c r="L332" s="23"/>
      <c r="M332" s="23"/>
      <c r="N332" s="23"/>
      <c r="O332" s="23"/>
      <c r="P332" s="23"/>
      <c r="Q332" s="19"/>
      <c r="R332" s="17">
        <v>4</v>
      </c>
      <c r="S332" s="17">
        <v>6</v>
      </c>
      <c r="T332" s="16">
        <f t="shared" si="51"/>
        <v>1828.8</v>
      </c>
      <c r="U332" s="16">
        <f t="shared" si="52"/>
        <v>1219.1999999999998</v>
      </c>
      <c r="V332" s="18">
        <f t="shared" si="53"/>
        <v>2229672.9599999995</v>
      </c>
      <c r="W332" s="18">
        <f t="shared" si="54"/>
        <v>2.2296729599999994</v>
      </c>
      <c r="X332" s="18">
        <f t="shared" si="55"/>
        <v>11.502882800639997</v>
      </c>
      <c r="Y332" s="24">
        <v>35</v>
      </c>
      <c r="Z332" s="24">
        <f t="shared" si="56"/>
        <v>402.60089802239986</v>
      </c>
      <c r="AA332" s="16">
        <v>5</v>
      </c>
      <c r="AB332" s="16">
        <f t="shared" si="57"/>
        <v>1818.8</v>
      </c>
      <c r="AC332" s="16">
        <f t="shared" si="57"/>
        <v>1209.1999999999998</v>
      </c>
      <c r="AD332" s="19">
        <f t="shared" si="58"/>
        <v>2199292.9599999995</v>
      </c>
      <c r="AE332" s="1" t="s">
        <v>7456</v>
      </c>
      <c r="AF332" s="1" t="str">
        <f>VLOOKUP(AE332,t_objeto!B:C,2,FALSE)</f>
        <v>RAW_MATERIAL</v>
      </c>
      <c r="AG332" s="1">
        <v>8</v>
      </c>
      <c r="AH332" s="1" t="str">
        <f>VLOOKUP(AG332,t_entry_status!A:AE,2,FALSE)</f>
        <v>PENDING</v>
      </c>
      <c r="AI332" s="7">
        <v>45560</v>
      </c>
      <c r="AJ332" s="1" t="s">
        <v>7449</v>
      </c>
      <c r="AK332" s="7">
        <v>45560</v>
      </c>
      <c r="AL332" s="1" t="s">
        <v>7449</v>
      </c>
    </row>
    <row r="333" spans="1:38" s="20" customFormat="1" x14ac:dyDescent="0.25">
      <c r="A333" s="14">
        <v>332</v>
      </c>
      <c r="B333" s="14" t="str">
        <f>_xlfn.CONCAT(AE333,"-",VLOOKUP(AE333,t_objeto!B:D,3,FALSE),"-",A333)</f>
        <v>RRMM-PERCCO-332</v>
      </c>
      <c r="C333" s="22" t="str">
        <f t="shared" si="59"/>
        <v>LAMINA_LISA__ACERO_PINTRO_4'X6'_25</v>
      </c>
      <c r="D333" s="14" t="s">
        <v>7407</v>
      </c>
      <c r="E333" s="14" t="s">
        <v>7380</v>
      </c>
      <c r="F333" s="21" t="s">
        <v>7383</v>
      </c>
      <c r="G333" s="22" t="s">
        <v>7384</v>
      </c>
      <c r="H333" s="14">
        <v>25</v>
      </c>
      <c r="I333" s="16">
        <v>0.53</v>
      </c>
      <c r="J333" s="16">
        <f t="shared" si="50"/>
        <v>2.0866141732283468E-2</v>
      </c>
      <c r="K333" s="16">
        <v>4.2169999999999996</v>
      </c>
      <c r="L333" s="23"/>
      <c r="M333" s="23"/>
      <c r="N333" s="23"/>
      <c r="O333" s="23"/>
      <c r="P333" s="23"/>
      <c r="Q333" s="19"/>
      <c r="R333" s="17">
        <v>4</v>
      </c>
      <c r="S333" s="17">
        <v>6</v>
      </c>
      <c r="T333" s="16">
        <f t="shared" si="51"/>
        <v>1828.8</v>
      </c>
      <c r="U333" s="16">
        <f t="shared" si="52"/>
        <v>1219.1999999999998</v>
      </c>
      <c r="V333" s="18">
        <f t="shared" si="53"/>
        <v>2229672.9599999995</v>
      </c>
      <c r="W333" s="18">
        <f t="shared" si="54"/>
        <v>2.2296729599999994</v>
      </c>
      <c r="X333" s="18">
        <f t="shared" si="55"/>
        <v>9.4025308723199963</v>
      </c>
      <c r="Y333" s="24">
        <v>35</v>
      </c>
      <c r="Z333" s="24">
        <f t="shared" si="56"/>
        <v>329.08858053119985</v>
      </c>
      <c r="AA333" s="16">
        <v>5</v>
      </c>
      <c r="AB333" s="16">
        <f t="shared" si="57"/>
        <v>1818.8</v>
      </c>
      <c r="AC333" s="16">
        <f t="shared" si="57"/>
        <v>1209.1999999999998</v>
      </c>
      <c r="AD333" s="19">
        <f t="shared" si="58"/>
        <v>2199292.9599999995</v>
      </c>
      <c r="AE333" s="1" t="s">
        <v>7456</v>
      </c>
      <c r="AF333" s="1" t="str">
        <f>VLOOKUP(AE333,t_objeto!B:C,2,FALSE)</f>
        <v>RAW_MATERIAL</v>
      </c>
      <c r="AG333" s="1">
        <v>8</v>
      </c>
      <c r="AH333" s="1" t="str">
        <f>VLOOKUP(AG333,t_entry_status!A:AE,2,FALSE)</f>
        <v>PENDING</v>
      </c>
      <c r="AI333" s="7">
        <v>45560</v>
      </c>
      <c r="AJ333" s="1" t="s">
        <v>7449</v>
      </c>
      <c r="AK333" s="7">
        <v>45560</v>
      </c>
      <c r="AL333" s="1" t="s">
        <v>7449</v>
      </c>
    </row>
    <row r="334" spans="1:38" s="20" customFormat="1" x14ac:dyDescent="0.25">
      <c r="A334" s="14">
        <v>333</v>
      </c>
      <c r="B334" s="14" t="str">
        <f>_xlfn.CONCAT(AE334,"-",VLOOKUP(AE334,t_objeto!B:D,3,FALSE),"-",A334)</f>
        <v>RRMM-PERCCO-333</v>
      </c>
      <c r="C334" s="22" t="str">
        <f t="shared" si="59"/>
        <v>LAMINA_LISA__ACERO_PINTRO_4'X6'_26</v>
      </c>
      <c r="D334" s="14" t="s">
        <v>7407</v>
      </c>
      <c r="E334" s="14" t="s">
        <v>7380</v>
      </c>
      <c r="F334" s="21" t="s">
        <v>7383</v>
      </c>
      <c r="G334" s="22" t="s">
        <v>7384</v>
      </c>
      <c r="H334" s="14">
        <v>26</v>
      </c>
      <c r="I334" s="14">
        <v>0.45</v>
      </c>
      <c r="J334" s="16">
        <f t="shared" si="50"/>
        <v>1.7716535433070866E-2</v>
      </c>
      <c r="K334" s="16">
        <f>3.663+0.275</f>
        <v>3.9379999999999997</v>
      </c>
      <c r="L334" s="23"/>
      <c r="M334" s="23"/>
      <c r="N334" s="23"/>
      <c r="O334" s="23"/>
      <c r="P334" s="23"/>
      <c r="Q334" s="19"/>
      <c r="R334" s="17">
        <v>4</v>
      </c>
      <c r="S334" s="17">
        <v>6</v>
      </c>
      <c r="T334" s="16">
        <f t="shared" si="51"/>
        <v>1828.8</v>
      </c>
      <c r="U334" s="16">
        <f t="shared" si="52"/>
        <v>1219.1999999999998</v>
      </c>
      <c r="V334" s="18">
        <f t="shared" si="53"/>
        <v>2229672.9599999995</v>
      </c>
      <c r="W334" s="18">
        <f t="shared" si="54"/>
        <v>2.2296729599999994</v>
      </c>
      <c r="X334" s="18">
        <f t="shared" si="55"/>
        <v>8.7804521164799976</v>
      </c>
      <c r="Y334" s="24">
        <v>35</v>
      </c>
      <c r="Z334" s="24">
        <f t="shared" si="56"/>
        <v>307.31582407679991</v>
      </c>
      <c r="AA334" s="16">
        <v>5</v>
      </c>
      <c r="AB334" s="16">
        <f t="shared" si="57"/>
        <v>1818.8</v>
      </c>
      <c r="AC334" s="16">
        <f t="shared" si="57"/>
        <v>1209.1999999999998</v>
      </c>
      <c r="AD334" s="19">
        <f t="shared" si="58"/>
        <v>2199292.9599999995</v>
      </c>
      <c r="AE334" s="1" t="s">
        <v>7456</v>
      </c>
      <c r="AF334" s="1" t="str">
        <f>VLOOKUP(AE334,t_objeto!B:C,2,FALSE)</f>
        <v>RAW_MATERIAL</v>
      </c>
      <c r="AG334" s="1">
        <v>8</v>
      </c>
      <c r="AH334" s="1" t="str">
        <f>VLOOKUP(AG334,t_entry_status!A:AE,2,FALSE)</f>
        <v>PENDING</v>
      </c>
      <c r="AI334" s="7">
        <v>45560</v>
      </c>
      <c r="AJ334" s="1" t="s">
        <v>7449</v>
      </c>
      <c r="AK334" s="7">
        <v>45560</v>
      </c>
      <c r="AL334" s="1" t="s">
        <v>7449</v>
      </c>
    </row>
    <row r="335" spans="1:38" s="20" customFormat="1" x14ac:dyDescent="0.25">
      <c r="A335" s="14">
        <v>334</v>
      </c>
      <c r="B335" s="14" t="str">
        <f>_xlfn.CONCAT(AE335,"-",VLOOKUP(AE335,t_objeto!B:D,3,FALSE),"-",A335)</f>
        <v>RRMM-PERCCO-334</v>
      </c>
      <c r="C335" s="22" t="str">
        <f t="shared" si="59"/>
        <v>LAMINA_LISA__ACERO_PINTRO_4'X6'_27</v>
      </c>
      <c r="D335" s="14" t="s">
        <v>7407</v>
      </c>
      <c r="E335" s="14" t="s">
        <v>7380</v>
      </c>
      <c r="F335" s="21" t="s">
        <v>7383</v>
      </c>
      <c r="G335" s="22" t="s">
        <v>7384</v>
      </c>
      <c r="H335" s="14">
        <v>27</v>
      </c>
      <c r="I335" s="16">
        <v>0.42</v>
      </c>
      <c r="J335" s="16">
        <f t="shared" si="50"/>
        <v>1.6535433070866142E-2</v>
      </c>
      <c r="K335" s="16">
        <v>3.3420000000000001</v>
      </c>
      <c r="L335" s="23"/>
      <c r="M335" s="23"/>
      <c r="N335" s="23"/>
      <c r="O335" s="23"/>
      <c r="P335" s="23"/>
      <c r="Q335" s="19"/>
      <c r="R335" s="17">
        <v>4</v>
      </c>
      <c r="S335" s="17">
        <v>6</v>
      </c>
      <c r="T335" s="16">
        <f t="shared" si="51"/>
        <v>1828.8</v>
      </c>
      <c r="U335" s="16">
        <f t="shared" si="52"/>
        <v>1219.1999999999998</v>
      </c>
      <c r="V335" s="18">
        <f t="shared" si="53"/>
        <v>2229672.9599999995</v>
      </c>
      <c r="W335" s="18">
        <f t="shared" si="54"/>
        <v>2.2296729599999994</v>
      </c>
      <c r="X335" s="18">
        <f t="shared" si="55"/>
        <v>7.4515670323199981</v>
      </c>
      <c r="Y335" s="24">
        <v>35</v>
      </c>
      <c r="Z335" s="24">
        <f t="shared" si="56"/>
        <v>260.80484613119995</v>
      </c>
      <c r="AA335" s="16">
        <v>5</v>
      </c>
      <c r="AB335" s="16">
        <f t="shared" si="57"/>
        <v>1818.8</v>
      </c>
      <c r="AC335" s="16">
        <f t="shared" si="57"/>
        <v>1209.1999999999998</v>
      </c>
      <c r="AD335" s="19">
        <f t="shared" si="58"/>
        <v>2199292.9599999995</v>
      </c>
      <c r="AE335" s="1" t="s">
        <v>7456</v>
      </c>
      <c r="AF335" s="1" t="str">
        <f>VLOOKUP(AE335,t_objeto!B:C,2,FALSE)</f>
        <v>RAW_MATERIAL</v>
      </c>
      <c r="AG335" s="1">
        <v>8</v>
      </c>
      <c r="AH335" s="1" t="str">
        <f>VLOOKUP(AG335,t_entry_status!A:AE,2,FALSE)</f>
        <v>PENDING</v>
      </c>
      <c r="AI335" s="7">
        <v>45560</v>
      </c>
      <c r="AJ335" s="1" t="s">
        <v>7449</v>
      </c>
      <c r="AK335" s="7">
        <v>45560</v>
      </c>
      <c r="AL335" s="1" t="s">
        <v>7449</v>
      </c>
    </row>
    <row r="336" spans="1:38" s="20" customFormat="1" x14ac:dyDescent="0.25">
      <c r="A336" s="14">
        <v>335</v>
      </c>
      <c r="B336" s="14" t="str">
        <f>_xlfn.CONCAT(AE336,"-",VLOOKUP(AE336,t_objeto!B:D,3,FALSE),"-",A336)</f>
        <v>RRMM-PERCCO-335</v>
      </c>
      <c r="C336" s="22" t="str">
        <f t="shared" si="59"/>
        <v>LAMINA_LISA__ACERO_PINTRO_4'X6'_28</v>
      </c>
      <c r="D336" s="14" t="s">
        <v>7407</v>
      </c>
      <c r="E336" s="14" t="s">
        <v>7380</v>
      </c>
      <c r="F336" s="21" t="s">
        <v>7383</v>
      </c>
      <c r="G336" s="22" t="s">
        <v>7384</v>
      </c>
      <c r="H336" s="14">
        <v>28</v>
      </c>
      <c r="I336" s="14">
        <v>0.38</v>
      </c>
      <c r="J336" s="16">
        <f t="shared" si="50"/>
        <v>1.4960629921259844E-2</v>
      </c>
      <c r="K336" s="16">
        <v>3.327</v>
      </c>
      <c r="L336" s="23"/>
      <c r="M336" s="23"/>
      <c r="N336" s="23"/>
      <c r="O336" s="23"/>
      <c r="P336" s="23"/>
      <c r="Q336" s="19"/>
      <c r="R336" s="17">
        <v>4</v>
      </c>
      <c r="S336" s="17">
        <v>6</v>
      </c>
      <c r="T336" s="16">
        <f t="shared" si="51"/>
        <v>1828.8</v>
      </c>
      <c r="U336" s="16">
        <f t="shared" si="52"/>
        <v>1219.1999999999998</v>
      </c>
      <c r="V336" s="18">
        <f t="shared" si="53"/>
        <v>2229672.9599999995</v>
      </c>
      <c r="W336" s="18">
        <f t="shared" si="54"/>
        <v>2.2296729599999994</v>
      </c>
      <c r="X336" s="18">
        <f t="shared" si="55"/>
        <v>7.4181219379199979</v>
      </c>
      <c r="Y336" s="24">
        <v>35</v>
      </c>
      <c r="Z336" s="24">
        <f t="shared" si="56"/>
        <v>259.63426782719995</v>
      </c>
      <c r="AA336" s="16">
        <v>5</v>
      </c>
      <c r="AB336" s="16">
        <f t="shared" si="57"/>
        <v>1818.8</v>
      </c>
      <c r="AC336" s="16">
        <f t="shared" si="57"/>
        <v>1209.1999999999998</v>
      </c>
      <c r="AD336" s="19">
        <f t="shared" si="58"/>
        <v>2199292.9599999995</v>
      </c>
      <c r="AE336" s="1" t="s">
        <v>7456</v>
      </c>
      <c r="AF336" s="1" t="str">
        <f>VLOOKUP(AE336,t_objeto!B:C,2,FALSE)</f>
        <v>RAW_MATERIAL</v>
      </c>
      <c r="AG336" s="1">
        <v>8</v>
      </c>
      <c r="AH336" s="1" t="str">
        <f>VLOOKUP(AG336,t_entry_status!A:AE,2,FALSE)</f>
        <v>PENDING</v>
      </c>
      <c r="AI336" s="7">
        <v>45560</v>
      </c>
      <c r="AJ336" s="1" t="s">
        <v>7449</v>
      </c>
      <c r="AK336" s="7">
        <v>45560</v>
      </c>
      <c r="AL336" s="1" t="s">
        <v>7449</v>
      </c>
    </row>
    <row r="337" spans="1:38" s="20" customFormat="1" x14ac:dyDescent="0.25">
      <c r="A337" s="14">
        <v>336</v>
      </c>
      <c r="B337" s="14" t="str">
        <f>_xlfn.CONCAT(AE337,"-",VLOOKUP(AE337,t_objeto!B:D,3,FALSE),"-",A337)</f>
        <v>RRMM-PERCCO-336</v>
      </c>
      <c r="C337" s="22" t="str">
        <f t="shared" si="59"/>
        <v>LAMINA_LISA__ACERO_PINTRO_4'X6'_29</v>
      </c>
      <c r="D337" s="14" t="s">
        <v>7407</v>
      </c>
      <c r="E337" s="14" t="s">
        <v>7380</v>
      </c>
      <c r="F337" s="21" t="s">
        <v>7383</v>
      </c>
      <c r="G337" s="22" t="s">
        <v>7384</v>
      </c>
      <c r="H337" s="14">
        <v>29</v>
      </c>
      <c r="I337" s="16">
        <v>0.34</v>
      </c>
      <c r="J337" s="16">
        <f t="shared" si="50"/>
        <v>1.3385826771653545E-2</v>
      </c>
      <c r="K337" s="16">
        <v>2.706</v>
      </c>
      <c r="L337" s="23"/>
      <c r="M337" s="23"/>
      <c r="N337" s="23"/>
      <c r="O337" s="23"/>
      <c r="P337" s="23"/>
      <c r="Q337" s="19"/>
      <c r="R337" s="17">
        <v>4</v>
      </c>
      <c r="S337" s="17">
        <v>6</v>
      </c>
      <c r="T337" s="16">
        <f t="shared" si="51"/>
        <v>1828.8</v>
      </c>
      <c r="U337" s="16">
        <f t="shared" si="52"/>
        <v>1219.1999999999998</v>
      </c>
      <c r="V337" s="18">
        <f t="shared" si="53"/>
        <v>2229672.9599999995</v>
      </c>
      <c r="W337" s="18">
        <f t="shared" si="54"/>
        <v>2.2296729599999994</v>
      </c>
      <c r="X337" s="18">
        <f t="shared" si="55"/>
        <v>6.0334950297599983</v>
      </c>
      <c r="Y337" s="24">
        <v>35</v>
      </c>
      <c r="Z337" s="24">
        <f t="shared" si="56"/>
        <v>211.17232604159994</v>
      </c>
      <c r="AA337" s="16">
        <v>5</v>
      </c>
      <c r="AB337" s="16">
        <f t="shared" si="57"/>
        <v>1818.8</v>
      </c>
      <c r="AC337" s="16">
        <f t="shared" si="57"/>
        <v>1209.1999999999998</v>
      </c>
      <c r="AD337" s="19">
        <f t="shared" si="58"/>
        <v>2199292.9599999995</v>
      </c>
      <c r="AE337" s="1" t="s">
        <v>7456</v>
      </c>
      <c r="AF337" s="1" t="str">
        <f>VLOOKUP(AE337,t_objeto!B:C,2,FALSE)</f>
        <v>RAW_MATERIAL</v>
      </c>
      <c r="AG337" s="1">
        <v>8</v>
      </c>
      <c r="AH337" s="1" t="str">
        <f>VLOOKUP(AG337,t_entry_status!A:AE,2,FALSE)</f>
        <v>PENDING</v>
      </c>
      <c r="AI337" s="7">
        <v>45560</v>
      </c>
      <c r="AJ337" s="1" t="s">
        <v>7449</v>
      </c>
      <c r="AK337" s="7">
        <v>45560</v>
      </c>
      <c r="AL337" s="1" t="s">
        <v>7449</v>
      </c>
    </row>
    <row r="338" spans="1:38" s="20" customFormat="1" x14ac:dyDescent="0.25">
      <c r="A338" s="14">
        <v>337</v>
      </c>
      <c r="B338" s="14" t="str">
        <f>_xlfn.CONCAT(AE338,"-",VLOOKUP(AE338,t_objeto!B:D,3,FALSE),"-",A338)</f>
        <v>RRMM-PERCCO-337</v>
      </c>
      <c r="C338" s="22" t="str">
        <f t="shared" si="59"/>
        <v>LAMINA_LISA__ACERO_PINTRO_4'X6'_30</v>
      </c>
      <c r="D338" s="14" t="s">
        <v>7407</v>
      </c>
      <c r="E338" s="14" t="s">
        <v>7380</v>
      </c>
      <c r="F338" s="21" t="s">
        <v>7383</v>
      </c>
      <c r="G338" s="22" t="s">
        <v>7384</v>
      </c>
      <c r="H338" s="14">
        <v>30</v>
      </c>
      <c r="I338" s="14">
        <v>0.3</v>
      </c>
      <c r="J338" s="16">
        <f t="shared" ref="J338:J401" si="60">I338/25.4</f>
        <v>1.1811023622047244E-2</v>
      </c>
      <c r="K338" s="16">
        <v>2.673</v>
      </c>
      <c r="L338" s="23"/>
      <c r="M338" s="23"/>
      <c r="N338" s="23"/>
      <c r="O338" s="23"/>
      <c r="P338" s="23"/>
      <c r="Q338" s="19"/>
      <c r="R338" s="17">
        <v>4</v>
      </c>
      <c r="S338" s="17">
        <v>6</v>
      </c>
      <c r="T338" s="16">
        <f t="shared" si="51"/>
        <v>1828.8</v>
      </c>
      <c r="U338" s="16">
        <f t="shared" si="52"/>
        <v>1219.1999999999998</v>
      </c>
      <c r="V338" s="18">
        <f t="shared" si="53"/>
        <v>2229672.9599999995</v>
      </c>
      <c r="W338" s="18">
        <f t="shared" si="54"/>
        <v>2.2296729599999994</v>
      </c>
      <c r="X338" s="18">
        <f t="shared" si="55"/>
        <v>5.9599158220799984</v>
      </c>
      <c r="Y338" s="24">
        <v>35</v>
      </c>
      <c r="Z338" s="24">
        <f t="shared" si="56"/>
        <v>208.59705377279994</v>
      </c>
      <c r="AA338" s="16">
        <v>5</v>
      </c>
      <c r="AB338" s="16">
        <f t="shared" si="57"/>
        <v>1818.8</v>
      </c>
      <c r="AC338" s="16">
        <f t="shared" si="57"/>
        <v>1209.1999999999998</v>
      </c>
      <c r="AD338" s="19">
        <f t="shared" si="58"/>
        <v>2199292.9599999995</v>
      </c>
      <c r="AE338" s="1" t="s">
        <v>7456</v>
      </c>
      <c r="AF338" s="1" t="str">
        <f>VLOOKUP(AE338,t_objeto!B:C,2,FALSE)</f>
        <v>RAW_MATERIAL</v>
      </c>
      <c r="AG338" s="1">
        <v>8</v>
      </c>
      <c r="AH338" s="1" t="str">
        <f>VLOOKUP(AG338,t_entry_status!A:AE,2,FALSE)</f>
        <v>PENDING</v>
      </c>
      <c r="AI338" s="7">
        <v>45560</v>
      </c>
      <c r="AJ338" s="1" t="s">
        <v>7449</v>
      </c>
      <c r="AK338" s="7">
        <v>45560</v>
      </c>
      <c r="AL338" s="1" t="s">
        <v>7449</v>
      </c>
    </row>
    <row r="339" spans="1:38" s="20" customFormat="1" x14ac:dyDescent="0.25">
      <c r="A339" s="14">
        <v>338</v>
      </c>
      <c r="B339" s="14" t="str">
        <f>_xlfn.CONCAT(AE339,"-",VLOOKUP(AE339,t_objeto!B:D,3,FALSE),"-",A339)</f>
        <v>RRMM-PERCCO-338</v>
      </c>
      <c r="C339" s="22" t="str">
        <f t="shared" si="59"/>
        <v>LAMINA_LISA__ACERO_PINTRO_4'X8'_12</v>
      </c>
      <c r="D339" s="14" t="s">
        <v>7407</v>
      </c>
      <c r="E339" s="14" t="s">
        <v>7380</v>
      </c>
      <c r="F339" s="21" t="s">
        <v>7383</v>
      </c>
      <c r="G339" s="22" t="s">
        <v>7382</v>
      </c>
      <c r="H339" s="14">
        <v>12</v>
      </c>
      <c r="I339" s="14">
        <v>2.66</v>
      </c>
      <c r="J339" s="16">
        <f t="shared" si="60"/>
        <v>0.1047244094488189</v>
      </c>
      <c r="K339" s="16">
        <v>21.641999999999999</v>
      </c>
      <c r="L339" s="23"/>
      <c r="M339" s="23"/>
      <c r="N339" s="23"/>
      <c r="O339" s="23"/>
      <c r="P339" s="23"/>
      <c r="Q339" s="19"/>
      <c r="R339" s="17">
        <v>4</v>
      </c>
      <c r="S339" s="17">
        <v>8</v>
      </c>
      <c r="T339" s="16">
        <f t="shared" si="51"/>
        <v>2438.3999999999996</v>
      </c>
      <c r="U339" s="16">
        <f t="shared" si="52"/>
        <v>1219.1999999999998</v>
      </c>
      <c r="V339" s="18">
        <f t="shared" si="53"/>
        <v>2972897.2799999993</v>
      </c>
      <c r="W339" s="18">
        <f t="shared" si="54"/>
        <v>2.9728972799999993</v>
      </c>
      <c r="X339" s="18">
        <f t="shared" si="55"/>
        <v>64.339442933759983</v>
      </c>
      <c r="Y339" s="24">
        <v>35</v>
      </c>
      <c r="Z339" s="24">
        <f t="shared" si="56"/>
        <v>2251.8805026815994</v>
      </c>
      <c r="AA339" s="16">
        <v>5</v>
      </c>
      <c r="AB339" s="16">
        <f t="shared" si="57"/>
        <v>2428.3999999999996</v>
      </c>
      <c r="AC339" s="16">
        <f t="shared" si="57"/>
        <v>1209.1999999999998</v>
      </c>
      <c r="AD339" s="19">
        <f t="shared" si="58"/>
        <v>2936421.2799999993</v>
      </c>
      <c r="AE339" s="1" t="s">
        <v>7456</v>
      </c>
      <c r="AF339" s="1" t="str">
        <f>VLOOKUP(AE339,t_objeto!B:C,2,FALSE)</f>
        <v>RAW_MATERIAL</v>
      </c>
      <c r="AG339" s="1">
        <v>8</v>
      </c>
      <c r="AH339" s="1" t="str">
        <f>VLOOKUP(AG339,t_entry_status!A:AE,2,FALSE)</f>
        <v>PENDING</v>
      </c>
      <c r="AI339" s="7">
        <v>45560</v>
      </c>
      <c r="AJ339" s="1" t="s">
        <v>7449</v>
      </c>
      <c r="AK339" s="7">
        <v>45560</v>
      </c>
      <c r="AL339" s="1" t="s">
        <v>7449</v>
      </c>
    </row>
    <row r="340" spans="1:38" s="20" customFormat="1" x14ac:dyDescent="0.25">
      <c r="A340" s="14">
        <v>339</v>
      </c>
      <c r="B340" s="14" t="str">
        <f>_xlfn.CONCAT(AE340,"-",VLOOKUP(AE340,t_objeto!B:D,3,FALSE),"-",A340)</f>
        <v>RRMM-PERCCO-339</v>
      </c>
      <c r="C340" s="22" t="str">
        <f t="shared" si="59"/>
        <v>LAMINA_LISA__ACERO_PINTRO_4'X8'_13</v>
      </c>
      <c r="D340" s="14" t="s">
        <v>7407</v>
      </c>
      <c r="E340" s="14" t="s">
        <v>7380</v>
      </c>
      <c r="F340" s="21" t="s">
        <v>7383</v>
      </c>
      <c r="G340" s="22" t="s">
        <v>7382</v>
      </c>
      <c r="H340" s="14">
        <v>13</v>
      </c>
      <c r="I340" s="16">
        <v>2.2799999999999998</v>
      </c>
      <c r="J340" s="16">
        <f t="shared" si="60"/>
        <v>8.9763779527559054E-2</v>
      </c>
      <c r="K340" s="16">
        <v>18.143000000000001</v>
      </c>
      <c r="L340" s="23"/>
      <c r="M340" s="23"/>
      <c r="N340" s="23"/>
      <c r="O340" s="23"/>
      <c r="P340" s="23"/>
      <c r="Q340" s="19"/>
      <c r="R340" s="17">
        <v>4</v>
      </c>
      <c r="S340" s="17">
        <v>8</v>
      </c>
      <c r="T340" s="16">
        <f t="shared" si="51"/>
        <v>2438.3999999999996</v>
      </c>
      <c r="U340" s="16">
        <f t="shared" si="52"/>
        <v>1219.1999999999998</v>
      </c>
      <c r="V340" s="18">
        <f t="shared" si="53"/>
        <v>2972897.2799999993</v>
      </c>
      <c r="W340" s="18">
        <f t="shared" si="54"/>
        <v>2.9728972799999993</v>
      </c>
      <c r="X340" s="18">
        <f t="shared" si="55"/>
        <v>53.937275351039986</v>
      </c>
      <c r="Y340" s="24">
        <v>35</v>
      </c>
      <c r="Z340" s="24">
        <f t="shared" si="56"/>
        <v>1887.8046372863996</v>
      </c>
      <c r="AA340" s="16">
        <v>5</v>
      </c>
      <c r="AB340" s="16">
        <f t="shared" si="57"/>
        <v>2428.3999999999996</v>
      </c>
      <c r="AC340" s="16">
        <f t="shared" si="57"/>
        <v>1209.1999999999998</v>
      </c>
      <c r="AD340" s="19">
        <f t="shared" si="58"/>
        <v>2936421.2799999993</v>
      </c>
      <c r="AE340" s="1" t="s">
        <v>7456</v>
      </c>
      <c r="AF340" s="1" t="str">
        <f>VLOOKUP(AE340,t_objeto!B:C,2,FALSE)</f>
        <v>RAW_MATERIAL</v>
      </c>
      <c r="AG340" s="1">
        <v>8</v>
      </c>
      <c r="AH340" s="1" t="str">
        <f>VLOOKUP(AG340,t_entry_status!A:AE,2,FALSE)</f>
        <v>PENDING</v>
      </c>
      <c r="AI340" s="7">
        <v>45560</v>
      </c>
      <c r="AJ340" s="1" t="s">
        <v>7449</v>
      </c>
      <c r="AK340" s="7">
        <v>45560</v>
      </c>
      <c r="AL340" s="1" t="s">
        <v>7449</v>
      </c>
    </row>
    <row r="341" spans="1:38" s="20" customFormat="1" ht="18.75" x14ac:dyDescent="0.3">
      <c r="A341" s="14">
        <v>340</v>
      </c>
      <c r="B341" s="14" t="str">
        <f>_xlfn.CONCAT(AE341,"-",VLOOKUP(AE341,t_objeto!B:D,3,FALSE),"-",A341)</f>
        <v>RRMM-PERCCO-340</v>
      </c>
      <c r="C341" s="22" t="str">
        <f t="shared" si="59"/>
        <v>LAMINA_LISA__ACERO_PINTRO_4'X8'_14</v>
      </c>
      <c r="D341" s="14" t="s">
        <v>7407</v>
      </c>
      <c r="E341" s="14" t="s">
        <v>7380</v>
      </c>
      <c r="F341" s="21" t="s">
        <v>7383</v>
      </c>
      <c r="G341" s="22" t="s">
        <v>7382</v>
      </c>
      <c r="H341" s="14">
        <v>14</v>
      </c>
      <c r="I341" s="14">
        <v>1.9</v>
      </c>
      <c r="J341" s="16">
        <f t="shared" si="60"/>
        <v>7.4803149606299218E-2</v>
      </c>
      <c r="K341" s="25">
        <v>16.928999999999998</v>
      </c>
      <c r="L341" s="23"/>
      <c r="M341" s="23"/>
      <c r="N341" s="23"/>
      <c r="O341" s="23"/>
      <c r="P341" s="23"/>
      <c r="Q341" s="19"/>
      <c r="R341" s="17">
        <v>4</v>
      </c>
      <c r="S341" s="17">
        <v>8</v>
      </c>
      <c r="T341" s="16">
        <f t="shared" si="51"/>
        <v>2438.3999999999996</v>
      </c>
      <c r="U341" s="16">
        <f t="shared" si="52"/>
        <v>1219.1999999999998</v>
      </c>
      <c r="V341" s="18">
        <f t="shared" si="53"/>
        <v>2972897.2799999993</v>
      </c>
      <c r="W341" s="18">
        <f t="shared" si="54"/>
        <v>2.9728972799999993</v>
      </c>
      <c r="X341" s="18">
        <f t="shared" si="55"/>
        <v>50.328178053119984</v>
      </c>
      <c r="Y341" s="24">
        <v>35</v>
      </c>
      <c r="Z341" s="24">
        <f t="shared" si="56"/>
        <v>1761.4862318591995</v>
      </c>
      <c r="AA341" s="16">
        <v>5</v>
      </c>
      <c r="AB341" s="16">
        <f t="shared" si="57"/>
        <v>2428.3999999999996</v>
      </c>
      <c r="AC341" s="16">
        <f t="shared" si="57"/>
        <v>1209.1999999999998</v>
      </c>
      <c r="AD341" s="19">
        <f t="shared" si="58"/>
        <v>2936421.2799999993</v>
      </c>
      <c r="AE341" s="1" t="s">
        <v>7456</v>
      </c>
      <c r="AF341" s="1" t="str">
        <f>VLOOKUP(AE341,t_objeto!B:C,2,FALSE)</f>
        <v>RAW_MATERIAL</v>
      </c>
      <c r="AG341" s="1">
        <v>8</v>
      </c>
      <c r="AH341" s="1" t="str">
        <f>VLOOKUP(AG341,t_entry_status!A:AE,2,FALSE)</f>
        <v>PENDING</v>
      </c>
      <c r="AI341" s="7">
        <v>45560</v>
      </c>
      <c r="AJ341" s="1" t="s">
        <v>7449</v>
      </c>
      <c r="AK341" s="7">
        <v>45560</v>
      </c>
      <c r="AL341" s="1" t="s">
        <v>7449</v>
      </c>
    </row>
    <row r="342" spans="1:38" s="20" customFormat="1" x14ac:dyDescent="0.25">
      <c r="A342" s="14">
        <v>341</v>
      </c>
      <c r="B342" s="14" t="str">
        <f>_xlfn.CONCAT(AE342,"-",VLOOKUP(AE342,t_objeto!B:D,3,FALSE),"-",A342)</f>
        <v>RRMM-PERCCO-341</v>
      </c>
      <c r="C342" s="22" t="str">
        <f t="shared" si="59"/>
        <v>LAMINA_LISA__ACERO_PINTRO_4'X8'_15</v>
      </c>
      <c r="D342" s="14" t="s">
        <v>7407</v>
      </c>
      <c r="E342" s="14" t="s">
        <v>7380</v>
      </c>
      <c r="F342" s="21" t="s">
        <v>7383</v>
      </c>
      <c r="G342" s="22" t="s">
        <v>7382</v>
      </c>
      <c r="H342" s="14">
        <v>15</v>
      </c>
      <c r="I342" s="16">
        <v>1.71</v>
      </c>
      <c r="J342" s="16">
        <f t="shared" si="60"/>
        <v>6.7322834645669294E-2</v>
      </c>
      <c r="K342" s="16">
        <v>13.606999999999999</v>
      </c>
      <c r="L342" s="23"/>
      <c r="M342" s="23"/>
      <c r="N342" s="23"/>
      <c r="O342" s="23"/>
      <c r="P342" s="23"/>
      <c r="Q342" s="19"/>
      <c r="R342" s="17">
        <v>4</v>
      </c>
      <c r="S342" s="17">
        <v>8</v>
      </c>
      <c r="T342" s="16">
        <f t="shared" si="51"/>
        <v>2438.3999999999996</v>
      </c>
      <c r="U342" s="16">
        <f t="shared" si="52"/>
        <v>1219.1999999999998</v>
      </c>
      <c r="V342" s="18">
        <f t="shared" si="53"/>
        <v>2972897.2799999993</v>
      </c>
      <c r="W342" s="18">
        <f t="shared" si="54"/>
        <v>2.9728972799999993</v>
      </c>
      <c r="X342" s="18">
        <f t="shared" si="55"/>
        <v>40.452213288959989</v>
      </c>
      <c r="Y342" s="24">
        <v>35</v>
      </c>
      <c r="Z342" s="24">
        <f t="shared" si="56"/>
        <v>1415.8274651135996</v>
      </c>
      <c r="AA342" s="16">
        <v>5</v>
      </c>
      <c r="AB342" s="16">
        <f t="shared" si="57"/>
        <v>2428.3999999999996</v>
      </c>
      <c r="AC342" s="16">
        <f t="shared" si="57"/>
        <v>1209.1999999999998</v>
      </c>
      <c r="AD342" s="19">
        <f t="shared" si="58"/>
        <v>2936421.2799999993</v>
      </c>
      <c r="AE342" s="1" t="s">
        <v>7456</v>
      </c>
      <c r="AF342" s="1" t="str">
        <f>VLOOKUP(AE342,t_objeto!B:C,2,FALSE)</f>
        <v>RAW_MATERIAL</v>
      </c>
      <c r="AG342" s="1">
        <v>8</v>
      </c>
      <c r="AH342" s="1" t="str">
        <f>VLOOKUP(AG342,t_entry_status!A:AE,2,FALSE)</f>
        <v>PENDING</v>
      </c>
      <c r="AI342" s="7">
        <v>45560</v>
      </c>
      <c r="AJ342" s="1" t="s">
        <v>7449</v>
      </c>
      <c r="AK342" s="7">
        <v>45560</v>
      </c>
      <c r="AL342" s="1" t="s">
        <v>7449</v>
      </c>
    </row>
    <row r="343" spans="1:38" s="20" customFormat="1" x14ac:dyDescent="0.25">
      <c r="A343" s="14">
        <v>342</v>
      </c>
      <c r="B343" s="14" t="str">
        <f>_xlfn.CONCAT(AE343,"-",VLOOKUP(AE343,t_objeto!B:D,3,FALSE),"-",A343)</f>
        <v>RRMM-PERCCO-342</v>
      </c>
      <c r="C343" s="22" t="str">
        <f t="shared" si="59"/>
        <v>LAMINA_LISA__ACERO_PINTRO_4'X8'_16</v>
      </c>
      <c r="D343" s="14" t="s">
        <v>7407</v>
      </c>
      <c r="E343" s="14" t="s">
        <v>7380</v>
      </c>
      <c r="F343" s="21" t="s">
        <v>7383</v>
      </c>
      <c r="G343" s="22" t="s">
        <v>7382</v>
      </c>
      <c r="H343" s="14">
        <v>16</v>
      </c>
      <c r="I343" s="14">
        <v>1.52</v>
      </c>
      <c r="J343" s="16">
        <f t="shared" si="60"/>
        <v>5.9842519685039376E-2</v>
      </c>
      <c r="K343" s="16">
        <v>12.484999999999999</v>
      </c>
      <c r="L343" s="23"/>
      <c r="M343" s="23"/>
      <c r="N343" s="23"/>
      <c r="O343" s="23"/>
      <c r="P343" s="23"/>
      <c r="Q343" s="19"/>
      <c r="R343" s="17">
        <v>4</v>
      </c>
      <c r="S343" s="17">
        <v>8</v>
      </c>
      <c r="T343" s="16">
        <f t="shared" si="51"/>
        <v>2438.3999999999996</v>
      </c>
      <c r="U343" s="16">
        <f t="shared" si="52"/>
        <v>1219.1999999999998</v>
      </c>
      <c r="V343" s="18">
        <f t="shared" si="53"/>
        <v>2972897.2799999993</v>
      </c>
      <c r="W343" s="18">
        <f t="shared" si="54"/>
        <v>2.9728972799999993</v>
      </c>
      <c r="X343" s="18">
        <f t="shared" si="55"/>
        <v>37.116622540799987</v>
      </c>
      <c r="Y343" s="24">
        <v>35</v>
      </c>
      <c r="Z343" s="24">
        <f t="shared" si="56"/>
        <v>1299.0817889279995</v>
      </c>
      <c r="AA343" s="16">
        <v>5</v>
      </c>
      <c r="AB343" s="16">
        <f t="shared" si="57"/>
        <v>2428.3999999999996</v>
      </c>
      <c r="AC343" s="16">
        <f t="shared" si="57"/>
        <v>1209.1999999999998</v>
      </c>
      <c r="AD343" s="19">
        <f t="shared" si="58"/>
        <v>2936421.2799999993</v>
      </c>
      <c r="AE343" s="1" t="s">
        <v>7456</v>
      </c>
      <c r="AF343" s="1" t="str">
        <f>VLOOKUP(AE343,t_objeto!B:C,2,FALSE)</f>
        <v>RAW_MATERIAL</v>
      </c>
      <c r="AG343" s="1">
        <v>8</v>
      </c>
      <c r="AH343" s="1" t="str">
        <f>VLOOKUP(AG343,t_entry_status!A:AE,2,FALSE)</f>
        <v>PENDING</v>
      </c>
      <c r="AI343" s="7">
        <v>45560</v>
      </c>
      <c r="AJ343" s="1" t="s">
        <v>7449</v>
      </c>
      <c r="AK343" s="7">
        <v>45560</v>
      </c>
      <c r="AL343" s="1" t="s">
        <v>7449</v>
      </c>
    </row>
    <row r="344" spans="1:38" s="20" customFormat="1" x14ac:dyDescent="0.25">
      <c r="A344" s="14">
        <v>343</v>
      </c>
      <c r="B344" s="14" t="str">
        <f>_xlfn.CONCAT(AE344,"-",VLOOKUP(AE344,t_objeto!B:D,3,FALSE),"-",A344)</f>
        <v>RRMM-PERCCO-343</v>
      </c>
      <c r="C344" s="22" t="str">
        <f t="shared" si="59"/>
        <v>LAMINA_LISA__ACERO_PINTRO_4'X8'_17</v>
      </c>
      <c r="D344" s="14" t="s">
        <v>7407</v>
      </c>
      <c r="E344" s="14" t="s">
        <v>7380</v>
      </c>
      <c r="F344" s="21" t="s">
        <v>7383</v>
      </c>
      <c r="G344" s="22" t="s">
        <v>7382</v>
      </c>
      <c r="H344" s="14">
        <v>17</v>
      </c>
      <c r="I344" s="16">
        <v>1.37</v>
      </c>
      <c r="J344" s="16">
        <f t="shared" si="60"/>
        <v>5.3937007874015758E-2</v>
      </c>
      <c r="K344" s="16">
        <v>10.901999999999999</v>
      </c>
      <c r="L344" s="23"/>
      <c r="M344" s="23"/>
      <c r="N344" s="23"/>
      <c r="O344" s="23"/>
      <c r="P344" s="23"/>
      <c r="Q344" s="19"/>
      <c r="R344" s="17">
        <v>4</v>
      </c>
      <c r="S344" s="17">
        <v>8</v>
      </c>
      <c r="T344" s="16">
        <f t="shared" si="51"/>
        <v>2438.3999999999996</v>
      </c>
      <c r="U344" s="16">
        <f t="shared" si="52"/>
        <v>1219.1999999999998</v>
      </c>
      <c r="V344" s="18">
        <f t="shared" si="53"/>
        <v>2972897.2799999993</v>
      </c>
      <c r="W344" s="18">
        <f t="shared" si="54"/>
        <v>2.9728972799999993</v>
      </c>
      <c r="X344" s="18">
        <f t="shared" si="55"/>
        <v>32.410526146559988</v>
      </c>
      <c r="Y344" s="24">
        <v>35</v>
      </c>
      <c r="Z344" s="24">
        <f t="shared" si="56"/>
        <v>1134.3684151295995</v>
      </c>
      <c r="AA344" s="16">
        <v>5</v>
      </c>
      <c r="AB344" s="16">
        <f t="shared" si="57"/>
        <v>2428.3999999999996</v>
      </c>
      <c r="AC344" s="16">
        <f t="shared" si="57"/>
        <v>1209.1999999999998</v>
      </c>
      <c r="AD344" s="19">
        <f t="shared" si="58"/>
        <v>2936421.2799999993</v>
      </c>
      <c r="AE344" s="1" t="s">
        <v>7456</v>
      </c>
      <c r="AF344" s="1" t="str">
        <f>VLOOKUP(AE344,t_objeto!B:C,2,FALSE)</f>
        <v>RAW_MATERIAL</v>
      </c>
      <c r="AG344" s="1">
        <v>8</v>
      </c>
      <c r="AH344" s="1" t="str">
        <f>VLOOKUP(AG344,t_entry_status!A:AE,2,FALSE)</f>
        <v>PENDING</v>
      </c>
      <c r="AI344" s="7">
        <v>45560</v>
      </c>
      <c r="AJ344" s="1" t="s">
        <v>7449</v>
      </c>
      <c r="AK344" s="7">
        <v>45560</v>
      </c>
      <c r="AL344" s="1" t="s">
        <v>7449</v>
      </c>
    </row>
    <row r="345" spans="1:38" s="20" customFormat="1" x14ac:dyDescent="0.25">
      <c r="A345" s="14">
        <v>344</v>
      </c>
      <c r="B345" s="14" t="str">
        <f>_xlfn.CONCAT(AE345,"-",VLOOKUP(AE345,t_objeto!B:D,3,FALSE),"-",A345)</f>
        <v>RRMM-PERCCO-344</v>
      </c>
      <c r="C345" s="22" t="str">
        <f t="shared" si="59"/>
        <v>LAMINA_LISA__ACERO_PINTRO_4'X8'_18</v>
      </c>
      <c r="D345" s="14" t="s">
        <v>7407</v>
      </c>
      <c r="E345" s="14" t="s">
        <v>7380</v>
      </c>
      <c r="F345" s="21" t="s">
        <v>7383</v>
      </c>
      <c r="G345" s="22" t="s">
        <v>7382</v>
      </c>
      <c r="H345" s="14">
        <v>18</v>
      </c>
      <c r="I345" s="14">
        <v>1.21</v>
      </c>
      <c r="J345" s="16">
        <f t="shared" si="60"/>
        <v>4.7637795275590554E-2</v>
      </c>
      <c r="K345" s="16">
        <v>10.042999999999999</v>
      </c>
      <c r="L345" s="23"/>
      <c r="M345" s="23"/>
      <c r="N345" s="23"/>
      <c r="O345" s="23"/>
      <c r="P345" s="23"/>
      <c r="Q345" s="19"/>
      <c r="R345" s="17">
        <v>4</v>
      </c>
      <c r="S345" s="17">
        <v>8</v>
      </c>
      <c r="T345" s="16">
        <f t="shared" si="51"/>
        <v>2438.3999999999996</v>
      </c>
      <c r="U345" s="16">
        <f t="shared" si="52"/>
        <v>1219.1999999999998</v>
      </c>
      <c r="V345" s="18">
        <f t="shared" si="53"/>
        <v>2972897.2799999993</v>
      </c>
      <c r="W345" s="18">
        <f t="shared" si="54"/>
        <v>2.9728972799999993</v>
      </c>
      <c r="X345" s="18">
        <f t="shared" si="55"/>
        <v>29.856807383039992</v>
      </c>
      <c r="Y345" s="24">
        <v>35</v>
      </c>
      <c r="Z345" s="24">
        <f t="shared" si="56"/>
        <v>1044.9882584063998</v>
      </c>
      <c r="AA345" s="16">
        <v>5</v>
      </c>
      <c r="AB345" s="16">
        <f t="shared" si="57"/>
        <v>2428.3999999999996</v>
      </c>
      <c r="AC345" s="16">
        <f t="shared" si="57"/>
        <v>1209.1999999999998</v>
      </c>
      <c r="AD345" s="19">
        <f t="shared" si="58"/>
        <v>2936421.2799999993</v>
      </c>
      <c r="AE345" s="1" t="s">
        <v>7456</v>
      </c>
      <c r="AF345" s="1" t="str">
        <f>VLOOKUP(AE345,t_objeto!B:C,2,FALSE)</f>
        <v>RAW_MATERIAL</v>
      </c>
      <c r="AG345" s="1">
        <v>8</v>
      </c>
      <c r="AH345" s="1" t="str">
        <f>VLOOKUP(AG345,t_entry_status!A:AE,2,FALSE)</f>
        <v>PENDING</v>
      </c>
      <c r="AI345" s="7">
        <v>45560</v>
      </c>
      <c r="AJ345" s="1" t="s">
        <v>7449</v>
      </c>
      <c r="AK345" s="7">
        <v>45560</v>
      </c>
      <c r="AL345" s="1" t="s">
        <v>7449</v>
      </c>
    </row>
    <row r="346" spans="1:38" s="20" customFormat="1" x14ac:dyDescent="0.25">
      <c r="A346" s="14">
        <v>345</v>
      </c>
      <c r="B346" s="14" t="str">
        <f>_xlfn.CONCAT(AE346,"-",VLOOKUP(AE346,t_objeto!B:D,3,FALSE),"-",A346)</f>
        <v>RRMM-PERCCO-345</v>
      </c>
      <c r="C346" s="22" t="str">
        <f t="shared" si="59"/>
        <v>LAMINA_LISA__ACERO_PINTRO_4'X8'_19</v>
      </c>
      <c r="D346" s="14" t="s">
        <v>7407</v>
      </c>
      <c r="E346" s="14" t="s">
        <v>7380</v>
      </c>
      <c r="F346" s="21" t="s">
        <v>7383</v>
      </c>
      <c r="G346" s="22" t="s">
        <v>7382</v>
      </c>
      <c r="H346" s="14">
        <v>19</v>
      </c>
      <c r="I346" s="16">
        <v>1.06</v>
      </c>
      <c r="J346" s="16">
        <f t="shared" si="60"/>
        <v>4.1732283464566935E-2</v>
      </c>
      <c r="K346" s="16">
        <v>8.4350000000000005</v>
      </c>
      <c r="L346" s="23"/>
      <c r="M346" s="23"/>
      <c r="N346" s="23"/>
      <c r="O346" s="23"/>
      <c r="P346" s="23"/>
      <c r="Q346" s="19"/>
      <c r="R346" s="17">
        <v>4</v>
      </c>
      <c r="S346" s="17">
        <v>8</v>
      </c>
      <c r="T346" s="16">
        <f t="shared" si="51"/>
        <v>2438.3999999999996</v>
      </c>
      <c r="U346" s="16">
        <f t="shared" si="52"/>
        <v>1219.1999999999998</v>
      </c>
      <c r="V346" s="18">
        <f t="shared" si="53"/>
        <v>2972897.2799999993</v>
      </c>
      <c r="W346" s="18">
        <f t="shared" si="54"/>
        <v>2.9728972799999993</v>
      </c>
      <c r="X346" s="18">
        <f t="shared" si="55"/>
        <v>25.076388556799994</v>
      </c>
      <c r="Y346" s="24">
        <v>35</v>
      </c>
      <c r="Z346" s="24">
        <f t="shared" si="56"/>
        <v>877.67359948799981</v>
      </c>
      <c r="AA346" s="16">
        <v>5</v>
      </c>
      <c r="AB346" s="16">
        <f t="shared" si="57"/>
        <v>2428.3999999999996</v>
      </c>
      <c r="AC346" s="16">
        <f t="shared" si="57"/>
        <v>1209.1999999999998</v>
      </c>
      <c r="AD346" s="19">
        <f t="shared" si="58"/>
        <v>2936421.2799999993</v>
      </c>
      <c r="AE346" s="1" t="s">
        <v>7456</v>
      </c>
      <c r="AF346" s="1" t="str">
        <f>VLOOKUP(AE346,t_objeto!B:C,2,FALSE)</f>
        <v>RAW_MATERIAL</v>
      </c>
      <c r="AG346" s="1">
        <v>8</v>
      </c>
      <c r="AH346" s="1" t="str">
        <f>VLOOKUP(AG346,t_entry_status!A:AE,2,FALSE)</f>
        <v>PENDING</v>
      </c>
      <c r="AI346" s="7">
        <v>45560</v>
      </c>
      <c r="AJ346" s="1" t="s">
        <v>7449</v>
      </c>
      <c r="AK346" s="7">
        <v>45560</v>
      </c>
      <c r="AL346" s="1" t="s">
        <v>7449</v>
      </c>
    </row>
    <row r="347" spans="1:38" s="20" customFormat="1" x14ac:dyDescent="0.25">
      <c r="A347" s="14">
        <v>346</v>
      </c>
      <c r="B347" s="14" t="str">
        <f>_xlfn.CONCAT(AE347,"-",VLOOKUP(AE347,t_objeto!B:D,3,FALSE),"-",A347)</f>
        <v>RRMM-PERCCO-346</v>
      </c>
      <c r="C347" s="22" t="str">
        <f t="shared" si="59"/>
        <v>LAMINA_LISA__ACERO_PINTRO_4'X8'_20</v>
      </c>
      <c r="D347" s="14" t="s">
        <v>7407</v>
      </c>
      <c r="E347" s="14" t="s">
        <v>7380</v>
      </c>
      <c r="F347" s="21" t="s">
        <v>7383</v>
      </c>
      <c r="G347" s="22" t="s">
        <v>7382</v>
      </c>
      <c r="H347" s="14">
        <v>20</v>
      </c>
      <c r="I347" s="14">
        <v>0.91</v>
      </c>
      <c r="J347" s="16">
        <f t="shared" si="60"/>
        <v>3.582677165354331E-2</v>
      </c>
      <c r="K347" s="16">
        <v>7.601</v>
      </c>
      <c r="L347" s="23"/>
      <c r="M347" s="23"/>
      <c r="N347" s="23"/>
      <c r="O347" s="23"/>
      <c r="P347" s="23"/>
      <c r="Q347" s="19"/>
      <c r="R347" s="17">
        <v>4</v>
      </c>
      <c r="S347" s="17">
        <v>8</v>
      </c>
      <c r="T347" s="16">
        <f t="shared" si="51"/>
        <v>2438.3999999999996</v>
      </c>
      <c r="U347" s="16">
        <f t="shared" si="52"/>
        <v>1219.1999999999998</v>
      </c>
      <c r="V347" s="18">
        <f t="shared" si="53"/>
        <v>2972897.2799999993</v>
      </c>
      <c r="W347" s="18">
        <f t="shared" si="54"/>
        <v>2.9728972799999993</v>
      </c>
      <c r="X347" s="18">
        <f t="shared" si="55"/>
        <v>22.596992225279994</v>
      </c>
      <c r="Y347" s="24">
        <v>35</v>
      </c>
      <c r="Z347" s="24">
        <f t="shared" si="56"/>
        <v>790.89472788479975</v>
      </c>
      <c r="AA347" s="16">
        <v>5</v>
      </c>
      <c r="AB347" s="16">
        <f t="shared" si="57"/>
        <v>2428.3999999999996</v>
      </c>
      <c r="AC347" s="16">
        <f t="shared" si="57"/>
        <v>1209.1999999999998</v>
      </c>
      <c r="AD347" s="19">
        <f t="shared" si="58"/>
        <v>2936421.2799999993</v>
      </c>
      <c r="AE347" s="1" t="s">
        <v>7456</v>
      </c>
      <c r="AF347" s="1" t="str">
        <f>VLOOKUP(AE347,t_objeto!B:C,2,FALSE)</f>
        <v>RAW_MATERIAL</v>
      </c>
      <c r="AG347" s="1">
        <v>8</v>
      </c>
      <c r="AH347" s="1" t="str">
        <f>VLOOKUP(AG347,t_entry_status!A:AE,2,FALSE)</f>
        <v>PENDING</v>
      </c>
      <c r="AI347" s="7">
        <v>45560</v>
      </c>
      <c r="AJ347" s="1" t="s">
        <v>7449</v>
      </c>
      <c r="AK347" s="7">
        <v>45560</v>
      </c>
      <c r="AL347" s="1" t="s">
        <v>7449</v>
      </c>
    </row>
    <row r="348" spans="1:38" s="20" customFormat="1" x14ac:dyDescent="0.25">
      <c r="A348" s="14">
        <v>347</v>
      </c>
      <c r="B348" s="14" t="str">
        <f>_xlfn.CONCAT(AE348,"-",VLOOKUP(AE348,t_objeto!B:D,3,FALSE),"-",A348)</f>
        <v>RRMM-PERCCO-347</v>
      </c>
      <c r="C348" s="22" t="str">
        <f t="shared" si="59"/>
        <v>LAMINA_LISA__ACERO_PINTRO_4'X8'_21</v>
      </c>
      <c r="D348" s="14" t="s">
        <v>7407</v>
      </c>
      <c r="E348" s="14" t="s">
        <v>7380</v>
      </c>
      <c r="F348" s="21" t="s">
        <v>7383</v>
      </c>
      <c r="G348" s="22" t="s">
        <v>7382</v>
      </c>
      <c r="H348" s="14">
        <v>21</v>
      </c>
      <c r="I348" s="16">
        <v>0.84</v>
      </c>
      <c r="J348" s="16">
        <f t="shared" si="60"/>
        <v>3.3070866141732283E-2</v>
      </c>
      <c r="K348" s="16">
        <v>6.6840000000000002</v>
      </c>
      <c r="L348" s="23"/>
      <c r="M348" s="23"/>
      <c r="N348" s="23"/>
      <c r="O348" s="23"/>
      <c r="P348" s="23"/>
      <c r="Q348" s="19"/>
      <c r="R348" s="17">
        <v>4</v>
      </c>
      <c r="S348" s="17">
        <v>8</v>
      </c>
      <c r="T348" s="16">
        <f t="shared" si="51"/>
        <v>2438.3999999999996</v>
      </c>
      <c r="U348" s="16">
        <f t="shared" si="52"/>
        <v>1219.1999999999998</v>
      </c>
      <c r="V348" s="18">
        <f t="shared" si="53"/>
        <v>2972897.2799999993</v>
      </c>
      <c r="W348" s="18">
        <f t="shared" si="54"/>
        <v>2.9728972799999993</v>
      </c>
      <c r="X348" s="18">
        <f t="shared" si="55"/>
        <v>19.870845419519995</v>
      </c>
      <c r="Y348" s="24">
        <v>35</v>
      </c>
      <c r="Z348" s="24">
        <f t="shared" si="56"/>
        <v>695.47958968319983</v>
      </c>
      <c r="AA348" s="16">
        <v>5</v>
      </c>
      <c r="AB348" s="16">
        <f t="shared" si="57"/>
        <v>2428.3999999999996</v>
      </c>
      <c r="AC348" s="16">
        <f t="shared" si="57"/>
        <v>1209.1999999999998</v>
      </c>
      <c r="AD348" s="19">
        <f t="shared" si="58"/>
        <v>2936421.2799999993</v>
      </c>
      <c r="AE348" s="1" t="s">
        <v>7456</v>
      </c>
      <c r="AF348" s="1" t="str">
        <f>VLOOKUP(AE348,t_objeto!B:C,2,FALSE)</f>
        <v>RAW_MATERIAL</v>
      </c>
      <c r="AG348" s="1">
        <v>8</v>
      </c>
      <c r="AH348" s="1" t="str">
        <f>VLOOKUP(AG348,t_entry_status!A:AE,2,FALSE)</f>
        <v>PENDING</v>
      </c>
      <c r="AI348" s="7">
        <v>45560</v>
      </c>
      <c r="AJ348" s="1" t="s">
        <v>7449</v>
      </c>
      <c r="AK348" s="7">
        <v>45560</v>
      </c>
      <c r="AL348" s="1" t="s">
        <v>7449</v>
      </c>
    </row>
    <row r="349" spans="1:38" s="20" customFormat="1" x14ac:dyDescent="0.25">
      <c r="A349" s="14">
        <v>348</v>
      </c>
      <c r="B349" s="14" t="str">
        <f>_xlfn.CONCAT(AE349,"-",VLOOKUP(AE349,t_objeto!B:D,3,FALSE),"-",A349)</f>
        <v>RRMM-PERCCO-348</v>
      </c>
      <c r="C349" s="22" t="str">
        <f t="shared" si="59"/>
        <v>LAMINA_LISA__ACERO_PINTRO_4'X8'_22</v>
      </c>
      <c r="D349" s="14" t="s">
        <v>7407</v>
      </c>
      <c r="E349" s="14" t="s">
        <v>7380</v>
      </c>
      <c r="F349" s="21" t="s">
        <v>7383</v>
      </c>
      <c r="G349" s="22" t="s">
        <v>7382</v>
      </c>
      <c r="H349" s="14">
        <v>22</v>
      </c>
      <c r="I349" s="14">
        <v>0.76</v>
      </c>
      <c r="J349" s="16">
        <f t="shared" si="60"/>
        <v>2.9921259842519688E-2</v>
      </c>
      <c r="K349" s="16">
        <v>6.38</v>
      </c>
      <c r="L349" s="23"/>
      <c r="M349" s="23"/>
      <c r="N349" s="23"/>
      <c r="O349" s="23"/>
      <c r="P349" s="23"/>
      <c r="Q349" s="19"/>
      <c r="R349" s="17">
        <v>4</v>
      </c>
      <c r="S349" s="17">
        <v>8</v>
      </c>
      <c r="T349" s="16">
        <f t="shared" si="51"/>
        <v>2438.3999999999996</v>
      </c>
      <c r="U349" s="16">
        <f t="shared" si="52"/>
        <v>1219.1999999999998</v>
      </c>
      <c r="V349" s="18">
        <f t="shared" si="53"/>
        <v>2972897.2799999993</v>
      </c>
      <c r="W349" s="18">
        <f t="shared" si="54"/>
        <v>2.9728972799999993</v>
      </c>
      <c r="X349" s="18">
        <f t="shared" si="55"/>
        <v>18.967084646399996</v>
      </c>
      <c r="Y349" s="24">
        <v>35</v>
      </c>
      <c r="Z349" s="24">
        <f t="shared" si="56"/>
        <v>663.84796262399982</v>
      </c>
      <c r="AA349" s="16">
        <v>5</v>
      </c>
      <c r="AB349" s="16">
        <f t="shared" si="57"/>
        <v>2428.3999999999996</v>
      </c>
      <c r="AC349" s="16">
        <f t="shared" si="57"/>
        <v>1209.1999999999998</v>
      </c>
      <c r="AD349" s="19">
        <f t="shared" si="58"/>
        <v>2936421.2799999993</v>
      </c>
      <c r="AE349" s="1" t="s">
        <v>7456</v>
      </c>
      <c r="AF349" s="1" t="str">
        <f>VLOOKUP(AE349,t_objeto!B:C,2,FALSE)</f>
        <v>RAW_MATERIAL</v>
      </c>
      <c r="AG349" s="1">
        <v>8</v>
      </c>
      <c r="AH349" s="1" t="str">
        <f>VLOOKUP(AG349,t_entry_status!A:AE,2,FALSE)</f>
        <v>PENDING</v>
      </c>
      <c r="AI349" s="7">
        <v>45560</v>
      </c>
      <c r="AJ349" s="1" t="s">
        <v>7449</v>
      </c>
      <c r="AK349" s="7">
        <v>45560</v>
      </c>
      <c r="AL349" s="1" t="s">
        <v>7449</v>
      </c>
    </row>
    <row r="350" spans="1:38" s="20" customFormat="1" x14ac:dyDescent="0.25">
      <c r="A350" s="14">
        <v>349</v>
      </c>
      <c r="B350" s="14" t="str">
        <f>_xlfn.CONCAT(AE350,"-",VLOOKUP(AE350,t_objeto!B:D,3,FALSE),"-",A350)</f>
        <v>RRMM-PERCCO-349</v>
      </c>
      <c r="C350" s="22" t="str">
        <f t="shared" si="59"/>
        <v>LAMINA_LISA__ACERO_PINTRO_4'X8'_23</v>
      </c>
      <c r="D350" s="14" t="s">
        <v>7407</v>
      </c>
      <c r="E350" s="14" t="s">
        <v>7380</v>
      </c>
      <c r="F350" s="21" t="s">
        <v>7383</v>
      </c>
      <c r="G350" s="22" t="s">
        <v>7382</v>
      </c>
      <c r="H350" s="14">
        <v>23</v>
      </c>
      <c r="I350" s="16">
        <v>0.68</v>
      </c>
      <c r="J350" s="16">
        <f t="shared" si="60"/>
        <v>2.677165354330709E-2</v>
      </c>
      <c r="K350" s="16">
        <v>5.4109999999999996</v>
      </c>
      <c r="L350" s="23"/>
      <c r="M350" s="23"/>
      <c r="N350" s="23"/>
      <c r="O350" s="23"/>
      <c r="P350" s="23"/>
      <c r="Q350" s="19"/>
      <c r="R350" s="17">
        <v>4</v>
      </c>
      <c r="S350" s="17">
        <v>8</v>
      </c>
      <c r="T350" s="16">
        <f t="shared" si="51"/>
        <v>2438.3999999999996</v>
      </c>
      <c r="U350" s="16">
        <f t="shared" si="52"/>
        <v>1219.1999999999998</v>
      </c>
      <c r="V350" s="18">
        <f t="shared" si="53"/>
        <v>2972897.2799999993</v>
      </c>
      <c r="W350" s="18">
        <f t="shared" si="54"/>
        <v>2.9728972799999993</v>
      </c>
      <c r="X350" s="18">
        <f t="shared" si="55"/>
        <v>16.086347182079994</v>
      </c>
      <c r="Y350" s="24">
        <v>35</v>
      </c>
      <c r="Z350" s="24">
        <f t="shared" si="56"/>
        <v>563.02215137279973</v>
      </c>
      <c r="AA350" s="16">
        <v>5</v>
      </c>
      <c r="AB350" s="16">
        <f t="shared" si="57"/>
        <v>2428.3999999999996</v>
      </c>
      <c r="AC350" s="16">
        <f t="shared" si="57"/>
        <v>1209.1999999999998</v>
      </c>
      <c r="AD350" s="19">
        <f t="shared" si="58"/>
        <v>2936421.2799999993</v>
      </c>
      <c r="AE350" s="1" t="s">
        <v>7456</v>
      </c>
      <c r="AF350" s="1" t="str">
        <f>VLOOKUP(AE350,t_objeto!B:C,2,FALSE)</f>
        <v>RAW_MATERIAL</v>
      </c>
      <c r="AG350" s="1">
        <v>8</v>
      </c>
      <c r="AH350" s="1" t="str">
        <f>VLOOKUP(AG350,t_entry_status!A:AE,2,FALSE)</f>
        <v>PENDING</v>
      </c>
      <c r="AI350" s="7">
        <v>45560</v>
      </c>
      <c r="AJ350" s="1" t="s">
        <v>7449</v>
      </c>
      <c r="AK350" s="7">
        <v>45560</v>
      </c>
      <c r="AL350" s="1" t="s">
        <v>7449</v>
      </c>
    </row>
    <row r="351" spans="1:38" s="20" customFormat="1" x14ac:dyDescent="0.25">
      <c r="A351" s="14">
        <v>350</v>
      </c>
      <c r="B351" s="14" t="str">
        <f>_xlfn.CONCAT(AE351,"-",VLOOKUP(AE351,t_objeto!B:D,3,FALSE),"-",A351)</f>
        <v>RRMM-PERCCO-350</v>
      </c>
      <c r="C351" s="22" t="str">
        <f t="shared" si="59"/>
        <v>LAMINA_LISA__ACERO_PINTRO_4'X8'_24</v>
      </c>
      <c r="D351" s="14" t="s">
        <v>7407</v>
      </c>
      <c r="E351" s="14" t="s">
        <v>7380</v>
      </c>
      <c r="F351" s="21" t="s">
        <v>7383</v>
      </c>
      <c r="G351" s="22" t="s">
        <v>7382</v>
      </c>
      <c r="H351" s="14">
        <v>24</v>
      </c>
      <c r="I351" s="14">
        <v>0.61</v>
      </c>
      <c r="J351" s="16">
        <f t="shared" si="60"/>
        <v>2.4015748031496063E-2</v>
      </c>
      <c r="K351" s="16">
        <v>5.1589999999999998</v>
      </c>
      <c r="L351" s="23"/>
      <c r="M351" s="23"/>
      <c r="N351" s="23"/>
      <c r="O351" s="23"/>
      <c r="P351" s="23"/>
      <c r="Q351" s="19"/>
      <c r="R351" s="17">
        <v>4</v>
      </c>
      <c r="S351" s="17">
        <v>8</v>
      </c>
      <c r="T351" s="16">
        <f t="shared" si="51"/>
        <v>2438.3999999999996</v>
      </c>
      <c r="U351" s="16">
        <f t="shared" si="52"/>
        <v>1219.1999999999998</v>
      </c>
      <c r="V351" s="18">
        <f t="shared" si="53"/>
        <v>2972897.2799999993</v>
      </c>
      <c r="W351" s="18">
        <f t="shared" si="54"/>
        <v>2.9728972799999993</v>
      </c>
      <c r="X351" s="18">
        <f t="shared" si="55"/>
        <v>15.337177067519995</v>
      </c>
      <c r="Y351" s="24">
        <v>35</v>
      </c>
      <c r="Z351" s="24">
        <f t="shared" si="56"/>
        <v>536.80119736319989</v>
      </c>
      <c r="AA351" s="16">
        <v>5</v>
      </c>
      <c r="AB351" s="16">
        <f t="shared" si="57"/>
        <v>2428.3999999999996</v>
      </c>
      <c r="AC351" s="16">
        <f t="shared" si="57"/>
        <v>1209.1999999999998</v>
      </c>
      <c r="AD351" s="19">
        <f t="shared" si="58"/>
        <v>2936421.2799999993</v>
      </c>
      <c r="AE351" s="1" t="s">
        <v>7456</v>
      </c>
      <c r="AF351" s="1" t="str">
        <f>VLOOKUP(AE351,t_objeto!B:C,2,FALSE)</f>
        <v>RAW_MATERIAL</v>
      </c>
      <c r="AG351" s="1">
        <v>8</v>
      </c>
      <c r="AH351" s="1" t="str">
        <f>VLOOKUP(AG351,t_entry_status!A:AE,2,FALSE)</f>
        <v>PENDING</v>
      </c>
      <c r="AI351" s="7">
        <v>45560</v>
      </c>
      <c r="AJ351" s="1" t="s">
        <v>7449</v>
      </c>
      <c r="AK351" s="7">
        <v>45560</v>
      </c>
      <c r="AL351" s="1" t="s">
        <v>7449</v>
      </c>
    </row>
    <row r="352" spans="1:38" s="20" customFormat="1" x14ac:dyDescent="0.25">
      <c r="A352" s="14">
        <v>351</v>
      </c>
      <c r="B352" s="14" t="str">
        <f>_xlfn.CONCAT(AE352,"-",VLOOKUP(AE352,t_objeto!B:D,3,FALSE),"-",A352)</f>
        <v>RRMM-PERCCO-351</v>
      </c>
      <c r="C352" s="22" t="str">
        <f t="shared" si="59"/>
        <v>LAMINA_LISA__ACERO_PINTRO_4'X8'_25</v>
      </c>
      <c r="D352" s="14" t="s">
        <v>7407</v>
      </c>
      <c r="E352" s="14" t="s">
        <v>7380</v>
      </c>
      <c r="F352" s="21" t="s">
        <v>7383</v>
      </c>
      <c r="G352" s="22" t="s">
        <v>7382</v>
      </c>
      <c r="H352" s="14">
        <v>25</v>
      </c>
      <c r="I352" s="16">
        <v>0.53</v>
      </c>
      <c r="J352" s="16">
        <f t="shared" si="60"/>
        <v>2.0866141732283468E-2</v>
      </c>
      <c r="K352" s="16">
        <v>4.2169999999999996</v>
      </c>
      <c r="L352" s="23"/>
      <c r="M352" s="23"/>
      <c r="N352" s="23"/>
      <c r="O352" s="23"/>
      <c r="P352" s="23"/>
      <c r="Q352" s="19"/>
      <c r="R352" s="17">
        <v>4</v>
      </c>
      <c r="S352" s="17">
        <v>8</v>
      </c>
      <c r="T352" s="16">
        <f t="shared" si="51"/>
        <v>2438.3999999999996</v>
      </c>
      <c r="U352" s="16">
        <f t="shared" si="52"/>
        <v>1219.1999999999998</v>
      </c>
      <c r="V352" s="18">
        <f t="shared" si="53"/>
        <v>2972897.2799999993</v>
      </c>
      <c r="W352" s="18">
        <f t="shared" si="54"/>
        <v>2.9728972799999993</v>
      </c>
      <c r="X352" s="18">
        <f t="shared" si="55"/>
        <v>12.536707829759996</v>
      </c>
      <c r="Y352" s="24">
        <v>35</v>
      </c>
      <c r="Z352" s="24">
        <f t="shared" si="56"/>
        <v>438.78477404159986</v>
      </c>
      <c r="AA352" s="16">
        <v>5</v>
      </c>
      <c r="AB352" s="16">
        <f t="shared" si="57"/>
        <v>2428.3999999999996</v>
      </c>
      <c r="AC352" s="16">
        <f t="shared" si="57"/>
        <v>1209.1999999999998</v>
      </c>
      <c r="AD352" s="19">
        <f t="shared" si="58"/>
        <v>2936421.2799999993</v>
      </c>
      <c r="AE352" s="1" t="s">
        <v>7456</v>
      </c>
      <c r="AF352" s="1" t="str">
        <f>VLOOKUP(AE352,t_objeto!B:C,2,FALSE)</f>
        <v>RAW_MATERIAL</v>
      </c>
      <c r="AG352" s="1">
        <v>8</v>
      </c>
      <c r="AH352" s="1" t="str">
        <f>VLOOKUP(AG352,t_entry_status!A:AE,2,FALSE)</f>
        <v>PENDING</v>
      </c>
      <c r="AI352" s="7">
        <v>45560</v>
      </c>
      <c r="AJ352" s="1" t="s">
        <v>7449</v>
      </c>
      <c r="AK352" s="7">
        <v>45560</v>
      </c>
      <c r="AL352" s="1" t="s">
        <v>7449</v>
      </c>
    </row>
    <row r="353" spans="1:38" s="20" customFormat="1" x14ac:dyDescent="0.25">
      <c r="A353" s="14">
        <v>352</v>
      </c>
      <c r="B353" s="14" t="str">
        <f>_xlfn.CONCAT(AE353,"-",VLOOKUP(AE353,t_objeto!B:D,3,FALSE),"-",A353)</f>
        <v>RRMM-PERCCO-352</v>
      </c>
      <c r="C353" s="22" t="str">
        <f t="shared" si="59"/>
        <v>LAMINA_LISA__ACERO_PINTRO_4'X8'_26</v>
      </c>
      <c r="D353" s="14" t="s">
        <v>7407</v>
      </c>
      <c r="E353" s="14" t="s">
        <v>7380</v>
      </c>
      <c r="F353" s="21" t="s">
        <v>7383</v>
      </c>
      <c r="G353" s="22" t="s">
        <v>7382</v>
      </c>
      <c r="H353" s="14">
        <v>26</v>
      </c>
      <c r="I353" s="14">
        <v>0.45</v>
      </c>
      <c r="J353" s="16">
        <f t="shared" si="60"/>
        <v>1.7716535433070866E-2</v>
      </c>
      <c r="K353" s="16">
        <f>3.663+0.275</f>
        <v>3.9379999999999997</v>
      </c>
      <c r="L353" s="23"/>
      <c r="M353" s="23"/>
      <c r="N353" s="23"/>
      <c r="O353" s="23"/>
      <c r="P353" s="23"/>
      <c r="Q353" s="19"/>
      <c r="R353" s="17">
        <v>4</v>
      </c>
      <c r="S353" s="17">
        <v>8</v>
      </c>
      <c r="T353" s="16">
        <f t="shared" si="51"/>
        <v>2438.3999999999996</v>
      </c>
      <c r="U353" s="16">
        <f t="shared" si="52"/>
        <v>1219.1999999999998</v>
      </c>
      <c r="V353" s="18">
        <f t="shared" si="53"/>
        <v>2972897.2799999993</v>
      </c>
      <c r="W353" s="18">
        <f t="shared" si="54"/>
        <v>2.9728972799999993</v>
      </c>
      <c r="X353" s="18">
        <f t="shared" si="55"/>
        <v>11.707269488639996</v>
      </c>
      <c r="Y353" s="24">
        <v>35</v>
      </c>
      <c r="Z353" s="24">
        <f t="shared" si="56"/>
        <v>409.75443210239985</v>
      </c>
      <c r="AA353" s="16">
        <v>5</v>
      </c>
      <c r="AB353" s="16">
        <f t="shared" si="57"/>
        <v>2428.3999999999996</v>
      </c>
      <c r="AC353" s="16">
        <f t="shared" si="57"/>
        <v>1209.1999999999998</v>
      </c>
      <c r="AD353" s="19">
        <f t="shared" si="58"/>
        <v>2936421.2799999993</v>
      </c>
      <c r="AE353" s="1" t="s">
        <v>7456</v>
      </c>
      <c r="AF353" s="1" t="str">
        <f>VLOOKUP(AE353,t_objeto!B:C,2,FALSE)</f>
        <v>RAW_MATERIAL</v>
      </c>
      <c r="AG353" s="1">
        <v>8</v>
      </c>
      <c r="AH353" s="1" t="str">
        <f>VLOOKUP(AG353,t_entry_status!A:AE,2,FALSE)</f>
        <v>PENDING</v>
      </c>
      <c r="AI353" s="7">
        <v>45560</v>
      </c>
      <c r="AJ353" s="1" t="s">
        <v>7449</v>
      </c>
      <c r="AK353" s="7">
        <v>45560</v>
      </c>
      <c r="AL353" s="1" t="s">
        <v>7449</v>
      </c>
    </row>
    <row r="354" spans="1:38" s="20" customFormat="1" x14ac:dyDescent="0.25">
      <c r="A354" s="14">
        <v>353</v>
      </c>
      <c r="B354" s="14" t="str">
        <f>_xlfn.CONCAT(AE354,"-",VLOOKUP(AE354,t_objeto!B:D,3,FALSE),"-",A354)</f>
        <v>RRMM-PERCCO-353</v>
      </c>
      <c r="C354" s="22" t="str">
        <f t="shared" si="59"/>
        <v>LAMINA_LISA__ACERO_PINTRO_4'X8'_27</v>
      </c>
      <c r="D354" s="14" t="s">
        <v>7407</v>
      </c>
      <c r="E354" s="14" t="s">
        <v>7380</v>
      </c>
      <c r="F354" s="21" t="s">
        <v>7383</v>
      </c>
      <c r="G354" s="22" t="s">
        <v>7382</v>
      </c>
      <c r="H354" s="14">
        <v>27</v>
      </c>
      <c r="I354" s="16">
        <v>0.42</v>
      </c>
      <c r="J354" s="16">
        <f t="shared" si="60"/>
        <v>1.6535433070866142E-2</v>
      </c>
      <c r="K354" s="16">
        <v>3.3420000000000001</v>
      </c>
      <c r="L354" s="23"/>
      <c r="M354" s="23"/>
      <c r="N354" s="23"/>
      <c r="O354" s="23"/>
      <c r="P354" s="23"/>
      <c r="Q354" s="19"/>
      <c r="R354" s="17">
        <v>4</v>
      </c>
      <c r="S354" s="17">
        <v>8</v>
      </c>
      <c r="T354" s="16">
        <f t="shared" si="51"/>
        <v>2438.3999999999996</v>
      </c>
      <c r="U354" s="16">
        <f t="shared" si="52"/>
        <v>1219.1999999999998</v>
      </c>
      <c r="V354" s="18">
        <f t="shared" si="53"/>
        <v>2972897.2799999993</v>
      </c>
      <c r="W354" s="18">
        <f t="shared" si="54"/>
        <v>2.9728972799999993</v>
      </c>
      <c r="X354" s="18">
        <f t="shared" si="55"/>
        <v>9.9354227097599974</v>
      </c>
      <c r="Y354" s="24">
        <v>35</v>
      </c>
      <c r="Z354" s="24">
        <f t="shared" si="56"/>
        <v>347.73979484159992</v>
      </c>
      <c r="AA354" s="16">
        <v>5</v>
      </c>
      <c r="AB354" s="16">
        <f t="shared" si="57"/>
        <v>2428.3999999999996</v>
      </c>
      <c r="AC354" s="16">
        <f t="shared" si="57"/>
        <v>1209.1999999999998</v>
      </c>
      <c r="AD354" s="19">
        <f t="shared" si="58"/>
        <v>2936421.2799999993</v>
      </c>
      <c r="AE354" s="1" t="s">
        <v>7456</v>
      </c>
      <c r="AF354" s="1" t="str">
        <f>VLOOKUP(AE354,t_objeto!B:C,2,FALSE)</f>
        <v>RAW_MATERIAL</v>
      </c>
      <c r="AG354" s="1">
        <v>8</v>
      </c>
      <c r="AH354" s="1" t="str">
        <f>VLOOKUP(AG354,t_entry_status!A:AE,2,FALSE)</f>
        <v>PENDING</v>
      </c>
      <c r="AI354" s="7">
        <v>45560</v>
      </c>
      <c r="AJ354" s="1" t="s">
        <v>7449</v>
      </c>
      <c r="AK354" s="7">
        <v>45560</v>
      </c>
      <c r="AL354" s="1" t="s">
        <v>7449</v>
      </c>
    </row>
    <row r="355" spans="1:38" s="20" customFormat="1" x14ac:dyDescent="0.25">
      <c r="A355" s="14">
        <v>354</v>
      </c>
      <c r="B355" s="14" t="str">
        <f>_xlfn.CONCAT(AE355,"-",VLOOKUP(AE355,t_objeto!B:D,3,FALSE),"-",A355)</f>
        <v>RRMM-PERCCO-354</v>
      </c>
      <c r="C355" s="22" t="str">
        <f t="shared" si="59"/>
        <v>LAMINA_LISA__ACERO_PINTRO_4'X8'_28</v>
      </c>
      <c r="D355" s="14" t="s">
        <v>7407</v>
      </c>
      <c r="E355" s="14" t="s">
        <v>7380</v>
      </c>
      <c r="F355" s="21" t="s">
        <v>7383</v>
      </c>
      <c r="G355" s="22" t="s">
        <v>7382</v>
      </c>
      <c r="H355" s="14">
        <v>28</v>
      </c>
      <c r="I355" s="14">
        <v>0.38</v>
      </c>
      <c r="J355" s="16">
        <f t="shared" si="60"/>
        <v>1.4960629921259844E-2</v>
      </c>
      <c r="K355" s="16">
        <v>3.327</v>
      </c>
      <c r="L355" s="23"/>
      <c r="M355" s="23"/>
      <c r="N355" s="23"/>
      <c r="O355" s="23"/>
      <c r="P355" s="23"/>
      <c r="Q355" s="19"/>
      <c r="R355" s="17">
        <v>4</v>
      </c>
      <c r="S355" s="17">
        <v>8</v>
      </c>
      <c r="T355" s="16">
        <f t="shared" si="51"/>
        <v>2438.3999999999996</v>
      </c>
      <c r="U355" s="16">
        <f t="shared" si="52"/>
        <v>1219.1999999999998</v>
      </c>
      <c r="V355" s="18">
        <f t="shared" si="53"/>
        <v>2972897.2799999993</v>
      </c>
      <c r="W355" s="18">
        <f t="shared" si="54"/>
        <v>2.9728972799999993</v>
      </c>
      <c r="X355" s="18">
        <f t="shared" si="55"/>
        <v>9.8908292505599977</v>
      </c>
      <c r="Y355" s="24">
        <v>35</v>
      </c>
      <c r="Z355" s="24">
        <f t="shared" si="56"/>
        <v>346.17902376959989</v>
      </c>
      <c r="AA355" s="16">
        <v>5</v>
      </c>
      <c r="AB355" s="16">
        <f t="shared" si="57"/>
        <v>2428.3999999999996</v>
      </c>
      <c r="AC355" s="16">
        <f t="shared" si="57"/>
        <v>1209.1999999999998</v>
      </c>
      <c r="AD355" s="19">
        <f t="shared" si="58"/>
        <v>2936421.2799999993</v>
      </c>
      <c r="AE355" s="1" t="s">
        <v>7456</v>
      </c>
      <c r="AF355" s="1" t="str">
        <f>VLOOKUP(AE355,t_objeto!B:C,2,FALSE)</f>
        <v>RAW_MATERIAL</v>
      </c>
      <c r="AG355" s="1">
        <v>8</v>
      </c>
      <c r="AH355" s="1" t="str">
        <f>VLOOKUP(AG355,t_entry_status!A:AE,2,FALSE)</f>
        <v>PENDING</v>
      </c>
      <c r="AI355" s="7">
        <v>45560</v>
      </c>
      <c r="AJ355" s="1" t="s">
        <v>7449</v>
      </c>
      <c r="AK355" s="7">
        <v>45560</v>
      </c>
      <c r="AL355" s="1" t="s">
        <v>7449</v>
      </c>
    </row>
    <row r="356" spans="1:38" s="20" customFormat="1" x14ac:dyDescent="0.25">
      <c r="A356" s="14">
        <v>355</v>
      </c>
      <c r="B356" s="14" t="str">
        <f>_xlfn.CONCAT(AE356,"-",VLOOKUP(AE356,t_objeto!B:D,3,FALSE),"-",A356)</f>
        <v>RRMM-PERCCO-355</v>
      </c>
      <c r="C356" s="22" t="str">
        <f t="shared" si="59"/>
        <v>LAMINA_LISA__ACERO_PINTRO_4'X8'_29</v>
      </c>
      <c r="D356" s="14" t="s">
        <v>7407</v>
      </c>
      <c r="E356" s="14" t="s">
        <v>7380</v>
      </c>
      <c r="F356" s="21" t="s">
        <v>7383</v>
      </c>
      <c r="G356" s="22" t="s">
        <v>7382</v>
      </c>
      <c r="H356" s="14">
        <v>29</v>
      </c>
      <c r="I356" s="16">
        <v>0.34</v>
      </c>
      <c r="J356" s="16">
        <f t="shared" si="60"/>
        <v>1.3385826771653545E-2</v>
      </c>
      <c r="K356" s="16">
        <v>2.706</v>
      </c>
      <c r="L356" s="23"/>
      <c r="M356" s="23"/>
      <c r="N356" s="23"/>
      <c r="O356" s="23"/>
      <c r="P356" s="23"/>
      <c r="Q356" s="19"/>
      <c r="R356" s="17">
        <v>4</v>
      </c>
      <c r="S356" s="17">
        <v>8</v>
      </c>
      <c r="T356" s="16">
        <f t="shared" si="51"/>
        <v>2438.3999999999996</v>
      </c>
      <c r="U356" s="16">
        <f t="shared" si="52"/>
        <v>1219.1999999999998</v>
      </c>
      <c r="V356" s="18">
        <f t="shared" si="53"/>
        <v>2972897.2799999993</v>
      </c>
      <c r="W356" s="18">
        <f t="shared" si="54"/>
        <v>2.9728972799999993</v>
      </c>
      <c r="X356" s="18">
        <f t="shared" si="55"/>
        <v>8.0446600396799983</v>
      </c>
      <c r="Y356" s="24">
        <v>35</v>
      </c>
      <c r="Z356" s="24">
        <f t="shared" si="56"/>
        <v>281.56310138879996</v>
      </c>
      <c r="AA356" s="16">
        <v>5</v>
      </c>
      <c r="AB356" s="16">
        <f t="shared" si="57"/>
        <v>2428.3999999999996</v>
      </c>
      <c r="AC356" s="16">
        <f t="shared" si="57"/>
        <v>1209.1999999999998</v>
      </c>
      <c r="AD356" s="19">
        <f t="shared" si="58"/>
        <v>2936421.2799999993</v>
      </c>
      <c r="AE356" s="1" t="s">
        <v>7456</v>
      </c>
      <c r="AF356" s="1" t="str">
        <f>VLOOKUP(AE356,t_objeto!B:C,2,FALSE)</f>
        <v>RAW_MATERIAL</v>
      </c>
      <c r="AG356" s="1">
        <v>8</v>
      </c>
      <c r="AH356" s="1" t="str">
        <f>VLOOKUP(AG356,t_entry_status!A:AE,2,FALSE)</f>
        <v>PENDING</v>
      </c>
      <c r="AI356" s="7">
        <v>45560</v>
      </c>
      <c r="AJ356" s="1" t="s">
        <v>7449</v>
      </c>
      <c r="AK356" s="7">
        <v>45560</v>
      </c>
      <c r="AL356" s="1" t="s">
        <v>7449</v>
      </c>
    </row>
    <row r="357" spans="1:38" s="20" customFormat="1" x14ac:dyDescent="0.25">
      <c r="A357" s="14">
        <v>356</v>
      </c>
      <c r="B357" s="14" t="str">
        <f>_xlfn.CONCAT(AE357,"-",VLOOKUP(AE357,t_objeto!B:D,3,FALSE),"-",A357)</f>
        <v>RRMM-PERCCO-356</v>
      </c>
      <c r="C357" s="22" t="str">
        <f t="shared" si="59"/>
        <v>LAMINA_LISA__ACERO_PINTRO_4'X8'_30</v>
      </c>
      <c r="D357" s="14" t="s">
        <v>7407</v>
      </c>
      <c r="E357" s="14" t="s">
        <v>7380</v>
      </c>
      <c r="F357" s="21" t="s">
        <v>7383</v>
      </c>
      <c r="G357" s="22" t="s">
        <v>7382</v>
      </c>
      <c r="H357" s="14">
        <v>30</v>
      </c>
      <c r="I357" s="14">
        <v>0.3</v>
      </c>
      <c r="J357" s="16">
        <f t="shared" si="60"/>
        <v>1.1811023622047244E-2</v>
      </c>
      <c r="K357" s="16">
        <v>2.673</v>
      </c>
      <c r="L357" s="23"/>
      <c r="M357" s="23"/>
      <c r="N357" s="23"/>
      <c r="O357" s="23"/>
      <c r="P357" s="23"/>
      <c r="Q357" s="19"/>
      <c r="R357" s="17">
        <v>4</v>
      </c>
      <c r="S357" s="17">
        <v>8</v>
      </c>
      <c r="T357" s="16">
        <f t="shared" si="51"/>
        <v>2438.3999999999996</v>
      </c>
      <c r="U357" s="16">
        <f t="shared" si="52"/>
        <v>1219.1999999999998</v>
      </c>
      <c r="V357" s="18">
        <f t="shared" si="53"/>
        <v>2972897.2799999993</v>
      </c>
      <c r="W357" s="18">
        <f t="shared" si="54"/>
        <v>2.9728972799999993</v>
      </c>
      <c r="X357" s="18">
        <f t="shared" si="55"/>
        <v>7.9465544294399981</v>
      </c>
      <c r="Y357" s="24">
        <v>35</v>
      </c>
      <c r="Z357" s="24">
        <f t="shared" si="56"/>
        <v>278.12940503039994</v>
      </c>
      <c r="AA357" s="16">
        <v>5</v>
      </c>
      <c r="AB357" s="16">
        <f t="shared" si="57"/>
        <v>2428.3999999999996</v>
      </c>
      <c r="AC357" s="16">
        <f t="shared" si="57"/>
        <v>1209.1999999999998</v>
      </c>
      <c r="AD357" s="19">
        <f t="shared" si="58"/>
        <v>2936421.2799999993</v>
      </c>
      <c r="AE357" s="1" t="s">
        <v>7456</v>
      </c>
      <c r="AF357" s="1" t="str">
        <f>VLOOKUP(AE357,t_objeto!B:C,2,FALSE)</f>
        <v>RAW_MATERIAL</v>
      </c>
      <c r="AG357" s="1">
        <v>8</v>
      </c>
      <c r="AH357" s="1" t="str">
        <f>VLOOKUP(AG357,t_entry_status!A:AE,2,FALSE)</f>
        <v>PENDING</v>
      </c>
      <c r="AI357" s="7">
        <v>45560</v>
      </c>
      <c r="AJ357" s="1" t="s">
        <v>7449</v>
      </c>
      <c r="AK357" s="7">
        <v>45560</v>
      </c>
      <c r="AL357" s="1" t="s">
        <v>7449</v>
      </c>
    </row>
    <row r="358" spans="1:38" s="20" customFormat="1" x14ac:dyDescent="0.25">
      <c r="A358" s="14">
        <v>357</v>
      </c>
      <c r="B358" s="14" t="str">
        <f>_xlfn.CONCAT(AE358,"-",VLOOKUP(AE358,t_objeto!B:D,3,FALSE),"-",A358)</f>
        <v>RRMM-PERCCO-357</v>
      </c>
      <c r="C358" s="22" t="str">
        <f t="shared" si="59"/>
        <v>PLACA__ACERO_ROLADA EN CALIENTE_4'X8'_1"</v>
      </c>
      <c r="D358" s="14" t="s">
        <v>7385</v>
      </c>
      <c r="E358" s="14" t="s">
        <v>7380</v>
      </c>
      <c r="F358" s="21" t="s">
        <v>7386</v>
      </c>
      <c r="G358" s="22" t="s">
        <v>7382</v>
      </c>
      <c r="H358" s="14" t="s">
        <v>7387</v>
      </c>
      <c r="I358" s="16">
        <v>25.4</v>
      </c>
      <c r="J358" s="16">
        <f t="shared" si="60"/>
        <v>1</v>
      </c>
      <c r="K358" s="16">
        <v>199.39</v>
      </c>
      <c r="L358" s="23"/>
      <c r="M358" s="23"/>
      <c r="N358" s="23"/>
      <c r="O358" s="23"/>
      <c r="P358" s="23"/>
      <c r="Q358" s="19"/>
      <c r="R358" s="17">
        <v>4</v>
      </c>
      <c r="S358" s="17">
        <v>8</v>
      </c>
      <c r="T358" s="16">
        <f t="shared" si="51"/>
        <v>2438.3999999999996</v>
      </c>
      <c r="U358" s="16">
        <f t="shared" si="52"/>
        <v>1219.1999999999998</v>
      </c>
      <c r="V358" s="18">
        <f t="shared" si="53"/>
        <v>2972897.2799999993</v>
      </c>
      <c r="W358" s="18">
        <f t="shared" si="54"/>
        <v>2.9728972799999993</v>
      </c>
      <c r="X358" s="18">
        <f t="shared" si="55"/>
        <v>592.76598865919982</v>
      </c>
      <c r="Y358" s="24">
        <v>35</v>
      </c>
      <c r="Z358" s="24">
        <f t="shared" si="56"/>
        <v>20746.809603071993</v>
      </c>
      <c r="AA358" s="16">
        <v>8</v>
      </c>
      <c r="AB358" s="16">
        <f t="shared" si="57"/>
        <v>2422.3999999999996</v>
      </c>
      <c r="AC358" s="16">
        <f t="shared" si="57"/>
        <v>1203.1999999999998</v>
      </c>
      <c r="AD358" s="19">
        <f t="shared" si="58"/>
        <v>2914631.6799999992</v>
      </c>
      <c r="AE358" s="1" t="s">
        <v>7456</v>
      </c>
      <c r="AF358" s="1" t="str">
        <f>VLOOKUP(AE358,t_objeto!B:C,2,FALSE)</f>
        <v>RAW_MATERIAL</v>
      </c>
      <c r="AG358" s="1">
        <v>8</v>
      </c>
      <c r="AH358" s="1" t="str">
        <f>VLOOKUP(AG358,t_entry_status!A:AE,2,FALSE)</f>
        <v>PENDING</v>
      </c>
      <c r="AI358" s="7">
        <v>45560</v>
      </c>
      <c r="AJ358" s="1" t="s">
        <v>7449</v>
      </c>
      <c r="AK358" s="7">
        <v>45560</v>
      </c>
      <c r="AL358" s="1" t="s">
        <v>7449</v>
      </c>
    </row>
    <row r="359" spans="1:38" s="20" customFormat="1" x14ac:dyDescent="0.25">
      <c r="A359" s="14">
        <v>358</v>
      </c>
      <c r="B359" s="14" t="str">
        <f>_xlfn.CONCAT(AE359,"-",VLOOKUP(AE359,t_objeto!B:D,3,FALSE),"-",A359)</f>
        <v>RRMM-PERCCO-358</v>
      </c>
      <c r="C359" s="22" t="str">
        <f t="shared" si="59"/>
        <v>PLACA__ACERO_ROLADA EN CALIENTE_4'X8'_7/8"</v>
      </c>
      <c r="D359" s="14" t="s">
        <v>7385</v>
      </c>
      <c r="E359" s="14" t="s">
        <v>7380</v>
      </c>
      <c r="F359" s="21" t="s">
        <v>7386</v>
      </c>
      <c r="G359" s="22" t="s">
        <v>7382</v>
      </c>
      <c r="H359" s="14" t="s">
        <v>7388</v>
      </c>
      <c r="I359" s="16">
        <v>22.22</v>
      </c>
      <c r="J359" s="16">
        <f t="shared" si="60"/>
        <v>0.87480314960629924</v>
      </c>
      <c r="K359" s="16">
        <v>174.42699999999999</v>
      </c>
      <c r="L359" s="23"/>
      <c r="M359" s="23"/>
      <c r="N359" s="23"/>
      <c r="O359" s="23"/>
      <c r="P359" s="23"/>
      <c r="Q359" s="19"/>
      <c r="R359" s="17">
        <v>4</v>
      </c>
      <c r="S359" s="17">
        <v>8</v>
      </c>
      <c r="T359" s="16">
        <f t="shared" si="51"/>
        <v>2438.3999999999996</v>
      </c>
      <c r="U359" s="16">
        <f t="shared" si="52"/>
        <v>1219.1999999999998</v>
      </c>
      <c r="V359" s="18">
        <f t="shared" si="53"/>
        <v>2972897.2799999993</v>
      </c>
      <c r="W359" s="18">
        <f t="shared" si="54"/>
        <v>2.9728972799999993</v>
      </c>
      <c r="X359" s="18">
        <f t="shared" si="55"/>
        <v>518.55355385855989</v>
      </c>
      <c r="Y359" s="24">
        <v>35</v>
      </c>
      <c r="Z359" s="24">
        <f t="shared" si="56"/>
        <v>18149.374385049596</v>
      </c>
      <c r="AA359" s="16">
        <v>9</v>
      </c>
      <c r="AB359" s="16">
        <f t="shared" si="57"/>
        <v>2420.3999999999996</v>
      </c>
      <c r="AC359" s="16">
        <f t="shared" si="57"/>
        <v>1201.1999999999998</v>
      </c>
      <c r="AD359" s="19">
        <f t="shared" si="58"/>
        <v>2907384.4799999991</v>
      </c>
      <c r="AE359" s="1" t="s">
        <v>7456</v>
      </c>
      <c r="AF359" s="1" t="str">
        <f>VLOOKUP(AE359,t_objeto!B:C,2,FALSE)</f>
        <v>RAW_MATERIAL</v>
      </c>
      <c r="AG359" s="1">
        <v>8</v>
      </c>
      <c r="AH359" s="1" t="str">
        <f>VLOOKUP(AG359,t_entry_status!A:AE,2,FALSE)</f>
        <v>PENDING</v>
      </c>
      <c r="AI359" s="7">
        <v>45560</v>
      </c>
      <c r="AJ359" s="1" t="s">
        <v>7449</v>
      </c>
      <c r="AK359" s="7">
        <v>45560</v>
      </c>
      <c r="AL359" s="1" t="s">
        <v>7449</v>
      </c>
    </row>
    <row r="360" spans="1:38" s="20" customFormat="1" x14ac:dyDescent="0.25">
      <c r="A360" s="14">
        <v>359</v>
      </c>
      <c r="B360" s="14" t="str">
        <f>_xlfn.CONCAT(AE360,"-",VLOOKUP(AE360,t_objeto!B:D,3,FALSE),"-",A360)</f>
        <v>RRMM-PERCCO-359</v>
      </c>
      <c r="C360" s="22" t="str">
        <f t="shared" si="59"/>
        <v>PLACA__ACERO_ROLADA EN CALIENTE_4'X8'_3/4"</v>
      </c>
      <c r="D360" s="14" t="s">
        <v>7385</v>
      </c>
      <c r="E360" s="14" t="s">
        <v>7380</v>
      </c>
      <c r="F360" s="21" t="s">
        <v>7386</v>
      </c>
      <c r="G360" s="22" t="s">
        <v>7382</v>
      </c>
      <c r="H360" s="14" t="s">
        <v>7389</v>
      </c>
      <c r="I360" s="16">
        <v>19.05</v>
      </c>
      <c r="J360" s="16">
        <f t="shared" si="60"/>
        <v>0.75000000000000011</v>
      </c>
      <c r="K360" s="16">
        <v>149.54300000000001</v>
      </c>
      <c r="L360" s="23"/>
      <c r="M360" s="23"/>
      <c r="N360" s="23"/>
      <c r="O360" s="23"/>
      <c r="P360" s="23"/>
      <c r="Q360" s="19"/>
      <c r="R360" s="17">
        <v>4</v>
      </c>
      <c r="S360" s="17">
        <v>8</v>
      </c>
      <c r="T360" s="16">
        <f t="shared" si="51"/>
        <v>2438.3999999999996</v>
      </c>
      <c r="U360" s="16">
        <f t="shared" si="52"/>
        <v>1219.1999999999998</v>
      </c>
      <c r="V360" s="18">
        <f t="shared" si="53"/>
        <v>2972897.2799999993</v>
      </c>
      <c r="W360" s="18">
        <f t="shared" si="54"/>
        <v>2.9728972799999993</v>
      </c>
      <c r="X360" s="18">
        <f t="shared" si="55"/>
        <v>444.5759779430399</v>
      </c>
      <c r="Y360" s="24">
        <v>35</v>
      </c>
      <c r="Z360" s="24">
        <f t="shared" si="56"/>
        <v>15560.159228006396</v>
      </c>
      <c r="AA360" s="16">
        <v>10</v>
      </c>
      <c r="AB360" s="16">
        <f t="shared" si="57"/>
        <v>2418.3999999999996</v>
      </c>
      <c r="AC360" s="16">
        <f t="shared" si="57"/>
        <v>1199.1999999999998</v>
      </c>
      <c r="AD360" s="19">
        <f t="shared" si="58"/>
        <v>2900145.2799999993</v>
      </c>
      <c r="AE360" s="1" t="s">
        <v>7456</v>
      </c>
      <c r="AF360" s="1" t="str">
        <f>VLOOKUP(AE360,t_objeto!B:C,2,FALSE)</f>
        <v>RAW_MATERIAL</v>
      </c>
      <c r="AG360" s="1">
        <v>8</v>
      </c>
      <c r="AH360" s="1" t="str">
        <f>VLOOKUP(AG360,t_entry_status!A:AE,2,FALSE)</f>
        <v>PENDING</v>
      </c>
      <c r="AI360" s="7">
        <v>45560</v>
      </c>
      <c r="AJ360" s="1" t="s">
        <v>7449</v>
      </c>
      <c r="AK360" s="7">
        <v>45560</v>
      </c>
      <c r="AL360" s="1" t="s">
        <v>7449</v>
      </c>
    </row>
    <row r="361" spans="1:38" s="20" customFormat="1" x14ac:dyDescent="0.25">
      <c r="A361" s="14">
        <v>360</v>
      </c>
      <c r="B361" s="14" t="str">
        <f>_xlfn.CONCAT(AE361,"-",VLOOKUP(AE361,t_objeto!B:D,3,FALSE),"-",A361)</f>
        <v>RRMM-PERCCO-360</v>
      </c>
      <c r="C361" s="22" t="str">
        <f t="shared" si="59"/>
        <v>PLACA__ACERO_ROLADA EN CALIENTE_4'X8'_11/16"</v>
      </c>
      <c r="D361" s="14" t="s">
        <v>7385</v>
      </c>
      <c r="E361" s="14" t="s">
        <v>7380</v>
      </c>
      <c r="F361" s="21" t="s">
        <v>7386</v>
      </c>
      <c r="G361" s="22" t="s">
        <v>7382</v>
      </c>
      <c r="H361" s="14" t="s">
        <v>7390</v>
      </c>
      <c r="I361" s="16">
        <v>17.46</v>
      </c>
      <c r="J361" s="16">
        <f t="shared" si="60"/>
        <v>0.68740157480314967</v>
      </c>
      <c r="K361" s="16">
        <v>137.06100000000001</v>
      </c>
      <c r="L361" s="23"/>
      <c r="M361" s="23"/>
      <c r="N361" s="23"/>
      <c r="O361" s="23"/>
      <c r="P361" s="23"/>
      <c r="Q361" s="19"/>
      <c r="R361" s="17">
        <v>4</v>
      </c>
      <c r="S361" s="17">
        <v>8</v>
      </c>
      <c r="T361" s="16">
        <f t="shared" si="51"/>
        <v>2438.3999999999996</v>
      </c>
      <c r="U361" s="16">
        <f t="shared" si="52"/>
        <v>1219.1999999999998</v>
      </c>
      <c r="V361" s="18">
        <f t="shared" si="53"/>
        <v>2972897.2799999993</v>
      </c>
      <c r="W361" s="18">
        <f t="shared" si="54"/>
        <v>2.9728972799999993</v>
      </c>
      <c r="X361" s="18">
        <f t="shared" si="55"/>
        <v>407.4682740940799</v>
      </c>
      <c r="Y361" s="24">
        <v>35</v>
      </c>
      <c r="Z361" s="24">
        <f t="shared" si="56"/>
        <v>14261.389593292797</v>
      </c>
      <c r="AA361" s="16">
        <v>11</v>
      </c>
      <c r="AB361" s="16">
        <f t="shared" si="57"/>
        <v>2416.3999999999996</v>
      </c>
      <c r="AC361" s="16">
        <f t="shared" si="57"/>
        <v>1197.1999999999998</v>
      </c>
      <c r="AD361" s="19">
        <f t="shared" si="58"/>
        <v>2892914.0799999991</v>
      </c>
      <c r="AE361" s="1" t="s">
        <v>7456</v>
      </c>
      <c r="AF361" s="1" t="str">
        <f>VLOOKUP(AE361,t_objeto!B:C,2,FALSE)</f>
        <v>RAW_MATERIAL</v>
      </c>
      <c r="AG361" s="1">
        <v>8</v>
      </c>
      <c r="AH361" s="1" t="str">
        <f>VLOOKUP(AG361,t_entry_status!A:AE,2,FALSE)</f>
        <v>PENDING</v>
      </c>
      <c r="AI361" s="7">
        <v>45560</v>
      </c>
      <c r="AJ361" s="1" t="s">
        <v>7449</v>
      </c>
      <c r="AK361" s="7">
        <v>45560</v>
      </c>
      <c r="AL361" s="1" t="s">
        <v>7449</v>
      </c>
    </row>
    <row r="362" spans="1:38" s="20" customFormat="1" x14ac:dyDescent="0.25">
      <c r="A362" s="14">
        <v>361</v>
      </c>
      <c r="B362" s="14" t="str">
        <f>_xlfn.CONCAT(AE362,"-",VLOOKUP(AE362,t_objeto!B:D,3,FALSE),"-",A362)</f>
        <v>RRMM-PERCCO-361</v>
      </c>
      <c r="C362" s="22" t="str">
        <f t="shared" si="59"/>
        <v>PLACA__ACERO_ROLADA EN CALIENTE_4'X8'_5/8"</v>
      </c>
      <c r="D362" s="14" t="s">
        <v>7385</v>
      </c>
      <c r="E362" s="14" t="s">
        <v>7380</v>
      </c>
      <c r="F362" s="21" t="s">
        <v>7386</v>
      </c>
      <c r="G362" s="22" t="s">
        <v>7382</v>
      </c>
      <c r="H362" s="14" t="s">
        <v>7391</v>
      </c>
      <c r="I362" s="16">
        <v>15.87</v>
      </c>
      <c r="J362" s="16">
        <f t="shared" si="60"/>
        <v>0.62480314960629924</v>
      </c>
      <c r="K362" s="16">
        <v>124.58</v>
      </c>
      <c r="L362" s="23"/>
      <c r="M362" s="23"/>
      <c r="N362" s="23"/>
      <c r="O362" s="23"/>
      <c r="P362" s="23"/>
      <c r="Q362" s="19"/>
      <c r="R362" s="17">
        <v>4</v>
      </c>
      <c r="S362" s="17">
        <v>8</v>
      </c>
      <c r="T362" s="16">
        <f t="shared" si="51"/>
        <v>2438.3999999999996</v>
      </c>
      <c r="U362" s="16">
        <f t="shared" si="52"/>
        <v>1219.1999999999998</v>
      </c>
      <c r="V362" s="18">
        <f t="shared" si="53"/>
        <v>2972897.2799999993</v>
      </c>
      <c r="W362" s="18">
        <f t="shared" si="54"/>
        <v>2.9728972799999993</v>
      </c>
      <c r="X362" s="18">
        <f t="shared" si="55"/>
        <v>370.36354314239992</v>
      </c>
      <c r="Y362" s="24">
        <v>35</v>
      </c>
      <c r="Z362" s="24">
        <f t="shared" si="56"/>
        <v>12962.724009983996</v>
      </c>
      <c r="AA362" s="16">
        <v>12</v>
      </c>
      <c r="AB362" s="16">
        <f t="shared" si="57"/>
        <v>2414.3999999999996</v>
      </c>
      <c r="AC362" s="16">
        <f t="shared" si="57"/>
        <v>1195.1999999999998</v>
      </c>
      <c r="AD362" s="19">
        <f t="shared" si="58"/>
        <v>2885690.879999999</v>
      </c>
      <c r="AE362" s="1" t="s">
        <v>7456</v>
      </c>
      <c r="AF362" s="1" t="str">
        <f>VLOOKUP(AE362,t_objeto!B:C,2,FALSE)</f>
        <v>RAW_MATERIAL</v>
      </c>
      <c r="AG362" s="1">
        <v>8</v>
      </c>
      <c r="AH362" s="1" t="str">
        <f>VLOOKUP(AG362,t_entry_status!A:AE,2,FALSE)</f>
        <v>PENDING</v>
      </c>
      <c r="AI362" s="7">
        <v>45560</v>
      </c>
      <c r="AJ362" s="1" t="s">
        <v>7449</v>
      </c>
      <c r="AK362" s="7">
        <v>45560</v>
      </c>
      <c r="AL362" s="1" t="s">
        <v>7449</v>
      </c>
    </row>
    <row r="363" spans="1:38" s="20" customFormat="1" x14ac:dyDescent="0.25">
      <c r="A363" s="14">
        <v>362</v>
      </c>
      <c r="B363" s="14" t="str">
        <f>_xlfn.CONCAT(AE363,"-",VLOOKUP(AE363,t_objeto!B:D,3,FALSE),"-",A363)</f>
        <v>RRMM-PERCCO-362</v>
      </c>
      <c r="C363" s="22" t="str">
        <f t="shared" si="59"/>
        <v>PLACA__ACERO_ROLADA EN CALIENTE_4'X8'_9/16"</v>
      </c>
      <c r="D363" s="14" t="s">
        <v>7385</v>
      </c>
      <c r="E363" s="14" t="s">
        <v>7380</v>
      </c>
      <c r="F363" s="21" t="s">
        <v>7386</v>
      </c>
      <c r="G363" s="22" t="s">
        <v>7382</v>
      </c>
      <c r="H363" s="14" t="s">
        <v>7392</v>
      </c>
      <c r="I363" s="16">
        <v>14.28</v>
      </c>
      <c r="J363" s="16">
        <f t="shared" si="60"/>
        <v>0.5622047244094488</v>
      </c>
      <c r="K363" s="16">
        <v>112.098</v>
      </c>
      <c r="L363" s="23"/>
      <c r="M363" s="23"/>
      <c r="N363" s="23"/>
      <c r="O363" s="23"/>
      <c r="P363" s="23"/>
      <c r="Q363" s="19"/>
      <c r="R363" s="17">
        <v>4</v>
      </c>
      <c r="S363" s="17">
        <v>8</v>
      </c>
      <c r="T363" s="16">
        <f t="shared" si="51"/>
        <v>2438.3999999999996</v>
      </c>
      <c r="U363" s="16">
        <f t="shared" si="52"/>
        <v>1219.1999999999998</v>
      </c>
      <c r="V363" s="18">
        <f t="shared" si="53"/>
        <v>2972897.2799999993</v>
      </c>
      <c r="W363" s="18">
        <f t="shared" si="54"/>
        <v>2.9728972799999993</v>
      </c>
      <c r="X363" s="18">
        <f t="shared" si="55"/>
        <v>333.25583929343992</v>
      </c>
      <c r="Y363" s="24">
        <v>35</v>
      </c>
      <c r="Z363" s="24">
        <f t="shared" si="56"/>
        <v>11663.954375270398</v>
      </c>
      <c r="AA363" s="16">
        <v>13</v>
      </c>
      <c r="AB363" s="16">
        <f t="shared" si="57"/>
        <v>2412.3999999999996</v>
      </c>
      <c r="AC363" s="16">
        <f t="shared" si="57"/>
        <v>1193.1999999999998</v>
      </c>
      <c r="AD363" s="19">
        <f t="shared" si="58"/>
        <v>2878475.6799999992</v>
      </c>
      <c r="AE363" s="1" t="s">
        <v>7456</v>
      </c>
      <c r="AF363" s="1" t="str">
        <f>VLOOKUP(AE363,t_objeto!B:C,2,FALSE)</f>
        <v>RAW_MATERIAL</v>
      </c>
      <c r="AG363" s="1">
        <v>8</v>
      </c>
      <c r="AH363" s="1" t="str">
        <f>VLOOKUP(AG363,t_entry_status!A:AE,2,FALSE)</f>
        <v>PENDING</v>
      </c>
      <c r="AI363" s="7">
        <v>45560</v>
      </c>
      <c r="AJ363" s="1" t="s">
        <v>7449</v>
      </c>
      <c r="AK363" s="7">
        <v>45560</v>
      </c>
      <c r="AL363" s="1" t="s">
        <v>7449</v>
      </c>
    </row>
    <row r="364" spans="1:38" s="20" customFormat="1" x14ac:dyDescent="0.25">
      <c r="A364" s="14">
        <v>363</v>
      </c>
      <c r="B364" s="14" t="str">
        <f>_xlfn.CONCAT(AE364,"-",VLOOKUP(AE364,t_objeto!B:D,3,FALSE),"-",A364)</f>
        <v>RRMM-PERCCO-363</v>
      </c>
      <c r="C364" s="22" t="str">
        <f t="shared" si="59"/>
        <v>PLACA__ACERO_ROLADA EN CALIENTE_4'X8'_1/2"</v>
      </c>
      <c r="D364" s="14" t="s">
        <v>7385</v>
      </c>
      <c r="E364" s="14" t="s">
        <v>7380</v>
      </c>
      <c r="F364" s="21" t="s">
        <v>7386</v>
      </c>
      <c r="G364" s="22" t="s">
        <v>7382</v>
      </c>
      <c r="H364" s="14" t="s">
        <v>7393</v>
      </c>
      <c r="I364" s="16">
        <v>12.7</v>
      </c>
      <c r="J364" s="16">
        <f t="shared" si="60"/>
        <v>0.5</v>
      </c>
      <c r="K364" s="16">
        <v>99.694999999999993</v>
      </c>
      <c r="L364" s="23"/>
      <c r="M364" s="23"/>
      <c r="N364" s="23"/>
      <c r="O364" s="23"/>
      <c r="P364" s="23"/>
      <c r="Q364" s="19"/>
      <c r="R364" s="17">
        <v>4</v>
      </c>
      <c r="S364" s="17">
        <v>8</v>
      </c>
      <c r="T364" s="16">
        <f t="shared" si="51"/>
        <v>2438.3999999999996</v>
      </c>
      <c r="U364" s="16">
        <f t="shared" si="52"/>
        <v>1219.1999999999998</v>
      </c>
      <c r="V364" s="18">
        <f t="shared" si="53"/>
        <v>2972897.2799999993</v>
      </c>
      <c r="W364" s="18">
        <f t="shared" si="54"/>
        <v>2.9728972799999993</v>
      </c>
      <c r="X364" s="18">
        <f t="shared" si="55"/>
        <v>296.38299432959991</v>
      </c>
      <c r="Y364" s="24">
        <v>35</v>
      </c>
      <c r="Z364" s="24">
        <f t="shared" si="56"/>
        <v>10373.404801535997</v>
      </c>
      <c r="AA364" s="16">
        <v>14</v>
      </c>
      <c r="AB364" s="16">
        <f t="shared" si="57"/>
        <v>2410.3999999999996</v>
      </c>
      <c r="AC364" s="16">
        <f t="shared" si="57"/>
        <v>1191.1999999999998</v>
      </c>
      <c r="AD364" s="19">
        <f t="shared" si="58"/>
        <v>2871268.4799999991</v>
      </c>
      <c r="AE364" s="1" t="s">
        <v>7456</v>
      </c>
      <c r="AF364" s="1" t="str">
        <f>VLOOKUP(AE364,t_objeto!B:C,2,FALSE)</f>
        <v>RAW_MATERIAL</v>
      </c>
      <c r="AG364" s="1">
        <v>8</v>
      </c>
      <c r="AH364" s="1" t="str">
        <f>VLOOKUP(AG364,t_entry_status!A:AE,2,FALSE)</f>
        <v>PENDING</v>
      </c>
      <c r="AI364" s="7">
        <v>45560</v>
      </c>
      <c r="AJ364" s="1" t="s">
        <v>7449</v>
      </c>
      <c r="AK364" s="7">
        <v>45560</v>
      </c>
      <c r="AL364" s="1" t="s">
        <v>7449</v>
      </c>
    </row>
    <row r="365" spans="1:38" s="20" customFormat="1" x14ac:dyDescent="0.25">
      <c r="A365" s="14">
        <v>364</v>
      </c>
      <c r="B365" s="14" t="str">
        <f>_xlfn.CONCAT(AE365,"-",VLOOKUP(AE365,t_objeto!B:D,3,FALSE),"-",A365)</f>
        <v>RRMM-PERCCO-364</v>
      </c>
      <c r="C365" s="22" t="str">
        <f t="shared" si="59"/>
        <v>PLACA__ACERO_ROLADA EN CALIENTE_4'X8'_7/16"</v>
      </c>
      <c r="D365" s="14" t="s">
        <v>7385</v>
      </c>
      <c r="E365" s="14" t="s">
        <v>7380</v>
      </c>
      <c r="F365" s="21" t="s">
        <v>7386</v>
      </c>
      <c r="G365" s="22" t="s">
        <v>7382</v>
      </c>
      <c r="H365" s="14" t="s">
        <v>7394</v>
      </c>
      <c r="I365" s="16">
        <v>11.11</v>
      </c>
      <c r="J365" s="16">
        <f t="shared" si="60"/>
        <v>0.43740157480314962</v>
      </c>
      <c r="K365" s="16">
        <v>87.213999999999999</v>
      </c>
      <c r="L365" s="23"/>
      <c r="M365" s="23"/>
      <c r="N365" s="23"/>
      <c r="O365" s="23"/>
      <c r="P365" s="23"/>
      <c r="Q365" s="19"/>
      <c r="R365" s="17">
        <v>4</v>
      </c>
      <c r="S365" s="17">
        <v>8</v>
      </c>
      <c r="T365" s="16">
        <f t="shared" si="51"/>
        <v>2438.3999999999996</v>
      </c>
      <c r="U365" s="16">
        <f t="shared" si="52"/>
        <v>1219.1999999999998</v>
      </c>
      <c r="V365" s="18">
        <f t="shared" si="53"/>
        <v>2972897.2799999993</v>
      </c>
      <c r="W365" s="18">
        <f t="shared" si="54"/>
        <v>2.9728972799999993</v>
      </c>
      <c r="X365" s="18">
        <f t="shared" si="55"/>
        <v>259.27826337791993</v>
      </c>
      <c r="Y365" s="24">
        <v>35</v>
      </c>
      <c r="Z365" s="24">
        <f t="shared" si="56"/>
        <v>9074.7392182271979</v>
      </c>
      <c r="AA365" s="16">
        <v>15</v>
      </c>
      <c r="AB365" s="16">
        <f t="shared" si="57"/>
        <v>2408.3999999999996</v>
      </c>
      <c r="AC365" s="16">
        <f t="shared" si="57"/>
        <v>1189.1999999999998</v>
      </c>
      <c r="AD365" s="19">
        <f t="shared" si="58"/>
        <v>2864069.2799999993</v>
      </c>
      <c r="AE365" s="1" t="s">
        <v>7456</v>
      </c>
      <c r="AF365" s="1" t="str">
        <f>VLOOKUP(AE365,t_objeto!B:C,2,FALSE)</f>
        <v>RAW_MATERIAL</v>
      </c>
      <c r="AG365" s="1">
        <v>8</v>
      </c>
      <c r="AH365" s="1" t="str">
        <f>VLOOKUP(AG365,t_entry_status!A:AE,2,FALSE)</f>
        <v>PENDING</v>
      </c>
      <c r="AI365" s="7">
        <v>45560</v>
      </c>
      <c r="AJ365" s="1" t="s">
        <v>7449</v>
      </c>
      <c r="AK365" s="7">
        <v>45560</v>
      </c>
      <c r="AL365" s="1" t="s">
        <v>7449</v>
      </c>
    </row>
    <row r="366" spans="1:38" s="20" customFormat="1" x14ac:dyDescent="0.25">
      <c r="A366" s="14">
        <v>365</v>
      </c>
      <c r="B366" s="14" t="str">
        <f>_xlfn.CONCAT(AE366,"-",VLOOKUP(AE366,t_objeto!B:D,3,FALSE),"-",A366)</f>
        <v>RRMM-PERCCO-365</v>
      </c>
      <c r="C366" s="22" t="str">
        <f t="shared" si="59"/>
        <v>PLACA__ACERO_ROLADA EN CALIENTE_4'X8'_3/8"</v>
      </c>
      <c r="D366" s="14" t="s">
        <v>7385</v>
      </c>
      <c r="E366" s="14" t="s">
        <v>7380</v>
      </c>
      <c r="F366" s="21" t="s">
        <v>7386</v>
      </c>
      <c r="G366" s="22" t="s">
        <v>7382</v>
      </c>
      <c r="H366" s="14" t="s">
        <v>7395</v>
      </c>
      <c r="I366" s="16">
        <v>9.52</v>
      </c>
      <c r="J366" s="16">
        <f t="shared" si="60"/>
        <v>0.37480314960629924</v>
      </c>
      <c r="K366" s="16">
        <v>74.731999999999999</v>
      </c>
      <c r="L366" s="23"/>
      <c r="M366" s="23"/>
      <c r="N366" s="23"/>
      <c r="O366" s="23"/>
      <c r="P366" s="23"/>
      <c r="Q366" s="19"/>
      <c r="R366" s="17">
        <v>4</v>
      </c>
      <c r="S366" s="17">
        <v>8</v>
      </c>
      <c r="T366" s="16">
        <f t="shared" si="51"/>
        <v>2438.3999999999996</v>
      </c>
      <c r="U366" s="16">
        <f t="shared" si="52"/>
        <v>1219.1999999999998</v>
      </c>
      <c r="V366" s="18">
        <f t="shared" si="53"/>
        <v>2972897.2799999993</v>
      </c>
      <c r="W366" s="18">
        <f t="shared" si="54"/>
        <v>2.9728972799999993</v>
      </c>
      <c r="X366" s="18">
        <f t="shared" si="55"/>
        <v>222.17055952895996</v>
      </c>
      <c r="Y366" s="24">
        <v>35</v>
      </c>
      <c r="Z366" s="24">
        <f t="shared" si="56"/>
        <v>7775.9695835135981</v>
      </c>
      <c r="AA366" s="16">
        <v>16</v>
      </c>
      <c r="AB366" s="16">
        <f t="shared" si="57"/>
        <v>2406.3999999999996</v>
      </c>
      <c r="AC366" s="16">
        <f t="shared" si="57"/>
        <v>1187.1999999999998</v>
      </c>
      <c r="AD366" s="19">
        <f t="shared" si="58"/>
        <v>2856878.0799999991</v>
      </c>
      <c r="AE366" s="1" t="s">
        <v>7456</v>
      </c>
      <c r="AF366" s="1" t="str">
        <f>VLOOKUP(AE366,t_objeto!B:C,2,FALSE)</f>
        <v>RAW_MATERIAL</v>
      </c>
      <c r="AG366" s="1">
        <v>8</v>
      </c>
      <c r="AH366" s="1" t="str">
        <f>VLOOKUP(AG366,t_entry_status!A:AE,2,FALSE)</f>
        <v>PENDING</v>
      </c>
      <c r="AI366" s="7">
        <v>45560</v>
      </c>
      <c r="AJ366" s="1" t="s">
        <v>7449</v>
      </c>
      <c r="AK366" s="7">
        <v>45560</v>
      </c>
      <c r="AL366" s="1" t="s">
        <v>7449</v>
      </c>
    </row>
    <row r="367" spans="1:38" s="20" customFormat="1" x14ac:dyDescent="0.25">
      <c r="A367" s="14">
        <v>366</v>
      </c>
      <c r="B367" s="14" t="str">
        <f>_xlfn.CONCAT(AE367,"-",VLOOKUP(AE367,t_objeto!B:D,3,FALSE),"-",A367)</f>
        <v>RRMM-PERCCO-366</v>
      </c>
      <c r="C367" s="22" t="str">
        <f t="shared" si="59"/>
        <v>PLACA__ACERO_ROLADA EN CALIENTE_4'X8'_5/16"</v>
      </c>
      <c r="D367" s="14" t="s">
        <v>7385</v>
      </c>
      <c r="E367" s="14" t="s">
        <v>7380</v>
      </c>
      <c r="F367" s="21" t="s">
        <v>7386</v>
      </c>
      <c r="G367" s="22" t="s">
        <v>7382</v>
      </c>
      <c r="H367" s="14" t="s">
        <v>7396</v>
      </c>
      <c r="I367" s="16">
        <v>7.93</v>
      </c>
      <c r="J367" s="16">
        <f t="shared" si="60"/>
        <v>0.31220472440944885</v>
      </c>
      <c r="K367" s="16">
        <v>62.250999999999998</v>
      </c>
      <c r="L367" s="23"/>
      <c r="M367" s="23"/>
      <c r="N367" s="23"/>
      <c r="O367" s="23"/>
      <c r="P367" s="23"/>
      <c r="Q367" s="19"/>
      <c r="R367" s="17">
        <v>4</v>
      </c>
      <c r="S367" s="17">
        <v>8</v>
      </c>
      <c r="T367" s="16">
        <f t="shared" si="51"/>
        <v>2438.3999999999996</v>
      </c>
      <c r="U367" s="16">
        <f t="shared" si="52"/>
        <v>1219.1999999999998</v>
      </c>
      <c r="V367" s="18">
        <f t="shared" si="53"/>
        <v>2972897.2799999993</v>
      </c>
      <c r="W367" s="18">
        <f t="shared" si="54"/>
        <v>2.9728972799999993</v>
      </c>
      <c r="X367" s="18">
        <f t="shared" si="55"/>
        <v>185.06582857727994</v>
      </c>
      <c r="Y367" s="24">
        <v>35</v>
      </c>
      <c r="Z367" s="24">
        <f t="shared" si="56"/>
        <v>6477.3040002047983</v>
      </c>
      <c r="AA367" s="16">
        <v>17</v>
      </c>
      <c r="AB367" s="16">
        <f t="shared" si="57"/>
        <v>2404.3999999999996</v>
      </c>
      <c r="AC367" s="16">
        <f t="shared" si="57"/>
        <v>1185.1999999999998</v>
      </c>
      <c r="AD367" s="19">
        <f t="shared" si="58"/>
        <v>2849694.879999999</v>
      </c>
      <c r="AE367" s="1" t="s">
        <v>7456</v>
      </c>
      <c r="AF367" s="1" t="str">
        <f>VLOOKUP(AE367,t_objeto!B:C,2,FALSE)</f>
        <v>RAW_MATERIAL</v>
      </c>
      <c r="AG367" s="1">
        <v>8</v>
      </c>
      <c r="AH367" s="1" t="str">
        <f>VLOOKUP(AG367,t_entry_status!A:AE,2,FALSE)</f>
        <v>PENDING</v>
      </c>
      <c r="AI367" s="7">
        <v>45560</v>
      </c>
      <c r="AJ367" s="1" t="s">
        <v>7449</v>
      </c>
      <c r="AK367" s="7">
        <v>45560</v>
      </c>
      <c r="AL367" s="1" t="s">
        <v>7449</v>
      </c>
    </row>
    <row r="368" spans="1:38" s="20" customFormat="1" x14ac:dyDescent="0.25">
      <c r="A368" s="14">
        <v>367</v>
      </c>
      <c r="B368" s="14" t="str">
        <f>_xlfn.CONCAT(AE368,"-",VLOOKUP(AE368,t_objeto!B:D,3,FALSE),"-",A368)</f>
        <v>RRMM-PERCCO-367</v>
      </c>
      <c r="C368" s="22" t="str">
        <f t="shared" si="59"/>
        <v>PLACA__ACERO_ROLADA EN CALIENTE_4'X8'_1/4"</v>
      </c>
      <c r="D368" s="14" t="s">
        <v>7385</v>
      </c>
      <c r="E368" s="14" t="s">
        <v>7380</v>
      </c>
      <c r="F368" s="21" t="s">
        <v>7386</v>
      </c>
      <c r="G368" s="22" t="s">
        <v>7382</v>
      </c>
      <c r="H368" s="14" t="s">
        <v>7397</v>
      </c>
      <c r="I368" s="16">
        <v>6.35</v>
      </c>
      <c r="J368" s="16">
        <f t="shared" si="60"/>
        <v>0.25</v>
      </c>
      <c r="K368" s="16">
        <v>49.847999999999999</v>
      </c>
      <c r="L368" s="23"/>
      <c r="M368" s="23"/>
      <c r="N368" s="23"/>
      <c r="O368" s="23"/>
      <c r="P368" s="23"/>
      <c r="Q368" s="19"/>
      <c r="R368" s="17">
        <v>4</v>
      </c>
      <c r="S368" s="17">
        <v>8</v>
      </c>
      <c r="T368" s="16">
        <f t="shared" si="51"/>
        <v>2438.3999999999996</v>
      </c>
      <c r="U368" s="16">
        <f t="shared" si="52"/>
        <v>1219.1999999999998</v>
      </c>
      <c r="V368" s="18">
        <f t="shared" si="53"/>
        <v>2972897.2799999993</v>
      </c>
      <c r="W368" s="18">
        <f t="shared" si="54"/>
        <v>2.9728972799999993</v>
      </c>
      <c r="X368" s="18">
        <f t="shared" si="55"/>
        <v>148.19298361343996</v>
      </c>
      <c r="Y368" s="24">
        <v>35</v>
      </c>
      <c r="Z368" s="24">
        <f t="shared" si="56"/>
        <v>5186.7544264703984</v>
      </c>
      <c r="AA368" s="16">
        <v>18</v>
      </c>
      <c r="AB368" s="16">
        <f t="shared" si="57"/>
        <v>2402.3999999999996</v>
      </c>
      <c r="AC368" s="16">
        <f t="shared" si="57"/>
        <v>1183.1999999999998</v>
      </c>
      <c r="AD368" s="19">
        <f t="shared" si="58"/>
        <v>2842519.6799999992</v>
      </c>
      <c r="AE368" s="1" t="s">
        <v>7456</v>
      </c>
      <c r="AF368" s="1" t="str">
        <f>VLOOKUP(AE368,t_objeto!B:C,2,FALSE)</f>
        <v>RAW_MATERIAL</v>
      </c>
      <c r="AG368" s="1">
        <v>8</v>
      </c>
      <c r="AH368" s="1" t="str">
        <f>VLOOKUP(AG368,t_entry_status!A:AE,2,FALSE)</f>
        <v>PENDING</v>
      </c>
      <c r="AI368" s="7">
        <v>45560</v>
      </c>
      <c r="AJ368" s="1" t="s">
        <v>7449</v>
      </c>
      <c r="AK368" s="7">
        <v>45560</v>
      </c>
      <c r="AL368" s="1" t="s">
        <v>7449</v>
      </c>
    </row>
    <row r="369" spans="1:38" s="20" customFormat="1" x14ac:dyDescent="0.25">
      <c r="A369" s="14">
        <v>368</v>
      </c>
      <c r="B369" s="14" t="str">
        <f>_xlfn.CONCAT(AE369,"-",VLOOKUP(AE369,t_objeto!B:D,3,FALSE),"-",A369)</f>
        <v>RRMM-PERCCO-368</v>
      </c>
      <c r="C369" s="22" t="str">
        <f t="shared" si="59"/>
        <v>PLACA__ACERO_ROLADA EN CALIENTE_4'X8'_3/16"</v>
      </c>
      <c r="D369" s="14" t="s">
        <v>7385</v>
      </c>
      <c r="E369" s="14" t="s">
        <v>7380</v>
      </c>
      <c r="F369" s="21" t="s">
        <v>7386</v>
      </c>
      <c r="G369" s="22" t="s">
        <v>7382</v>
      </c>
      <c r="H369" s="14" t="s">
        <v>7398</v>
      </c>
      <c r="I369" s="16">
        <v>4.76</v>
      </c>
      <c r="J369" s="16">
        <f t="shared" si="60"/>
        <v>0.18740157480314962</v>
      </c>
      <c r="K369" s="16">
        <v>37.366</v>
      </c>
      <c r="L369" s="23"/>
      <c r="M369" s="23"/>
      <c r="N369" s="23"/>
      <c r="O369" s="23"/>
      <c r="P369" s="23"/>
      <c r="Q369" s="19"/>
      <c r="R369" s="17">
        <v>4</v>
      </c>
      <c r="S369" s="17">
        <v>8</v>
      </c>
      <c r="T369" s="16">
        <f t="shared" si="51"/>
        <v>2438.3999999999996</v>
      </c>
      <c r="U369" s="16">
        <f t="shared" si="52"/>
        <v>1219.1999999999998</v>
      </c>
      <c r="V369" s="18">
        <f t="shared" si="53"/>
        <v>2972897.2799999993</v>
      </c>
      <c r="W369" s="18">
        <f t="shared" si="54"/>
        <v>2.9728972799999993</v>
      </c>
      <c r="X369" s="18">
        <f t="shared" si="55"/>
        <v>111.08527976447998</v>
      </c>
      <c r="Y369" s="24">
        <v>35</v>
      </c>
      <c r="Z369" s="24">
        <f t="shared" si="56"/>
        <v>3887.984791756799</v>
      </c>
      <c r="AA369" s="16">
        <v>19</v>
      </c>
      <c r="AB369" s="16">
        <f t="shared" si="57"/>
        <v>2400.3999999999996</v>
      </c>
      <c r="AC369" s="16">
        <f t="shared" si="57"/>
        <v>1181.1999999999998</v>
      </c>
      <c r="AD369" s="19">
        <f t="shared" si="58"/>
        <v>2835352.4799999991</v>
      </c>
      <c r="AE369" s="1" t="s">
        <v>7456</v>
      </c>
      <c r="AF369" s="1" t="str">
        <f>VLOOKUP(AE369,t_objeto!B:C,2,FALSE)</f>
        <v>RAW_MATERIAL</v>
      </c>
      <c r="AG369" s="1">
        <v>8</v>
      </c>
      <c r="AH369" s="1" t="str">
        <f>VLOOKUP(AG369,t_entry_status!A:AE,2,FALSE)</f>
        <v>PENDING</v>
      </c>
      <c r="AI369" s="7">
        <v>45560</v>
      </c>
      <c r="AJ369" s="1" t="s">
        <v>7449</v>
      </c>
      <c r="AK369" s="7">
        <v>45560</v>
      </c>
      <c r="AL369" s="1" t="s">
        <v>7449</v>
      </c>
    </row>
    <row r="370" spans="1:38" s="20" customFormat="1" x14ac:dyDescent="0.25">
      <c r="A370" s="14">
        <v>369</v>
      </c>
      <c r="B370" s="14" t="str">
        <f>_xlfn.CONCAT(AE370,"-",VLOOKUP(AE370,t_objeto!B:D,3,FALSE),"-",A370)</f>
        <v>RRMM-PERCCO-369</v>
      </c>
      <c r="C370" s="22" t="str">
        <f t="shared" si="59"/>
        <v>LAMINA_LISA__ACERO_ROLADA EN CALIENTE_4'X8'_4</v>
      </c>
      <c r="D370" s="14" t="s">
        <v>7407</v>
      </c>
      <c r="E370" s="14" t="s">
        <v>7380</v>
      </c>
      <c r="F370" s="21" t="s">
        <v>7386</v>
      </c>
      <c r="G370" s="22" t="s">
        <v>7382</v>
      </c>
      <c r="H370" s="14">
        <v>4</v>
      </c>
      <c r="I370" s="16">
        <v>5.69</v>
      </c>
      <c r="J370" s="16">
        <f t="shared" si="60"/>
        <v>0.2240157480314961</v>
      </c>
      <c r="K370" s="16">
        <v>44.667000000000002</v>
      </c>
      <c r="L370" s="23"/>
      <c r="M370" s="23"/>
      <c r="N370" s="23"/>
      <c r="O370" s="23"/>
      <c r="P370" s="23"/>
      <c r="Q370" s="19"/>
      <c r="R370" s="17">
        <v>4</v>
      </c>
      <c r="S370" s="17">
        <v>8</v>
      </c>
      <c r="T370" s="16">
        <f t="shared" si="51"/>
        <v>2438.3999999999996</v>
      </c>
      <c r="U370" s="16">
        <f t="shared" si="52"/>
        <v>1219.1999999999998</v>
      </c>
      <c r="V370" s="18">
        <f t="shared" si="53"/>
        <v>2972897.2799999993</v>
      </c>
      <c r="W370" s="18">
        <f t="shared" si="54"/>
        <v>2.9728972799999993</v>
      </c>
      <c r="X370" s="18">
        <f t="shared" si="55"/>
        <v>132.79040280575998</v>
      </c>
      <c r="Y370" s="24">
        <v>35</v>
      </c>
      <c r="Z370" s="24">
        <f t="shared" si="56"/>
        <v>4647.6640982015997</v>
      </c>
      <c r="AA370" s="16">
        <v>20</v>
      </c>
      <c r="AB370" s="16">
        <f t="shared" si="57"/>
        <v>2398.3999999999996</v>
      </c>
      <c r="AC370" s="16">
        <f t="shared" si="57"/>
        <v>1179.1999999999998</v>
      </c>
      <c r="AD370" s="19">
        <f t="shared" si="58"/>
        <v>2828193.2799999993</v>
      </c>
      <c r="AE370" s="1" t="s">
        <v>7456</v>
      </c>
      <c r="AF370" s="1" t="str">
        <f>VLOOKUP(AE370,t_objeto!B:C,2,FALSE)</f>
        <v>RAW_MATERIAL</v>
      </c>
      <c r="AG370" s="1">
        <v>8</v>
      </c>
      <c r="AH370" s="1" t="str">
        <f>VLOOKUP(AG370,t_entry_status!A:AE,2,FALSE)</f>
        <v>PENDING</v>
      </c>
      <c r="AI370" s="7">
        <v>45560</v>
      </c>
      <c r="AJ370" s="1" t="s">
        <v>7449</v>
      </c>
      <c r="AK370" s="7">
        <v>45560</v>
      </c>
      <c r="AL370" s="1" t="s">
        <v>7449</v>
      </c>
    </row>
    <row r="371" spans="1:38" s="20" customFormat="1" x14ac:dyDescent="0.25">
      <c r="A371" s="14">
        <v>370</v>
      </c>
      <c r="B371" s="14" t="str">
        <f>_xlfn.CONCAT(AE371,"-",VLOOKUP(AE371,t_objeto!B:D,3,FALSE),"-",A371)</f>
        <v>RRMM-PERCCO-370</v>
      </c>
      <c r="C371" s="22" t="str">
        <f t="shared" si="59"/>
        <v>LAMINA_LISA__ACERO_ROLADA EN CALIENTE_4'X8'_5</v>
      </c>
      <c r="D371" s="14" t="s">
        <v>7407</v>
      </c>
      <c r="E371" s="14" t="s">
        <v>7380</v>
      </c>
      <c r="F371" s="21" t="s">
        <v>7386</v>
      </c>
      <c r="G371" s="22" t="s">
        <v>7382</v>
      </c>
      <c r="H371" s="14">
        <v>5</v>
      </c>
      <c r="I371" s="16">
        <v>5.31</v>
      </c>
      <c r="J371" s="16">
        <f t="shared" si="60"/>
        <v>0.20905511811023622</v>
      </c>
      <c r="K371" s="16">
        <v>41.683999999999997</v>
      </c>
      <c r="L371" s="23"/>
      <c r="M371" s="23"/>
      <c r="N371" s="23"/>
      <c r="O371" s="23"/>
      <c r="P371" s="23"/>
      <c r="Q371" s="19"/>
      <c r="R371" s="17">
        <v>4</v>
      </c>
      <c r="S371" s="17">
        <v>8</v>
      </c>
      <c r="T371" s="16">
        <f t="shared" si="51"/>
        <v>2438.3999999999996</v>
      </c>
      <c r="U371" s="16">
        <f t="shared" si="52"/>
        <v>1219.1999999999998</v>
      </c>
      <c r="V371" s="18">
        <f t="shared" si="53"/>
        <v>2972897.2799999993</v>
      </c>
      <c r="W371" s="18">
        <f t="shared" si="54"/>
        <v>2.9728972799999993</v>
      </c>
      <c r="X371" s="18">
        <f t="shared" si="55"/>
        <v>123.92225021951997</v>
      </c>
      <c r="Y371" s="24">
        <v>35</v>
      </c>
      <c r="Z371" s="24">
        <f t="shared" si="56"/>
        <v>4337.2787576831988</v>
      </c>
      <c r="AA371" s="16">
        <v>21</v>
      </c>
      <c r="AB371" s="16">
        <f t="shared" si="57"/>
        <v>2396.3999999999996</v>
      </c>
      <c r="AC371" s="16">
        <f t="shared" si="57"/>
        <v>1177.1999999999998</v>
      </c>
      <c r="AD371" s="19">
        <f t="shared" si="58"/>
        <v>2821042.0799999991</v>
      </c>
      <c r="AE371" s="1" t="s">
        <v>7456</v>
      </c>
      <c r="AF371" s="1" t="str">
        <f>VLOOKUP(AE371,t_objeto!B:C,2,FALSE)</f>
        <v>RAW_MATERIAL</v>
      </c>
      <c r="AG371" s="1">
        <v>8</v>
      </c>
      <c r="AH371" s="1" t="str">
        <f>VLOOKUP(AG371,t_entry_status!A:AE,2,FALSE)</f>
        <v>PENDING</v>
      </c>
      <c r="AI371" s="7">
        <v>45560</v>
      </c>
      <c r="AJ371" s="1" t="s">
        <v>7449</v>
      </c>
      <c r="AK371" s="7">
        <v>45560</v>
      </c>
      <c r="AL371" s="1" t="s">
        <v>7449</v>
      </c>
    </row>
    <row r="372" spans="1:38" s="20" customFormat="1" x14ac:dyDescent="0.25">
      <c r="A372" s="14">
        <v>371</v>
      </c>
      <c r="B372" s="14" t="str">
        <f>_xlfn.CONCAT(AE372,"-",VLOOKUP(AE372,t_objeto!B:D,3,FALSE),"-",A372)</f>
        <v>RRMM-PERCCO-371</v>
      </c>
      <c r="C372" s="22" t="str">
        <f t="shared" si="59"/>
        <v>LAMINA_LISA__ACERO_ROLADA EN CALIENTE_4'X8'_6</v>
      </c>
      <c r="D372" s="14" t="s">
        <v>7407</v>
      </c>
      <c r="E372" s="14" t="s">
        <v>7380</v>
      </c>
      <c r="F372" s="21" t="s">
        <v>7386</v>
      </c>
      <c r="G372" s="22" t="s">
        <v>7382</v>
      </c>
      <c r="H372" s="14">
        <v>6</v>
      </c>
      <c r="I372" s="16">
        <v>4.9400000000000004</v>
      </c>
      <c r="J372" s="16">
        <f t="shared" si="60"/>
        <v>0.19448818897637798</v>
      </c>
      <c r="K372" s="16">
        <v>38.779000000000003</v>
      </c>
      <c r="L372" s="23"/>
      <c r="M372" s="23"/>
      <c r="N372" s="23"/>
      <c r="O372" s="23"/>
      <c r="P372" s="23"/>
      <c r="Q372" s="19"/>
      <c r="R372" s="17">
        <v>4</v>
      </c>
      <c r="S372" s="17">
        <v>8</v>
      </c>
      <c r="T372" s="16">
        <f t="shared" si="51"/>
        <v>2438.3999999999996</v>
      </c>
      <c r="U372" s="16">
        <f t="shared" si="52"/>
        <v>1219.1999999999998</v>
      </c>
      <c r="V372" s="18">
        <f t="shared" si="53"/>
        <v>2972897.2799999993</v>
      </c>
      <c r="W372" s="18">
        <f t="shared" si="54"/>
        <v>2.9728972799999993</v>
      </c>
      <c r="X372" s="18">
        <f t="shared" si="55"/>
        <v>115.28598362111998</v>
      </c>
      <c r="Y372" s="24">
        <v>35</v>
      </c>
      <c r="Z372" s="24">
        <f t="shared" si="56"/>
        <v>4035.0094267391992</v>
      </c>
      <c r="AA372" s="16">
        <v>22</v>
      </c>
      <c r="AB372" s="16">
        <f t="shared" si="57"/>
        <v>2394.3999999999996</v>
      </c>
      <c r="AC372" s="16">
        <f t="shared" si="57"/>
        <v>1175.1999999999998</v>
      </c>
      <c r="AD372" s="19">
        <f t="shared" si="58"/>
        <v>2813898.879999999</v>
      </c>
      <c r="AE372" s="1" t="s">
        <v>7456</v>
      </c>
      <c r="AF372" s="1" t="str">
        <f>VLOOKUP(AE372,t_objeto!B:C,2,FALSE)</f>
        <v>RAW_MATERIAL</v>
      </c>
      <c r="AG372" s="1">
        <v>8</v>
      </c>
      <c r="AH372" s="1" t="str">
        <f>VLOOKUP(AG372,t_entry_status!A:AE,2,FALSE)</f>
        <v>PENDING</v>
      </c>
      <c r="AI372" s="7">
        <v>45560</v>
      </c>
      <c r="AJ372" s="1" t="s">
        <v>7449</v>
      </c>
      <c r="AK372" s="7">
        <v>45560</v>
      </c>
      <c r="AL372" s="1" t="s">
        <v>7449</v>
      </c>
    </row>
    <row r="373" spans="1:38" s="20" customFormat="1" x14ac:dyDescent="0.25">
      <c r="A373" s="14">
        <v>372</v>
      </c>
      <c r="B373" s="14" t="str">
        <f>_xlfn.CONCAT(AE373,"-",VLOOKUP(AE373,t_objeto!B:D,3,FALSE),"-",A373)</f>
        <v>RRMM-PERCCO-372</v>
      </c>
      <c r="C373" s="22" t="str">
        <f t="shared" si="59"/>
        <v>LAMINA_LISA__ACERO_ROLADA EN CALIENTE_4'X8'_7</v>
      </c>
      <c r="D373" s="14" t="s">
        <v>7407</v>
      </c>
      <c r="E373" s="14" t="s">
        <v>7380</v>
      </c>
      <c r="F373" s="21" t="s">
        <v>7386</v>
      </c>
      <c r="G373" s="22" t="s">
        <v>7382</v>
      </c>
      <c r="H373" s="14">
        <v>7</v>
      </c>
      <c r="I373" s="16">
        <v>4.55</v>
      </c>
      <c r="J373" s="16">
        <f t="shared" si="60"/>
        <v>0.17913385826771655</v>
      </c>
      <c r="K373" s="16">
        <v>35.718000000000004</v>
      </c>
      <c r="L373" s="23"/>
      <c r="M373" s="23"/>
      <c r="N373" s="23"/>
      <c r="O373" s="23"/>
      <c r="P373" s="23"/>
      <c r="Q373" s="19"/>
      <c r="R373" s="17">
        <v>4</v>
      </c>
      <c r="S373" s="17">
        <v>8</v>
      </c>
      <c r="T373" s="16">
        <f t="shared" si="51"/>
        <v>2438.3999999999996</v>
      </c>
      <c r="U373" s="16">
        <f t="shared" si="52"/>
        <v>1219.1999999999998</v>
      </c>
      <c r="V373" s="18">
        <f t="shared" si="53"/>
        <v>2972897.2799999993</v>
      </c>
      <c r="W373" s="18">
        <f t="shared" si="54"/>
        <v>2.9728972799999993</v>
      </c>
      <c r="X373" s="18">
        <f t="shared" si="55"/>
        <v>106.18594504703998</v>
      </c>
      <c r="Y373" s="24">
        <v>35</v>
      </c>
      <c r="Z373" s="24">
        <f t="shared" si="56"/>
        <v>3716.5080766463993</v>
      </c>
      <c r="AA373" s="16">
        <v>23</v>
      </c>
      <c r="AB373" s="16">
        <f t="shared" si="57"/>
        <v>2392.3999999999996</v>
      </c>
      <c r="AC373" s="16">
        <f t="shared" si="57"/>
        <v>1173.1999999999998</v>
      </c>
      <c r="AD373" s="19">
        <f t="shared" si="58"/>
        <v>2806763.6799999992</v>
      </c>
      <c r="AE373" s="1" t="s">
        <v>7456</v>
      </c>
      <c r="AF373" s="1" t="str">
        <f>VLOOKUP(AE373,t_objeto!B:C,2,FALSE)</f>
        <v>RAW_MATERIAL</v>
      </c>
      <c r="AG373" s="1">
        <v>8</v>
      </c>
      <c r="AH373" s="1" t="str">
        <f>VLOOKUP(AG373,t_entry_status!A:AE,2,FALSE)</f>
        <v>PENDING</v>
      </c>
      <c r="AI373" s="7">
        <v>45560</v>
      </c>
      <c r="AJ373" s="1" t="s">
        <v>7449</v>
      </c>
      <c r="AK373" s="7">
        <v>45560</v>
      </c>
      <c r="AL373" s="1" t="s">
        <v>7449</v>
      </c>
    </row>
    <row r="374" spans="1:38" s="20" customFormat="1" x14ac:dyDescent="0.25">
      <c r="A374" s="14">
        <v>373</v>
      </c>
      <c r="B374" s="14" t="str">
        <f>_xlfn.CONCAT(AE374,"-",VLOOKUP(AE374,t_objeto!B:D,3,FALSE),"-",A374)</f>
        <v>RRMM-PERCCO-373</v>
      </c>
      <c r="C374" s="22" t="str">
        <f t="shared" si="59"/>
        <v>LAMINA_LISA__ACERO_ROLADA EN CALIENTE_4'X8'_8</v>
      </c>
      <c r="D374" s="14" t="s">
        <v>7407</v>
      </c>
      <c r="E374" s="14" t="s">
        <v>7380</v>
      </c>
      <c r="F374" s="21" t="s">
        <v>7386</v>
      </c>
      <c r="G374" s="22" t="s">
        <v>7382</v>
      </c>
      <c r="H374" s="14">
        <v>8</v>
      </c>
      <c r="I374" s="16">
        <v>4.18</v>
      </c>
      <c r="J374" s="16">
        <f t="shared" si="60"/>
        <v>0.16456692913385826</v>
      </c>
      <c r="K374" s="16">
        <v>32.813000000000002</v>
      </c>
      <c r="L374" s="23"/>
      <c r="M374" s="23"/>
      <c r="N374" s="23"/>
      <c r="O374" s="23"/>
      <c r="P374" s="23"/>
      <c r="Q374" s="19"/>
      <c r="R374" s="17">
        <v>4</v>
      </c>
      <c r="S374" s="17">
        <v>8</v>
      </c>
      <c r="T374" s="16">
        <f t="shared" si="51"/>
        <v>2438.3999999999996</v>
      </c>
      <c r="U374" s="16">
        <f t="shared" si="52"/>
        <v>1219.1999999999998</v>
      </c>
      <c r="V374" s="18">
        <f t="shared" si="53"/>
        <v>2972897.2799999993</v>
      </c>
      <c r="W374" s="18">
        <f t="shared" si="54"/>
        <v>2.9728972799999993</v>
      </c>
      <c r="X374" s="18">
        <f t="shared" si="55"/>
        <v>97.54967844863998</v>
      </c>
      <c r="Y374" s="24">
        <v>35</v>
      </c>
      <c r="Z374" s="24">
        <f t="shared" si="56"/>
        <v>3414.2387457023992</v>
      </c>
      <c r="AA374" s="16">
        <v>24</v>
      </c>
      <c r="AB374" s="16">
        <f t="shared" si="57"/>
        <v>2390.3999999999996</v>
      </c>
      <c r="AC374" s="16">
        <f t="shared" si="57"/>
        <v>1171.1999999999998</v>
      </c>
      <c r="AD374" s="19">
        <f t="shared" si="58"/>
        <v>2799636.4799999991</v>
      </c>
      <c r="AE374" s="1" t="s">
        <v>7456</v>
      </c>
      <c r="AF374" s="1" t="str">
        <f>VLOOKUP(AE374,t_objeto!B:C,2,FALSE)</f>
        <v>RAW_MATERIAL</v>
      </c>
      <c r="AG374" s="1">
        <v>8</v>
      </c>
      <c r="AH374" s="1" t="str">
        <f>VLOOKUP(AG374,t_entry_status!A:AE,2,FALSE)</f>
        <v>PENDING</v>
      </c>
      <c r="AI374" s="7">
        <v>45560</v>
      </c>
      <c r="AJ374" s="1" t="s">
        <v>7449</v>
      </c>
      <c r="AK374" s="7">
        <v>45560</v>
      </c>
      <c r="AL374" s="1" t="s">
        <v>7449</v>
      </c>
    </row>
    <row r="375" spans="1:38" s="20" customFormat="1" x14ac:dyDescent="0.25">
      <c r="A375" s="14">
        <v>374</v>
      </c>
      <c r="B375" s="14" t="str">
        <f>_xlfn.CONCAT(AE375,"-",VLOOKUP(AE375,t_objeto!B:D,3,FALSE),"-",A375)</f>
        <v>RRMM-PERCCO-374</v>
      </c>
      <c r="C375" s="22" t="str">
        <f t="shared" si="59"/>
        <v>LAMINA_LISA__ACERO_ROLADA EN CALIENTE_4'X8'_9</v>
      </c>
      <c r="D375" s="14" t="s">
        <v>7407</v>
      </c>
      <c r="E375" s="14" t="s">
        <v>7380</v>
      </c>
      <c r="F375" s="21" t="s">
        <v>7386</v>
      </c>
      <c r="G375" s="22" t="s">
        <v>7382</v>
      </c>
      <c r="H375" s="14">
        <v>9</v>
      </c>
      <c r="I375" s="16">
        <v>3.8</v>
      </c>
      <c r="J375" s="16">
        <f t="shared" si="60"/>
        <v>0.14960629921259844</v>
      </c>
      <c r="K375" s="16">
        <v>29.83</v>
      </c>
      <c r="L375" s="23"/>
      <c r="M375" s="23"/>
      <c r="N375" s="23"/>
      <c r="O375" s="23"/>
      <c r="P375" s="23"/>
      <c r="Q375" s="19"/>
      <c r="R375" s="17">
        <v>4</v>
      </c>
      <c r="S375" s="17">
        <v>8</v>
      </c>
      <c r="T375" s="16">
        <f t="shared" si="51"/>
        <v>2438.3999999999996</v>
      </c>
      <c r="U375" s="16">
        <f t="shared" si="52"/>
        <v>1219.1999999999998</v>
      </c>
      <c r="V375" s="18">
        <f t="shared" si="53"/>
        <v>2972897.2799999993</v>
      </c>
      <c r="W375" s="18">
        <f t="shared" si="54"/>
        <v>2.9728972799999993</v>
      </c>
      <c r="X375" s="18">
        <f t="shared" si="55"/>
        <v>88.68152586239998</v>
      </c>
      <c r="Y375" s="24">
        <v>35</v>
      </c>
      <c r="Z375" s="24">
        <f t="shared" si="56"/>
        <v>3103.8534051839993</v>
      </c>
      <c r="AA375" s="16">
        <v>25</v>
      </c>
      <c r="AB375" s="16">
        <f t="shared" si="57"/>
        <v>2388.3999999999996</v>
      </c>
      <c r="AC375" s="16">
        <f t="shared" si="57"/>
        <v>1169.1999999999998</v>
      </c>
      <c r="AD375" s="19">
        <f t="shared" si="58"/>
        <v>2792517.2799999993</v>
      </c>
      <c r="AE375" s="1" t="s">
        <v>7456</v>
      </c>
      <c r="AF375" s="1" t="str">
        <f>VLOOKUP(AE375,t_objeto!B:C,2,FALSE)</f>
        <v>RAW_MATERIAL</v>
      </c>
      <c r="AG375" s="1">
        <v>8</v>
      </c>
      <c r="AH375" s="1" t="str">
        <f>VLOOKUP(AG375,t_entry_status!A:AE,2,FALSE)</f>
        <v>PENDING</v>
      </c>
      <c r="AI375" s="7">
        <v>45560</v>
      </c>
      <c r="AJ375" s="1" t="s">
        <v>7449</v>
      </c>
      <c r="AK375" s="7">
        <v>45560</v>
      </c>
      <c r="AL375" s="1" t="s">
        <v>7449</v>
      </c>
    </row>
    <row r="376" spans="1:38" s="20" customFormat="1" x14ac:dyDescent="0.25">
      <c r="A376" s="14">
        <v>375</v>
      </c>
      <c r="B376" s="14" t="str">
        <f>_xlfn.CONCAT(AE376,"-",VLOOKUP(AE376,t_objeto!B:D,3,FALSE),"-",A376)</f>
        <v>RRMM-PERCCO-375</v>
      </c>
      <c r="C376" s="22" t="str">
        <f t="shared" si="59"/>
        <v>LAMINA_LISA__ACERO_ROLADA EN CALIENTE_4'X8'_10</v>
      </c>
      <c r="D376" s="14" t="s">
        <v>7407</v>
      </c>
      <c r="E376" s="14" t="s">
        <v>7380</v>
      </c>
      <c r="F376" s="21" t="s">
        <v>7386</v>
      </c>
      <c r="G376" s="22" t="s">
        <v>7382</v>
      </c>
      <c r="H376" s="14">
        <v>10</v>
      </c>
      <c r="I376" s="16">
        <v>3.42</v>
      </c>
      <c r="J376" s="16">
        <f t="shared" si="60"/>
        <v>0.13464566929133859</v>
      </c>
      <c r="K376" s="16">
        <v>26.847000000000001</v>
      </c>
      <c r="L376" s="23"/>
      <c r="M376" s="23"/>
      <c r="N376" s="23"/>
      <c r="O376" s="23"/>
      <c r="P376" s="23"/>
      <c r="Q376" s="19"/>
      <c r="R376" s="17">
        <v>4</v>
      </c>
      <c r="S376" s="17">
        <v>8</v>
      </c>
      <c r="T376" s="16">
        <f t="shared" si="51"/>
        <v>2438.3999999999996</v>
      </c>
      <c r="U376" s="16">
        <f t="shared" si="52"/>
        <v>1219.1999999999998</v>
      </c>
      <c r="V376" s="18">
        <f t="shared" si="53"/>
        <v>2972897.2799999993</v>
      </c>
      <c r="W376" s="18">
        <f t="shared" si="54"/>
        <v>2.9728972799999993</v>
      </c>
      <c r="X376" s="18">
        <f t="shared" si="55"/>
        <v>79.813373276159979</v>
      </c>
      <c r="Y376" s="24">
        <v>35</v>
      </c>
      <c r="Z376" s="24">
        <f t="shared" si="56"/>
        <v>2793.4680646655993</v>
      </c>
      <c r="AA376" s="16">
        <v>26</v>
      </c>
      <c r="AB376" s="16">
        <f t="shared" si="57"/>
        <v>2386.3999999999996</v>
      </c>
      <c r="AC376" s="16">
        <f t="shared" si="57"/>
        <v>1167.1999999999998</v>
      </c>
      <c r="AD376" s="19">
        <f t="shared" si="58"/>
        <v>2785406.0799999991</v>
      </c>
      <c r="AE376" s="1" t="s">
        <v>7456</v>
      </c>
      <c r="AF376" s="1" t="str">
        <f>VLOOKUP(AE376,t_objeto!B:C,2,FALSE)</f>
        <v>RAW_MATERIAL</v>
      </c>
      <c r="AG376" s="1">
        <v>8</v>
      </c>
      <c r="AH376" s="1" t="str">
        <f>VLOOKUP(AG376,t_entry_status!A:AE,2,FALSE)</f>
        <v>PENDING</v>
      </c>
      <c r="AI376" s="7">
        <v>45560</v>
      </c>
      <c r="AJ376" s="1" t="s">
        <v>7449</v>
      </c>
      <c r="AK376" s="7">
        <v>45560</v>
      </c>
      <c r="AL376" s="1" t="s">
        <v>7449</v>
      </c>
    </row>
    <row r="377" spans="1:38" s="20" customFormat="1" x14ac:dyDescent="0.25">
      <c r="A377" s="14">
        <v>376</v>
      </c>
      <c r="B377" s="14" t="str">
        <f>_xlfn.CONCAT(AE377,"-",VLOOKUP(AE377,t_objeto!B:D,3,FALSE),"-",A377)</f>
        <v>RRMM-PERCCO-376</v>
      </c>
      <c r="C377" s="22" t="str">
        <f t="shared" si="59"/>
        <v>LAMINA_LISA__ACERO_ROLADA EN CALIENTE_4'X8'_1/8"</v>
      </c>
      <c r="D377" s="14" t="s">
        <v>7407</v>
      </c>
      <c r="E377" s="14" t="s">
        <v>7380</v>
      </c>
      <c r="F377" s="21" t="s">
        <v>7386</v>
      </c>
      <c r="G377" s="22" t="s">
        <v>7382</v>
      </c>
      <c r="H377" s="14" t="s">
        <v>7399</v>
      </c>
      <c r="I377" s="16">
        <v>3.18</v>
      </c>
      <c r="J377" s="16">
        <v>0.125</v>
      </c>
      <c r="K377" s="16"/>
      <c r="L377" s="23"/>
      <c r="M377" s="23"/>
      <c r="N377" s="23"/>
      <c r="O377" s="23"/>
      <c r="P377" s="23"/>
      <c r="Q377" s="19"/>
      <c r="R377" s="17">
        <v>4</v>
      </c>
      <c r="S377" s="17">
        <v>8</v>
      </c>
      <c r="T377" s="16">
        <f t="shared" si="51"/>
        <v>2438.3999999999996</v>
      </c>
      <c r="U377" s="16">
        <f t="shared" si="52"/>
        <v>1219.1999999999998</v>
      </c>
      <c r="V377" s="18">
        <f t="shared" si="53"/>
        <v>2972897.2799999993</v>
      </c>
      <c r="W377" s="18">
        <f t="shared" si="54"/>
        <v>2.9728972799999993</v>
      </c>
      <c r="X377" s="18">
        <f t="shared" si="55"/>
        <v>0</v>
      </c>
      <c r="Y377" s="24">
        <v>35</v>
      </c>
      <c r="Z377" s="24">
        <f t="shared" si="56"/>
        <v>0</v>
      </c>
      <c r="AA377" s="16">
        <v>26</v>
      </c>
      <c r="AB377" s="16">
        <f t="shared" si="57"/>
        <v>2386.3999999999996</v>
      </c>
      <c r="AC377" s="16">
        <f t="shared" si="57"/>
        <v>1167.1999999999998</v>
      </c>
      <c r="AD377" s="19">
        <f t="shared" si="58"/>
        <v>2785406.0799999991</v>
      </c>
      <c r="AE377" s="1" t="s">
        <v>7456</v>
      </c>
      <c r="AF377" s="1" t="str">
        <f>VLOOKUP(AE377,t_objeto!B:C,2,FALSE)</f>
        <v>RAW_MATERIAL</v>
      </c>
      <c r="AG377" s="1">
        <v>8</v>
      </c>
      <c r="AH377" s="1" t="str">
        <f>VLOOKUP(AG377,t_entry_status!A:AE,2,FALSE)</f>
        <v>PENDING</v>
      </c>
      <c r="AI377" s="7">
        <v>45560</v>
      </c>
      <c r="AJ377" s="1" t="s">
        <v>7449</v>
      </c>
      <c r="AK377" s="7">
        <v>45560</v>
      </c>
      <c r="AL377" s="1" t="s">
        <v>7449</v>
      </c>
    </row>
    <row r="378" spans="1:38" s="20" customFormat="1" x14ac:dyDescent="0.25">
      <c r="A378" s="14">
        <v>377</v>
      </c>
      <c r="B378" s="14" t="str">
        <f>_xlfn.CONCAT(AE378,"-",VLOOKUP(AE378,t_objeto!B:D,3,FALSE),"-",A378)</f>
        <v>RRMM-PERCCO-377</v>
      </c>
      <c r="C378" s="22" t="str">
        <f t="shared" si="59"/>
        <v>LAMINA_LISA__ACERO_ROLADA EN CALIENTE_4'X8'_11</v>
      </c>
      <c r="D378" s="14" t="s">
        <v>7407</v>
      </c>
      <c r="E378" s="14" t="s">
        <v>7380</v>
      </c>
      <c r="F378" s="21" t="s">
        <v>7386</v>
      </c>
      <c r="G378" s="22" t="s">
        <v>7382</v>
      </c>
      <c r="H378" s="14">
        <v>11</v>
      </c>
      <c r="I378" s="16">
        <v>3.04</v>
      </c>
      <c r="J378" s="16">
        <f t="shared" si="60"/>
        <v>0.11968503937007875</v>
      </c>
      <c r="K378" s="16">
        <v>23.864000000000001</v>
      </c>
      <c r="L378" s="23"/>
      <c r="M378" s="23"/>
      <c r="N378" s="23"/>
      <c r="O378" s="23"/>
      <c r="P378" s="23"/>
      <c r="Q378" s="19"/>
      <c r="R378" s="17">
        <v>4</v>
      </c>
      <c r="S378" s="17">
        <v>8</v>
      </c>
      <c r="T378" s="16">
        <f t="shared" si="51"/>
        <v>2438.3999999999996</v>
      </c>
      <c r="U378" s="16">
        <f t="shared" si="52"/>
        <v>1219.1999999999998</v>
      </c>
      <c r="V378" s="18">
        <f t="shared" si="53"/>
        <v>2972897.2799999993</v>
      </c>
      <c r="W378" s="18">
        <f t="shared" si="54"/>
        <v>2.9728972799999993</v>
      </c>
      <c r="X378" s="18">
        <f t="shared" si="55"/>
        <v>70.945220689919992</v>
      </c>
      <c r="Y378" s="24">
        <v>35</v>
      </c>
      <c r="Z378" s="24">
        <f t="shared" si="56"/>
        <v>2483.0827241471998</v>
      </c>
      <c r="AA378" s="16">
        <v>27</v>
      </c>
      <c r="AB378" s="16">
        <f t="shared" si="57"/>
        <v>2384.3999999999996</v>
      </c>
      <c r="AC378" s="16">
        <f t="shared" si="57"/>
        <v>1165.1999999999998</v>
      </c>
      <c r="AD378" s="19">
        <f t="shared" si="58"/>
        <v>2778302.879999999</v>
      </c>
      <c r="AE378" s="1" t="s">
        <v>7456</v>
      </c>
      <c r="AF378" s="1" t="str">
        <f>VLOOKUP(AE378,t_objeto!B:C,2,FALSE)</f>
        <v>RAW_MATERIAL</v>
      </c>
      <c r="AG378" s="1">
        <v>8</v>
      </c>
      <c r="AH378" s="1" t="str">
        <f>VLOOKUP(AG378,t_entry_status!A:AE,2,FALSE)</f>
        <v>PENDING</v>
      </c>
      <c r="AI378" s="7">
        <v>45560</v>
      </c>
      <c r="AJ378" s="1" t="s">
        <v>7449</v>
      </c>
      <c r="AK378" s="7">
        <v>45560</v>
      </c>
      <c r="AL378" s="1" t="s">
        <v>7449</v>
      </c>
    </row>
    <row r="379" spans="1:38" s="20" customFormat="1" x14ac:dyDescent="0.25">
      <c r="A379" s="14">
        <v>378</v>
      </c>
      <c r="B379" s="14" t="str">
        <f>_xlfn.CONCAT(AE379,"-",VLOOKUP(AE379,t_objeto!B:D,3,FALSE),"-",A379)</f>
        <v>RRMM-PERCCO-378</v>
      </c>
      <c r="C379" s="22" t="str">
        <f t="shared" si="59"/>
        <v>LAMINA_LISA__ACERO_ROLADA EN CALIENTE_4'X8'_12</v>
      </c>
      <c r="D379" s="14" t="s">
        <v>7407</v>
      </c>
      <c r="E379" s="14" t="s">
        <v>7380</v>
      </c>
      <c r="F379" s="21" t="s">
        <v>7386</v>
      </c>
      <c r="G379" s="22" t="s">
        <v>7382</v>
      </c>
      <c r="H379" s="14">
        <v>12</v>
      </c>
      <c r="I379" s="16">
        <v>2.66</v>
      </c>
      <c r="J379" s="16">
        <f t="shared" si="60"/>
        <v>0.1047244094488189</v>
      </c>
      <c r="K379" s="16">
        <v>20.881</v>
      </c>
      <c r="L379" s="23"/>
      <c r="M379" s="23"/>
      <c r="N379" s="23"/>
      <c r="O379" s="23"/>
      <c r="P379" s="23"/>
      <c r="Q379" s="19"/>
      <c r="R379" s="17">
        <v>4</v>
      </c>
      <c r="S379" s="17">
        <v>8</v>
      </c>
      <c r="T379" s="16">
        <f t="shared" si="51"/>
        <v>2438.3999999999996</v>
      </c>
      <c r="U379" s="16">
        <f t="shared" si="52"/>
        <v>1219.1999999999998</v>
      </c>
      <c r="V379" s="18">
        <f t="shared" si="53"/>
        <v>2972897.2799999993</v>
      </c>
      <c r="W379" s="18">
        <f t="shared" si="54"/>
        <v>2.9728972799999993</v>
      </c>
      <c r="X379" s="18">
        <f t="shared" si="55"/>
        <v>62.077068103679984</v>
      </c>
      <c r="Y379" s="24">
        <v>35</v>
      </c>
      <c r="Z379" s="24">
        <f t="shared" si="56"/>
        <v>2172.6973836287993</v>
      </c>
      <c r="AA379" s="16">
        <v>28</v>
      </c>
      <c r="AB379" s="16">
        <f t="shared" si="57"/>
        <v>2382.3999999999996</v>
      </c>
      <c r="AC379" s="16">
        <f t="shared" si="57"/>
        <v>1163.1999999999998</v>
      </c>
      <c r="AD379" s="19">
        <f t="shared" si="58"/>
        <v>2771207.6799999992</v>
      </c>
      <c r="AE379" s="1" t="s">
        <v>7456</v>
      </c>
      <c r="AF379" s="1" t="str">
        <f>VLOOKUP(AE379,t_objeto!B:C,2,FALSE)</f>
        <v>RAW_MATERIAL</v>
      </c>
      <c r="AG379" s="1">
        <v>8</v>
      </c>
      <c r="AH379" s="1" t="str">
        <f>VLOOKUP(AG379,t_entry_status!A:AE,2,FALSE)</f>
        <v>PENDING</v>
      </c>
      <c r="AI379" s="7">
        <v>45560</v>
      </c>
      <c r="AJ379" s="1" t="s">
        <v>7449</v>
      </c>
      <c r="AK379" s="7">
        <v>45560</v>
      </c>
      <c r="AL379" s="1" t="s">
        <v>7449</v>
      </c>
    </row>
    <row r="380" spans="1:38" s="20" customFormat="1" x14ac:dyDescent="0.25">
      <c r="A380" s="14">
        <v>379</v>
      </c>
      <c r="B380" s="14" t="str">
        <f>_xlfn.CONCAT(AE380,"-",VLOOKUP(AE380,t_objeto!B:D,3,FALSE),"-",A380)</f>
        <v>RRMM-PERCCO-379</v>
      </c>
      <c r="C380" s="22" t="str">
        <f t="shared" si="59"/>
        <v>LAMINA_LISA__ACERO_ROLADA EN CALIENTE_4'X8'_13</v>
      </c>
      <c r="D380" s="14" t="s">
        <v>7407</v>
      </c>
      <c r="E380" s="14" t="s">
        <v>7380</v>
      </c>
      <c r="F380" s="21" t="s">
        <v>7386</v>
      </c>
      <c r="G380" s="22" t="s">
        <v>7382</v>
      </c>
      <c r="H380" s="14">
        <v>13</v>
      </c>
      <c r="I380" s="16">
        <v>2.2799999999999998</v>
      </c>
      <c r="J380" s="16">
        <f t="shared" si="60"/>
        <v>8.9763779527559054E-2</v>
      </c>
      <c r="K380" s="16">
        <v>17.898</v>
      </c>
      <c r="L380" s="23"/>
      <c r="M380" s="23"/>
      <c r="N380" s="23"/>
      <c r="O380" s="23"/>
      <c r="P380" s="23"/>
      <c r="Q380" s="19"/>
      <c r="R380" s="17">
        <v>4</v>
      </c>
      <c r="S380" s="17">
        <v>8</v>
      </c>
      <c r="T380" s="16">
        <f t="shared" si="51"/>
        <v>2438.3999999999996</v>
      </c>
      <c r="U380" s="16">
        <f t="shared" si="52"/>
        <v>1219.1999999999998</v>
      </c>
      <c r="V380" s="18">
        <f t="shared" si="53"/>
        <v>2972897.2799999993</v>
      </c>
      <c r="W380" s="18">
        <f t="shared" si="54"/>
        <v>2.9728972799999993</v>
      </c>
      <c r="X380" s="18">
        <f t="shared" si="55"/>
        <v>53.208915517439983</v>
      </c>
      <c r="Y380" s="24">
        <v>35</v>
      </c>
      <c r="Z380" s="24">
        <f t="shared" si="56"/>
        <v>1862.3120431103994</v>
      </c>
      <c r="AA380" s="16">
        <v>29</v>
      </c>
      <c r="AB380" s="16">
        <f t="shared" si="57"/>
        <v>2380.3999999999996</v>
      </c>
      <c r="AC380" s="16">
        <f t="shared" si="57"/>
        <v>1161.1999999999998</v>
      </c>
      <c r="AD380" s="19">
        <f t="shared" si="58"/>
        <v>2764120.4799999991</v>
      </c>
      <c r="AE380" s="1" t="s">
        <v>7456</v>
      </c>
      <c r="AF380" s="1" t="str">
        <f>VLOOKUP(AE380,t_objeto!B:C,2,FALSE)</f>
        <v>RAW_MATERIAL</v>
      </c>
      <c r="AG380" s="1">
        <v>8</v>
      </c>
      <c r="AH380" s="1" t="str">
        <f>VLOOKUP(AG380,t_entry_status!A:AE,2,FALSE)</f>
        <v>PENDING</v>
      </c>
      <c r="AI380" s="7">
        <v>45560</v>
      </c>
      <c r="AJ380" s="1" t="s">
        <v>7449</v>
      </c>
      <c r="AK380" s="7">
        <v>45560</v>
      </c>
      <c r="AL380" s="1" t="s">
        <v>7449</v>
      </c>
    </row>
    <row r="381" spans="1:38" s="20" customFormat="1" x14ac:dyDescent="0.25">
      <c r="A381" s="14">
        <v>380</v>
      </c>
      <c r="B381" s="14" t="str">
        <f>_xlfn.CONCAT(AE381,"-",VLOOKUP(AE381,t_objeto!B:D,3,FALSE),"-",A381)</f>
        <v>RRMM-PERCCO-380</v>
      </c>
      <c r="C381" s="22" t="str">
        <f t="shared" si="59"/>
        <v>LAMINA_LISA__ACERO_ROLADA EN CALIENTE_4'X8'_14</v>
      </c>
      <c r="D381" s="14" t="s">
        <v>7407</v>
      </c>
      <c r="E381" s="14" t="s">
        <v>7380</v>
      </c>
      <c r="F381" s="21" t="s">
        <v>7386</v>
      </c>
      <c r="G381" s="22" t="s">
        <v>7382</v>
      </c>
      <c r="H381" s="14">
        <v>14</v>
      </c>
      <c r="I381" s="16">
        <v>1.9</v>
      </c>
      <c r="J381" s="16">
        <f t="shared" si="60"/>
        <v>7.4803149606299218E-2</v>
      </c>
      <c r="K381" s="16">
        <v>14.914999999999999</v>
      </c>
      <c r="L381" s="23"/>
      <c r="M381" s="23"/>
      <c r="N381" s="23"/>
      <c r="O381" s="23"/>
      <c r="P381" s="23"/>
      <c r="Q381" s="19"/>
      <c r="R381" s="17">
        <v>4</v>
      </c>
      <c r="S381" s="17">
        <v>8</v>
      </c>
      <c r="T381" s="16">
        <f t="shared" si="51"/>
        <v>2438.3999999999996</v>
      </c>
      <c r="U381" s="16">
        <f t="shared" si="52"/>
        <v>1219.1999999999998</v>
      </c>
      <c r="V381" s="18">
        <f t="shared" si="53"/>
        <v>2972897.2799999993</v>
      </c>
      <c r="W381" s="18">
        <f t="shared" si="54"/>
        <v>2.9728972799999993</v>
      </c>
      <c r="X381" s="18">
        <f t="shared" si="55"/>
        <v>44.34076293119999</v>
      </c>
      <c r="Y381" s="24">
        <v>35</v>
      </c>
      <c r="Z381" s="24">
        <f t="shared" si="56"/>
        <v>1551.9267025919996</v>
      </c>
      <c r="AA381" s="16">
        <v>30</v>
      </c>
      <c r="AB381" s="16">
        <f t="shared" si="57"/>
        <v>2378.3999999999996</v>
      </c>
      <c r="AC381" s="16">
        <f t="shared" si="57"/>
        <v>1159.1999999999998</v>
      </c>
      <c r="AD381" s="19">
        <f t="shared" si="58"/>
        <v>2757041.2799999993</v>
      </c>
      <c r="AE381" s="1" t="s">
        <v>7456</v>
      </c>
      <c r="AF381" s="1" t="str">
        <f>VLOOKUP(AE381,t_objeto!B:C,2,FALSE)</f>
        <v>RAW_MATERIAL</v>
      </c>
      <c r="AG381" s="1">
        <v>8</v>
      </c>
      <c r="AH381" s="1" t="str">
        <f>VLOOKUP(AG381,t_entry_status!A:AE,2,FALSE)</f>
        <v>PENDING</v>
      </c>
      <c r="AI381" s="7">
        <v>45560</v>
      </c>
      <c r="AJ381" s="1" t="s">
        <v>7449</v>
      </c>
      <c r="AK381" s="7">
        <v>45560</v>
      </c>
      <c r="AL381" s="1" t="s">
        <v>7449</v>
      </c>
    </row>
    <row r="382" spans="1:38" s="20" customFormat="1" x14ac:dyDescent="0.25">
      <c r="A382" s="14">
        <v>381</v>
      </c>
      <c r="B382" s="14" t="str">
        <f>_xlfn.CONCAT(AE382,"-",VLOOKUP(AE382,t_objeto!B:D,3,FALSE),"-",A382)</f>
        <v>RRMM-PERCCO-381</v>
      </c>
      <c r="C382" s="22" t="str">
        <f t="shared" si="59"/>
        <v>LAMINA_LISA__ACERO_ROLADA EN CALIENTE_4'X8'_15</v>
      </c>
      <c r="D382" s="14" t="s">
        <v>7407</v>
      </c>
      <c r="E382" s="14" t="s">
        <v>7380</v>
      </c>
      <c r="F382" s="21" t="s">
        <v>7386</v>
      </c>
      <c r="G382" s="22" t="s">
        <v>7382</v>
      </c>
      <c r="H382" s="14">
        <v>15</v>
      </c>
      <c r="I382" s="16">
        <v>1.71</v>
      </c>
      <c r="J382" s="16">
        <f t="shared" si="60"/>
        <v>6.7322834645669294E-2</v>
      </c>
      <c r="K382" s="16">
        <v>13.423999999999999</v>
      </c>
      <c r="L382" s="23"/>
      <c r="M382" s="23"/>
      <c r="N382" s="23"/>
      <c r="O382" s="23"/>
      <c r="P382" s="23"/>
      <c r="Q382" s="19"/>
      <c r="R382" s="17">
        <v>4</v>
      </c>
      <c r="S382" s="17">
        <v>8</v>
      </c>
      <c r="T382" s="16">
        <f t="shared" si="51"/>
        <v>2438.3999999999996</v>
      </c>
      <c r="U382" s="16">
        <f t="shared" si="52"/>
        <v>1219.1999999999998</v>
      </c>
      <c r="V382" s="18">
        <f t="shared" si="53"/>
        <v>2972897.2799999993</v>
      </c>
      <c r="W382" s="18">
        <f t="shared" si="54"/>
        <v>2.9728972799999993</v>
      </c>
      <c r="X382" s="18">
        <f t="shared" si="55"/>
        <v>39.908173086719991</v>
      </c>
      <c r="Y382" s="24">
        <v>35</v>
      </c>
      <c r="Z382" s="24">
        <f t="shared" si="56"/>
        <v>1396.7860580351996</v>
      </c>
      <c r="AA382" s="16">
        <v>31</v>
      </c>
      <c r="AB382" s="16">
        <f t="shared" si="57"/>
        <v>2376.3999999999996</v>
      </c>
      <c r="AC382" s="16">
        <f t="shared" si="57"/>
        <v>1157.1999999999998</v>
      </c>
      <c r="AD382" s="19">
        <f t="shared" si="58"/>
        <v>2749970.0799999991</v>
      </c>
      <c r="AE382" s="1" t="s">
        <v>7456</v>
      </c>
      <c r="AF382" s="1" t="str">
        <f>VLOOKUP(AE382,t_objeto!B:C,2,FALSE)</f>
        <v>RAW_MATERIAL</v>
      </c>
      <c r="AG382" s="1">
        <v>8</v>
      </c>
      <c r="AH382" s="1" t="str">
        <f>VLOOKUP(AG382,t_entry_status!A:AE,2,FALSE)</f>
        <v>PENDING</v>
      </c>
      <c r="AI382" s="7">
        <v>45560</v>
      </c>
      <c r="AJ382" s="1" t="s">
        <v>7449</v>
      </c>
      <c r="AK382" s="7">
        <v>45560</v>
      </c>
      <c r="AL382" s="1" t="s">
        <v>7449</v>
      </c>
    </row>
    <row r="383" spans="1:38" s="20" customFormat="1" x14ac:dyDescent="0.25">
      <c r="A383" s="14">
        <v>382</v>
      </c>
      <c r="B383" s="14" t="str">
        <f>_xlfn.CONCAT(AE383,"-",VLOOKUP(AE383,t_objeto!B:D,3,FALSE),"-",A383)</f>
        <v>RRMM-PERCCO-382</v>
      </c>
      <c r="C383" s="22" t="str">
        <f t="shared" si="59"/>
        <v>LAMINA_LISA__ACERO_ROLADA EN CALIENTE_4'X8'_16</v>
      </c>
      <c r="D383" s="14" t="s">
        <v>7407</v>
      </c>
      <c r="E383" s="14" t="s">
        <v>7380</v>
      </c>
      <c r="F383" s="21" t="s">
        <v>7386</v>
      </c>
      <c r="G383" s="22" t="s">
        <v>7382</v>
      </c>
      <c r="H383" s="14">
        <v>16</v>
      </c>
      <c r="I383" s="16">
        <v>1.52</v>
      </c>
      <c r="J383" s="16">
        <f t="shared" si="60"/>
        <v>5.9842519685039376E-2</v>
      </c>
      <c r="K383" s="16">
        <v>11.932</v>
      </c>
      <c r="L383" s="23"/>
      <c r="M383" s="23"/>
      <c r="N383" s="23"/>
      <c r="O383" s="23"/>
      <c r="P383" s="23"/>
      <c r="Q383" s="19"/>
      <c r="R383" s="17">
        <v>4</v>
      </c>
      <c r="S383" s="17">
        <v>8</v>
      </c>
      <c r="T383" s="16">
        <f t="shared" si="51"/>
        <v>2438.3999999999996</v>
      </c>
      <c r="U383" s="16">
        <f t="shared" si="52"/>
        <v>1219.1999999999998</v>
      </c>
      <c r="V383" s="18">
        <f t="shared" si="53"/>
        <v>2972897.2799999993</v>
      </c>
      <c r="W383" s="18">
        <f t="shared" si="54"/>
        <v>2.9728972799999993</v>
      </c>
      <c r="X383" s="18">
        <f t="shared" si="55"/>
        <v>35.472610344959996</v>
      </c>
      <c r="Y383" s="24">
        <v>35</v>
      </c>
      <c r="Z383" s="24">
        <f t="shared" si="56"/>
        <v>1241.5413620735999</v>
      </c>
      <c r="AA383" s="16">
        <v>32</v>
      </c>
      <c r="AB383" s="16">
        <f t="shared" si="57"/>
        <v>2374.3999999999996</v>
      </c>
      <c r="AC383" s="16">
        <f t="shared" si="57"/>
        <v>1155.1999999999998</v>
      </c>
      <c r="AD383" s="19">
        <f t="shared" si="58"/>
        <v>2742906.879999999</v>
      </c>
      <c r="AE383" s="1" t="s">
        <v>7456</v>
      </c>
      <c r="AF383" s="1" t="str">
        <f>VLOOKUP(AE383,t_objeto!B:C,2,FALSE)</f>
        <v>RAW_MATERIAL</v>
      </c>
      <c r="AG383" s="1">
        <v>8</v>
      </c>
      <c r="AH383" s="1" t="str">
        <f>VLOOKUP(AG383,t_entry_status!A:AE,2,FALSE)</f>
        <v>PENDING</v>
      </c>
      <c r="AI383" s="7">
        <v>45560</v>
      </c>
      <c r="AJ383" s="1" t="s">
        <v>7449</v>
      </c>
      <c r="AK383" s="7">
        <v>45560</v>
      </c>
      <c r="AL383" s="1" t="s">
        <v>7449</v>
      </c>
    </row>
    <row r="384" spans="1:38" s="20" customFormat="1" x14ac:dyDescent="0.25">
      <c r="A384" s="14">
        <v>383</v>
      </c>
      <c r="B384" s="14" t="str">
        <f>_xlfn.CONCAT(AE384,"-",VLOOKUP(AE384,t_objeto!B:D,3,FALSE),"-",A384)</f>
        <v>RRMM-PERCCO-383</v>
      </c>
      <c r="C384" s="22" t="str">
        <f t="shared" si="59"/>
        <v>LAMINA_LISA__ACERO_ROLADA EN CALIENTE_4'X8'_17</v>
      </c>
      <c r="D384" s="14" t="s">
        <v>7407</v>
      </c>
      <c r="E384" s="14" t="s">
        <v>7380</v>
      </c>
      <c r="F384" s="21" t="s">
        <v>7386</v>
      </c>
      <c r="G384" s="22" t="s">
        <v>7382</v>
      </c>
      <c r="H384" s="14">
        <v>17</v>
      </c>
      <c r="I384" s="16">
        <v>1.37</v>
      </c>
      <c r="J384" s="16">
        <f t="shared" si="60"/>
        <v>5.3937007874015758E-2</v>
      </c>
      <c r="K384" s="16">
        <v>10.755000000000001</v>
      </c>
      <c r="L384" s="23"/>
      <c r="M384" s="23"/>
      <c r="N384" s="23"/>
      <c r="O384" s="23"/>
      <c r="P384" s="23"/>
      <c r="Q384" s="19"/>
      <c r="R384" s="17">
        <v>4</v>
      </c>
      <c r="S384" s="17">
        <v>8</v>
      </c>
      <c r="T384" s="16">
        <f t="shared" si="51"/>
        <v>2438.3999999999996</v>
      </c>
      <c r="U384" s="16">
        <f t="shared" si="52"/>
        <v>1219.1999999999998</v>
      </c>
      <c r="V384" s="18">
        <f t="shared" si="53"/>
        <v>2972897.2799999993</v>
      </c>
      <c r="W384" s="18">
        <f t="shared" si="54"/>
        <v>2.9728972799999993</v>
      </c>
      <c r="X384" s="18">
        <f t="shared" si="55"/>
        <v>31.973510246399997</v>
      </c>
      <c r="Y384" s="24">
        <v>35</v>
      </c>
      <c r="Z384" s="24">
        <f t="shared" si="56"/>
        <v>1119.0728586239998</v>
      </c>
      <c r="AA384" s="16">
        <v>33</v>
      </c>
      <c r="AB384" s="16">
        <f t="shared" si="57"/>
        <v>2372.3999999999996</v>
      </c>
      <c r="AC384" s="16">
        <f t="shared" si="57"/>
        <v>1153.1999999999998</v>
      </c>
      <c r="AD384" s="19">
        <f t="shared" si="58"/>
        <v>2735851.6799999992</v>
      </c>
      <c r="AE384" s="1" t="s">
        <v>7456</v>
      </c>
      <c r="AF384" s="1" t="str">
        <f>VLOOKUP(AE384,t_objeto!B:C,2,FALSE)</f>
        <v>RAW_MATERIAL</v>
      </c>
      <c r="AG384" s="1">
        <v>8</v>
      </c>
      <c r="AH384" s="1" t="str">
        <f>VLOOKUP(AG384,t_entry_status!A:AE,2,FALSE)</f>
        <v>PENDING</v>
      </c>
      <c r="AI384" s="7">
        <v>45560</v>
      </c>
      <c r="AJ384" s="1" t="s">
        <v>7449</v>
      </c>
      <c r="AK384" s="7">
        <v>45560</v>
      </c>
      <c r="AL384" s="1" t="s">
        <v>7449</v>
      </c>
    </row>
    <row r="385" spans="1:38" s="20" customFormat="1" x14ac:dyDescent="0.25">
      <c r="A385" s="14">
        <v>384</v>
      </c>
      <c r="B385" s="14" t="str">
        <f>_xlfn.CONCAT(AE385,"-",VLOOKUP(AE385,t_objeto!B:D,3,FALSE),"-",A385)</f>
        <v>RRMM-PERCCO-384</v>
      </c>
      <c r="C385" s="22" t="str">
        <f t="shared" si="59"/>
        <v>LAMINA_LISA__ACERO_ROLADA EN CALIENTE_4'X8'_18</v>
      </c>
      <c r="D385" s="14" t="s">
        <v>7407</v>
      </c>
      <c r="E385" s="14" t="s">
        <v>7380</v>
      </c>
      <c r="F385" s="21" t="s">
        <v>7386</v>
      </c>
      <c r="G385" s="22" t="s">
        <v>7382</v>
      </c>
      <c r="H385" s="14">
        <v>18</v>
      </c>
      <c r="I385" s="16">
        <v>1.21</v>
      </c>
      <c r="J385" s="16">
        <f t="shared" si="60"/>
        <v>4.7637795275590554E-2</v>
      </c>
      <c r="K385" s="16">
        <v>9.4990000000000006</v>
      </c>
      <c r="L385" s="23"/>
      <c r="M385" s="23"/>
      <c r="N385" s="23"/>
      <c r="O385" s="23"/>
      <c r="P385" s="23"/>
      <c r="Q385" s="19"/>
      <c r="R385" s="17">
        <v>4</v>
      </c>
      <c r="S385" s="17">
        <v>8</v>
      </c>
      <c r="T385" s="16">
        <f t="shared" si="51"/>
        <v>2438.3999999999996</v>
      </c>
      <c r="U385" s="16">
        <f t="shared" si="52"/>
        <v>1219.1999999999998</v>
      </c>
      <c r="V385" s="18">
        <f t="shared" si="53"/>
        <v>2972897.2799999993</v>
      </c>
      <c r="W385" s="18">
        <f t="shared" si="54"/>
        <v>2.9728972799999993</v>
      </c>
      <c r="X385" s="18">
        <f t="shared" si="55"/>
        <v>28.239551262719996</v>
      </c>
      <c r="Y385" s="24">
        <v>35</v>
      </c>
      <c r="Z385" s="24">
        <f t="shared" si="56"/>
        <v>988.3842941951998</v>
      </c>
      <c r="AA385" s="16">
        <v>34</v>
      </c>
      <c r="AB385" s="16">
        <f t="shared" si="57"/>
        <v>2370.3999999999996</v>
      </c>
      <c r="AC385" s="16">
        <f t="shared" si="57"/>
        <v>1151.1999999999998</v>
      </c>
      <c r="AD385" s="19">
        <f t="shared" si="58"/>
        <v>2728804.4799999991</v>
      </c>
      <c r="AE385" s="1" t="s">
        <v>7456</v>
      </c>
      <c r="AF385" s="1" t="str">
        <f>VLOOKUP(AE385,t_objeto!B:C,2,FALSE)</f>
        <v>RAW_MATERIAL</v>
      </c>
      <c r="AG385" s="1">
        <v>8</v>
      </c>
      <c r="AH385" s="1" t="str">
        <f>VLOOKUP(AG385,t_entry_status!A:AE,2,FALSE)</f>
        <v>PENDING</v>
      </c>
      <c r="AI385" s="7">
        <v>45560</v>
      </c>
      <c r="AJ385" s="1" t="s">
        <v>7449</v>
      </c>
      <c r="AK385" s="7">
        <v>45560</v>
      </c>
      <c r="AL385" s="1" t="s">
        <v>7449</v>
      </c>
    </row>
    <row r="386" spans="1:38" s="20" customFormat="1" x14ac:dyDescent="0.25">
      <c r="A386" s="14">
        <v>385</v>
      </c>
      <c r="B386" s="14" t="str">
        <f>_xlfn.CONCAT(AE386,"-",VLOOKUP(AE386,t_objeto!B:D,3,FALSE),"-",A386)</f>
        <v>RRMM-PERCCO-385</v>
      </c>
      <c r="C386" s="22" t="str">
        <f t="shared" si="59"/>
        <v>LAMINA_LISA__ACERO_ROLADA EN CALIENTE_4'X8'_19</v>
      </c>
      <c r="D386" s="14" t="s">
        <v>7407</v>
      </c>
      <c r="E386" s="14" t="s">
        <v>7380</v>
      </c>
      <c r="F386" s="21" t="s">
        <v>7386</v>
      </c>
      <c r="G386" s="22" t="s">
        <v>7382</v>
      </c>
      <c r="H386" s="14">
        <v>19</v>
      </c>
      <c r="I386" s="16">
        <v>1.06</v>
      </c>
      <c r="J386" s="16">
        <f t="shared" si="60"/>
        <v>4.1732283464566935E-2</v>
      </c>
      <c r="K386" s="16">
        <v>8.3209999999999997</v>
      </c>
      <c r="L386" s="23"/>
      <c r="M386" s="23"/>
      <c r="N386" s="23"/>
      <c r="O386" s="23"/>
      <c r="P386" s="23"/>
      <c r="Q386" s="19"/>
      <c r="R386" s="17">
        <v>4</v>
      </c>
      <c r="S386" s="17">
        <v>8</v>
      </c>
      <c r="T386" s="16">
        <f t="shared" ref="T386:T449" si="61">S386*12*25.4</f>
        <v>2438.3999999999996</v>
      </c>
      <c r="U386" s="16">
        <f t="shared" ref="U386:U449" si="62">R386*12*25.4</f>
        <v>1219.1999999999998</v>
      </c>
      <c r="V386" s="18">
        <f t="shared" ref="V386:V468" si="63">T386*U386</f>
        <v>2972897.2799999993</v>
      </c>
      <c r="W386" s="18">
        <f t="shared" ref="W386:W449" si="64">V386/1000000</f>
        <v>2.9728972799999993</v>
      </c>
      <c r="X386" s="18">
        <f t="shared" ref="X386:X449" si="65">K386*W386</f>
        <v>24.737478266879993</v>
      </c>
      <c r="Y386" s="24">
        <v>35</v>
      </c>
      <c r="Z386" s="24">
        <f t="shared" ref="Z386:Z449" si="66">X386*Y386</f>
        <v>865.8117393407997</v>
      </c>
      <c r="AA386" s="16">
        <v>35</v>
      </c>
      <c r="AB386" s="16">
        <f t="shared" ref="AB386:AC401" si="67">T386-($AA386*2)</f>
        <v>2368.3999999999996</v>
      </c>
      <c r="AC386" s="16">
        <f t="shared" si="67"/>
        <v>1149.1999999999998</v>
      </c>
      <c r="AD386" s="19">
        <f t="shared" ref="AD386:AD468" si="68">AB386*AC386</f>
        <v>2721765.2799999993</v>
      </c>
      <c r="AE386" s="1" t="s">
        <v>7456</v>
      </c>
      <c r="AF386" s="1" t="str">
        <f>VLOOKUP(AE386,t_objeto!B:C,2,FALSE)</f>
        <v>RAW_MATERIAL</v>
      </c>
      <c r="AG386" s="1">
        <v>8</v>
      </c>
      <c r="AH386" s="1" t="str">
        <f>VLOOKUP(AG386,t_entry_status!A:AE,2,FALSE)</f>
        <v>PENDING</v>
      </c>
      <c r="AI386" s="7">
        <v>45560</v>
      </c>
      <c r="AJ386" s="1" t="s">
        <v>7449</v>
      </c>
      <c r="AK386" s="7">
        <v>45560</v>
      </c>
      <c r="AL386" s="1" t="s">
        <v>7449</v>
      </c>
    </row>
    <row r="387" spans="1:38" s="20" customFormat="1" x14ac:dyDescent="0.25">
      <c r="A387" s="14">
        <v>386</v>
      </c>
      <c r="B387" s="14" t="str">
        <f>_xlfn.CONCAT(AE387,"-",VLOOKUP(AE387,t_objeto!B:D,3,FALSE),"-",A387)</f>
        <v>RRMM-PERCCO-386</v>
      </c>
      <c r="C387" s="22" t="str">
        <f t="shared" ref="C387:C450" si="69">_xlfn.CONCAT(D387,"_","_",E387,"_",F387,"_",R387,"'","X",S387,"'","_",H387)</f>
        <v>LAMINA_LISA__ACERO_ROLADA EN CALIENTE_4'X8'_20</v>
      </c>
      <c r="D387" s="14" t="s">
        <v>7407</v>
      </c>
      <c r="E387" s="14" t="s">
        <v>7380</v>
      </c>
      <c r="F387" s="21" t="s">
        <v>7386</v>
      </c>
      <c r="G387" s="22" t="s">
        <v>7382</v>
      </c>
      <c r="H387" s="14">
        <v>20</v>
      </c>
      <c r="I387" s="16">
        <v>0.91</v>
      </c>
      <c r="J387" s="16">
        <f t="shared" si="60"/>
        <v>3.582677165354331E-2</v>
      </c>
      <c r="K387" s="16">
        <v>7.1440000000000001</v>
      </c>
      <c r="L387" s="23"/>
      <c r="M387" s="23"/>
      <c r="N387" s="23"/>
      <c r="O387" s="23"/>
      <c r="P387" s="23"/>
      <c r="Q387" s="19"/>
      <c r="R387" s="17">
        <v>4</v>
      </c>
      <c r="S387" s="17">
        <v>8</v>
      </c>
      <c r="T387" s="16">
        <f t="shared" si="61"/>
        <v>2438.3999999999996</v>
      </c>
      <c r="U387" s="16">
        <f t="shared" si="62"/>
        <v>1219.1999999999998</v>
      </c>
      <c r="V387" s="18">
        <f t="shared" si="63"/>
        <v>2972897.2799999993</v>
      </c>
      <c r="W387" s="18">
        <f t="shared" si="64"/>
        <v>2.9728972799999993</v>
      </c>
      <c r="X387" s="18">
        <f t="shared" si="65"/>
        <v>21.238378168319997</v>
      </c>
      <c r="Y387" s="24">
        <v>35</v>
      </c>
      <c r="Z387" s="24">
        <f t="shared" si="66"/>
        <v>743.34323589119992</v>
      </c>
      <c r="AA387" s="16">
        <v>36</v>
      </c>
      <c r="AB387" s="16">
        <f t="shared" si="67"/>
        <v>2366.3999999999996</v>
      </c>
      <c r="AC387" s="16">
        <f t="shared" si="67"/>
        <v>1147.1999999999998</v>
      </c>
      <c r="AD387" s="19">
        <f t="shared" si="68"/>
        <v>2714734.0799999991</v>
      </c>
      <c r="AE387" s="1" t="s">
        <v>7456</v>
      </c>
      <c r="AF387" s="1" t="str">
        <f>VLOOKUP(AE387,t_objeto!B:C,2,FALSE)</f>
        <v>RAW_MATERIAL</v>
      </c>
      <c r="AG387" s="1">
        <v>8</v>
      </c>
      <c r="AH387" s="1" t="str">
        <f>VLOOKUP(AG387,t_entry_status!A:AE,2,FALSE)</f>
        <v>PENDING</v>
      </c>
      <c r="AI387" s="7">
        <v>45560</v>
      </c>
      <c r="AJ387" s="1" t="s">
        <v>7449</v>
      </c>
      <c r="AK387" s="7">
        <v>45560</v>
      </c>
      <c r="AL387" s="1" t="s">
        <v>7449</v>
      </c>
    </row>
    <row r="388" spans="1:38" s="20" customFormat="1" x14ac:dyDescent="0.25">
      <c r="A388" s="14">
        <v>387</v>
      </c>
      <c r="B388" s="14" t="str">
        <f>_xlfn.CONCAT(AE388,"-",VLOOKUP(AE388,t_objeto!B:D,3,FALSE),"-",A388)</f>
        <v>RRMM-PERCCO-387</v>
      </c>
      <c r="C388" s="22" t="str">
        <f t="shared" si="69"/>
        <v>LAMINA_LISA__ACERO_ROLADA EN CALIENTE_4'X8'_21</v>
      </c>
      <c r="D388" s="14" t="s">
        <v>7407</v>
      </c>
      <c r="E388" s="14" t="s">
        <v>7380</v>
      </c>
      <c r="F388" s="21" t="s">
        <v>7386</v>
      </c>
      <c r="G388" s="22" t="s">
        <v>7382</v>
      </c>
      <c r="H388" s="14">
        <v>21</v>
      </c>
      <c r="I388" s="16">
        <v>0.84</v>
      </c>
      <c r="J388" s="16">
        <f t="shared" si="60"/>
        <v>3.3070866141732283E-2</v>
      </c>
      <c r="K388" s="16">
        <v>6.5940000000000003</v>
      </c>
      <c r="L388" s="23"/>
      <c r="M388" s="23"/>
      <c r="N388" s="23"/>
      <c r="O388" s="23"/>
      <c r="P388" s="23"/>
      <c r="Q388" s="19"/>
      <c r="R388" s="17">
        <v>4</v>
      </c>
      <c r="S388" s="17">
        <v>8</v>
      </c>
      <c r="T388" s="16">
        <f t="shared" si="61"/>
        <v>2438.3999999999996</v>
      </c>
      <c r="U388" s="16">
        <f t="shared" si="62"/>
        <v>1219.1999999999998</v>
      </c>
      <c r="V388" s="18">
        <f t="shared" si="63"/>
        <v>2972897.2799999993</v>
      </c>
      <c r="W388" s="18">
        <f t="shared" si="64"/>
        <v>2.9728972799999993</v>
      </c>
      <c r="X388" s="18">
        <f t="shared" si="65"/>
        <v>19.603284664319997</v>
      </c>
      <c r="Y388" s="24">
        <v>35</v>
      </c>
      <c r="Z388" s="24">
        <f t="shared" si="66"/>
        <v>686.11496325119992</v>
      </c>
      <c r="AA388" s="16">
        <v>37</v>
      </c>
      <c r="AB388" s="16">
        <f t="shared" si="67"/>
        <v>2364.3999999999996</v>
      </c>
      <c r="AC388" s="16">
        <f t="shared" si="67"/>
        <v>1145.1999999999998</v>
      </c>
      <c r="AD388" s="19">
        <f t="shared" si="68"/>
        <v>2707710.879999999</v>
      </c>
      <c r="AE388" s="1" t="s">
        <v>7456</v>
      </c>
      <c r="AF388" s="1" t="str">
        <f>VLOOKUP(AE388,t_objeto!B:C,2,FALSE)</f>
        <v>RAW_MATERIAL</v>
      </c>
      <c r="AG388" s="1">
        <v>8</v>
      </c>
      <c r="AH388" s="1" t="str">
        <f>VLOOKUP(AG388,t_entry_status!A:AE,2,FALSE)</f>
        <v>PENDING</v>
      </c>
      <c r="AI388" s="7">
        <v>45560</v>
      </c>
      <c r="AJ388" s="1" t="s">
        <v>7449</v>
      </c>
      <c r="AK388" s="7">
        <v>45560</v>
      </c>
      <c r="AL388" s="1" t="s">
        <v>7449</v>
      </c>
    </row>
    <row r="389" spans="1:38" s="20" customFormat="1" x14ac:dyDescent="0.25">
      <c r="A389" s="14">
        <v>388</v>
      </c>
      <c r="B389" s="14" t="str">
        <f>_xlfn.CONCAT(AE389,"-",VLOOKUP(AE389,t_objeto!B:D,3,FALSE),"-",A389)</f>
        <v>RRMM-PERCCO-388</v>
      </c>
      <c r="C389" s="22" t="str">
        <f t="shared" si="69"/>
        <v>LAMINA_LISA__ACERO_ROLADA EN CALIENTE_4'X8'_22</v>
      </c>
      <c r="D389" s="14" t="s">
        <v>7407</v>
      </c>
      <c r="E389" s="14" t="s">
        <v>7380</v>
      </c>
      <c r="F389" s="21" t="s">
        <v>7386</v>
      </c>
      <c r="G389" s="22" t="s">
        <v>7382</v>
      </c>
      <c r="H389" s="14">
        <v>22</v>
      </c>
      <c r="I389" s="16">
        <v>0.76</v>
      </c>
      <c r="J389" s="16">
        <f t="shared" si="60"/>
        <v>2.9921259842519688E-2</v>
      </c>
      <c r="K389" s="16">
        <v>6.1050000000000004</v>
      </c>
      <c r="L389" s="23"/>
      <c r="M389" s="23"/>
      <c r="N389" s="23"/>
      <c r="O389" s="23"/>
      <c r="P389" s="23"/>
      <c r="Q389" s="19"/>
      <c r="R389" s="17">
        <v>4</v>
      </c>
      <c r="S389" s="17">
        <v>8</v>
      </c>
      <c r="T389" s="16">
        <f t="shared" si="61"/>
        <v>2438.3999999999996</v>
      </c>
      <c r="U389" s="16">
        <f t="shared" si="62"/>
        <v>1219.1999999999998</v>
      </c>
      <c r="V389" s="18">
        <f t="shared" si="63"/>
        <v>2972897.2799999993</v>
      </c>
      <c r="W389" s="18">
        <f t="shared" si="64"/>
        <v>2.9728972799999993</v>
      </c>
      <c r="X389" s="18">
        <f t="shared" si="65"/>
        <v>18.149537894399998</v>
      </c>
      <c r="Y389" s="24">
        <v>35</v>
      </c>
      <c r="Z389" s="24">
        <f t="shared" si="66"/>
        <v>635.23382630399988</v>
      </c>
      <c r="AA389" s="16">
        <v>38</v>
      </c>
      <c r="AB389" s="16">
        <f t="shared" si="67"/>
        <v>2362.3999999999996</v>
      </c>
      <c r="AC389" s="16">
        <f t="shared" si="67"/>
        <v>1143.1999999999998</v>
      </c>
      <c r="AD389" s="19">
        <f t="shared" si="68"/>
        <v>2700695.6799999992</v>
      </c>
      <c r="AE389" s="1" t="s">
        <v>7456</v>
      </c>
      <c r="AF389" s="1" t="str">
        <f>VLOOKUP(AE389,t_objeto!B:C,2,FALSE)</f>
        <v>RAW_MATERIAL</v>
      </c>
      <c r="AG389" s="1">
        <v>8</v>
      </c>
      <c r="AH389" s="1" t="str">
        <f>VLOOKUP(AG389,t_entry_status!A:AE,2,FALSE)</f>
        <v>PENDING</v>
      </c>
      <c r="AI389" s="7">
        <v>45560</v>
      </c>
      <c r="AJ389" s="1" t="s">
        <v>7449</v>
      </c>
      <c r="AK389" s="7">
        <v>45560</v>
      </c>
      <c r="AL389" s="1" t="s">
        <v>7449</v>
      </c>
    </row>
    <row r="390" spans="1:38" s="20" customFormat="1" x14ac:dyDescent="0.25">
      <c r="A390" s="14">
        <v>389</v>
      </c>
      <c r="B390" s="14" t="str">
        <f>_xlfn.CONCAT(AE390,"-",VLOOKUP(AE390,t_objeto!B:D,3,FALSE),"-",A390)</f>
        <v>RRMM-PERCCO-389</v>
      </c>
      <c r="C390" s="22" t="str">
        <f t="shared" si="69"/>
        <v>LAMINA_LISA__ACERO_ROLADA EN CALIENTE_4'X8'_23</v>
      </c>
      <c r="D390" s="14" t="s">
        <v>7407</v>
      </c>
      <c r="E390" s="14" t="s">
        <v>7380</v>
      </c>
      <c r="F390" s="21" t="s">
        <v>7386</v>
      </c>
      <c r="G390" s="22" t="s">
        <v>7382</v>
      </c>
      <c r="H390" s="14">
        <v>23</v>
      </c>
      <c r="I390" s="16">
        <v>0.68</v>
      </c>
      <c r="J390" s="16">
        <f t="shared" si="60"/>
        <v>2.677165354330709E-2</v>
      </c>
      <c r="K390" s="16">
        <v>5.3380000000000001</v>
      </c>
      <c r="L390" s="23"/>
      <c r="M390" s="23"/>
      <c r="N390" s="23"/>
      <c r="O390" s="23"/>
      <c r="P390" s="23"/>
      <c r="Q390" s="19"/>
      <c r="R390" s="17">
        <v>4</v>
      </c>
      <c r="S390" s="17">
        <v>8</v>
      </c>
      <c r="T390" s="16">
        <f t="shared" si="61"/>
        <v>2438.3999999999996</v>
      </c>
      <c r="U390" s="16">
        <f t="shared" si="62"/>
        <v>1219.1999999999998</v>
      </c>
      <c r="V390" s="18">
        <f t="shared" si="63"/>
        <v>2972897.2799999993</v>
      </c>
      <c r="W390" s="18">
        <f t="shared" si="64"/>
        <v>2.9728972799999993</v>
      </c>
      <c r="X390" s="18">
        <f t="shared" si="65"/>
        <v>15.869325680639996</v>
      </c>
      <c r="Y390" s="24">
        <v>35</v>
      </c>
      <c r="Z390" s="24">
        <f t="shared" si="66"/>
        <v>555.42639882239985</v>
      </c>
      <c r="AA390" s="16">
        <v>39</v>
      </c>
      <c r="AB390" s="16">
        <f t="shared" si="67"/>
        <v>2360.3999999999996</v>
      </c>
      <c r="AC390" s="16">
        <f t="shared" si="67"/>
        <v>1141.1999999999998</v>
      </c>
      <c r="AD390" s="19">
        <f t="shared" si="68"/>
        <v>2693688.4799999991</v>
      </c>
      <c r="AE390" s="1" t="s">
        <v>7456</v>
      </c>
      <c r="AF390" s="1" t="str">
        <f>VLOOKUP(AE390,t_objeto!B:C,2,FALSE)</f>
        <v>RAW_MATERIAL</v>
      </c>
      <c r="AG390" s="1">
        <v>8</v>
      </c>
      <c r="AH390" s="1" t="str">
        <f>VLOOKUP(AG390,t_entry_status!A:AE,2,FALSE)</f>
        <v>PENDING</v>
      </c>
      <c r="AI390" s="7">
        <v>45560</v>
      </c>
      <c r="AJ390" s="1" t="s">
        <v>7449</v>
      </c>
      <c r="AK390" s="7">
        <v>45560</v>
      </c>
      <c r="AL390" s="1" t="s">
        <v>7449</v>
      </c>
    </row>
    <row r="391" spans="1:38" s="20" customFormat="1" x14ac:dyDescent="0.25">
      <c r="A391" s="14">
        <v>390</v>
      </c>
      <c r="B391" s="14" t="str">
        <f>_xlfn.CONCAT(AE391,"-",VLOOKUP(AE391,t_objeto!B:D,3,FALSE),"-",A391)</f>
        <v>RRMM-PERCCO-390</v>
      </c>
      <c r="C391" s="22" t="str">
        <f t="shared" si="69"/>
        <v>LAMINA_LISA__ACERO_ROLADA EN CALIENTE_4'X8'_24</v>
      </c>
      <c r="D391" s="14" t="s">
        <v>7407</v>
      </c>
      <c r="E391" s="14" t="s">
        <v>7380</v>
      </c>
      <c r="F391" s="21" t="s">
        <v>7386</v>
      </c>
      <c r="G391" s="22" t="s">
        <v>7382</v>
      </c>
      <c r="H391" s="14">
        <v>24</v>
      </c>
      <c r="I391" s="16">
        <v>0.61</v>
      </c>
      <c r="J391" s="16">
        <f t="shared" si="60"/>
        <v>2.4015748031496063E-2</v>
      </c>
      <c r="K391" s="16">
        <v>4.7889999999999997</v>
      </c>
      <c r="L391" s="23"/>
      <c r="M391" s="23"/>
      <c r="N391" s="23"/>
      <c r="O391" s="23"/>
      <c r="P391" s="23"/>
      <c r="Q391" s="19"/>
      <c r="R391" s="17">
        <v>4</v>
      </c>
      <c r="S391" s="17">
        <v>8</v>
      </c>
      <c r="T391" s="16">
        <f t="shared" si="61"/>
        <v>2438.3999999999996</v>
      </c>
      <c r="U391" s="16">
        <f t="shared" si="62"/>
        <v>1219.1999999999998</v>
      </c>
      <c r="V391" s="18">
        <f t="shared" si="63"/>
        <v>2972897.2799999993</v>
      </c>
      <c r="W391" s="18">
        <f t="shared" si="64"/>
        <v>2.9728972799999993</v>
      </c>
      <c r="X391" s="18">
        <f t="shared" si="65"/>
        <v>14.237205073919997</v>
      </c>
      <c r="Y391" s="24">
        <v>35</v>
      </c>
      <c r="Z391" s="24">
        <f t="shared" si="66"/>
        <v>498.30217758719988</v>
      </c>
      <c r="AA391" s="16">
        <v>40</v>
      </c>
      <c r="AB391" s="16">
        <f t="shared" si="67"/>
        <v>2358.3999999999996</v>
      </c>
      <c r="AC391" s="16">
        <f t="shared" si="67"/>
        <v>1139.1999999999998</v>
      </c>
      <c r="AD391" s="19">
        <f t="shared" si="68"/>
        <v>2686689.2799999993</v>
      </c>
      <c r="AE391" s="1" t="s">
        <v>7456</v>
      </c>
      <c r="AF391" s="1" t="str">
        <f>VLOOKUP(AE391,t_objeto!B:C,2,FALSE)</f>
        <v>RAW_MATERIAL</v>
      </c>
      <c r="AG391" s="1">
        <v>8</v>
      </c>
      <c r="AH391" s="1" t="str">
        <f>VLOOKUP(AG391,t_entry_status!A:AE,2,FALSE)</f>
        <v>PENDING</v>
      </c>
      <c r="AI391" s="7">
        <v>45560</v>
      </c>
      <c r="AJ391" s="1" t="s">
        <v>7449</v>
      </c>
      <c r="AK391" s="7">
        <v>45560</v>
      </c>
      <c r="AL391" s="1" t="s">
        <v>7449</v>
      </c>
    </row>
    <row r="392" spans="1:38" s="20" customFormat="1" x14ac:dyDescent="0.25">
      <c r="A392" s="14">
        <v>391</v>
      </c>
      <c r="B392" s="14" t="str">
        <f>_xlfn.CONCAT(AE392,"-",VLOOKUP(AE392,t_objeto!B:D,3,FALSE),"-",A392)</f>
        <v>RRMM-PERCCO-391</v>
      </c>
      <c r="C392" s="22" t="str">
        <f t="shared" si="69"/>
        <v>LAMINA_LISA__ACERO_ROLADA EN CALIENTE_4'X8'_25</v>
      </c>
      <c r="D392" s="14" t="s">
        <v>7407</v>
      </c>
      <c r="E392" s="14" t="s">
        <v>7380</v>
      </c>
      <c r="F392" s="21" t="s">
        <v>7386</v>
      </c>
      <c r="G392" s="22" t="s">
        <v>7382</v>
      </c>
      <c r="H392" s="14">
        <v>25</v>
      </c>
      <c r="I392" s="16">
        <v>0.53</v>
      </c>
      <c r="J392" s="16">
        <f t="shared" si="60"/>
        <v>2.0866141732283468E-2</v>
      </c>
      <c r="K392" s="16">
        <v>4.1609999999999996</v>
      </c>
      <c r="L392" s="23"/>
      <c r="M392" s="23"/>
      <c r="N392" s="23"/>
      <c r="O392" s="23"/>
      <c r="P392" s="23"/>
      <c r="Q392" s="19"/>
      <c r="R392" s="17">
        <v>4</v>
      </c>
      <c r="S392" s="17">
        <v>8</v>
      </c>
      <c r="T392" s="16">
        <f t="shared" si="61"/>
        <v>2438.3999999999996</v>
      </c>
      <c r="U392" s="16">
        <f t="shared" si="62"/>
        <v>1219.1999999999998</v>
      </c>
      <c r="V392" s="18">
        <f t="shared" si="63"/>
        <v>2972897.2799999993</v>
      </c>
      <c r="W392" s="18">
        <f t="shared" si="64"/>
        <v>2.9728972799999993</v>
      </c>
      <c r="X392" s="18">
        <f t="shared" si="65"/>
        <v>12.370225582079996</v>
      </c>
      <c r="Y392" s="24">
        <v>35</v>
      </c>
      <c r="Z392" s="24">
        <f t="shared" si="66"/>
        <v>432.95789537279984</v>
      </c>
      <c r="AA392" s="16">
        <v>41</v>
      </c>
      <c r="AB392" s="16">
        <f t="shared" si="67"/>
        <v>2356.3999999999996</v>
      </c>
      <c r="AC392" s="16">
        <f t="shared" si="67"/>
        <v>1137.1999999999998</v>
      </c>
      <c r="AD392" s="19">
        <f t="shared" si="68"/>
        <v>2679698.0799999991</v>
      </c>
      <c r="AE392" s="1" t="s">
        <v>7456</v>
      </c>
      <c r="AF392" s="1" t="str">
        <f>VLOOKUP(AE392,t_objeto!B:C,2,FALSE)</f>
        <v>RAW_MATERIAL</v>
      </c>
      <c r="AG392" s="1">
        <v>8</v>
      </c>
      <c r="AH392" s="1" t="str">
        <f>VLOOKUP(AG392,t_entry_status!A:AE,2,FALSE)</f>
        <v>PENDING</v>
      </c>
      <c r="AI392" s="7">
        <v>45560</v>
      </c>
      <c r="AJ392" s="1" t="s">
        <v>7449</v>
      </c>
      <c r="AK392" s="7">
        <v>45560</v>
      </c>
      <c r="AL392" s="1" t="s">
        <v>7449</v>
      </c>
    </row>
    <row r="393" spans="1:38" s="20" customFormat="1" x14ac:dyDescent="0.25">
      <c r="A393" s="14">
        <v>392</v>
      </c>
      <c r="B393" s="14" t="str">
        <f>_xlfn.CONCAT(AE393,"-",VLOOKUP(AE393,t_objeto!B:D,3,FALSE),"-",A393)</f>
        <v>RRMM-PERCCO-392</v>
      </c>
      <c r="C393" s="22" t="str">
        <f t="shared" si="69"/>
        <v>LAMINA_LISA__ACERO_ROLADA EN CALIENTE_4'X8'_26</v>
      </c>
      <c r="D393" s="14" t="s">
        <v>7407</v>
      </c>
      <c r="E393" s="14" t="s">
        <v>7380</v>
      </c>
      <c r="F393" s="21" t="s">
        <v>7386</v>
      </c>
      <c r="G393" s="22" t="s">
        <v>7382</v>
      </c>
      <c r="H393" s="14">
        <v>26</v>
      </c>
      <c r="I393" s="16">
        <v>0.45</v>
      </c>
      <c r="J393" s="16">
        <f t="shared" si="60"/>
        <v>1.7716535433070866E-2</v>
      </c>
      <c r="K393" s="16">
        <v>3.5329999999999999</v>
      </c>
      <c r="L393" s="23"/>
      <c r="M393" s="23"/>
      <c r="N393" s="23"/>
      <c r="O393" s="23"/>
      <c r="P393" s="23"/>
      <c r="Q393" s="19"/>
      <c r="R393" s="17">
        <v>4</v>
      </c>
      <c r="S393" s="17">
        <v>8</v>
      </c>
      <c r="T393" s="16">
        <f t="shared" si="61"/>
        <v>2438.3999999999996</v>
      </c>
      <c r="U393" s="16">
        <f t="shared" si="62"/>
        <v>1219.1999999999998</v>
      </c>
      <c r="V393" s="18">
        <f t="shared" si="63"/>
        <v>2972897.2799999993</v>
      </c>
      <c r="W393" s="18">
        <f t="shared" si="64"/>
        <v>2.9728972799999993</v>
      </c>
      <c r="X393" s="18">
        <f t="shared" si="65"/>
        <v>10.503246090239998</v>
      </c>
      <c r="Y393" s="24">
        <v>35</v>
      </c>
      <c r="Z393" s="24">
        <f t="shared" si="66"/>
        <v>367.61361315839991</v>
      </c>
      <c r="AA393" s="16">
        <v>42</v>
      </c>
      <c r="AB393" s="16">
        <f t="shared" si="67"/>
        <v>2354.3999999999996</v>
      </c>
      <c r="AC393" s="16">
        <f t="shared" si="67"/>
        <v>1135.1999999999998</v>
      </c>
      <c r="AD393" s="19">
        <f t="shared" si="68"/>
        <v>2672714.879999999</v>
      </c>
      <c r="AE393" s="1" t="s">
        <v>7456</v>
      </c>
      <c r="AF393" s="1" t="str">
        <f>VLOOKUP(AE393,t_objeto!B:C,2,FALSE)</f>
        <v>RAW_MATERIAL</v>
      </c>
      <c r="AG393" s="1">
        <v>8</v>
      </c>
      <c r="AH393" s="1" t="str">
        <f>VLOOKUP(AG393,t_entry_status!A:AE,2,FALSE)</f>
        <v>PENDING</v>
      </c>
      <c r="AI393" s="7">
        <v>45560</v>
      </c>
      <c r="AJ393" s="1" t="s">
        <v>7449</v>
      </c>
      <c r="AK393" s="7">
        <v>45560</v>
      </c>
      <c r="AL393" s="1" t="s">
        <v>7449</v>
      </c>
    </row>
    <row r="394" spans="1:38" s="20" customFormat="1" x14ac:dyDescent="0.25">
      <c r="A394" s="14">
        <v>393</v>
      </c>
      <c r="B394" s="14" t="str">
        <f>_xlfn.CONCAT(AE394,"-",VLOOKUP(AE394,t_objeto!B:D,3,FALSE),"-",A394)</f>
        <v>RRMM-PERCCO-393</v>
      </c>
      <c r="C394" s="22" t="str">
        <f t="shared" si="69"/>
        <v>LAMINA_LISA__ACERO_ROLADA EN CALIENTE_4'X8'_27</v>
      </c>
      <c r="D394" s="14" t="s">
        <v>7407</v>
      </c>
      <c r="E394" s="14" t="s">
        <v>7380</v>
      </c>
      <c r="F394" s="21" t="s">
        <v>7386</v>
      </c>
      <c r="G394" s="22" t="s">
        <v>7382</v>
      </c>
      <c r="H394" s="14">
        <v>27</v>
      </c>
      <c r="I394" s="16">
        <v>0.42</v>
      </c>
      <c r="J394" s="16">
        <f t="shared" si="60"/>
        <v>1.6535433070866142E-2</v>
      </c>
      <c r="K394" s="16">
        <v>3.2970000000000002</v>
      </c>
      <c r="L394" s="23"/>
      <c r="M394" s="23"/>
      <c r="N394" s="23"/>
      <c r="O394" s="23"/>
      <c r="P394" s="23"/>
      <c r="Q394" s="19"/>
      <c r="R394" s="17">
        <v>4</v>
      </c>
      <c r="S394" s="17">
        <v>8</v>
      </c>
      <c r="T394" s="16">
        <f t="shared" si="61"/>
        <v>2438.3999999999996</v>
      </c>
      <c r="U394" s="16">
        <f t="shared" si="62"/>
        <v>1219.1999999999998</v>
      </c>
      <c r="V394" s="18">
        <f t="shared" si="63"/>
        <v>2972897.2799999993</v>
      </c>
      <c r="W394" s="18">
        <f t="shared" si="64"/>
        <v>2.9728972799999993</v>
      </c>
      <c r="X394" s="18">
        <f t="shared" si="65"/>
        <v>9.8016423321599984</v>
      </c>
      <c r="Y394" s="24">
        <v>35</v>
      </c>
      <c r="Z394" s="24">
        <f t="shared" si="66"/>
        <v>343.05748162559996</v>
      </c>
      <c r="AA394" s="16">
        <v>43</v>
      </c>
      <c r="AB394" s="16">
        <f t="shared" si="67"/>
        <v>2352.3999999999996</v>
      </c>
      <c r="AC394" s="16">
        <f t="shared" si="67"/>
        <v>1133.1999999999998</v>
      </c>
      <c r="AD394" s="19">
        <f t="shared" si="68"/>
        <v>2665739.6799999992</v>
      </c>
      <c r="AE394" s="1" t="s">
        <v>7456</v>
      </c>
      <c r="AF394" s="1" t="str">
        <f>VLOOKUP(AE394,t_objeto!B:C,2,FALSE)</f>
        <v>RAW_MATERIAL</v>
      </c>
      <c r="AG394" s="1">
        <v>8</v>
      </c>
      <c r="AH394" s="1" t="str">
        <f>VLOOKUP(AG394,t_entry_status!A:AE,2,FALSE)</f>
        <v>PENDING</v>
      </c>
      <c r="AI394" s="7">
        <v>45560</v>
      </c>
      <c r="AJ394" s="1" t="s">
        <v>7449</v>
      </c>
      <c r="AK394" s="7">
        <v>45560</v>
      </c>
      <c r="AL394" s="1" t="s">
        <v>7449</v>
      </c>
    </row>
    <row r="395" spans="1:38" s="20" customFormat="1" x14ac:dyDescent="0.25">
      <c r="A395" s="14">
        <v>394</v>
      </c>
      <c r="B395" s="14" t="str">
        <f>_xlfn.CONCAT(AE395,"-",VLOOKUP(AE395,t_objeto!B:D,3,FALSE),"-",A395)</f>
        <v>RRMM-PERCCO-394</v>
      </c>
      <c r="C395" s="22" t="str">
        <f t="shared" si="69"/>
        <v>LAMINA_LISA__ACERO_ROLADA EN CALIENTE_4'X8'_28</v>
      </c>
      <c r="D395" s="14" t="s">
        <v>7407</v>
      </c>
      <c r="E395" s="14" t="s">
        <v>7380</v>
      </c>
      <c r="F395" s="21" t="s">
        <v>7386</v>
      </c>
      <c r="G395" s="22" t="s">
        <v>7382</v>
      </c>
      <c r="H395" s="14">
        <v>28</v>
      </c>
      <c r="I395" s="16">
        <v>0.38</v>
      </c>
      <c r="J395" s="16">
        <f t="shared" si="60"/>
        <v>1.4960629921259844E-2</v>
      </c>
      <c r="K395" s="16">
        <v>2.9830000000000001</v>
      </c>
      <c r="L395" s="23"/>
      <c r="M395" s="23"/>
      <c r="N395" s="23"/>
      <c r="O395" s="23"/>
      <c r="P395" s="23"/>
      <c r="Q395" s="19"/>
      <c r="R395" s="17">
        <v>4</v>
      </c>
      <c r="S395" s="17">
        <v>8</v>
      </c>
      <c r="T395" s="16">
        <f t="shared" si="61"/>
        <v>2438.3999999999996</v>
      </c>
      <c r="U395" s="16">
        <f t="shared" si="62"/>
        <v>1219.1999999999998</v>
      </c>
      <c r="V395" s="18">
        <f t="shared" si="63"/>
        <v>2972897.2799999993</v>
      </c>
      <c r="W395" s="18">
        <f t="shared" si="64"/>
        <v>2.9728972799999993</v>
      </c>
      <c r="X395" s="18">
        <f t="shared" si="65"/>
        <v>8.868152586239999</v>
      </c>
      <c r="Y395" s="24">
        <v>35</v>
      </c>
      <c r="Z395" s="24">
        <f t="shared" si="66"/>
        <v>310.38534051839997</v>
      </c>
      <c r="AA395" s="16">
        <v>44</v>
      </c>
      <c r="AB395" s="16">
        <f t="shared" si="67"/>
        <v>2350.3999999999996</v>
      </c>
      <c r="AC395" s="16">
        <f t="shared" si="67"/>
        <v>1131.1999999999998</v>
      </c>
      <c r="AD395" s="19">
        <f t="shared" si="68"/>
        <v>2658772.4799999991</v>
      </c>
      <c r="AE395" s="1" t="s">
        <v>7456</v>
      </c>
      <c r="AF395" s="1" t="str">
        <f>VLOOKUP(AE395,t_objeto!B:C,2,FALSE)</f>
        <v>RAW_MATERIAL</v>
      </c>
      <c r="AG395" s="1">
        <v>8</v>
      </c>
      <c r="AH395" s="1" t="str">
        <f>VLOOKUP(AG395,t_entry_status!A:AE,2,FALSE)</f>
        <v>PENDING</v>
      </c>
      <c r="AI395" s="7">
        <v>45560</v>
      </c>
      <c r="AJ395" s="1" t="s">
        <v>7449</v>
      </c>
      <c r="AK395" s="7">
        <v>45560</v>
      </c>
      <c r="AL395" s="1" t="s">
        <v>7449</v>
      </c>
    </row>
    <row r="396" spans="1:38" s="20" customFormat="1" x14ac:dyDescent="0.25">
      <c r="A396" s="14">
        <v>395</v>
      </c>
      <c r="B396" s="14" t="str">
        <f>_xlfn.CONCAT(AE396,"-",VLOOKUP(AE396,t_objeto!B:D,3,FALSE),"-",A396)</f>
        <v>RRMM-PERCCO-395</v>
      </c>
      <c r="C396" s="22" t="str">
        <f t="shared" si="69"/>
        <v>LAMINA_LISA__ACERO_ROLADA EN CALIENTE_4'X8'_29</v>
      </c>
      <c r="D396" s="14" t="s">
        <v>7407</v>
      </c>
      <c r="E396" s="14" t="s">
        <v>7380</v>
      </c>
      <c r="F396" s="21" t="s">
        <v>7386</v>
      </c>
      <c r="G396" s="22" t="s">
        <v>7382</v>
      </c>
      <c r="H396" s="14">
        <v>29</v>
      </c>
      <c r="I396" s="16">
        <v>0.34</v>
      </c>
      <c r="J396" s="16">
        <f t="shared" si="60"/>
        <v>1.3385826771653545E-2</v>
      </c>
      <c r="K396" s="16">
        <v>2.669</v>
      </c>
      <c r="L396" s="23"/>
      <c r="M396" s="23"/>
      <c r="N396" s="23"/>
      <c r="O396" s="23"/>
      <c r="P396" s="23"/>
      <c r="Q396" s="19"/>
      <c r="R396" s="17">
        <v>4</v>
      </c>
      <c r="S396" s="17">
        <v>8</v>
      </c>
      <c r="T396" s="16">
        <f t="shared" si="61"/>
        <v>2438.3999999999996</v>
      </c>
      <c r="U396" s="16">
        <f t="shared" si="62"/>
        <v>1219.1999999999998</v>
      </c>
      <c r="V396" s="18">
        <f t="shared" si="63"/>
        <v>2972897.2799999993</v>
      </c>
      <c r="W396" s="18">
        <f t="shared" si="64"/>
        <v>2.9728972799999993</v>
      </c>
      <c r="X396" s="18">
        <f t="shared" si="65"/>
        <v>7.9346628403199979</v>
      </c>
      <c r="Y396" s="24">
        <v>35</v>
      </c>
      <c r="Z396" s="24">
        <f t="shared" si="66"/>
        <v>277.71319941119992</v>
      </c>
      <c r="AA396" s="16">
        <v>45</v>
      </c>
      <c r="AB396" s="16">
        <f t="shared" si="67"/>
        <v>2348.3999999999996</v>
      </c>
      <c r="AC396" s="16">
        <f t="shared" si="67"/>
        <v>1129.1999999999998</v>
      </c>
      <c r="AD396" s="19">
        <f t="shared" si="68"/>
        <v>2651813.2799999993</v>
      </c>
      <c r="AE396" s="1" t="s">
        <v>7456</v>
      </c>
      <c r="AF396" s="1" t="str">
        <f>VLOOKUP(AE396,t_objeto!B:C,2,FALSE)</f>
        <v>RAW_MATERIAL</v>
      </c>
      <c r="AG396" s="1">
        <v>8</v>
      </c>
      <c r="AH396" s="1" t="str">
        <f>VLOOKUP(AG396,t_entry_status!A:AE,2,FALSE)</f>
        <v>PENDING</v>
      </c>
      <c r="AI396" s="7">
        <v>45560</v>
      </c>
      <c r="AJ396" s="1" t="s">
        <v>7449</v>
      </c>
      <c r="AK396" s="7">
        <v>45560</v>
      </c>
      <c r="AL396" s="1" t="s">
        <v>7449</v>
      </c>
    </row>
    <row r="397" spans="1:38" s="20" customFormat="1" x14ac:dyDescent="0.25">
      <c r="A397" s="14">
        <v>396</v>
      </c>
      <c r="B397" s="14" t="str">
        <f>_xlfn.CONCAT(AE397,"-",VLOOKUP(AE397,t_objeto!B:D,3,FALSE),"-",A397)</f>
        <v>RRMM-PERCCO-396</v>
      </c>
      <c r="C397" s="22" t="str">
        <f t="shared" si="69"/>
        <v>LAMINA_LISA__ACERO_ROLADA EN CALIENTE_4'X8'_30</v>
      </c>
      <c r="D397" s="14" t="s">
        <v>7407</v>
      </c>
      <c r="E397" s="14" t="s">
        <v>7380</v>
      </c>
      <c r="F397" s="21" t="s">
        <v>7386</v>
      </c>
      <c r="G397" s="22" t="s">
        <v>7382</v>
      </c>
      <c r="H397" s="14">
        <v>30</v>
      </c>
      <c r="I397" s="16">
        <v>0.3</v>
      </c>
      <c r="J397" s="16">
        <f t="shared" si="60"/>
        <v>1.1811023622047244E-2</v>
      </c>
      <c r="K397" s="16">
        <v>2.355</v>
      </c>
      <c r="L397" s="23"/>
      <c r="M397" s="23"/>
      <c r="N397" s="23"/>
      <c r="O397" s="23"/>
      <c r="P397" s="23"/>
      <c r="Q397" s="19"/>
      <c r="R397" s="17">
        <v>4</v>
      </c>
      <c r="S397" s="17">
        <v>8</v>
      </c>
      <c r="T397" s="16">
        <f t="shared" si="61"/>
        <v>2438.3999999999996</v>
      </c>
      <c r="U397" s="16">
        <f t="shared" si="62"/>
        <v>1219.1999999999998</v>
      </c>
      <c r="V397" s="18">
        <f t="shared" si="63"/>
        <v>2972897.2799999993</v>
      </c>
      <c r="W397" s="18">
        <f t="shared" si="64"/>
        <v>2.9728972799999993</v>
      </c>
      <c r="X397" s="18">
        <f t="shared" si="65"/>
        <v>7.0011730943999986</v>
      </c>
      <c r="Y397" s="24">
        <v>35</v>
      </c>
      <c r="Z397" s="24">
        <f t="shared" si="66"/>
        <v>245.04105830399996</v>
      </c>
      <c r="AA397" s="16">
        <v>46</v>
      </c>
      <c r="AB397" s="16">
        <f t="shared" si="67"/>
        <v>2346.3999999999996</v>
      </c>
      <c r="AC397" s="16">
        <f t="shared" si="67"/>
        <v>1127.1999999999998</v>
      </c>
      <c r="AD397" s="19">
        <f t="shared" si="68"/>
        <v>2644862.0799999991</v>
      </c>
      <c r="AE397" s="1" t="s">
        <v>7456</v>
      </c>
      <c r="AF397" s="1" t="str">
        <f>VLOOKUP(AE397,t_objeto!B:C,2,FALSE)</f>
        <v>RAW_MATERIAL</v>
      </c>
      <c r="AG397" s="1">
        <v>8</v>
      </c>
      <c r="AH397" s="1" t="str">
        <f>VLOOKUP(AG397,t_entry_status!A:AE,2,FALSE)</f>
        <v>PENDING</v>
      </c>
      <c r="AI397" s="7">
        <v>45560</v>
      </c>
      <c r="AJ397" s="1" t="s">
        <v>7449</v>
      </c>
      <c r="AK397" s="7">
        <v>45560</v>
      </c>
      <c r="AL397" s="1" t="s">
        <v>7449</v>
      </c>
    </row>
    <row r="398" spans="1:38" s="20" customFormat="1" x14ac:dyDescent="0.25">
      <c r="A398" s="14">
        <v>397</v>
      </c>
      <c r="B398" s="14" t="str">
        <f>_xlfn.CONCAT(AE398,"-",VLOOKUP(AE398,t_objeto!B:D,3,FALSE),"-",A398)</f>
        <v>RRMM-PERCCO-397</v>
      </c>
      <c r="C398" s="22" t="str">
        <f t="shared" si="69"/>
        <v>PLACA__ACERO_ROLADA EN FRIO_4'X8'_1"</v>
      </c>
      <c r="D398" s="14" t="s">
        <v>7385</v>
      </c>
      <c r="E398" s="14" t="s">
        <v>7380</v>
      </c>
      <c r="F398" s="21" t="s">
        <v>7400</v>
      </c>
      <c r="G398" s="22" t="s">
        <v>7382</v>
      </c>
      <c r="H398" s="14" t="s">
        <v>7387</v>
      </c>
      <c r="I398" s="16">
        <v>25.4</v>
      </c>
      <c r="J398" s="16">
        <f t="shared" si="60"/>
        <v>1</v>
      </c>
      <c r="K398" s="16">
        <v>199.39</v>
      </c>
      <c r="L398" s="23"/>
      <c r="M398" s="23"/>
      <c r="N398" s="23"/>
      <c r="O398" s="23"/>
      <c r="P398" s="23"/>
      <c r="Q398" s="19"/>
      <c r="R398" s="17">
        <v>4</v>
      </c>
      <c r="S398" s="17">
        <v>8</v>
      </c>
      <c r="T398" s="16">
        <f t="shared" si="61"/>
        <v>2438.3999999999996</v>
      </c>
      <c r="U398" s="16">
        <f t="shared" si="62"/>
        <v>1219.1999999999998</v>
      </c>
      <c r="V398" s="18">
        <f t="shared" si="63"/>
        <v>2972897.2799999993</v>
      </c>
      <c r="W398" s="18">
        <f t="shared" si="64"/>
        <v>2.9728972799999993</v>
      </c>
      <c r="X398" s="18">
        <f t="shared" si="65"/>
        <v>592.76598865919982</v>
      </c>
      <c r="Y398" s="24">
        <v>35</v>
      </c>
      <c r="Z398" s="24">
        <f t="shared" si="66"/>
        <v>20746.809603071993</v>
      </c>
      <c r="AA398" s="16">
        <v>8</v>
      </c>
      <c r="AB398" s="16">
        <f t="shared" si="67"/>
        <v>2422.3999999999996</v>
      </c>
      <c r="AC398" s="16">
        <f t="shared" si="67"/>
        <v>1203.1999999999998</v>
      </c>
      <c r="AD398" s="19">
        <f t="shared" si="68"/>
        <v>2914631.6799999992</v>
      </c>
      <c r="AE398" s="1" t="s">
        <v>7456</v>
      </c>
      <c r="AF398" s="1" t="str">
        <f>VLOOKUP(AE398,t_objeto!B:C,2,FALSE)</f>
        <v>RAW_MATERIAL</v>
      </c>
      <c r="AG398" s="1">
        <v>8</v>
      </c>
      <c r="AH398" s="1" t="str">
        <f>VLOOKUP(AG398,t_entry_status!A:AE,2,FALSE)</f>
        <v>PENDING</v>
      </c>
      <c r="AI398" s="7">
        <v>45560</v>
      </c>
      <c r="AJ398" s="1" t="s">
        <v>7449</v>
      </c>
      <c r="AK398" s="7">
        <v>45560</v>
      </c>
      <c r="AL398" s="1" t="s">
        <v>7449</v>
      </c>
    </row>
    <row r="399" spans="1:38" s="20" customFormat="1" x14ac:dyDescent="0.25">
      <c r="A399" s="14">
        <v>398</v>
      </c>
      <c r="B399" s="14" t="str">
        <f>_xlfn.CONCAT(AE399,"-",VLOOKUP(AE399,t_objeto!B:D,3,FALSE),"-",A399)</f>
        <v>RRMM-PERCCO-398</v>
      </c>
      <c r="C399" s="22" t="str">
        <f t="shared" si="69"/>
        <v>PLACA__ACERO_ROLADA EN FRIO_4'X8'_7/8"</v>
      </c>
      <c r="D399" s="14" t="s">
        <v>7385</v>
      </c>
      <c r="E399" s="14" t="s">
        <v>7380</v>
      </c>
      <c r="F399" s="21" t="s">
        <v>7400</v>
      </c>
      <c r="G399" s="22" t="s">
        <v>7382</v>
      </c>
      <c r="H399" s="14" t="s">
        <v>7388</v>
      </c>
      <c r="I399" s="16">
        <v>22.22</v>
      </c>
      <c r="J399" s="16">
        <f t="shared" si="60"/>
        <v>0.87480314960629924</v>
      </c>
      <c r="K399" s="16">
        <v>174.42699999999999</v>
      </c>
      <c r="L399" s="23"/>
      <c r="M399" s="23"/>
      <c r="N399" s="23"/>
      <c r="O399" s="23"/>
      <c r="P399" s="23"/>
      <c r="Q399" s="19"/>
      <c r="R399" s="17">
        <v>4</v>
      </c>
      <c r="S399" s="17">
        <v>8</v>
      </c>
      <c r="T399" s="16">
        <f t="shared" si="61"/>
        <v>2438.3999999999996</v>
      </c>
      <c r="U399" s="16">
        <f t="shared" si="62"/>
        <v>1219.1999999999998</v>
      </c>
      <c r="V399" s="18">
        <f t="shared" si="63"/>
        <v>2972897.2799999993</v>
      </c>
      <c r="W399" s="18">
        <f t="shared" si="64"/>
        <v>2.9728972799999993</v>
      </c>
      <c r="X399" s="18">
        <f t="shared" si="65"/>
        <v>518.55355385855989</v>
      </c>
      <c r="Y399" s="24">
        <v>35</v>
      </c>
      <c r="Z399" s="24">
        <f t="shared" si="66"/>
        <v>18149.374385049596</v>
      </c>
      <c r="AA399" s="16">
        <v>9</v>
      </c>
      <c r="AB399" s="16">
        <f t="shared" si="67"/>
        <v>2420.3999999999996</v>
      </c>
      <c r="AC399" s="16">
        <f t="shared" si="67"/>
        <v>1201.1999999999998</v>
      </c>
      <c r="AD399" s="19">
        <f t="shared" si="68"/>
        <v>2907384.4799999991</v>
      </c>
      <c r="AE399" s="1" t="s">
        <v>7456</v>
      </c>
      <c r="AF399" s="1" t="str">
        <f>VLOOKUP(AE399,t_objeto!B:C,2,FALSE)</f>
        <v>RAW_MATERIAL</v>
      </c>
      <c r="AG399" s="1">
        <v>8</v>
      </c>
      <c r="AH399" s="1" t="str">
        <f>VLOOKUP(AG399,t_entry_status!A:AE,2,FALSE)</f>
        <v>PENDING</v>
      </c>
      <c r="AI399" s="7">
        <v>45560</v>
      </c>
      <c r="AJ399" s="1" t="s">
        <v>7449</v>
      </c>
      <c r="AK399" s="7">
        <v>45560</v>
      </c>
      <c r="AL399" s="1" t="s">
        <v>7449</v>
      </c>
    </row>
    <row r="400" spans="1:38" s="20" customFormat="1" x14ac:dyDescent="0.25">
      <c r="A400" s="14">
        <v>399</v>
      </c>
      <c r="B400" s="14" t="str">
        <f>_xlfn.CONCAT(AE400,"-",VLOOKUP(AE400,t_objeto!B:D,3,FALSE),"-",A400)</f>
        <v>RRMM-PERCCO-399</v>
      </c>
      <c r="C400" s="22" t="str">
        <f t="shared" si="69"/>
        <v>PLACA__ACERO_ROLADA EN FRIO_4'X8'_3/4"</v>
      </c>
      <c r="D400" s="14" t="s">
        <v>7385</v>
      </c>
      <c r="E400" s="14" t="s">
        <v>7380</v>
      </c>
      <c r="F400" s="21" t="s">
        <v>7400</v>
      </c>
      <c r="G400" s="22" t="s">
        <v>7382</v>
      </c>
      <c r="H400" s="14" t="s">
        <v>7389</v>
      </c>
      <c r="I400" s="16">
        <v>19.05</v>
      </c>
      <c r="J400" s="16">
        <f t="shared" si="60"/>
        <v>0.75000000000000011</v>
      </c>
      <c r="K400" s="16">
        <v>149.54300000000001</v>
      </c>
      <c r="L400" s="23"/>
      <c r="M400" s="23"/>
      <c r="N400" s="23"/>
      <c r="O400" s="23"/>
      <c r="P400" s="23"/>
      <c r="Q400" s="19"/>
      <c r="R400" s="17">
        <v>4</v>
      </c>
      <c r="S400" s="17">
        <v>8</v>
      </c>
      <c r="T400" s="16">
        <f t="shared" si="61"/>
        <v>2438.3999999999996</v>
      </c>
      <c r="U400" s="16">
        <f t="shared" si="62"/>
        <v>1219.1999999999998</v>
      </c>
      <c r="V400" s="18">
        <f t="shared" si="63"/>
        <v>2972897.2799999993</v>
      </c>
      <c r="W400" s="18">
        <f t="shared" si="64"/>
        <v>2.9728972799999993</v>
      </c>
      <c r="X400" s="18">
        <f t="shared" si="65"/>
        <v>444.5759779430399</v>
      </c>
      <c r="Y400" s="24">
        <v>35</v>
      </c>
      <c r="Z400" s="24">
        <f t="shared" si="66"/>
        <v>15560.159228006396</v>
      </c>
      <c r="AA400" s="16">
        <v>10</v>
      </c>
      <c r="AB400" s="16">
        <f t="shared" si="67"/>
        <v>2418.3999999999996</v>
      </c>
      <c r="AC400" s="16">
        <f t="shared" si="67"/>
        <v>1199.1999999999998</v>
      </c>
      <c r="AD400" s="19">
        <f t="shared" si="68"/>
        <v>2900145.2799999993</v>
      </c>
      <c r="AE400" s="1" t="s">
        <v>7456</v>
      </c>
      <c r="AF400" s="1" t="str">
        <f>VLOOKUP(AE400,t_objeto!B:C,2,FALSE)</f>
        <v>RAW_MATERIAL</v>
      </c>
      <c r="AG400" s="1">
        <v>8</v>
      </c>
      <c r="AH400" s="1" t="str">
        <f>VLOOKUP(AG400,t_entry_status!A:AE,2,FALSE)</f>
        <v>PENDING</v>
      </c>
      <c r="AI400" s="7">
        <v>45560</v>
      </c>
      <c r="AJ400" s="1" t="s">
        <v>7449</v>
      </c>
      <c r="AK400" s="7">
        <v>45560</v>
      </c>
      <c r="AL400" s="1" t="s">
        <v>7449</v>
      </c>
    </row>
    <row r="401" spans="1:38" s="20" customFormat="1" x14ac:dyDescent="0.25">
      <c r="A401" s="14">
        <v>400</v>
      </c>
      <c r="B401" s="14" t="str">
        <f>_xlfn.CONCAT(AE401,"-",VLOOKUP(AE401,t_objeto!B:D,3,FALSE),"-",A401)</f>
        <v>RRMM-PERCCO-400</v>
      </c>
      <c r="C401" s="22" t="str">
        <f t="shared" si="69"/>
        <v>PLACA__ACERO_ROLADA EN FRIO_4'X8'_11/16"</v>
      </c>
      <c r="D401" s="14" t="s">
        <v>7385</v>
      </c>
      <c r="E401" s="14" t="s">
        <v>7380</v>
      </c>
      <c r="F401" s="21" t="s">
        <v>7400</v>
      </c>
      <c r="G401" s="22" t="s">
        <v>7382</v>
      </c>
      <c r="H401" s="14" t="s">
        <v>7390</v>
      </c>
      <c r="I401" s="16">
        <v>17.46</v>
      </c>
      <c r="J401" s="16">
        <f t="shared" si="60"/>
        <v>0.68740157480314967</v>
      </c>
      <c r="K401" s="16">
        <v>137.06100000000001</v>
      </c>
      <c r="L401" s="23"/>
      <c r="M401" s="23"/>
      <c r="N401" s="23"/>
      <c r="O401" s="23"/>
      <c r="P401" s="23"/>
      <c r="Q401" s="19"/>
      <c r="R401" s="17">
        <v>4</v>
      </c>
      <c r="S401" s="17">
        <v>8</v>
      </c>
      <c r="T401" s="16">
        <f t="shared" si="61"/>
        <v>2438.3999999999996</v>
      </c>
      <c r="U401" s="16">
        <f t="shared" si="62"/>
        <v>1219.1999999999998</v>
      </c>
      <c r="V401" s="18">
        <f t="shared" si="63"/>
        <v>2972897.2799999993</v>
      </c>
      <c r="W401" s="18">
        <f t="shared" si="64"/>
        <v>2.9728972799999993</v>
      </c>
      <c r="X401" s="18">
        <f t="shared" si="65"/>
        <v>407.4682740940799</v>
      </c>
      <c r="Y401" s="24">
        <v>35</v>
      </c>
      <c r="Z401" s="24">
        <f t="shared" si="66"/>
        <v>14261.389593292797</v>
      </c>
      <c r="AA401" s="16">
        <v>11</v>
      </c>
      <c r="AB401" s="16">
        <f t="shared" si="67"/>
        <v>2416.3999999999996</v>
      </c>
      <c r="AC401" s="16">
        <f t="shared" si="67"/>
        <v>1197.1999999999998</v>
      </c>
      <c r="AD401" s="19">
        <f t="shared" si="68"/>
        <v>2892914.0799999991</v>
      </c>
      <c r="AE401" s="1" t="s">
        <v>7456</v>
      </c>
      <c r="AF401" s="1" t="str">
        <f>VLOOKUP(AE401,t_objeto!B:C,2,FALSE)</f>
        <v>RAW_MATERIAL</v>
      </c>
      <c r="AG401" s="1">
        <v>8</v>
      </c>
      <c r="AH401" s="1" t="str">
        <f>VLOOKUP(AG401,t_entry_status!A:AE,2,FALSE)</f>
        <v>PENDING</v>
      </c>
      <c r="AI401" s="7">
        <v>45560</v>
      </c>
      <c r="AJ401" s="1" t="s">
        <v>7449</v>
      </c>
      <c r="AK401" s="7">
        <v>45560</v>
      </c>
      <c r="AL401" s="1" t="s">
        <v>7449</v>
      </c>
    </row>
    <row r="402" spans="1:38" s="20" customFormat="1" x14ac:dyDescent="0.25">
      <c r="A402" s="14">
        <v>401</v>
      </c>
      <c r="B402" s="14" t="str">
        <f>_xlfn.CONCAT(AE402,"-",VLOOKUP(AE402,t_objeto!B:D,3,FALSE),"-",A402)</f>
        <v>RRMM-PERCCO-401</v>
      </c>
      <c r="C402" s="22" t="str">
        <f t="shared" si="69"/>
        <v>PLACA__ACERO_ROLADA EN FRIO_4'X8'_5/8"</v>
      </c>
      <c r="D402" s="14" t="s">
        <v>7385</v>
      </c>
      <c r="E402" s="14" t="s">
        <v>7380</v>
      </c>
      <c r="F402" s="21" t="s">
        <v>7400</v>
      </c>
      <c r="G402" s="22" t="s">
        <v>7382</v>
      </c>
      <c r="H402" s="14" t="s">
        <v>7391</v>
      </c>
      <c r="I402" s="16">
        <v>15.87</v>
      </c>
      <c r="J402" s="16">
        <f t="shared" ref="J402:J466" si="70">I402/25.4</f>
        <v>0.62480314960629924</v>
      </c>
      <c r="K402" s="16">
        <v>124.58</v>
      </c>
      <c r="L402" s="23"/>
      <c r="M402" s="23"/>
      <c r="N402" s="23"/>
      <c r="O402" s="23"/>
      <c r="P402" s="23"/>
      <c r="Q402" s="19"/>
      <c r="R402" s="17">
        <v>4</v>
      </c>
      <c r="S402" s="17">
        <v>8</v>
      </c>
      <c r="T402" s="16">
        <f t="shared" si="61"/>
        <v>2438.3999999999996</v>
      </c>
      <c r="U402" s="16">
        <f t="shared" si="62"/>
        <v>1219.1999999999998</v>
      </c>
      <c r="V402" s="18">
        <f t="shared" si="63"/>
        <v>2972897.2799999993</v>
      </c>
      <c r="W402" s="18">
        <f t="shared" si="64"/>
        <v>2.9728972799999993</v>
      </c>
      <c r="X402" s="18">
        <f t="shared" si="65"/>
        <v>370.36354314239992</v>
      </c>
      <c r="Y402" s="24">
        <v>35</v>
      </c>
      <c r="Z402" s="24">
        <f t="shared" si="66"/>
        <v>12962.724009983996</v>
      </c>
      <c r="AA402" s="16">
        <v>12</v>
      </c>
      <c r="AB402" s="16">
        <f t="shared" ref="AB402:AC441" si="71">T402-($AA402*2)</f>
        <v>2414.3999999999996</v>
      </c>
      <c r="AC402" s="16">
        <f t="shared" si="71"/>
        <v>1195.1999999999998</v>
      </c>
      <c r="AD402" s="19">
        <f t="shared" si="68"/>
        <v>2885690.879999999</v>
      </c>
      <c r="AE402" s="1" t="s">
        <v>7456</v>
      </c>
      <c r="AF402" s="1" t="str">
        <f>VLOOKUP(AE402,t_objeto!B:C,2,FALSE)</f>
        <v>RAW_MATERIAL</v>
      </c>
      <c r="AG402" s="1">
        <v>8</v>
      </c>
      <c r="AH402" s="1" t="str">
        <f>VLOOKUP(AG402,t_entry_status!A:AE,2,FALSE)</f>
        <v>PENDING</v>
      </c>
      <c r="AI402" s="7">
        <v>45560</v>
      </c>
      <c r="AJ402" s="1" t="s">
        <v>7449</v>
      </c>
      <c r="AK402" s="7">
        <v>45560</v>
      </c>
      <c r="AL402" s="1" t="s">
        <v>7449</v>
      </c>
    </row>
    <row r="403" spans="1:38" s="20" customFormat="1" x14ac:dyDescent="0.25">
      <c r="A403" s="14">
        <v>402</v>
      </c>
      <c r="B403" s="14" t="str">
        <f>_xlfn.CONCAT(AE403,"-",VLOOKUP(AE403,t_objeto!B:D,3,FALSE),"-",A403)</f>
        <v>RRMM-PERCCO-402</v>
      </c>
      <c r="C403" s="22" t="str">
        <f t="shared" si="69"/>
        <v>PLACA__ACERO_ROLADA EN FRIO_4'X8'_9/16"</v>
      </c>
      <c r="D403" s="14" t="s">
        <v>7385</v>
      </c>
      <c r="E403" s="14" t="s">
        <v>7380</v>
      </c>
      <c r="F403" s="21" t="s">
        <v>7400</v>
      </c>
      <c r="G403" s="22" t="s">
        <v>7382</v>
      </c>
      <c r="H403" s="14" t="s">
        <v>7392</v>
      </c>
      <c r="I403" s="16">
        <v>14.28</v>
      </c>
      <c r="J403" s="16">
        <f t="shared" si="70"/>
        <v>0.5622047244094488</v>
      </c>
      <c r="K403" s="16">
        <v>112.098</v>
      </c>
      <c r="L403" s="23"/>
      <c r="M403" s="23"/>
      <c r="N403" s="23"/>
      <c r="O403" s="23"/>
      <c r="P403" s="23"/>
      <c r="Q403" s="19"/>
      <c r="R403" s="17">
        <v>4</v>
      </c>
      <c r="S403" s="17">
        <v>8</v>
      </c>
      <c r="T403" s="16">
        <f t="shared" si="61"/>
        <v>2438.3999999999996</v>
      </c>
      <c r="U403" s="16">
        <f t="shared" si="62"/>
        <v>1219.1999999999998</v>
      </c>
      <c r="V403" s="18">
        <f t="shared" si="63"/>
        <v>2972897.2799999993</v>
      </c>
      <c r="W403" s="18">
        <f t="shared" si="64"/>
        <v>2.9728972799999993</v>
      </c>
      <c r="X403" s="18">
        <f t="shared" si="65"/>
        <v>333.25583929343992</v>
      </c>
      <c r="Y403" s="24">
        <v>35</v>
      </c>
      <c r="Z403" s="24">
        <f t="shared" si="66"/>
        <v>11663.954375270398</v>
      </c>
      <c r="AA403" s="16">
        <v>13</v>
      </c>
      <c r="AB403" s="16">
        <f t="shared" si="71"/>
        <v>2412.3999999999996</v>
      </c>
      <c r="AC403" s="16">
        <f t="shared" si="71"/>
        <v>1193.1999999999998</v>
      </c>
      <c r="AD403" s="19">
        <f t="shared" si="68"/>
        <v>2878475.6799999992</v>
      </c>
      <c r="AE403" s="1" t="s">
        <v>7456</v>
      </c>
      <c r="AF403" s="1" t="str">
        <f>VLOOKUP(AE403,t_objeto!B:C,2,FALSE)</f>
        <v>RAW_MATERIAL</v>
      </c>
      <c r="AG403" s="1">
        <v>8</v>
      </c>
      <c r="AH403" s="1" t="str">
        <f>VLOOKUP(AG403,t_entry_status!A:AE,2,FALSE)</f>
        <v>PENDING</v>
      </c>
      <c r="AI403" s="7">
        <v>45560</v>
      </c>
      <c r="AJ403" s="1" t="s">
        <v>7449</v>
      </c>
      <c r="AK403" s="7">
        <v>45560</v>
      </c>
      <c r="AL403" s="1" t="s">
        <v>7449</v>
      </c>
    </row>
    <row r="404" spans="1:38" s="20" customFormat="1" x14ac:dyDescent="0.25">
      <c r="A404" s="14">
        <v>403</v>
      </c>
      <c r="B404" s="14" t="str">
        <f>_xlfn.CONCAT(AE404,"-",VLOOKUP(AE404,t_objeto!B:D,3,FALSE),"-",A404)</f>
        <v>RRMM-PERCCO-403</v>
      </c>
      <c r="C404" s="22" t="str">
        <f t="shared" si="69"/>
        <v>PLACA__ACERO_ROLADA EN FRIO_4'X8'_1/2"</v>
      </c>
      <c r="D404" s="14" t="s">
        <v>7385</v>
      </c>
      <c r="E404" s="14" t="s">
        <v>7380</v>
      </c>
      <c r="F404" s="21" t="s">
        <v>7400</v>
      </c>
      <c r="G404" s="22" t="s">
        <v>7382</v>
      </c>
      <c r="H404" s="14" t="s">
        <v>7393</v>
      </c>
      <c r="I404" s="16">
        <v>12.7</v>
      </c>
      <c r="J404" s="16">
        <f t="shared" si="70"/>
        <v>0.5</v>
      </c>
      <c r="K404" s="16">
        <v>99.694999999999993</v>
      </c>
      <c r="L404" s="23"/>
      <c r="M404" s="23"/>
      <c r="N404" s="23"/>
      <c r="O404" s="23"/>
      <c r="P404" s="23"/>
      <c r="Q404" s="19"/>
      <c r="R404" s="17">
        <v>4</v>
      </c>
      <c r="S404" s="17">
        <v>8</v>
      </c>
      <c r="T404" s="16">
        <f t="shared" si="61"/>
        <v>2438.3999999999996</v>
      </c>
      <c r="U404" s="16">
        <f t="shared" si="62"/>
        <v>1219.1999999999998</v>
      </c>
      <c r="V404" s="18">
        <f t="shared" si="63"/>
        <v>2972897.2799999993</v>
      </c>
      <c r="W404" s="18">
        <f t="shared" si="64"/>
        <v>2.9728972799999993</v>
      </c>
      <c r="X404" s="18">
        <f t="shared" si="65"/>
        <v>296.38299432959991</v>
      </c>
      <c r="Y404" s="24">
        <v>35</v>
      </c>
      <c r="Z404" s="24">
        <f t="shared" si="66"/>
        <v>10373.404801535997</v>
      </c>
      <c r="AA404" s="16">
        <v>14</v>
      </c>
      <c r="AB404" s="16">
        <f t="shared" si="71"/>
        <v>2410.3999999999996</v>
      </c>
      <c r="AC404" s="16">
        <f t="shared" si="71"/>
        <v>1191.1999999999998</v>
      </c>
      <c r="AD404" s="19">
        <f t="shared" si="68"/>
        <v>2871268.4799999991</v>
      </c>
      <c r="AE404" s="1" t="s">
        <v>7456</v>
      </c>
      <c r="AF404" s="1" t="str">
        <f>VLOOKUP(AE404,t_objeto!B:C,2,FALSE)</f>
        <v>RAW_MATERIAL</v>
      </c>
      <c r="AG404" s="1">
        <v>8</v>
      </c>
      <c r="AH404" s="1" t="str">
        <f>VLOOKUP(AG404,t_entry_status!A:AE,2,FALSE)</f>
        <v>PENDING</v>
      </c>
      <c r="AI404" s="7">
        <v>45560</v>
      </c>
      <c r="AJ404" s="1" t="s">
        <v>7449</v>
      </c>
      <c r="AK404" s="7">
        <v>45560</v>
      </c>
      <c r="AL404" s="1" t="s">
        <v>7449</v>
      </c>
    </row>
    <row r="405" spans="1:38" s="20" customFormat="1" x14ac:dyDescent="0.25">
      <c r="A405" s="14">
        <v>404</v>
      </c>
      <c r="B405" s="14" t="str">
        <f>_xlfn.CONCAT(AE405,"-",VLOOKUP(AE405,t_objeto!B:D,3,FALSE),"-",A405)</f>
        <v>RRMM-PERCCO-404</v>
      </c>
      <c r="C405" s="22" t="str">
        <f t="shared" si="69"/>
        <v>PLACA__ACERO_ROLADA EN FRIO_4'X8'_7/16"</v>
      </c>
      <c r="D405" s="14" t="s">
        <v>7385</v>
      </c>
      <c r="E405" s="14" t="s">
        <v>7380</v>
      </c>
      <c r="F405" s="21" t="s">
        <v>7400</v>
      </c>
      <c r="G405" s="22" t="s">
        <v>7382</v>
      </c>
      <c r="H405" s="14" t="s">
        <v>7394</v>
      </c>
      <c r="I405" s="16">
        <v>11.11</v>
      </c>
      <c r="J405" s="16">
        <f t="shared" si="70"/>
        <v>0.43740157480314962</v>
      </c>
      <c r="K405" s="16">
        <v>87.213999999999999</v>
      </c>
      <c r="L405" s="23"/>
      <c r="M405" s="23"/>
      <c r="N405" s="23"/>
      <c r="O405" s="23"/>
      <c r="P405" s="23"/>
      <c r="Q405" s="19"/>
      <c r="R405" s="17">
        <v>4</v>
      </c>
      <c r="S405" s="17">
        <v>8</v>
      </c>
      <c r="T405" s="16">
        <f t="shared" si="61"/>
        <v>2438.3999999999996</v>
      </c>
      <c r="U405" s="16">
        <f t="shared" si="62"/>
        <v>1219.1999999999998</v>
      </c>
      <c r="V405" s="18">
        <f t="shared" si="63"/>
        <v>2972897.2799999993</v>
      </c>
      <c r="W405" s="18">
        <f t="shared" si="64"/>
        <v>2.9728972799999993</v>
      </c>
      <c r="X405" s="18">
        <f t="shared" si="65"/>
        <v>259.27826337791993</v>
      </c>
      <c r="Y405" s="24">
        <v>35</v>
      </c>
      <c r="Z405" s="24">
        <f t="shared" si="66"/>
        <v>9074.7392182271979</v>
      </c>
      <c r="AA405" s="16">
        <v>15</v>
      </c>
      <c r="AB405" s="16">
        <f t="shared" si="71"/>
        <v>2408.3999999999996</v>
      </c>
      <c r="AC405" s="16">
        <f t="shared" si="71"/>
        <v>1189.1999999999998</v>
      </c>
      <c r="AD405" s="19">
        <f t="shared" si="68"/>
        <v>2864069.2799999993</v>
      </c>
      <c r="AE405" s="1" t="s">
        <v>7456</v>
      </c>
      <c r="AF405" s="1" t="str">
        <f>VLOOKUP(AE405,t_objeto!B:C,2,FALSE)</f>
        <v>RAW_MATERIAL</v>
      </c>
      <c r="AG405" s="1">
        <v>8</v>
      </c>
      <c r="AH405" s="1" t="str">
        <f>VLOOKUP(AG405,t_entry_status!A:AE,2,FALSE)</f>
        <v>PENDING</v>
      </c>
      <c r="AI405" s="7">
        <v>45560</v>
      </c>
      <c r="AJ405" s="1" t="s">
        <v>7449</v>
      </c>
      <c r="AK405" s="7">
        <v>45560</v>
      </c>
      <c r="AL405" s="1" t="s">
        <v>7449</v>
      </c>
    </row>
    <row r="406" spans="1:38" s="20" customFormat="1" x14ac:dyDescent="0.25">
      <c r="A406" s="14">
        <v>405</v>
      </c>
      <c r="B406" s="14" t="str">
        <f>_xlfn.CONCAT(AE406,"-",VLOOKUP(AE406,t_objeto!B:D,3,FALSE),"-",A406)</f>
        <v>RRMM-PERCCO-405</v>
      </c>
      <c r="C406" s="22" t="str">
        <f t="shared" si="69"/>
        <v>PLACA__ACERO_ROLADA EN FRIO_4'X8'_3/8"</v>
      </c>
      <c r="D406" s="14" t="s">
        <v>7385</v>
      </c>
      <c r="E406" s="14" t="s">
        <v>7380</v>
      </c>
      <c r="F406" s="21" t="s">
        <v>7400</v>
      </c>
      <c r="G406" s="22" t="s">
        <v>7382</v>
      </c>
      <c r="H406" s="14" t="s">
        <v>7395</v>
      </c>
      <c r="I406" s="16">
        <v>9.52</v>
      </c>
      <c r="J406" s="16">
        <f t="shared" si="70"/>
        <v>0.37480314960629924</v>
      </c>
      <c r="K406" s="16">
        <v>74.731999999999999</v>
      </c>
      <c r="L406" s="23"/>
      <c r="M406" s="23"/>
      <c r="N406" s="23"/>
      <c r="O406" s="23"/>
      <c r="P406" s="23"/>
      <c r="Q406" s="19"/>
      <c r="R406" s="17">
        <v>4</v>
      </c>
      <c r="S406" s="17">
        <v>8</v>
      </c>
      <c r="T406" s="16">
        <f t="shared" si="61"/>
        <v>2438.3999999999996</v>
      </c>
      <c r="U406" s="16">
        <f t="shared" si="62"/>
        <v>1219.1999999999998</v>
      </c>
      <c r="V406" s="18">
        <f t="shared" si="63"/>
        <v>2972897.2799999993</v>
      </c>
      <c r="W406" s="18">
        <f t="shared" si="64"/>
        <v>2.9728972799999993</v>
      </c>
      <c r="X406" s="18">
        <f t="shared" si="65"/>
        <v>222.17055952895996</v>
      </c>
      <c r="Y406" s="24">
        <v>35</v>
      </c>
      <c r="Z406" s="24">
        <f t="shared" si="66"/>
        <v>7775.9695835135981</v>
      </c>
      <c r="AA406" s="16">
        <v>16</v>
      </c>
      <c r="AB406" s="16">
        <f t="shared" si="71"/>
        <v>2406.3999999999996</v>
      </c>
      <c r="AC406" s="16">
        <f t="shared" si="71"/>
        <v>1187.1999999999998</v>
      </c>
      <c r="AD406" s="19">
        <f t="shared" si="68"/>
        <v>2856878.0799999991</v>
      </c>
      <c r="AE406" s="1" t="s">
        <v>7456</v>
      </c>
      <c r="AF406" s="1" t="str">
        <f>VLOOKUP(AE406,t_objeto!B:C,2,FALSE)</f>
        <v>RAW_MATERIAL</v>
      </c>
      <c r="AG406" s="1">
        <v>8</v>
      </c>
      <c r="AH406" s="1" t="str">
        <f>VLOOKUP(AG406,t_entry_status!A:AE,2,FALSE)</f>
        <v>PENDING</v>
      </c>
      <c r="AI406" s="7">
        <v>45560</v>
      </c>
      <c r="AJ406" s="1" t="s">
        <v>7449</v>
      </c>
      <c r="AK406" s="7">
        <v>45560</v>
      </c>
      <c r="AL406" s="1" t="s">
        <v>7449</v>
      </c>
    </row>
    <row r="407" spans="1:38" s="20" customFormat="1" x14ac:dyDescent="0.25">
      <c r="A407" s="14">
        <v>406</v>
      </c>
      <c r="B407" s="14" t="str">
        <f>_xlfn.CONCAT(AE407,"-",VLOOKUP(AE407,t_objeto!B:D,3,FALSE),"-",A407)</f>
        <v>RRMM-PERCCO-406</v>
      </c>
      <c r="C407" s="22" t="str">
        <f t="shared" si="69"/>
        <v>PLACA__ACERO_ROLADA EN FRIO_4'X8'_5/16"</v>
      </c>
      <c r="D407" s="14" t="s">
        <v>7385</v>
      </c>
      <c r="E407" s="14" t="s">
        <v>7380</v>
      </c>
      <c r="F407" s="21" t="s">
        <v>7400</v>
      </c>
      <c r="G407" s="22" t="s">
        <v>7382</v>
      </c>
      <c r="H407" s="14" t="s">
        <v>7396</v>
      </c>
      <c r="I407" s="16">
        <v>7.93</v>
      </c>
      <c r="J407" s="16">
        <f t="shared" si="70"/>
        <v>0.31220472440944885</v>
      </c>
      <c r="K407" s="16">
        <v>62.250999999999998</v>
      </c>
      <c r="L407" s="23"/>
      <c r="M407" s="23"/>
      <c r="N407" s="23"/>
      <c r="O407" s="23"/>
      <c r="P407" s="23"/>
      <c r="Q407" s="19"/>
      <c r="R407" s="17">
        <v>4</v>
      </c>
      <c r="S407" s="17">
        <v>8</v>
      </c>
      <c r="T407" s="16">
        <f t="shared" si="61"/>
        <v>2438.3999999999996</v>
      </c>
      <c r="U407" s="16">
        <f t="shared" si="62"/>
        <v>1219.1999999999998</v>
      </c>
      <c r="V407" s="18">
        <f t="shared" si="63"/>
        <v>2972897.2799999993</v>
      </c>
      <c r="W407" s="18">
        <f t="shared" si="64"/>
        <v>2.9728972799999993</v>
      </c>
      <c r="X407" s="18">
        <f t="shared" si="65"/>
        <v>185.06582857727994</v>
      </c>
      <c r="Y407" s="24">
        <v>35</v>
      </c>
      <c r="Z407" s="24">
        <f t="shared" si="66"/>
        <v>6477.3040002047983</v>
      </c>
      <c r="AA407" s="16">
        <v>17</v>
      </c>
      <c r="AB407" s="16">
        <f t="shared" si="71"/>
        <v>2404.3999999999996</v>
      </c>
      <c r="AC407" s="16">
        <f t="shared" si="71"/>
        <v>1185.1999999999998</v>
      </c>
      <c r="AD407" s="19">
        <f t="shared" si="68"/>
        <v>2849694.879999999</v>
      </c>
      <c r="AE407" s="1" t="s">
        <v>7456</v>
      </c>
      <c r="AF407" s="1" t="str">
        <f>VLOOKUP(AE407,t_objeto!B:C,2,FALSE)</f>
        <v>RAW_MATERIAL</v>
      </c>
      <c r="AG407" s="1">
        <v>8</v>
      </c>
      <c r="AH407" s="1" t="str">
        <f>VLOOKUP(AG407,t_entry_status!A:AE,2,FALSE)</f>
        <v>PENDING</v>
      </c>
      <c r="AI407" s="7">
        <v>45560</v>
      </c>
      <c r="AJ407" s="1" t="s">
        <v>7449</v>
      </c>
      <c r="AK407" s="7">
        <v>45560</v>
      </c>
      <c r="AL407" s="1" t="s">
        <v>7449</v>
      </c>
    </row>
    <row r="408" spans="1:38" s="20" customFormat="1" x14ac:dyDescent="0.25">
      <c r="A408" s="14">
        <v>407</v>
      </c>
      <c r="B408" s="14" t="str">
        <f>_xlfn.CONCAT(AE408,"-",VLOOKUP(AE408,t_objeto!B:D,3,FALSE),"-",A408)</f>
        <v>RRMM-PERCCO-407</v>
      </c>
      <c r="C408" s="22" t="str">
        <f t="shared" si="69"/>
        <v>PLACA__ACERO_ROLADA EN FRIO_4'X8'_1/4"</v>
      </c>
      <c r="D408" s="14" t="s">
        <v>7385</v>
      </c>
      <c r="E408" s="14" t="s">
        <v>7380</v>
      </c>
      <c r="F408" s="21" t="s">
        <v>7400</v>
      </c>
      <c r="G408" s="22" t="s">
        <v>7382</v>
      </c>
      <c r="H408" s="14" t="s">
        <v>7397</v>
      </c>
      <c r="I408" s="16">
        <v>6.35</v>
      </c>
      <c r="J408" s="16">
        <f t="shared" si="70"/>
        <v>0.25</v>
      </c>
      <c r="K408" s="16">
        <v>49.847999999999999</v>
      </c>
      <c r="L408" s="23">
        <v>1.2</v>
      </c>
      <c r="M408" s="23">
        <v>0.6</v>
      </c>
      <c r="N408" s="23"/>
      <c r="O408" s="23"/>
      <c r="P408" s="23"/>
      <c r="Q408" s="19" t="s">
        <v>7401</v>
      </c>
      <c r="R408" s="17">
        <v>4</v>
      </c>
      <c r="S408" s="17">
        <v>8</v>
      </c>
      <c r="T408" s="16">
        <f t="shared" si="61"/>
        <v>2438.3999999999996</v>
      </c>
      <c r="U408" s="16">
        <f t="shared" si="62"/>
        <v>1219.1999999999998</v>
      </c>
      <c r="V408" s="18">
        <f t="shared" si="63"/>
        <v>2972897.2799999993</v>
      </c>
      <c r="W408" s="18">
        <f t="shared" si="64"/>
        <v>2.9728972799999993</v>
      </c>
      <c r="X408" s="18">
        <f t="shared" si="65"/>
        <v>148.19298361343996</v>
      </c>
      <c r="Y408" s="24">
        <v>35</v>
      </c>
      <c r="Z408" s="24">
        <f t="shared" si="66"/>
        <v>5186.7544264703984</v>
      </c>
      <c r="AA408" s="16">
        <v>18</v>
      </c>
      <c r="AB408" s="16">
        <f t="shared" si="71"/>
        <v>2402.3999999999996</v>
      </c>
      <c r="AC408" s="16">
        <f t="shared" si="71"/>
        <v>1183.1999999999998</v>
      </c>
      <c r="AD408" s="19">
        <f t="shared" si="68"/>
        <v>2842519.6799999992</v>
      </c>
      <c r="AE408" s="1" t="s">
        <v>7456</v>
      </c>
      <c r="AF408" s="1" t="str">
        <f>VLOOKUP(AE408,t_objeto!B:C,2,FALSE)</f>
        <v>RAW_MATERIAL</v>
      </c>
      <c r="AG408" s="1">
        <v>8</v>
      </c>
      <c r="AH408" s="1" t="str">
        <f>VLOOKUP(AG408,t_entry_status!A:AE,2,FALSE)</f>
        <v>PENDING</v>
      </c>
      <c r="AI408" s="7">
        <v>45560</v>
      </c>
      <c r="AJ408" s="1" t="s">
        <v>7449</v>
      </c>
      <c r="AK408" s="7">
        <v>45560</v>
      </c>
      <c r="AL408" s="1" t="s">
        <v>7449</v>
      </c>
    </row>
    <row r="409" spans="1:38" s="20" customFormat="1" x14ac:dyDescent="0.25">
      <c r="A409" s="14">
        <v>408</v>
      </c>
      <c r="B409" s="14" t="str">
        <f>_xlfn.CONCAT(AE409,"-",VLOOKUP(AE409,t_objeto!B:D,3,FALSE),"-",A409)</f>
        <v>RRMM-PERCCO-408</v>
      </c>
      <c r="C409" s="22" t="str">
        <f t="shared" si="69"/>
        <v>PLACA__ACERO_ROLADA EN FRIO_4'X8'_3/16"</v>
      </c>
      <c r="D409" s="14" t="s">
        <v>7385</v>
      </c>
      <c r="E409" s="14" t="s">
        <v>7380</v>
      </c>
      <c r="F409" s="21" t="s">
        <v>7400</v>
      </c>
      <c r="G409" s="22" t="s">
        <v>7382</v>
      </c>
      <c r="H409" s="14" t="s">
        <v>7398</v>
      </c>
      <c r="I409" s="16">
        <v>4.76</v>
      </c>
      <c r="J409" s="16">
        <f t="shared" si="70"/>
        <v>0.18740157480314962</v>
      </c>
      <c r="K409" s="16">
        <v>37.366</v>
      </c>
      <c r="L409" s="23"/>
      <c r="M409" s="23"/>
      <c r="N409" s="23"/>
      <c r="O409" s="23"/>
      <c r="P409" s="23"/>
      <c r="Q409" s="19"/>
      <c r="R409" s="17">
        <v>4</v>
      </c>
      <c r="S409" s="17">
        <v>8</v>
      </c>
      <c r="T409" s="16">
        <f t="shared" si="61"/>
        <v>2438.3999999999996</v>
      </c>
      <c r="U409" s="16">
        <f t="shared" si="62"/>
        <v>1219.1999999999998</v>
      </c>
      <c r="V409" s="18">
        <f t="shared" si="63"/>
        <v>2972897.2799999993</v>
      </c>
      <c r="W409" s="18">
        <f t="shared" si="64"/>
        <v>2.9728972799999993</v>
      </c>
      <c r="X409" s="18">
        <f t="shared" si="65"/>
        <v>111.08527976447998</v>
      </c>
      <c r="Y409" s="24">
        <v>35</v>
      </c>
      <c r="Z409" s="24">
        <f t="shared" si="66"/>
        <v>3887.984791756799</v>
      </c>
      <c r="AA409" s="16">
        <v>19</v>
      </c>
      <c r="AB409" s="16">
        <f t="shared" si="71"/>
        <v>2400.3999999999996</v>
      </c>
      <c r="AC409" s="16">
        <f t="shared" si="71"/>
        <v>1181.1999999999998</v>
      </c>
      <c r="AD409" s="19">
        <f t="shared" si="68"/>
        <v>2835352.4799999991</v>
      </c>
      <c r="AE409" s="1" t="s">
        <v>7456</v>
      </c>
      <c r="AF409" s="1" t="str">
        <f>VLOOKUP(AE409,t_objeto!B:C,2,FALSE)</f>
        <v>RAW_MATERIAL</v>
      </c>
      <c r="AG409" s="1">
        <v>8</v>
      </c>
      <c r="AH409" s="1" t="str">
        <f>VLOOKUP(AG409,t_entry_status!A:AE,2,FALSE)</f>
        <v>PENDING</v>
      </c>
      <c r="AI409" s="7">
        <v>45560</v>
      </c>
      <c r="AJ409" s="1" t="s">
        <v>7449</v>
      </c>
      <c r="AK409" s="7">
        <v>45560</v>
      </c>
      <c r="AL409" s="1" t="s">
        <v>7449</v>
      </c>
    </row>
    <row r="410" spans="1:38" s="20" customFormat="1" x14ac:dyDescent="0.25">
      <c r="A410" s="14">
        <v>409</v>
      </c>
      <c r="B410" s="14" t="str">
        <f>_xlfn.CONCAT(AE410,"-",VLOOKUP(AE410,t_objeto!B:D,3,FALSE),"-",A410)</f>
        <v>RRMM-PERCCO-409</v>
      </c>
      <c r="C410" s="22" t="str">
        <f t="shared" si="69"/>
        <v>LAMINA_LISA__ACERO_ROLADA EN FRIO_4'X8'_4</v>
      </c>
      <c r="D410" s="14" t="s">
        <v>7407</v>
      </c>
      <c r="E410" s="14" t="s">
        <v>7380</v>
      </c>
      <c r="F410" s="21" t="s">
        <v>7400</v>
      </c>
      <c r="G410" s="22" t="s">
        <v>7382</v>
      </c>
      <c r="H410" s="14">
        <v>4</v>
      </c>
      <c r="I410" s="16">
        <v>5.69</v>
      </c>
      <c r="J410" s="16">
        <f t="shared" si="70"/>
        <v>0.2240157480314961</v>
      </c>
      <c r="K410" s="16">
        <v>44.667000000000002</v>
      </c>
      <c r="L410" s="23"/>
      <c r="M410" s="23"/>
      <c r="N410" s="23"/>
      <c r="O410" s="23"/>
      <c r="P410" s="23"/>
      <c r="Q410" s="19"/>
      <c r="R410" s="17">
        <v>4</v>
      </c>
      <c r="S410" s="17">
        <v>8</v>
      </c>
      <c r="T410" s="16">
        <f t="shared" si="61"/>
        <v>2438.3999999999996</v>
      </c>
      <c r="U410" s="16">
        <f t="shared" si="62"/>
        <v>1219.1999999999998</v>
      </c>
      <c r="V410" s="18">
        <f t="shared" si="63"/>
        <v>2972897.2799999993</v>
      </c>
      <c r="W410" s="18">
        <f t="shared" si="64"/>
        <v>2.9728972799999993</v>
      </c>
      <c r="X410" s="18">
        <f t="shared" si="65"/>
        <v>132.79040280575998</v>
      </c>
      <c r="Y410" s="24">
        <v>35</v>
      </c>
      <c r="Z410" s="24">
        <f t="shared" si="66"/>
        <v>4647.6640982015997</v>
      </c>
      <c r="AA410" s="16">
        <v>20</v>
      </c>
      <c r="AB410" s="16">
        <f t="shared" si="71"/>
        <v>2398.3999999999996</v>
      </c>
      <c r="AC410" s="16">
        <f t="shared" si="71"/>
        <v>1179.1999999999998</v>
      </c>
      <c r="AD410" s="19">
        <f t="shared" si="68"/>
        <v>2828193.2799999993</v>
      </c>
      <c r="AE410" s="1" t="s">
        <v>7456</v>
      </c>
      <c r="AF410" s="1" t="str">
        <f>VLOOKUP(AE410,t_objeto!B:C,2,FALSE)</f>
        <v>RAW_MATERIAL</v>
      </c>
      <c r="AG410" s="1">
        <v>8</v>
      </c>
      <c r="AH410" s="1" t="str">
        <f>VLOOKUP(AG410,t_entry_status!A:AE,2,FALSE)</f>
        <v>PENDING</v>
      </c>
      <c r="AI410" s="7">
        <v>45560</v>
      </c>
      <c r="AJ410" s="1" t="s">
        <v>7449</v>
      </c>
      <c r="AK410" s="7">
        <v>45560</v>
      </c>
      <c r="AL410" s="1" t="s">
        <v>7449</v>
      </c>
    </row>
    <row r="411" spans="1:38" s="20" customFormat="1" x14ac:dyDescent="0.25">
      <c r="A411" s="14">
        <v>410</v>
      </c>
      <c r="B411" s="14" t="str">
        <f>_xlfn.CONCAT(AE411,"-",VLOOKUP(AE411,t_objeto!B:D,3,FALSE),"-",A411)</f>
        <v>RRMM-PERCCO-410</v>
      </c>
      <c r="C411" s="22" t="str">
        <f t="shared" si="69"/>
        <v>LAMINA_LISA__ACERO_ROLADA EN FRIO_4'X8'_5</v>
      </c>
      <c r="D411" s="14" t="s">
        <v>7407</v>
      </c>
      <c r="E411" s="14" t="s">
        <v>7380</v>
      </c>
      <c r="F411" s="21" t="s">
        <v>7400</v>
      </c>
      <c r="G411" s="22" t="s">
        <v>7382</v>
      </c>
      <c r="H411" s="14">
        <v>5</v>
      </c>
      <c r="I411" s="16">
        <v>5.31</v>
      </c>
      <c r="J411" s="16">
        <f t="shared" si="70"/>
        <v>0.20905511811023622</v>
      </c>
      <c r="K411" s="16">
        <v>41.683999999999997</v>
      </c>
      <c r="L411" s="23"/>
      <c r="M411" s="23"/>
      <c r="N411" s="23"/>
      <c r="O411" s="23"/>
      <c r="P411" s="23"/>
      <c r="Q411" s="19"/>
      <c r="R411" s="17">
        <v>4</v>
      </c>
      <c r="S411" s="17">
        <v>8</v>
      </c>
      <c r="T411" s="16">
        <f t="shared" si="61"/>
        <v>2438.3999999999996</v>
      </c>
      <c r="U411" s="16">
        <f t="shared" si="62"/>
        <v>1219.1999999999998</v>
      </c>
      <c r="V411" s="18">
        <f t="shared" si="63"/>
        <v>2972897.2799999993</v>
      </c>
      <c r="W411" s="18">
        <f t="shared" si="64"/>
        <v>2.9728972799999993</v>
      </c>
      <c r="X411" s="18">
        <f t="shared" si="65"/>
        <v>123.92225021951997</v>
      </c>
      <c r="Y411" s="24">
        <v>35</v>
      </c>
      <c r="Z411" s="24">
        <f t="shared" si="66"/>
        <v>4337.2787576831988</v>
      </c>
      <c r="AA411" s="16">
        <v>21</v>
      </c>
      <c r="AB411" s="16">
        <f t="shared" si="71"/>
        <v>2396.3999999999996</v>
      </c>
      <c r="AC411" s="16">
        <f t="shared" si="71"/>
        <v>1177.1999999999998</v>
      </c>
      <c r="AD411" s="19">
        <f t="shared" si="68"/>
        <v>2821042.0799999991</v>
      </c>
      <c r="AE411" s="1" t="s">
        <v>7456</v>
      </c>
      <c r="AF411" s="1" t="str">
        <f>VLOOKUP(AE411,t_objeto!B:C,2,FALSE)</f>
        <v>RAW_MATERIAL</v>
      </c>
      <c r="AG411" s="1">
        <v>8</v>
      </c>
      <c r="AH411" s="1" t="str">
        <f>VLOOKUP(AG411,t_entry_status!A:AE,2,FALSE)</f>
        <v>PENDING</v>
      </c>
      <c r="AI411" s="7">
        <v>45560</v>
      </c>
      <c r="AJ411" s="1" t="s">
        <v>7449</v>
      </c>
      <c r="AK411" s="7">
        <v>45560</v>
      </c>
      <c r="AL411" s="1" t="s">
        <v>7449</v>
      </c>
    </row>
    <row r="412" spans="1:38" s="20" customFormat="1" x14ac:dyDescent="0.25">
      <c r="A412" s="14">
        <v>411</v>
      </c>
      <c r="B412" s="14" t="str">
        <f>_xlfn.CONCAT(AE412,"-",VLOOKUP(AE412,t_objeto!B:D,3,FALSE),"-",A412)</f>
        <v>RRMM-PERCCO-411</v>
      </c>
      <c r="C412" s="22" t="str">
        <f t="shared" si="69"/>
        <v>LAMINA_LISA__ACERO_ROLADA EN FRIO_4'X8'_6</v>
      </c>
      <c r="D412" s="14" t="s">
        <v>7407</v>
      </c>
      <c r="E412" s="14" t="s">
        <v>7380</v>
      </c>
      <c r="F412" s="21" t="s">
        <v>7400</v>
      </c>
      <c r="G412" s="22" t="s">
        <v>7382</v>
      </c>
      <c r="H412" s="14">
        <v>6</v>
      </c>
      <c r="I412" s="16">
        <v>4.9400000000000004</v>
      </c>
      <c r="J412" s="16">
        <f t="shared" si="70"/>
        <v>0.19448818897637798</v>
      </c>
      <c r="K412" s="16">
        <v>38.779000000000003</v>
      </c>
      <c r="L412" s="23"/>
      <c r="M412" s="23"/>
      <c r="N412" s="23"/>
      <c r="O412" s="23"/>
      <c r="P412" s="23"/>
      <c r="Q412" s="19"/>
      <c r="R412" s="17">
        <v>4</v>
      </c>
      <c r="S412" s="17">
        <v>8</v>
      </c>
      <c r="T412" s="16">
        <f t="shared" si="61"/>
        <v>2438.3999999999996</v>
      </c>
      <c r="U412" s="16">
        <f t="shared" si="62"/>
        <v>1219.1999999999998</v>
      </c>
      <c r="V412" s="18">
        <f t="shared" si="63"/>
        <v>2972897.2799999993</v>
      </c>
      <c r="W412" s="18">
        <f t="shared" si="64"/>
        <v>2.9728972799999993</v>
      </c>
      <c r="X412" s="18">
        <f t="shared" si="65"/>
        <v>115.28598362111998</v>
      </c>
      <c r="Y412" s="24">
        <v>35</v>
      </c>
      <c r="Z412" s="24">
        <f t="shared" si="66"/>
        <v>4035.0094267391992</v>
      </c>
      <c r="AA412" s="16">
        <v>22</v>
      </c>
      <c r="AB412" s="16">
        <f t="shared" si="71"/>
        <v>2394.3999999999996</v>
      </c>
      <c r="AC412" s="16">
        <f t="shared" si="71"/>
        <v>1175.1999999999998</v>
      </c>
      <c r="AD412" s="19">
        <f t="shared" si="68"/>
        <v>2813898.879999999</v>
      </c>
      <c r="AE412" s="1" t="s">
        <v>7456</v>
      </c>
      <c r="AF412" s="1" t="str">
        <f>VLOOKUP(AE412,t_objeto!B:C,2,FALSE)</f>
        <v>RAW_MATERIAL</v>
      </c>
      <c r="AG412" s="1">
        <v>8</v>
      </c>
      <c r="AH412" s="1" t="str">
        <f>VLOOKUP(AG412,t_entry_status!A:AE,2,FALSE)</f>
        <v>PENDING</v>
      </c>
      <c r="AI412" s="7">
        <v>45560</v>
      </c>
      <c r="AJ412" s="1" t="s">
        <v>7449</v>
      </c>
      <c r="AK412" s="7">
        <v>45560</v>
      </c>
      <c r="AL412" s="1" t="s">
        <v>7449</v>
      </c>
    </row>
    <row r="413" spans="1:38" s="20" customFormat="1" x14ac:dyDescent="0.25">
      <c r="A413" s="14">
        <v>412</v>
      </c>
      <c r="B413" s="14" t="str">
        <f>_xlfn.CONCAT(AE413,"-",VLOOKUP(AE413,t_objeto!B:D,3,FALSE),"-",A413)</f>
        <v>RRMM-PERCCO-412</v>
      </c>
      <c r="C413" s="22" t="str">
        <f t="shared" si="69"/>
        <v>LAMINA_LISA__ACERO_ROLADA EN FRIO_4'X8'_7</v>
      </c>
      <c r="D413" s="14" t="s">
        <v>7407</v>
      </c>
      <c r="E413" s="14" t="s">
        <v>7380</v>
      </c>
      <c r="F413" s="21" t="s">
        <v>7400</v>
      </c>
      <c r="G413" s="22" t="s">
        <v>7382</v>
      </c>
      <c r="H413" s="14">
        <v>7</v>
      </c>
      <c r="I413" s="16">
        <v>4.55</v>
      </c>
      <c r="J413" s="16">
        <f t="shared" si="70"/>
        <v>0.17913385826771655</v>
      </c>
      <c r="K413" s="16">
        <v>35.718000000000004</v>
      </c>
      <c r="L413" s="23"/>
      <c r="M413" s="23"/>
      <c r="N413" s="23"/>
      <c r="O413" s="23"/>
      <c r="P413" s="23"/>
      <c r="Q413" s="19"/>
      <c r="R413" s="17">
        <v>4</v>
      </c>
      <c r="S413" s="17">
        <v>8</v>
      </c>
      <c r="T413" s="16">
        <f t="shared" si="61"/>
        <v>2438.3999999999996</v>
      </c>
      <c r="U413" s="16">
        <f t="shared" si="62"/>
        <v>1219.1999999999998</v>
      </c>
      <c r="V413" s="18">
        <f t="shared" si="63"/>
        <v>2972897.2799999993</v>
      </c>
      <c r="W413" s="18">
        <f t="shared" si="64"/>
        <v>2.9728972799999993</v>
      </c>
      <c r="X413" s="18">
        <f t="shared" si="65"/>
        <v>106.18594504703998</v>
      </c>
      <c r="Y413" s="24">
        <v>35</v>
      </c>
      <c r="Z413" s="24">
        <f t="shared" si="66"/>
        <v>3716.5080766463993</v>
      </c>
      <c r="AA413" s="16">
        <v>23</v>
      </c>
      <c r="AB413" s="16">
        <f t="shared" si="71"/>
        <v>2392.3999999999996</v>
      </c>
      <c r="AC413" s="16">
        <f t="shared" si="71"/>
        <v>1173.1999999999998</v>
      </c>
      <c r="AD413" s="19">
        <f t="shared" si="68"/>
        <v>2806763.6799999992</v>
      </c>
      <c r="AE413" s="1" t="s">
        <v>7456</v>
      </c>
      <c r="AF413" s="1" t="str">
        <f>VLOOKUP(AE413,t_objeto!B:C,2,FALSE)</f>
        <v>RAW_MATERIAL</v>
      </c>
      <c r="AG413" s="1">
        <v>8</v>
      </c>
      <c r="AH413" s="1" t="str">
        <f>VLOOKUP(AG413,t_entry_status!A:AE,2,FALSE)</f>
        <v>PENDING</v>
      </c>
      <c r="AI413" s="7">
        <v>45560</v>
      </c>
      <c r="AJ413" s="1" t="s">
        <v>7449</v>
      </c>
      <c r="AK413" s="7">
        <v>45560</v>
      </c>
      <c r="AL413" s="1" t="s">
        <v>7449</v>
      </c>
    </row>
    <row r="414" spans="1:38" s="20" customFormat="1" x14ac:dyDescent="0.25">
      <c r="A414" s="14">
        <v>413</v>
      </c>
      <c r="B414" s="14" t="str">
        <f>_xlfn.CONCAT(AE414,"-",VLOOKUP(AE414,t_objeto!B:D,3,FALSE),"-",A414)</f>
        <v>RRMM-PERCCO-413</v>
      </c>
      <c r="C414" s="22" t="str">
        <f t="shared" si="69"/>
        <v>LAMINA_LISA__ACERO_ROLADA EN FRIO_4'X8'_8</v>
      </c>
      <c r="D414" s="14" t="s">
        <v>7407</v>
      </c>
      <c r="E414" s="14" t="s">
        <v>7380</v>
      </c>
      <c r="F414" s="21" t="s">
        <v>7400</v>
      </c>
      <c r="G414" s="22" t="s">
        <v>7382</v>
      </c>
      <c r="H414" s="14">
        <v>8</v>
      </c>
      <c r="I414" s="16">
        <v>4.18</v>
      </c>
      <c r="J414" s="16">
        <f t="shared" si="70"/>
        <v>0.16456692913385826</v>
      </c>
      <c r="K414" s="16">
        <v>32.813000000000002</v>
      </c>
      <c r="L414" s="23"/>
      <c r="M414" s="23"/>
      <c r="N414" s="23"/>
      <c r="O414" s="23"/>
      <c r="P414" s="23"/>
      <c r="Q414" s="19"/>
      <c r="R414" s="17">
        <v>4</v>
      </c>
      <c r="S414" s="17">
        <v>8</v>
      </c>
      <c r="T414" s="16">
        <f t="shared" si="61"/>
        <v>2438.3999999999996</v>
      </c>
      <c r="U414" s="16">
        <f t="shared" si="62"/>
        <v>1219.1999999999998</v>
      </c>
      <c r="V414" s="18">
        <f t="shared" si="63"/>
        <v>2972897.2799999993</v>
      </c>
      <c r="W414" s="18">
        <f t="shared" si="64"/>
        <v>2.9728972799999993</v>
      </c>
      <c r="X414" s="18">
        <f t="shared" si="65"/>
        <v>97.54967844863998</v>
      </c>
      <c r="Y414" s="24">
        <v>35</v>
      </c>
      <c r="Z414" s="24">
        <f t="shared" si="66"/>
        <v>3414.2387457023992</v>
      </c>
      <c r="AA414" s="16">
        <v>24</v>
      </c>
      <c r="AB414" s="16">
        <f t="shared" si="71"/>
        <v>2390.3999999999996</v>
      </c>
      <c r="AC414" s="16">
        <f t="shared" si="71"/>
        <v>1171.1999999999998</v>
      </c>
      <c r="AD414" s="19">
        <f t="shared" si="68"/>
        <v>2799636.4799999991</v>
      </c>
      <c r="AE414" s="1" t="s">
        <v>7456</v>
      </c>
      <c r="AF414" s="1" t="str">
        <f>VLOOKUP(AE414,t_objeto!B:C,2,FALSE)</f>
        <v>RAW_MATERIAL</v>
      </c>
      <c r="AG414" s="1">
        <v>8</v>
      </c>
      <c r="AH414" s="1" t="str">
        <f>VLOOKUP(AG414,t_entry_status!A:AE,2,FALSE)</f>
        <v>PENDING</v>
      </c>
      <c r="AI414" s="7">
        <v>45560</v>
      </c>
      <c r="AJ414" s="1" t="s">
        <v>7449</v>
      </c>
      <c r="AK414" s="7">
        <v>45560</v>
      </c>
      <c r="AL414" s="1" t="s">
        <v>7449</v>
      </c>
    </row>
    <row r="415" spans="1:38" s="20" customFormat="1" x14ac:dyDescent="0.25">
      <c r="A415" s="14">
        <v>414</v>
      </c>
      <c r="B415" s="14" t="str">
        <f>_xlfn.CONCAT(AE415,"-",VLOOKUP(AE415,t_objeto!B:D,3,FALSE),"-",A415)</f>
        <v>RRMM-PERCCO-414</v>
      </c>
      <c r="C415" s="22" t="str">
        <f t="shared" si="69"/>
        <v>LAMINA_LISA__ACERO_ROLADA EN FRIO_4'X8'_9</v>
      </c>
      <c r="D415" s="14" t="s">
        <v>7407</v>
      </c>
      <c r="E415" s="14" t="s">
        <v>7380</v>
      </c>
      <c r="F415" s="21" t="s">
        <v>7400</v>
      </c>
      <c r="G415" s="22" t="s">
        <v>7382</v>
      </c>
      <c r="H415" s="14">
        <v>9</v>
      </c>
      <c r="I415" s="16">
        <v>3.8</v>
      </c>
      <c r="J415" s="16">
        <f t="shared" si="70"/>
        <v>0.14960629921259844</v>
      </c>
      <c r="K415" s="16">
        <v>29.83</v>
      </c>
      <c r="L415" s="23"/>
      <c r="M415" s="23"/>
      <c r="N415" s="23"/>
      <c r="O415" s="23"/>
      <c r="P415" s="23"/>
      <c r="Q415" s="19"/>
      <c r="R415" s="17">
        <v>4</v>
      </c>
      <c r="S415" s="17">
        <v>8</v>
      </c>
      <c r="T415" s="16">
        <f t="shared" si="61"/>
        <v>2438.3999999999996</v>
      </c>
      <c r="U415" s="16">
        <f t="shared" si="62"/>
        <v>1219.1999999999998</v>
      </c>
      <c r="V415" s="18">
        <f t="shared" si="63"/>
        <v>2972897.2799999993</v>
      </c>
      <c r="W415" s="18">
        <f t="shared" si="64"/>
        <v>2.9728972799999993</v>
      </c>
      <c r="X415" s="18">
        <f t="shared" si="65"/>
        <v>88.68152586239998</v>
      </c>
      <c r="Y415" s="24">
        <v>35</v>
      </c>
      <c r="Z415" s="24">
        <f t="shared" si="66"/>
        <v>3103.8534051839993</v>
      </c>
      <c r="AA415" s="16">
        <v>25</v>
      </c>
      <c r="AB415" s="16">
        <f t="shared" si="71"/>
        <v>2388.3999999999996</v>
      </c>
      <c r="AC415" s="16">
        <f t="shared" si="71"/>
        <v>1169.1999999999998</v>
      </c>
      <c r="AD415" s="19">
        <f t="shared" si="68"/>
        <v>2792517.2799999993</v>
      </c>
      <c r="AE415" s="1" t="s">
        <v>7456</v>
      </c>
      <c r="AF415" s="1" t="str">
        <f>VLOOKUP(AE415,t_objeto!B:C,2,FALSE)</f>
        <v>RAW_MATERIAL</v>
      </c>
      <c r="AG415" s="1">
        <v>8</v>
      </c>
      <c r="AH415" s="1" t="str">
        <f>VLOOKUP(AG415,t_entry_status!A:AE,2,FALSE)</f>
        <v>PENDING</v>
      </c>
      <c r="AI415" s="7">
        <v>45560</v>
      </c>
      <c r="AJ415" s="1" t="s">
        <v>7449</v>
      </c>
      <c r="AK415" s="7">
        <v>45560</v>
      </c>
      <c r="AL415" s="1" t="s">
        <v>7449</v>
      </c>
    </row>
    <row r="416" spans="1:38" s="20" customFormat="1" x14ac:dyDescent="0.25">
      <c r="A416" s="14">
        <v>415</v>
      </c>
      <c r="B416" s="14" t="str">
        <f>_xlfn.CONCAT(AE416,"-",VLOOKUP(AE416,t_objeto!B:D,3,FALSE),"-",A416)</f>
        <v>RRMM-PERCCO-415</v>
      </c>
      <c r="C416" s="22" t="str">
        <f t="shared" si="69"/>
        <v>LAMINA_LISA__ACERO_ROLADA EN FRIO_4'X8'_10</v>
      </c>
      <c r="D416" s="14" t="s">
        <v>7407</v>
      </c>
      <c r="E416" s="14" t="s">
        <v>7380</v>
      </c>
      <c r="F416" s="21" t="s">
        <v>7400</v>
      </c>
      <c r="G416" s="22" t="s">
        <v>7382</v>
      </c>
      <c r="H416" s="14">
        <v>10</v>
      </c>
      <c r="I416" s="16">
        <v>3.42</v>
      </c>
      <c r="J416" s="16">
        <f t="shared" si="70"/>
        <v>0.13464566929133859</v>
      </c>
      <c r="K416" s="16">
        <v>26.847000000000001</v>
      </c>
      <c r="L416" s="23">
        <v>2</v>
      </c>
      <c r="M416" s="23">
        <v>1</v>
      </c>
      <c r="N416" s="23">
        <v>10</v>
      </c>
      <c r="O416" s="23"/>
      <c r="P416" s="23"/>
      <c r="Q416" s="19" t="s">
        <v>7402</v>
      </c>
      <c r="R416" s="17">
        <v>4</v>
      </c>
      <c r="S416" s="17">
        <v>8</v>
      </c>
      <c r="T416" s="16">
        <f t="shared" si="61"/>
        <v>2438.3999999999996</v>
      </c>
      <c r="U416" s="16">
        <f t="shared" si="62"/>
        <v>1219.1999999999998</v>
      </c>
      <c r="V416" s="18">
        <f t="shared" si="63"/>
        <v>2972897.2799999993</v>
      </c>
      <c r="W416" s="18">
        <f t="shared" si="64"/>
        <v>2.9728972799999993</v>
      </c>
      <c r="X416" s="18">
        <f t="shared" si="65"/>
        <v>79.813373276159979</v>
      </c>
      <c r="Y416" s="24">
        <v>35</v>
      </c>
      <c r="Z416" s="24">
        <f t="shared" si="66"/>
        <v>2793.4680646655993</v>
      </c>
      <c r="AA416" s="16">
        <v>26</v>
      </c>
      <c r="AB416" s="16">
        <f t="shared" si="71"/>
        <v>2386.3999999999996</v>
      </c>
      <c r="AC416" s="16">
        <f t="shared" si="71"/>
        <v>1167.1999999999998</v>
      </c>
      <c r="AD416" s="19">
        <f t="shared" si="68"/>
        <v>2785406.0799999991</v>
      </c>
      <c r="AE416" s="1" t="s">
        <v>7456</v>
      </c>
      <c r="AF416" s="1" t="str">
        <f>VLOOKUP(AE416,t_objeto!B:C,2,FALSE)</f>
        <v>RAW_MATERIAL</v>
      </c>
      <c r="AG416" s="1">
        <v>8</v>
      </c>
      <c r="AH416" s="1" t="str">
        <f>VLOOKUP(AG416,t_entry_status!A:AE,2,FALSE)</f>
        <v>PENDING</v>
      </c>
      <c r="AI416" s="7">
        <v>45560</v>
      </c>
      <c r="AJ416" s="1" t="s">
        <v>7449</v>
      </c>
      <c r="AK416" s="7">
        <v>45560</v>
      </c>
      <c r="AL416" s="1" t="s">
        <v>7449</v>
      </c>
    </row>
    <row r="417" spans="1:38" s="20" customFormat="1" x14ac:dyDescent="0.25">
      <c r="A417" s="14">
        <v>416</v>
      </c>
      <c r="B417" s="14" t="str">
        <f>_xlfn.CONCAT(AE417,"-",VLOOKUP(AE417,t_objeto!B:D,3,FALSE),"-",A417)</f>
        <v>RRMM-PERCCO-416</v>
      </c>
      <c r="C417" s="22" t="str">
        <f t="shared" si="69"/>
        <v>LAMINA_LISA__ACERO_ROLADA EN FRIO_4'X8'_1/8"</v>
      </c>
      <c r="D417" s="14" t="s">
        <v>7407</v>
      </c>
      <c r="E417" s="14" t="s">
        <v>7380</v>
      </c>
      <c r="F417" s="21" t="s">
        <v>7400</v>
      </c>
      <c r="G417" s="22" t="s">
        <v>7382</v>
      </c>
      <c r="H417" s="14" t="s">
        <v>7399</v>
      </c>
      <c r="I417" s="16">
        <v>3.18</v>
      </c>
      <c r="J417" s="16">
        <v>0.125</v>
      </c>
      <c r="K417" s="16"/>
      <c r="L417" s="23"/>
      <c r="M417" s="23"/>
      <c r="N417" s="23"/>
      <c r="O417" s="23"/>
      <c r="P417" s="23"/>
      <c r="Q417" s="19"/>
      <c r="R417" s="17">
        <v>4</v>
      </c>
      <c r="S417" s="17">
        <v>8</v>
      </c>
      <c r="T417" s="16">
        <f t="shared" si="61"/>
        <v>2438.3999999999996</v>
      </c>
      <c r="U417" s="16">
        <f t="shared" si="62"/>
        <v>1219.1999999999998</v>
      </c>
      <c r="V417" s="18">
        <f t="shared" si="63"/>
        <v>2972897.2799999993</v>
      </c>
      <c r="W417" s="18">
        <f t="shared" si="64"/>
        <v>2.9728972799999993</v>
      </c>
      <c r="X417" s="18">
        <f t="shared" si="65"/>
        <v>0</v>
      </c>
      <c r="Y417" s="24">
        <v>35</v>
      </c>
      <c r="Z417" s="24">
        <f t="shared" si="66"/>
        <v>0</v>
      </c>
      <c r="AA417" s="16">
        <v>26</v>
      </c>
      <c r="AB417" s="16">
        <f>T417-($AA417*2)</f>
        <v>2386.3999999999996</v>
      </c>
      <c r="AC417" s="16">
        <f>U417-($AA417*2)</f>
        <v>1167.1999999999998</v>
      </c>
      <c r="AD417" s="19">
        <f t="shared" si="68"/>
        <v>2785406.0799999991</v>
      </c>
      <c r="AE417" s="1" t="s">
        <v>7456</v>
      </c>
      <c r="AF417" s="1" t="str">
        <f>VLOOKUP(AE417,t_objeto!B:C,2,FALSE)</f>
        <v>RAW_MATERIAL</v>
      </c>
      <c r="AG417" s="1">
        <v>8</v>
      </c>
      <c r="AH417" s="1" t="str">
        <f>VLOOKUP(AG417,t_entry_status!A:AE,2,FALSE)</f>
        <v>PENDING</v>
      </c>
      <c r="AI417" s="7">
        <v>45560</v>
      </c>
      <c r="AJ417" s="1" t="s">
        <v>7449</v>
      </c>
      <c r="AK417" s="7">
        <v>45560</v>
      </c>
      <c r="AL417" s="1" t="s">
        <v>7449</v>
      </c>
    </row>
    <row r="418" spans="1:38" s="20" customFormat="1" x14ac:dyDescent="0.25">
      <c r="A418" s="14">
        <v>417</v>
      </c>
      <c r="B418" s="14" t="str">
        <f>_xlfn.CONCAT(AE418,"-",VLOOKUP(AE418,t_objeto!B:D,3,FALSE),"-",A418)</f>
        <v>RRMM-PERCCO-417</v>
      </c>
      <c r="C418" s="22" t="str">
        <f t="shared" si="69"/>
        <v>LAMINA_LISA__ACERO_ROLADA EN FRIO_4'X8'_11</v>
      </c>
      <c r="D418" s="14" t="s">
        <v>7407</v>
      </c>
      <c r="E418" s="14" t="s">
        <v>7380</v>
      </c>
      <c r="F418" s="21" t="s">
        <v>7400</v>
      </c>
      <c r="G418" s="22" t="s">
        <v>7382</v>
      </c>
      <c r="H418" s="14">
        <v>11</v>
      </c>
      <c r="I418" s="16">
        <v>3.04</v>
      </c>
      <c r="J418" s="16">
        <f t="shared" si="70"/>
        <v>0.11968503937007875</v>
      </c>
      <c r="K418" s="16">
        <v>23.864000000000001</v>
      </c>
      <c r="L418" s="23">
        <v>3</v>
      </c>
      <c r="M418" s="23"/>
      <c r="N418" s="23"/>
      <c r="O418" s="23"/>
      <c r="P418" s="23"/>
      <c r="Q418" s="19"/>
      <c r="R418" s="17">
        <v>4</v>
      </c>
      <c r="S418" s="17">
        <v>8</v>
      </c>
      <c r="T418" s="16">
        <f t="shared" si="61"/>
        <v>2438.3999999999996</v>
      </c>
      <c r="U418" s="16">
        <f t="shared" si="62"/>
        <v>1219.1999999999998</v>
      </c>
      <c r="V418" s="18">
        <f t="shared" si="63"/>
        <v>2972897.2799999993</v>
      </c>
      <c r="W418" s="18">
        <f t="shared" si="64"/>
        <v>2.9728972799999993</v>
      </c>
      <c r="X418" s="18">
        <f t="shared" si="65"/>
        <v>70.945220689919992</v>
      </c>
      <c r="Y418" s="24">
        <v>35</v>
      </c>
      <c r="Z418" s="24">
        <f t="shared" si="66"/>
        <v>2483.0827241471998</v>
      </c>
      <c r="AA418" s="16">
        <v>27</v>
      </c>
      <c r="AB418" s="16">
        <f t="shared" si="71"/>
        <v>2384.3999999999996</v>
      </c>
      <c r="AC418" s="16">
        <f t="shared" si="71"/>
        <v>1165.1999999999998</v>
      </c>
      <c r="AD418" s="19">
        <f t="shared" si="68"/>
        <v>2778302.879999999</v>
      </c>
      <c r="AE418" s="1" t="s">
        <v>7456</v>
      </c>
      <c r="AF418" s="1" t="str">
        <f>VLOOKUP(AE418,t_objeto!B:C,2,FALSE)</f>
        <v>RAW_MATERIAL</v>
      </c>
      <c r="AG418" s="1">
        <v>8</v>
      </c>
      <c r="AH418" s="1" t="str">
        <f>VLOOKUP(AG418,t_entry_status!A:AE,2,FALSE)</f>
        <v>PENDING</v>
      </c>
      <c r="AI418" s="7">
        <v>45560</v>
      </c>
      <c r="AJ418" s="1" t="s">
        <v>7449</v>
      </c>
      <c r="AK418" s="7">
        <v>45560</v>
      </c>
      <c r="AL418" s="1" t="s">
        <v>7449</v>
      </c>
    </row>
    <row r="419" spans="1:38" s="20" customFormat="1" x14ac:dyDescent="0.25">
      <c r="A419" s="14">
        <v>418</v>
      </c>
      <c r="B419" s="14" t="str">
        <f>_xlfn.CONCAT(AE419,"-",VLOOKUP(AE419,t_objeto!B:D,3,FALSE),"-",A419)</f>
        <v>RRMM-PERCCO-418</v>
      </c>
      <c r="C419" s="22" t="str">
        <f t="shared" si="69"/>
        <v>LAMINA_LISA__ACERO_ROLADA EN FRIO_4'X8'_12</v>
      </c>
      <c r="D419" s="14" t="s">
        <v>7407</v>
      </c>
      <c r="E419" s="14" t="s">
        <v>7380</v>
      </c>
      <c r="F419" s="21" t="s">
        <v>7400</v>
      </c>
      <c r="G419" s="22" t="s">
        <v>7382</v>
      </c>
      <c r="H419" s="14">
        <v>12</v>
      </c>
      <c r="I419" s="16">
        <v>2.66</v>
      </c>
      <c r="J419" s="16">
        <f t="shared" si="70"/>
        <v>0.1047244094488189</v>
      </c>
      <c r="K419" s="16">
        <v>20.881</v>
      </c>
      <c r="L419" s="23">
        <v>4</v>
      </c>
      <c r="M419" s="23"/>
      <c r="N419" s="23"/>
      <c r="O419" s="23"/>
      <c r="P419" s="23"/>
      <c r="Q419" s="19"/>
      <c r="R419" s="17">
        <v>4</v>
      </c>
      <c r="S419" s="17">
        <v>8</v>
      </c>
      <c r="T419" s="16">
        <f t="shared" si="61"/>
        <v>2438.3999999999996</v>
      </c>
      <c r="U419" s="16">
        <f t="shared" si="62"/>
        <v>1219.1999999999998</v>
      </c>
      <c r="V419" s="18">
        <f t="shared" si="63"/>
        <v>2972897.2799999993</v>
      </c>
      <c r="W419" s="18">
        <f t="shared" si="64"/>
        <v>2.9728972799999993</v>
      </c>
      <c r="X419" s="18">
        <f t="shared" si="65"/>
        <v>62.077068103679984</v>
      </c>
      <c r="Y419" s="24">
        <v>35</v>
      </c>
      <c r="Z419" s="24">
        <f t="shared" si="66"/>
        <v>2172.6973836287993</v>
      </c>
      <c r="AA419" s="16">
        <v>28</v>
      </c>
      <c r="AB419" s="16">
        <f t="shared" si="71"/>
        <v>2382.3999999999996</v>
      </c>
      <c r="AC419" s="16">
        <f t="shared" si="71"/>
        <v>1163.1999999999998</v>
      </c>
      <c r="AD419" s="19">
        <f t="shared" si="68"/>
        <v>2771207.6799999992</v>
      </c>
      <c r="AE419" s="1" t="s">
        <v>7456</v>
      </c>
      <c r="AF419" s="1" t="str">
        <f>VLOOKUP(AE419,t_objeto!B:C,2,FALSE)</f>
        <v>RAW_MATERIAL</v>
      </c>
      <c r="AG419" s="1">
        <v>8</v>
      </c>
      <c r="AH419" s="1" t="str">
        <f>VLOOKUP(AG419,t_entry_status!A:AE,2,FALSE)</f>
        <v>PENDING</v>
      </c>
      <c r="AI419" s="7">
        <v>45560</v>
      </c>
      <c r="AJ419" s="1" t="s">
        <v>7449</v>
      </c>
      <c r="AK419" s="7">
        <v>45560</v>
      </c>
      <c r="AL419" s="1" t="s">
        <v>7449</v>
      </c>
    </row>
    <row r="420" spans="1:38" s="20" customFormat="1" x14ac:dyDescent="0.25">
      <c r="A420" s="14">
        <v>419</v>
      </c>
      <c r="B420" s="14" t="str">
        <f>_xlfn.CONCAT(AE420,"-",VLOOKUP(AE420,t_objeto!B:D,3,FALSE),"-",A420)</f>
        <v>RRMM-PERCCO-419</v>
      </c>
      <c r="C420" s="22" t="str">
        <f t="shared" si="69"/>
        <v>LAMINA_LISA__ACERO_ROLADA EN FRIO_4'X8'_13</v>
      </c>
      <c r="D420" s="14" t="s">
        <v>7407</v>
      </c>
      <c r="E420" s="14" t="s">
        <v>7380</v>
      </c>
      <c r="F420" s="21" t="s">
        <v>7400</v>
      </c>
      <c r="G420" s="22" t="s">
        <v>7382</v>
      </c>
      <c r="H420" s="14">
        <v>13</v>
      </c>
      <c r="I420" s="16">
        <v>2.2799999999999998</v>
      </c>
      <c r="J420" s="16">
        <f t="shared" si="70"/>
        <v>8.9763779527559054E-2</v>
      </c>
      <c r="K420" s="16">
        <v>17.898</v>
      </c>
      <c r="L420" s="23">
        <v>5</v>
      </c>
      <c r="M420" s="23"/>
      <c r="N420" s="23"/>
      <c r="O420" s="23"/>
      <c r="P420" s="23"/>
      <c r="Q420" s="19"/>
      <c r="R420" s="17">
        <v>4</v>
      </c>
      <c r="S420" s="17">
        <v>8</v>
      </c>
      <c r="T420" s="16">
        <f t="shared" si="61"/>
        <v>2438.3999999999996</v>
      </c>
      <c r="U420" s="16">
        <f t="shared" si="62"/>
        <v>1219.1999999999998</v>
      </c>
      <c r="V420" s="18">
        <f t="shared" si="63"/>
        <v>2972897.2799999993</v>
      </c>
      <c r="W420" s="18">
        <f t="shared" si="64"/>
        <v>2.9728972799999993</v>
      </c>
      <c r="X420" s="18">
        <f t="shared" si="65"/>
        <v>53.208915517439983</v>
      </c>
      <c r="Y420" s="24">
        <v>35</v>
      </c>
      <c r="Z420" s="24">
        <f t="shared" si="66"/>
        <v>1862.3120431103994</v>
      </c>
      <c r="AA420" s="16">
        <v>29</v>
      </c>
      <c r="AB420" s="16">
        <f t="shared" si="71"/>
        <v>2380.3999999999996</v>
      </c>
      <c r="AC420" s="16">
        <f t="shared" si="71"/>
        <v>1161.1999999999998</v>
      </c>
      <c r="AD420" s="19">
        <f t="shared" si="68"/>
        <v>2764120.4799999991</v>
      </c>
      <c r="AE420" s="1" t="s">
        <v>7456</v>
      </c>
      <c r="AF420" s="1" t="str">
        <f>VLOOKUP(AE420,t_objeto!B:C,2,FALSE)</f>
        <v>RAW_MATERIAL</v>
      </c>
      <c r="AG420" s="1">
        <v>8</v>
      </c>
      <c r="AH420" s="1" t="str">
        <f>VLOOKUP(AG420,t_entry_status!A:AE,2,FALSE)</f>
        <v>PENDING</v>
      </c>
      <c r="AI420" s="7">
        <v>45560</v>
      </c>
      <c r="AJ420" s="1" t="s">
        <v>7449</v>
      </c>
      <c r="AK420" s="7">
        <v>45560</v>
      </c>
      <c r="AL420" s="1" t="s">
        <v>7449</v>
      </c>
    </row>
    <row r="421" spans="1:38" s="20" customFormat="1" x14ac:dyDescent="0.25">
      <c r="A421" s="14">
        <v>420</v>
      </c>
      <c r="B421" s="14" t="str">
        <f>_xlfn.CONCAT(AE421,"-",VLOOKUP(AE421,t_objeto!B:D,3,FALSE),"-",A421)</f>
        <v>RRMM-PERCCO-420</v>
      </c>
      <c r="C421" s="22" t="str">
        <f t="shared" si="69"/>
        <v>LAMINA_LISA__ACERO_ROLADA EN FRIO_4'X8'_14</v>
      </c>
      <c r="D421" s="14" t="s">
        <v>7407</v>
      </c>
      <c r="E421" s="14" t="s">
        <v>7380</v>
      </c>
      <c r="F421" s="21" t="s">
        <v>7400</v>
      </c>
      <c r="G421" s="22" t="s">
        <v>7382</v>
      </c>
      <c r="H421" s="14">
        <v>14</v>
      </c>
      <c r="I421" s="16">
        <v>1.9</v>
      </c>
      <c r="J421" s="16">
        <f t="shared" si="70"/>
        <v>7.4803149606299218E-2</v>
      </c>
      <c r="K421" s="16">
        <v>14.914999999999999</v>
      </c>
      <c r="L421" s="23">
        <v>5</v>
      </c>
      <c r="M421" s="23">
        <v>1</v>
      </c>
      <c r="N421" s="23">
        <v>10</v>
      </c>
      <c r="O421" s="23"/>
      <c r="P421" s="23"/>
      <c r="Q421" s="19" t="s">
        <v>7402</v>
      </c>
      <c r="R421" s="17">
        <v>4</v>
      </c>
      <c r="S421" s="17">
        <v>8</v>
      </c>
      <c r="T421" s="16">
        <f t="shared" si="61"/>
        <v>2438.3999999999996</v>
      </c>
      <c r="U421" s="16">
        <f t="shared" si="62"/>
        <v>1219.1999999999998</v>
      </c>
      <c r="V421" s="18">
        <f t="shared" si="63"/>
        <v>2972897.2799999993</v>
      </c>
      <c r="W421" s="18">
        <f t="shared" si="64"/>
        <v>2.9728972799999993</v>
      </c>
      <c r="X421" s="18">
        <f t="shared" si="65"/>
        <v>44.34076293119999</v>
      </c>
      <c r="Y421" s="24">
        <v>35</v>
      </c>
      <c r="Z421" s="24">
        <f t="shared" si="66"/>
        <v>1551.9267025919996</v>
      </c>
      <c r="AA421" s="16">
        <v>30</v>
      </c>
      <c r="AB421" s="16">
        <f t="shared" si="71"/>
        <v>2378.3999999999996</v>
      </c>
      <c r="AC421" s="16">
        <f t="shared" si="71"/>
        <v>1159.1999999999998</v>
      </c>
      <c r="AD421" s="19">
        <f t="shared" si="68"/>
        <v>2757041.2799999993</v>
      </c>
      <c r="AE421" s="1" t="s">
        <v>7456</v>
      </c>
      <c r="AF421" s="1" t="str">
        <f>VLOOKUP(AE421,t_objeto!B:C,2,FALSE)</f>
        <v>RAW_MATERIAL</v>
      </c>
      <c r="AG421" s="1">
        <v>8</v>
      </c>
      <c r="AH421" s="1" t="str">
        <f>VLOOKUP(AG421,t_entry_status!A:AE,2,FALSE)</f>
        <v>PENDING</v>
      </c>
      <c r="AI421" s="7">
        <v>45560</v>
      </c>
      <c r="AJ421" s="1" t="s">
        <v>7449</v>
      </c>
      <c r="AK421" s="7">
        <v>45560</v>
      </c>
      <c r="AL421" s="1" t="s">
        <v>7449</v>
      </c>
    </row>
    <row r="422" spans="1:38" s="20" customFormat="1" x14ac:dyDescent="0.25">
      <c r="A422" s="14">
        <v>421</v>
      </c>
      <c r="B422" s="14" t="str">
        <f>_xlfn.CONCAT(AE422,"-",VLOOKUP(AE422,t_objeto!B:D,3,FALSE),"-",A422)</f>
        <v>RRMM-PERCCO-421</v>
      </c>
      <c r="C422" s="22" t="str">
        <f t="shared" si="69"/>
        <v>LAMINA_LISA__ACERO_ROLADA EN FRIO_4'X8'_15</v>
      </c>
      <c r="D422" s="14" t="s">
        <v>7407</v>
      </c>
      <c r="E422" s="14" t="s">
        <v>7380</v>
      </c>
      <c r="F422" s="21" t="s">
        <v>7400</v>
      </c>
      <c r="G422" s="22" t="s">
        <v>7382</v>
      </c>
      <c r="H422" s="14">
        <v>15</v>
      </c>
      <c r="I422" s="16">
        <v>1.71</v>
      </c>
      <c r="J422" s="16">
        <f t="shared" si="70"/>
        <v>6.7322834645669294E-2</v>
      </c>
      <c r="K422" s="16">
        <v>13.423999999999999</v>
      </c>
      <c r="L422" s="23"/>
      <c r="M422" s="23"/>
      <c r="N422" s="23"/>
      <c r="O422" s="23"/>
      <c r="P422" s="23"/>
      <c r="Q422" s="19"/>
      <c r="R422" s="17">
        <v>4</v>
      </c>
      <c r="S422" s="17">
        <v>8</v>
      </c>
      <c r="T422" s="16">
        <f t="shared" si="61"/>
        <v>2438.3999999999996</v>
      </c>
      <c r="U422" s="16">
        <f t="shared" si="62"/>
        <v>1219.1999999999998</v>
      </c>
      <c r="V422" s="18">
        <f t="shared" si="63"/>
        <v>2972897.2799999993</v>
      </c>
      <c r="W422" s="18">
        <f t="shared" si="64"/>
        <v>2.9728972799999993</v>
      </c>
      <c r="X422" s="18">
        <f t="shared" si="65"/>
        <v>39.908173086719991</v>
      </c>
      <c r="Y422" s="24">
        <v>35</v>
      </c>
      <c r="Z422" s="24">
        <f t="shared" si="66"/>
        <v>1396.7860580351996</v>
      </c>
      <c r="AA422" s="16">
        <v>31</v>
      </c>
      <c r="AB422" s="16">
        <f t="shared" si="71"/>
        <v>2376.3999999999996</v>
      </c>
      <c r="AC422" s="16">
        <f t="shared" si="71"/>
        <v>1157.1999999999998</v>
      </c>
      <c r="AD422" s="19">
        <f t="shared" si="68"/>
        <v>2749970.0799999991</v>
      </c>
      <c r="AE422" s="1" t="s">
        <v>7456</v>
      </c>
      <c r="AF422" s="1" t="str">
        <f>VLOOKUP(AE422,t_objeto!B:C,2,FALSE)</f>
        <v>RAW_MATERIAL</v>
      </c>
      <c r="AG422" s="1">
        <v>8</v>
      </c>
      <c r="AH422" s="1" t="str">
        <f>VLOOKUP(AG422,t_entry_status!A:AE,2,FALSE)</f>
        <v>PENDING</v>
      </c>
      <c r="AI422" s="7">
        <v>45560</v>
      </c>
      <c r="AJ422" s="1" t="s">
        <v>7449</v>
      </c>
      <c r="AK422" s="7">
        <v>45560</v>
      </c>
      <c r="AL422" s="1" t="s">
        <v>7449</v>
      </c>
    </row>
    <row r="423" spans="1:38" s="20" customFormat="1" x14ac:dyDescent="0.25">
      <c r="A423" s="14">
        <v>422</v>
      </c>
      <c r="B423" s="14" t="str">
        <f>_xlfn.CONCAT(AE423,"-",VLOOKUP(AE423,t_objeto!B:D,3,FALSE),"-",A423)</f>
        <v>RRMM-PERCCO-422</v>
      </c>
      <c r="C423" s="22" t="str">
        <f t="shared" si="69"/>
        <v>LAMINA_LISA__ACERO_ROLADA EN FRIO_4'X8'_16</v>
      </c>
      <c r="D423" s="14" t="s">
        <v>7407</v>
      </c>
      <c r="E423" s="14" t="s">
        <v>7380</v>
      </c>
      <c r="F423" s="21" t="s">
        <v>7400</v>
      </c>
      <c r="G423" s="22" t="s">
        <v>7382</v>
      </c>
      <c r="H423" s="14">
        <v>16</v>
      </c>
      <c r="I423" s="16">
        <v>1.52</v>
      </c>
      <c r="J423" s="16">
        <f t="shared" si="70"/>
        <v>5.9842519685039376E-2</v>
      </c>
      <c r="K423" s="16">
        <v>11.932</v>
      </c>
      <c r="L423" s="23"/>
      <c r="M423" s="23"/>
      <c r="N423" s="23"/>
      <c r="O423" s="23"/>
      <c r="P423" s="23"/>
      <c r="Q423" s="19"/>
      <c r="R423" s="17">
        <v>4</v>
      </c>
      <c r="S423" s="17">
        <v>8</v>
      </c>
      <c r="T423" s="16">
        <f t="shared" si="61"/>
        <v>2438.3999999999996</v>
      </c>
      <c r="U423" s="16">
        <f t="shared" si="62"/>
        <v>1219.1999999999998</v>
      </c>
      <c r="V423" s="18">
        <f t="shared" si="63"/>
        <v>2972897.2799999993</v>
      </c>
      <c r="W423" s="18">
        <f t="shared" si="64"/>
        <v>2.9728972799999993</v>
      </c>
      <c r="X423" s="18">
        <f t="shared" si="65"/>
        <v>35.472610344959996</v>
      </c>
      <c r="Y423" s="24">
        <v>35</v>
      </c>
      <c r="Z423" s="24">
        <f t="shared" si="66"/>
        <v>1241.5413620735999</v>
      </c>
      <c r="AA423" s="16">
        <v>32</v>
      </c>
      <c r="AB423" s="16">
        <f t="shared" si="71"/>
        <v>2374.3999999999996</v>
      </c>
      <c r="AC423" s="16">
        <f t="shared" si="71"/>
        <v>1155.1999999999998</v>
      </c>
      <c r="AD423" s="19">
        <f t="shared" si="68"/>
        <v>2742906.879999999</v>
      </c>
      <c r="AE423" s="1" t="s">
        <v>7456</v>
      </c>
      <c r="AF423" s="1" t="str">
        <f>VLOOKUP(AE423,t_objeto!B:C,2,FALSE)</f>
        <v>RAW_MATERIAL</v>
      </c>
      <c r="AG423" s="1">
        <v>8</v>
      </c>
      <c r="AH423" s="1" t="str">
        <f>VLOOKUP(AG423,t_entry_status!A:AE,2,FALSE)</f>
        <v>PENDING</v>
      </c>
      <c r="AI423" s="7">
        <v>45560</v>
      </c>
      <c r="AJ423" s="1" t="s">
        <v>7449</v>
      </c>
      <c r="AK423" s="7">
        <v>45560</v>
      </c>
      <c r="AL423" s="1" t="s">
        <v>7449</v>
      </c>
    </row>
    <row r="424" spans="1:38" s="20" customFormat="1" x14ac:dyDescent="0.25">
      <c r="A424" s="14">
        <v>423</v>
      </c>
      <c r="B424" s="14" t="str">
        <f>_xlfn.CONCAT(AE424,"-",VLOOKUP(AE424,t_objeto!B:D,3,FALSE),"-",A424)</f>
        <v>RRMM-PERCCO-423</v>
      </c>
      <c r="C424" s="22" t="str">
        <f t="shared" si="69"/>
        <v>LAMINA_LISA__ACERO_ROLADA EN FRIO_4'X8'_17</v>
      </c>
      <c r="D424" s="14" t="s">
        <v>7407</v>
      </c>
      <c r="E424" s="14" t="s">
        <v>7380</v>
      </c>
      <c r="F424" s="21" t="s">
        <v>7400</v>
      </c>
      <c r="G424" s="22" t="s">
        <v>7382</v>
      </c>
      <c r="H424" s="14">
        <v>17</v>
      </c>
      <c r="I424" s="16">
        <v>1.37</v>
      </c>
      <c r="J424" s="16">
        <f t="shared" si="70"/>
        <v>5.3937007874015758E-2</v>
      </c>
      <c r="K424" s="16">
        <v>10.755000000000001</v>
      </c>
      <c r="L424" s="23"/>
      <c r="M424" s="23"/>
      <c r="N424" s="23"/>
      <c r="O424" s="23"/>
      <c r="P424" s="23"/>
      <c r="Q424" s="19"/>
      <c r="R424" s="17">
        <v>4</v>
      </c>
      <c r="S424" s="17">
        <v>8</v>
      </c>
      <c r="T424" s="16">
        <f t="shared" si="61"/>
        <v>2438.3999999999996</v>
      </c>
      <c r="U424" s="16">
        <f t="shared" si="62"/>
        <v>1219.1999999999998</v>
      </c>
      <c r="V424" s="18">
        <f t="shared" si="63"/>
        <v>2972897.2799999993</v>
      </c>
      <c r="W424" s="18">
        <f t="shared" si="64"/>
        <v>2.9728972799999993</v>
      </c>
      <c r="X424" s="18">
        <f t="shared" si="65"/>
        <v>31.973510246399997</v>
      </c>
      <c r="Y424" s="24">
        <v>35</v>
      </c>
      <c r="Z424" s="24">
        <f t="shared" si="66"/>
        <v>1119.0728586239998</v>
      </c>
      <c r="AA424" s="16">
        <v>33</v>
      </c>
      <c r="AB424" s="16">
        <f t="shared" si="71"/>
        <v>2372.3999999999996</v>
      </c>
      <c r="AC424" s="16">
        <f t="shared" si="71"/>
        <v>1153.1999999999998</v>
      </c>
      <c r="AD424" s="19">
        <f t="shared" si="68"/>
        <v>2735851.6799999992</v>
      </c>
      <c r="AE424" s="1" t="s">
        <v>7456</v>
      </c>
      <c r="AF424" s="1" t="str">
        <f>VLOOKUP(AE424,t_objeto!B:C,2,FALSE)</f>
        <v>RAW_MATERIAL</v>
      </c>
      <c r="AG424" s="1">
        <v>8</v>
      </c>
      <c r="AH424" s="1" t="str">
        <f>VLOOKUP(AG424,t_entry_status!A:AE,2,FALSE)</f>
        <v>PENDING</v>
      </c>
      <c r="AI424" s="7">
        <v>45560</v>
      </c>
      <c r="AJ424" s="1" t="s">
        <v>7449</v>
      </c>
      <c r="AK424" s="7">
        <v>45560</v>
      </c>
      <c r="AL424" s="1" t="s">
        <v>7449</v>
      </c>
    </row>
    <row r="425" spans="1:38" s="20" customFormat="1" x14ac:dyDescent="0.25">
      <c r="A425" s="14">
        <v>424</v>
      </c>
      <c r="B425" s="14" t="str">
        <f>_xlfn.CONCAT(AE425,"-",VLOOKUP(AE425,t_objeto!B:D,3,FALSE),"-",A425)</f>
        <v>RRMM-PERCCO-424</v>
      </c>
      <c r="C425" s="22" t="str">
        <f t="shared" si="69"/>
        <v>LAMINA_LISA__ACERO_ROLADA EN FRIO_4'X8'_18</v>
      </c>
      <c r="D425" s="14" t="s">
        <v>7407</v>
      </c>
      <c r="E425" s="14" t="s">
        <v>7380</v>
      </c>
      <c r="F425" s="21" t="s">
        <v>7400</v>
      </c>
      <c r="G425" s="22" t="s">
        <v>7382</v>
      </c>
      <c r="H425" s="14">
        <v>18</v>
      </c>
      <c r="I425" s="16">
        <v>1.21</v>
      </c>
      <c r="J425" s="16">
        <f t="shared" si="70"/>
        <v>4.7637795275590554E-2</v>
      </c>
      <c r="K425" s="16">
        <v>9.4990000000000006</v>
      </c>
      <c r="L425" s="23"/>
      <c r="M425" s="23"/>
      <c r="N425" s="23"/>
      <c r="O425" s="23"/>
      <c r="P425" s="23"/>
      <c r="Q425" s="19"/>
      <c r="R425" s="17">
        <v>4</v>
      </c>
      <c r="S425" s="17">
        <v>8</v>
      </c>
      <c r="T425" s="16">
        <f t="shared" si="61"/>
        <v>2438.3999999999996</v>
      </c>
      <c r="U425" s="16">
        <f t="shared" si="62"/>
        <v>1219.1999999999998</v>
      </c>
      <c r="V425" s="18">
        <f t="shared" si="63"/>
        <v>2972897.2799999993</v>
      </c>
      <c r="W425" s="18">
        <f t="shared" si="64"/>
        <v>2.9728972799999993</v>
      </c>
      <c r="X425" s="18">
        <f t="shared" si="65"/>
        <v>28.239551262719996</v>
      </c>
      <c r="Y425" s="24">
        <v>35</v>
      </c>
      <c r="Z425" s="24">
        <f t="shared" si="66"/>
        <v>988.3842941951998</v>
      </c>
      <c r="AA425" s="16">
        <v>34</v>
      </c>
      <c r="AB425" s="16">
        <f t="shared" si="71"/>
        <v>2370.3999999999996</v>
      </c>
      <c r="AC425" s="16">
        <f t="shared" si="71"/>
        <v>1151.1999999999998</v>
      </c>
      <c r="AD425" s="19">
        <f t="shared" si="68"/>
        <v>2728804.4799999991</v>
      </c>
      <c r="AE425" s="1" t="s">
        <v>7456</v>
      </c>
      <c r="AF425" s="1" t="str">
        <f>VLOOKUP(AE425,t_objeto!B:C,2,FALSE)</f>
        <v>RAW_MATERIAL</v>
      </c>
      <c r="AG425" s="1">
        <v>8</v>
      </c>
      <c r="AH425" s="1" t="str">
        <f>VLOOKUP(AG425,t_entry_status!A:AE,2,FALSE)</f>
        <v>PENDING</v>
      </c>
      <c r="AI425" s="7">
        <v>45560</v>
      </c>
      <c r="AJ425" s="1" t="s">
        <v>7449</v>
      </c>
      <c r="AK425" s="7">
        <v>45560</v>
      </c>
      <c r="AL425" s="1" t="s">
        <v>7449</v>
      </c>
    </row>
    <row r="426" spans="1:38" s="20" customFormat="1" x14ac:dyDescent="0.25">
      <c r="A426" s="14">
        <v>425</v>
      </c>
      <c r="B426" s="14" t="str">
        <f>_xlfn.CONCAT(AE426,"-",VLOOKUP(AE426,t_objeto!B:D,3,FALSE),"-",A426)</f>
        <v>RRMM-PERCCO-425</v>
      </c>
      <c r="C426" s="22" t="str">
        <f t="shared" si="69"/>
        <v>LAMINA_LISA__ACERO_ROLADA EN FRIO_4'X8'_19</v>
      </c>
      <c r="D426" s="14" t="s">
        <v>7407</v>
      </c>
      <c r="E426" s="14" t="s">
        <v>7380</v>
      </c>
      <c r="F426" s="21" t="s">
        <v>7400</v>
      </c>
      <c r="G426" s="22" t="s">
        <v>7382</v>
      </c>
      <c r="H426" s="14">
        <v>19</v>
      </c>
      <c r="I426" s="16">
        <v>1.06</v>
      </c>
      <c r="J426" s="16">
        <f t="shared" si="70"/>
        <v>4.1732283464566935E-2</v>
      </c>
      <c r="K426" s="16">
        <v>8.3209999999999997</v>
      </c>
      <c r="L426" s="23"/>
      <c r="M426" s="23"/>
      <c r="N426" s="23"/>
      <c r="O426" s="23"/>
      <c r="P426" s="23"/>
      <c r="Q426" s="19"/>
      <c r="R426" s="17">
        <v>4</v>
      </c>
      <c r="S426" s="17">
        <v>8</v>
      </c>
      <c r="T426" s="16">
        <f t="shared" si="61"/>
        <v>2438.3999999999996</v>
      </c>
      <c r="U426" s="16">
        <f t="shared" si="62"/>
        <v>1219.1999999999998</v>
      </c>
      <c r="V426" s="18">
        <f t="shared" si="63"/>
        <v>2972897.2799999993</v>
      </c>
      <c r="W426" s="18">
        <f t="shared" si="64"/>
        <v>2.9728972799999993</v>
      </c>
      <c r="X426" s="18">
        <f t="shared" si="65"/>
        <v>24.737478266879993</v>
      </c>
      <c r="Y426" s="24">
        <v>35</v>
      </c>
      <c r="Z426" s="24">
        <f t="shared" si="66"/>
        <v>865.8117393407997</v>
      </c>
      <c r="AA426" s="16">
        <v>35</v>
      </c>
      <c r="AB426" s="16">
        <f t="shared" si="71"/>
        <v>2368.3999999999996</v>
      </c>
      <c r="AC426" s="16">
        <f t="shared" si="71"/>
        <v>1149.1999999999998</v>
      </c>
      <c r="AD426" s="19">
        <f t="shared" si="68"/>
        <v>2721765.2799999993</v>
      </c>
      <c r="AE426" s="1" t="s">
        <v>7456</v>
      </c>
      <c r="AF426" s="1" t="str">
        <f>VLOOKUP(AE426,t_objeto!B:C,2,FALSE)</f>
        <v>RAW_MATERIAL</v>
      </c>
      <c r="AG426" s="1">
        <v>8</v>
      </c>
      <c r="AH426" s="1" t="str">
        <f>VLOOKUP(AG426,t_entry_status!A:AE,2,FALSE)</f>
        <v>PENDING</v>
      </c>
      <c r="AI426" s="7">
        <v>45560</v>
      </c>
      <c r="AJ426" s="1" t="s">
        <v>7449</v>
      </c>
      <c r="AK426" s="7">
        <v>45560</v>
      </c>
      <c r="AL426" s="1" t="s">
        <v>7449</v>
      </c>
    </row>
    <row r="427" spans="1:38" s="20" customFormat="1" x14ac:dyDescent="0.25">
      <c r="A427" s="14">
        <v>426</v>
      </c>
      <c r="B427" s="14" t="str">
        <f>_xlfn.CONCAT(AE427,"-",VLOOKUP(AE427,t_objeto!B:D,3,FALSE),"-",A427)</f>
        <v>RRMM-PERCCO-426</v>
      </c>
      <c r="C427" s="22" t="str">
        <f t="shared" si="69"/>
        <v>LAMINA_LISA__ACERO_ROLADA EN FRIO_4'X8'_20</v>
      </c>
      <c r="D427" s="14" t="s">
        <v>7407</v>
      </c>
      <c r="E427" s="14" t="s">
        <v>7380</v>
      </c>
      <c r="F427" s="21" t="s">
        <v>7400</v>
      </c>
      <c r="G427" s="22" t="s">
        <v>7382</v>
      </c>
      <c r="H427" s="14">
        <v>20</v>
      </c>
      <c r="I427" s="16">
        <v>0.91</v>
      </c>
      <c r="J427" s="16">
        <f t="shared" si="70"/>
        <v>3.582677165354331E-2</v>
      </c>
      <c r="K427" s="16">
        <v>7.1440000000000001</v>
      </c>
      <c r="L427" s="23"/>
      <c r="M427" s="23"/>
      <c r="N427" s="23"/>
      <c r="O427" s="23"/>
      <c r="P427" s="23"/>
      <c r="Q427" s="19"/>
      <c r="R427" s="17">
        <v>4</v>
      </c>
      <c r="S427" s="17">
        <v>8</v>
      </c>
      <c r="T427" s="16">
        <f t="shared" si="61"/>
        <v>2438.3999999999996</v>
      </c>
      <c r="U427" s="16">
        <f t="shared" si="62"/>
        <v>1219.1999999999998</v>
      </c>
      <c r="V427" s="18">
        <f t="shared" si="63"/>
        <v>2972897.2799999993</v>
      </c>
      <c r="W427" s="18">
        <f t="shared" si="64"/>
        <v>2.9728972799999993</v>
      </c>
      <c r="X427" s="18">
        <f t="shared" si="65"/>
        <v>21.238378168319997</v>
      </c>
      <c r="Y427" s="24">
        <v>35</v>
      </c>
      <c r="Z427" s="24">
        <f t="shared" si="66"/>
        <v>743.34323589119992</v>
      </c>
      <c r="AA427" s="16">
        <v>36</v>
      </c>
      <c r="AB427" s="16">
        <f t="shared" si="71"/>
        <v>2366.3999999999996</v>
      </c>
      <c r="AC427" s="16">
        <f t="shared" si="71"/>
        <v>1147.1999999999998</v>
      </c>
      <c r="AD427" s="19">
        <f t="shared" si="68"/>
        <v>2714734.0799999991</v>
      </c>
      <c r="AE427" s="1" t="s">
        <v>7456</v>
      </c>
      <c r="AF427" s="1" t="str">
        <f>VLOOKUP(AE427,t_objeto!B:C,2,FALSE)</f>
        <v>RAW_MATERIAL</v>
      </c>
      <c r="AG427" s="1">
        <v>8</v>
      </c>
      <c r="AH427" s="1" t="str">
        <f>VLOOKUP(AG427,t_entry_status!A:AE,2,FALSE)</f>
        <v>PENDING</v>
      </c>
      <c r="AI427" s="7">
        <v>45560</v>
      </c>
      <c r="AJ427" s="1" t="s">
        <v>7449</v>
      </c>
      <c r="AK427" s="7">
        <v>45560</v>
      </c>
      <c r="AL427" s="1" t="s">
        <v>7449</v>
      </c>
    </row>
    <row r="428" spans="1:38" s="20" customFormat="1" x14ac:dyDescent="0.25">
      <c r="A428" s="14">
        <v>427</v>
      </c>
      <c r="B428" s="14" t="str">
        <f>_xlfn.CONCAT(AE428,"-",VLOOKUP(AE428,t_objeto!B:D,3,FALSE),"-",A428)</f>
        <v>RRMM-PERCCO-427</v>
      </c>
      <c r="C428" s="22" t="str">
        <f t="shared" si="69"/>
        <v>LAMINA_LISA__ACERO_ROLADA EN FRIO_4'X8'_21</v>
      </c>
      <c r="D428" s="14" t="s">
        <v>7407</v>
      </c>
      <c r="E428" s="14" t="s">
        <v>7380</v>
      </c>
      <c r="F428" s="21" t="s">
        <v>7400</v>
      </c>
      <c r="G428" s="22" t="s">
        <v>7382</v>
      </c>
      <c r="H428" s="14">
        <v>21</v>
      </c>
      <c r="I428" s="16">
        <v>0.84</v>
      </c>
      <c r="J428" s="16">
        <f t="shared" si="70"/>
        <v>3.3070866141732283E-2</v>
      </c>
      <c r="K428" s="16">
        <v>6.5940000000000003</v>
      </c>
      <c r="L428" s="23"/>
      <c r="M428" s="23"/>
      <c r="N428" s="23"/>
      <c r="O428" s="23"/>
      <c r="P428" s="23"/>
      <c r="Q428" s="19"/>
      <c r="R428" s="17">
        <v>4</v>
      </c>
      <c r="S428" s="17">
        <v>8</v>
      </c>
      <c r="T428" s="16">
        <f t="shared" si="61"/>
        <v>2438.3999999999996</v>
      </c>
      <c r="U428" s="16">
        <f t="shared" si="62"/>
        <v>1219.1999999999998</v>
      </c>
      <c r="V428" s="18">
        <f t="shared" si="63"/>
        <v>2972897.2799999993</v>
      </c>
      <c r="W428" s="18">
        <f t="shared" si="64"/>
        <v>2.9728972799999993</v>
      </c>
      <c r="X428" s="18">
        <f t="shared" si="65"/>
        <v>19.603284664319997</v>
      </c>
      <c r="Y428" s="24">
        <v>35</v>
      </c>
      <c r="Z428" s="24">
        <f t="shared" si="66"/>
        <v>686.11496325119992</v>
      </c>
      <c r="AA428" s="16">
        <v>37</v>
      </c>
      <c r="AB428" s="16">
        <f t="shared" si="71"/>
        <v>2364.3999999999996</v>
      </c>
      <c r="AC428" s="16">
        <f t="shared" si="71"/>
        <v>1145.1999999999998</v>
      </c>
      <c r="AD428" s="19">
        <f t="shared" si="68"/>
        <v>2707710.879999999</v>
      </c>
      <c r="AE428" s="1" t="s">
        <v>7456</v>
      </c>
      <c r="AF428" s="1" t="str">
        <f>VLOOKUP(AE428,t_objeto!B:C,2,FALSE)</f>
        <v>RAW_MATERIAL</v>
      </c>
      <c r="AG428" s="1">
        <v>8</v>
      </c>
      <c r="AH428" s="1" t="str">
        <f>VLOOKUP(AG428,t_entry_status!A:AE,2,FALSE)</f>
        <v>PENDING</v>
      </c>
      <c r="AI428" s="7">
        <v>45560</v>
      </c>
      <c r="AJ428" s="1" t="s">
        <v>7449</v>
      </c>
      <c r="AK428" s="7">
        <v>45560</v>
      </c>
      <c r="AL428" s="1" t="s">
        <v>7449</v>
      </c>
    </row>
    <row r="429" spans="1:38" s="20" customFormat="1" x14ac:dyDescent="0.25">
      <c r="A429" s="14">
        <v>428</v>
      </c>
      <c r="B429" s="14" t="str">
        <f>_xlfn.CONCAT(AE429,"-",VLOOKUP(AE429,t_objeto!B:D,3,FALSE),"-",A429)</f>
        <v>RRMM-PERCCO-428</v>
      </c>
      <c r="C429" s="22" t="str">
        <f t="shared" si="69"/>
        <v>LAMINA_LISA__ACERO_ROLADA EN FRIO_4'X8'_22</v>
      </c>
      <c r="D429" s="14" t="s">
        <v>7407</v>
      </c>
      <c r="E429" s="14" t="s">
        <v>7380</v>
      </c>
      <c r="F429" s="21" t="s">
        <v>7400</v>
      </c>
      <c r="G429" s="22" t="s">
        <v>7382</v>
      </c>
      <c r="H429" s="14">
        <v>22</v>
      </c>
      <c r="I429" s="16">
        <v>0.76</v>
      </c>
      <c r="J429" s="16">
        <f t="shared" si="70"/>
        <v>2.9921259842519688E-2</v>
      </c>
      <c r="K429" s="16">
        <v>6.1050000000000004</v>
      </c>
      <c r="L429" s="23"/>
      <c r="M429" s="23"/>
      <c r="N429" s="23"/>
      <c r="O429" s="23"/>
      <c r="P429" s="23"/>
      <c r="Q429" s="19"/>
      <c r="R429" s="17">
        <v>4</v>
      </c>
      <c r="S429" s="17">
        <v>8</v>
      </c>
      <c r="T429" s="16">
        <f t="shared" si="61"/>
        <v>2438.3999999999996</v>
      </c>
      <c r="U429" s="16">
        <f t="shared" si="62"/>
        <v>1219.1999999999998</v>
      </c>
      <c r="V429" s="18">
        <f t="shared" si="63"/>
        <v>2972897.2799999993</v>
      </c>
      <c r="W429" s="18">
        <f t="shared" si="64"/>
        <v>2.9728972799999993</v>
      </c>
      <c r="X429" s="18">
        <f t="shared" si="65"/>
        <v>18.149537894399998</v>
      </c>
      <c r="Y429" s="24">
        <v>35</v>
      </c>
      <c r="Z429" s="24">
        <f t="shared" si="66"/>
        <v>635.23382630399988</v>
      </c>
      <c r="AA429" s="16">
        <v>38</v>
      </c>
      <c r="AB429" s="16">
        <f t="shared" si="71"/>
        <v>2362.3999999999996</v>
      </c>
      <c r="AC429" s="16">
        <f t="shared" si="71"/>
        <v>1143.1999999999998</v>
      </c>
      <c r="AD429" s="19">
        <f t="shared" si="68"/>
        <v>2700695.6799999992</v>
      </c>
      <c r="AE429" s="1" t="s">
        <v>7456</v>
      </c>
      <c r="AF429" s="1" t="str">
        <f>VLOOKUP(AE429,t_objeto!B:C,2,FALSE)</f>
        <v>RAW_MATERIAL</v>
      </c>
      <c r="AG429" s="1">
        <v>8</v>
      </c>
      <c r="AH429" s="1" t="str">
        <f>VLOOKUP(AG429,t_entry_status!A:AE,2,FALSE)</f>
        <v>PENDING</v>
      </c>
      <c r="AI429" s="7">
        <v>45560</v>
      </c>
      <c r="AJ429" s="1" t="s">
        <v>7449</v>
      </c>
      <c r="AK429" s="7">
        <v>45560</v>
      </c>
      <c r="AL429" s="1" t="s">
        <v>7449</v>
      </c>
    </row>
    <row r="430" spans="1:38" s="20" customFormat="1" x14ac:dyDescent="0.25">
      <c r="A430" s="14">
        <v>429</v>
      </c>
      <c r="B430" s="14" t="str">
        <f>_xlfn.CONCAT(AE430,"-",VLOOKUP(AE430,t_objeto!B:D,3,FALSE),"-",A430)</f>
        <v>RRMM-PERCCO-429</v>
      </c>
      <c r="C430" s="22" t="str">
        <f t="shared" si="69"/>
        <v>LAMINA_LISA__ACERO_ROLADA EN FRIO_4'X8'_23</v>
      </c>
      <c r="D430" s="14" t="s">
        <v>7407</v>
      </c>
      <c r="E430" s="14" t="s">
        <v>7380</v>
      </c>
      <c r="F430" s="21" t="s">
        <v>7400</v>
      </c>
      <c r="G430" s="22" t="s">
        <v>7382</v>
      </c>
      <c r="H430" s="14">
        <v>23</v>
      </c>
      <c r="I430" s="16">
        <v>0.68</v>
      </c>
      <c r="J430" s="16">
        <f t="shared" si="70"/>
        <v>2.677165354330709E-2</v>
      </c>
      <c r="K430" s="16">
        <v>5.3380000000000001</v>
      </c>
      <c r="L430" s="23"/>
      <c r="M430" s="23"/>
      <c r="N430" s="23"/>
      <c r="O430" s="23"/>
      <c r="P430" s="23"/>
      <c r="Q430" s="19"/>
      <c r="R430" s="17">
        <v>4</v>
      </c>
      <c r="S430" s="17">
        <v>8</v>
      </c>
      <c r="T430" s="16">
        <f t="shared" si="61"/>
        <v>2438.3999999999996</v>
      </c>
      <c r="U430" s="16">
        <f t="shared" si="62"/>
        <v>1219.1999999999998</v>
      </c>
      <c r="V430" s="18">
        <f t="shared" si="63"/>
        <v>2972897.2799999993</v>
      </c>
      <c r="W430" s="18">
        <f t="shared" si="64"/>
        <v>2.9728972799999993</v>
      </c>
      <c r="X430" s="18">
        <f t="shared" si="65"/>
        <v>15.869325680639996</v>
      </c>
      <c r="Y430" s="24">
        <v>35</v>
      </c>
      <c r="Z430" s="24">
        <f t="shared" si="66"/>
        <v>555.42639882239985</v>
      </c>
      <c r="AA430" s="16">
        <v>39</v>
      </c>
      <c r="AB430" s="16">
        <f t="shared" si="71"/>
        <v>2360.3999999999996</v>
      </c>
      <c r="AC430" s="16">
        <f t="shared" si="71"/>
        <v>1141.1999999999998</v>
      </c>
      <c r="AD430" s="19">
        <f t="shared" si="68"/>
        <v>2693688.4799999991</v>
      </c>
      <c r="AE430" s="1" t="s">
        <v>7456</v>
      </c>
      <c r="AF430" s="1" t="str">
        <f>VLOOKUP(AE430,t_objeto!B:C,2,FALSE)</f>
        <v>RAW_MATERIAL</v>
      </c>
      <c r="AG430" s="1">
        <v>8</v>
      </c>
      <c r="AH430" s="1" t="str">
        <f>VLOOKUP(AG430,t_entry_status!A:AE,2,FALSE)</f>
        <v>PENDING</v>
      </c>
      <c r="AI430" s="7">
        <v>45560</v>
      </c>
      <c r="AJ430" s="1" t="s">
        <v>7449</v>
      </c>
      <c r="AK430" s="7">
        <v>45560</v>
      </c>
      <c r="AL430" s="1" t="s">
        <v>7449</v>
      </c>
    </row>
    <row r="431" spans="1:38" s="20" customFormat="1" x14ac:dyDescent="0.25">
      <c r="A431" s="14">
        <v>430</v>
      </c>
      <c r="B431" s="14" t="str">
        <f>_xlfn.CONCAT(AE431,"-",VLOOKUP(AE431,t_objeto!B:D,3,FALSE),"-",A431)</f>
        <v>RRMM-PERCCO-430</v>
      </c>
      <c r="C431" s="22" t="str">
        <f t="shared" si="69"/>
        <v>LAMINA_LISA__ACERO_ROLADA EN FRIO_4'X8'_24</v>
      </c>
      <c r="D431" s="14" t="s">
        <v>7407</v>
      </c>
      <c r="E431" s="14" t="s">
        <v>7380</v>
      </c>
      <c r="F431" s="21" t="s">
        <v>7400</v>
      </c>
      <c r="G431" s="22" t="s">
        <v>7382</v>
      </c>
      <c r="H431" s="14">
        <v>24</v>
      </c>
      <c r="I431" s="16">
        <v>0.61</v>
      </c>
      <c r="J431" s="16">
        <f t="shared" si="70"/>
        <v>2.4015748031496063E-2</v>
      </c>
      <c r="K431" s="16">
        <v>4.7889999999999997</v>
      </c>
      <c r="L431" s="23"/>
      <c r="M431" s="23"/>
      <c r="N431" s="23"/>
      <c r="O431" s="23"/>
      <c r="P431" s="23"/>
      <c r="Q431" s="19"/>
      <c r="R431" s="17">
        <v>4</v>
      </c>
      <c r="S431" s="17">
        <v>8</v>
      </c>
      <c r="T431" s="16">
        <f t="shared" si="61"/>
        <v>2438.3999999999996</v>
      </c>
      <c r="U431" s="16">
        <f t="shared" si="62"/>
        <v>1219.1999999999998</v>
      </c>
      <c r="V431" s="18">
        <f t="shared" si="63"/>
        <v>2972897.2799999993</v>
      </c>
      <c r="W431" s="18">
        <f t="shared" si="64"/>
        <v>2.9728972799999993</v>
      </c>
      <c r="X431" s="18">
        <f t="shared" si="65"/>
        <v>14.237205073919997</v>
      </c>
      <c r="Y431" s="24">
        <v>35</v>
      </c>
      <c r="Z431" s="24">
        <f t="shared" si="66"/>
        <v>498.30217758719988</v>
      </c>
      <c r="AA431" s="16">
        <v>40</v>
      </c>
      <c r="AB431" s="16">
        <f t="shared" si="71"/>
        <v>2358.3999999999996</v>
      </c>
      <c r="AC431" s="16">
        <f t="shared" si="71"/>
        <v>1139.1999999999998</v>
      </c>
      <c r="AD431" s="19">
        <f t="shared" si="68"/>
        <v>2686689.2799999993</v>
      </c>
      <c r="AE431" s="1" t="s">
        <v>7456</v>
      </c>
      <c r="AF431" s="1" t="str">
        <f>VLOOKUP(AE431,t_objeto!B:C,2,FALSE)</f>
        <v>RAW_MATERIAL</v>
      </c>
      <c r="AG431" s="1">
        <v>8</v>
      </c>
      <c r="AH431" s="1" t="str">
        <f>VLOOKUP(AG431,t_entry_status!A:AE,2,FALSE)</f>
        <v>PENDING</v>
      </c>
      <c r="AI431" s="7">
        <v>45560</v>
      </c>
      <c r="AJ431" s="1" t="s">
        <v>7449</v>
      </c>
      <c r="AK431" s="7">
        <v>45560</v>
      </c>
      <c r="AL431" s="1" t="s">
        <v>7449</v>
      </c>
    </row>
    <row r="432" spans="1:38" s="20" customFormat="1" x14ac:dyDescent="0.25">
      <c r="A432" s="14">
        <v>431</v>
      </c>
      <c r="B432" s="14" t="str">
        <f>_xlfn.CONCAT(AE432,"-",VLOOKUP(AE432,t_objeto!B:D,3,FALSE),"-",A432)</f>
        <v>RRMM-PERCCO-431</v>
      </c>
      <c r="C432" s="22" t="str">
        <f t="shared" si="69"/>
        <v>LAMINA_LISA__ACERO_ROLADA EN FRIO_4'X8'_25</v>
      </c>
      <c r="D432" s="14" t="s">
        <v>7407</v>
      </c>
      <c r="E432" s="14" t="s">
        <v>7380</v>
      </c>
      <c r="F432" s="21" t="s">
        <v>7400</v>
      </c>
      <c r="G432" s="22" t="s">
        <v>7382</v>
      </c>
      <c r="H432" s="14">
        <v>25</v>
      </c>
      <c r="I432" s="16">
        <v>0.53</v>
      </c>
      <c r="J432" s="16">
        <f t="shared" si="70"/>
        <v>2.0866141732283468E-2</v>
      </c>
      <c r="K432" s="16">
        <v>4.1609999999999996</v>
      </c>
      <c r="L432" s="23"/>
      <c r="M432" s="23"/>
      <c r="N432" s="23"/>
      <c r="O432" s="23"/>
      <c r="P432" s="23"/>
      <c r="Q432" s="19"/>
      <c r="R432" s="17">
        <v>4</v>
      </c>
      <c r="S432" s="17">
        <v>8</v>
      </c>
      <c r="T432" s="16">
        <f t="shared" si="61"/>
        <v>2438.3999999999996</v>
      </c>
      <c r="U432" s="16">
        <f t="shared" si="62"/>
        <v>1219.1999999999998</v>
      </c>
      <c r="V432" s="18">
        <f t="shared" si="63"/>
        <v>2972897.2799999993</v>
      </c>
      <c r="W432" s="18">
        <f t="shared" si="64"/>
        <v>2.9728972799999993</v>
      </c>
      <c r="X432" s="18">
        <f t="shared" si="65"/>
        <v>12.370225582079996</v>
      </c>
      <c r="Y432" s="24">
        <v>35</v>
      </c>
      <c r="Z432" s="24">
        <f t="shared" si="66"/>
        <v>432.95789537279984</v>
      </c>
      <c r="AA432" s="16">
        <v>41</v>
      </c>
      <c r="AB432" s="16">
        <f t="shared" si="71"/>
        <v>2356.3999999999996</v>
      </c>
      <c r="AC432" s="16">
        <f t="shared" si="71"/>
        <v>1137.1999999999998</v>
      </c>
      <c r="AD432" s="19">
        <f t="shared" si="68"/>
        <v>2679698.0799999991</v>
      </c>
      <c r="AE432" s="1" t="s">
        <v>7456</v>
      </c>
      <c r="AF432" s="1" t="str">
        <f>VLOOKUP(AE432,t_objeto!B:C,2,FALSE)</f>
        <v>RAW_MATERIAL</v>
      </c>
      <c r="AG432" s="1">
        <v>8</v>
      </c>
      <c r="AH432" s="1" t="str">
        <f>VLOOKUP(AG432,t_entry_status!A:AE,2,FALSE)</f>
        <v>PENDING</v>
      </c>
      <c r="AI432" s="7">
        <v>45560</v>
      </c>
      <c r="AJ432" s="1" t="s">
        <v>7449</v>
      </c>
      <c r="AK432" s="7">
        <v>45560</v>
      </c>
      <c r="AL432" s="1" t="s">
        <v>7449</v>
      </c>
    </row>
    <row r="433" spans="1:38" s="20" customFormat="1" x14ac:dyDescent="0.25">
      <c r="A433" s="14">
        <v>432</v>
      </c>
      <c r="B433" s="14" t="str">
        <f>_xlfn.CONCAT(AE433,"-",VLOOKUP(AE433,t_objeto!B:D,3,FALSE),"-",A433)</f>
        <v>RRMM-PERCCO-432</v>
      </c>
      <c r="C433" s="22" t="str">
        <f t="shared" si="69"/>
        <v>LAMINA_LISA__ACERO_ROLADA EN FRIO_4'X8'_26</v>
      </c>
      <c r="D433" s="14" t="s">
        <v>7407</v>
      </c>
      <c r="E433" s="14" t="s">
        <v>7380</v>
      </c>
      <c r="F433" s="21" t="s">
        <v>7400</v>
      </c>
      <c r="G433" s="22" t="s">
        <v>7382</v>
      </c>
      <c r="H433" s="14">
        <v>26</v>
      </c>
      <c r="I433" s="16">
        <v>0.45</v>
      </c>
      <c r="J433" s="16">
        <f t="shared" si="70"/>
        <v>1.7716535433070866E-2</v>
      </c>
      <c r="K433" s="16">
        <v>3.5329999999999999</v>
      </c>
      <c r="L433" s="23"/>
      <c r="M433" s="23"/>
      <c r="N433" s="23"/>
      <c r="O433" s="23"/>
      <c r="P433" s="23"/>
      <c r="Q433" s="19"/>
      <c r="R433" s="17">
        <v>4</v>
      </c>
      <c r="S433" s="17">
        <v>8</v>
      </c>
      <c r="T433" s="16">
        <f t="shared" si="61"/>
        <v>2438.3999999999996</v>
      </c>
      <c r="U433" s="16">
        <f t="shared" si="62"/>
        <v>1219.1999999999998</v>
      </c>
      <c r="V433" s="18">
        <f t="shared" si="63"/>
        <v>2972897.2799999993</v>
      </c>
      <c r="W433" s="18">
        <f t="shared" si="64"/>
        <v>2.9728972799999993</v>
      </c>
      <c r="X433" s="18">
        <f t="shared" si="65"/>
        <v>10.503246090239998</v>
      </c>
      <c r="Y433" s="24">
        <v>35</v>
      </c>
      <c r="Z433" s="24">
        <f t="shared" si="66"/>
        <v>367.61361315839991</v>
      </c>
      <c r="AA433" s="16">
        <v>42</v>
      </c>
      <c r="AB433" s="16">
        <f t="shared" si="71"/>
        <v>2354.3999999999996</v>
      </c>
      <c r="AC433" s="16">
        <f t="shared" si="71"/>
        <v>1135.1999999999998</v>
      </c>
      <c r="AD433" s="19">
        <f t="shared" si="68"/>
        <v>2672714.879999999</v>
      </c>
      <c r="AE433" s="1" t="s">
        <v>7456</v>
      </c>
      <c r="AF433" s="1" t="str">
        <f>VLOOKUP(AE433,t_objeto!B:C,2,FALSE)</f>
        <v>RAW_MATERIAL</v>
      </c>
      <c r="AG433" s="1">
        <v>8</v>
      </c>
      <c r="AH433" s="1" t="str">
        <f>VLOOKUP(AG433,t_entry_status!A:AE,2,FALSE)</f>
        <v>PENDING</v>
      </c>
      <c r="AI433" s="7">
        <v>45560</v>
      </c>
      <c r="AJ433" s="1" t="s">
        <v>7449</v>
      </c>
      <c r="AK433" s="7">
        <v>45560</v>
      </c>
      <c r="AL433" s="1" t="s">
        <v>7449</v>
      </c>
    </row>
    <row r="434" spans="1:38" s="20" customFormat="1" x14ac:dyDescent="0.25">
      <c r="A434" s="14">
        <v>433</v>
      </c>
      <c r="B434" s="14" t="str">
        <f>_xlfn.CONCAT(AE434,"-",VLOOKUP(AE434,t_objeto!B:D,3,FALSE),"-",A434)</f>
        <v>RRMM-PERCCO-433</v>
      </c>
      <c r="C434" s="22" t="str">
        <f t="shared" si="69"/>
        <v>LAMINA_LISA__ACERO_ROLADA EN FRIO_4'X8'_27</v>
      </c>
      <c r="D434" s="14" t="s">
        <v>7407</v>
      </c>
      <c r="E434" s="14" t="s">
        <v>7380</v>
      </c>
      <c r="F434" s="21" t="s">
        <v>7400</v>
      </c>
      <c r="G434" s="22" t="s">
        <v>7382</v>
      </c>
      <c r="H434" s="14">
        <v>27</v>
      </c>
      <c r="I434" s="16">
        <v>0.42</v>
      </c>
      <c r="J434" s="16">
        <f t="shared" si="70"/>
        <v>1.6535433070866142E-2</v>
      </c>
      <c r="K434" s="16">
        <v>3.2970000000000002</v>
      </c>
      <c r="L434" s="23"/>
      <c r="M434" s="23"/>
      <c r="N434" s="23"/>
      <c r="O434" s="23"/>
      <c r="P434" s="23"/>
      <c r="Q434" s="19"/>
      <c r="R434" s="17">
        <v>4</v>
      </c>
      <c r="S434" s="17">
        <v>8</v>
      </c>
      <c r="T434" s="16">
        <f t="shared" si="61"/>
        <v>2438.3999999999996</v>
      </c>
      <c r="U434" s="16">
        <f t="shared" si="62"/>
        <v>1219.1999999999998</v>
      </c>
      <c r="V434" s="18">
        <f t="shared" si="63"/>
        <v>2972897.2799999993</v>
      </c>
      <c r="W434" s="18">
        <f t="shared" si="64"/>
        <v>2.9728972799999993</v>
      </c>
      <c r="X434" s="18">
        <f t="shared" si="65"/>
        <v>9.8016423321599984</v>
      </c>
      <c r="Y434" s="24">
        <v>35</v>
      </c>
      <c r="Z434" s="24">
        <f t="shared" si="66"/>
        <v>343.05748162559996</v>
      </c>
      <c r="AA434" s="16">
        <v>43</v>
      </c>
      <c r="AB434" s="16">
        <f t="shared" si="71"/>
        <v>2352.3999999999996</v>
      </c>
      <c r="AC434" s="16">
        <f t="shared" si="71"/>
        <v>1133.1999999999998</v>
      </c>
      <c r="AD434" s="19">
        <f t="shared" si="68"/>
        <v>2665739.6799999992</v>
      </c>
      <c r="AE434" s="1" t="s">
        <v>7456</v>
      </c>
      <c r="AF434" s="1" t="str">
        <f>VLOOKUP(AE434,t_objeto!B:C,2,FALSE)</f>
        <v>RAW_MATERIAL</v>
      </c>
      <c r="AG434" s="1">
        <v>8</v>
      </c>
      <c r="AH434" s="1" t="str">
        <f>VLOOKUP(AG434,t_entry_status!A:AE,2,FALSE)</f>
        <v>PENDING</v>
      </c>
      <c r="AI434" s="7">
        <v>45560</v>
      </c>
      <c r="AJ434" s="1" t="s">
        <v>7449</v>
      </c>
      <c r="AK434" s="7">
        <v>45560</v>
      </c>
      <c r="AL434" s="1" t="s">
        <v>7449</v>
      </c>
    </row>
    <row r="435" spans="1:38" s="20" customFormat="1" x14ac:dyDescent="0.25">
      <c r="A435" s="14">
        <v>434</v>
      </c>
      <c r="B435" s="14" t="str">
        <f>_xlfn.CONCAT(AE435,"-",VLOOKUP(AE435,t_objeto!B:D,3,FALSE),"-",A435)</f>
        <v>RRMM-PERCCO-434</v>
      </c>
      <c r="C435" s="22" t="str">
        <f t="shared" si="69"/>
        <v>LAMINA_LISA__ACERO_ROLADA EN FRIO_4'X8'_28</v>
      </c>
      <c r="D435" s="14" t="s">
        <v>7407</v>
      </c>
      <c r="E435" s="14" t="s">
        <v>7380</v>
      </c>
      <c r="F435" s="21" t="s">
        <v>7400</v>
      </c>
      <c r="G435" s="22" t="s">
        <v>7382</v>
      </c>
      <c r="H435" s="14">
        <v>28</v>
      </c>
      <c r="I435" s="16">
        <v>0.38</v>
      </c>
      <c r="J435" s="16">
        <f t="shared" si="70"/>
        <v>1.4960629921259844E-2</v>
      </c>
      <c r="K435" s="16">
        <v>2.9830000000000001</v>
      </c>
      <c r="L435" s="23"/>
      <c r="M435" s="23"/>
      <c r="N435" s="23"/>
      <c r="O435" s="23"/>
      <c r="P435" s="23"/>
      <c r="Q435" s="19"/>
      <c r="R435" s="17">
        <v>4</v>
      </c>
      <c r="S435" s="17">
        <v>8</v>
      </c>
      <c r="T435" s="16">
        <f t="shared" si="61"/>
        <v>2438.3999999999996</v>
      </c>
      <c r="U435" s="16">
        <f t="shared" si="62"/>
        <v>1219.1999999999998</v>
      </c>
      <c r="V435" s="18">
        <f t="shared" si="63"/>
        <v>2972897.2799999993</v>
      </c>
      <c r="W435" s="18">
        <f t="shared" si="64"/>
        <v>2.9728972799999993</v>
      </c>
      <c r="X435" s="18">
        <f t="shared" si="65"/>
        <v>8.868152586239999</v>
      </c>
      <c r="Y435" s="24">
        <v>35</v>
      </c>
      <c r="Z435" s="24">
        <f t="shared" si="66"/>
        <v>310.38534051839997</v>
      </c>
      <c r="AA435" s="16">
        <v>44</v>
      </c>
      <c r="AB435" s="16">
        <f t="shared" si="71"/>
        <v>2350.3999999999996</v>
      </c>
      <c r="AC435" s="16">
        <f t="shared" si="71"/>
        <v>1131.1999999999998</v>
      </c>
      <c r="AD435" s="19">
        <f t="shared" si="68"/>
        <v>2658772.4799999991</v>
      </c>
      <c r="AE435" s="1" t="s">
        <v>7456</v>
      </c>
      <c r="AF435" s="1" t="str">
        <f>VLOOKUP(AE435,t_objeto!B:C,2,FALSE)</f>
        <v>RAW_MATERIAL</v>
      </c>
      <c r="AG435" s="1">
        <v>8</v>
      </c>
      <c r="AH435" s="1" t="str">
        <f>VLOOKUP(AG435,t_entry_status!A:AE,2,FALSE)</f>
        <v>PENDING</v>
      </c>
      <c r="AI435" s="7">
        <v>45560</v>
      </c>
      <c r="AJ435" s="1" t="s">
        <v>7449</v>
      </c>
      <c r="AK435" s="7">
        <v>45560</v>
      </c>
      <c r="AL435" s="1" t="s">
        <v>7449</v>
      </c>
    </row>
    <row r="436" spans="1:38" s="20" customFormat="1" x14ac:dyDescent="0.25">
      <c r="A436" s="14">
        <v>435</v>
      </c>
      <c r="B436" s="14" t="str">
        <f>_xlfn.CONCAT(AE436,"-",VLOOKUP(AE436,t_objeto!B:D,3,FALSE),"-",A436)</f>
        <v>RRMM-PERCCO-435</v>
      </c>
      <c r="C436" s="22" t="str">
        <f t="shared" si="69"/>
        <v>LAMINA_LISA__ACERO_ROLADA EN FRIO_4'X8'_29</v>
      </c>
      <c r="D436" s="14" t="s">
        <v>7407</v>
      </c>
      <c r="E436" s="14" t="s">
        <v>7380</v>
      </c>
      <c r="F436" s="21" t="s">
        <v>7400</v>
      </c>
      <c r="G436" s="22" t="s">
        <v>7382</v>
      </c>
      <c r="H436" s="14">
        <v>29</v>
      </c>
      <c r="I436" s="16">
        <v>0.34</v>
      </c>
      <c r="J436" s="16">
        <f t="shared" si="70"/>
        <v>1.3385826771653545E-2</v>
      </c>
      <c r="K436" s="16">
        <v>2.669</v>
      </c>
      <c r="L436" s="23"/>
      <c r="M436" s="23"/>
      <c r="N436" s="23"/>
      <c r="O436" s="23"/>
      <c r="P436" s="23"/>
      <c r="Q436" s="19"/>
      <c r="R436" s="17">
        <v>4</v>
      </c>
      <c r="S436" s="17">
        <v>8</v>
      </c>
      <c r="T436" s="16">
        <f t="shared" si="61"/>
        <v>2438.3999999999996</v>
      </c>
      <c r="U436" s="16">
        <f t="shared" si="62"/>
        <v>1219.1999999999998</v>
      </c>
      <c r="V436" s="18">
        <f t="shared" si="63"/>
        <v>2972897.2799999993</v>
      </c>
      <c r="W436" s="18">
        <f t="shared" si="64"/>
        <v>2.9728972799999993</v>
      </c>
      <c r="X436" s="18">
        <f t="shared" si="65"/>
        <v>7.9346628403199979</v>
      </c>
      <c r="Y436" s="24">
        <v>35</v>
      </c>
      <c r="Z436" s="24">
        <f t="shared" si="66"/>
        <v>277.71319941119992</v>
      </c>
      <c r="AA436" s="16">
        <v>45</v>
      </c>
      <c r="AB436" s="16">
        <f t="shared" si="71"/>
        <v>2348.3999999999996</v>
      </c>
      <c r="AC436" s="16">
        <f t="shared" si="71"/>
        <v>1129.1999999999998</v>
      </c>
      <c r="AD436" s="19">
        <f t="shared" si="68"/>
        <v>2651813.2799999993</v>
      </c>
      <c r="AE436" s="1" t="s">
        <v>7456</v>
      </c>
      <c r="AF436" s="1" t="str">
        <f>VLOOKUP(AE436,t_objeto!B:C,2,FALSE)</f>
        <v>RAW_MATERIAL</v>
      </c>
      <c r="AG436" s="1">
        <v>8</v>
      </c>
      <c r="AH436" s="1" t="str">
        <f>VLOOKUP(AG436,t_entry_status!A:AE,2,FALSE)</f>
        <v>PENDING</v>
      </c>
      <c r="AI436" s="7">
        <v>45560</v>
      </c>
      <c r="AJ436" s="1" t="s">
        <v>7449</v>
      </c>
      <c r="AK436" s="7">
        <v>45560</v>
      </c>
      <c r="AL436" s="1" t="s">
        <v>7449</v>
      </c>
    </row>
    <row r="437" spans="1:38" s="20" customFormat="1" x14ac:dyDescent="0.25">
      <c r="A437" s="14">
        <v>436</v>
      </c>
      <c r="B437" s="14" t="str">
        <f>_xlfn.CONCAT(AE437,"-",VLOOKUP(AE437,t_objeto!B:D,3,FALSE),"-",A437)</f>
        <v>RRMM-PERCCO-436</v>
      </c>
      <c r="C437" s="22" t="str">
        <f t="shared" si="69"/>
        <v>LAMINA_LISA__ACERO_ROLADA EN FRIO_4'X8'_30</v>
      </c>
      <c r="D437" s="14" t="s">
        <v>7407</v>
      </c>
      <c r="E437" s="14" t="s">
        <v>7380</v>
      </c>
      <c r="F437" s="21" t="s">
        <v>7400</v>
      </c>
      <c r="G437" s="22" t="s">
        <v>7382</v>
      </c>
      <c r="H437" s="14">
        <v>30</v>
      </c>
      <c r="I437" s="16">
        <v>0.3</v>
      </c>
      <c r="J437" s="16">
        <f t="shared" si="70"/>
        <v>1.1811023622047244E-2</v>
      </c>
      <c r="K437" s="16">
        <v>2.355</v>
      </c>
      <c r="L437" s="23"/>
      <c r="M437" s="23"/>
      <c r="N437" s="23"/>
      <c r="O437" s="23"/>
      <c r="P437" s="23"/>
      <c r="Q437" s="19"/>
      <c r="R437" s="17">
        <v>4</v>
      </c>
      <c r="S437" s="17">
        <v>8</v>
      </c>
      <c r="T437" s="16">
        <f t="shared" si="61"/>
        <v>2438.3999999999996</v>
      </c>
      <c r="U437" s="16">
        <f t="shared" si="62"/>
        <v>1219.1999999999998</v>
      </c>
      <c r="V437" s="18">
        <f t="shared" si="63"/>
        <v>2972897.2799999993</v>
      </c>
      <c r="W437" s="18">
        <f t="shared" si="64"/>
        <v>2.9728972799999993</v>
      </c>
      <c r="X437" s="18">
        <f t="shared" si="65"/>
        <v>7.0011730943999986</v>
      </c>
      <c r="Y437" s="24">
        <v>35</v>
      </c>
      <c r="Z437" s="24">
        <f t="shared" si="66"/>
        <v>245.04105830399996</v>
      </c>
      <c r="AA437" s="16">
        <v>46</v>
      </c>
      <c r="AB437" s="16">
        <f t="shared" si="71"/>
        <v>2346.3999999999996</v>
      </c>
      <c r="AC437" s="16">
        <f t="shared" si="71"/>
        <v>1127.1999999999998</v>
      </c>
      <c r="AD437" s="19">
        <f t="shared" si="68"/>
        <v>2644862.0799999991</v>
      </c>
      <c r="AE437" s="1" t="s">
        <v>7456</v>
      </c>
      <c r="AF437" s="1" t="str">
        <f>VLOOKUP(AE437,t_objeto!B:C,2,FALSE)</f>
        <v>RAW_MATERIAL</v>
      </c>
      <c r="AG437" s="1">
        <v>8</v>
      </c>
      <c r="AH437" s="1" t="str">
        <f>VLOOKUP(AG437,t_entry_status!A:AE,2,FALSE)</f>
        <v>PENDING</v>
      </c>
      <c r="AI437" s="7">
        <v>45560</v>
      </c>
      <c r="AJ437" s="1" t="s">
        <v>7449</v>
      </c>
      <c r="AK437" s="7">
        <v>45560</v>
      </c>
      <c r="AL437" s="1" t="s">
        <v>7449</v>
      </c>
    </row>
    <row r="438" spans="1:38" s="20" customFormat="1" x14ac:dyDescent="0.25">
      <c r="A438" s="14">
        <v>437</v>
      </c>
      <c r="B438" s="14" t="str">
        <f>_xlfn.CONCAT(AE438,"-",VLOOKUP(AE438,t_objeto!B:D,3,FALSE),"-",A438)</f>
        <v>RRMM-PERCCO-437</v>
      </c>
      <c r="C438" s="22" t="str">
        <f t="shared" si="69"/>
        <v>LAMINA_LISA__INOX_304/316 L_4'X8'_10</v>
      </c>
      <c r="D438" s="14" t="s">
        <v>7407</v>
      </c>
      <c r="E438" s="14" t="s">
        <v>7403</v>
      </c>
      <c r="F438" s="21" t="s">
        <v>7404</v>
      </c>
      <c r="G438" s="22" t="s">
        <v>7382</v>
      </c>
      <c r="H438" s="14">
        <v>10</v>
      </c>
      <c r="I438" s="16">
        <v>3.42</v>
      </c>
      <c r="J438" s="16">
        <f t="shared" si="70"/>
        <v>0.13464566929133859</v>
      </c>
      <c r="K438" s="16">
        <v>27.783000000000001</v>
      </c>
      <c r="L438" s="23"/>
      <c r="M438" s="23"/>
      <c r="N438" s="23"/>
      <c r="O438" s="23"/>
      <c r="P438" s="23"/>
      <c r="Q438" s="19"/>
      <c r="R438" s="17">
        <v>4</v>
      </c>
      <c r="S438" s="17">
        <v>8</v>
      </c>
      <c r="T438" s="16">
        <f t="shared" si="61"/>
        <v>2438.3999999999996</v>
      </c>
      <c r="U438" s="16">
        <f t="shared" si="62"/>
        <v>1219.1999999999998</v>
      </c>
      <c r="V438" s="18">
        <f t="shared" si="63"/>
        <v>2972897.2799999993</v>
      </c>
      <c r="W438" s="18">
        <f t="shared" si="64"/>
        <v>2.9728972799999993</v>
      </c>
      <c r="X438" s="18">
        <f t="shared" si="65"/>
        <v>82.596005130239988</v>
      </c>
      <c r="Y438" s="24">
        <v>35</v>
      </c>
      <c r="Z438" s="24">
        <f t="shared" si="66"/>
        <v>2890.8601795583995</v>
      </c>
      <c r="AA438" s="16">
        <v>67</v>
      </c>
      <c r="AB438" s="16">
        <f t="shared" si="71"/>
        <v>2304.3999999999996</v>
      </c>
      <c r="AC438" s="16">
        <f t="shared" si="71"/>
        <v>1085.1999999999998</v>
      </c>
      <c r="AD438" s="19">
        <f t="shared" si="68"/>
        <v>2500734.879999999</v>
      </c>
      <c r="AE438" s="1" t="s">
        <v>7456</v>
      </c>
      <c r="AF438" s="1" t="str">
        <f>VLOOKUP(AE438,t_objeto!B:C,2,FALSE)</f>
        <v>RAW_MATERIAL</v>
      </c>
      <c r="AG438" s="1">
        <v>8</v>
      </c>
      <c r="AH438" s="1" t="str">
        <f>VLOOKUP(AG438,t_entry_status!A:AE,2,FALSE)</f>
        <v>PENDING</v>
      </c>
      <c r="AI438" s="7">
        <v>45560</v>
      </c>
      <c r="AJ438" s="1" t="s">
        <v>7449</v>
      </c>
      <c r="AK438" s="7">
        <v>45560</v>
      </c>
      <c r="AL438" s="1" t="s">
        <v>7449</v>
      </c>
    </row>
    <row r="439" spans="1:38" s="20" customFormat="1" x14ac:dyDescent="0.25">
      <c r="A439" s="14">
        <v>438</v>
      </c>
      <c r="B439" s="14" t="str">
        <f>_xlfn.CONCAT(AE439,"-",VLOOKUP(AE439,t_objeto!B:D,3,FALSE),"-",A439)</f>
        <v>RRMM-PERCCO-438</v>
      </c>
      <c r="C439" s="22" t="str">
        <f t="shared" si="69"/>
        <v>LAMINA_LISA__INOX_304/316 L_4'X8'_11</v>
      </c>
      <c r="D439" s="14" t="s">
        <v>7407</v>
      </c>
      <c r="E439" s="14" t="s">
        <v>7403</v>
      </c>
      <c r="F439" s="21" t="s">
        <v>7404</v>
      </c>
      <c r="G439" s="22" t="s">
        <v>7382</v>
      </c>
      <c r="H439" s="14">
        <v>11</v>
      </c>
      <c r="I439" s="16">
        <v>3.04</v>
      </c>
      <c r="J439" s="16">
        <f t="shared" si="70"/>
        <v>0.11968503937007875</v>
      </c>
      <c r="K439" s="16">
        <v>24.704999999999998</v>
      </c>
      <c r="L439" s="23"/>
      <c r="M439" s="23"/>
      <c r="N439" s="23"/>
      <c r="O439" s="23"/>
      <c r="P439" s="23"/>
      <c r="Q439" s="19"/>
      <c r="R439" s="17">
        <v>4</v>
      </c>
      <c r="S439" s="17">
        <v>8</v>
      </c>
      <c r="T439" s="16">
        <f t="shared" si="61"/>
        <v>2438.3999999999996</v>
      </c>
      <c r="U439" s="16">
        <f t="shared" si="62"/>
        <v>1219.1999999999998</v>
      </c>
      <c r="V439" s="18">
        <f t="shared" si="63"/>
        <v>2972897.2799999993</v>
      </c>
      <c r="W439" s="18">
        <f t="shared" si="64"/>
        <v>2.9728972799999993</v>
      </c>
      <c r="X439" s="18">
        <f t="shared" si="65"/>
        <v>73.445427302399978</v>
      </c>
      <c r="Y439" s="24">
        <v>35</v>
      </c>
      <c r="Z439" s="24">
        <f t="shared" si="66"/>
        <v>2570.5899555839992</v>
      </c>
      <c r="AA439" s="16">
        <v>68</v>
      </c>
      <c r="AB439" s="16">
        <f t="shared" si="71"/>
        <v>2302.3999999999996</v>
      </c>
      <c r="AC439" s="16">
        <f t="shared" si="71"/>
        <v>1083.1999999999998</v>
      </c>
      <c r="AD439" s="19">
        <f t="shared" si="68"/>
        <v>2493959.6799999992</v>
      </c>
      <c r="AE439" s="1" t="s">
        <v>7456</v>
      </c>
      <c r="AF439" s="1" t="str">
        <f>VLOOKUP(AE439,t_objeto!B:C,2,FALSE)</f>
        <v>RAW_MATERIAL</v>
      </c>
      <c r="AG439" s="1">
        <v>8</v>
      </c>
      <c r="AH439" s="1" t="str">
        <f>VLOOKUP(AG439,t_entry_status!A:AE,2,FALSE)</f>
        <v>PENDING</v>
      </c>
      <c r="AI439" s="7">
        <v>45560</v>
      </c>
      <c r="AJ439" s="1" t="s">
        <v>7449</v>
      </c>
      <c r="AK439" s="7">
        <v>45560</v>
      </c>
      <c r="AL439" s="1" t="s">
        <v>7449</v>
      </c>
    </row>
    <row r="440" spans="1:38" s="20" customFormat="1" x14ac:dyDescent="0.25">
      <c r="A440" s="14">
        <v>439</v>
      </c>
      <c r="B440" s="14" t="str">
        <f>_xlfn.CONCAT(AE440,"-",VLOOKUP(AE440,t_objeto!B:D,3,FALSE),"-",A440)</f>
        <v>RRMM-PERCCO-439</v>
      </c>
      <c r="C440" s="22" t="str">
        <f t="shared" si="69"/>
        <v>LAMINA_LISA__INOX_304/316 L_4'X8'_12</v>
      </c>
      <c r="D440" s="14" t="s">
        <v>7407</v>
      </c>
      <c r="E440" s="14" t="s">
        <v>7403</v>
      </c>
      <c r="F440" s="21" t="s">
        <v>7404</v>
      </c>
      <c r="G440" s="22" t="s">
        <v>7382</v>
      </c>
      <c r="H440" s="14">
        <v>12</v>
      </c>
      <c r="I440" s="16">
        <v>2.66</v>
      </c>
      <c r="J440" s="16">
        <f t="shared" si="70"/>
        <v>0.1047244094488189</v>
      </c>
      <c r="K440" s="16">
        <v>21.626999999999999</v>
      </c>
      <c r="L440" s="23"/>
      <c r="M440" s="23"/>
      <c r="N440" s="23"/>
      <c r="O440" s="23"/>
      <c r="P440" s="23"/>
      <c r="Q440" s="19"/>
      <c r="R440" s="17">
        <v>4</v>
      </c>
      <c r="S440" s="17">
        <v>8</v>
      </c>
      <c r="T440" s="16">
        <f t="shared" si="61"/>
        <v>2438.3999999999996</v>
      </c>
      <c r="U440" s="16">
        <f t="shared" si="62"/>
        <v>1219.1999999999998</v>
      </c>
      <c r="V440" s="18">
        <f t="shared" si="63"/>
        <v>2972897.2799999993</v>
      </c>
      <c r="W440" s="18">
        <f t="shared" si="64"/>
        <v>2.9728972799999993</v>
      </c>
      <c r="X440" s="18">
        <f t="shared" si="65"/>
        <v>64.294849474559982</v>
      </c>
      <c r="Y440" s="24">
        <v>35</v>
      </c>
      <c r="Z440" s="24">
        <f t="shared" si="66"/>
        <v>2250.3197316095993</v>
      </c>
      <c r="AA440" s="16">
        <v>69</v>
      </c>
      <c r="AB440" s="16">
        <f t="shared" si="71"/>
        <v>2300.3999999999996</v>
      </c>
      <c r="AC440" s="16">
        <f t="shared" si="71"/>
        <v>1081.1999999999998</v>
      </c>
      <c r="AD440" s="19">
        <f t="shared" si="68"/>
        <v>2487192.4799999991</v>
      </c>
      <c r="AE440" s="1" t="s">
        <v>7456</v>
      </c>
      <c r="AF440" s="1" t="str">
        <f>VLOOKUP(AE440,t_objeto!B:C,2,FALSE)</f>
        <v>RAW_MATERIAL</v>
      </c>
      <c r="AG440" s="1">
        <v>8</v>
      </c>
      <c r="AH440" s="1" t="str">
        <f>VLOOKUP(AG440,t_entry_status!A:AE,2,FALSE)</f>
        <v>PENDING</v>
      </c>
      <c r="AI440" s="7">
        <v>45560</v>
      </c>
      <c r="AJ440" s="1" t="s">
        <v>7449</v>
      </c>
      <c r="AK440" s="7">
        <v>45560</v>
      </c>
      <c r="AL440" s="1" t="s">
        <v>7449</v>
      </c>
    </row>
    <row r="441" spans="1:38" s="20" customFormat="1" x14ac:dyDescent="0.25">
      <c r="A441" s="14">
        <v>440</v>
      </c>
      <c r="B441" s="14" t="str">
        <f>_xlfn.CONCAT(AE441,"-",VLOOKUP(AE441,t_objeto!B:D,3,FALSE),"-",A441)</f>
        <v>RRMM-PERCCO-440</v>
      </c>
      <c r="C441" s="22" t="str">
        <f t="shared" si="69"/>
        <v>LAMINA_LISA__INOX_304/316 L_4'X8'_13</v>
      </c>
      <c r="D441" s="14" t="s">
        <v>7407</v>
      </c>
      <c r="E441" s="14" t="s">
        <v>7403</v>
      </c>
      <c r="F441" s="21" t="s">
        <v>7404</v>
      </c>
      <c r="G441" s="22" t="s">
        <v>7382</v>
      </c>
      <c r="H441" s="14">
        <v>13</v>
      </c>
      <c r="I441" s="16">
        <v>2.2799999999999998</v>
      </c>
      <c r="J441" s="16">
        <f t="shared" si="70"/>
        <v>8.9763779527559054E-2</v>
      </c>
      <c r="K441" s="16">
        <v>18.225000000000001</v>
      </c>
      <c r="L441" s="23"/>
      <c r="M441" s="23"/>
      <c r="N441" s="23"/>
      <c r="O441" s="23"/>
      <c r="P441" s="23"/>
      <c r="Q441" s="19"/>
      <c r="R441" s="17">
        <v>4</v>
      </c>
      <c r="S441" s="17">
        <v>8</v>
      </c>
      <c r="T441" s="16">
        <f t="shared" si="61"/>
        <v>2438.3999999999996</v>
      </c>
      <c r="U441" s="16">
        <f t="shared" si="62"/>
        <v>1219.1999999999998</v>
      </c>
      <c r="V441" s="18">
        <f t="shared" si="63"/>
        <v>2972897.2799999993</v>
      </c>
      <c r="W441" s="18">
        <f t="shared" si="64"/>
        <v>2.9728972799999993</v>
      </c>
      <c r="X441" s="18">
        <f t="shared" si="65"/>
        <v>54.181052927999993</v>
      </c>
      <c r="Y441" s="24">
        <v>35</v>
      </c>
      <c r="Z441" s="24">
        <f t="shared" si="66"/>
        <v>1896.3368524799998</v>
      </c>
      <c r="AA441" s="16">
        <v>70</v>
      </c>
      <c r="AB441" s="16">
        <f t="shared" si="71"/>
        <v>2298.3999999999996</v>
      </c>
      <c r="AC441" s="16">
        <f t="shared" si="71"/>
        <v>1079.1999999999998</v>
      </c>
      <c r="AD441" s="19">
        <f t="shared" si="68"/>
        <v>2480433.2799999993</v>
      </c>
      <c r="AE441" s="1" t="s">
        <v>7456</v>
      </c>
      <c r="AF441" s="1" t="str">
        <f>VLOOKUP(AE441,t_objeto!B:C,2,FALSE)</f>
        <v>RAW_MATERIAL</v>
      </c>
      <c r="AG441" s="1">
        <v>8</v>
      </c>
      <c r="AH441" s="1" t="str">
        <f>VLOOKUP(AG441,t_entry_status!A:AE,2,FALSE)</f>
        <v>PENDING</v>
      </c>
      <c r="AI441" s="7">
        <v>45560</v>
      </c>
      <c r="AJ441" s="1" t="s">
        <v>7449</v>
      </c>
      <c r="AK441" s="7">
        <v>45560</v>
      </c>
      <c r="AL441" s="1" t="s">
        <v>7449</v>
      </c>
    </row>
    <row r="442" spans="1:38" s="20" customFormat="1" x14ac:dyDescent="0.25">
      <c r="A442" s="14">
        <v>441</v>
      </c>
      <c r="B442" s="14" t="str">
        <f>_xlfn.CONCAT(AE442,"-",VLOOKUP(AE442,t_objeto!B:D,3,FALSE),"-",A442)</f>
        <v>RRMM-PERCCO-441</v>
      </c>
      <c r="C442" s="22" t="str">
        <f t="shared" si="69"/>
        <v>LAMINA_LISA__INOX_304/316 L_4'X8'_14</v>
      </c>
      <c r="D442" s="14" t="s">
        <v>7407</v>
      </c>
      <c r="E442" s="14" t="s">
        <v>7403</v>
      </c>
      <c r="F442" s="21" t="s">
        <v>7404</v>
      </c>
      <c r="G442" s="22" t="s">
        <v>7382</v>
      </c>
      <c r="H442" s="14">
        <v>14</v>
      </c>
      <c r="I442" s="16">
        <v>1.9</v>
      </c>
      <c r="J442" s="16">
        <f t="shared" si="70"/>
        <v>7.4803149606299218E-2</v>
      </c>
      <c r="K442" s="16">
        <v>15.39</v>
      </c>
      <c r="L442" s="23"/>
      <c r="M442" s="23"/>
      <c r="N442" s="23"/>
      <c r="O442" s="23"/>
      <c r="P442" s="23"/>
      <c r="Q442" s="19"/>
      <c r="R442" s="17">
        <v>4</v>
      </c>
      <c r="S442" s="17">
        <v>8</v>
      </c>
      <c r="T442" s="16">
        <f t="shared" si="61"/>
        <v>2438.3999999999996</v>
      </c>
      <c r="U442" s="16">
        <f t="shared" si="62"/>
        <v>1219.1999999999998</v>
      </c>
      <c r="V442" s="18">
        <f t="shared" si="63"/>
        <v>2972897.2799999993</v>
      </c>
      <c r="W442" s="18">
        <f t="shared" si="64"/>
        <v>2.9728972799999993</v>
      </c>
      <c r="X442" s="18">
        <f t="shared" si="65"/>
        <v>45.752889139199993</v>
      </c>
      <c r="Y442" s="24">
        <v>35</v>
      </c>
      <c r="Z442" s="24">
        <f t="shared" si="66"/>
        <v>1601.3511198719998</v>
      </c>
      <c r="AA442" s="16">
        <v>71</v>
      </c>
      <c r="AB442" s="16">
        <f t="shared" ref="AB442:AC457" si="72">T442-($AA442*2)</f>
        <v>2296.3999999999996</v>
      </c>
      <c r="AC442" s="16">
        <f t="shared" si="72"/>
        <v>1077.1999999999998</v>
      </c>
      <c r="AD442" s="19">
        <f t="shared" si="68"/>
        <v>2473682.0799999991</v>
      </c>
      <c r="AE442" s="1" t="s">
        <v>7456</v>
      </c>
      <c r="AF442" s="1" t="str">
        <f>VLOOKUP(AE442,t_objeto!B:C,2,FALSE)</f>
        <v>RAW_MATERIAL</v>
      </c>
      <c r="AG442" s="1">
        <v>8</v>
      </c>
      <c r="AH442" s="1" t="str">
        <f>VLOOKUP(AG442,t_entry_status!A:AE,2,FALSE)</f>
        <v>PENDING</v>
      </c>
      <c r="AI442" s="7">
        <v>45560</v>
      </c>
      <c r="AJ442" s="1" t="s">
        <v>7449</v>
      </c>
      <c r="AK442" s="7">
        <v>45560</v>
      </c>
      <c r="AL442" s="1" t="s">
        <v>7449</v>
      </c>
    </row>
    <row r="443" spans="1:38" s="20" customFormat="1" x14ac:dyDescent="0.25">
      <c r="A443" s="14">
        <v>442</v>
      </c>
      <c r="B443" s="14" t="str">
        <f>_xlfn.CONCAT(AE443,"-",VLOOKUP(AE443,t_objeto!B:D,3,FALSE),"-",A443)</f>
        <v>RRMM-PERCCO-442</v>
      </c>
      <c r="C443" s="22" t="str">
        <f t="shared" si="69"/>
        <v>LAMINA_LISA__INOX_304/316 L_4'X8'_15</v>
      </c>
      <c r="D443" s="14" t="s">
        <v>7407</v>
      </c>
      <c r="E443" s="14" t="s">
        <v>7403</v>
      </c>
      <c r="F443" s="21" t="s">
        <v>7404</v>
      </c>
      <c r="G443" s="22" t="s">
        <v>7382</v>
      </c>
      <c r="H443" s="14">
        <v>15</v>
      </c>
      <c r="I443" s="16">
        <v>1.71</v>
      </c>
      <c r="J443" s="16">
        <f t="shared" si="70"/>
        <v>6.7322834645669294E-2</v>
      </c>
      <c r="K443" s="16">
        <v>13.669</v>
      </c>
      <c r="L443" s="23"/>
      <c r="M443" s="23"/>
      <c r="N443" s="23"/>
      <c r="O443" s="23"/>
      <c r="P443" s="23"/>
      <c r="Q443" s="19"/>
      <c r="R443" s="17">
        <v>4</v>
      </c>
      <c r="S443" s="17">
        <v>8</v>
      </c>
      <c r="T443" s="16">
        <f t="shared" si="61"/>
        <v>2438.3999999999996</v>
      </c>
      <c r="U443" s="16">
        <f t="shared" si="62"/>
        <v>1219.1999999999998</v>
      </c>
      <c r="V443" s="18">
        <f t="shared" si="63"/>
        <v>2972897.2799999993</v>
      </c>
      <c r="W443" s="18">
        <f t="shared" si="64"/>
        <v>2.9728972799999993</v>
      </c>
      <c r="X443" s="18">
        <f t="shared" si="65"/>
        <v>40.636532920319993</v>
      </c>
      <c r="Y443" s="24">
        <v>35</v>
      </c>
      <c r="Z443" s="24">
        <f t="shared" si="66"/>
        <v>1422.2786522111999</v>
      </c>
      <c r="AA443" s="16">
        <v>72</v>
      </c>
      <c r="AB443" s="16">
        <f t="shared" si="72"/>
        <v>2294.3999999999996</v>
      </c>
      <c r="AC443" s="16">
        <f t="shared" si="72"/>
        <v>1075.1999999999998</v>
      </c>
      <c r="AD443" s="19">
        <f t="shared" si="68"/>
        <v>2466938.8799999994</v>
      </c>
      <c r="AE443" s="1" t="s">
        <v>7456</v>
      </c>
      <c r="AF443" s="1" t="str">
        <f>VLOOKUP(AE443,t_objeto!B:C,2,FALSE)</f>
        <v>RAW_MATERIAL</v>
      </c>
      <c r="AG443" s="1">
        <v>8</v>
      </c>
      <c r="AH443" s="1" t="str">
        <f>VLOOKUP(AG443,t_entry_status!A:AE,2,FALSE)</f>
        <v>PENDING</v>
      </c>
      <c r="AI443" s="7">
        <v>45560</v>
      </c>
      <c r="AJ443" s="1" t="s">
        <v>7449</v>
      </c>
      <c r="AK443" s="7">
        <v>45560</v>
      </c>
      <c r="AL443" s="1" t="s">
        <v>7449</v>
      </c>
    </row>
    <row r="444" spans="1:38" s="20" customFormat="1" x14ac:dyDescent="0.25">
      <c r="A444" s="14">
        <v>443</v>
      </c>
      <c r="B444" s="14" t="str">
        <f>_xlfn.CONCAT(AE444,"-",VLOOKUP(AE444,t_objeto!B:D,3,FALSE),"-",A444)</f>
        <v>RRMM-PERCCO-443</v>
      </c>
      <c r="C444" s="22" t="str">
        <f t="shared" si="69"/>
        <v>LAMINA_LISA__INOX_304/316 L_4'X8'_16</v>
      </c>
      <c r="D444" s="14" t="s">
        <v>7407</v>
      </c>
      <c r="E444" s="14" t="s">
        <v>7403</v>
      </c>
      <c r="F444" s="21" t="s">
        <v>7404</v>
      </c>
      <c r="G444" s="22" t="s">
        <v>7382</v>
      </c>
      <c r="H444" s="14">
        <v>16</v>
      </c>
      <c r="I444" s="16">
        <v>1.52</v>
      </c>
      <c r="J444" s="16">
        <f t="shared" si="70"/>
        <v>5.9842519685039376E-2</v>
      </c>
      <c r="K444" s="16">
        <v>12.311999999999999</v>
      </c>
      <c r="L444" s="23"/>
      <c r="M444" s="23"/>
      <c r="N444" s="23"/>
      <c r="O444" s="23"/>
      <c r="P444" s="23"/>
      <c r="Q444" s="19"/>
      <c r="R444" s="17">
        <v>4</v>
      </c>
      <c r="S444" s="17">
        <v>8</v>
      </c>
      <c r="T444" s="16">
        <f t="shared" si="61"/>
        <v>2438.3999999999996</v>
      </c>
      <c r="U444" s="16">
        <f t="shared" si="62"/>
        <v>1219.1999999999998</v>
      </c>
      <c r="V444" s="18">
        <f t="shared" si="63"/>
        <v>2972897.2799999993</v>
      </c>
      <c r="W444" s="18">
        <f t="shared" si="64"/>
        <v>2.9728972799999993</v>
      </c>
      <c r="X444" s="18">
        <f t="shared" si="65"/>
        <v>36.60231131135999</v>
      </c>
      <c r="Y444" s="24">
        <v>35</v>
      </c>
      <c r="Z444" s="24">
        <f t="shared" si="66"/>
        <v>1281.0808958975997</v>
      </c>
      <c r="AA444" s="16">
        <v>73</v>
      </c>
      <c r="AB444" s="16">
        <f t="shared" si="72"/>
        <v>2292.3999999999996</v>
      </c>
      <c r="AC444" s="16">
        <f t="shared" si="72"/>
        <v>1073.1999999999998</v>
      </c>
      <c r="AD444" s="19">
        <f t="shared" si="68"/>
        <v>2460203.6799999992</v>
      </c>
      <c r="AE444" s="1" t="s">
        <v>7456</v>
      </c>
      <c r="AF444" s="1" t="str">
        <f>VLOOKUP(AE444,t_objeto!B:C,2,FALSE)</f>
        <v>RAW_MATERIAL</v>
      </c>
      <c r="AG444" s="1">
        <v>8</v>
      </c>
      <c r="AH444" s="1" t="str">
        <f>VLOOKUP(AG444,t_entry_status!A:AE,2,FALSE)</f>
        <v>PENDING</v>
      </c>
      <c r="AI444" s="7">
        <v>45560</v>
      </c>
      <c r="AJ444" s="1" t="s">
        <v>7449</v>
      </c>
      <c r="AK444" s="7">
        <v>45560</v>
      </c>
      <c r="AL444" s="1" t="s">
        <v>7449</v>
      </c>
    </row>
    <row r="445" spans="1:38" s="20" customFormat="1" x14ac:dyDescent="0.25">
      <c r="A445" s="14">
        <v>444</v>
      </c>
      <c r="B445" s="14" t="str">
        <f>_xlfn.CONCAT(AE445,"-",VLOOKUP(AE445,t_objeto!B:D,3,FALSE),"-",A445)</f>
        <v>RRMM-PERCCO-444</v>
      </c>
      <c r="C445" s="22" t="str">
        <f t="shared" si="69"/>
        <v>LAMINA_LISA__INOX_304/316 L_4'X8'_17</v>
      </c>
      <c r="D445" s="14" t="s">
        <v>7407</v>
      </c>
      <c r="E445" s="14" t="s">
        <v>7403</v>
      </c>
      <c r="F445" s="21" t="s">
        <v>7404</v>
      </c>
      <c r="G445" s="22" t="s">
        <v>7382</v>
      </c>
      <c r="H445" s="14">
        <v>17</v>
      </c>
      <c r="I445" s="16">
        <v>1.37</v>
      </c>
      <c r="J445" s="16">
        <f t="shared" si="70"/>
        <v>5.3937007874015758E-2</v>
      </c>
      <c r="K445" s="16">
        <v>10.951000000000001</v>
      </c>
      <c r="L445" s="23"/>
      <c r="M445" s="23"/>
      <c r="N445" s="23"/>
      <c r="O445" s="23"/>
      <c r="P445" s="23"/>
      <c r="Q445" s="19"/>
      <c r="R445" s="17">
        <v>4</v>
      </c>
      <c r="S445" s="17">
        <v>8</v>
      </c>
      <c r="T445" s="16">
        <f t="shared" si="61"/>
        <v>2438.3999999999996</v>
      </c>
      <c r="U445" s="16">
        <f t="shared" si="62"/>
        <v>1219.1999999999998</v>
      </c>
      <c r="V445" s="18">
        <f t="shared" si="63"/>
        <v>2972897.2799999993</v>
      </c>
      <c r="W445" s="18">
        <f t="shared" si="64"/>
        <v>2.9728972799999993</v>
      </c>
      <c r="X445" s="18">
        <f t="shared" si="65"/>
        <v>32.556198113279997</v>
      </c>
      <c r="Y445" s="24">
        <v>35</v>
      </c>
      <c r="Z445" s="24">
        <f t="shared" si="66"/>
        <v>1139.4669339647999</v>
      </c>
      <c r="AA445" s="16">
        <v>74</v>
      </c>
      <c r="AB445" s="16">
        <f t="shared" si="72"/>
        <v>2290.3999999999996</v>
      </c>
      <c r="AC445" s="16">
        <f t="shared" si="72"/>
        <v>1071.1999999999998</v>
      </c>
      <c r="AD445" s="19">
        <f t="shared" si="68"/>
        <v>2453476.4799999991</v>
      </c>
      <c r="AE445" s="1" t="s">
        <v>7456</v>
      </c>
      <c r="AF445" s="1" t="str">
        <f>VLOOKUP(AE445,t_objeto!B:C,2,FALSE)</f>
        <v>RAW_MATERIAL</v>
      </c>
      <c r="AG445" s="1">
        <v>8</v>
      </c>
      <c r="AH445" s="1" t="str">
        <f>VLOOKUP(AG445,t_entry_status!A:AE,2,FALSE)</f>
        <v>PENDING</v>
      </c>
      <c r="AI445" s="7">
        <v>45560</v>
      </c>
      <c r="AJ445" s="1" t="s">
        <v>7449</v>
      </c>
      <c r="AK445" s="7">
        <v>45560</v>
      </c>
      <c r="AL445" s="1" t="s">
        <v>7449</v>
      </c>
    </row>
    <row r="446" spans="1:38" s="20" customFormat="1" x14ac:dyDescent="0.25">
      <c r="A446" s="14">
        <v>445</v>
      </c>
      <c r="B446" s="14" t="str">
        <f>_xlfn.CONCAT(AE446,"-",VLOOKUP(AE446,t_objeto!B:D,3,FALSE),"-",A446)</f>
        <v>RRMM-PERCCO-445</v>
      </c>
      <c r="C446" s="22" t="str">
        <f t="shared" si="69"/>
        <v>LAMINA_LISA__INOX_304/316 L_4'X8'_18</v>
      </c>
      <c r="D446" s="14" t="s">
        <v>7407</v>
      </c>
      <c r="E446" s="14" t="s">
        <v>7403</v>
      </c>
      <c r="F446" s="21" t="s">
        <v>7404</v>
      </c>
      <c r="G446" s="22" t="s">
        <v>7382</v>
      </c>
      <c r="H446" s="14">
        <v>18</v>
      </c>
      <c r="I446" s="16">
        <v>1.21</v>
      </c>
      <c r="J446" s="16">
        <f t="shared" si="70"/>
        <v>4.7637795275590554E-2</v>
      </c>
      <c r="K446" s="16">
        <v>9.8819999999999997</v>
      </c>
      <c r="L446" s="23"/>
      <c r="M446" s="23"/>
      <c r="N446" s="23"/>
      <c r="O446" s="23"/>
      <c r="P446" s="23"/>
      <c r="Q446" s="19"/>
      <c r="R446" s="17">
        <v>4</v>
      </c>
      <c r="S446" s="17">
        <v>8</v>
      </c>
      <c r="T446" s="16">
        <f t="shared" si="61"/>
        <v>2438.3999999999996</v>
      </c>
      <c r="U446" s="16">
        <f t="shared" si="62"/>
        <v>1219.1999999999998</v>
      </c>
      <c r="V446" s="18">
        <f t="shared" si="63"/>
        <v>2972897.2799999993</v>
      </c>
      <c r="W446" s="18">
        <f t="shared" si="64"/>
        <v>2.9728972799999993</v>
      </c>
      <c r="X446" s="18">
        <f t="shared" si="65"/>
        <v>29.378170920959992</v>
      </c>
      <c r="Y446" s="24">
        <v>35</v>
      </c>
      <c r="Z446" s="24">
        <f t="shared" si="66"/>
        <v>1028.2359822335998</v>
      </c>
      <c r="AA446" s="16">
        <v>75</v>
      </c>
      <c r="AB446" s="16">
        <f t="shared" si="72"/>
        <v>2288.3999999999996</v>
      </c>
      <c r="AC446" s="16">
        <f t="shared" si="72"/>
        <v>1069.1999999999998</v>
      </c>
      <c r="AD446" s="19">
        <f t="shared" si="68"/>
        <v>2446757.2799999993</v>
      </c>
      <c r="AE446" s="1" t="s">
        <v>7456</v>
      </c>
      <c r="AF446" s="1" t="str">
        <f>VLOOKUP(AE446,t_objeto!B:C,2,FALSE)</f>
        <v>RAW_MATERIAL</v>
      </c>
      <c r="AG446" s="1">
        <v>8</v>
      </c>
      <c r="AH446" s="1" t="str">
        <f>VLOOKUP(AG446,t_entry_status!A:AE,2,FALSE)</f>
        <v>PENDING</v>
      </c>
      <c r="AI446" s="7">
        <v>45560</v>
      </c>
      <c r="AJ446" s="1" t="s">
        <v>7449</v>
      </c>
      <c r="AK446" s="7">
        <v>45560</v>
      </c>
      <c r="AL446" s="1" t="s">
        <v>7449</v>
      </c>
    </row>
    <row r="447" spans="1:38" s="20" customFormat="1" x14ac:dyDescent="0.25">
      <c r="A447" s="14">
        <v>446</v>
      </c>
      <c r="B447" s="14" t="str">
        <f>_xlfn.CONCAT(AE447,"-",VLOOKUP(AE447,t_objeto!B:D,3,FALSE),"-",A447)</f>
        <v>RRMM-PERCCO-446</v>
      </c>
      <c r="C447" s="22" t="str">
        <f t="shared" si="69"/>
        <v>LAMINA_LISA__INOX_304/316 L_4'X8'_19</v>
      </c>
      <c r="D447" s="14" t="s">
        <v>7407</v>
      </c>
      <c r="E447" s="14" t="s">
        <v>7403</v>
      </c>
      <c r="F447" s="21" t="s">
        <v>7404</v>
      </c>
      <c r="G447" s="22" t="s">
        <v>7382</v>
      </c>
      <c r="H447" s="14">
        <v>19</v>
      </c>
      <c r="I447" s="16">
        <v>1.06</v>
      </c>
      <c r="J447" s="16">
        <f t="shared" si="70"/>
        <v>4.1732283464566935E-2</v>
      </c>
      <c r="K447" s="16">
        <v>8.4730000000000008</v>
      </c>
      <c r="L447" s="23"/>
      <c r="M447" s="23"/>
      <c r="N447" s="23"/>
      <c r="O447" s="23"/>
      <c r="P447" s="23"/>
      <c r="Q447" s="19"/>
      <c r="R447" s="17">
        <v>4</v>
      </c>
      <c r="S447" s="17">
        <v>8</v>
      </c>
      <c r="T447" s="16">
        <f t="shared" si="61"/>
        <v>2438.3999999999996</v>
      </c>
      <c r="U447" s="16">
        <f t="shared" si="62"/>
        <v>1219.1999999999998</v>
      </c>
      <c r="V447" s="18">
        <f t="shared" si="63"/>
        <v>2972897.2799999993</v>
      </c>
      <c r="W447" s="18">
        <f t="shared" si="64"/>
        <v>2.9728972799999993</v>
      </c>
      <c r="X447" s="18">
        <f t="shared" si="65"/>
        <v>25.189358653439996</v>
      </c>
      <c r="Y447" s="24">
        <v>35</v>
      </c>
      <c r="Z447" s="24">
        <f t="shared" si="66"/>
        <v>881.62755287039988</v>
      </c>
      <c r="AA447" s="16">
        <v>76</v>
      </c>
      <c r="AB447" s="16">
        <f t="shared" si="72"/>
        <v>2286.3999999999996</v>
      </c>
      <c r="AC447" s="16">
        <f t="shared" si="72"/>
        <v>1067.1999999999998</v>
      </c>
      <c r="AD447" s="19">
        <f t="shared" si="68"/>
        <v>2440046.0799999991</v>
      </c>
      <c r="AE447" s="1" t="s">
        <v>7456</v>
      </c>
      <c r="AF447" s="1" t="str">
        <f>VLOOKUP(AE447,t_objeto!B:C,2,FALSE)</f>
        <v>RAW_MATERIAL</v>
      </c>
      <c r="AG447" s="1">
        <v>8</v>
      </c>
      <c r="AH447" s="1" t="str">
        <f>VLOOKUP(AG447,t_entry_status!A:AE,2,FALSE)</f>
        <v>PENDING</v>
      </c>
      <c r="AI447" s="7">
        <v>45560</v>
      </c>
      <c r="AJ447" s="1" t="s">
        <v>7449</v>
      </c>
      <c r="AK447" s="7">
        <v>45560</v>
      </c>
      <c r="AL447" s="1" t="s">
        <v>7449</v>
      </c>
    </row>
    <row r="448" spans="1:38" s="20" customFormat="1" x14ac:dyDescent="0.25">
      <c r="A448" s="14">
        <v>447</v>
      </c>
      <c r="B448" s="14" t="str">
        <f>_xlfn.CONCAT(AE448,"-",VLOOKUP(AE448,t_objeto!B:D,3,FALSE),"-",A448)</f>
        <v>RRMM-PERCCO-447</v>
      </c>
      <c r="C448" s="22" t="str">
        <f t="shared" si="69"/>
        <v>LAMINA_LISA__INOX_304/316 L_4'X8'_20</v>
      </c>
      <c r="D448" s="14" t="s">
        <v>7407</v>
      </c>
      <c r="E448" s="14" t="s">
        <v>7403</v>
      </c>
      <c r="F448" s="21" t="s">
        <v>7404</v>
      </c>
      <c r="G448" s="22" t="s">
        <v>7382</v>
      </c>
      <c r="H448" s="14">
        <v>20</v>
      </c>
      <c r="I448" s="16">
        <v>0.91</v>
      </c>
      <c r="J448" s="16">
        <f t="shared" si="70"/>
        <v>3.582677165354331E-2</v>
      </c>
      <c r="K448" s="16">
        <v>7.2249999999999996</v>
      </c>
      <c r="L448" s="23"/>
      <c r="M448" s="23"/>
      <c r="N448" s="23"/>
      <c r="O448" s="23"/>
      <c r="P448" s="23"/>
      <c r="Q448" s="19"/>
      <c r="R448" s="17">
        <v>4</v>
      </c>
      <c r="S448" s="17">
        <v>8</v>
      </c>
      <c r="T448" s="16">
        <f t="shared" si="61"/>
        <v>2438.3999999999996</v>
      </c>
      <c r="U448" s="16">
        <f t="shared" si="62"/>
        <v>1219.1999999999998</v>
      </c>
      <c r="V448" s="18">
        <f t="shared" si="63"/>
        <v>2972897.2799999993</v>
      </c>
      <c r="W448" s="18">
        <f t="shared" si="64"/>
        <v>2.9728972799999993</v>
      </c>
      <c r="X448" s="18">
        <f t="shared" si="65"/>
        <v>21.479182847999994</v>
      </c>
      <c r="Y448" s="24">
        <v>35</v>
      </c>
      <c r="Z448" s="24">
        <f t="shared" si="66"/>
        <v>751.77139967999983</v>
      </c>
      <c r="AA448" s="16">
        <v>77</v>
      </c>
      <c r="AB448" s="16">
        <f t="shared" si="72"/>
        <v>2284.3999999999996</v>
      </c>
      <c r="AC448" s="16">
        <f t="shared" si="72"/>
        <v>1065.1999999999998</v>
      </c>
      <c r="AD448" s="19">
        <f t="shared" si="68"/>
        <v>2433342.8799999994</v>
      </c>
      <c r="AE448" s="1" t="s">
        <v>7456</v>
      </c>
      <c r="AF448" s="1" t="str">
        <f>VLOOKUP(AE448,t_objeto!B:C,2,FALSE)</f>
        <v>RAW_MATERIAL</v>
      </c>
      <c r="AG448" s="1">
        <v>8</v>
      </c>
      <c r="AH448" s="1" t="str">
        <f>VLOOKUP(AG448,t_entry_status!A:AE,2,FALSE)</f>
        <v>PENDING</v>
      </c>
      <c r="AI448" s="7">
        <v>45560</v>
      </c>
      <c r="AJ448" s="1" t="s">
        <v>7449</v>
      </c>
      <c r="AK448" s="7">
        <v>45560</v>
      </c>
      <c r="AL448" s="1" t="s">
        <v>7449</v>
      </c>
    </row>
    <row r="449" spans="1:38" s="20" customFormat="1" x14ac:dyDescent="0.25">
      <c r="A449" s="14">
        <v>448</v>
      </c>
      <c r="B449" s="14" t="str">
        <f>_xlfn.CONCAT(AE449,"-",VLOOKUP(AE449,t_objeto!B:D,3,FALSE),"-",A449)</f>
        <v>RRMM-PERCCO-448</v>
      </c>
      <c r="C449" s="22" t="str">
        <f t="shared" si="69"/>
        <v>LAMINA_LISA__INOX_304/316 L_4'X8'_21</v>
      </c>
      <c r="D449" s="14" t="s">
        <v>7407</v>
      </c>
      <c r="E449" s="14" t="s">
        <v>7403</v>
      </c>
      <c r="F449" s="21" t="s">
        <v>7404</v>
      </c>
      <c r="G449" s="22" t="s">
        <v>7382</v>
      </c>
      <c r="H449" s="14">
        <v>21</v>
      </c>
      <c r="I449" s="16">
        <v>0.84</v>
      </c>
      <c r="J449" s="16">
        <f t="shared" si="70"/>
        <v>3.3070866141732283E-2</v>
      </c>
      <c r="K449" s="16">
        <v>6.7149999999999999</v>
      </c>
      <c r="L449" s="23"/>
      <c r="M449" s="23"/>
      <c r="N449" s="23"/>
      <c r="O449" s="23"/>
      <c r="P449" s="23"/>
      <c r="Q449" s="19"/>
      <c r="R449" s="17">
        <v>4</v>
      </c>
      <c r="S449" s="17">
        <v>8</v>
      </c>
      <c r="T449" s="16">
        <f t="shared" si="61"/>
        <v>2438.3999999999996</v>
      </c>
      <c r="U449" s="16">
        <f t="shared" si="62"/>
        <v>1219.1999999999998</v>
      </c>
      <c r="V449" s="18">
        <f t="shared" si="63"/>
        <v>2972897.2799999993</v>
      </c>
      <c r="W449" s="18">
        <f t="shared" si="64"/>
        <v>2.9728972799999993</v>
      </c>
      <c r="X449" s="18">
        <f t="shared" si="65"/>
        <v>19.963005235199994</v>
      </c>
      <c r="Y449" s="24">
        <v>35</v>
      </c>
      <c r="Z449" s="24">
        <f t="shared" si="66"/>
        <v>698.70518323199974</v>
      </c>
      <c r="AA449" s="16">
        <v>78</v>
      </c>
      <c r="AB449" s="16">
        <f t="shared" si="72"/>
        <v>2282.3999999999996</v>
      </c>
      <c r="AC449" s="16">
        <f t="shared" si="72"/>
        <v>1063.1999999999998</v>
      </c>
      <c r="AD449" s="19">
        <f t="shared" si="68"/>
        <v>2426647.6799999992</v>
      </c>
      <c r="AE449" s="1" t="s">
        <v>7456</v>
      </c>
      <c r="AF449" s="1" t="str">
        <f>VLOOKUP(AE449,t_objeto!B:C,2,FALSE)</f>
        <v>RAW_MATERIAL</v>
      </c>
      <c r="AG449" s="1">
        <v>8</v>
      </c>
      <c r="AH449" s="1" t="str">
        <f>VLOOKUP(AG449,t_entry_status!A:AE,2,FALSE)</f>
        <v>PENDING</v>
      </c>
      <c r="AI449" s="7">
        <v>45560</v>
      </c>
      <c r="AJ449" s="1" t="s">
        <v>7449</v>
      </c>
      <c r="AK449" s="7">
        <v>45560</v>
      </c>
      <c r="AL449" s="1" t="s">
        <v>7449</v>
      </c>
    </row>
    <row r="450" spans="1:38" s="20" customFormat="1" x14ac:dyDescent="0.25">
      <c r="A450" s="14">
        <v>449</v>
      </c>
      <c r="B450" s="14" t="str">
        <f>_xlfn.CONCAT(AE450,"-",VLOOKUP(AE450,t_objeto!B:D,3,FALSE),"-",A450)</f>
        <v>RRMM-PERCCO-449</v>
      </c>
      <c r="C450" s="22" t="str">
        <f t="shared" si="69"/>
        <v>LAMINA_LISA__INOX_304/316 L_4'X8'_22</v>
      </c>
      <c r="D450" s="14" t="s">
        <v>7407</v>
      </c>
      <c r="E450" s="14" t="s">
        <v>7403</v>
      </c>
      <c r="F450" s="21" t="s">
        <v>7404</v>
      </c>
      <c r="G450" s="22" t="s">
        <v>7382</v>
      </c>
      <c r="H450" s="14">
        <v>22</v>
      </c>
      <c r="I450" s="16">
        <v>0.76</v>
      </c>
      <c r="J450" s="16">
        <f t="shared" si="70"/>
        <v>2.9921259842519688E-2</v>
      </c>
      <c r="K450" s="16">
        <v>5.9939999999999998</v>
      </c>
      <c r="L450" s="23"/>
      <c r="M450" s="23"/>
      <c r="N450" s="23"/>
      <c r="O450" s="23"/>
      <c r="P450" s="23"/>
      <c r="Q450" s="19"/>
      <c r="R450" s="17">
        <v>4</v>
      </c>
      <c r="S450" s="17">
        <v>8</v>
      </c>
      <c r="T450" s="16">
        <f t="shared" ref="T450:T513" si="73">S450*12*25.4</f>
        <v>2438.3999999999996</v>
      </c>
      <c r="U450" s="16">
        <f t="shared" ref="U450:U513" si="74">R450*12*25.4</f>
        <v>1219.1999999999998</v>
      </c>
      <c r="V450" s="18">
        <f t="shared" si="63"/>
        <v>2972897.2799999993</v>
      </c>
      <c r="W450" s="18">
        <f t="shared" ref="W450:W513" si="75">V450/1000000</f>
        <v>2.9728972799999993</v>
      </c>
      <c r="X450" s="18">
        <f t="shared" ref="X450:X513" si="76">K450*W450</f>
        <v>17.819546296319995</v>
      </c>
      <c r="Y450" s="24">
        <v>35</v>
      </c>
      <c r="Z450" s="24">
        <f t="shared" ref="Z450:Z513" si="77">X450*Y450</f>
        <v>623.68412037119981</v>
      </c>
      <c r="AA450" s="16">
        <v>79</v>
      </c>
      <c r="AB450" s="16">
        <f t="shared" si="72"/>
        <v>2280.3999999999996</v>
      </c>
      <c r="AC450" s="16">
        <f t="shared" si="72"/>
        <v>1061.1999999999998</v>
      </c>
      <c r="AD450" s="19">
        <f t="shared" si="68"/>
        <v>2419960.4799999991</v>
      </c>
      <c r="AE450" s="1" t="s">
        <v>7456</v>
      </c>
      <c r="AF450" s="1" t="str">
        <f>VLOOKUP(AE450,t_objeto!B:C,2,FALSE)</f>
        <v>RAW_MATERIAL</v>
      </c>
      <c r="AG450" s="1">
        <v>8</v>
      </c>
      <c r="AH450" s="1" t="str">
        <f>VLOOKUP(AG450,t_entry_status!A:AE,2,FALSE)</f>
        <v>PENDING</v>
      </c>
      <c r="AI450" s="7">
        <v>45560</v>
      </c>
      <c r="AJ450" s="1" t="s">
        <v>7449</v>
      </c>
      <c r="AK450" s="7">
        <v>45560</v>
      </c>
      <c r="AL450" s="1" t="s">
        <v>7449</v>
      </c>
    </row>
    <row r="451" spans="1:38" s="20" customFormat="1" x14ac:dyDescent="0.25">
      <c r="A451" s="14">
        <v>450</v>
      </c>
      <c r="B451" s="14" t="str">
        <f>_xlfn.CONCAT(AE451,"-",VLOOKUP(AE451,t_objeto!B:D,3,FALSE),"-",A451)</f>
        <v>RRMM-PERCCO-450</v>
      </c>
      <c r="C451" s="22" t="str">
        <f t="shared" ref="C451:C514" si="78">_xlfn.CONCAT(D451,"_","_",E451,"_",F451,"_",R451,"'","X",S451,"'","_",H451)</f>
        <v>LAMINA_LISA__INOX_304/316 L_4'X8'_23</v>
      </c>
      <c r="D451" s="14" t="s">
        <v>7407</v>
      </c>
      <c r="E451" s="14" t="s">
        <v>7403</v>
      </c>
      <c r="F451" s="21" t="s">
        <v>7404</v>
      </c>
      <c r="G451" s="22" t="s">
        <v>7382</v>
      </c>
      <c r="H451" s="14">
        <v>23</v>
      </c>
      <c r="I451" s="16">
        <v>0.68</v>
      </c>
      <c r="J451" s="16">
        <f t="shared" si="70"/>
        <v>2.677165354330709E-2</v>
      </c>
      <c r="K451" s="16">
        <v>5.4359999999999999</v>
      </c>
      <c r="L451" s="23"/>
      <c r="M451" s="23"/>
      <c r="N451" s="23"/>
      <c r="O451" s="23"/>
      <c r="P451" s="23"/>
      <c r="Q451" s="19"/>
      <c r="R451" s="17">
        <v>4</v>
      </c>
      <c r="S451" s="17">
        <v>8</v>
      </c>
      <c r="T451" s="16">
        <f t="shared" si="73"/>
        <v>2438.3999999999996</v>
      </c>
      <c r="U451" s="16">
        <f t="shared" si="74"/>
        <v>1219.1999999999998</v>
      </c>
      <c r="V451" s="18">
        <f t="shared" si="63"/>
        <v>2972897.2799999993</v>
      </c>
      <c r="W451" s="18">
        <f t="shared" si="75"/>
        <v>2.9728972799999993</v>
      </c>
      <c r="X451" s="18">
        <f t="shared" si="76"/>
        <v>16.160669614079996</v>
      </c>
      <c r="Y451" s="24">
        <v>35</v>
      </c>
      <c r="Z451" s="24">
        <f t="shared" si="77"/>
        <v>565.6234364927999</v>
      </c>
      <c r="AA451" s="16">
        <v>80</v>
      </c>
      <c r="AB451" s="16">
        <f t="shared" si="72"/>
        <v>2278.3999999999996</v>
      </c>
      <c r="AC451" s="16">
        <f t="shared" si="72"/>
        <v>1059.1999999999998</v>
      </c>
      <c r="AD451" s="19">
        <f t="shared" si="68"/>
        <v>2413281.2799999993</v>
      </c>
      <c r="AE451" s="1" t="s">
        <v>7456</v>
      </c>
      <c r="AF451" s="1" t="str">
        <f>VLOOKUP(AE451,t_objeto!B:C,2,FALSE)</f>
        <v>RAW_MATERIAL</v>
      </c>
      <c r="AG451" s="1">
        <v>8</v>
      </c>
      <c r="AH451" s="1" t="str">
        <f>VLOOKUP(AG451,t_entry_status!A:AE,2,FALSE)</f>
        <v>PENDING</v>
      </c>
      <c r="AI451" s="7">
        <v>45560</v>
      </c>
      <c r="AJ451" s="1" t="s">
        <v>7449</v>
      </c>
      <c r="AK451" s="7">
        <v>45560</v>
      </c>
      <c r="AL451" s="1" t="s">
        <v>7449</v>
      </c>
    </row>
    <row r="452" spans="1:38" s="20" customFormat="1" x14ac:dyDescent="0.25">
      <c r="A452" s="14">
        <v>451</v>
      </c>
      <c r="B452" s="14" t="str">
        <f>_xlfn.CONCAT(AE452,"-",VLOOKUP(AE452,t_objeto!B:D,3,FALSE),"-",A452)</f>
        <v>RRMM-PERCCO-451</v>
      </c>
      <c r="C452" s="22" t="str">
        <f t="shared" si="78"/>
        <v>LAMINA_LISA__INOX_304/316 L_4'X8'_24</v>
      </c>
      <c r="D452" s="14" t="s">
        <v>7407</v>
      </c>
      <c r="E452" s="14" t="s">
        <v>7403</v>
      </c>
      <c r="F452" s="21" t="s">
        <v>7404</v>
      </c>
      <c r="G452" s="22" t="s">
        <v>7382</v>
      </c>
      <c r="H452" s="14">
        <v>24</v>
      </c>
      <c r="I452" s="16">
        <v>0.61</v>
      </c>
      <c r="J452" s="16">
        <f t="shared" si="70"/>
        <v>2.4015748031496063E-2</v>
      </c>
      <c r="K452" s="16">
        <v>4.9409999999999998</v>
      </c>
      <c r="L452" s="23"/>
      <c r="M452" s="23"/>
      <c r="N452" s="23"/>
      <c r="O452" s="23"/>
      <c r="P452" s="23"/>
      <c r="Q452" s="19"/>
      <c r="R452" s="17">
        <v>4</v>
      </c>
      <c r="S452" s="17">
        <v>8</v>
      </c>
      <c r="T452" s="16">
        <f t="shared" si="73"/>
        <v>2438.3999999999996</v>
      </c>
      <c r="U452" s="16">
        <f t="shared" si="74"/>
        <v>1219.1999999999998</v>
      </c>
      <c r="V452" s="18">
        <f t="shared" si="63"/>
        <v>2972897.2799999993</v>
      </c>
      <c r="W452" s="18">
        <f t="shared" si="75"/>
        <v>2.9728972799999993</v>
      </c>
      <c r="X452" s="18">
        <f t="shared" si="76"/>
        <v>14.689085460479996</v>
      </c>
      <c r="Y452" s="24">
        <v>35</v>
      </c>
      <c r="Z452" s="24">
        <f t="shared" si="77"/>
        <v>514.11799111679989</v>
      </c>
      <c r="AA452" s="16">
        <v>81</v>
      </c>
      <c r="AB452" s="16">
        <f t="shared" si="72"/>
        <v>2276.3999999999996</v>
      </c>
      <c r="AC452" s="16">
        <f t="shared" si="72"/>
        <v>1057.1999999999998</v>
      </c>
      <c r="AD452" s="19">
        <f t="shared" si="68"/>
        <v>2406610.0799999991</v>
      </c>
      <c r="AE452" s="1" t="s">
        <v>7456</v>
      </c>
      <c r="AF452" s="1" t="str">
        <f>VLOOKUP(AE452,t_objeto!B:C,2,FALSE)</f>
        <v>RAW_MATERIAL</v>
      </c>
      <c r="AG452" s="1">
        <v>8</v>
      </c>
      <c r="AH452" s="1" t="str">
        <f>VLOOKUP(AG452,t_entry_status!A:AE,2,FALSE)</f>
        <v>PENDING</v>
      </c>
      <c r="AI452" s="7">
        <v>45560</v>
      </c>
      <c r="AJ452" s="1" t="s">
        <v>7449</v>
      </c>
      <c r="AK452" s="7">
        <v>45560</v>
      </c>
      <c r="AL452" s="1" t="s">
        <v>7449</v>
      </c>
    </row>
    <row r="453" spans="1:38" s="20" customFormat="1" x14ac:dyDescent="0.25">
      <c r="A453" s="14">
        <v>452</v>
      </c>
      <c r="B453" s="14" t="str">
        <f>_xlfn.CONCAT(AE453,"-",VLOOKUP(AE453,t_objeto!B:D,3,FALSE),"-",A453)</f>
        <v>RRMM-PERCCO-452</v>
      </c>
      <c r="C453" s="22" t="str">
        <f t="shared" si="78"/>
        <v>LAMINA_LISA__INOX_304/316 L_4'X8'_25</v>
      </c>
      <c r="D453" s="14" t="s">
        <v>7407</v>
      </c>
      <c r="E453" s="14" t="s">
        <v>7403</v>
      </c>
      <c r="F453" s="21" t="s">
        <v>7404</v>
      </c>
      <c r="G453" s="22" t="s">
        <v>7382</v>
      </c>
      <c r="H453" s="14">
        <v>25</v>
      </c>
      <c r="I453" s="16">
        <v>0.53</v>
      </c>
      <c r="J453" s="16">
        <f t="shared" si="70"/>
        <v>2.0866141732283468E-2</v>
      </c>
      <c r="K453" s="16">
        <v>4.2370000000000001</v>
      </c>
      <c r="L453" s="23"/>
      <c r="M453" s="23"/>
      <c r="N453" s="23"/>
      <c r="O453" s="23"/>
      <c r="P453" s="23"/>
      <c r="Q453" s="19"/>
      <c r="R453" s="17">
        <v>4</v>
      </c>
      <c r="S453" s="17">
        <v>8</v>
      </c>
      <c r="T453" s="16">
        <f t="shared" si="73"/>
        <v>2438.3999999999996</v>
      </c>
      <c r="U453" s="16">
        <f t="shared" si="74"/>
        <v>1219.1999999999998</v>
      </c>
      <c r="V453" s="18">
        <f t="shared" si="63"/>
        <v>2972897.2799999993</v>
      </c>
      <c r="W453" s="18">
        <f t="shared" si="75"/>
        <v>2.9728972799999993</v>
      </c>
      <c r="X453" s="18">
        <f t="shared" si="76"/>
        <v>12.596165775359998</v>
      </c>
      <c r="Y453" s="24">
        <v>35</v>
      </c>
      <c r="Z453" s="24">
        <f t="shared" si="77"/>
        <v>440.86580213759993</v>
      </c>
      <c r="AA453" s="16">
        <v>82</v>
      </c>
      <c r="AB453" s="16">
        <f t="shared" si="72"/>
        <v>2274.3999999999996</v>
      </c>
      <c r="AC453" s="16">
        <f t="shared" si="72"/>
        <v>1055.1999999999998</v>
      </c>
      <c r="AD453" s="19">
        <f t="shared" si="68"/>
        <v>2399946.8799999994</v>
      </c>
      <c r="AE453" s="1" t="s">
        <v>7456</v>
      </c>
      <c r="AF453" s="1" t="str">
        <f>VLOOKUP(AE453,t_objeto!B:C,2,FALSE)</f>
        <v>RAW_MATERIAL</v>
      </c>
      <c r="AG453" s="1">
        <v>8</v>
      </c>
      <c r="AH453" s="1" t="str">
        <f>VLOOKUP(AG453,t_entry_status!A:AE,2,FALSE)</f>
        <v>PENDING</v>
      </c>
      <c r="AI453" s="7">
        <v>45560</v>
      </c>
      <c r="AJ453" s="1" t="s">
        <v>7449</v>
      </c>
      <c r="AK453" s="7">
        <v>45560</v>
      </c>
      <c r="AL453" s="1" t="s">
        <v>7449</v>
      </c>
    </row>
    <row r="454" spans="1:38" s="20" customFormat="1" x14ac:dyDescent="0.25">
      <c r="A454" s="14">
        <v>453</v>
      </c>
      <c r="B454" s="14" t="str">
        <f>_xlfn.CONCAT(AE454,"-",VLOOKUP(AE454,t_objeto!B:D,3,FALSE),"-",A454)</f>
        <v>RRMM-PERCCO-453</v>
      </c>
      <c r="C454" s="22" t="str">
        <f t="shared" si="78"/>
        <v>LAMINA_LISA__INOX_304/316 L_4'X8'_26</v>
      </c>
      <c r="D454" s="14" t="s">
        <v>7407</v>
      </c>
      <c r="E454" s="14" t="s">
        <v>7403</v>
      </c>
      <c r="F454" s="21" t="s">
        <v>7404</v>
      </c>
      <c r="G454" s="22" t="s">
        <v>7382</v>
      </c>
      <c r="H454" s="14">
        <v>26</v>
      </c>
      <c r="I454" s="16">
        <v>0.45</v>
      </c>
      <c r="J454" s="16">
        <f t="shared" si="70"/>
        <v>1.7716535433070866E-2</v>
      </c>
      <c r="K454" s="16">
        <v>3.6859999999999999</v>
      </c>
      <c r="L454" s="23"/>
      <c r="M454" s="23"/>
      <c r="N454" s="23"/>
      <c r="O454" s="23"/>
      <c r="P454" s="23"/>
      <c r="Q454" s="19"/>
      <c r="R454" s="17">
        <v>4</v>
      </c>
      <c r="S454" s="17">
        <v>8</v>
      </c>
      <c r="T454" s="16">
        <f t="shared" si="73"/>
        <v>2438.3999999999996</v>
      </c>
      <c r="U454" s="16">
        <f t="shared" si="74"/>
        <v>1219.1999999999998</v>
      </c>
      <c r="V454" s="18">
        <f t="shared" si="63"/>
        <v>2972897.2799999993</v>
      </c>
      <c r="W454" s="18">
        <f t="shared" si="75"/>
        <v>2.9728972799999993</v>
      </c>
      <c r="X454" s="18">
        <f t="shared" si="76"/>
        <v>10.958099374079998</v>
      </c>
      <c r="Y454" s="24">
        <v>35</v>
      </c>
      <c r="Z454" s="24">
        <f t="shared" si="77"/>
        <v>383.53347809279995</v>
      </c>
      <c r="AA454" s="16">
        <v>83</v>
      </c>
      <c r="AB454" s="16">
        <f t="shared" si="72"/>
        <v>2272.3999999999996</v>
      </c>
      <c r="AC454" s="16">
        <f t="shared" si="72"/>
        <v>1053.1999999999998</v>
      </c>
      <c r="AD454" s="19">
        <f t="shared" si="68"/>
        <v>2393291.6799999992</v>
      </c>
      <c r="AE454" s="1" t="s">
        <v>7456</v>
      </c>
      <c r="AF454" s="1" t="str">
        <f>VLOOKUP(AE454,t_objeto!B:C,2,FALSE)</f>
        <v>RAW_MATERIAL</v>
      </c>
      <c r="AG454" s="1">
        <v>8</v>
      </c>
      <c r="AH454" s="1" t="str">
        <f>VLOOKUP(AG454,t_entry_status!A:AE,2,FALSE)</f>
        <v>PENDING</v>
      </c>
      <c r="AI454" s="7">
        <v>45560</v>
      </c>
      <c r="AJ454" s="1" t="s">
        <v>7449</v>
      </c>
      <c r="AK454" s="7">
        <v>45560</v>
      </c>
      <c r="AL454" s="1" t="s">
        <v>7449</v>
      </c>
    </row>
    <row r="455" spans="1:38" s="20" customFormat="1" x14ac:dyDescent="0.25">
      <c r="A455" s="14">
        <v>454</v>
      </c>
      <c r="B455" s="14" t="str">
        <f>_xlfn.CONCAT(AE455,"-",VLOOKUP(AE455,t_objeto!B:D,3,FALSE),"-",A455)</f>
        <v>RRMM-PERCCO-454</v>
      </c>
      <c r="C455" s="22" t="str">
        <f t="shared" si="78"/>
        <v>LAMINA_LISA__ACERO_GALVANIZADA_4'X10'_10</v>
      </c>
      <c r="D455" s="14" t="s">
        <v>7407</v>
      </c>
      <c r="E455" s="14" t="s">
        <v>7380</v>
      </c>
      <c r="F455" s="21" t="s">
        <v>7381</v>
      </c>
      <c r="G455" s="22" t="s">
        <v>7382</v>
      </c>
      <c r="H455" s="14">
        <v>10</v>
      </c>
      <c r="I455" s="14">
        <v>3.42</v>
      </c>
      <c r="J455" s="16">
        <f t="shared" si="70"/>
        <v>0.13464566929133859</v>
      </c>
      <c r="K455" s="16">
        <v>21.641999999999999</v>
      </c>
      <c r="L455" s="23">
        <v>1.9</v>
      </c>
      <c r="M455" s="23"/>
      <c r="N455" s="23"/>
      <c r="O455" s="23"/>
      <c r="P455" s="23"/>
      <c r="Q455" s="19"/>
      <c r="R455" s="17">
        <v>4</v>
      </c>
      <c r="S455" s="17">
        <v>10</v>
      </c>
      <c r="T455" s="16">
        <f t="shared" si="73"/>
        <v>3048</v>
      </c>
      <c r="U455" s="16">
        <f t="shared" si="74"/>
        <v>1219.1999999999998</v>
      </c>
      <c r="V455" s="18">
        <f t="shared" si="63"/>
        <v>3716121.5999999996</v>
      </c>
      <c r="W455" s="18">
        <f t="shared" si="75"/>
        <v>3.7161215999999997</v>
      </c>
      <c r="X455" s="18">
        <f t="shared" si="76"/>
        <v>80.424303667199993</v>
      </c>
      <c r="Y455" s="24">
        <v>35</v>
      </c>
      <c r="Z455" s="24">
        <f t="shared" si="77"/>
        <v>2814.8506283519996</v>
      </c>
      <c r="AA455" s="16">
        <v>5</v>
      </c>
      <c r="AB455" s="16">
        <f t="shared" si="72"/>
        <v>3038</v>
      </c>
      <c r="AC455" s="16">
        <f t="shared" si="72"/>
        <v>1209.1999999999998</v>
      </c>
      <c r="AD455" s="19">
        <f t="shared" si="68"/>
        <v>3673549.5999999996</v>
      </c>
      <c r="AE455" s="1" t="s">
        <v>7456</v>
      </c>
      <c r="AF455" s="1" t="str">
        <f>VLOOKUP(AE455,t_objeto!B:C,2,FALSE)</f>
        <v>RAW_MATERIAL</v>
      </c>
      <c r="AG455" s="1">
        <v>8</v>
      </c>
      <c r="AH455" s="1" t="str">
        <f>VLOOKUP(AG455,t_entry_status!A:AE,2,FALSE)</f>
        <v>PENDING</v>
      </c>
      <c r="AI455" s="7">
        <v>45560</v>
      </c>
      <c r="AJ455" s="1" t="s">
        <v>7449</v>
      </c>
      <c r="AK455" s="7">
        <v>45560</v>
      </c>
      <c r="AL455" s="1" t="s">
        <v>7449</v>
      </c>
    </row>
    <row r="456" spans="1:38" s="20" customFormat="1" x14ac:dyDescent="0.25">
      <c r="A456" s="14">
        <v>455</v>
      </c>
      <c r="B456" s="14" t="str">
        <f>_xlfn.CONCAT(AE456,"-",VLOOKUP(AE456,t_objeto!B:D,3,FALSE),"-",A456)</f>
        <v>RRMM-PERCCO-455</v>
      </c>
      <c r="C456" s="22" t="str">
        <f t="shared" si="78"/>
        <v>LAMINA_LISA__ACERO_GALVANIZADA_4'X10'_12</v>
      </c>
      <c r="D456" s="14" t="s">
        <v>7407</v>
      </c>
      <c r="E456" s="14" t="s">
        <v>7380</v>
      </c>
      <c r="F456" s="21" t="s">
        <v>7381</v>
      </c>
      <c r="G456" s="22" t="s">
        <v>7382</v>
      </c>
      <c r="H456" s="14">
        <v>12</v>
      </c>
      <c r="I456" s="14">
        <v>2.66</v>
      </c>
      <c r="J456" s="16">
        <f t="shared" si="70"/>
        <v>0.1047244094488189</v>
      </c>
      <c r="K456" s="16">
        <v>21.641999999999999</v>
      </c>
      <c r="L456" s="23">
        <v>3.8</v>
      </c>
      <c r="M456" s="23"/>
      <c r="N456" s="23"/>
      <c r="O456" s="23"/>
      <c r="P456" s="23"/>
      <c r="Q456" s="19"/>
      <c r="R456" s="17">
        <v>4</v>
      </c>
      <c r="S456" s="17">
        <v>10</v>
      </c>
      <c r="T456" s="16">
        <f t="shared" si="73"/>
        <v>3048</v>
      </c>
      <c r="U456" s="16">
        <f t="shared" si="74"/>
        <v>1219.1999999999998</v>
      </c>
      <c r="V456" s="18">
        <f t="shared" si="63"/>
        <v>3716121.5999999996</v>
      </c>
      <c r="W456" s="18">
        <f t="shared" si="75"/>
        <v>3.7161215999999997</v>
      </c>
      <c r="X456" s="18">
        <f t="shared" si="76"/>
        <v>80.424303667199993</v>
      </c>
      <c r="Y456" s="24">
        <v>35</v>
      </c>
      <c r="Z456" s="24">
        <f t="shared" si="77"/>
        <v>2814.8506283519996</v>
      </c>
      <c r="AA456" s="16">
        <v>5</v>
      </c>
      <c r="AB456" s="16">
        <f t="shared" si="72"/>
        <v>3038</v>
      </c>
      <c r="AC456" s="16">
        <f t="shared" si="72"/>
        <v>1209.1999999999998</v>
      </c>
      <c r="AD456" s="19">
        <f t="shared" si="68"/>
        <v>3673549.5999999996</v>
      </c>
      <c r="AE456" s="1" t="s">
        <v>7456</v>
      </c>
      <c r="AF456" s="1" t="str">
        <f>VLOOKUP(AE456,t_objeto!B:C,2,FALSE)</f>
        <v>RAW_MATERIAL</v>
      </c>
      <c r="AG456" s="1">
        <v>8</v>
      </c>
      <c r="AH456" s="1" t="str">
        <f>VLOOKUP(AG456,t_entry_status!A:AE,2,FALSE)</f>
        <v>PENDING</v>
      </c>
      <c r="AI456" s="7">
        <v>45560</v>
      </c>
      <c r="AJ456" s="1" t="s">
        <v>7449</v>
      </c>
      <c r="AK456" s="7">
        <v>45560</v>
      </c>
      <c r="AL456" s="1" t="s">
        <v>7449</v>
      </c>
    </row>
    <row r="457" spans="1:38" s="20" customFormat="1" x14ac:dyDescent="0.25">
      <c r="A457" s="14">
        <v>456</v>
      </c>
      <c r="B457" s="14" t="str">
        <f>_xlfn.CONCAT(AE457,"-",VLOOKUP(AE457,t_objeto!B:D,3,FALSE),"-",A457)</f>
        <v>RRMM-PERCCO-456</v>
      </c>
      <c r="C457" s="22" t="str">
        <f t="shared" si="78"/>
        <v>LAMINA_LISA__ACERO_GALVANIZADA_4'X10'_13</v>
      </c>
      <c r="D457" s="14" t="s">
        <v>7407</v>
      </c>
      <c r="E457" s="14" t="s">
        <v>7380</v>
      </c>
      <c r="F457" s="21" t="s">
        <v>7381</v>
      </c>
      <c r="G457" s="22" t="s">
        <v>7382</v>
      </c>
      <c r="H457" s="14">
        <v>13</v>
      </c>
      <c r="I457" s="16">
        <v>2.2799999999999998</v>
      </c>
      <c r="J457" s="16">
        <f t="shared" si="70"/>
        <v>8.9763779527559054E-2</v>
      </c>
      <c r="K457" s="16">
        <v>18.143000000000001</v>
      </c>
      <c r="L457" s="23">
        <v>4</v>
      </c>
      <c r="M457" s="23"/>
      <c r="N457" s="23"/>
      <c r="O457" s="23"/>
      <c r="P457" s="23"/>
      <c r="Q457" s="19"/>
      <c r="R457" s="17">
        <v>4</v>
      </c>
      <c r="S457" s="17">
        <v>10</v>
      </c>
      <c r="T457" s="16">
        <f t="shared" si="73"/>
        <v>3048</v>
      </c>
      <c r="U457" s="16">
        <f t="shared" si="74"/>
        <v>1219.1999999999998</v>
      </c>
      <c r="V457" s="18">
        <f t="shared" si="63"/>
        <v>3716121.5999999996</v>
      </c>
      <c r="W457" s="18">
        <f t="shared" si="75"/>
        <v>3.7161215999999997</v>
      </c>
      <c r="X457" s="18">
        <f t="shared" si="76"/>
        <v>67.4215941888</v>
      </c>
      <c r="Y457" s="24">
        <v>35</v>
      </c>
      <c r="Z457" s="24">
        <f t="shared" si="77"/>
        <v>2359.7557966079999</v>
      </c>
      <c r="AA457" s="16">
        <v>5</v>
      </c>
      <c r="AB457" s="16">
        <f t="shared" si="72"/>
        <v>3038</v>
      </c>
      <c r="AC457" s="16">
        <f t="shared" si="72"/>
        <v>1209.1999999999998</v>
      </c>
      <c r="AD457" s="19">
        <f t="shared" si="68"/>
        <v>3673549.5999999996</v>
      </c>
      <c r="AE457" s="1" t="s">
        <v>7456</v>
      </c>
      <c r="AF457" s="1" t="str">
        <f>VLOOKUP(AE457,t_objeto!B:C,2,FALSE)</f>
        <v>RAW_MATERIAL</v>
      </c>
      <c r="AG457" s="1">
        <v>8</v>
      </c>
      <c r="AH457" s="1" t="str">
        <f>VLOOKUP(AG457,t_entry_status!A:AE,2,FALSE)</f>
        <v>PENDING</v>
      </c>
      <c r="AI457" s="7">
        <v>45560</v>
      </c>
      <c r="AJ457" s="1" t="s">
        <v>7449</v>
      </c>
      <c r="AK457" s="7">
        <v>45560</v>
      </c>
      <c r="AL457" s="1" t="s">
        <v>7449</v>
      </c>
    </row>
    <row r="458" spans="1:38" s="20" customFormat="1" ht="18.75" x14ac:dyDescent="0.3">
      <c r="A458" s="14">
        <v>457</v>
      </c>
      <c r="B458" s="14" t="str">
        <f>_xlfn.CONCAT(AE458,"-",VLOOKUP(AE458,t_objeto!B:D,3,FALSE),"-",A458)</f>
        <v>RRMM-PERCCO-457</v>
      </c>
      <c r="C458" s="22" t="str">
        <f t="shared" si="78"/>
        <v>LAMINA_LISA__ACERO_GALVANIZADA_4'X10'_14</v>
      </c>
      <c r="D458" s="14" t="s">
        <v>7407</v>
      </c>
      <c r="E458" s="14" t="s">
        <v>7380</v>
      </c>
      <c r="F458" s="21" t="s">
        <v>7381</v>
      </c>
      <c r="G458" s="22" t="s">
        <v>7382</v>
      </c>
      <c r="H458" s="14">
        <v>14</v>
      </c>
      <c r="I458" s="14">
        <v>1.9</v>
      </c>
      <c r="J458" s="16">
        <f t="shared" si="70"/>
        <v>7.4803149606299218E-2</v>
      </c>
      <c r="K458" s="25">
        <v>16.928999999999998</v>
      </c>
      <c r="L458" s="23">
        <v>6</v>
      </c>
      <c r="M458" s="23"/>
      <c r="N458" s="23"/>
      <c r="O458" s="23"/>
      <c r="P458" s="23"/>
      <c r="Q458" s="19"/>
      <c r="R458" s="17">
        <v>4</v>
      </c>
      <c r="S458" s="17">
        <v>10</v>
      </c>
      <c r="T458" s="16">
        <f t="shared" si="73"/>
        <v>3048</v>
      </c>
      <c r="U458" s="16">
        <f t="shared" si="74"/>
        <v>1219.1999999999998</v>
      </c>
      <c r="V458" s="18">
        <f t="shared" si="63"/>
        <v>3716121.5999999996</v>
      </c>
      <c r="W458" s="18">
        <f t="shared" si="75"/>
        <v>3.7161215999999997</v>
      </c>
      <c r="X458" s="18">
        <f t="shared" si="76"/>
        <v>62.910222566399987</v>
      </c>
      <c r="Y458" s="24">
        <v>35</v>
      </c>
      <c r="Z458" s="24">
        <f t="shared" si="77"/>
        <v>2201.8577898239996</v>
      </c>
      <c r="AA458" s="16">
        <v>5</v>
      </c>
      <c r="AB458" s="16">
        <f t="shared" ref="AB458:AC489" si="79">T458-($AA458*2)</f>
        <v>3038</v>
      </c>
      <c r="AC458" s="16">
        <f t="shared" si="79"/>
        <v>1209.1999999999998</v>
      </c>
      <c r="AD458" s="19">
        <f t="shared" si="68"/>
        <v>3673549.5999999996</v>
      </c>
      <c r="AE458" s="1" t="s">
        <v>7456</v>
      </c>
      <c r="AF458" s="1" t="str">
        <f>VLOOKUP(AE458,t_objeto!B:C,2,FALSE)</f>
        <v>RAW_MATERIAL</v>
      </c>
      <c r="AG458" s="1">
        <v>8</v>
      </c>
      <c r="AH458" s="1" t="str">
        <f>VLOOKUP(AG458,t_entry_status!A:AE,2,FALSE)</f>
        <v>PENDING</v>
      </c>
      <c r="AI458" s="7">
        <v>45560</v>
      </c>
      <c r="AJ458" s="1" t="s">
        <v>7449</v>
      </c>
      <c r="AK458" s="7">
        <v>45560</v>
      </c>
      <c r="AL458" s="1" t="s">
        <v>7449</v>
      </c>
    </row>
    <row r="459" spans="1:38" s="20" customFormat="1" x14ac:dyDescent="0.25">
      <c r="A459" s="14">
        <v>458</v>
      </c>
      <c r="B459" s="14" t="str">
        <f>_xlfn.CONCAT(AE459,"-",VLOOKUP(AE459,t_objeto!B:D,3,FALSE),"-",A459)</f>
        <v>RRMM-PERCCO-458</v>
      </c>
      <c r="C459" s="22" t="str">
        <f t="shared" si="78"/>
        <v>LAMINA_LISA__ACERO_GALVANIZADA_4'X10'_15</v>
      </c>
      <c r="D459" s="14" t="s">
        <v>7407</v>
      </c>
      <c r="E459" s="14" t="s">
        <v>7380</v>
      </c>
      <c r="F459" s="21" t="s">
        <v>7381</v>
      </c>
      <c r="G459" s="22" t="s">
        <v>7382</v>
      </c>
      <c r="H459" s="14">
        <v>15</v>
      </c>
      <c r="I459" s="16">
        <v>1.71</v>
      </c>
      <c r="J459" s="16">
        <f t="shared" si="70"/>
        <v>6.7322834645669294E-2</v>
      </c>
      <c r="K459" s="16">
        <v>13.606999999999999</v>
      </c>
      <c r="L459" s="23"/>
      <c r="M459" s="23"/>
      <c r="N459" s="23"/>
      <c r="O459" s="23"/>
      <c r="P459" s="23"/>
      <c r="Q459" s="19"/>
      <c r="R459" s="17">
        <v>4</v>
      </c>
      <c r="S459" s="17">
        <v>10</v>
      </c>
      <c r="T459" s="16">
        <f t="shared" si="73"/>
        <v>3048</v>
      </c>
      <c r="U459" s="16">
        <f t="shared" si="74"/>
        <v>1219.1999999999998</v>
      </c>
      <c r="V459" s="18">
        <f t="shared" si="63"/>
        <v>3716121.5999999996</v>
      </c>
      <c r="W459" s="18">
        <f t="shared" si="75"/>
        <v>3.7161215999999997</v>
      </c>
      <c r="X459" s="18">
        <f t="shared" si="76"/>
        <v>50.565266611199995</v>
      </c>
      <c r="Y459" s="24">
        <v>35</v>
      </c>
      <c r="Z459" s="24">
        <f t="shared" si="77"/>
        <v>1769.7843313919998</v>
      </c>
      <c r="AA459" s="16">
        <v>5</v>
      </c>
      <c r="AB459" s="16">
        <f t="shared" si="79"/>
        <v>3038</v>
      </c>
      <c r="AC459" s="16">
        <f t="shared" si="79"/>
        <v>1209.1999999999998</v>
      </c>
      <c r="AD459" s="19">
        <f t="shared" si="68"/>
        <v>3673549.5999999996</v>
      </c>
      <c r="AE459" s="1" t="s">
        <v>7456</v>
      </c>
      <c r="AF459" s="1" t="str">
        <f>VLOOKUP(AE459,t_objeto!B:C,2,FALSE)</f>
        <v>RAW_MATERIAL</v>
      </c>
      <c r="AG459" s="1">
        <v>8</v>
      </c>
      <c r="AH459" s="1" t="str">
        <f>VLOOKUP(AG459,t_entry_status!A:AE,2,FALSE)</f>
        <v>PENDING</v>
      </c>
      <c r="AI459" s="7">
        <v>45560</v>
      </c>
      <c r="AJ459" s="1" t="s">
        <v>7449</v>
      </c>
      <c r="AK459" s="7">
        <v>45560</v>
      </c>
      <c r="AL459" s="1" t="s">
        <v>7449</v>
      </c>
    </row>
    <row r="460" spans="1:38" s="20" customFormat="1" x14ac:dyDescent="0.25">
      <c r="A460" s="14">
        <v>459</v>
      </c>
      <c r="B460" s="14" t="str">
        <f>_xlfn.CONCAT(AE460,"-",VLOOKUP(AE460,t_objeto!B:D,3,FALSE),"-",A460)</f>
        <v>RRMM-PERCCO-459</v>
      </c>
      <c r="C460" s="22" t="str">
        <f t="shared" si="78"/>
        <v>LAMINA_LISA__ACERO_GALVANIZADA_4'X10'_16</v>
      </c>
      <c r="D460" s="14" t="s">
        <v>7407</v>
      </c>
      <c r="E460" s="14" t="s">
        <v>7380</v>
      </c>
      <c r="F460" s="21" t="s">
        <v>7381</v>
      </c>
      <c r="G460" s="22" t="s">
        <v>7382</v>
      </c>
      <c r="H460" s="14">
        <v>16</v>
      </c>
      <c r="I460" s="14">
        <v>1.52</v>
      </c>
      <c r="J460" s="16">
        <f t="shared" si="70"/>
        <v>5.9842519685039376E-2</v>
      </c>
      <c r="K460" s="16">
        <v>12.484999999999999</v>
      </c>
      <c r="L460" s="23"/>
      <c r="M460" s="23"/>
      <c r="N460" s="23"/>
      <c r="O460" s="23"/>
      <c r="P460" s="23"/>
      <c r="Q460" s="19"/>
      <c r="R460" s="17">
        <v>4</v>
      </c>
      <c r="S460" s="17">
        <v>10</v>
      </c>
      <c r="T460" s="16">
        <f t="shared" si="73"/>
        <v>3048</v>
      </c>
      <c r="U460" s="16">
        <f t="shared" si="74"/>
        <v>1219.1999999999998</v>
      </c>
      <c r="V460" s="18">
        <f t="shared" si="63"/>
        <v>3716121.5999999996</v>
      </c>
      <c r="W460" s="18">
        <f t="shared" si="75"/>
        <v>3.7161215999999997</v>
      </c>
      <c r="X460" s="18">
        <f t="shared" si="76"/>
        <v>46.395778175999993</v>
      </c>
      <c r="Y460" s="24">
        <v>35</v>
      </c>
      <c r="Z460" s="24">
        <f t="shared" si="77"/>
        <v>1623.8522361599998</v>
      </c>
      <c r="AA460" s="16">
        <v>5</v>
      </c>
      <c r="AB460" s="16">
        <f t="shared" si="79"/>
        <v>3038</v>
      </c>
      <c r="AC460" s="16">
        <f t="shared" si="79"/>
        <v>1209.1999999999998</v>
      </c>
      <c r="AD460" s="19">
        <f t="shared" si="68"/>
        <v>3673549.5999999996</v>
      </c>
      <c r="AE460" s="1" t="s">
        <v>7456</v>
      </c>
      <c r="AF460" s="1" t="str">
        <f>VLOOKUP(AE460,t_objeto!B:C,2,FALSE)</f>
        <v>RAW_MATERIAL</v>
      </c>
      <c r="AG460" s="1">
        <v>8</v>
      </c>
      <c r="AH460" s="1" t="str">
        <f>VLOOKUP(AG460,t_entry_status!A:AE,2,FALSE)</f>
        <v>PENDING</v>
      </c>
      <c r="AI460" s="7">
        <v>45560</v>
      </c>
      <c r="AJ460" s="1" t="s">
        <v>7449</v>
      </c>
      <c r="AK460" s="7">
        <v>45560</v>
      </c>
      <c r="AL460" s="1" t="s">
        <v>7449</v>
      </c>
    </row>
    <row r="461" spans="1:38" s="20" customFormat="1" x14ac:dyDescent="0.25">
      <c r="A461" s="14">
        <v>460</v>
      </c>
      <c r="B461" s="14" t="str">
        <f>_xlfn.CONCAT(AE461,"-",VLOOKUP(AE461,t_objeto!B:D,3,FALSE),"-",A461)</f>
        <v>RRMM-PERCCO-460</v>
      </c>
      <c r="C461" s="22" t="str">
        <f t="shared" si="78"/>
        <v>LAMINA_LISA__ACERO_GALVANIZADA_4'X10'_17</v>
      </c>
      <c r="D461" s="14" t="s">
        <v>7407</v>
      </c>
      <c r="E461" s="14" t="s">
        <v>7380</v>
      </c>
      <c r="F461" s="21" t="s">
        <v>7381</v>
      </c>
      <c r="G461" s="22" t="s">
        <v>7382</v>
      </c>
      <c r="H461" s="14">
        <v>17</v>
      </c>
      <c r="I461" s="16">
        <v>1.37</v>
      </c>
      <c r="J461" s="16">
        <f t="shared" si="70"/>
        <v>5.3937007874015758E-2</v>
      </c>
      <c r="K461" s="16">
        <v>10.901999999999999</v>
      </c>
      <c r="L461" s="23"/>
      <c r="M461" s="23"/>
      <c r="N461" s="23"/>
      <c r="O461" s="23"/>
      <c r="P461" s="23"/>
      <c r="Q461" s="19"/>
      <c r="R461" s="17">
        <v>4</v>
      </c>
      <c r="S461" s="17">
        <v>10</v>
      </c>
      <c r="T461" s="16">
        <f t="shared" si="73"/>
        <v>3048</v>
      </c>
      <c r="U461" s="16">
        <f t="shared" si="74"/>
        <v>1219.1999999999998</v>
      </c>
      <c r="V461" s="18">
        <f t="shared" si="63"/>
        <v>3716121.5999999996</v>
      </c>
      <c r="W461" s="18">
        <f t="shared" si="75"/>
        <v>3.7161215999999997</v>
      </c>
      <c r="X461" s="18">
        <f t="shared" si="76"/>
        <v>40.513157683199992</v>
      </c>
      <c r="Y461" s="24">
        <v>35</v>
      </c>
      <c r="Z461" s="24">
        <f t="shared" si="77"/>
        <v>1417.9605189119998</v>
      </c>
      <c r="AA461" s="16">
        <v>5</v>
      </c>
      <c r="AB461" s="16">
        <f t="shared" si="79"/>
        <v>3038</v>
      </c>
      <c r="AC461" s="16">
        <f t="shared" si="79"/>
        <v>1209.1999999999998</v>
      </c>
      <c r="AD461" s="19">
        <f t="shared" si="68"/>
        <v>3673549.5999999996</v>
      </c>
      <c r="AE461" s="1" t="s">
        <v>7456</v>
      </c>
      <c r="AF461" s="1" t="str">
        <f>VLOOKUP(AE461,t_objeto!B:C,2,FALSE)</f>
        <v>RAW_MATERIAL</v>
      </c>
      <c r="AG461" s="1">
        <v>8</v>
      </c>
      <c r="AH461" s="1" t="str">
        <f>VLOOKUP(AG461,t_entry_status!A:AE,2,FALSE)</f>
        <v>PENDING</v>
      </c>
      <c r="AI461" s="7">
        <v>45560</v>
      </c>
      <c r="AJ461" s="1" t="s">
        <v>7449</v>
      </c>
      <c r="AK461" s="7">
        <v>45560</v>
      </c>
      <c r="AL461" s="1" t="s">
        <v>7449</v>
      </c>
    </row>
    <row r="462" spans="1:38" s="20" customFormat="1" x14ac:dyDescent="0.25">
      <c r="A462" s="14">
        <v>461</v>
      </c>
      <c r="B462" s="14" t="str">
        <f>_xlfn.CONCAT(AE462,"-",VLOOKUP(AE462,t_objeto!B:D,3,FALSE),"-",A462)</f>
        <v>RRMM-PERCCO-461</v>
      </c>
      <c r="C462" s="22" t="str">
        <f t="shared" si="78"/>
        <v>LAMINA_LISA__ACERO_GALVANIZADA_4'X10'_18</v>
      </c>
      <c r="D462" s="14" t="s">
        <v>7407</v>
      </c>
      <c r="E462" s="14" t="s">
        <v>7380</v>
      </c>
      <c r="F462" s="21" t="s">
        <v>7381</v>
      </c>
      <c r="G462" s="22" t="s">
        <v>7382</v>
      </c>
      <c r="H462" s="14">
        <v>18</v>
      </c>
      <c r="I462" s="14">
        <v>1.21</v>
      </c>
      <c r="J462" s="16">
        <f t="shared" si="70"/>
        <v>4.7637795275590554E-2</v>
      </c>
      <c r="K462" s="16">
        <v>10.042999999999999</v>
      </c>
      <c r="L462" s="23"/>
      <c r="M462" s="23"/>
      <c r="N462" s="23"/>
      <c r="O462" s="23"/>
      <c r="P462" s="23"/>
      <c r="Q462" s="19"/>
      <c r="R462" s="17">
        <v>4</v>
      </c>
      <c r="S462" s="17">
        <v>10</v>
      </c>
      <c r="T462" s="16">
        <f t="shared" si="73"/>
        <v>3048</v>
      </c>
      <c r="U462" s="16">
        <f t="shared" si="74"/>
        <v>1219.1999999999998</v>
      </c>
      <c r="V462" s="18">
        <f t="shared" si="63"/>
        <v>3716121.5999999996</v>
      </c>
      <c r="W462" s="18">
        <f t="shared" si="75"/>
        <v>3.7161215999999997</v>
      </c>
      <c r="X462" s="18">
        <f t="shared" si="76"/>
        <v>37.321009228799994</v>
      </c>
      <c r="Y462" s="24">
        <v>35</v>
      </c>
      <c r="Z462" s="24">
        <f t="shared" si="77"/>
        <v>1306.2353230079998</v>
      </c>
      <c r="AA462" s="16">
        <v>5</v>
      </c>
      <c r="AB462" s="16">
        <f t="shared" si="79"/>
        <v>3038</v>
      </c>
      <c r="AC462" s="16">
        <f t="shared" si="79"/>
        <v>1209.1999999999998</v>
      </c>
      <c r="AD462" s="19">
        <f t="shared" si="68"/>
        <v>3673549.5999999996</v>
      </c>
      <c r="AE462" s="1" t="s">
        <v>7456</v>
      </c>
      <c r="AF462" s="1" t="str">
        <f>VLOOKUP(AE462,t_objeto!B:C,2,FALSE)</f>
        <v>RAW_MATERIAL</v>
      </c>
      <c r="AG462" s="1">
        <v>8</v>
      </c>
      <c r="AH462" s="1" t="str">
        <f>VLOOKUP(AG462,t_entry_status!A:AE,2,FALSE)</f>
        <v>PENDING</v>
      </c>
      <c r="AI462" s="7">
        <v>45560</v>
      </c>
      <c r="AJ462" s="1" t="s">
        <v>7449</v>
      </c>
      <c r="AK462" s="7">
        <v>45560</v>
      </c>
      <c r="AL462" s="1" t="s">
        <v>7449</v>
      </c>
    </row>
    <row r="463" spans="1:38" s="20" customFormat="1" x14ac:dyDescent="0.25">
      <c r="A463" s="14">
        <v>462</v>
      </c>
      <c r="B463" s="14" t="str">
        <f>_xlfn.CONCAT(AE463,"-",VLOOKUP(AE463,t_objeto!B:D,3,FALSE),"-",A463)</f>
        <v>RRMM-PERCCO-462</v>
      </c>
      <c r="C463" s="22" t="str">
        <f t="shared" si="78"/>
        <v>LAMINA_LISA__ACERO_GALVANIZADA_4'X10'_19</v>
      </c>
      <c r="D463" s="14" t="s">
        <v>7407</v>
      </c>
      <c r="E463" s="14" t="s">
        <v>7380</v>
      </c>
      <c r="F463" s="21" t="s">
        <v>7381</v>
      </c>
      <c r="G463" s="22" t="s">
        <v>7382</v>
      </c>
      <c r="H463" s="14">
        <v>19</v>
      </c>
      <c r="I463" s="16">
        <v>1.06</v>
      </c>
      <c r="J463" s="16">
        <f t="shared" si="70"/>
        <v>4.1732283464566935E-2</v>
      </c>
      <c r="K463" s="16">
        <v>8.4350000000000005</v>
      </c>
      <c r="L463" s="23"/>
      <c r="M463" s="23"/>
      <c r="N463" s="23"/>
      <c r="O463" s="23"/>
      <c r="P463" s="23"/>
      <c r="Q463" s="19"/>
      <c r="R463" s="17">
        <v>4</v>
      </c>
      <c r="S463" s="17">
        <v>10</v>
      </c>
      <c r="T463" s="16">
        <f t="shared" si="73"/>
        <v>3048</v>
      </c>
      <c r="U463" s="16">
        <f t="shared" si="74"/>
        <v>1219.1999999999998</v>
      </c>
      <c r="V463" s="18">
        <f t="shared" si="63"/>
        <v>3716121.5999999996</v>
      </c>
      <c r="W463" s="18">
        <f t="shared" si="75"/>
        <v>3.7161215999999997</v>
      </c>
      <c r="X463" s="18">
        <f t="shared" si="76"/>
        <v>31.345485696000001</v>
      </c>
      <c r="Y463" s="24">
        <v>35</v>
      </c>
      <c r="Z463" s="24">
        <f t="shared" si="77"/>
        <v>1097.09199936</v>
      </c>
      <c r="AA463" s="16">
        <v>5</v>
      </c>
      <c r="AB463" s="16">
        <f t="shared" si="79"/>
        <v>3038</v>
      </c>
      <c r="AC463" s="16">
        <f t="shared" si="79"/>
        <v>1209.1999999999998</v>
      </c>
      <c r="AD463" s="19">
        <f t="shared" si="68"/>
        <v>3673549.5999999996</v>
      </c>
      <c r="AE463" s="1" t="s">
        <v>7456</v>
      </c>
      <c r="AF463" s="1" t="str">
        <f>VLOOKUP(AE463,t_objeto!B:C,2,FALSE)</f>
        <v>RAW_MATERIAL</v>
      </c>
      <c r="AG463" s="1">
        <v>8</v>
      </c>
      <c r="AH463" s="1" t="str">
        <f>VLOOKUP(AG463,t_entry_status!A:AE,2,FALSE)</f>
        <v>PENDING</v>
      </c>
      <c r="AI463" s="7">
        <v>45560</v>
      </c>
      <c r="AJ463" s="1" t="s">
        <v>7449</v>
      </c>
      <c r="AK463" s="7">
        <v>45560</v>
      </c>
      <c r="AL463" s="1" t="s">
        <v>7449</v>
      </c>
    </row>
    <row r="464" spans="1:38" s="20" customFormat="1" x14ac:dyDescent="0.25">
      <c r="A464" s="14">
        <v>463</v>
      </c>
      <c r="B464" s="14" t="str">
        <f>_xlfn.CONCAT(AE464,"-",VLOOKUP(AE464,t_objeto!B:D,3,FALSE),"-",A464)</f>
        <v>RRMM-PERCCO-463</v>
      </c>
      <c r="C464" s="22" t="str">
        <f t="shared" si="78"/>
        <v>LAMINA_LISA__ACERO_GALVANIZADA_4'X10'_20</v>
      </c>
      <c r="D464" s="14" t="s">
        <v>7407</v>
      </c>
      <c r="E464" s="14" t="s">
        <v>7380</v>
      </c>
      <c r="F464" s="21" t="s">
        <v>7381</v>
      </c>
      <c r="G464" s="22" t="s">
        <v>7382</v>
      </c>
      <c r="H464" s="14">
        <v>20</v>
      </c>
      <c r="I464" s="14">
        <v>0.91</v>
      </c>
      <c r="J464" s="16">
        <f t="shared" si="70"/>
        <v>3.582677165354331E-2</v>
      </c>
      <c r="K464" s="16">
        <v>7.601</v>
      </c>
      <c r="L464" s="23"/>
      <c r="M464" s="23"/>
      <c r="N464" s="23"/>
      <c r="O464" s="23"/>
      <c r="P464" s="23"/>
      <c r="Q464" s="19"/>
      <c r="R464" s="17">
        <v>4</v>
      </c>
      <c r="S464" s="17">
        <v>10</v>
      </c>
      <c r="T464" s="16">
        <f t="shared" si="73"/>
        <v>3048</v>
      </c>
      <c r="U464" s="16">
        <f t="shared" si="74"/>
        <v>1219.1999999999998</v>
      </c>
      <c r="V464" s="18">
        <f t="shared" si="63"/>
        <v>3716121.5999999996</v>
      </c>
      <c r="W464" s="18">
        <f t="shared" si="75"/>
        <v>3.7161215999999997</v>
      </c>
      <c r="X464" s="18">
        <f t="shared" si="76"/>
        <v>28.246240281599999</v>
      </c>
      <c r="Y464" s="24">
        <v>35</v>
      </c>
      <c r="Z464" s="24">
        <f t="shared" si="77"/>
        <v>988.61840985599997</v>
      </c>
      <c r="AA464" s="16">
        <v>5</v>
      </c>
      <c r="AB464" s="16">
        <f t="shared" si="79"/>
        <v>3038</v>
      </c>
      <c r="AC464" s="16">
        <f t="shared" si="79"/>
        <v>1209.1999999999998</v>
      </c>
      <c r="AD464" s="19">
        <f t="shared" si="68"/>
        <v>3673549.5999999996</v>
      </c>
      <c r="AE464" s="1" t="s">
        <v>7456</v>
      </c>
      <c r="AF464" s="1" t="str">
        <f>VLOOKUP(AE464,t_objeto!B:C,2,FALSE)</f>
        <v>RAW_MATERIAL</v>
      </c>
      <c r="AG464" s="1">
        <v>8</v>
      </c>
      <c r="AH464" s="1" t="str">
        <f>VLOOKUP(AG464,t_entry_status!A:AE,2,FALSE)</f>
        <v>PENDING</v>
      </c>
      <c r="AI464" s="7">
        <v>45560</v>
      </c>
      <c r="AJ464" s="1" t="s">
        <v>7449</v>
      </c>
      <c r="AK464" s="7">
        <v>45560</v>
      </c>
      <c r="AL464" s="1" t="s">
        <v>7449</v>
      </c>
    </row>
    <row r="465" spans="1:38" s="20" customFormat="1" x14ac:dyDescent="0.25">
      <c r="A465" s="14">
        <v>464</v>
      </c>
      <c r="B465" s="14" t="str">
        <f>_xlfn.CONCAT(AE465,"-",VLOOKUP(AE465,t_objeto!B:D,3,FALSE),"-",A465)</f>
        <v>RRMM-PERCCO-464</v>
      </c>
      <c r="C465" s="22" t="str">
        <f t="shared" si="78"/>
        <v>LAMINA_LISA__ACERO_GALVANIZADA_4'X10'_21</v>
      </c>
      <c r="D465" s="14" t="s">
        <v>7407</v>
      </c>
      <c r="E465" s="14" t="s">
        <v>7380</v>
      </c>
      <c r="F465" s="21" t="s">
        <v>7381</v>
      </c>
      <c r="G465" s="22" t="s">
        <v>7382</v>
      </c>
      <c r="H465" s="14">
        <v>21</v>
      </c>
      <c r="I465" s="16">
        <v>0.84</v>
      </c>
      <c r="J465" s="16">
        <f t="shared" si="70"/>
        <v>3.3070866141732283E-2</v>
      </c>
      <c r="K465" s="16">
        <v>6.6840000000000002</v>
      </c>
      <c r="L465" s="23"/>
      <c r="M465" s="23"/>
      <c r="N465" s="23"/>
      <c r="O465" s="23"/>
      <c r="P465" s="23"/>
      <c r="Q465" s="19"/>
      <c r="R465" s="17">
        <v>4</v>
      </c>
      <c r="S465" s="17">
        <v>10</v>
      </c>
      <c r="T465" s="16">
        <f t="shared" si="73"/>
        <v>3048</v>
      </c>
      <c r="U465" s="16">
        <f t="shared" si="74"/>
        <v>1219.1999999999998</v>
      </c>
      <c r="V465" s="18">
        <f t="shared" si="63"/>
        <v>3716121.5999999996</v>
      </c>
      <c r="W465" s="18">
        <f t="shared" si="75"/>
        <v>3.7161215999999997</v>
      </c>
      <c r="X465" s="18">
        <f t="shared" si="76"/>
        <v>24.838556774399997</v>
      </c>
      <c r="Y465" s="24">
        <v>35</v>
      </c>
      <c r="Z465" s="24">
        <f t="shared" si="77"/>
        <v>869.34948710399988</v>
      </c>
      <c r="AA465" s="16">
        <v>5</v>
      </c>
      <c r="AB465" s="16">
        <f t="shared" si="79"/>
        <v>3038</v>
      </c>
      <c r="AC465" s="16">
        <f t="shared" si="79"/>
        <v>1209.1999999999998</v>
      </c>
      <c r="AD465" s="19">
        <f t="shared" si="68"/>
        <v>3673549.5999999996</v>
      </c>
      <c r="AE465" s="1" t="s">
        <v>7456</v>
      </c>
      <c r="AF465" s="1" t="str">
        <f>VLOOKUP(AE465,t_objeto!B:C,2,FALSE)</f>
        <v>RAW_MATERIAL</v>
      </c>
      <c r="AG465" s="1">
        <v>8</v>
      </c>
      <c r="AH465" s="1" t="str">
        <f>VLOOKUP(AG465,t_entry_status!A:AE,2,FALSE)</f>
        <v>PENDING</v>
      </c>
      <c r="AI465" s="7">
        <v>45560</v>
      </c>
      <c r="AJ465" s="1" t="s">
        <v>7449</v>
      </c>
      <c r="AK465" s="7">
        <v>45560</v>
      </c>
      <c r="AL465" s="1" t="s">
        <v>7449</v>
      </c>
    </row>
    <row r="466" spans="1:38" s="20" customFormat="1" x14ac:dyDescent="0.25">
      <c r="A466" s="14">
        <v>465</v>
      </c>
      <c r="B466" s="14" t="str">
        <f>_xlfn.CONCAT(AE466,"-",VLOOKUP(AE466,t_objeto!B:D,3,FALSE),"-",A466)</f>
        <v>RRMM-PERCCO-465</v>
      </c>
      <c r="C466" s="22" t="str">
        <f t="shared" si="78"/>
        <v>LAMINA_LISA__ACERO_GALVANIZADA_4'X10'_22</v>
      </c>
      <c r="D466" s="14" t="s">
        <v>7407</v>
      </c>
      <c r="E466" s="14" t="s">
        <v>7380</v>
      </c>
      <c r="F466" s="21" t="s">
        <v>7381</v>
      </c>
      <c r="G466" s="22" t="s">
        <v>7382</v>
      </c>
      <c r="H466" s="14">
        <v>22</v>
      </c>
      <c r="I466" s="14">
        <v>0.76</v>
      </c>
      <c r="J466" s="16">
        <f t="shared" si="70"/>
        <v>2.9921259842519688E-2</v>
      </c>
      <c r="K466" s="16">
        <v>6.38</v>
      </c>
      <c r="L466" s="23"/>
      <c r="M466" s="23"/>
      <c r="N466" s="23"/>
      <c r="O466" s="23"/>
      <c r="P466" s="23"/>
      <c r="Q466" s="19"/>
      <c r="R466" s="17">
        <v>4</v>
      </c>
      <c r="S466" s="17">
        <v>10</v>
      </c>
      <c r="T466" s="16">
        <f t="shared" si="73"/>
        <v>3048</v>
      </c>
      <c r="U466" s="16">
        <f t="shared" si="74"/>
        <v>1219.1999999999998</v>
      </c>
      <c r="V466" s="18">
        <f t="shared" si="63"/>
        <v>3716121.5999999996</v>
      </c>
      <c r="W466" s="18">
        <f t="shared" si="75"/>
        <v>3.7161215999999997</v>
      </c>
      <c r="X466" s="18">
        <f t="shared" si="76"/>
        <v>23.708855807999999</v>
      </c>
      <c r="Y466" s="24">
        <v>35</v>
      </c>
      <c r="Z466" s="24">
        <f t="shared" si="77"/>
        <v>829.80995327999995</v>
      </c>
      <c r="AA466" s="16">
        <v>5</v>
      </c>
      <c r="AB466" s="16">
        <f t="shared" si="79"/>
        <v>3038</v>
      </c>
      <c r="AC466" s="16">
        <f t="shared" si="79"/>
        <v>1209.1999999999998</v>
      </c>
      <c r="AD466" s="19">
        <f t="shared" si="68"/>
        <v>3673549.5999999996</v>
      </c>
      <c r="AE466" s="1" t="s">
        <v>7456</v>
      </c>
      <c r="AF466" s="1" t="str">
        <f>VLOOKUP(AE466,t_objeto!B:C,2,FALSE)</f>
        <v>RAW_MATERIAL</v>
      </c>
      <c r="AG466" s="1">
        <v>8</v>
      </c>
      <c r="AH466" s="1" t="str">
        <f>VLOOKUP(AG466,t_entry_status!A:AE,2,FALSE)</f>
        <v>PENDING</v>
      </c>
      <c r="AI466" s="7">
        <v>45560</v>
      </c>
      <c r="AJ466" s="1" t="s">
        <v>7449</v>
      </c>
      <c r="AK466" s="7">
        <v>45560</v>
      </c>
      <c r="AL466" s="1" t="s">
        <v>7449</v>
      </c>
    </row>
    <row r="467" spans="1:38" s="20" customFormat="1" x14ac:dyDescent="0.25">
      <c r="A467" s="14">
        <v>466</v>
      </c>
      <c r="B467" s="14" t="str">
        <f>_xlfn.CONCAT(AE467,"-",VLOOKUP(AE467,t_objeto!B:D,3,FALSE),"-",A467)</f>
        <v>RRMM-PERCCO-466</v>
      </c>
      <c r="C467" s="22" t="str">
        <f t="shared" si="78"/>
        <v>LAMINA_LISA__ACERO_GALVANIZADA_4'X10'_23</v>
      </c>
      <c r="D467" s="14" t="s">
        <v>7407</v>
      </c>
      <c r="E467" s="14" t="s">
        <v>7380</v>
      </c>
      <c r="F467" s="21" t="s">
        <v>7381</v>
      </c>
      <c r="G467" s="22" t="s">
        <v>7382</v>
      </c>
      <c r="H467" s="14">
        <v>23</v>
      </c>
      <c r="I467" s="16">
        <v>0.68</v>
      </c>
      <c r="J467" s="16">
        <f t="shared" ref="J467:J530" si="80">I467/25.4</f>
        <v>2.677165354330709E-2</v>
      </c>
      <c r="K467" s="16">
        <v>5.4109999999999996</v>
      </c>
      <c r="L467" s="23"/>
      <c r="M467" s="23"/>
      <c r="N467" s="23"/>
      <c r="O467" s="23"/>
      <c r="P467" s="23"/>
      <c r="Q467" s="19"/>
      <c r="R467" s="17">
        <v>4</v>
      </c>
      <c r="S467" s="17">
        <v>10</v>
      </c>
      <c r="T467" s="16">
        <f t="shared" si="73"/>
        <v>3048</v>
      </c>
      <c r="U467" s="16">
        <f t="shared" si="74"/>
        <v>1219.1999999999998</v>
      </c>
      <c r="V467" s="18">
        <f t="shared" si="63"/>
        <v>3716121.5999999996</v>
      </c>
      <c r="W467" s="18">
        <f t="shared" si="75"/>
        <v>3.7161215999999997</v>
      </c>
      <c r="X467" s="18">
        <f t="shared" si="76"/>
        <v>20.107933977599998</v>
      </c>
      <c r="Y467" s="24">
        <v>35</v>
      </c>
      <c r="Z467" s="24">
        <f t="shared" si="77"/>
        <v>703.777689216</v>
      </c>
      <c r="AA467" s="16">
        <v>5</v>
      </c>
      <c r="AB467" s="16">
        <f t="shared" si="79"/>
        <v>3038</v>
      </c>
      <c r="AC467" s="16">
        <f t="shared" si="79"/>
        <v>1209.1999999999998</v>
      </c>
      <c r="AD467" s="19">
        <f t="shared" si="68"/>
        <v>3673549.5999999996</v>
      </c>
      <c r="AE467" s="1" t="s">
        <v>7456</v>
      </c>
      <c r="AF467" s="1" t="str">
        <f>VLOOKUP(AE467,t_objeto!B:C,2,FALSE)</f>
        <v>RAW_MATERIAL</v>
      </c>
      <c r="AG467" s="1">
        <v>8</v>
      </c>
      <c r="AH467" s="1" t="str">
        <f>VLOOKUP(AG467,t_entry_status!A:AE,2,FALSE)</f>
        <v>PENDING</v>
      </c>
      <c r="AI467" s="7">
        <v>45560</v>
      </c>
      <c r="AJ467" s="1" t="s">
        <v>7449</v>
      </c>
      <c r="AK467" s="7">
        <v>45560</v>
      </c>
      <c r="AL467" s="1" t="s">
        <v>7449</v>
      </c>
    </row>
    <row r="468" spans="1:38" s="20" customFormat="1" x14ac:dyDescent="0.25">
      <c r="A468" s="14">
        <v>467</v>
      </c>
      <c r="B468" s="14" t="str">
        <f>_xlfn.CONCAT(AE468,"-",VLOOKUP(AE468,t_objeto!B:D,3,FALSE),"-",A468)</f>
        <v>RRMM-PERCCO-467</v>
      </c>
      <c r="C468" s="22" t="str">
        <f t="shared" si="78"/>
        <v>LAMINA_LISA__ACERO_GALVANIZADA_4'X10'_24</v>
      </c>
      <c r="D468" s="14" t="s">
        <v>7407</v>
      </c>
      <c r="E468" s="14" t="s">
        <v>7380</v>
      </c>
      <c r="F468" s="21" t="s">
        <v>7381</v>
      </c>
      <c r="G468" s="22" t="s">
        <v>7382</v>
      </c>
      <c r="H468" s="14">
        <v>24</v>
      </c>
      <c r="I468" s="14">
        <v>0.61</v>
      </c>
      <c r="J468" s="16">
        <f t="shared" si="80"/>
        <v>2.4015748031496063E-2</v>
      </c>
      <c r="K468" s="16">
        <v>5.1589999999999998</v>
      </c>
      <c r="L468" s="23"/>
      <c r="M468" s="23"/>
      <c r="N468" s="23"/>
      <c r="O468" s="23"/>
      <c r="P468" s="23"/>
      <c r="Q468" s="19"/>
      <c r="R468" s="17">
        <v>4</v>
      </c>
      <c r="S468" s="17">
        <v>10</v>
      </c>
      <c r="T468" s="16">
        <f t="shared" si="73"/>
        <v>3048</v>
      </c>
      <c r="U468" s="16">
        <f t="shared" si="74"/>
        <v>1219.1999999999998</v>
      </c>
      <c r="V468" s="18">
        <f t="shared" si="63"/>
        <v>3716121.5999999996</v>
      </c>
      <c r="W468" s="18">
        <f t="shared" si="75"/>
        <v>3.7161215999999997</v>
      </c>
      <c r="X468" s="18">
        <f t="shared" si="76"/>
        <v>19.171471334399996</v>
      </c>
      <c r="Y468" s="24">
        <v>35</v>
      </c>
      <c r="Z468" s="24">
        <f t="shared" si="77"/>
        <v>671.00149670399992</v>
      </c>
      <c r="AA468" s="16">
        <v>5</v>
      </c>
      <c r="AB468" s="16">
        <f t="shared" si="79"/>
        <v>3038</v>
      </c>
      <c r="AC468" s="16">
        <f t="shared" si="79"/>
        <v>1209.1999999999998</v>
      </c>
      <c r="AD468" s="19">
        <f t="shared" si="68"/>
        <v>3673549.5999999996</v>
      </c>
      <c r="AE468" s="1" t="s">
        <v>7456</v>
      </c>
      <c r="AF468" s="1" t="str">
        <f>VLOOKUP(AE468,t_objeto!B:C,2,FALSE)</f>
        <v>RAW_MATERIAL</v>
      </c>
      <c r="AG468" s="1">
        <v>8</v>
      </c>
      <c r="AH468" s="1" t="str">
        <f>VLOOKUP(AG468,t_entry_status!A:AE,2,FALSE)</f>
        <v>PENDING</v>
      </c>
      <c r="AI468" s="7">
        <v>45560</v>
      </c>
      <c r="AJ468" s="1" t="s">
        <v>7449</v>
      </c>
      <c r="AK468" s="7">
        <v>45560</v>
      </c>
      <c r="AL468" s="1" t="s">
        <v>7449</v>
      </c>
    </row>
    <row r="469" spans="1:38" s="20" customFormat="1" x14ac:dyDescent="0.25">
      <c r="A469" s="14">
        <v>468</v>
      </c>
      <c r="B469" s="14" t="str">
        <f>_xlfn.CONCAT(AE469,"-",VLOOKUP(AE469,t_objeto!B:D,3,FALSE),"-",A469)</f>
        <v>RRMM-PERCCO-468</v>
      </c>
      <c r="C469" s="22" t="str">
        <f t="shared" si="78"/>
        <v>LAMINA_LISA__ACERO_GALVANIZADA_4'X10'_25</v>
      </c>
      <c r="D469" s="14" t="s">
        <v>7407</v>
      </c>
      <c r="E469" s="14" t="s">
        <v>7380</v>
      </c>
      <c r="F469" s="21" t="s">
        <v>7381</v>
      </c>
      <c r="G469" s="22" t="s">
        <v>7382</v>
      </c>
      <c r="H469" s="14">
        <v>25</v>
      </c>
      <c r="I469" s="16">
        <v>0.53</v>
      </c>
      <c r="J469" s="16">
        <f t="shared" si="80"/>
        <v>2.0866141732283468E-2</v>
      </c>
      <c r="K469" s="16">
        <v>4.2169999999999996</v>
      </c>
      <c r="L469" s="23"/>
      <c r="M469" s="23"/>
      <c r="N469" s="23"/>
      <c r="O469" s="23"/>
      <c r="P469" s="23"/>
      <c r="Q469" s="19"/>
      <c r="R469" s="17">
        <v>4</v>
      </c>
      <c r="S469" s="17">
        <v>10</v>
      </c>
      <c r="T469" s="16">
        <f t="shared" si="73"/>
        <v>3048</v>
      </c>
      <c r="U469" s="16">
        <f t="shared" si="74"/>
        <v>1219.1999999999998</v>
      </c>
      <c r="V469" s="18">
        <f t="shared" ref="V469:V532" si="81">T469*U469</f>
        <v>3716121.5999999996</v>
      </c>
      <c r="W469" s="18">
        <f t="shared" si="75"/>
        <v>3.7161215999999997</v>
      </c>
      <c r="X469" s="18">
        <f t="shared" si="76"/>
        <v>15.670884787199997</v>
      </c>
      <c r="Y469" s="24">
        <v>35</v>
      </c>
      <c r="Z469" s="24">
        <f t="shared" si="77"/>
        <v>548.48096755199992</v>
      </c>
      <c r="AA469" s="16">
        <v>5</v>
      </c>
      <c r="AB469" s="16">
        <f t="shared" si="79"/>
        <v>3038</v>
      </c>
      <c r="AC469" s="16">
        <f t="shared" si="79"/>
        <v>1209.1999999999998</v>
      </c>
      <c r="AD469" s="19">
        <f t="shared" ref="AD469:AD532" si="82">AB469*AC469</f>
        <v>3673549.5999999996</v>
      </c>
      <c r="AE469" s="1" t="s">
        <v>7456</v>
      </c>
      <c r="AF469" s="1" t="str">
        <f>VLOOKUP(AE469,t_objeto!B:C,2,FALSE)</f>
        <v>RAW_MATERIAL</v>
      </c>
      <c r="AG469" s="1">
        <v>8</v>
      </c>
      <c r="AH469" s="1" t="str">
        <f>VLOOKUP(AG469,t_entry_status!A:AE,2,FALSE)</f>
        <v>PENDING</v>
      </c>
      <c r="AI469" s="7">
        <v>45560</v>
      </c>
      <c r="AJ469" s="1" t="s">
        <v>7449</v>
      </c>
      <c r="AK469" s="7">
        <v>45560</v>
      </c>
      <c r="AL469" s="1" t="s">
        <v>7449</v>
      </c>
    </row>
    <row r="470" spans="1:38" s="20" customFormat="1" x14ac:dyDescent="0.25">
      <c r="A470" s="14">
        <v>469</v>
      </c>
      <c r="B470" s="14" t="str">
        <f>_xlfn.CONCAT(AE470,"-",VLOOKUP(AE470,t_objeto!B:D,3,FALSE),"-",A470)</f>
        <v>RRMM-PERCCO-469</v>
      </c>
      <c r="C470" s="22" t="str">
        <f t="shared" si="78"/>
        <v>LAMINA_LISA__ACERO_GALVANIZADA_4'X10'_26</v>
      </c>
      <c r="D470" s="14" t="s">
        <v>7407</v>
      </c>
      <c r="E470" s="14" t="s">
        <v>7380</v>
      </c>
      <c r="F470" s="21" t="s">
        <v>7381</v>
      </c>
      <c r="G470" s="22" t="s">
        <v>7382</v>
      </c>
      <c r="H470" s="14">
        <v>26</v>
      </c>
      <c r="I470" s="14">
        <v>0.45</v>
      </c>
      <c r="J470" s="16">
        <f t="shared" si="80"/>
        <v>1.7716535433070866E-2</v>
      </c>
      <c r="K470" s="16">
        <f>3.663+0.275</f>
        <v>3.9379999999999997</v>
      </c>
      <c r="L470" s="23"/>
      <c r="M470" s="23"/>
      <c r="N470" s="23"/>
      <c r="O470" s="23"/>
      <c r="P470" s="23"/>
      <c r="Q470" s="19"/>
      <c r="R470" s="17">
        <v>4</v>
      </c>
      <c r="S470" s="17">
        <v>10</v>
      </c>
      <c r="T470" s="16">
        <f t="shared" si="73"/>
        <v>3048</v>
      </c>
      <c r="U470" s="16">
        <f t="shared" si="74"/>
        <v>1219.1999999999998</v>
      </c>
      <c r="V470" s="18">
        <f t="shared" si="81"/>
        <v>3716121.5999999996</v>
      </c>
      <c r="W470" s="18">
        <f t="shared" si="75"/>
        <v>3.7161215999999997</v>
      </c>
      <c r="X470" s="18">
        <f t="shared" si="76"/>
        <v>14.634086860799998</v>
      </c>
      <c r="Y470" s="24">
        <v>35</v>
      </c>
      <c r="Z470" s="24">
        <f t="shared" si="77"/>
        <v>512.19304012799989</v>
      </c>
      <c r="AA470" s="16">
        <v>5</v>
      </c>
      <c r="AB470" s="16">
        <f t="shared" si="79"/>
        <v>3038</v>
      </c>
      <c r="AC470" s="16">
        <f t="shared" si="79"/>
        <v>1209.1999999999998</v>
      </c>
      <c r="AD470" s="19">
        <f t="shared" si="82"/>
        <v>3673549.5999999996</v>
      </c>
      <c r="AE470" s="1" t="s">
        <v>7456</v>
      </c>
      <c r="AF470" s="1" t="str">
        <f>VLOOKUP(AE470,t_objeto!B:C,2,FALSE)</f>
        <v>RAW_MATERIAL</v>
      </c>
      <c r="AG470" s="1">
        <v>8</v>
      </c>
      <c r="AH470" s="1" t="str">
        <f>VLOOKUP(AG470,t_entry_status!A:AE,2,FALSE)</f>
        <v>PENDING</v>
      </c>
      <c r="AI470" s="7">
        <v>45560</v>
      </c>
      <c r="AJ470" s="1" t="s">
        <v>7449</v>
      </c>
      <c r="AK470" s="7">
        <v>45560</v>
      </c>
      <c r="AL470" s="1" t="s">
        <v>7449</v>
      </c>
    </row>
    <row r="471" spans="1:38" s="20" customFormat="1" x14ac:dyDescent="0.25">
      <c r="A471" s="14">
        <v>470</v>
      </c>
      <c r="B471" s="14" t="str">
        <f>_xlfn.CONCAT(AE471,"-",VLOOKUP(AE471,t_objeto!B:D,3,FALSE),"-",A471)</f>
        <v>RRMM-PERCCO-470</v>
      </c>
      <c r="C471" s="22" t="str">
        <f t="shared" si="78"/>
        <v>LAMINA_LISA__ACERO_GALVANIZADA_4'X10'_27</v>
      </c>
      <c r="D471" s="14" t="s">
        <v>7407</v>
      </c>
      <c r="E471" s="14" t="s">
        <v>7380</v>
      </c>
      <c r="F471" s="21" t="s">
        <v>7381</v>
      </c>
      <c r="G471" s="22" t="s">
        <v>7382</v>
      </c>
      <c r="H471" s="14">
        <v>27</v>
      </c>
      <c r="I471" s="16">
        <v>0.42</v>
      </c>
      <c r="J471" s="16">
        <f t="shared" si="80"/>
        <v>1.6535433070866142E-2</v>
      </c>
      <c r="K471" s="16">
        <v>3.3420000000000001</v>
      </c>
      <c r="L471" s="23"/>
      <c r="M471" s="23"/>
      <c r="N471" s="23"/>
      <c r="O471" s="23"/>
      <c r="P471" s="23"/>
      <c r="Q471" s="19"/>
      <c r="R471" s="17">
        <v>4</v>
      </c>
      <c r="S471" s="17">
        <v>10</v>
      </c>
      <c r="T471" s="16">
        <f t="shared" si="73"/>
        <v>3048</v>
      </c>
      <c r="U471" s="16">
        <f t="shared" si="74"/>
        <v>1219.1999999999998</v>
      </c>
      <c r="V471" s="18">
        <f t="shared" si="81"/>
        <v>3716121.5999999996</v>
      </c>
      <c r="W471" s="18">
        <f t="shared" si="75"/>
        <v>3.7161215999999997</v>
      </c>
      <c r="X471" s="18">
        <f t="shared" si="76"/>
        <v>12.419278387199999</v>
      </c>
      <c r="Y471" s="24">
        <v>35</v>
      </c>
      <c r="Z471" s="24">
        <f t="shared" si="77"/>
        <v>434.67474355199994</v>
      </c>
      <c r="AA471" s="16">
        <v>5</v>
      </c>
      <c r="AB471" s="16">
        <f t="shared" si="79"/>
        <v>3038</v>
      </c>
      <c r="AC471" s="16">
        <f t="shared" si="79"/>
        <v>1209.1999999999998</v>
      </c>
      <c r="AD471" s="19">
        <f t="shared" si="82"/>
        <v>3673549.5999999996</v>
      </c>
      <c r="AE471" s="1" t="s">
        <v>7456</v>
      </c>
      <c r="AF471" s="1" t="str">
        <f>VLOOKUP(AE471,t_objeto!B:C,2,FALSE)</f>
        <v>RAW_MATERIAL</v>
      </c>
      <c r="AG471" s="1">
        <v>8</v>
      </c>
      <c r="AH471" s="1" t="str">
        <f>VLOOKUP(AG471,t_entry_status!A:AE,2,FALSE)</f>
        <v>PENDING</v>
      </c>
      <c r="AI471" s="7">
        <v>45560</v>
      </c>
      <c r="AJ471" s="1" t="s">
        <v>7449</v>
      </c>
      <c r="AK471" s="7">
        <v>45560</v>
      </c>
      <c r="AL471" s="1" t="s">
        <v>7449</v>
      </c>
    </row>
    <row r="472" spans="1:38" s="20" customFormat="1" x14ac:dyDescent="0.25">
      <c r="A472" s="14">
        <v>471</v>
      </c>
      <c r="B472" s="14" t="str">
        <f>_xlfn.CONCAT(AE472,"-",VLOOKUP(AE472,t_objeto!B:D,3,FALSE),"-",A472)</f>
        <v>RRMM-PERCCO-471</v>
      </c>
      <c r="C472" s="22" t="str">
        <f t="shared" si="78"/>
        <v>LAMINA_LISA__ACERO_GALVANIZADA_4'X10'_28</v>
      </c>
      <c r="D472" s="14" t="s">
        <v>7407</v>
      </c>
      <c r="E472" s="14" t="s">
        <v>7380</v>
      </c>
      <c r="F472" s="21" t="s">
        <v>7381</v>
      </c>
      <c r="G472" s="22" t="s">
        <v>7382</v>
      </c>
      <c r="H472" s="14">
        <v>28</v>
      </c>
      <c r="I472" s="14">
        <v>0.38</v>
      </c>
      <c r="J472" s="16">
        <f t="shared" si="80"/>
        <v>1.4960629921259844E-2</v>
      </c>
      <c r="K472" s="16">
        <v>3.327</v>
      </c>
      <c r="L472" s="23"/>
      <c r="M472" s="23"/>
      <c r="N472" s="23"/>
      <c r="O472" s="23"/>
      <c r="P472" s="23"/>
      <c r="Q472" s="19"/>
      <c r="R472" s="17">
        <v>4</v>
      </c>
      <c r="S472" s="17">
        <v>10</v>
      </c>
      <c r="T472" s="16">
        <f t="shared" si="73"/>
        <v>3048</v>
      </c>
      <c r="U472" s="16">
        <f t="shared" si="74"/>
        <v>1219.1999999999998</v>
      </c>
      <c r="V472" s="18">
        <f t="shared" si="81"/>
        <v>3716121.5999999996</v>
      </c>
      <c r="W472" s="18">
        <f t="shared" si="75"/>
        <v>3.7161215999999997</v>
      </c>
      <c r="X472" s="18">
        <f t="shared" si="76"/>
        <v>12.363536563199998</v>
      </c>
      <c r="Y472" s="24">
        <v>35</v>
      </c>
      <c r="Z472" s="24">
        <f t="shared" si="77"/>
        <v>432.72377971199995</v>
      </c>
      <c r="AA472" s="16">
        <v>5</v>
      </c>
      <c r="AB472" s="16">
        <f t="shared" si="79"/>
        <v>3038</v>
      </c>
      <c r="AC472" s="16">
        <f t="shared" si="79"/>
        <v>1209.1999999999998</v>
      </c>
      <c r="AD472" s="19">
        <f t="shared" si="82"/>
        <v>3673549.5999999996</v>
      </c>
      <c r="AE472" s="1" t="s">
        <v>7456</v>
      </c>
      <c r="AF472" s="1" t="str">
        <f>VLOOKUP(AE472,t_objeto!B:C,2,FALSE)</f>
        <v>RAW_MATERIAL</v>
      </c>
      <c r="AG472" s="1">
        <v>8</v>
      </c>
      <c r="AH472" s="1" t="str">
        <f>VLOOKUP(AG472,t_entry_status!A:AE,2,FALSE)</f>
        <v>PENDING</v>
      </c>
      <c r="AI472" s="7">
        <v>45560</v>
      </c>
      <c r="AJ472" s="1" t="s">
        <v>7449</v>
      </c>
      <c r="AK472" s="7">
        <v>45560</v>
      </c>
      <c r="AL472" s="1" t="s">
        <v>7449</v>
      </c>
    </row>
    <row r="473" spans="1:38" s="20" customFormat="1" x14ac:dyDescent="0.25">
      <c r="A473" s="14">
        <v>472</v>
      </c>
      <c r="B473" s="14" t="str">
        <f>_xlfn.CONCAT(AE473,"-",VLOOKUP(AE473,t_objeto!B:D,3,FALSE),"-",A473)</f>
        <v>RRMM-PERCCO-472</v>
      </c>
      <c r="C473" s="22" t="str">
        <f t="shared" si="78"/>
        <v>LAMINA_LISA__ACERO_PINTRO_4'X10'_12</v>
      </c>
      <c r="D473" s="14" t="s">
        <v>7407</v>
      </c>
      <c r="E473" s="14" t="s">
        <v>7380</v>
      </c>
      <c r="F473" s="21" t="s">
        <v>7383</v>
      </c>
      <c r="G473" s="22" t="s">
        <v>7382</v>
      </c>
      <c r="H473" s="14">
        <v>12</v>
      </c>
      <c r="I473" s="14">
        <v>2.66</v>
      </c>
      <c r="J473" s="16">
        <f t="shared" si="80"/>
        <v>0.1047244094488189</v>
      </c>
      <c r="K473" s="16">
        <v>21.641999999999999</v>
      </c>
      <c r="L473" s="23"/>
      <c r="M473" s="23"/>
      <c r="N473" s="23"/>
      <c r="O473" s="23"/>
      <c r="P473" s="23"/>
      <c r="Q473" s="19"/>
      <c r="R473" s="17">
        <v>4</v>
      </c>
      <c r="S473" s="17">
        <v>10</v>
      </c>
      <c r="T473" s="16">
        <f t="shared" si="73"/>
        <v>3048</v>
      </c>
      <c r="U473" s="16">
        <f t="shared" si="74"/>
        <v>1219.1999999999998</v>
      </c>
      <c r="V473" s="18">
        <f t="shared" si="81"/>
        <v>3716121.5999999996</v>
      </c>
      <c r="W473" s="18">
        <f t="shared" si="75"/>
        <v>3.7161215999999997</v>
      </c>
      <c r="X473" s="18">
        <f t="shared" si="76"/>
        <v>80.424303667199993</v>
      </c>
      <c r="Y473" s="24">
        <v>35</v>
      </c>
      <c r="Z473" s="24">
        <f t="shared" si="77"/>
        <v>2814.8506283519996</v>
      </c>
      <c r="AA473" s="16">
        <v>5</v>
      </c>
      <c r="AB473" s="16">
        <f t="shared" si="79"/>
        <v>3038</v>
      </c>
      <c r="AC473" s="16">
        <f t="shared" si="79"/>
        <v>1209.1999999999998</v>
      </c>
      <c r="AD473" s="19">
        <f t="shared" si="82"/>
        <v>3673549.5999999996</v>
      </c>
      <c r="AE473" s="1" t="s">
        <v>7456</v>
      </c>
      <c r="AF473" s="1" t="str">
        <f>VLOOKUP(AE473,t_objeto!B:C,2,FALSE)</f>
        <v>RAW_MATERIAL</v>
      </c>
      <c r="AG473" s="1">
        <v>8</v>
      </c>
      <c r="AH473" s="1" t="str">
        <f>VLOOKUP(AG473,t_entry_status!A:AE,2,FALSE)</f>
        <v>PENDING</v>
      </c>
      <c r="AI473" s="7">
        <v>45560</v>
      </c>
      <c r="AJ473" s="1" t="s">
        <v>7449</v>
      </c>
      <c r="AK473" s="7">
        <v>45560</v>
      </c>
      <c r="AL473" s="1" t="s">
        <v>7449</v>
      </c>
    </row>
    <row r="474" spans="1:38" s="20" customFormat="1" x14ac:dyDescent="0.25">
      <c r="A474" s="14">
        <v>473</v>
      </c>
      <c r="B474" s="14" t="str">
        <f>_xlfn.CONCAT(AE474,"-",VLOOKUP(AE474,t_objeto!B:D,3,FALSE),"-",A474)</f>
        <v>RRMM-PERCCO-473</v>
      </c>
      <c r="C474" s="22" t="str">
        <f t="shared" si="78"/>
        <v>LAMINA_LISA__ACERO_PINTRO_4'X10'_13</v>
      </c>
      <c r="D474" s="14" t="s">
        <v>7407</v>
      </c>
      <c r="E474" s="14" t="s">
        <v>7380</v>
      </c>
      <c r="F474" s="21" t="s">
        <v>7383</v>
      </c>
      <c r="G474" s="22" t="s">
        <v>7382</v>
      </c>
      <c r="H474" s="14">
        <v>13</v>
      </c>
      <c r="I474" s="16">
        <v>2.2799999999999998</v>
      </c>
      <c r="J474" s="16">
        <f t="shared" si="80"/>
        <v>8.9763779527559054E-2</v>
      </c>
      <c r="K474" s="16">
        <v>18.143000000000001</v>
      </c>
      <c r="L474" s="23"/>
      <c r="M474" s="23"/>
      <c r="N474" s="23"/>
      <c r="O474" s="23"/>
      <c r="P474" s="23"/>
      <c r="Q474" s="19"/>
      <c r="R474" s="17">
        <v>4</v>
      </c>
      <c r="S474" s="17">
        <v>10</v>
      </c>
      <c r="T474" s="16">
        <f t="shared" si="73"/>
        <v>3048</v>
      </c>
      <c r="U474" s="16">
        <f t="shared" si="74"/>
        <v>1219.1999999999998</v>
      </c>
      <c r="V474" s="18">
        <f t="shared" si="81"/>
        <v>3716121.5999999996</v>
      </c>
      <c r="W474" s="18">
        <f t="shared" si="75"/>
        <v>3.7161215999999997</v>
      </c>
      <c r="X474" s="18">
        <f t="shared" si="76"/>
        <v>67.4215941888</v>
      </c>
      <c r="Y474" s="24">
        <v>35</v>
      </c>
      <c r="Z474" s="24">
        <f t="shared" si="77"/>
        <v>2359.7557966079999</v>
      </c>
      <c r="AA474" s="16">
        <v>5</v>
      </c>
      <c r="AB474" s="16">
        <f t="shared" si="79"/>
        <v>3038</v>
      </c>
      <c r="AC474" s="16">
        <f t="shared" si="79"/>
        <v>1209.1999999999998</v>
      </c>
      <c r="AD474" s="19">
        <f t="shared" si="82"/>
        <v>3673549.5999999996</v>
      </c>
      <c r="AE474" s="1" t="s">
        <v>7456</v>
      </c>
      <c r="AF474" s="1" t="str">
        <f>VLOOKUP(AE474,t_objeto!B:C,2,FALSE)</f>
        <v>RAW_MATERIAL</v>
      </c>
      <c r="AG474" s="1">
        <v>8</v>
      </c>
      <c r="AH474" s="1" t="str">
        <f>VLOOKUP(AG474,t_entry_status!A:AE,2,FALSE)</f>
        <v>PENDING</v>
      </c>
      <c r="AI474" s="7">
        <v>45560</v>
      </c>
      <c r="AJ474" s="1" t="s">
        <v>7449</v>
      </c>
      <c r="AK474" s="7">
        <v>45560</v>
      </c>
      <c r="AL474" s="1" t="s">
        <v>7449</v>
      </c>
    </row>
    <row r="475" spans="1:38" s="20" customFormat="1" ht="18.75" x14ac:dyDescent="0.3">
      <c r="A475" s="14">
        <v>474</v>
      </c>
      <c r="B475" s="14" t="str">
        <f>_xlfn.CONCAT(AE475,"-",VLOOKUP(AE475,t_objeto!B:D,3,FALSE),"-",A475)</f>
        <v>RRMM-PERCCO-474</v>
      </c>
      <c r="C475" s="22" t="str">
        <f t="shared" si="78"/>
        <v>LAMINA_LISA__ACERO_PINTRO_4'X10'_14</v>
      </c>
      <c r="D475" s="14" t="s">
        <v>7407</v>
      </c>
      <c r="E475" s="14" t="s">
        <v>7380</v>
      </c>
      <c r="F475" s="21" t="s">
        <v>7383</v>
      </c>
      <c r="G475" s="22" t="s">
        <v>7382</v>
      </c>
      <c r="H475" s="14">
        <v>14</v>
      </c>
      <c r="I475" s="14">
        <v>1.9</v>
      </c>
      <c r="J475" s="16">
        <f t="shared" si="80"/>
        <v>7.4803149606299218E-2</v>
      </c>
      <c r="K475" s="25">
        <v>16.928999999999998</v>
      </c>
      <c r="L475" s="23"/>
      <c r="M475" s="23"/>
      <c r="N475" s="23"/>
      <c r="O475" s="23"/>
      <c r="P475" s="23"/>
      <c r="Q475" s="19"/>
      <c r="R475" s="17">
        <v>4</v>
      </c>
      <c r="S475" s="17">
        <v>10</v>
      </c>
      <c r="T475" s="16">
        <f t="shared" si="73"/>
        <v>3048</v>
      </c>
      <c r="U475" s="16">
        <f t="shared" si="74"/>
        <v>1219.1999999999998</v>
      </c>
      <c r="V475" s="18">
        <f t="shared" si="81"/>
        <v>3716121.5999999996</v>
      </c>
      <c r="W475" s="18">
        <f t="shared" si="75"/>
        <v>3.7161215999999997</v>
      </c>
      <c r="X475" s="18">
        <f t="shared" si="76"/>
        <v>62.910222566399987</v>
      </c>
      <c r="Y475" s="24">
        <v>35</v>
      </c>
      <c r="Z475" s="24">
        <f t="shared" si="77"/>
        <v>2201.8577898239996</v>
      </c>
      <c r="AA475" s="16">
        <v>5</v>
      </c>
      <c r="AB475" s="16">
        <f t="shared" si="79"/>
        <v>3038</v>
      </c>
      <c r="AC475" s="16">
        <f t="shared" si="79"/>
        <v>1209.1999999999998</v>
      </c>
      <c r="AD475" s="19">
        <f t="shared" si="82"/>
        <v>3673549.5999999996</v>
      </c>
      <c r="AE475" s="1" t="s">
        <v>7456</v>
      </c>
      <c r="AF475" s="1" t="str">
        <f>VLOOKUP(AE475,t_objeto!B:C,2,FALSE)</f>
        <v>RAW_MATERIAL</v>
      </c>
      <c r="AG475" s="1">
        <v>8</v>
      </c>
      <c r="AH475" s="1" t="str">
        <f>VLOOKUP(AG475,t_entry_status!A:AE,2,FALSE)</f>
        <v>PENDING</v>
      </c>
      <c r="AI475" s="7">
        <v>45560</v>
      </c>
      <c r="AJ475" s="1" t="s">
        <v>7449</v>
      </c>
      <c r="AK475" s="7">
        <v>45560</v>
      </c>
      <c r="AL475" s="1" t="s">
        <v>7449</v>
      </c>
    </row>
    <row r="476" spans="1:38" s="20" customFormat="1" x14ac:dyDescent="0.25">
      <c r="A476" s="14">
        <v>475</v>
      </c>
      <c r="B476" s="14" t="str">
        <f>_xlfn.CONCAT(AE476,"-",VLOOKUP(AE476,t_objeto!B:D,3,FALSE),"-",A476)</f>
        <v>RRMM-PERCCO-475</v>
      </c>
      <c r="C476" s="22" t="str">
        <f t="shared" si="78"/>
        <v>LAMINA_LISA__ACERO_PINTRO_4'X10'_15</v>
      </c>
      <c r="D476" s="14" t="s">
        <v>7407</v>
      </c>
      <c r="E476" s="14" t="s">
        <v>7380</v>
      </c>
      <c r="F476" s="21" t="s">
        <v>7383</v>
      </c>
      <c r="G476" s="22" t="s">
        <v>7382</v>
      </c>
      <c r="H476" s="14">
        <v>15</v>
      </c>
      <c r="I476" s="16">
        <v>1.71</v>
      </c>
      <c r="J476" s="16">
        <f t="shared" si="80"/>
        <v>6.7322834645669294E-2</v>
      </c>
      <c r="K476" s="16">
        <v>13.606999999999999</v>
      </c>
      <c r="L476" s="23"/>
      <c r="M476" s="23"/>
      <c r="N476" s="23"/>
      <c r="O476" s="23"/>
      <c r="P476" s="23"/>
      <c r="Q476" s="19"/>
      <c r="R476" s="17">
        <v>4</v>
      </c>
      <c r="S476" s="17">
        <v>10</v>
      </c>
      <c r="T476" s="16">
        <f t="shared" si="73"/>
        <v>3048</v>
      </c>
      <c r="U476" s="16">
        <f t="shared" si="74"/>
        <v>1219.1999999999998</v>
      </c>
      <c r="V476" s="18">
        <f t="shared" si="81"/>
        <v>3716121.5999999996</v>
      </c>
      <c r="W476" s="18">
        <f t="shared" si="75"/>
        <v>3.7161215999999997</v>
      </c>
      <c r="X476" s="18">
        <f t="shared" si="76"/>
        <v>50.565266611199995</v>
      </c>
      <c r="Y476" s="24">
        <v>35</v>
      </c>
      <c r="Z476" s="24">
        <f t="shared" si="77"/>
        <v>1769.7843313919998</v>
      </c>
      <c r="AA476" s="16">
        <v>5</v>
      </c>
      <c r="AB476" s="16">
        <f t="shared" si="79"/>
        <v>3038</v>
      </c>
      <c r="AC476" s="16">
        <f t="shared" si="79"/>
        <v>1209.1999999999998</v>
      </c>
      <c r="AD476" s="19">
        <f t="shared" si="82"/>
        <v>3673549.5999999996</v>
      </c>
      <c r="AE476" s="1" t="s">
        <v>7456</v>
      </c>
      <c r="AF476" s="1" t="str">
        <f>VLOOKUP(AE476,t_objeto!B:C,2,FALSE)</f>
        <v>RAW_MATERIAL</v>
      </c>
      <c r="AG476" s="1">
        <v>8</v>
      </c>
      <c r="AH476" s="1" t="str">
        <f>VLOOKUP(AG476,t_entry_status!A:AE,2,FALSE)</f>
        <v>PENDING</v>
      </c>
      <c r="AI476" s="7">
        <v>45560</v>
      </c>
      <c r="AJ476" s="1" t="s">
        <v>7449</v>
      </c>
      <c r="AK476" s="7">
        <v>45560</v>
      </c>
      <c r="AL476" s="1" t="s">
        <v>7449</v>
      </c>
    </row>
    <row r="477" spans="1:38" s="20" customFormat="1" x14ac:dyDescent="0.25">
      <c r="A477" s="14">
        <v>476</v>
      </c>
      <c r="B477" s="14" t="str">
        <f>_xlfn.CONCAT(AE477,"-",VLOOKUP(AE477,t_objeto!B:D,3,FALSE),"-",A477)</f>
        <v>RRMM-PERCCO-476</v>
      </c>
      <c r="C477" s="22" t="str">
        <f t="shared" si="78"/>
        <v>LAMINA_LISA__ACERO_PINTRO_4'X10'_16</v>
      </c>
      <c r="D477" s="14" t="s">
        <v>7407</v>
      </c>
      <c r="E477" s="14" t="s">
        <v>7380</v>
      </c>
      <c r="F477" s="21" t="s">
        <v>7383</v>
      </c>
      <c r="G477" s="22" t="s">
        <v>7382</v>
      </c>
      <c r="H477" s="14">
        <v>16</v>
      </c>
      <c r="I477" s="14">
        <v>1.52</v>
      </c>
      <c r="J477" s="16">
        <f t="shared" si="80"/>
        <v>5.9842519685039376E-2</v>
      </c>
      <c r="K477" s="16">
        <v>12.484999999999999</v>
      </c>
      <c r="L477" s="23"/>
      <c r="M477" s="23"/>
      <c r="N477" s="23"/>
      <c r="O477" s="23"/>
      <c r="P477" s="23"/>
      <c r="Q477" s="19"/>
      <c r="R477" s="17">
        <v>4</v>
      </c>
      <c r="S477" s="17">
        <v>10</v>
      </c>
      <c r="T477" s="16">
        <f t="shared" si="73"/>
        <v>3048</v>
      </c>
      <c r="U477" s="16">
        <f t="shared" si="74"/>
        <v>1219.1999999999998</v>
      </c>
      <c r="V477" s="18">
        <f t="shared" si="81"/>
        <v>3716121.5999999996</v>
      </c>
      <c r="W477" s="18">
        <f t="shared" si="75"/>
        <v>3.7161215999999997</v>
      </c>
      <c r="X477" s="18">
        <f t="shared" si="76"/>
        <v>46.395778175999993</v>
      </c>
      <c r="Y477" s="24">
        <v>35</v>
      </c>
      <c r="Z477" s="24">
        <f t="shared" si="77"/>
        <v>1623.8522361599998</v>
      </c>
      <c r="AA477" s="16">
        <v>5</v>
      </c>
      <c r="AB477" s="16">
        <f t="shared" si="79"/>
        <v>3038</v>
      </c>
      <c r="AC477" s="16">
        <f t="shared" si="79"/>
        <v>1209.1999999999998</v>
      </c>
      <c r="AD477" s="19">
        <f t="shared" si="82"/>
        <v>3673549.5999999996</v>
      </c>
      <c r="AE477" s="1" t="s">
        <v>7456</v>
      </c>
      <c r="AF477" s="1" t="str">
        <f>VLOOKUP(AE477,t_objeto!B:C,2,FALSE)</f>
        <v>RAW_MATERIAL</v>
      </c>
      <c r="AG477" s="1">
        <v>8</v>
      </c>
      <c r="AH477" s="1" t="str">
        <f>VLOOKUP(AG477,t_entry_status!A:AE,2,FALSE)</f>
        <v>PENDING</v>
      </c>
      <c r="AI477" s="7">
        <v>45560</v>
      </c>
      <c r="AJ477" s="1" t="s">
        <v>7449</v>
      </c>
      <c r="AK477" s="7">
        <v>45560</v>
      </c>
      <c r="AL477" s="1" t="s">
        <v>7449</v>
      </c>
    </row>
    <row r="478" spans="1:38" s="20" customFormat="1" x14ac:dyDescent="0.25">
      <c r="A478" s="14">
        <v>477</v>
      </c>
      <c r="B478" s="14" t="str">
        <f>_xlfn.CONCAT(AE478,"-",VLOOKUP(AE478,t_objeto!B:D,3,FALSE),"-",A478)</f>
        <v>RRMM-PERCCO-477</v>
      </c>
      <c r="C478" s="22" t="str">
        <f t="shared" si="78"/>
        <v>LAMINA_LISA__ACERO_PINTRO_4'X10'_17</v>
      </c>
      <c r="D478" s="14" t="s">
        <v>7407</v>
      </c>
      <c r="E478" s="14" t="s">
        <v>7380</v>
      </c>
      <c r="F478" s="21" t="s">
        <v>7383</v>
      </c>
      <c r="G478" s="22" t="s">
        <v>7382</v>
      </c>
      <c r="H478" s="14">
        <v>17</v>
      </c>
      <c r="I478" s="16">
        <v>1.37</v>
      </c>
      <c r="J478" s="16">
        <f t="shared" si="80"/>
        <v>5.3937007874015758E-2</v>
      </c>
      <c r="K478" s="16">
        <v>10.901999999999999</v>
      </c>
      <c r="L478" s="23"/>
      <c r="M478" s="23"/>
      <c r="N478" s="23"/>
      <c r="O478" s="23"/>
      <c r="P478" s="23"/>
      <c r="Q478" s="19"/>
      <c r="R478" s="17">
        <v>4</v>
      </c>
      <c r="S478" s="17">
        <v>10</v>
      </c>
      <c r="T478" s="16">
        <f t="shared" si="73"/>
        <v>3048</v>
      </c>
      <c r="U478" s="16">
        <f t="shared" si="74"/>
        <v>1219.1999999999998</v>
      </c>
      <c r="V478" s="18">
        <f t="shared" si="81"/>
        <v>3716121.5999999996</v>
      </c>
      <c r="W478" s="18">
        <f t="shared" si="75"/>
        <v>3.7161215999999997</v>
      </c>
      <c r="X478" s="18">
        <f t="shared" si="76"/>
        <v>40.513157683199992</v>
      </c>
      <c r="Y478" s="24">
        <v>35</v>
      </c>
      <c r="Z478" s="24">
        <f t="shared" si="77"/>
        <v>1417.9605189119998</v>
      </c>
      <c r="AA478" s="16">
        <v>5</v>
      </c>
      <c r="AB478" s="16">
        <f t="shared" si="79"/>
        <v>3038</v>
      </c>
      <c r="AC478" s="16">
        <f t="shared" si="79"/>
        <v>1209.1999999999998</v>
      </c>
      <c r="AD478" s="19">
        <f t="shared" si="82"/>
        <v>3673549.5999999996</v>
      </c>
      <c r="AE478" s="1" t="s">
        <v>7456</v>
      </c>
      <c r="AF478" s="1" t="str">
        <f>VLOOKUP(AE478,t_objeto!B:C,2,FALSE)</f>
        <v>RAW_MATERIAL</v>
      </c>
      <c r="AG478" s="1">
        <v>8</v>
      </c>
      <c r="AH478" s="1" t="str">
        <f>VLOOKUP(AG478,t_entry_status!A:AE,2,FALSE)</f>
        <v>PENDING</v>
      </c>
      <c r="AI478" s="7">
        <v>45560</v>
      </c>
      <c r="AJ478" s="1" t="s">
        <v>7449</v>
      </c>
      <c r="AK478" s="7">
        <v>45560</v>
      </c>
      <c r="AL478" s="1" t="s">
        <v>7449</v>
      </c>
    </row>
    <row r="479" spans="1:38" s="20" customFormat="1" x14ac:dyDescent="0.25">
      <c r="A479" s="14">
        <v>478</v>
      </c>
      <c r="B479" s="14" t="str">
        <f>_xlfn.CONCAT(AE479,"-",VLOOKUP(AE479,t_objeto!B:D,3,FALSE),"-",A479)</f>
        <v>RRMM-PERCCO-478</v>
      </c>
      <c r="C479" s="22" t="str">
        <f t="shared" si="78"/>
        <v>LAMINA_LISA__ACERO_PINTRO_4'X10'_18</v>
      </c>
      <c r="D479" s="14" t="s">
        <v>7407</v>
      </c>
      <c r="E479" s="14" t="s">
        <v>7380</v>
      </c>
      <c r="F479" s="21" t="s">
        <v>7383</v>
      </c>
      <c r="G479" s="22" t="s">
        <v>7382</v>
      </c>
      <c r="H479" s="14">
        <v>18</v>
      </c>
      <c r="I479" s="14">
        <v>1.21</v>
      </c>
      <c r="J479" s="16">
        <f t="shared" si="80"/>
        <v>4.7637795275590554E-2</v>
      </c>
      <c r="K479" s="16">
        <v>10.042999999999999</v>
      </c>
      <c r="L479" s="23"/>
      <c r="M479" s="23"/>
      <c r="N479" s="23"/>
      <c r="O479" s="23"/>
      <c r="P479" s="23"/>
      <c r="Q479" s="19"/>
      <c r="R479" s="17">
        <v>4</v>
      </c>
      <c r="S479" s="17">
        <v>10</v>
      </c>
      <c r="T479" s="16">
        <f t="shared" si="73"/>
        <v>3048</v>
      </c>
      <c r="U479" s="16">
        <f t="shared" si="74"/>
        <v>1219.1999999999998</v>
      </c>
      <c r="V479" s="18">
        <f t="shared" si="81"/>
        <v>3716121.5999999996</v>
      </c>
      <c r="W479" s="18">
        <f t="shared" si="75"/>
        <v>3.7161215999999997</v>
      </c>
      <c r="X479" s="18">
        <f t="shared" si="76"/>
        <v>37.321009228799994</v>
      </c>
      <c r="Y479" s="24">
        <v>35</v>
      </c>
      <c r="Z479" s="24">
        <f t="shared" si="77"/>
        <v>1306.2353230079998</v>
      </c>
      <c r="AA479" s="16">
        <v>5</v>
      </c>
      <c r="AB479" s="16">
        <f t="shared" si="79"/>
        <v>3038</v>
      </c>
      <c r="AC479" s="16">
        <f t="shared" si="79"/>
        <v>1209.1999999999998</v>
      </c>
      <c r="AD479" s="19">
        <f t="shared" si="82"/>
        <v>3673549.5999999996</v>
      </c>
      <c r="AE479" s="1" t="s">
        <v>7456</v>
      </c>
      <c r="AF479" s="1" t="str">
        <f>VLOOKUP(AE479,t_objeto!B:C,2,FALSE)</f>
        <v>RAW_MATERIAL</v>
      </c>
      <c r="AG479" s="1">
        <v>8</v>
      </c>
      <c r="AH479" s="1" t="str">
        <f>VLOOKUP(AG479,t_entry_status!A:AE,2,FALSE)</f>
        <v>PENDING</v>
      </c>
      <c r="AI479" s="7">
        <v>45560</v>
      </c>
      <c r="AJ479" s="1" t="s">
        <v>7449</v>
      </c>
      <c r="AK479" s="7">
        <v>45560</v>
      </c>
      <c r="AL479" s="1" t="s">
        <v>7449</v>
      </c>
    </row>
    <row r="480" spans="1:38" s="20" customFormat="1" x14ac:dyDescent="0.25">
      <c r="A480" s="14">
        <v>479</v>
      </c>
      <c r="B480" s="14" t="str">
        <f>_xlfn.CONCAT(AE480,"-",VLOOKUP(AE480,t_objeto!B:D,3,FALSE),"-",A480)</f>
        <v>RRMM-PERCCO-479</v>
      </c>
      <c r="C480" s="22" t="str">
        <f t="shared" si="78"/>
        <v>LAMINA_LISA__ACERO_PINTRO_4'X10'_19</v>
      </c>
      <c r="D480" s="14" t="s">
        <v>7407</v>
      </c>
      <c r="E480" s="14" t="s">
        <v>7380</v>
      </c>
      <c r="F480" s="21" t="s">
        <v>7383</v>
      </c>
      <c r="G480" s="22" t="s">
        <v>7382</v>
      </c>
      <c r="H480" s="14">
        <v>19</v>
      </c>
      <c r="I480" s="16">
        <v>1.06</v>
      </c>
      <c r="J480" s="16">
        <f t="shared" si="80"/>
        <v>4.1732283464566935E-2</v>
      </c>
      <c r="K480" s="16">
        <v>8.4350000000000005</v>
      </c>
      <c r="L480" s="23"/>
      <c r="M480" s="23"/>
      <c r="N480" s="23"/>
      <c r="O480" s="23"/>
      <c r="P480" s="23"/>
      <c r="Q480" s="19"/>
      <c r="R480" s="17">
        <v>4</v>
      </c>
      <c r="S480" s="17">
        <v>10</v>
      </c>
      <c r="T480" s="16">
        <f t="shared" si="73"/>
        <v>3048</v>
      </c>
      <c r="U480" s="16">
        <f t="shared" si="74"/>
        <v>1219.1999999999998</v>
      </c>
      <c r="V480" s="18">
        <f t="shared" si="81"/>
        <v>3716121.5999999996</v>
      </c>
      <c r="W480" s="18">
        <f t="shared" si="75"/>
        <v>3.7161215999999997</v>
      </c>
      <c r="X480" s="18">
        <f t="shared" si="76"/>
        <v>31.345485696000001</v>
      </c>
      <c r="Y480" s="24">
        <v>35</v>
      </c>
      <c r="Z480" s="24">
        <f t="shared" si="77"/>
        <v>1097.09199936</v>
      </c>
      <c r="AA480" s="16">
        <v>5</v>
      </c>
      <c r="AB480" s="16">
        <f t="shared" si="79"/>
        <v>3038</v>
      </c>
      <c r="AC480" s="16">
        <f t="shared" si="79"/>
        <v>1209.1999999999998</v>
      </c>
      <c r="AD480" s="19">
        <f t="shared" si="82"/>
        <v>3673549.5999999996</v>
      </c>
      <c r="AE480" s="1" t="s">
        <v>7456</v>
      </c>
      <c r="AF480" s="1" t="str">
        <f>VLOOKUP(AE480,t_objeto!B:C,2,FALSE)</f>
        <v>RAW_MATERIAL</v>
      </c>
      <c r="AG480" s="1">
        <v>8</v>
      </c>
      <c r="AH480" s="1" t="str">
        <f>VLOOKUP(AG480,t_entry_status!A:AE,2,FALSE)</f>
        <v>PENDING</v>
      </c>
      <c r="AI480" s="7">
        <v>45560</v>
      </c>
      <c r="AJ480" s="1" t="s">
        <v>7449</v>
      </c>
      <c r="AK480" s="7">
        <v>45560</v>
      </c>
      <c r="AL480" s="1" t="s">
        <v>7449</v>
      </c>
    </row>
    <row r="481" spans="1:38" s="20" customFormat="1" x14ac:dyDescent="0.25">
      <c r="A481" s="14">
        <v>480</v>
      </c>
      <c r="B481" s="14" t="str">
        <f>_xlfn.CONCAT(AE481,"-",VLOOKUP(AE481,t_objeto!B:D,3,FALSE),"-",A481)</f>
        <v>RRMM-PERCCO-480</v>
      </c>
      <c r="C481" s="22" t="str">
        <f t="shared" si="78"/>
        <v>LAMINA_LISA__ACERO_PINTRO_4'X10'_20</v>
      </c>
      <c r="D481" s="14" t="s">
        <v>7407</v>
      </c>
      <c r="E481" s="14" t="s">
        <v>7380</v>
      </c>
      <c r="F481" s="21" t="s">
        <v>7383</v>
      </c>
      <c r="G481" s="22" t="s">
        <v>7382</v>
      </c>
      <c r="H481" s="14">
        <v>20</v>
      </c>
      <c r="I481" s="14">
        <v>0.91</v>
      </c>
      <c r="J481" s="16">
        <f t="shared" si="80"/>
        <v>3.582677165354331E-2</v>
      </c>
      <c r="K481" s="16">
        <v>7.601</v>
      </c>
      <c r="L481" s="23"/>
      <c r="M481" s="23"/>
      <c r="N481" s="23"/>
      <c r="O481" s="23"/>
      <c r="P481" s="23"/>
      <c r="Q481" s="19"/>
      <c r="R481" s="17">
        <v>4</v>
      </c>
      <c r="S481" s="17">
        <v>10</v>
      </c>
      <c r="T481" s="16">
        <f t="shared" si="73"/>
        <v>3048</v>
      </c>
      <c r="U481" s="16">
        <f t="shared" si="74"/>
        <v>1219.1999999999998</v>
      </c>
      <c r="V481" s="18">
        <f t="shared" si="81"/>
        <v>3716121.5999999996</v>
      </c>
      <c r="W481" s="18">
        <f t="shared" si="75"/>
        <v>3.7161215999999997</v>
      </c>
      <c r="X481" s="18">
        <f t="shared" si="76"/>
        <v>28.246240281599999</v>
      </c>
      <c r="Y481" s="24">
        <v>35</v>
      </c>
      <c r="Z481" s="24">
        <f t="shared" si="77"/>
        <v>988.61840985599997</v>
      </c>
      <c r="AA481" s="16">
        <v>5</v>
      </c>
      <c r="AB481" s="16">
        <f t="shared" si="79"/>
        <v>3038</v>
      </c>
      <c r="AC481" s="16">
        <f t="shared" si="79"/>
        <v>1209.1999999999998</v>
      </c>
      <c r="AD481" s="19">
        <f t="shared" si="82"/>
        <v>3673549.5999999996</v>
      </c>
      <c r="AE481" s="1" t="s">
        <v>7456</v>
      </c>
      <c r="AF481" s="1" t="str">
        <f>VLOOKUP(AE481,t_objeto!B:C,2,FALSE)</f>
        <v>RAW_MATERIAL</v>
      </c>
      <c r="AG481" s="1">
        <v>8</v>
      </c>
      <c r="AH481" s="1" t="str">
        <f>VLOOKUP(AG481,t_entry_status!A:AE,2,FALSE)</f>
        <v>PENDING</v>
      </c>
      <c r="AI481" s="7">
        <v>45560</v>
      </c>
      <c r="AJ481" s="1" t="s">
        <v>7449</v>
      </c>
      <c r="AK481" s="7">
        <v>45560</v>
      </c>
      <c r="AL481" s="1" t="s">
        <v>7449</v>
      </c>
    </row>
    <row r="482" spans="1:38" s="20" customFormat="1" x14ac:dyDescent="0.25">
      <c r="A482" s="14">
        <v>481</v>
      </c>
      <c r="B482" s="14" t="str">
        <f>_xlfn.CONCAT(AE482,"-",VLOOKUP(AE482,t_objeto!B:D,3,FALSE),"-",A482)</f>
        <v>RRMM-PERCCO-481</v>
      </c>
      <c r="C482" s="22" t="str">
        <f t="shared" si="78"/>
        <v>LAMINA_LISA__ACERO_PINTRO_4'X10'_21</v>
      </c>
      <c r="D482" s="14" t="s">
        <v>7407</v>
      </c>
      <c r="E482" s="14" t="s">
        <v>7380</v>
      </c>
      <c r="F482" s="21" t="s">
        <v>7383</v>
      </c>
      <c r="G482" s="22" t="s">
        <v>7382</v>
      </c>
      <c r="H482" s="14">
        <v>21</v>
      </c>
      <c r="I482" s="16">
        <v>0.84</v>
      </c>
      <c r="J482" s="16">
        <f t="shared" si="80"/>
        <v>3.3070866141732283E-2</v>
      </c>
      <c r="K482" s="16">
        <v>6.6840000000000002</v>
      </c>
      <c r="L482" s="23"/>
      <c r="M482" s="23"/>
      <c r="N482" s="23"/>
      <c r="O482" s="23"/>
      <c r="P482" s="23"/>
      <c r="Q482" s="19"/>
      <c r="R482" s="17">
        <v>4</v>
      </c>
      <c r="S482" s="17">
        <v>10</v>
      </c>
      <c r="T482" s="16">
        <f t="shared" si="73"/>
        <v>3048</v>
      </c>
      <c r="U482" s="16">
        <f t="shared" si="74"/>
        <v>1219.1999999999998</v>
      </c>
      <c r="V482" s="18">
        <f t="shared" si="81"/>
        <v>3716121.5999999996</v>
      </c>
      <c r="W482" s="18">
        <f t="shared" si="75"/>
        <v>3.7161215999999997</v>
      </c>
      <c r="X482" s="18">
        <f t="shared" si="76"/>
        <v>24.838556774399997</v>
      </c>
      <c r="Y482" s="24">
        <v>35</v>
      </c>
      <c r="Z482" s="24">
        <f t="shared" si="77"/>
        <v>869.34948710399988</v>
      </c>
      <c r="AA482" s="16">
        <v>5</v>
      </c>
      <c r="AB482" s="16">
        <f t="shared" si="79"/>
        <v>3038</v>
      </c>
      <c r="AC482" s="16">
        <f t="shared" si="79"/>
        <v>1209.1999999999998</v>
      </c>
      <c r="AD482" s="19">
        <f t="shared" si="82"/>
        <v>3673549.5999999996</v>
      </c>
      <c r="AE482" s="1" t="s">
        <v>7456</v>
      </c>
      <c r="AF482" s="1" t="str">
        <f>VLOOKUP(AE482,t_objeto!B:C,2,FALSE)</f>
        <v>RAW_MATERIAL</v>
      </c>
      <c r="AG482" s="1">
        <v>8</v>
      </c>
      <c r="AH482" s="1" t="str">
        <f>VLOOKUP(AG482,t_entry_status!A:AE,2,FALSE)</f>
        <v>PENDING</v>
      </c>
      <c r="AI482" s="7">
        <v>45560</v>
      </c>
      <c r="AJ482" s="1" t="s">
        <v>7449</v>
      </c>
      <c r="AK482" s="7">
        <v>45560</v>
      </c>
      <c r="AL482" s="1" t="s">
        <v>7449</v>
      </c>
    </row>
    <row r="483" spans="1:38" s="20" customFormat="1" x14ac:dyDescent="0.25">
      <c r="A483" s="14">
        <v>482</v>
      </c>
      <c r="B483" s="14" t="str">
        <f>_xlfn.CONCAT(AE483,"-",VLOOKUP(AE483,t_objeto!B:D,3,FALSE),"-",A483)</f>
        <v>RRMM-PERCCO-482</v>
      </c>
      <c r="C483" s="22" t="str">
        <f t="shared" si="78"/>
        <v>LAMINA_LISA__ACERO_PINTRO_4'X10'_22</v>
      </c>
      <c r="D483" s="14" t="s">
        <v>7407</v>
      </c>
      <c r="E483" s="14" t="s">
        <v>7380</v>
      </c>
      <c r="F483" s="21" t="s">
        <v>7383</v>
      </c>
      <c r="G483" s="22" t="s">
        <v>7382</v>
      </c>
      <c r="H483" s="14">
        <v>22</v>
      </c>
      <c r="I483" s="14">
        <v>0.76</v>
      </c>
      <c r="J483" s="16">
        <f t="shared" si="80"/>
        <v>2.9921259842519688E-2</v>
      </c>
      <c r="K483" s="16">
        <v>6.38</v>
      </c>
      <c r="L483" s="23"/>
      <c r="M483" s="23"/>
      <c r="N483" s="23"/>
      <c r="O483" s="23"/>
      <c r="P483" s="23"/>
      <c r="Q483" s="19"/>
      <c r="R483" s="17">
        <v>4</v>
      </c>
      <c r="S483" s="17">
        <v>10</v>
      </c>
      <c r="T483" s="16">
        <f t="shared" si="73"/>
        <v>3048</v>
      </c>
      <c r="U483" s="16">
        <f t="shared" si="74"/>
        <v>1219.1999999999998</v>
      </c>
      <c r="V483" s="18">
        <f t="shared" si="81"/>
        <v>3716121.5999999996</v>
      </c>
      <c r="W483" s="18">
        <f t="shared" si="75"/>
        <v>3.7161215999999997</v>
      </c>
      <c r="X483" s="18">
        <f t="shared" si="76"/>
        <v>23.708855807999999</v>
      </c>
      <c r="Y483" s="24">
        <v>35</v>
      </c>
      <c r="Z483" s="24">
        <f t="shared" si="77"/>
        <v>829.80995327999995</v>
      </c>
      <c r="AA483" s="16">
        <v>5</v>
      </c>
      <c r="AB483" s="16">
        <f t="shared" si="79"/>
        <v>3038</v>
      </c>
      <c r="AC483" s="16">
        <f t="shared" si="79"/>
        <v>1209.1999999999998</v>
      </c>
      <c r="AD483" s="19">
        <f t="shared" si="82"/>
        <v>3673549.5999999996</v>
      </c>
      <c r="AE483" s="1" t="s">
        <v>7456</v>
      </c>
      <c r="AF483" s="1" t="str">
        <f>VLOOKUP(AE483,t_objeto!B:C,2,FALSE)</f>
        <v>RAW_MATERIAL</v>
      </c>
      <c r="AG483" s="1">
        <v>8</v>
      </c>
      <c r="AH483" s="1" t="str">
        <f>VLOOKUP(AG483,t_entry_status!A:AE,2,FALSE)</f>
        <v>PENDING</v>
      </c>
      <c r="AI483" s="7">
        <v>45560</v>
      </c>
      <c r="AJ483" s="1" t="s">
        <v>7449</v>
      </c>
      <c r="AK483" s="7">
        <v>45560</v>
      </c>
      <c r="AL483" s="1" t="s">
        <v>7449</v>
      </c>
    </row>
    <row r="484" spans="1:38" s="20" customFormat="1" x14ac:dyDescent="0.25">
      <c r="A484" s="14">
        <v>483</v>
      </c>
      <c r="B484" s="14" t="str">
        <f>_xlfn.CONCAT(AE484,"-",VLOOKUP(AE484,t_objeto!B:D,3,FALSE),"-",A484)</f>
        <v>RRMM-PERCCO-483</v>
      </c>
      <c r="C484" s="22" t="str">
        <f t="shared" si="78"/>
        <v>LAMINA_LISA__ACERO_PINTRO_4'X10'_23</v>
      </c>
      <c r="D484" s="14" t="s">
        <v>7407</v>
      </c>
      <c r="E484" s="14" t="s">
        <v>7380</v>
      </c>
      <c r="F484" s="21" t="s">
        <v>7383</v>
      </c>
      <c r="G484" s="22" t="s">
        <v>7382</v>
      </c>
      <c r="H484" s="14">
        <v>23</v>
      </c>
      <c r="I484" s="16">
        <v>0.68</v>
      </c>
      <c r="J484" s="16">
        <f t="shared" si="80"/>
        <v>2.677165354330709E-2</v>
      </c>
      <c r="K484" s="16">
        <v>5.4109999999999996</v>
      </c>
      <c r="L484" s="23"/>
      <c r="M484" s="23"/>
      <c r="N484" s="23"/>
      <c r="O484" s="23"/>
      <c r="P484" s="23"/>
      <c r="Q484" s="19"/>
      <c r="R484" s="17">
        <v>4</v>
      </c>
      <c r="S484" s="17">
        <v>10</v>
      </c>
      <c r="T484" s="16">
        <f t="shared" si="73"/>
        <v>3048</v>
      </c>
      <c r="U484" s="16">
        <f t="shared" si="74"/>
        <v>1219.1999999999998</v>
      </c>
      <c r="V484" s="18">
        <f t="shared" si="81"/>
        <v>3716121.5999999996</v>
      </c>
      <c r="W484" s="18">
        <f t="shared" si="75"/>
        <v>3.7161215999999997</v>
      </c>
      <c r="X484" s="18">
        <f t="shared" si="76"/>
        <v>20.107933977599998</v>
      </c>
      <c r="Y484" s="24">
        <v>35</v>
      </c>
      <c r="Z484" s="24">
        <f t="shared" si="77"/>
        <v>703.777689216</v>
      </c>
      <c r="AA484" s="16">
        <v>5</v>
      </c>
      <c r="AB484" s="16">
        <f t="shared" si="79"/>
        <v>3038</v>
      </c>
      <c r="AC484" s="16">
        <f t="shared" si="79"/>
        <v>1209.1999999999998</v>
      </c>
      <c r="AD484" s="19">
        <f t="shared" si="82"/>
        <v>3673549.5999999996</v>
      </c>
      <c r="AE484" s="1" t="s">
        <v>7456</v>
      </c>
      <c r="AF484" s="1" t="str">
        <f>VLOOKUP(AE484,t_objeto!B:C,2,FALSE)</f>
        <v>RAW_MATERIAL</v>
      </c>
      <c r="AG484" s="1">
        <v>8</v>
      </c>
      <c r="AH484" s="1" t="str">
        <f>VLOOKUP(AG484,t_entry_status!A:AE,2,FALSE)</f>
        <v>PENDING</v>
      </c>
      <c r="AI484" s="7">
        <v>45560</v>
      </c>
      <c r="AJ484" s="1" t="s">
        <v>7449</v>
      </c>
      <c r="AK484" s="7">
        <v>45560</v>
      </c>
      <c r="AL484" s="1" t="s">
        <v>7449</v>
      </c>
    </row>
    <row r="485" spans="1:38" s="20" customFormat="1" x14ac:dyDescent="0.25">
      <c r="A485" s="14">
        <v>484</v>
      </c>
      <c r="B485" s="14" t="str">
        <f>_xlfn.CONCAT(AE485,"-",VLOOKUP(AE485,t_objeto!B:D,3,FALSE),"-",A485)</f>
        <v>RRMM-PERCCO-484</v>
      </c>
      <c r="C485" s="22" t="str">
        <f t="shared" si="78"/>
        <v>LAMINA_LISA__ACERO_PINTRO_4'X10'_24</v>
      </c>
      <c r="D485" s="14" t="s">
        <v>7407</v>
      </c>
      <c r="E485" s="14" t="s">
        <v>7380</v>
      </c>
      <c r="F485" s="21" t="s">
        <v>7383</v>
      </c>
      <c r="G485" s="22" t="s">
        <v>7382</v>
      </c>
      <c r="H485" s="14">
        <v>24</v>
      </c>
      <c r="I485" s="14">
        <v>0.61</v>
      </c>
      <c r="J485" s="16">
        <f t="shared" si="80"/>
        <v>2.4015748031496063E-2</v>
      </c>
      <c r="K485" s="16">
        <v>5.1589999999999998</v>
      </c>
      <c r="L485" s="23"/>
      <c r="M485" s="23"/>
      <c r="N485" s="23"/>
      <c r="O485" s="23"/>
      <c r="P485" s="23"/>
      <c r="Q485" s="19"/>
      <c r="R485" s="17">
        <v>4</v>
      </c>
      <c r="S485" s="17">
        <v>10</v>
      </c>
      <c r="T485" s="16">
        <f t="shared" si="73"/>
        <v>3048</v>
      </c>
      <c r="U485" s="16">
        <f t="shared" si="74"/>
        <v>1219.1999999999998</v>
      </c>
      <c r="V485" s="18">
        <f t="shared" si="81"/>
        <v>3716121.5999999996</v>
      </c>
      <c r="W485" s="18">
        <f t="shared" si="75"/>
        <v>3.7161215999999997</v>
      </c>
      <c r="X485" s="18">
        <f t="shared" si="76"/>
        <v>19.171471334399996</v>
      </c>
      <c r="Y485" s="24">
        <v>35</v>
      </c>
      <c r="Z485" s="24">
        <f t="shared" si="77"/>
        <v>671.00149670399992</v>
      </c>
      <c r="AA485" s="16">
        <v>5</v>
      </c>
      <c r="AB485" s="16">
        <f t="shared" si="79"/>
        <v>3038</v>
      </c>
      <c r="AC485" s="16">
        <f t="shared" si="79"/>
        <v>1209.1999999999998</v>
      </c>
      <c r="AD485" s="19">
        <f t="shared" si="82"/>
        <v>3673549.5999999996</v>
      </c>
      <c r="AE485" s="1" t="s">
        <v>7456</v>
      </c>
      <c r="AF485" s="1" t="str">
        <f>VLOOKUP(AE485,t_objeto!B:C,2,FALSE)</f>
        <v>RAW_MATERIAL</v>
      </c>
      <c r="AG485" s="1">
        <v>8</v>
      </c>
      <c r="AH485" s="1" t="str">
        <f>VLOOKUP(AG485,t_entry_status!A:AE,2,FALSE)</f>
        <v>PENDING</v>
      </c>
      <c r="AI485" s="7">
        <v>45560</v>
      </c>
      <c r="AJ485" s="1" t="s">
        <v>7449</v>
      </c>
      <c r="AK485" s="7">
        <v>45560</v>
      </c>
      <c r="AL485" s="1" t="s">
        <v>7449</v>
      </c>
    </row>
    <row r="486" spans="1:38" s="20" customFormat="1" x14ac:dyDescent="0.25">
      <c r="A486" s="14">
        <v>485</v>
      </c>
      <c r="B486" s="14" t="str">
        <f>_xlfn.CONCAT(AE486,"-",VLOOKUP(AE486,t_objeto!B:D,3,FALSE),"-",A486)</f>
        <v>RRMM-PERCCO-485</v>
      </c>
      <c r="C486" s="22" t="str">
        <f t="shared" si="78"/>
        <v>LAMINA_LISA__ACERO_PINTRO_4'X10'_25</v>
      </c>
      <c r="D486" s="14" t="s">
        <v>7407</v>
      </c>
      <c r="E486" s="14" t="s">
        <v>7380</v>
      </c>
      <c r="F486" s="21" t="s">
        <v>7383</v>
      </c>
      <c r="G486" s="22" t="s">
        <v>7382</v>
      </c>
      <c r="H486" s="14">
        <v>25</v>
      </c>
      <c r="I486" s="16">
        <v>0.53</v>
      </c>
      <c r="J486" s="16">
        <f t="shared" si="80"/>
        <v>2.0866141732283468E-2</v>
      </c>
      <c r="K486" s="16">
        <v>4.2169999999999996</v>
      </c>
      <c r="L486" s="23"/>
      <c r="M486" s="23"/>
      <c r="N486" s="23"/>
      <c r="O486" s="23"/>
      <c r="P486" s="23"/>
      <c r="Q486" s="19"/>
      <c r="R486" s="17">
        <v>4</v>
      </c>
      <c r="S486" s="17">
        <v>10</v>
      </c>
      <c r="T486" s="16">
        <f t="shared" si="73"/>
        <v>3048</v>
      </c>
      <c r="U486" s="16">
        <f t="shared" si="74"/>
        <v>1219.1999999999998</v>
      </c>
      <c r="V486" s="18">
        <f t="shared" si="81"/>
        <v>3716121.5999999996</v>
      </c>
      <c r="W486" s="18">
        <f t="shared" si="75"/>
        <v>3.7161215999999997</v>
      </c>
      <c r="X486" s="18">
        <f t="shared" si="76"/>
        <v>15.670884787199997</v>
      </c>
      <c r="Y486" s="24">
        <v>35</v>
      </c>
      <c r="Z486" s="24">
        <f t="shared" si="77"/>
        <v>548.48096755199992</v>
      </c>
      <c r="AA486" s="16">
        <v>5</v>
      </c>
      <c r="AB486" s="16">
        <f t="shared" si="79"/>
        <v>3038</v>
      </c>
      <c r="AC486" s="16">
        <f t="shared" si="79"/>
        <v>1209.1999999999998</v>
      </c>
      <c r="AD486" s="19">
        <f t="shared" si="82"/>
        <v>3673549.5999999996</v>
      </c>
      <c r="AE486" s="1" t="s">
        <v>7456</v>
      </c>
      <c r="AF486" s="1" t="str">
        <f>VLOOKUP(AE486,t_objeto!B:C,2,FALSE)</f>
        <v>RAW_MATERIAL</v>
      </c>
      <c r="AG486" s="1">
        <v>8</v>
      </c>
      <c r="AH486" s="1" t="str">
        <f>VLOOKUP(AG486,t_entry_status!A:AE,2,FALSE)</f>
        <v>PENDING</v>
      </c>
      <c r="AI486" s="7">
        <v>45560</v>
      </c>
      <c r="AJ486" s="1" t="s">
        <v>7449</v>
      </c>
      <c r="AK486" s="7">
        <v>45560</v>
      </c>
      <c r="AL486" s="1" t="s">
        <v>7449</v>
      </c>
    </row>
    <row r="487" spans="1:38" s="20" customFormat="1" x14ac:dyDescent="0.25">
      <c r="A487" s="14">
        <v>486</v>
      </c>
      <c r="B487" s="14" t="str">
        <f>_xlfn.CONCAT(AE487,"-",VLOOKUP(AE487,t_objeto!B:D,3,FALSE),"-",A487)</f>
        <v>RRMM-PERCCO-486</v>
      </c>
      <c r="C487" s="22" t="str">
        <f t="shared" si="78"/>
        <v>LAMINA_LISA__ACERO_PINTRO_4'X10'_26</v>
      </c>
      <c r="D487" s="14" t="s">
        <v>7407</v>
      </c>
      <c r="E487" s="14" t="s">
        <v>7380</v>
      </c>
      <c r="F487" s="21" t="s">
        <v>7383</v>
      </c>
      <c r="G487" s="22" t="s">
        <v>7382</v>
      </c>
      <c r="H487" s="14">
        <v>26</v>
      </c>
      <c r="I487" s="14">
        <v>0.45</v>
      </c>
      <c r="J487" s="16">
        <f t="shared" si="80"/>
        <v>1.7716535433070866E-2</v>
      </c>
      <c r="K487" s="16">
        <f>3.663+0.275</f>
        <v>3.9379999999999997</v>
      </c>
      <c r="L487" s="23"/>
      <c r="M487" s="23"/>
      <c r="N487" s="23"/>
      <c r="O487" s="23"/>
      <c r="P487" s="23"/>
      <c r="Q487" s="19"/>
      <c r="R487" s="17">
        <v>4</v>
      </c>
      <c r="S487" s="17">
        <v>10</v>
      </c>
      <c r="T487" s="16">
        <f t="shared" si="73"/>
        <v>3048</v>
      </c>
      <c r="U487" s="16">
        <f t="shared" si="74"/>
        <v>1219.1999999999998</v>
      </c>
      <c r="V487" s="18">
        <f t="shared" si="81"/>
        <v>3716121.5999999996</v>
      </c>
      <c r="W487" s="18">
        <f t="shared" si="75"/>
        <v>3.7161215999999997</v>
      </c>
      <c r="X487" s="18">
        <f t="shared" si="76"/>
        <v>14.634086860799998</v>
      </c>
      <c r="Y487" s="24">
        <v>35</v>
      </c>
      <c r="Z487" s="24">
        <f t="shared" si="77"/>
        <v>512.19304012799989</v>
      </c>
      <c r="AA487" s="16">
        <v>5</v>
      </c>
      <c r="AB487" s="16">
        <f t="shared" si="79"/>
        <v>3038</v>
      </c>
      <c r="AC487" s="16">
        <f t="shared" si="79"/>
        <v>1209.1999999999998</v>
      </c>
      <c r="AD487" s="19">
        <f t="shared" si="82"/>
        <v>3673549.5999999996</v>
      </c>
      <c r="AE487" s="1" t="s">
        <v>7456</v>
      </c>
      <c r="AF487" s="1" t="str">
        <f>VLOOKUP(AE487,t_objeto!B:C,2,FALSE)</f>
        <v>RAW_MATERIAL</v>
      </c>
      <c r="AG487" s="1">
        <v>8</v>
      </c>
      <c r="AH487" s="1" t="str">
        <f>VLOOKUP(AG487,t_entry_status!A:AE,2,FALSE)</f>
        <v>PENDING</v>
      </c>
      <c r="AI487" s="7">
        <v>45560</v>
      </c>
      <c r="AJ487" s="1" t="s">
        <v>7449</v>
      </c>
      <c r="AK487" s="7">
        <v>45560</v>
      </c>
      <c r="AL487" s="1" t="s">
        <v>7449</v>
      </c>
    </row>
    <row r="488" spans="1:38" s="20" customFormat="1" x14ac:dyDescent="0.25">
      <c r="A488" s="14">
        <v>487</v>
      </c>
      <c r="B488" s="14" t="str">
        <f>_xlfn.CONCAT(AE488,"-",VLOOKUP(AE488,t_objeto!B:D,3,FALSE),"-",A488)</f>
        <v>RRMM-PERCCO-487</v>
      </c>
      <c r="C488" s="22" t="str">
        <f t="shared" si="78"/>
        <v>LAMINA_LISA__ACERO_PINTRO_4'X10'_27</v>
      </c>
      <c r="D488" s="14" t="s">
        <v>7407</v>
      </c>
      <c r="E488" s="14" t="s">
        <v>7380</v>
      </c>
      <c r="F488" s="21" t="s">
        <v>7383</v>
      </c>
      <c r="G488" s="22" t="s">
        <v>7382</v>
      </c>
      <c r="H488" s="14">
        <v>27</v>
      </c>
      <c r="I488" s="16">
        <v>0.42</v>
      </c>
      <c r="J488" s="16">
        <f t="shared" si="80"/>
        <v>1.6535433070866142E-2</v>
      </c>
      <c r="K488" s="16">
        <v>3.3420000000000001</v>
      </c>
      <c r="L488" s="23"/>
      <c r="M488" s="23"/>
      <c r="N488" s="23"/>
      <c r="O488" s="23"/>
      <c r="P488" s="23"/>
      <c r="Q488" s="19"/>
      <c r="R488" s="17">
        <v>4</v>
      </c>
      <c r="S488" s="17">
        <v>10</v>
      </c>
      <c r="T488" s="16">
        <f t="shared" si="73"/>
        <v>3048</v>
      </c>
      <c r="U488" s="16">
        <f t="shared" si="74"/>
        <v>1219.1999999999998</v>
      </c>
      <c r="V488" s="18">
        <f t="shared" si="81"/>
        <v>3716121.5999999996</v>
      </c>
      <c r="W488" s="18">
        <f t="shared" si="75"/>
        <v>3.7161215999999997</v>
      </c>
      <c r="X488" s="18">
        <f t="shared" si="76"/>
        <v>12.419278387199999</v>
      </c>
      <c r="Y488" s="24">
        <v>35</v>
      </c>
      <c r="Z488" s="24">
        <f t="shared" si="77"/>
        <v>434.67474355199994</v>
      </c>
      <c r="AA488" s="16">
        <v>5</v>
      </c>
      <c r="AB488" s="16">
        <f t="shared" si="79"/>
        <v>3038</v>
      </c>
      <c r="AC488" s="16">
        <f t="shared" si="79"/>
        <v>1209.1999999999998</v>
      </c>
      <c r="AD488" s="19">
        <f t="shared" si="82"/>
        <v>3673549.5999999996</v>
      </c>
      <c r="AE488" s="1" t="s">
        <v>7456</v>
      </c>
      <c r="AF488" s="1" t="str">
        <f>VLOOKUP(AE488,t_objeto!B:C,2,FALSE)</f>
        <v>RAW_MATERIAL</v>
      </c>
      <c r="AG488" s="1">
        <v>8</v>
      </c>
      <c r="AH488" s="1" t="str">
        <f>VLOOKUP(AG488,t_entry_status!A:AE,2,FALSE)</f>
        <v>PENDING</v>
      </c>
      <c r="AI488" s="7">
        <v>45560</v>
      </c>
      <c r="AJ488" s="1" t="s">
        <v>7449</v>
      </c>
      <c r="AK488" s="7">
        <v>45560</v>
      </c>
      <c r="AL488" s="1" t="s">
        <v>7449</v>
      </c>
    </row>
    <row r="489" spans="1:38" s="20" customFormat="1" x14ac:dyDescent="0.25">
      <c r="A489" s="14">
        <v>488</v>
      </c>
      <c r="B489" s="14" t="str">
        <f>_xlfn.CONCAT(AE489,"-",VLOOKUP(AE489,t_objeto!B:D,3,FALSE),"-",A489)</f>
        <v>RRMM-PERCCO-488</v>
      </c>
      <c r="C489" s="22" t="str">
        <f t="shared" si="78"/>
        <v>LAMINA_LISA__ACERO_PINTRO_4'X10'_28</v>
      </c>
      <c r="D489" s="14" t="s">
        <v>7407</v>
      </c>
      <c r="E489" s="14" t="s">
        <v>7380</v>
      </c>
      <c r="F489" s="21" t="s">
        <v>7383</v>
      </c>
      <c r="G489" s="22" t="s">
        <v>7382</v>
      </c>
      <c r="H489" s="14">
        <v>28</v>
      </c>
      <c r="I489" s="14">
        <v>0.38</v>
      </c>
      <c r="J489" s="16">
        <f t="shared" si="80"/>
        <v>1.4960629921259844E-2</v>
      </c>
      <c r="K489" s="16">
        <v>3.327</v>
      </c>
      <c r="L489" s="23"/>
      <c r="M489" s="23"/>
      <c r="N489" s="23"/>
      <c r="O489" s="23"/>
      <c r="P489" s="23"/>
      <c r="Q489" s="19"/>
      <c r="R489" s="17">
        <v>4</v>
      </c>
      <c r="S489" s="17">
        <v>10</v>
      </c>
      <c r="T489" s="16">
        <f t="shared" si="73"/>
        <v>3048</v>
      </c>
      <c r="U489" s="16">
        <f t="shared" si="74"/>
        <v>1219.1999999999998</v>
      </c>
      <c r="V489" s="18">
        <f t="shared" si="81"/>
        <v>3716121.5999999996</v>
      </c>
      <c r="W489" s="18">
        <f t="shared" si="75"/>
        <v>3.7161215999999997</v>
      </c>
      <c r="X489" s="18">
        <f t="shared" si="76"/>
        <v>12.363536563199998</v>
      </c>
      <c r="Y489" s="24">
        <v>35</v>
      </c>
      <c r="Z489" s="24">
        <f t="shared" si="77"/>
        <v>432.72377971199995</v>
      </c>
      <c r="AA489" s="16">
        <v>5</v>
      </c>
      <c r="AB489" s="16">
        <f t="shared" si="79"/>
        <v>3038</v>
      </c>
      <c r="AC489" s="16">
        <f t="shared" si="79"/>
        <v>1209.1999999999998</v>
      </c>
      <c r="AD489" s="19">
        <f t="shared" si="82"/>
        <v>3673549.5999999996</v>
      </c>
      <c r="AE489" s="1" t="s">
        <v>7456</v>
      </c>
      <c r="AF489" s="1" t="str">
        <f>VLOOKUP(AE489,t_objeto!B:C,2,FALSE)</f>
        <v>RAW_MATERIAL</v>
      </c>
      <c r="AG489" s="1">
        <v>8</v>
      </c>
      <c r="AH489" s="1" t="str">
        <f>VLOOKUP(AG489,t_entry_status!A:AE,2,FALSE)</f>
        <v>PENDING</v>
      </c>
      <c r="AI489" s="7">
        <v>45560</v>
      </c>
      <c r="AJ489" s="1" t="s">
        <v>7449</v>
      </c>
      <c r="AK489" s="7">
        <v>45560</v>
      </c>
      <c r="AL489" s="1" t="s">
        <v>7449</v>
      </c>
    </row>
    <row r="490" spans="1:38" s="20" customFormat="1" x14ac:dyDescent="0.25">
      <c r="A490" s="14">
        <v>489</v>
      </c>
      <c r="B490" s="14" t="str">
        <f>_xlfn.CONCAT(AE490,"-",VLOOKUP(AE490,t_objeto!B:D,3,FALSE),"-",A490)</f>
        <v>RRMM-PERCCO-489</v>
      </c>
      <c r="C490" s="22" t="str">
        <f t="shared" si="78"/>
        <v>LAMINA_LISA__ACERO_PINTRO_4'X10'_29</v>
      </c>
      <c r="D490" s="14" t="s">
        <v>7407</v>
      </c>
      <c r="E490" s="14" t="s">
        <v>7380</v>
      </c>
      <c r="F490" s="21" t="s">
        <v>7383</v>
      </c>
      <c r="G490" s="22" t="s">
        <v>7382</v>
      </c>
      <c r="H490" s="14">
        <v>29</v>
      </c>
      <c r="I490" s="16">
        <v>0.34</v>
      </c>
      <c r="J490" s="16">
        <f t="shared" si="80"/>
        <v>1.3385826771653545E-2</v>
      </c>
      <c r="K490" s="16">
        <v>2.706</v>
      </c>
      <c r="L490" s="23"/>
      <c r="M490" s="23"/>
      <c r="N490" s="23"/>
      <c r="O490" s="23"/>
      <c r="P490" s="23"/>
      <c r="Q490" s="19"/>
      <c r="R490" s="17">
        <v>4</v>
      </c>
      <c r="S490" s="17">
        <v>10</v>
      </c>
      <c r="T490" s="16">
        <f t="shared" si="73"/>
        <v>3048</v>
      </c>
      <c r="U490" s="16">
        <f t="shared" si="74"/>
        <v>1219.1999999999998</v>
      </c>
      <c r="V490" s="18">
        <f t="shared" si="81"/>
        <v>3716121.5999999996</v>
      </c>
      <c r="W490" s="18">
        <f t="shared" si="75"/>
        <v>3.7161215999999997</v>
      </c>
      <c r="X490" s="18">
        <f t="shared" si="76"/>
        <v>10.055825049599999</v>
      </c>
      <c r="Y490" s="24">
        <v>35</v>
      </c>
      <c r="Z490" s="24">
        <f t="shared" si="77"/>
        <v>351.95387673599998</v>
      </c>
      <c r="AA490" s="16">
        <v>5</v>
      </c>
      <c r="AB490" s="16">
        <f t="shared" ref="AB490:AC517" si="83">T490-($AA490*2)</f>
        <v>3038</v>
      </c>
      <c r="AC490" s="16">
        <f t="shared" si="83"/>
        <v>1209.1999999999998</v>
      </c>
      <c r="AD490" s="19">
        <f t="shared" si="82"/>
        <v>3673549.5999999996</v>
      </c>
      <c r="AE490" s="1" t="s">
        <v>7456</v>
      </c>
      <c r="AF490" s="1" t="str">
        <f>VLOOKUP(AE490,t_objeto!B:C,2,FALSE)</f>
        <v>RAW_MATERIAL</v>
      </c>
      <c r="AG490" s="1">
        <v>8</v>
      </c>
      <c r="AH490" s="1" t="str">
        <f>VLOOKUP(AG490,t_entry_status!A:AE,2,FALSE)</f>
        <v>PENDING</v>
      </c>
      <c r="AI490" s="7">
        <v>45560</v>
      </c>
      <c r="AJ490" s="1" t="s">
        <v>7449</v>
      </c>
      <c r="AK490" s="7">
        <v>45560</v>
      </c>
      <c r="AL490" s="1" t="s">
        <v>7449</v>
      </c>
    </row>
    <row r="491" spans="1:38" s="20" customFormat="1" x14ac:dyDescent="0.25">
      <c r="A491" s="14">
        <v>490</v>
      </c>
      <c r="B491" s="14" t="str">
        <f>_xlfn.CONCAT(AE491,"-",VLOOKUP(AE491,t_objeto!B:D,3,FALSE),"-",A491)</f>
        <v>RRMM-PERCCO-490</v>
      </c>
      <c r="C491" s="22" t="str">
        <f t="shared" si="78"/>
        <v>LAMINA_LISA__ACERO_PINTRO_4'X10'_30</v>
      </c>
      <c r="D491" s="14" t="s">
        <v>7407</v>
      </c>
      <c r="E491" s="14" t="s">
        <v>7380</v>
      </c>
      <c r="F491" s="21" t="s">
        <v>7383</v>
      </c>
      <c r="G491" s="22" t="s">
        <v>7382</v>
      </c>
      <c r="H491" s="14">
        <v>30</v>
      </c>
      <c r="I491" s="14">
        <v>0.3</v>
      </c>
      <c r="J491" s="16">
        <f t="shared" si="80"/>
        <v>1.1811023622047244E-2</v>
      </c>
      <c r="K491" s="16">
        <v>2.673</v>
      </c>
      <c r="L491" s="23"/>
      <c r="M491" s="23"/>
      <c r="N491" s="23"/>
      <c r="O491" s="23"/>
      <c r="P491" s="23"/>
      <c r="Q491" s="19"/>
      <c r="R491" s="17">
        <v>4</v>
      </c>
      <c r="S491" s="17">
        <v>10</v>
      </c>
      <c r="T491" s="16">
        <f t="shared" si="73"/>
        <v>3048</v>
      </c>
      <c r="U491" s="16">
        <f t="shared" si="74"/>
        <v>1219.1999999999998</v>
      </c>
      <c r="V491" s="18">
        <f t="shared" si="81"/>
        <v>3716121.5999999996</v>
      </c>
      <c r="W491" s="18">
        <f t="shared" si="75"/>
        <v>3.7161215999999997</v>
      </c>
      <c r="X491" s="18">
        <f t="shared" si="76"/>
        <v>9.9331930367999988</v>
      </c>
      <c r="Y491" s="24">
        <v>35</v>
      </c>
      <c r="Z491" s="24">
        <f t="shared" si="77"/>
        <v>347.66175628799994</v>
      </c>
      <c r="AA491" s="16">
        <v>5</v>
      </c>
      <c r="AB491" s="16">
        <f t="shared" si="83"/>
        <v>3038</v>
      </c>
      <c r="AC491" s="16">
        <f t="shared" si="83"/>
        <v>1209.1999999999998</v>
      </c>
      <c r="AD491" s="19">
        <f t="shared" si="82"/>
        <v>3673549.5999999996</v>
      </c>
      <c r="AE491" s="1" t="s">
        <v>7456</v>
      </c>
      <c r="AF491" s="1" t="str">
        <f>VLOOKUP(AE491,t_objeto!B:C,2,FALSE)</f>
        <v>RAW_MATERIAL</v>
      </c>
      <c r="AG491" s="1">
        <v>8</v>
      </c>
      <c r="AH491" s="1" t="str">
        <f>VLOOKUP(AG491,t_entry_status!A:AE,2,FALSE)</f>
        <v>PENDING</v>
      </c>
      <c r="AI491" s="7">
        <v>45560</v>
      </c>
      <c r="AJ491" s="1" t="s">
        <v>7449</v>
      </c>
      <c r="AK491" s="7">
        <v>45560</v>
      </c>
      <c r="AL491" s="1" t="s">
        <v>7449</v>
      </c>
    </row>
    <row r="492" spans="1:38" s="20" customFormat="1" x14ac:dyDescent="0.25">
      <c r="A492" s="14">
        <v>491</v>
      </c>
      <c r="B492" s="14" t="str">
        <f>_xlfn.CONCAT(AE492,"-",VLOOKUP(AE492,t_objeto!B:D,3,FALSE),"-",A492)</f>
        <v>RRMM-PERCCO-491</v>
      </c>
      <c r="C492" s="22" t="str">
        <f t="shared" si="78"/>
        <v>PLACA__ACERO_ROLADA EN CALIENTE_4'X10'_1"</v>
      </c>
      <c r="D492" s="14" t="s">
        <v>7385</v>
      </c>
      <c r="E492" s="14" t="s">
        <v>7380</v>
      </c>
      <c r="F492" s="21" t="s">
        <v>7386</v>
      </c>
      <c r="G492" s="22" t="s">
        <v>7382</v>
      </c>
      <c r="H492" s="14" t="s">
        <v>7387</v>
      </c>
      <c r="I492" s="16">
        <v>25.4</v>
      </c>
      <c r="J492" s="16">
        <f t="shared" si="80"/>
        <v>1</v>
      </c>
      <c r="K492" s="16">
        <v>199.39</v>
      </c>
      <c r="L492" s="23"/>
      <c r="M492" s="23"/>
      <c r="N492" s="23"/>
      <c r="O492" s="23"/>
      <c r="P492" s="23"/>
      <c r="Q492" s="19"/>
      <c r="R492" s="17">
        <v>4</v>
      </c>
      <c r="S492" s="17">
        <v>10</v>
      </c>
      <c r="T492" s="16">
        <f t="shared" si="73"/>
        <v>3048</v>
      </c>
      <c r="U492" s="16">
        <f t="shared" si="74"/>
        <v>1219.1999999999998</v>
      </c>
      <c r="V492" s="18">
        <f t="shared" si="81"/>
        <v>3716121.5999999996</v>
      </c>
      <c r="W492" s="18">
        <f t="shared" si="75"/>
        <v>3.7161215999999997</v>
      </c>
      <c r="X492" s="18">
        <f t="shared" si="76"/>
        <v>740.95748582399983</v>
      </c>
      <c r="Y492" s="24">
        <v>35</v>
      </c>
      <c r="Z492" s="24">
        <f t="shared" si="77"/>
        <v>25933.512003839995</v>
      </c>
      <c r="AA492" s="16">
        <v>8</v>
      </c>
      <c r="AB492" s="16">
        <f t="shared" si="83"/>
        <v>3032</v>
      </c>
      <c r="AC492" s="16">
        <f t="shared" si="83"/>
        <v>1203.1999999999998</v>
      </c>
      <c r="AD492" s="19">
        <f t="shared" si="82"/>
        <v>3648102.3999999994</v>
      </c>
      <c r="AE492" s="1" t="s">
        <v>7456</v>
      </c>
      <c r="AF492" s="1" t="str">
        <f>VLOOKUP(AE492,t_objeto!B:C,2,FALSE)</f>
        <v>RAW_MATERIAL</v>
      </c>
      <c r="AG492" s="1">
        <v>8</v>
      </c>
      <c r="AH492" s="1" t="str">
        <f>VLOOKUP(AG492,t_entry_status!A:AE,2,FALSE)</f>
        <v>PENDING</v>
      </c>
      <c r="AI492" s="7">
        <v>45560</v>
      </c>
      <c r="AJ492" s="1" t="s">
        <v>7449</v>
      </c>
      <c r="AK492" s="7">
        <v>45560</v>
      </c>
      <c r="AL492" s="1" t="s">
        <v>7449</v>
      </c>
    </row>
    <row r="493" spans="1:38" s="20" customFormat="1" x14ac:dyDescent="0.25">
      <c r="A493" s="14">
        <v>492</v>
      </c>
      <c r="B493" s="14" t="str">
        <f>_xlfn.CONCAT(AE493,"-",VLOOKUP(AE493,t_objeto!B:D,3,FALSE),"-",A493)</f>
        <v>RRMM-PERCCO-492</v>
      </c>
      <c r="C493" s="22" t="str">
        <f t="shared" si="78"/>
        <v>PLACA__ACERO_ROLADA EN CALIENTE_4'X10'_7/8"</v>
      </c>
      <c r="D493" s="14" t="s">
        <v>7385</v>
      </c>
      <c r="E493" s="14" t="s">
        <v>7380</v>
      </c>
      <c r="F493" s="21" t="s">
        <v>7386</v>
      </c>
      <c r="G493" s="22" t="s">
        <v>7382</v>
      </c>
      <c r="H493" s="14" t="s">
        <v>7388</v>
      </c>
      <c r="I493" s="16">
        <v>22.22</v>
      </c>
      <c r="J493" s="16">
        <f t="shared" si="80"/>
        <v>0.87480314960629924</v>
      </c>
      <c r="K493" s="16">
        <v>174.42699999999999</v>
      </c>
      <c r="L493" s="23"/>
      <c r="M493" s="23"/>
      <c r="N493" s="23"/>
      <c r="O493" s="23"/>
      <c r="P493" s="23"/>
      <c r="Q493" s="19"/>
      <c r="R493" s="17">
        <v>4</v>
      </c>
      <c r="S493" s="17">
        <v>10</v>
      </c>
      <c r="T493" s="16">
        <f t="shared" si="73"/>
        <v>3048</v>
      </c>
      <c r="U493" s="16">
        <f t="shared" si="74"/>
        <v>1219.1999999999998</v>
      </c>
      <c r="V493" s="18">
        <f t="shared" si="81"/>
        <v>3716121.5999999996</v>
      </c>
      <c r="W493" s="18">
        <f t="shared" si="75"/>
        <v>3.7161215999999997</v>
      </c>
      <c r="X493" s="18">
        <f t="shared" si="76"/>
        <v>648.1919423231999</v>
      </c>
      <c r="Y493" s="24">
        <v>35</v>
      </c>
      <c r="Z493" s="24">
        <f t="shared" si="77"/>
        <v>22686.717981311995</v>
      </c>
      <c r="AA493" s="16">
        <v>9</v>
      </c>
      <c r="AB493" s="16">
        <f t="shared" si="83"/>
        <v>3030</v>
      </c>
      <c r="AC493" s="16">
        <f t="shared" si="83"/>
        <v>1201.1999999999998</v>
      </c>
      <c r="AD493" s="19">
        <f t="shared" si="82"/>
        <v>3639635.9999999995</v>
      </c>
      <c r="AE493" s="1" t="s">
        <v>7456</v>
      </c>
      <c r="AF493" s="1" t="str">
        <f>VLOOKUP(AE493,t_objeto!B:C,2,FALSE)</f>
        <v>RAW_MATERIAL</v>
      </c>
      <c r="AG493" s="1">
        <v>8</v>
      </c>
      <c r="AH493" s="1" t="str">
        <f>VLOOKUP(AG493,t_entry_status!A:AE,2,FALSE)</f>
        <v>PENDING</v>
      </c>
      <c r="AI493" s="7">
        <v>45560</v>
      </c>
      <c r="AJ493" s="1" t="s">
        <v>7449</v>
      </c>
      <c r="AK493" s="7">
        <v>45560</v>
      </c>
      <c r="AL493" s="1" t="s">
        <v>7449</v>
      </c>
    </row>
    <row r="494" spans="1:38" s="20" customFormat="1" x14ac:dyDescent="0.25">
      <c r="A494" s="14">
        <v>493</v>
      </c>
      <c r="B494" s="14" t="str">
        <f>_xlfn.CONCAT(AE494,"-",VLOOKUP(AE494,t_objeto!B:D,3,FALSE),"-",A494)</f>
        <v>RRMM-PERCCO-493</v>
      </c>
      <c r="C494" s="22" t="str">
        <f t="shared" si="78"/>
        <v>PLACA__ACERO_ROLADA EN CALIENTE_4'X10'_3/4"</v>
      </c>
      <c r="D494" s="14" t="s">
        <v>7385</v>
      </c>
      <c r="E494" s="14" t="s">
        <v>7380</v>
      </c>
      <c r="F494" s="21" t="s">
        <v>7386</v>
      </c>
      <c r="G494" s="22" t="s">
        <v>7382</v>
      </c>
      <c r="H494" s="14" t="s">
        <v>7389</v>
      </c>
      <c r="I494" s="16">
        <v>19.05</v>
      </c>
      <c r="J494" s="16">
        <f t="shared" si="80"/>
        <v>0.75000000000000011</v>
      </c>
      <c r="K494" s="16">
        <v>149.54300000000001</v>
      </c>
      <c r="L494" s="23"/>
      <c r="M494" s="23"/>
      <c r="N494" s="23"/>
      <c r="O494" s="23"/>
      <c r="P494" s="23"/>
      <c r="Q494" s="19"/>
      <c r="R494" s="17">
        <v>4</v>
      </c>
      <c r="S494" s="17">
        <v>10</v>
      </c>
      <c r="T494" s="16">
        <f t="shared" si="73"/>
        <v>3048</v>
      </c>
      <c r="U494" s="16">
        <f t="shared" si="74"/>
        <v>1219.1999999999998</v>
      </c>
      <c r="V494" s="18">
        <f t="shared" si="81"/>
        <v>3716121.5999999996</v>
      </c>
      <c r="W494" s="18">
        <f t="shared" si="75"/>
        <v>3.7161215999999997</v>
      </c>
      <c r="X494" s="18">
        <f t="shared" si="76"/>
        <v>555.71997242880002</v>
      </c>
      <c r="Y494" s="24">
        <v>35</v>
      </c>
      <c r="Z494" s="24">
        <f t="shared" si="77"/>
        <v>19450.199035008001</v>
      </c>
      <c r="AA494" s="16">
        <v>10</v>
      </c>
      <c r="AB494" s="16">
        <f t="shared" si="83"/>
        <v>3028</v>
      </c>
      <c r="AC494" s="16">
        <f t="shared" si="83"/>
        <v>1199.1999999999998</v>
      </c>
      <c r="AD494" s="19">
        <f t="shared" si="82"/>
        <v>3631177.5999999996</v>
      </c>
      <c r="AE494" s="1" t="s">
        <v>7456</v>
      </c>
      <c r="AF494" s="1" t="str">
        <f>VLOOKUP(AE494,t_objeto!B:C,2,FALSE)</f>
        <v>RAW_MATERIAL</v>
      </c>
      <c r="AG494" s="1">
        <v>8</v>
      </c>
      <c r="AH494" s="1" t="str">
        <f>VLOOKUP(AG494,t_entry_status!A:AE,2,FALSE)</f>
        <v>PENDING</v>
      </c>
      <c r="AI494" s="7">
        <v>45560</v>
      </c>
      <c r="AJ494" s="1" t="s">
        <v>7449</v>
      </c>
      <c r="AK494" s="7">
        <v>45560</v>
      </c>
      <c r="AL494" s="1" t="s">
        <v>7449</v>
      </c>
    </row>
    <row r="495" spans="1:38" s="20" customFormat="1" x14ac:dyDescent="0.25">
      <c r="A495" s="14">
        <v>494</v>
      </c>
      <c r="B495" s="14" t="str">
        <f>_xlfn.CONCAT(AE495,"-",VLOOKUP(AE495,t_objeto!B:D,3,FALSE),"-",A495)</f>
        <v>RRMM-PERCCO-494</v>
      </c>
      <c r="C495" s="22" t="str">
        <f t="shared" si="78"/>
        <v>PLACA__ACERO_ROLADA EN CALIENTE_4'X10'_11/16"</v>
      </c>
      <c r="D495" s="14" t="s">
        <v>7385</v>
      </c>
      <c r="E495" s="14" t="s">
        <v>7380</v>
      </c>
      <c r="F495" s="21" t="s">
        <v>7386</v>
      </c>
      <c r="G495" s="22" t="s">
        <v>7382</v>
      </c>
      <c r="H495" s="14" t="s">
        <v>7390</v>
      </c>
      <c r="I495" s="16">
        <v>17.46</v>
      </c>
      <c r="J495" s="16">
        <f t="shared" si="80"/>
        <v>0.68740157480314967</v>
      </c>
      <c r="K495" s="16">
        <v>137.06100000000001</v>
      </c>
      <c r="L495" s="23"/>
      <c r="M495" s="23"/>
      <c r="N495" s="23"/>
      <c r="O495" s="23"/>
      <c r="P495" s="23"/>
      <c r="Q495" s="19"/>
      <c r="R495" s="17">
        <v>4</v>
      </c>
      <c r="S495" s="17">
        <v>10</v>
      </c>
      <c r="T495" s="16">
        <f t="shared" si="73"/>
        <v>3048</v>
      </c>
      <c r="U495" s="16">
        <f t="shared" si="74"/>
        <v>1219.1999999999998</v>
      </c>
      <c r="V495" s="18">
        <f t="shared" si="81"/>
        <v>3716121.5999999996</v>
      </c>
      <c r="W495" s="18">
        <f t="shared" si="75"/>
        <v>3.7161215999999997</v>
      </c>
      <c r="X495" s="18">
        <f t="shared" si="76"/>
        <v>509.33534261759996</v>
      </c>
      <c r="Y495" s="24">
        <v>35</v>
      </c>
      <c r="Z495" s="24">
        <f t="shared" si="77"/>
        <v>17826.736991615999</v>
      </c>
      <c r="AA495" s="16">
        <v>11</v>
      </c>
      <c r="AB495" s="16">
        <f t="shared" si="83"/>
        <v>3026</v>
      </c>
      <c r="AC495" s="16">
        <f t="shared" si="83"/>
        <v>1197.1999999999998</v>
      </c>
      <c r="AD495" s="19">
        <f t="shared" si="82"/>
        <v>3622727.1999999993</v>
      </c>
      <c r="AE495" s="1" t="s">
        <v>7456</v>
      </c>
      <c r="AF495" s="1" t="str">
        <f>VLOOKUP(AE495,t_objeto!B:C,2,FALSE)</f>
        <v>RAW_MATERIAL</v>
      </c>
      <c r="AG495" s="1">
        <v>8</v>
      </c>
      <c r="AH495" s="1" t="str">
        <f>VLOOKUP(AG495,t_entry_status!A:AE,2,FALSE)</f>
        <v>PENDING</v>
      </c>
      <c r="AI495" s="7">
        <v>45560</v>
      </c>
      <c r="AJ495" s="1" t="s">
        <v>7449</v>
      </c>
      <c r="AK495" s="7">
        <v>45560</v>
      </c>
      <c r="AL495" s="1" t="s">
        <v>7449</v>
      </c>
    </row>
    <row r="496" spans="1:38" s="20" customFormat="1" x14ac:dyDescent="0.25">
      <c r="A496" s="14">
        <v>495</v>
      </c>
      <c r="B496" s="14" t="str">
        <f>_xlfn.CONCAT(AE496,"-",VLOOKUP(AE496,t_objeto!B:D,3,FALSE),"-",A496)</f>
        <v>RRMM-PERCCO-495</v>
      </c>
      <c r="C496" s="22" t="str">
        <f t="shared" si="78"/>
        <v>PLACA__ACERO_ROLADA EN CALIENTE_4'X10'_5/8"</v>
      </c>
      <c r="D496" s="14" t="s">
        <v>7385</v>
      </c>
      <c r="E496" s="14" t="s">
        <v>7380</v>
      </c>
      <c r="F496" s="21" t="s">
        <v>7386</v>
      </c>
      <c r="G496" s="22" t="s">
        <v>7382</v>
      </c>
      <c r="H496" s="14" t="s">
        <v>7391</v>
      </c>
      <c r="I496" s="16">
        <v>15.87</v>
      </c>
      <c r="J496" s="16">
        <f t="shared" si="80"/>
        <v>0.62480314960629924</v>
      </c>
      <c r="K496" s="16">
        <v>124.58</v>
      </c>
      <c r="L496" s="23"/>
      <c r="M496" s="23"/>
      <c r="N496" s="23"/>
      <c r="O496" s="23"/>
      <c r="P496" s="23"/>
      <c r="Q496" s="19"/>
      <c r="R496" s="17">
        <v>4</v>
      </c>
      <c r="S496" s="17">
        <v>10</v>
      </c>
      <c r="T496" s="16">
        <f t="shared" si="73"/>
        <v>3048</v>
      </c>
      <c r="U496" s="16">
        <f t="shared" si="74"/>
        <v>1219.1999999999998</v>
      </c>
      <c r="V496" s="18">
        <f t="shared" si="81"/>
        <v>3716121.5999999996</v>
      </c>
      <c r="W496" s="18">
        <f t="shared" si="75"/>
        <v>3.7161215999999997</v>
      </c>
      <c r="X496" s="18">
        <f t="shared" si="76"/>
        <v>462.95442892799997</v>
      </c>
      <c r="Y496" s="24">
        <v>35</v>
      </c>
      <c r="Z496" s="24">
        <f t="shared" si="77"/>
        <v>16203.40501248</v>
      </c>
      <c r="AA496" s="16">
        <v>12</v>
      </c>
      <c r="AB496" s="16">
        <f t="shared" si="83"/>
        <v>3024</v>
      </c>
      <c r="AC496" s="16">
        <f t="shared" si="83"/>
        <v>1195.1999999999998</v>
      </c>
      <c r="AD496" s="19">
        <f t="shared" si="82"/>
        <v>3614284.7999999993</v>
      </c>
      <c r="AE496" s="1" t="s">
        <v>7456</v>
      </c>
      <c r="AF496" s="1" t="str">
        <f>VLOOKUP(AE496,t_objeto!B:C,2,FALSE)</f>
        <v>RAW_MATERIAL</v>
      </c>
      <c r="AG496" s="1">
        <v>8</v>
      </c>
      <c r="AH496" s="1" t="str">
        <f>VLOOKUP(AG496,t_entry_status!A:AE,2,FALSE)</f>
        <v>PENDING</v>
      </c>
      <c r="AI496" s="7">
        <v>45560</v>
      </c>
      <c r="AJ496" s="1" t="s">
        <v>7449</v>
      </c>
      <c r="AK496" s="7">
        <v>45560</v>
      </c>
      <c r="AL496" s="1" t="s">
        <v>7449</v>
      </c>
    </row>
    <row r="497" spans="1:38" s="20" customFormat="1" x14ac:dyDescent="0.25">
      <c r="A497" s="14">
        <v>496</v>
      </c>
      <c r="B497" s="14" t="str">
        <f>_xlfn.CONCAT(AE497,"-",VLOOKUP(AE497,t_objeto!B:D,3,FALSE),"-",A497)</f>
        <v>RRMM-PERCCO-496</v>
      </c>
      <c r="C497" s="22" t="str">
        <f t="shared" si="78"/>
        <v>PLACA__ACERO_ROLADA EN CALIENTE_4'X10'_9/16"</v>
      </c>
      <c r="D497" s="14" t="s">
        <v>7385</v>
      </c>
      <c r="E497" s="14" t="s">
        <v>7380</v>
      </c>
      <c r="F497" s="21" t="s">
        <v>7386</v>
      </c>
      <c r="G497" s="22" t="s">
        <v>7382</v>
      </c>
      <c r="H497" s="14" t="s">
        <v>7392</v>
      </c>
      <c r="I497" s="16">
        <v>14.28</v>
      </c>
      <c r="J497" s="16">
        <f t="shared" si="80"/>
        <v>0.5622047244094488</v>
      </c>
      <c r="K497" s="16">
        <v>112.098</v>
      </c>
      <c r="L497" s="23"/>
      <c r="M497" s="23"/>
      <c r="N497" s="23"/>
      <c r="O497" s="23"/>
      <c r="P497" s="23"/>
      <c r="Q497" s="19"/>
      <c r="R497" s="17">
        <v>4</v>
      </c>
      <c r="S497" s="17">
        <v>10</v>
      </c>
      <c r="T497" s="16">
        <f t="shared" si="73"/>
        <v>3048</v>
      </c>
      <c r="U497" s="16">
        <f t="shared" si="74"/>
        <v>1219.1999999999998</v>
      </c>
      <c r="V497" s="18">
        <f t="shared" si="81"/>
        <v>3716121.5999999996</v>
      </c>
      <c r="W497" s="18">
        <f t="shared" si="75"/>
        <v>3.7161215999999997</v>
      </c>
      <c r="X497" s="18">
        <f t="shared" si="76"/>
        <v>416.56979911679997</v>
      </c>
      <c r="Y497" s="24">
        <v>35</v>
      </c>
      <c r="Z497" s="24">
        <f t="shared" si="77"/>
        <v>14579.942969087999</v>
      </c>
      <c r="AA497" s="16">
        <v>13</v>
      </c>
      <c r="AB497" s="16">
        <f t="shared" si="83"/>
        <v>3022</v>
      </c>
      <c r="AC497" s="16">
        <f t="shared" si="83"/>
        <v>1193.1999999999998</v>
      </c>
      <c r="AD497" s="19">
        <f t="shared" si="82"/>
        <v>3605850.3999999994</v>
      </c>
      <c r="AE497" s="1" t="s">
        <v>7456</v>
      </c>
      <c r="AF497" s="1" t="str">
        <f>VLOOKUP(AE497,t_objeto!B:C,2,FALSE)</f>
        <v>RAW_MATERIAL</v>
      </c>
      <c r="AG497" s="1">
        <v>8</v>
      </c>
      <c r="AH497" s="1" t="str">
        <f>VLOOKUP(AG497,t_entry_status!A:AE,2,FALSE)</f>
        <v>PENDING</v>
      </c>
      <c r="AI497" s="7">
        <v>45560</v>
      </c>
      <c r="AJ497" s="1" t="s">
        <v>7449</v>
      </c>
      <c r="AK497" s="7">
        <v>45560</v>
      </c>
      <c r="AL497" s="1" t="s">
        <v>7449</v>
      </c>
    </row>
    <row r="498" spans="1:38" s="20" customFormat="1" x14ac:dyDescent="0.25">
      <c r="A498" s="14">
        <v>497</v>
      </c>
      <c r="B498" s="14" t="str">
        <f>_xlfn.CONCAT(AE498,"-",VLOOKUP(AE498,t_objeto!B:D,3,FALSE),"-",A498)</f>
        <v>RRMM-PERCCO-497</v>
      </c>
      <c r="C498" s="22" t="str">
        <f t="shared" si="78"/>
        <v>PLACA__ACERO_ROLADA EN CALIENTE_4'X10'_1/2"</v>
      </c>
      <c r="D498" s="14" t="s">
        <v>7385</v>
      </c>
      <c r="E498" s="14" t="s">
        <v>7380</v>
      </c>
      <c r="F498" s="21" t="s">
        <v>7386</v>
      </c>
      <c r="G498" s="22" t="s">
        <v>7382</v>
      </c>
      <c r="H498" s="14" t="s">
        <v>7393</v>
      </c>
      <c r="I498" s="16">
        <v>12.7</v>
      </c>
      <c r="J498" s="16">
        <f t="shared" si="80"/>
        <v>0.5</v>
      </c>
      <c r="K498" s="16">
        <v>99.694999999999993</v>
      </c>
      <c r="L498" s="23"/>
      <c r="M498" s="23"/>
      <c r="N498" s="23"/>
      <c r="O498" s="23"/>
      <c r="P498" s="23"/>
      <c r="Q498" s="19"/>
      <c r="R498" s="17">
        <v>4</v>
      </c>
      <c r="S498" s="17">
        <v>10</v>
      </c>
      <c r="T498" s="16">
        <f t="shared" si="73"/>
        <v>3048</v>
      </c>
      <c r="U498" s="16">
        <f t="shared" si="74"/>
        <v>1219.1999999999998</v>
      </c>
      <c r="V498" s="18">
        <f t="shared" si="81"/>
        <v>3716121.5999999996</v>
      </c>
      <c r="W498" s="18">
        <f t="shared" si="75"/>
        <v>3.7161215999999997</v>
      </c>
      <c r="X498" s="18">
        <f t="shared" si="76"/>
        <v>370.47874291199992</v>
      </c>
      <c r="Y498" s="24">
        <v>35</v>
      </c>
      <c r="Z498" s="24">
        <f t="shared" si="77"/>
        <v>12966.756001919997</v>
      </c>
      <c r="AA498" s="16">
        <v>14</v>
      </c>
      <c r="AB498" s="16">
        <f t="shared" si="83"/>
        <v>3020</v>
      </c>
      <c r="AC498" s="16">
        <f t="shared" si="83"/>
        <v>1191.1999999999998</v>
      </c>
      <c r="AD498" s="19">
        <f t="shared" si="82"/>
        <v>3597423.9999999995</v>
      </c>
      <c r="AE498" s="1" t="s">
        <v>7456</v>
      </c>
      <c r="AF498" s="1" t="str">
        <f>VLOOKUP(AE498,t_objeto!B:C,2,FALSE)</f>
        <v>RAW_MATERIAL</v>
      </c>
      <c r="AG498" s="1">
        <v>8</v>
      </c>
      <c r="AH498" s="1" t="str">
        <f>VLOOKUP(AG498,t_entry_status!A:AE,2,FALSE)</f>
        <v>PENDING</v>
      </c>
      <c r="AI498" s="7">
        <v>45560</v>
      </c>
      <c r="AJ498" s="1" t="s">
        <v>7449</v>
      </c>
      <c r="AK498" s="7">
        <v>45560</v>
      </c>
      <c r="AL498" s="1" t="s">
        <v>7449</v>
      </c>
    </row>
    <row r="499" spans="1:38" s="20" customFormat="1" x14ac:dyDescent="0.25">
      <c r="A499" s="14">
        <v>498</v>
      </c>
      <c r="B499" s="14" t="str">
        <f>_xlfn.CONCAT(AE499,"-",VLOOKUP(AE499,t_objeto!B:D,3,FALSE),"-",A499)</f>
        <v>RRMM-PERCCO-498</v>
      </c>
      <c r="C499" s="22" t="str">
        <f t="shared" si="78"/>
        <v>PLACA__ACERO_ROLADA EN CALIENTE_4'X10'_7/16"</v>
      </c>
      <c r="D499" s="14" t="s">
        <v>7385</v>
      </c>
      <c r="E499" s="14" t="s">
        <v>7380</v>
      </c>
      <c r="F499" s="21" t="s">
        <v>7386</v>
      </c>
      <c r="G499" s="22" t="s">
        <v>7382</v>
      </c>
      <c r="H499" s="14" t="s">
        <v>7394</v>
      </c>
      <c r="I499" s="16">
        <v>11.11</v>
      </c>
      <c r="J499" s="16">
        <f t="shared" si="80"/>
        <v>0.43740157480314962</v>
      </c>
      <c r="K499" s="16">
        <v>87.213999999999999</v>
      </c>
      <c r="L499" s="23"/>
      <c r="M499" s="23"/>
      <c r="N499" s="23"/>
      <c r="O499" s="23"/>
      <c r="P499" s="23"/>
      <c r="Q499" s="19"/>
      <c r="R499" s="17">
        <v>4</v>
      </c>
      <c r="S499" s="17">
        <v>10</v>
      </c>
      <c r="T499" s="16">
        <f t="shared" si="73"/>
        <v>3048</v>
      </c>
      <c r="U499" s="16">
        <f t="shared" si="74"/>
        <v>1219.1999999999998</v>
      </c>
      <c r="V499" s="18">
        <f t="shared" si="81"/>
        <v>3716121.5999999996</v>
      </c>
      <c r="W499" s="18">
        <f t="shared" si="75"/>
        <v>3.7161215999999997</v>
      </c>
      <c r="X499" s="18">
        <f t="shared" si="76"/>
        <v>324.09782922239998</v>
      </c>
      <c r="Y499" s="24">
        <v>35</v>
      </c>
      <c r="Z499" s="24">
        <f t="shared" si="77"/>
        <v>11343.424022784</v>
      </c>
      <c r="AA499" s="16">
        <v>15</v>
      </c>
      <c r="AB499" s="16">
        <f t="shared" si="83"/>
        <v>3018</v>
      </c>
      <c r="AC499" s="16">
        <f t="shared" si="83"/>
        <v>1189.1999999999998</v>
      </c>
      <c r="AD499" s="19">
        <f t="shared" si="82"/>
        <v>3589005.5999999996</v>
      </c>
      <c r="AE499" s="1" t="s">
        <v>7456</v>
      </c>
      <c r="AF499" s="1" t="str">
        <f>VLOOKUP(AE499,t_objeto!B:C,2,FALSE)</f>
        <v>RAW_MATERIAL</v>
      </c>
      <c r="AG499" s="1">
        <v>8</v>
      </c>
      <c r="AH499" s="1" t="str">
        <f>VLOOKUP(AG499,t_entry_status!A:AE,2,FALSE)</f>
        <v>PENDING</v>
      </c>
      <c r="AI499" s="7">
        <v>45560</v>
      </c>
      <c r="AJ499" s="1" t="s">
        <v>7449</v>
      </c>
      <c r="AK499" s="7">
        <v>45560</v>
      </c>
      <c r="AL499" s="1" t="s">
        <v>7449</v>
      </c>
    </row>
    <row r="500" spans="1:38" s="20" customFormat="1" x14ac:dyDescent="0.25">
      <c r="A500" s="14">
        <v>499</v>
      </c>
      <c r="B500" s="14" t="str">
        <f>_xlfn.CONCAT(AE500,"-",VLOOKUP(AE500,t_objeto!B:D,3,FALSE),"-",A500)</f>
        <v>RRMM-PERCCO-499</v>
      </c>
      <c r="C500" s="22" t="str">
        <f t="shared" si="78"/>
        <v>PLACA__ACERO_ROLADA EN CALIENTE_4'X10'_3/8"</v>
      </c>
      <c r="D500" s="14" t="s">
        <v>7385</v>
      </c>
      <c r="E500" s="14" t="s">
        <v>7380</v>
      </c>
      <c r="F500" s="21" t="s">
        <v>7386</v>
      </c>
      <c r="G500" s="22" t="s">
        <v>7382</v>
      </c>
      <c r="H500" s="14" t="s">
        <v>7395</v>
      </c>
      <c r="I500" s="16">
        <v>9.52</v>
      </c>
      <c r="J500" s="16">
        <f t="shared" si="80"/>
        <v>0.37480314960629924</v>
      </c>
      <c r="K500" s="16">
        <v>74.731999999999999</v>
      </c>
      <c r="L500" s="23"/>
      <c r="M500" s="23"/>
      <c r="N500" s="23"/>
      <c r="O500" s="23"/>
      <c r="P500" s="23"/>
      <c r="Q500" s="19"/>
      <c r="R500" s="17">
        <v>4</v>
      </c>
      <c r="S500" s="17">
        <v>10</v>
      </c>
      <c r="T500" s="16">
        <f t="shared" si="73"/>
        <v>3048</v>
      </c>
      <c r="U500" s="16">
        <f t="shared" si="74"/>
        <v>1219.1999999999998</v>
      </c>
      <c r="V500" s="18">
        <f t="shared" si="81"/>
        <v>3716121.5999999996</v>
      </c>
      <c r="W500" s="18">
        <f t="shared" si="75"/>
        <v>3.7161215999999997</v>
      </c>
      <c r="X500" s="18">
        <f t="shared" si="76"/>
        <v>277.71319941119998</v>
      </c>
      <c r="Y500" s="24">
        <v>35</v>
      </c>
      <c r="Z500" s="24">
        <f t="shared" si="77"/>
        <v>9719.9619793919992</v>
      </c>
      <c r="AA500" s="16">
        <v>16</v>
      </c>
      <c r="AB500" s="16">
        <f t="shared" si="83"/>
        <v>3016</v>
      </c>
      <c r="AC500" s="16">
        <f t="shared" si="83"/>
        <v>1187.1999999999998</v>
      </c>
      <c r="AD500" s="19">
        <f t="shared" si="82"/>
        <v>3580595.1999999993</v>
      </c>
      <c r="AE500" s="1" t="s">
        <v>7456</v>
      </c>
      <c r="AF500" s="1" t="str">
        <f>VLOOKUP(AE500,t_objeto!B:C,2,FALSE)</f>
        <v>RAW_MATERIAL</v>
      </c>
      <c r="AG500" s="1">
        <v>8</v>
      </c>
      <c r="AH500" s="1" t="str">
        <f>VLOOKUP(AG500,t_entry_status!A:AE,2,FALSE)</f>
        <v>PENDING</v>
      </c>
      <c r="AI500" s="7">
        <v>45560</v>
      </c>
      <c r="AJ500" s="1" t="s">
        <v>7449</v>
      </c>
      <c r="AK500" s="7">
        <v>45560</v>
      </c>
      <c r="AL500" s="1" t="s">
        <v>7449</v>
      </c>
    </row>
    <row r="501" spans="1:38" s="20" customFormat="1" x14ac:dyDescent="0.25">
      <c r="A501" s="14">
        <v>500</v>
      </c>
      <c r="B501" s="14" t="str">
        <f>_xlfn.CONCAT(AE501,"-",VLOOKUP(AE501,t_objeto!B:D,3,FALSE),"-",A501)</f>
        <v>RRMM-PERCCO-500</v>
      </c>
      <c r="C501" s="22" t="str">
        <f t="shared" si="78"/>
        <v>PLACA__ACERO_ROLADA EN CALIENTE_4'X10'_5/16"</v>
      </c>
      <c r="D501" s="14" t="s">
        <v>7385</v>
      </c>
      <c r="E501" s="14" t="s">
        <v>7380</v>
      </c>
      <c r="F501" s="21" t="s">
        <v>7386</v>
      </c>
      <c r="G501" s="22" t="s">
        <v>7382</v>
      </c>
      <c r="H501" s="14" t="s">
        <v>7396</v>
      </c>
      <c r="I501" s="16">
        <v>7.93</v>
      </c>
      <c r="J501" s="16">
        <f t="shared" si="80"/>
        <v>0.31220472440944885</v>
      </c>
      <c r="K501" s="16">
        <v>62.250999999999998</v>
      </c>
      <c r="L501" s="23"/>
      <c r="M501" s="23"/>
      <c r="N501" s="23"/>
      <c r="O501" s="23"/>
      <c r="P501" s="23"/>
      <c r="Q501" s="19"/>
      <c r="R501" s="17">
        <v>4</v>
      </c>
      <c r="S501" s="17">
        <v>10</v>
      </c>
      <c r="T501" s="16">
        <f t="shared" si="73"/>
        <v>3048</v>
      </c>
      <c r="U501" s="16">
        <f t="shared" si="74"/>
        <v>1219.1999999999998</v>
      </c>
      <c r="V501" s="18">
        <f t="shared" si="81"/>
        <v>3716121.5999999996</v>
      </c>
      <c r="W501" s="18">
        <f t="shared" si="75"/>
        <v>3.7161215999999997</v>
      </c>
      <c r="X501" s="18">
        <f t="shared" si="76"/>
        <v>231.33228572159996</v>
      </c>
      <c r="Y501" s="24">
        <v>35</v>
      </c>
      <c r="Z501" s="24">
        <f t="shared" si="77"/>
        <v>8096.6300002559983</v>
      </c>
      <c r="AA501" s="16">
        <v>17</v>
      </c>
      <c r="AB501" s="16">
        <f t="shared" si="83"/>
        <v>3014</v>
      </c>
      <c r="AC501" s="16">
        <f t="shared" si="83"/>
        <v>1185.1999999999998</v>
      </c>
      <c r="AD501" s="19">
        <f t="shared" si="82"/>
        <v>3572192.7999999993</v>
      </c>
      <c r="AE501" s="1" t="s">
        <v>7456</v>
      </c>
      <c r="AF501" s="1" t="str">
        <f>VLOOKUP(AE501,t_objeto!B:C,2,FALSE)</f>
        <v>RAW_MATERIAL</v>
      </c>
      <c r="AG501" s="1">
        <v>8</v>
      </c>
      <c r="AH501" s="1" t="str">
        <f>VLOOKUP(AG501,t_entry_status!A:AE,2,FALSE)</f>
        <v>PENDING</v>
      </c>
      <c r="AI501" s="7">
        <v>45560</v>
      </c>
      <c r="AJ501" s="1" t="s">
        <v>7449</v>
      </c>
      <c r="AK501" s="7">
        <v>45560</v>
      </c>
      <c r="AL501" s="1" t="s">
        <v>7449</v>
      </c>
    </row>
    <row r="502" spans="1:38" s="20" customFormat="1" x14ac:dyDescent="0.25">
      <c r="A502" s="14">
        <v>501</v>
      </c>
      <c r="B502" s="14" t="str">
        <f>_xlfn.CONCAT(AE502,"-",VLOOKUP(AE502,t_objeto!B:D,3,FALSE),"-",A502)</f>
        <v>RRMM-PERCCO-501</v>
      </c>
      <c r="C502" s="22" t="str">
        <f t="shared" si="78"/>
        <v>PLACA__ACERO_ROLADA EN CALIENTE_4'X10'_1/4"</v>
      </c>
      <c r="D502" s="14" t="s">
        <v>7385</v>
      </c>
      <c r="E502" s="14" t="s">
        <v>7380</v>
      </c>
      <c r="F502" s="21" t="s">
        <v>7386</v>
      </c>
      <c r="G502" s="22" t="s">
        <v>7382</v>
      </c>
      <c r="H502" s="14" t="s">
        <v>7397</v>
      </c>
      <c r="I502" s="16">
        <v>6.35</v>
      </c>
      <c r="J502" s="16">
        <f t="shared" si="80"/>
        <v>0.25</v>
      </c>
      <c r="K502" s="16">
        <v>49.847999999999999</v>
      </c>
      <c r="L502" s="23"/>
      <c r="M502" s="23"/>
      <c r="N502" s="23"/>
      <c r="O502" s="23"/>
      <c r="P502" s="23"/>
      <c r="Q502" s="19"/>
      <c r="R502" s="17">
        <v>4</v>
      </c>
      <c r="S502" s="17">
        <v>10</v>
      </c>
      <c r="T502" s="16">
        <f t="shared" si="73"/>
        <v>3048</v>
      </c>
      <c r="U502" s="16">
        <f t="shared" si="74"/>
        <v>1219.1999999999998</v>
      </c>
      <c r="V502" s="18">
        <f t="shared" si="81"/>
        <v>3716121.5999999996</v>
      </c>
      <c r="W502" s="18">
        <f t="shared" si="75"/>
        <v>3.7161215999999997</v>
      </c>
      <c r="X502" s="18">
        <f t="shared" si="76"/>
        <v>185.24122951679999</v>
      </c>
      <c r="Y502" s="24">
        <v>35</v>
      </c>
      <c r="Z502" s="24">
        <f t="shared" si="77"/>
        <v>6483.4430330879995</v>
      </c>
      <c r="AA502" s="16">
        <v>18</v>
      </c>
      <c r="AB502" s="16">
        <f t="shared" si="83"/>
        <v>3012</v>
      </c>
      <c r="AC502" s="16">
        <f t="shared" si="83"/>
        <v>1183.1999999999998</v>
      </c>
      <c r="AD502" s="19">
        <f t="shared" si="82"/>
        <v>3563798.3999999994</v>
      </c>
      <c r="AE502" s="1" t="s">
        <v>7456</v>
      </c>
      <c r="AF502" s="1" t="str">
        <f>VLOOKUP(AE502,t_objeto!B:C,2,FALSE)</f>
        <v>RAW_MATERIAL</v>
      </c>
      <c r="AG502" s="1">
        <v>8</v>
      </c>
      <c r="AH502" s="1" t="str">
        <f>VLOOKUP(AG502,t_entry_status!A:AE,2,FALSE)</f>
        <v>PENDING</v>
      </c>
      <c r="AI502" s="7">
        <v>45560</v>
      </c>
      <c r="AJ502" s="1" t="s">
        <v>7449</v>
      </c>
      <c r="AK502" s="7">
        <v>45560</v>
      </c>
      <c r="AL502" s="1" t="s">
        <v>7449</v>
      </c>
    </row>
    <row r="503" spans="1:38" s="20" customFormat="1" x14ac:dyDescent="0.25">
      <c r="A503" s="14">
        <v>502</v>
      </c>
      <c r="B503" s="14" t="str">
        <f>_xlfn.CONCAT(AE503,"-",VLOOKUP(AE503,t_objeto!B:D,3,FALSE),"-",A503)</f>
        <v>RRMM-PERCCO-502</v>
      </c>
      <c r="C503" s="22" t="str">
        <f t="shared" si="78"/>
        <v>PLACA__ACERO_ROLADA EN CALIENTE_4'X10'_3/16"</v>
      </c>
      <c r="D503" s="14" t="s">
        <v>7385</v>
      </c>
      <c r="E503" s="14" t="s">
        <v>7380</v>
      </c>
      <c r="F503" s="21" t="s">
        <v>7386</v>
      </c>
      <c r="G503" s="22" t="s">
        <v>7382</v>
      </c>
      <c r="H503" s="14" t="s">
        <v>7398</v>
      </c>
      <c r="I503" s="16">
        <v>4.76</v>
      </c>
      <c r="J503" s="16">
        <f t="shared" si="80"/>
        <v>0.18740157480314962</v>
      </c>
      <c r="K503" s="16">
        <v>37.366</v>
      </c>
      <c r="L503" s="23"/>
      <c r="M503" s="23"/>
      <c r="N503" s="23"/>
      <c r="O503" s="23"/>
      <c r="P503" s="23"/>
      <c r="Q503" s="19"/>
      <c r="R503" s="17">
        <v>4</v>
      </c>
      <c r="S503" s="17">
        <v>10</v>
      </c>
      <c r="T503" s="16">
        <f t="shared" si="73"/>
        <v>3048</v>
      </c>
      <c r="U503" s="16">
        <f t="shared" si="74"/>
        <v>1219.1999999999998</v>
      </c>
      <c r="V503" s="18">
        <f t="shared" si="81"/>
        <v>3716121.5999999996</v>
      </c>
      <c r="W503" s="18">
        <f t="shared" si="75"/>
        <v>3.7161215999999997</v>
      </c>
      <c r="X503" s="18">
        <f t="shared" si="76"/>
        <v>138.85659970559999</v>
      </c>
      <c r="Y503" s="24">
        <v>35</v>
      </c>
      <c r="Z503" s="24">
        <f t="shared" si="77"/>
        <v>4859.9809896959996</v>
      </c>
      <c r="AA503" s="16">
        <v>19</v>
      </c>
      <c r="AB503" s="16">
        <f t="shared" si="83"/>
        <v>3010</v>
      </c>
      <c r="AC503" s="16">
        <f t="shared" si="83"/>
        <v>1181.1999999999998</v>
      </c>
      <c r="AD503" s="19">
        <f t="shared" si="82"/>
        <v>3555411.9999999995</v>
      </c>
      <c r="AE503" s="1" t="s">
        <v>7456</v>
      </c>
      <c r="AF503" s="1" t="str">
        <f>VLOOKUP(AE503,t_objeto!B:C,2,FALSE)</f>
        <v>RAW_MATERIAL</v>
      </c>
      <c r="AG503" s="1">
        <v>8</v>
      </c>
      <c r="AH503" s="1" t="str">
        <f>VLOOKUP(AG503,t_entry_status!A:AE,2,FALSE)</f>
        <v>PENDING</v>
      </c>
      <c r="AI503" s="7">
        <v>45560</v>
      </c>
      <c r="AJ503" s="1" t="s">
        <v>7449</v>
      </c>
      <c r="AK503" s="7">
        <v>45560</v>
      </c>
      <c r="AL503" s="1" t="s">
        <v>7449</v>
      </c>
    </row>
    <row r="504" spans="1:38" s="20" customFormat="1" x14ac:dyDescent="0.25">
      <c r="A504" s="14">
        <v>503</v>
      </c>
      <c r="B504" s="14" t="str">
        <f>_xlfn.CONCAT(AE504,"-",VLOOKUP(AE504,t_objeto!B:D,3,FALSE),"-",A504)</f>
        <v>RRMM-PERCCO-503</v>
      </c>
      <c r="C504" s="22" t="str">
        <f t="shared" si="78"/>
        <v>LAMINA_LISA__ACERO_ROLADA EN CALIENTE_4'X10'_4</v>
      </c>
      <c r="D504" s="14" t="s">
        <v>7407</v>
      </c>
      <c r="E504" s="14" t="s">
        <v>7380</v>
      </c>
      <c r="F504" s="21" t="s">
        <v>7386</v>
      </c>
      <c r="G504" s="22" t="s">
        <v>7382</v>
      </c>
      <c r="H504" s="14">
        <v>4</v>
      </c>
      <c r="I504" s="16">
        <v>5.69</v>
      </c>
      <c r="J504" s="16">
        <f t="shared" si="80"/>
        <v>0.2240157480314961</v>
      </c>
      <c r="K504" s="16">
        <v>44.667000000000002</v>
      </c>
      <c r="L504" s="23"/>
      <c r="M504" s="23"/>
      <c r="N504" s="23"/>
      <c r="O504" s="23"/>
      <c r="P504" s="23"/>
      <c r="Q504" s="19"/>
      <c r="R504" s="17">
        <v>4</v>
      </c>
      <c r="S504" s="17">
        <v>10</v>
      </c>
      <c r="T504" s="16">
        <f t="shared" si="73"/>
        <v>3048</v>
      </c>
      <c r="U504" s="16">
        <f t="shared" si="74"/>
        <v>1219.1999999999998</v>
      </c>
      <c r="V504" s="18">
        <f t="shared" si="81"/>
        <v>3716121.5999999996</v>
      </c>
      <c r="W504" s="18">
        <f t="shared" si="75"/>
        <v>3.7161215999999997</v>
      </c>
      <c r="X504" s="18">
        <f t="shared" si="76"/>
        <v>165.98800350720001</v>
      </c>
      <c r="Y504" s="24">
        <v>35</v>
      </c>
      <c r="Z504" s="24">
        <f t="shared" si="77"/>
        <v>5809.5801227520005</v>
      </c>
      <c r="AA504" s="16">
        <v>20</v>
      </c>
      <c r="AB504" s="16">
        <f t="shared" si="83"/>
        <v>3008</v>
      </c>
      <c r="AC504" s="16">
        <f t="shared" si="83"/>
        <v>1179.1999999999998</v>
      </c>
      <c r="AD504" s="19">
        <f t="shared" si="82"/>
        <v>3547033.5999999996</v>
      </c>
      <c r="AE504" s="1" t="s">
        <v>7456</v>
      </c>
      <c r="AF504" s="1" t="str">
        <f>VLOOKUP(AE504,t_objeto!B:C,2,FALSE)</f>
        <v>RAW_MATERIAL</v>
      </c>
      <c r="AG504" s="1">
        <v>8</v>
      </c>
      <c r="AH504" s="1" t="str">
        <f>VLOOKUP(AG504,t_entry_status!A:AE,2,FALSE)</f>
        <v>PENDING</v>
      </c>
      <c r="AI504" s="7">
        <v>45560</v>
      </c>
      <c r="AJ504" s="1" t="s">
        <v>7449</v>
      </c>
      <c r="AK504" s="7">
        <v>45560</v>
      </c>
      <c r="AL504" s="1" t="s">
        <v>7449</v>
      </c>
    </row>
    <row r="505" spans="1:38" s="20" customFormat="1" x14ac:dyDescent="0.25">
      <c r="A505" s="14">
        <v>504</v>
      </c>
      <c r="B505" s="14" t="str">
        <f>_xlfn.CONCAT(AE505,"-",VLOOKUP(AE505,t_objeto!B:D,3,FALSE),"-",A505)</f>
        <v>RRMM-PERCCO-504</v>
      </c>
      <c r="C505" s="22" t="str">
        <f t="shared" si="78"/>
        <v>LAMINA_LISA__ACERO_ROLADA EN CALIENTE_4'X10'_5</v>
      </c>
      <c r="D505" s="14" t="s">
        <v>7407</v>
      </c>
      <c r="E505" s="14" t="s">
        <v>7380</v>
      </c>
      <c r="F505" s="21" t="s">
        <v>7386</v>
      </c>
      <c r="G505" s="22" t="s">
        <v>7382</v>
      </c>
      <c r="H505" s="14">
        <v>5</v>
      </c>
      <c r="I505" s="16">
        <v>5.31</v>
      </c>
      <c r="J505" s="16">
        <f t="shared" si="80"/>
        <v>0.20905511811023622</v>
      </c>
      <c r="K505" s="16">
        <v>41.683999999999997</v>
      </c>
      <c r="L505" s="23"/>
      <c r="M505" s="23"/>
      <c r="N505" s="23"/>
      <c r="O505" s="23"/>
      <c r="P505" s="23"/>
      <c r="Q505" s="19"/>
      <c r="R505" s="17">
        <v>4</v>
      </c>
      <c r="S505" s="17">
        <v>10</v>
      </c>
      <c r="T505" s="16">
        <f t="shared" si="73"/>
        <v>3048</v>
      </c>
      <c r="U505" s="16">
        <f t="shared" si="74"/>
        <v>1219.1999999999998</v>
      </c>
      <c r="V505" s="18">
        <f t="shared" si="81"/>
        <v>3716121.5999999996</v>
      </c>
      <c r="W505" s="18">
        <f t="shared" si="75"/>
        <v>3.7161215999999997</v>
      </c>
      <c r="X505" s="18">
        <f t="shared" si="76"/>
        <v>154.90281277439999</v>
      </c>
      <c r="Y505" s="24">
        <v>35</v>
      </c>
      <c r="Z505" s="24">
        <f t="shared" si="77"/>
        <v>5421.5984471039992</v>
      </c>
      <c r="AA505" s="16">
        <v>21</v>
      </c>
      <c r="AB505" s="16">
        <f t="shared" si="83"/>
        <v>3006</v>
      </c>
      <c r="AC505" s="16">
        <f t="shared" si="83"/>
        <v>1177.1999999999998</v>
      </c>
      <c r="AD505" s="19">
        <f t="shared" si="82"/>
        <v>3538663.1999999993</v>
      </c>
      <c r="AE505" s="1" t="s">
        <v>7456</v>
      </c>
      <c r="AF505" s="1" t="str">
        <f>VLOOKUP(AE505,t_objeto!B:C,2,FALSE)</f>
        <v>RAW_MATERIAL</v>
      </c>
      <c r="AG505" s="1">
        <v>8</v>
      </c>
      <c r="AH505" s="1" t="str">
        <f>VLOOKUP(AG505,t_entry_status!A:AE,2,FALSE)</f>
        <v>PENDING</v>
      </c>
      <c r="AI505" s="7">
        <v>45560</v>
      </c>
      <c r="AJ505" s="1" t="s">
        <v>7449</v>
      </c>
      <c r="AK505" s="7">
        <v>45560</v>
      </c>
      <c r="AL505" s="1" t="s">
        <v>7449</v>
      </c>
    </row>
    <row r="506" spans="1:38" s="20" customFormat="1" x14ac:dyDescent="0.25">
      <c r="A506" s="14">
        <v>505</v>
      </c>
      <c r="B506" s="14" t="str">
        <f>_xlfn.CONCAT(AE506,"-",VLOOKUP(AE506,t_objeto!B:D,3,FALSE),"-",A506)</f>
        <v>RRMM-PERCCO-505</v>
      </c>
      <c r="C506" s="22" t="str">
        <f t="shared" si="78"/>
        <v>LAMINA_LISA__ACERO_ROLADA EN CALIENTE_4'X10'_6</v>
      </c>
      <c r="D506" s="14" t="s">
        <v>7407</v>
      </c>
      <c r="E506" s="14" t="s">
        <v>7380</v>
      </c>
      <c r="F506" s="21" t="s">
        <v>7386</v>
      </c>
      <c r="G506" s="22" t="s">
        <v>7382</v>
      </c>
      <c r="H506" s="14">
        <v>6</v>
      </c>
      <c r="I506" s="16">
        <v>4.9400000000000004</v>
      </c>
      <c r="J506" s="16">
        <f t="shared" si="80"/>
        <v>0.19448818897637798</v>
      </c>
      <c r="K506" s="16">
        <v>38.779000000000003</v>
      </c>
      <c r="L506" s="23"/>
      <c r="M506" s="23"/>
      <c r="N506" s="23"/>
      <c r="O506" s="23"/>
      <c r="P506" s="23"/>
      <c r="Q506" s="19"/>
      <c r="R506" s="17">
        <v>4</v>
      </c>
      <c r="S506" s="17">
        <v>10</v>
      </c>
      <c r="T506" s="16">
        <f t="shared" si="73"/>
        <v>3048</v>
      </c>
      <c r="U506" s="16">
        <f t="shared" si="74"/>
        <v>1219.1999999999998</v>
      </c>
      <c r="V506" s="18">
        <f t="shared" si="81"/>
        <v>3716121.5999999996</v>
      </c>
      <c r="W506" s="18">
        <f t="shared" si="75"/>
        <v>3.7161215999999997</v>
      </c>
      <c r="X506" s="18">
        <f t="shared" si="76"/>
        <v>144.1074795264</v>
      </c>
      <c r="Y506" s="24">
        <v>35</v>
      </c>
      <c r="Z506" s="24">
        <f t="shared" si="77"/>
        <v>5043.761783424</v>
      </c>
      <c r="AA506" s="16">
        <v>22</v>
      </c>
      <c r="AB506" s="16">
        <f t="shared" si="83"/>
        <v>3004</v>
      </c>
      <c r="AC506" s="16">
        <f t="shared" si="83"/>
        <v>1175.1999999999998</v>
      </c>
      <c r="AD506" s="19">
        <f t="shared" si="82"/>
        <v>3530300.7999999993</v>
      </c>
      <c r="AE506" s="1" t="s">
        <v>7456</v>
      </c>
      <c r="AF506" s="1" t="str">
        <f>VLOOKUP(AE506,t_objeto!B:C,2,FALSE)</f>
        <v>RAW_MATERIAL</v>
      </c>
      <c r="AG506" s="1">
        <v>8</v>
      </c>
      <c r="AH506" s="1" t="str">
        <f>VLOOKUP(AG506,t_entry_status!A:AE,2,FALSE)</f>
        <v>PENDING</v>
      </c>
      <c r="AI506" s="7">
        <v>45560</v>
      </c>
      <c r="AJ506" s="1" t="s">
        <v>7449</v>
      </c>
      <c r="AK506" s="7">
        <v>45560</v>
      </c>
      <c r="AL506" s="1" t="s">
        <v>7449</v>
      </c>
    </row>
    <row r="507" spans="1:38" s="20" customFormat="1" x14ac:dyDescent="0.25">
      <c r="A507" s="14">
        <v>506</v>
      </c>
      <c r="B507" s="14" t="str">
        <f>_xlfn.CONCAT(AE507,"-",VLOOKUP(AE507,t_objeto!B:D,3,FALSE),"-",A507)</f>
        <v>RRMM-PERCCO-506</v>
      </c>
      <c r="C507" s="22" t="str">
        <f t="shared" si="78"/>
        <v>LAMINA_LISA__ACERO_ROLADA EN CALIENTE_4'X10'_7</v>
      </c>
      <c r="D507" s="14" t="s">
        <v>7407</v>
      </c>
      <c r="E507" s="14" t="s">
        <v>7380</v>
      </c>
      <c r="F507" s="21" t="s">
        <v>7386</v>
      </c>
      <c r="G507" s="22" t="s">
        <v>7382</v>
      </c>
      <c r="H507" s="14">
        <v>7</v>
      </c>
      <c r="I507" s="16">
        <v>4.55</v>
      </c>
      <c r="J507" s="16">
        <f t="shared" si="80"/>
        <v>0.17913385826771655</v>
      </c>
      <c r="K507" s="16">
        <v>35.718000000000004</v>
      </c>
      <c r="L507" s="23"/>
      <c r="M507" s="23"/>
      <c r="N507" s="23"/>
      <c r="O507" s="23"/>
      <c r="P507" s="23"/>
      <c r="Q507" s="19"/>
      <c r="R507" s="17">
        <v>4</v>
      </c>
      <c r="S507" s="17">
        <v>10</v>
      </c>
      <c r="T507" s="16">
        <f t="shared" si="73"/>
        <v>3048</v>
      </c>
      <c r="U507" s="16">
        <f t="shared" si="74"/>
        <v>1219.1999999999998</v>
      </c>
      <c r="V507" s="18">
        <f t="shared" si="81"/>
        <v>3716121.5999999996</v>
      </c>
      <c r="W507" s="18">
        <f t="shared" si="75"/>
        <v>3.7161215999999997</v>
      </c>
      <c r="X507" s="18">
        <f t="shared" si="76"/>
        <v>132.73243130879999</v>
      </c>
      <c r="Y507" s="24">
        <v>35</v>
      </c>
      <c r="Z507" s="24">
        <f t="shared" si="77"/>
        <v>4645.6350958079993</v>
      </c>
      <c r="AA507" s="16">
        <v>23</v>
      </c>
      <c r="AB507" s="16">
        <f t="shared" si="83"/>
        <v>3002</v>
      </c>
      <c r="AC507" s="16">
        <f t="shared" si="83"/>
        <v>1173.1999999999998</v>
      </c>
      <c r="AD507" s="19">
        <f t="shared" si="82"/>
        <v>3521946.3999999994</v>
      </c>
      <c r="AE507" s="1" t="s">
        <v>7456</v>
      </c>
      <c r="AF507" s="1" t="str">
        <f>VLOOKUP(AE507,t_objeto!B:C,2,FALSE)</f>
        <v>RAW_MATERIAL</v>
      </c>
      <c r="AG507" s="1">
        <v>8</v>
      </c>
      <c r="AH507" s="1" t="str">
        <f>VLOOKUP(AG507,t_entry_status!A:AE,2,FALSE)</f>
        <v>PENDING</v>
      </c>
      <c r="AI507" s="7">
        <v>45560</v>
      </c>
      <c r="AJ507" s="1" t="s">
        <v>7449</v>
      </c>
      <c r="AK507" s="7">
        <v>45560</v>
      </c>
      <c r="AL507" s="1" t="s">
        <v>7449</v>
      </c>
    </row>
    <row r="508" spans="1:38" s="20" customFormat="1" x14ac:dyDescent="0.25">
      <c r="A508" s="14">
        <v>507</v>
      </c>
      <c r="B508" s="14" t="str">
        <f>_xlfn.CONCAT(AE508,"-",VLOOKUP(AE508,t_objeto!B:D,3,FALSE),"-",A508)</f>
        <v>RRMM-PERCCO-507</v>
      </c>
      <c r="C508" s="22" t="str">
        <f t="shared" si="78"/>
        <v>LAMINA_LISA__ACERO_ROLADA EN CALIENTE_4'X10'_8</v>
      </c>
      <c r="D508" s="14" t="s">
        <v>7407</v>
      </c>
      <c r="E508" s="14" t="s">
        <v>7380</v>
      </c>
      <c r="F508" s="21" t="s">
        <v>7386</v>
      </c>
      <c r="G508" s="22" t="s">
        <v>7382</v>
      </c>
      <c r="H508" s="14">
        <v>8</v>
      </c>
      <c r="I508" s="16">
        <v>4.18</v>
      </c>
      <c r="J508" s="16">
        <f t="shared" si="80"/>
        <v>0.16456692913385826</v>
      </c>
      <c r="K508" s="16">
        <v>32.813000000000002</v>
      </c>
      <c r="L508" s="23"/>
      <c r="M508" s="23"/>
      <c r="N508" s="23"/>
      <c r="O508" s="23"/>
      <c r="P508" s="23"/>
      <c r="Q508" s="19"/>
      <c r="R508" s="17">
        <v>4</v>
      </c>
      <c r="S508" s="17">
        <v>10</v>
      </c>
      <c r="T508" s="16">
        <f t="shared" si="73"/>
        <v>3048</v>
      </c>
      <c r="U508" s="16">
        <f t="shared" si="74"/>
        <v>1219.1999999999998</v>
      </c>
      <c r="V508" s="18">
        <f t="shared" si="81"/>
        <v>3716121.5999999996</v>
      </c>
      <c r="W508" s="18">
        <f t="shared" si="75"/>
        <v>3.7161215999999997</v>
      </c>
      <c r="X508" s="18">
        <f t="shared" si="76"/>
        <v>121.9370980608</v>
      </c>
      <c r="Y508" s="24">
        <v>35</v>
      </c>
      <c r="Z508" s="24">
        <f t="shared" si="77"/>
        <v>4267.7984321280001</v>
      </c>
      <c r="AA508" s="16">
        <v>24</v>
      </c>
      <c r="AB508" s="16">
        <f t="shared" si="83"/>
        <v>3000</v>
      </c>
      <c r="AC508" s="16">
        <f t="shared" si="83"/>
        <v>1171.1999999999998</v>
      </c>
      <c r="AD508" s="19">
        <f t="shared" si="82"/>
        <v>3513599.9999999995</v>
      </c>
      <c r="AE508" s="1" t="s">
        <v>7456</v>
      </c>
      <c r="AF508" s="1" t="str">
        <f>VLOOKUP(AE508,t_objeto!B:C,2,FALSE)</f>
        <v>RAW_MATERIAL</v>
      </c>
      <c r="AG508" s="1">
        <v>8</v>
      </c>
      <c r="AH508" s="1" t="str">
        <f>VLOOKUP(AG508,t_entry_status!A:AE,2,FALSE)</f>
        <v>PENDING</v>
      </c>
      <c r="AI508" s="7">
        <v>45560</v>
      </c>
      <c r="AJ508" s="1" t="s">
        <v>7449</v>
      </c>
      <c r="AK508" s="7">
        <v>45560</v>
      </c>
      <c r="AL508" s="1" t="s">
        <v>7449</v>
      </c>
    </row>
    <row r="509" spans="1:38" s="20" customFormat="1" x14ac:dyDescent="0.25">
      <c r="A509" s="14">
        <v>508</v>
      </c>
      <c r="B509" s="14" t="str">
        <f>_xlfn.CONCAT(AE509,"-",VLOOKUP(AE509,t_objeto!B:D,3,FALSE),"-",A509)</f>
        <v>RRMM-PERCCO-508</v>
      </c>
      <c r="C509" s="22" t="str">
        <f t="shared" si="78"/>
        <v>LAMINA_LISA__ACERO_ROLADA EN CALIENTE_4'X10'_9</v>
      </c>
      <c r="D509" s="14" t="s">
        <v>7407</v>
      </c>
      <c r="E509" s="14" t="s">
        <v>7380</v>
      </c>
      <c r="F509" s="21" t="s">
        <v>7386</v>
      </c>
      <c r="G509" s="22" t="s">
        <v>7382</v>
      </c>
      <c r="H509" s="14">
        <v>9</v>
      </c>
      <c r="I509" s="16">
        <v>3.8</v>
      </c>
      <c r="J509" s="16">
        <f t="shared" si="80"/>
        <v>0.14960629921259844</v>
      </c>
      <c r="K509" s="16">
        <v>29.83</v>
      </c>
      <c r="L509" s="23"/>
      <c r="M509" s="23"/>
      <c r="N509" s="23"/>
      <c r="O509" s="23"/>
      <c r="P509" s="23"/>
      <c r="Q509" s="19"/>
      <c r="R509" s="17">
        <v>4</v>
      </c>
      <c r="S509" s="17">
        <v>10</v>
      </c>
      <c r="T509" s="16">
        <f t="shared" si="73"/>
        <v>3048</v>
      </c>
      <c r="U509" s="16">
        <f t="shared" si="74"/>
        <v>1219.1999999999998</v>
      </c>
      <c r="V509" s="18">
        <f t="shared" si="81"/>
        <v>3716121.5999999996</v>
      </c>
      <c r="W509" s="18">
        <f t="shared" si="75"/>
        <v>3.7161215999999997</v>
      </c>
      <c r="X509" s="18">
        <f t="shared" si="76"/>
        <v>110.85190732799998</v>
      </c>
      <c r="Y509" s="24">
        <v>35</v>
      </c>
      <c r="Z509" s="24">
        <f t="shared" si="77"/>
        <v>3879.8167564799992</v>
      </c>
      <c r="AA509" s="16">
        <v>25</v>
      </c>
      <c r="AB509" s="16">
        <f t="shared" si="83"/>
        <v>2998</v>
      </c>
      <c r="AC509" s="16">
        <f t="shared" si="83"/>
        <v>1169.1999999999998</v>
      </c>
      <c r="AD509" s="19">
        <f t="shared" si="82"/>
        <v>3505261.5999999996</v>
      </c>
      <c r="AE509" s="1" t="s">
        <v>7456</v>
      </c>
      <c r="AF509" s="1" t="str">
        <f>VLOOKUP(AE509,t_objeto!B:C,2,FALSE)</f>
        <v>RAW_MATERIAL</v>
      </c>
      <c r="AG509" s="1">
        <v>8</v>
      </c>
      <c r="AH509" s="1" t="str">
        <f>VLOOKUP(AG509,t_entry_status!A:AE,2,FALSE)</f>
        <v>PENDING</v>
      </c>
      <c r="AI509" s="7">
        <v>45560</v>
      </c>
      <c r="AJ509" s="1" t="s">
        <v>7449</v>
      </c>
      <c r="AK509" s="7">
        <v>45560</v>
      </c>
      <c r="AL509" s="1" t="s">
        <v>7449</v>
      </c>
    </row>
    <row r="510" spans="1:38" s="20" customFormat="1" x14ac:dyDescent="0.25">
      <c r="A510" s="14">
        <v>509</v>
      </c>
      <c r="B510" s="14" t="str">
        <f>_xlfn.CONCAT(AE510,"-",VLOOKUP(AE510,t_objeto!B:D,3,FALSE),"-",A510)</f>
        <v>RRMM-PERCCO-509</v>
      </c>
      <c r="C510" s="22" t="str">
        <f t="shared" si="78"/>
        <v>LAMINA_LISA__ACERO_ROLADA EN CALIENTE_4'X10'_10</v>
      </c>
      <c r="D510" s="14" t="s">
        <v>7407</v>
      </c>
      <c r="E510" s="14" t="s">
        <v>7380</v>
      </c>
      <c r="F510" s="21" t="s">
        <v>7386</v>
      </c>
      <c r="G510" s="22" t="s">
        <v>7382</v>
      </c>
      <c r="H510" s="14">
        <v>10</v>
      </c>
      <c r="I510" s="16">
        <v>3.42</v>
      </c>
      <c r="J510" s="16">
        <f t="shared" si="80"/>
        <v>0.13464566929133859</v>
      </c>
      <c r="K510" s="16">
        <v>26.847000000000001</v>
      </c>
      <c r="L510" s="23"/>
      <c r="M510" s="23"/>
      <c r="N510" s="23"/>
      <c r="O510" s="23"/>
      <c r="P510" s="23"/>
      <c r="Q510" s="19"/>
      <c r="R510" s="17">
        <v>4</v>
      </c>
      <c r="S510" s="17">
        <v>10</v>
      </c>
      <c r="T510" s="16">
        <f t="shared" si="73"/>
        <v>3048</v>
      </c>
      <c r="U510" s="16">
        <f t="shared" si="74"/>
        <v>1219.1999999999998</v>
      </c>
      <c r="V510" s="18">
        <f t="shared" si="81"/>
        <v>3716121.5999999996</v>
      </c>
      <c r="W510" s="18">
        <f t="shared" si="75"/>
        <v>3.7161215999999997</v>
      </c>
      <c r="X510" s="18">
        <f t="shared" si="76"/>
        <v>99.766716595199995</v>
      </c>
      <c r="Y510" s="24">
        <v>35</v>
      </c>
      <c r="Z510" s="24">
        <f t="shared" si="77"/>
        <v>3491.8350808319997</v>
      </c>
      <c r="AA510" s="16">
        <v>26</v>
      </c>
      <c r="AB510" s="16">
        <f t="shared" si="83"/>
        <v>2996</v>
      </c>
      <c r="AC510" s="16">
        <f t="shared" si="83"/>
        <v>1167.1999999999998</v>
      </c>
      <c r="AD510" s="19">
        <f t="shared" si="82"/>
        <v>3496931.1999999993</v>
      </c>
      <c r="AE510" s="1" t="s">
        <v>7456</v>
      </c>
      <c r="AF510" s="1" t="str">
        <f>VLOOKUP(AE510,t_objeto!B:C,2,FALSE)</f>
        <v>RAW_MATERIAL</v>
      </c>
      <c r="AG510" s="1">
        <v>8</v>
      </c>
      <c r="AH510" s="1" t="str">
        <f>VLOOKUP(AG510,t_entry_status!A:AE,2,FALSE)</f>
        <v>PENDING</v>
      </c>
      <c r="AI510" s="7">
        <v>45560</v>
      </c>
      <c r="AJ510" s="1" t="s">
        <v>7449</v>
      </c>
      <c r="AK510" s="7">
        <v>45560</v>
      </c>
      <c r="AL510" s="1" t="s">
        <v>7449</v>
      </c>
    </row>
    <row r="511" spans="1:38" s="20" customFormat="1" x14ac:dyDescent="0.25">
      <c r="A511" s="14">
        <v>510</v>
      </c>
      <c r="B511" s="14" t="str">
        <f>_xlfn.CONCAT(AE511,"-",VLOOKUP(AE511,t_objeto!B:D,3,FALSE),"-",A511)</f>
        <v>RRMM-PERCCO-510</v>
      </c>
      <c r="C511" s="22" t="str">
        <f t="shared" si="78"/>
        <v>LAMINA_LISA__ACERO_ROLADA EN CALIENTE_4'X10'_1/8"</v>
      </c>
      <c r="D511" s="14" t="s">
        <v>7407</v>
      </c>
      <c r="E511" s="14" t="s">
        <v>7380</v>
      </c>
      <c r="F511" s="21" t="s">
        <v>7386</v>
      </c>
      <c r="G511" s="22" t="s">
        <v>7382</v>
      </c>
      <c r="H511" s="14" t="s">
        <v>7399</v>
      </c>
      <c r="I511" s="16">
        <v>3.18</v>
      </c>
      <c r="J511" s="16">
        <v>0.125</v>
      </c>
      <c r="K511" s="16"/>
      <c r="L511" s="23"/>
      <c r="M511" s="23"/>
      <c r="N511" s="23"/>
      <c r="O511" s="23"/>
      <c r="P511" s="23"/>
      <c r="Q511" s="19"/>
      <c r="R511" s="17">
        <v>4</v>
      </c>
      <c r="S511" s="17">
        <v>10</v>
      </c>
      <c r="T511" s="16">
        <f t="shared" si="73"/>
        <v>3048</v>
      </c>
      <c r="U511" s="16">
        <f t="shared" si="74"/>
        <v>1219.1999999999998</v>
      </c>
      <c r="V511" s="18">
        <f t="shared" si="81"/>
        <v>3716121.5999999996</v>
      </c>
      <c r="W511" s="18">
        <f t="shared" si="75"/>
        <v>3.7161215999999997</v>
      </c>
      <c r="X511" s="18">
        <f t="shared" si="76"/>
        <v>0</v>
      </c>
      <c r="Y511" s="24">
        <v>35</v>
      </c>
      <c r="Z511" s="24">
        <f t="shared" si="77"/>
        <v>0</v>
      </c>
      <c r="AA511" s="16">
        <v>26</v>
      </c>
      <c r="AB511" s="16">
        <f t="shared" si="83"/>
        <v>2996</v>
      </c>
      <c r="AC511" s="16">
        <f t="shared" si="83"/>
        <v>1167.1999999999998</v>
      </c>
      <c r="AD511" s="19">
        <f t="shared" si="82"/>
        <v>3496931.1999999993</v>
      </c>
      <c r="AE511" s="1" t="s">
        <v>7456</v>
      </c>
      <c r="AF511" s="1" t="str">
        <f>VLOOKUP(AE511,t_objeto!B:C,2,FALSE)</f>
        <v>RAW_MATERIAL</v>
      </c>
      <c r="AG511" s="1">
        <v>8</v>
      </c>
      <c r="AH511" s="1" t="str">
        <f>VLOOKUP(AG511,t_entry_status!A:AE,2,FALSE)</f>
        <v>PENDING</v>
      </c>
      <c r="AI511" s="7">
        <v>45560</v>
      </c>
      <c r="AJ511" s="1" t="s">
        <v>7449</v>
      </c>
      <c r="AK511" s="7">
        <v>45560</v>
      </c>
      <c r="AL511" s="1" t="s">
        <v>7449</v>
      </c>
    </row>
    <row r="512" spans="1:38" s="20" customFormat="1" x14ac:dyDescent="0.25">
      <c r="A512" s="14">
        <v>511</v>
      </c>
      <c r="B512" s="14" t="str">
        <f>_xlfn.CONCAT(AE512,"-",VLOOKUP(AE512,t_objeto!B:D,3,FALSE),"-",A512)</f>
        <v>RRMM-PERCCO-511</v>
      </c>
      <c r="C512" s="22" t="str">
        <f t="shared" si="78"/>
        <v>LAMINA_LISA__ACERO_ROLADA EN CALIENTE_4'X10'_11</v>
      </c>
      <c r="D512" s="14" t="s">
        <v>7407</v>
      </c>
      <c r="E512" s="14" t="s">
        <v>7380</v>
      </c>
      <c r="F512" s="21" t="s">
        <v>7386</v>
      </c>
      <c r="G512" s="22" t="s">
        <v>7382</v>
      </c>
      <c r="H512" s="14">
        <v>11</v>
      </c>
      <c r="I512" s="16">
        <v>3.04</v>
      </c>
      <c r="J512" s="16">
        <f t="shared" si="80"/>
        <v>0.11968503937007875</v>
      </c>
      <c r="K512" s="16">
        <v>23.864000000000001</v>
      </c>
      <c r="L512" s="23"/>
      <c r="M512" s="23"/>
      <c r="N512" s="23"/>
      <c r="O512" s="23"/>
      <c r="P512" s="23"/>
      <c r="Q512" s="19"/>
      <c r="R512" s="17">
        <v>4</v>
      </c>
      <c r="S512" s="17">
        <v>10</v>
      </c>
      <c r="T512" s="16">
        <f t="shared" si="73"/>
        <v>3048</v>
      </c>
      <c r="U512" s="16">
        <f t="shared" si="74"/>
        <v>1219.1999999999998</v>
      </c>
      <c r="V512" s="18">
        <f t="shared" si="81"/>
        <v>3716121.5999999996</v>
      </c>
      <c r="W512" s="18">
        <f t="shared" si="75"/>
        <v>3.7161215999999997</v>
      </c>
      <c r="X512" s="18">
        <f t="shared" si="76"/>
        <v>88.681525862399994</v>
      </c>
      <c r="Y512" s="24">
        <v>35</v>
      </c>
      <c r="Z512" s="24">
        <f t="shared" si="77"/>
        <v>3103.8534051839997</v>
      </c>
      <c r="AA512" s="16">
        <v>27</v>
      </c>
      <c r="AB512" s="16">
        <f t="shared" si="83"/>
        <v>2994</v>
      </c>
      <c r="AC512" s="16">
        <f t="shared" si="83"/>
        <v>1165.1999999999998</v>
      </c>
      <c r="AD512" s="19">
        <f t="shared" si="82"/>
        <v>3488608.7999999993</v>
      </c>
      <c r="AE512" s="1" t="s">
        <v>7456</v>
      </c>
      <c r="AF512" s="1" t="str">
        <f>VLOOKUP(AE512,t_objeto!B:C,2,FALSE)</f>
        <v>RAW_MATERIAL</v>
      </c>
      <c r="AG512" s="1">
        <v>8</v>
      </c>
      <c r="AH512" s="1" t="str">
        <f>VLOOKUP(AG512,t_entry_status!A:AE,2,FALSE)</f>
        <v>PENDING</v>
      </c>
      <c r="AI512" s="7">
        <v>45560</v>
      </c>
      <c r="AJ512" s="1" t="s">
        <v>7449</v>
      </c>
      <c r="AK512" s="7">
        <v>45560</v>
      </c>
      <c r="AL512" s="1" t="s">
        <v>7449</v>
      </c>
    </row>
    <row r="513" spans="1:38" s="20" customFormat="1" x14ac:dyDescent="0.25">
      <c r="A513" s="14">
        <v>512</v>
      </c>
      <c r="B513" s="14" t="str">
        <f>_xlfn.CONCAT(AE513,"-",VLOOKUP(AE513,t_objeto!B:D,3,FALSE),"-",A513)</f>
        <v>RRMM-PERCCO-512</v>
      </c>
      <c r="C513" s="22" t="str">
        <f t="shared" si="78"/>
        <v>LAMINA_LISA__ACERO_ROLADA EN CALIENTE_4'X10'_12</v>
      </c>
      <c r="D513" s="14" t="s">
        <v>7407</v>
      </c>
      <c r="E513" s="14" t="s">
        <v>7380</v>
      </c>
      <c r="F513" s="21" t="s">
        <v>7386</v>
      </c>
      <c r="G513" s="22" t="s">
        <v>7382</v>
      </c>
      <c r="H513" s="14">
        <v>12</v>
      </c>
      <c r="I513" s="16">
        <v>2.66</v>
      </c>
      <c r="J513" s="16">
        <f t="shared" si="80"/>
        <v>0.1047244094488189</v>
      </c>
      <c r="K513" s="16">
        <v>20.881</v>
      </c>
      <c r="L513" s="23"/>
      <c r="M513" s="23"/>
      <c r="N513" s="23"/>
      <c r="O513" s="23"/>
      <c r="P513" s="23"/>
      <c r="Q513" s="19"/>
      <c r="R513" s="17">
        <v>4</v>
      </c>
      <c r="S513" s="17">
        <v>10</v>
      </c>
      <c r="T513" s="16">
        <f t="shared" si="73"/>
        <v>3048</v>
      </c>
      <c r="U513" s="16">
        <f t="shared" si="74"/>
        <v>1219.1999999999998</v>
      </c>
      <c r="V513" s="18">
        <f t="shared" si="81"/>
        <v>3716121.5999999996</v>
      </c>
      <c r="W513" s="18">
        <f t="shared" si="75"/>
        <v>3.7161215999999997</v>
      </c>
      <c r="X513" s="18">
        <f t="shared" si="76"/>
        <v>77.596335129599993</v>
      </c>
      <c r="Y513" s="24">
        <v>35</v>
      </c>
      <c r="Z513" s="24">
        <f t="shared" si="77"/>
        <v>2715.8717295359997</v>
      </c>
      <c r="AA513" s="16">
        <v>28</v>
      </c>
      <c r="AB513" s="16">
        <f t="shared" si="83"/>
        <v>2992</v>
      </c>
      <c r="AC513" s="16">
        <f t="shared" si="83"/>
        <v>1163.1999999999998</v>
      </c>
      <c r="AD513" s="19">
        <f t="shared" si="82"/>
        <v>3480294.3999999994</v>
      </c>
      <c r="AE513" s="1" t="s">
        <v>7456</v>
      </c>
      <c r="AF513" s="1" t="str">
        <f>VLOOKUP(AE513,t_objeto!B:C,2,FALSE)</f>
        <v>RAW_MATERIAL</v>
      </c>
      <c r="AG513" s="1">
        <v>8</v>
      </c>
      <c r="AH513" s="1" t="str">
        <f>VLOOKUP(AG513,t_entry_status!A:AE,2,FALSE)</f>
        <v>PENDING</v>
      </c>
      <c r="AI513" s="7">
        <v>45560</v>
      </c>
      <c r="AJ513" s="1" t="s">
        <v>7449</v>
      </c>
      <c r="AK513" s="7">
        <v>45560</v>
      </c>
      <c r="AL513" s="1" t="s">
        <v>7449</v>
      </c>
    </row>
    <row r="514" spans="1:38" s="20" customFormat="1" x14ac:dyDescent="0.25">
      <c r="A514" s="14">
        <v>513</v>
      </c>
      <c r="B514" s="14" t="str">
        <f>_xlfn.CONCAT(AE514,"-",VLOOKUP(AE514,t_objeto!B:D,3,FALSE),"-",A514)</f>
        <v>RRMM-PERCCO-513</v>
      </c>
      <c r="C514" s="22" t="str">
        <f t="shared" si="78"/>
        <v>LAMINA_LISA__ACERO_ROLADA EN CALIENTE_4'X10'_13</v>
      </c>
      <c r="D514" s="14" t="s">
        <v>7407</v>
      </c>
      <c r="E514" s="14" t="s">
        <v>7380</v>
      </c>
      <c r="F514" s="21" t="s">
        <v>7386</v>
      </c>
      <c r="G514" s="22" t="s">
        <v>7382</v>
      </c>
      <c r="H514" s="14">
        <v>13</v>
      </c>
      <c r="I514" s="16">
        <v>2.2799999999999998</v>
      </c>
      <c r="J514" s="16">
        <f t="shared" si="80"/>
        <v>8.9763779527559054E-2</v>
      </c>
      <c r="K514" s="16">
        <v>17.898</v>
      </c>
      <c r="L514" s="23"/>
      <c r="M514" s="23"/>
      <c r="N514" s="23"/>
      <c r="O514" s="23"/>
      <c r="P514" s="23"/>
      <c r="Q514" s="19"/>
      <c r="R514" s="17">
        <v>4</v>
      </c>
      <c r="S514" s="17">
        <v>10</v>
      </c>
      <c r="T514" s="16">
        <f t="shared" ref="T514:T577" si="84">S514*12*25.4</f>
        <v>3048</v>
      </c>
      <c r="U514" s="16">
        <f t="shared" ref="U514:U577" si="85">R514*12*25.4</f>
        <v>1219.1999999999998</v>
      </c>
      <c r="V514" s="18">
        <f t="shared" si="81"/>
        <v>3716121.5999999996</v>
      </c>
      <c r="W514" s="18">
        <f t="shared" ref="W514:W577" si="86">V514/1000000</f>
        <v>3.7161215999999997</v>
      </c>
      <c r="X514" s="18">
        <f t="shared" ref="X514:X577" si="87">K514*W514</f>
        <v>66.511144396799992</v>
      </c>
      <c r="Y514" s="24">
        <v>35</v>
      </c>
      <c r="Z514" s="24">
        <f t="shared" ref="Z514:Z577" si="88">X514*Y514</f>
        <v>2327.8900538879998</v>
      </c>
      <c r="AA514" s="16">
        <v>29</v>
      </c>
      <c r="AB514" s="16">
        <f t="shared" si="83"/>
        <v>2990</v>
      </c>
      <c r="AC514" s="16">
        <f t="shared" si="83"/>
        <v>1161.1999999999998</v>
      </c>
      <c r="AD514" s="19">
        <f t="shared" si="82"/>
        <v>3471987.9999999995</v>
      </c>
      <c r="AE514" s="1" t="s">
        <v>7456</v>
      </c>
      <c r="AF514" s="1" t="str">
        <f>VLOOKUP(AE514,t_objeto!B:C,2,FALSE)</f>
        <v>RAW_MATERIAL</v>
      </c>
      <c r="AG514" s="1">
        <v>8</v>
      </c>
      <c r="AH514" s="1" t="str">
        <f>VLOOKUP(AG514,t_entry_status!A:AE,2,FALSE)</f>
        <v>PENDING</v>
      </c>
      <c r="AI514" s="7">
        <v>45560</v>
      </c>
      <c r="AJ514" s="1" t="s">
        <v>7449</v>
      </c>
      <c r="AK514" s="7">
        <v>45560</v>
      </c>
      <c r="AL514" s="1" t="s">
        <v>7449</v>
      </c>
    </row>
    <row r="515" spans="1:38" s="20" customFormat="1" x14ac:dyDescent="0.25">
      <c r="A515" s="14">
        <v>514</v>
      </c>
      <c r="B515" s="14" t="str">
        <f>_xlfn.CONCAT(AE515,"-",VLOOKUP(AE515,t_objeto!B:D,3,FALSE),"-",A515)</f>
        <v>RRMM-PERCCO-514</v>
      </c>
      <c r="C515" s="22" t="str">
        <f t="shared" ref="C515:C578" si="89">_xlfn.CONCAT(D515,"_","_",E515,"_",F515,"_",R515,"'","X",S515,"'","_",H515)</f>
        <v>LAMINA_LISA__ACERO_ROLADA EN CALIENTE_4'X10'_14</v>
      </c>
      <c r="D515" s="14" t="s">
        <v>7407</v>
      </c>
      <c r="E515" s="14" t="s">
        <v>7380</v>
      </c>
      <c r="F515" s="21" t="s">
        <v>7386</v>
      </c>
      <c r="G515" s="22" t="s">
        <v>7382</v>
      </c>
      <c r="H515" s="14">
        <v>14</v>
      </c>
      <c r="I515" s="16">
        <v>1.9</v>
      </c>
      <c r="J515" s="16">
        <f t="shared" si="80"/>
        <v>7.4803149606299218E-2</v>
      </c>
      <c r="K515" s="16">
        <v>14.914999999999999</v>
      </c>
      <c r="L515" s="23"/>
      <c r="M515" s="23"/>
      <c r="N515" s="23"/>
      <c r="O515" s="23"/>
      <c r="P515" s="23"/>
      <c r="Q515" s="19"/>
      <c r="R515" s="17">
        <v>4</v>
      </c>
      <c r="S515" s="17">
        <v>10</v>
      </c>
      <c r="T515" s="16">
        <f t="shared" si="84"/>
        <v>3048</v>
      </c>
      <c r="U515" s="16">
        <f t="shared" si="85"/>
        <v>1219.1999999999998</v>
      </c>
      <c r="V515" s="18">
        <f t="shared" si="81"/>
        <v>3716121.5999999996</v>
      </c>
      <c r="W515" s="18">
        <f t="shared" si="86"/>
        <v>3.7161215999999997</v>
      </c>
      <c r="X515" s="18">
        <f t="shared" si="87"/>
        <v>55.425953663999991</v>
      </c>
      <c r="Y515" s="24">
        <v>35</v>
      </c>
      <c r="Z515" s="24">
        <f t="shared" si="88"/>
        <v>1939.9083782399996</v>
      </c>
      <c r="AA515" s="16">
        <v>30</v>
      </c>
      <c r="AB515" s="16">
        <f t="shared" si="83"/>
        <v>2988</v>
      </c>
      <c r="AC515" s="16">
        <f t="shared" si="83"/>
        <v>1159.1999999999998</v>
      </c>
      <c r="AD515" s="19">
        <f t="shared" si="82"/>
        <v>3463689.5999999996</v>
      </c>
      <c r="AE515" s="1" t="s">
        <v>7456</v>
      </c>
      <c r="AF515" s="1" t="str">
        <f>VLOOKUP(AE515,t_objeto!B:C,2,FALSE)</f>
        <v>RAW_MATERIAL</v>
      </c>
      <c r="AG515" s="1">
        <v>8</v>
      </c>
      <c r="AH515" s="1" t="str">
        <f>VLOOKUP(AG515,t_entry_status!A:AE,2,FALSE)</f>
        <v>PENDING</v>
      </c>
      <c r="AI515" s="7">
        <v>45560</v>
      </c>
      <c r="AJ515" s="1" t="s">
        <v>7449</v>
      </c>
      <c r="AK515" s="7">
        <v>45560</v>
      </c>
      <c r="AL515" s="1" t="s">
        <v>7449</v>
      </c>
    </row>
    <row r="516" spans="1:38" s="20" customFormat="1" x14ac:dyDescent="0.25">
      <c r="A516" s="14">
        <v>515</v>
      </c>
      <c r="B516" s="14" t="str">
        <f>_xlfn.CONCAT(AE516,"-",VLOOKUP(AE516,t_objeto!B:D,3,FALSE),"-",A516)</f>
        <v>RRMM-PERCCO-515</v>
      </c>
      <c r="C516" s="22" t="str">
        <f t="shared" si="89"/>
        <v>LAMINA_LISA__ACERO_ROLADA EN CALIENTE_4'X10'_15</v>
      </c>
      <c r="D516" s="14" t="s">
        <v>7407</v>
      </c>
      <c r="E516" s="14" t="s">
        <v>7380</v>
      </c>
      <c r="F516" s="21" t="s">
        <v>7386</v>
      </c>
      <c r="G516" s="22" t="s">
        <v>7382</v>
      </c>
      <c r="H516" s="14">
        <v>15</v>
      </c>
      <c r="I516" s="16">
        <v>1.71</v>
      </c>
      <c r="J516" s="16">
        <f t="shared" si="80"/>
        <v>6.7322834645669294E-2</v>
      </c>
      <c r="K516" s="16">
        <v>13.423999999999999</v>
      </c>
      <c r="L516" s="23"/>
      <c r="M516" s="23"/>
      <c r="N516" s="23"/>
      <c r="O516" s="23"/>
      <c r="P516" s="23"/>
      <c r="Q516" s="19"/>
      <c r="R516" s="17">
        <v>4</v>
      </c>
      <c r="S516" s="17">
        <v>10</v>
      </c>
      <c r="T516" s="16">
        <f t="shared" si="84"/>
        <v>3048</v>
      </c>
      <c r="U516" s="16">
        <f t="shared" si="85"/>
        <v>1219.1999999999998</v>
      </c>
      <c r="V516" s="18">
        <f t="shared" si="81"/>
        <v>3716121.5999999996</v>
      </c>
      <c r="W516" s="18">
        <f t="shared" si="86"/>
        <v>3.7161215999999997</v>
      </c>
      <c r="X516" s="18">
        <f t="shared" si="87"/>
        <v>49.885216358399994</v>
      </c>
      <c r="Y516" s="24">
        <v>35</v>
      </c>
      <c r="Z516" s="24">
        <f t="shared" si="88"/>
        <v>1745.9825725439998</v>
      </c>
      <c r="AA516" s="16">
        <v>31</v>
      </c>
      <c r="AB516" s="16">
        <f t="shared" si="83"/>
        <v>2986</v>
      </c>
      <c r="AC516" s="16">
        <f t="shared" si="83"/>
        <v>1157.1999999999998</v>
      </c>
      <c r="AD516" s="19">
        <f t="shared" si="82"/>
        <v>3455399.1999999993</v>
      </c>
      <c r="AE516" s="1" t="s">
        <v>7456</v>
      </c>
      <c r="AF516" s="1" t="str">
        <f>VLOOKUP(AE516,t_objeto!B:C,2,FALSE)</f>
        <v>RAW_MATERIAL</v>
      </c>
      <c r="AG516" s="1">
        <v>8</v>
      </c>
      <c r="AH516" s="1" t="str">
        <f>VLOOKUP(AG516,t_entry_status!A:AE,2,FALSE)</f>
        <v>PENDING</v>
      </c>
      <c r="AI516" s="7">
        <v>45560</v>
      </c>
      <c r="AJ516" s="1" t="s">
        <v>7449</v>
      </c>
      <c r="AK516" s="7">
        <v>45560</v>
      </c>
      <c r="AL516" s="1" t="s">
        <v>7449</v>
      </c>
    </row>
    <row r="517" spans="1:38" s="20" customFormat="1" x14ac:dyDescent="0.25">
      <c r="A517" s="14">
        <v>516</v>
      </c>
      <c r="B517" s="14" t="str">
        <f>_xlfn.CONCAT(AE517,"-",VLOOKUP(AE517,t_objeto!B:D,3,FALSE),"-",A517)</f>
        <v>RRMM-PERCCO-516</v>
      </c>
      <c r="C517" s="22" t="str">
        <f t="shared" si="89"/>
        <v>LAMINA_LISA__ACERO_ROLADA EN CALIENTE_4'X10'_16</v>
      </c>
      <c r="D517" s="14" t="s">
        <v>7407</v>
      </c>
      <c r="E517" s="14" t="s">
        <v>7380</v>
      </c>
      <c r="F517" s="21" t="s">
        <v>7386</v>
      </c>
      <c r="G517" s="22" t="s">
        <v>7382</v>
      </c>
      <c r="H517" s="14">
        <v>16</v>
      </c>
      <c r="I517" s="16">
        <v>1.52</v>
      </c>
      <c r="J517" s="16">
        <f t="shared" si="80"/>
        <v>5.9842519685039376E-2</v>
      </c>
      <c r="K517" s="16">
        <v>11.932</v>
      </c>
      <c r="L517" s="23"/>
      <c r="M517" s="23"/>
      <c r="N517" s="23"/>
      <c r="O517" s="23"/>
      <c r="P517" s="23"/>
      <c r="Q517" s="19"/>
      <c r="R517" s="17">
        <v>4</v>
      </c>
      <c r="S517" s="17">
        <v>10</v>
      </c>
      <c r="T517" s="16">
        <f t="shared" si="84"/>
        <v>3048</v>
      </c>
      <c r="U517" s="16">
        <f t="shared" si="85"/>
        <v>1219.1999999999998</v>
      </c>
      <c r="V517" s="18">
        <f t="shared" si="81"/>
        <v>3716121.5999999996</v>
      </c>
      <c r="W517" s="18">
        <f t="shared" si="86"/>
        <v>3.7161215999999997</v>
      </c>
      <c r="X517" s="18">
        <f t="shared" si="87"/>
        <v>44.340762931199997</v>
      </c>
      <c r="Y517" s="24">
        <v>35</v>
      </c>
      <c r="Z517" s="24">
        <f t="shared" si="88"/>
        <v>1551.9267025919999</v>
      </c>
      <c r="AA517" s="16">
        <v>32</v>
      </c>
      <c r="AB517" s="16">
        <f t="shared" si="83"/>
        <v>2984</v>
      </c>
      <c r="AC517" s="16">
        <f t="shared" si="83"/>
        <v>1155.1999999999998</v>
      </c>
      <c r="AD517" s="19">
        <f t="shared" si="82"/>
        <v>3447116.7999999993</v>
      </c>
      <c r="AE517" s="1" t="s">
        <v>7456</v>
      </c>
      <c r="AF517" s="1" t="str">
        <f>VLOOKUP(AE517,t_objeto!B:C,2,FALSE)</f>
        <v>RAW_MATERIAL</v>
      </c>
      <c r="AG517" s="1">
        <v>8</v>
      </c>
      <c r="AH517" s="1" t="str">
        <f>VLOOKUP(AG517,t_entry_status!A:AE,2,FALSE)</f>
        <v>PENDING</v>
      </c>
      <c r="AI517" s="7">
        <v>45560</v>
      </c>
      <c r="AJ517" s="1" t="s">
        <v>7449</v>
      </c>
      <c r="AK517" s="7">
        <v>45560</v>
      </c>
      <c r="AL517" s="1" t="s">
        <v>7449</v>
      </c>
    </row>
    <row r="518" spans="1:38" s="20" customFormat="1" x14ac:dyDescent="0.25">
      <c r="A518" s="14">
        <v>517</v>
      </c>
      <c r="B518" s="14" t="str">
        <f>_xlfn.CONCAT(AE518,"-",VLOOKUP(AE518,t_objeto!B:D,3,FALSE),"-",A518)</f>
        <v>RRMM-PERCCO-517</v>
      </c>
      <c r="C518" s="22" t="str">
        <f t="shared" si="89"/>
        <v>LAMINA_LISA__ACERO_ROLADA EN CALIENTE_4'X10'_17</v>
      </c>
      <c r="D518" s="14" t="s">
        <v>7407</v>
      </c>
      <c r="E518" s="14" t="s">
        <v>7380</v>
      </c>
      <c r="F518" s="21" t="s">
        <v>7386</v>
      </c>
      <c r="G518" s="22" t="s">
        <v>7382</v>
      </c>
      <c r="H518" s="14">
        <v>17</v>
      </c>
      <c r="I518" s="16">
        <v>1.37</v>
      </c>
      <c r="J518" s="16">
        <f t="shared" si="80"/>
        <v>5.3937007874015758E-2</v>
      </c>
      <c r="K518" s="16">
        <v>10.755000000000001</v>
      </c>
      <c r="L518" s="23"/>
      <c r="M518" s="23"/>
      <c r="N518" s="23"/>
      <c r="O518" s="23"/>
      <c r="P518" s="23"/>
      <c r="Q518" s="19"/>
      <c r="R518" s="17">
        <v>4</v>
      </c>
      <c r="S518" s="17">
        <v>10</v>
      </c>
      <c r="T518" s="16">
        <f t="shared" si="84"/>
        <v>3048</v>
      </c>
      <c r="U518" s="16">
        <f t="shared" si="85"/>
        <v>1219.1999999999998</v>
      </c>
      <c r="V518" s="18">
        <f t="shared" si="81"/>
        <v>3716121.5999999996</v>
      </c>
      <c r="W518" s="18">
        <f t="shared" si="86"/>
        <v>3.7161215999999997</v>
      </c>
      <c r="X518" s="18">
        <f t="shared" si="87"/>
        <v>39.966887808000003</v>
      </c>
      <c r="Y518" s="24">
        <v>35</v>
      </c>
      <c r="Z518" s="24">
        <f t="shared" si="88"/>
        <v>1398.84107328</v>
      </c>
      <c r="AA518" s="16">
        <v>33</v>
      </c>
      <c r="AB518" s="16">
        <f t="shared" ref="AB518:AC591" si="90">T518-($AA518*2)</f>
        <v>2982</v>
      </c>
      <c r="AC518" s="16">
        <f t="shared" si="90"/>
        <v>1153.1999999999998</v>
      </c>
      <c r="AD518" s="19">
        <f t="shared" si="82"/>
        <v>3438842.3999999994</v>
      </c>
      <c r="AE518" s="1" t="s">
        <v>7456</v>
      </c>
      <c r="AF518" s="1" t="str">
        <f>VLOOKUP(AE518,t_objeto!B:C,2,FALSE)</f>
        <v>RAW_MATERIAL</v>
      </c>
      <c r="AG518" s="1">
        <v>8</v>
      </c>
      <c r="AH518" s="1" t="str">
        <f>VLOOKUP(AG518,t_entry_status!A:AE,2,FALSE)</f>
        <v>PENDING</v>
      </c>
      <c r="AI518" s="7">
        <v>45560</v>
      </c>
      <c r="AJ518" s="1" t="s">
        <v>7449</v>
      </c>
      <c r="AK518" s="7">
        <v>45560</v>
      </c>
      <c r="AL518" s="1" t="s">
        <v>7449</v>
      </c>
    </row>
    <row r="519" spans="1:38" s="20" customFormat="1" x14ac:dyDescent="0.25">
      <c r="A519" s="14">
        <v>518</v>
      </c>
      <c r="B519" s="14" t="str">
        <f>_xlfn.CONCAT(AE519,"-",VLOOKUP(AE519,t_objeto!B:D,3,FALSE),"-",A519)</f>
        <v>RRMM-PERCCO-518</v>
      </c>
      <c r="C519" s="22" t="str">
        <f t="shared" si="89"/>
        <v>LAMINA_LISA__ACERO_ROLADA EN CALIENTE_4'X10'_18</v>
      </c>
      <c r="D519" s="14" t="s">
        <v>7407</v>
      </c>
      <c r="E519" s="14" t="s">
        <v>7380</v>
      </c>
      <c r="F519" s="21" t="s">
        <v>7386</v>
      </c>
      <c r="G519" s="22" t="s">
        <v>7382</v>
      </c>
      <c r="H519" s="14">
        <v>18</v>
      </c>
      <c r="I519" s="16">
        <v>1.21</v>
      </c>
      <c r="J519" s="16">
        <f t="shared" si="80"/>
        <v>4.7637795275590554E-2</v>
      </c>
      <c r="K519" s="16">
        <v>9.4990000000000006</v>
      </c>
      <c r="L519" s="23"/>
      <c r="M519" s="23"/>
      <c r="N519" s="23"/>
      <c r="O519" s="23"/>
      <c r="P519" s="23"/>
      <c r="Q519" s="19"/>
      <c r="R519" s="17">
        <v>4</v>
      </c>
      <c r="S519" s="17">
        <v>10</v>
      </c>
      <c r="T519" s="16">
        <f t="shared" si="84"/>
        <v>3048</v>
      </c>
      <c r="U519" s="16">
        <f t="shared" si="85"/>
        <v>1219.1999999999998</v>
      </c>
      <c r="V519" s="18">
        <f t="shared" si="81"/>
        <v>3716121.5999999996</v>
      </c>
      <c r="W519" s="18">
        <f t="shared" si="86"/>
        <v>3.7161215999999997</v>
      </c>
      <c r="X519" s="18">
        <f t="shared" si="87"/>
        <v>35.299439078399999</v>
      </c>
      <c r="Y519" s="24">
        <v>35</v>
      </c>
      <c r="Z519" s="24">
        <f t="shared" si="88"/>
        <v>1235.480367744</v>
      </c>
      <c r="AA519" s="16">
        <v>34</v>
      </c>
      <c r="AB519" s="16">
        <f t="shared" si="90"/>
        <v>2980</v>
      </c>
      <c r="AC519" s="16">
        <f t="shared" si="90"/>
        <v>1151.1999999999998</v>
      </c>
      <c r="AD519" s="19">
        <f t="shared" si="82"/>
        <v>3430575.9999999995</v>
      </c>
      <c r="AE519" s="1" t="s">
        <v>7456</v>
      </c>
      <c r="AF519" s="1" t="str">
        <f>VLOOKUP(AE519,t_objeto!B:C,2,FALSE)</f>
        <v>RAW_MATERIAL</v>
      </c>
      <c r="AG519" s="1">
        <v>8</v>
      </c>
      <c r="AH519" s="1" t="str">
        <f>VLOOKUP(AG519,t_entry_status!A:AE,2,FALSE)</f>
        <v>PENDING</v>
      </c>
      <c r="AI519" s="7">
        <v>45560</v>
      </c>
      <c r="AJ519" s="1" t="s">
        <v>7449</v>
      </c>
      <c r="AK519" s="7">
        <v>45560</v>
      </c>
      <c r="AL519" s="1" t="s">
        <v>7449</v>
      </c>
    </row>
    <row r="520" spans="1:38" s="20" customFormat="1" x14ac:dyDescent="0.25">
      <c r="A520" s="14">
        <v>519</v>
      </c>
      <c r="B520" s="14" t="str">
        <f>_xlfn.CONCAT(AE520,"-",VLOOKUP(AE520,t_objeto!B:D,3,FALSE),"-",A520)</f>
        <v>RRMM-PERCCO-519</v>
      </c>
      <c r="C520" s="22" t="str">
        <f t="shared" si="89"/>
        <v>LAMINA_LISA__ACERO_ROLADA EN CALIENTE_4'X10'_19</v>
      </c>
      <c r="D520" s="14" t="s">
        <v>7407</v>
      </c>
      <c r="E520" s="14" t="s">
        <v>7380</v>
      </c>
      <c r="F520" s="21" t="s">
        <v>7386</v>
      </c>
      <c r="G520" s="22" t="s">
        <v>7382</v>
      </c>
      <c r="H520" s="14">
        <v>19</v>
      </c>
      <c r="I520" s="16">
        <v>1.06</v>
      </c>
      <c r="J520" s="16">
        <f t="shared" si="80"/>
        <v>4.1732283464566935E-2</v>
      </c>
      <c r="K520" s="16">
        <v>8.3209999999999997</v>
      </c>
      <c r="L520" s="23"/>
      <c r="M520" s="23"/>
      <c r="N520" s="23"/>
      <c r="O520" s="23"/>
      <c r="P520" s="23"/>
      <c r="Q520" s="19"/>
      <c r="R520" s="17">
        <v>4</v>
      </c>
      <c r="S520" s="17">
        <v>10</v>
      </c>
      <c r="T520" s="16">
        <f t="shared" si="84"/>
        <v>3048</v>
      </c>
      <c r="U520" s="16">
        <f t="shared" si="85"/>
        <v>1219.1999999999998</v>
      </c>
      <c r="V520" s="18">
        <f t="shared" si="81"/>
        <v>3716121.5999999996</v>
      </c>
      <c r="W520" s="18">
        <f t="shared" si="86"/>
        <v>3.7161215999999997</v>
      </c>
      <c r="X520" s="18">
        <f t="shared" si="87"/>
        <v>30.921847833599998</v>
      </c>
      <c r="Y520" s="24">
        <v>35</v>
      </c>
      <c r="Z520" s="24">
        <f t="shared" si="88"/>
        <v>1082.264674176</v>
      </c>
      <c r="AA520" s="16">
        <v>35</v>
      </c>
      <c r="AB520" s="16">
        <f t="shared" si="90"/>
        <v>2978</v>
      </c>
      <c r="AC520" s="16">
        <f t="shared" si="90"/>
        <v>1149.1999999999998</v>
      </c>
      <c r="AD520" s="19">
        <f t="shared" si="82"/>
        <v>3422317.5999999996</v>
      </c>
      <c r="AE520" s="1" t="s">
        <v>7456</v>
      </c>
      <c r="AF520" s="1" t="str">
        <f>VLOOKUP(AE520,t_objeto!B:C,2,FALSE)</f>
        <v>RAW_MATERIAL</v>
      </c>
      <c r="AG520" s="1">
        <v>8</v>
      </c>
      <c r="AH520" s="1" t="str">
        <f>VLOOKUP(AG520,t_entry_status!A:AE,2,FALSE)</f>
        <v>PENDING</v>
      </c>
      <c r="AI520" s="7">
        <v>45560</v>
      </c>
      <c r="AJ520" s="1" t="s">
        <v>7449</v>
      </c>
      <c r="AK520" s="7">
        <v>45560</v>
      </c>
      <c r="AL520" s="1" t="s">
        <v>7449</v>
      </c>
    </row>
    <row r="521" spans="1:38" s="20" customFormat="1" x14ac:dyDescent="0.25">
      <c r="A521" s="14">
        <v>520</v>
      </c>
      <c r="B521" s="14" t="str">
        <f>_xlfn.CONCAT(AE521,"-",VLOOKUP(AE521,t_objeto!B:D,3,FALSE),"-",A521)</f>
        <v>RRMM-PERCCO-520</v>
      </c>
      <c r="C521" s="22" t="str">
        <f t="shared" si="89"/>
        <v>LAMINA_LISA__ACERO_ROLADA EN CALIENTE_4'X10'_20</v>
      </c>
      <c r="D521" s="14" t="s">
        <v>7407</v>
      </c>
      <c r="E521" s="14" t="s">
        <v>7380</v>
      </c>
      <c r="F521" s="21" t="s">
        <v>7386</v>
      </c>
      <c r="G521" s="22" t="s">
        <v>7382</v>
      </c>
      <c r="H521" s="14">
        <v>20</v>
      </c>
      <c r="I521" s="16">
        <v>0.91</v>
      </c>
      <c r="J521" s="16">
        <f t="shared" si="80"/>
        <v>3.582677165354331E-2</v>
      </c>
      <c r="K521" s="16">
        <v>7.1440000000000001</v>
      </c>
      <c r="L521" s="23"/>
      <c r="M521" s="23"/>
      <c r="N521" s="23"/>
      <c r="O521" s="23"/>
      <c r="P521" s="23"/>
      <c r="Q521" s="19"/>
      <c r="R521" s="17">
        <v>4</v>
      </c>
      <c r="S521" s="17">
        <v>10</v>
      </c>
      <c r="T521" s="16">
        <f t="shared" si="84"/>
        <v>3048</v>
      </c>
      <c r="U521" s="16">
        <f t="shared" si="85"/>
        <v>1219.1999999999998</v>
      </c>
      <c r="V521" s="18">
        <f t="shared" si="81"/>
        <v>3716121.5999999996</v>
      </c>
      <c r="W521" s="18">
        <f t="shared" si="86"/>
        <v>3.7161215999999997</v>
      </c>
      <c r="X521" s="18">
        <f t="shared" si="87"/>
        <v>26.5479727104</v>
      </c>
      <c r="Y521" s="24">
        <v>35</v>
      </c>
      <c r="Z521" s="24">
        <f t="shared" si="88"/>
        <v>929.17904486400005</v>
      </c>
      <c r="AA521" s="16">
        <v>36</v>
      </c>
      <c r="AB521" s="16">
        <f t="shared" si="90"/>
        <v>2976</v>
      </c>
      <c r="AC521" s="16">
        <f t="shared" si="90"/>
        <v>1147.1999999999998</v>
      </c>
      <c r="AD521" s="19">
        <f t="shared" si="82"/>
        <v>3414067.1999999993</v>
      </c>
      <c r="AE521" s="1" t="s">
        <v>7456</v>
      </c>
      <c r="AF521" s="1" t="str">
        <f>VLOOKUP(AE521,t_objeto!B:C,2,FALSE)</f>
        <v>RAW_MATERIAL</v>
      </c>
      <c r="AG521" s="1">
        <v>8</v>
      </c>
      <c r="AH521" s="1" t="str">
        <f>VLOOKUP(AG521,t_entry_status!A:AE,2,FALSE)</f>
        <v>PENDING</v>
      </c>
      <c r="AI521" s="7">
        <v>45560</v>
      </c>
      <c r="AJ521" s="1" t="s">
        <v>7449</v>
      </c>
      <c r="AK521" s="7">
        <v>45560</v>
      </c>
      <c r="AL521" s="1" t="s">
        <v>7449</v>
      </c>
    </row>
    <row r="522" spans="1:38" s="20" customFormat="1" x14ac:dyDescent="0.25">
      <c r="A522" s="14">
        <v>521</v>
      </c>
      <c r="B522" s="14" t="str">
        <f>_xlfn.CONCAT(AE522,"-",VLOOKUP(AE522,t_objeto!B:D,3,FALSE),"-",A522)</f>
        <v>RRMM-PERCCO-521</v>
      </c>
      <c r="C522" s="22" t="str">
        <f t="shared" si="89"/>
        <v>LAMINA_LISA__ACERO_ROLADA EN CALIENTE_4'X10'_21</v>
      </c>
      <c r="D522" s="14" t="s">
        <v>7407</v>
      </c>
      <c r="E522" s="14" t="s">
        <v>7380</v>
      </c>
      <c r="F522" s="21" t="s">
        <v>7386</v>
      </c>
      <c r="G522" s="22" t="s">
        <v>7382</v>
      </c>
      <c r="H522" s="14">
        <v>21</v>
      </c>
      <c r="I522" s="16">
        <v>0.84</v>
      </c>
      <c r="J522" s="16">
        <f t="shared" si="80"/>
        <v>3.3070866141732283E-2</v>
      </c>
      <c r="K522" s="16">
        <v>6.5940000000000003</v>
      </c>
      <c r="L522" s="23"/>
      <c r="M522" s="23"/>
      <c r="N522" s="23"/>
      <c r="O522" s="23"/>
      <c r="P522" s="23"/>
      <c r="Q522" s="19"/>
      <c r="R522" s="17">
        <v>4</v>
      </c>
      <c r="S522" s="17">
        <v>10</v>
      </c>
      <c r="T522" s="16">
        <f t="shared" si="84"/>
        <v>3048</v>
      </c>
      <c r="U522" s="16">
        <f t="shared" si="85"/>
        <v>1219.1999999999998</v>
      </c>
      <c r="V522" s="18">
        <f t="shared" si="81"/>
        <v>3716121.5999999996</v>
      </c>
      <c r="W522" s="18">
        <f t="shared" si="86"/>
        <v>3.7161215999999997</v>
      </c>
      <c r="X522" s="18">
        <f t="shared" si="87"/>
        <v>24.5041058304</v>
      </c>
      <c r="Y522" s="24">
        <v>35</v>
      </c>
      <c r="Z522" s="24">
        <f t="shared" si="88"/>
        <v>857.64370406399996</v>
      </c>
      <c r="AA522" s="16">
        <v>37</v>
      </c>
      <c r="AB522" s="16">
        <f t="shared" si="90"/>
        <v>2974</v>
      </c>
      <c r="AC522" s="16">
        <f t="shared" si="90"/>
        <v>1145.1999999999998</v>
      </c>
      <c r="AD522" s="19">
        <f t="shared" si="82"/>
        <v>3405824.7999999993</v>
      </c>
      <c r="AE522" s="1" t="s">
        <v>7456</v>
      </c>
      <c r="AF522" s="1" t="str">
        <f>VLOOKUP(AE522,t_objeto!B:C,2,FALSE)</f>
        <v>RAW_MATERIAL</v>
      </c>
      <c r="AG522" s="1">
        <v>8</v>
      </c>
      <c r="AH522" s="1" t="str">
        <f>VLOOKUP(AG522,t_entry_status!A:AE,2,FALSE)</f>
        <v>PENDING</v>
      </c>
      <c r="AI522" s="7">
        <v>45560</v>
      </c>
      <c r="AJ522" s="1" t="s">
        <v>7449</v>
      </c>
      <c r="AK522" s="7">
        <v>45560</v>
      </c>
      <c r="AL522" s="1" t="s">
        <v>7449</v>
      </c>
    </row>
    <row r="523" spans="1:38" s="20" customFormat="1" x14ac:dyDescent="0.25">
      <c r="A523" s="14">
        <v>522</v>
      </c>
      <c r="B523" s="14" t="str">
        <f>_xlfn.CONCAT(AE523,"-",VLOOKUP(AE523,t_objeto!B:D,3,FALSE),"-",A523)</f>
        <v>RRMM-PERCCO-522</v>
      </c>
      <c r="C523" s="22" t="str">
        <f t="shared" si="89"/>
        <v>LAMINA_LISA__ACERO_ROLADA EN CALIENTE_4'X10'_22</v>
      </c>
      <c r="D523" s="14" t="s">
        <v>7407</v>
      </c>
      <c r="E523" s="14" t="s">
        <v>7380</v>
      </c>
      <c r="F523" s="21" t="s">
        <v>7386</v>
      </c>
      <c r="G523" s="22" t="s">
        <v>7382</v>
      </c>
      <c r="H523" s="14">
        <v>22</v>
      </c>
      <c r="I523" s="16">
        <v>0.76</v>
      </c>
      <c r="J523" s="16">
        <f t="shared" si="80"/>
        <v>2.9921259842519688E-2</v>
      </c>
      <c r="K523" s="16">
        <v>6.1050000000000004</v>
      </c>
      <c r="L523" s="23"/>
      <c r="M523" s="23"/>
      <c r="N523" s="23"/>
      <c r="O523" s="23"/>
      <c r="P523" s="23"/>
      <c r="Q523" s="19"/>
      <c r="R523" s="17">
        <v>4</v>
      </c>
      <c r="S523" s="17">
        <v>10</v>
      </c>
      <c r="T523" s="16">
        <f t="shared" si="84"/>
        <v>3048</v>
      </c>
      <c r="U523" s="16">
        <f t="shared" si="85"/>
        <v>1219.1999999999998</v>
      </c>
      <c r="V523" s="18">
        <f t="shared" si="81"/>
        <v>3716121.5999999996</v>
      </c>
      <c r="W523" s="18">
        <f t="shared" si="86"/>
        <v>3.7161215999999997</v>
      </c>
      <c r="X523" s="18">
        <f t="shared" si="87"/>
        <v>22.686922368000001</v>
      </c>
      <c r="Y523" s="24">
        <v>35</v>
      </c>
      <c r="Z523" s="24">
        <f t="shared" si="88"/>
        <v>794.04228288000002</v>
      </c>
      <c r="AA523" s="16">
        <v>38</v>
      </c>
      <c r="AB523" s="16">
        <f t="shared" si="90"/>
        <v>2972</v>
      </c>
      <c r="AC523" s="16">
        <f t="shared" si="90"/>
        <v>1143.1999999999998</v>
      </c>
      <c r="AD523" s="19">
        <f t="shared" si="82"/>
        <v>3397590.3999999994</v>
      </c>
      <c r="AE523" s="1" t="s">
        <v>7456</v>
      </c>
      <c r="AF523" s="1" t="str">
        <f>VLOOKUP(AE523,t_objeto!B:C,2,FALSE)</f>
        <v>RAW_MATERIAL</v>
      </c>
      <c r="AG523" s="1">
        <v>8</v>
      </c>
      <c r="AH523" s="1" t="str">
        <f>VLOOKUP(AG523,t_entry_status!A:AE,2,FALSE)</f>
        <v>PENDING</v>
      </c>
      <c r="AI523" s="7">
        <v>45560</v>
      </c>
      <c r="AJ523" s="1" t="s">
        <v>7449</v>
      </c>
      <c r="AK523" s="7">
        <v>45560</v>
      </c>
      <c r="AL523" s="1" t="s">
        <v>7449</v>
      </c>
    </row>
    <row r="524" spans="1:38" s="20" customFormat="1" x14ac:dyDescent="0.25">
      <c r="A524" s="14">
        <v>523</v>
      </c>
      <c r="B524" s="14" t="str">
        <f>_xlfn.CONCAT(AE524,"-",VLOOKUP(AE524,t_objeto!B:D,3,FALSE),"-",A524)</f>
        <v>RRMM-PERCCO-523</v>
      </c>
      <c r="C524" s="22" t="str">
        <f t="shared" si="89"/>
        <v>LAMINA_LISA__ACERO_ROLADA EN CALIENTE_4'X10'_23</v>
      </c>
      <c r="D524" s="14" t="s">
        <v>7407</v>
      </c>
      <c r="E524" s="14" t="s">
        <v>7380</v>
      </c>
      <c r="F524" s="21" t="s">
        <v>7386</v>
      </c>
      <c r="G524" s="22" t="s">
        <v>7382</v>
      </c>
      <c r="H524" s="14">
        <v>23</v>
      </c>
      <c r="I524" s="16">
        <v>0.68</v>
      </c>
      <c r="J524" s="16">
        <f t="shared" si="80"/>
        <v>2.677165354330709E-2</v>
      </c>
      <c r="K524" s="16">
        <v>5.3380000000000001</v>
      </c>
      <c r="L524" s="23"/>
      <c r="M524" s="23"/>
      <c r="N524" s="23"/>
      <c r="O524" s="23"/>
      <c r="P524" s="23"/>
      <c r="Q524" s="19"/>
      <c r="R524" s="17">
        <v>4</v>
      </c>
      <c r="S524" s="17">
        <v>10</v>
      </c>
      <c r="T524" s="16">
        <f t="shared" si="84"/>
        <v>3048</v>
      </c>
      <c r="U524" s="16">
        <f t="shared" si="85"/>
        <v>1219.1999999999998</v>
      </c>
      <c r="V524" s="18">
        <f t="shared" si="81"/>
        <v>3716121.5999999996</v>
      </c>
      <c r="W524" s="18">
        <f t="shared" si="86"/>
        <v>3.7161215999999997</v>
      </c>
      <c r="X524" s="18">
        <f t="shared" si="87"/>
        <v>19.8366571008</v>
      </c>
      <c r="Y524" s="24">
        <v>35</v>
      </c>
      <c r="Z524" s="24">
        <f t="shared" si="88"/>
        <v>694.28299852800001</v>
      </c>
      <c r="AA524" s="16">
        <v>39</v>
      </c>
      <c r="AB524" s="16">
        <f t="shared" si="90"/>
        <v>2970</v>
      </c>
      <c r="AC524" s="16">
        <f t="shared" si="90"/>
        <v>1141.1999999999998</v>
      </c>
      <c r="AD524" s="19">
        <f t="shared" si="82"/>
        <v>3389363.9999999995</v>
      </c>
      <c r="AE524" s="1" t="s">
        <v>7456</v>
      </c>
      <c r="AF524" s="1" t="str">
        <f>VLOOKUP(AE524,t_objeto!B:C,2,FALSE)</f>
        <v>RAW_MATERIAL</v>
      </c>
      <c r="AG524" s="1">
        <v>8</v>
      </c>
      <c r="AH524" s="1" t="str">
        <f>VLOOKUP(AG524,t_entry_status!A:AE,2,FALSE)</f>
        <v>PENDING</v>
      </c>
      <c r="AI524" s="7">
        <v>45560</v>
      </c>
      <c r="AJ524" s="1" t="s">
        <v>7449</v>
      </c>
      <c r="AK524" s="7">
        <v>45560</v>
      </c>
      <c r="AL524" s="1" t="s">
        <v>7449</v>
      </c>
    </row>
    <row r="525" spans="1:38" s="20" customFormat="1" x14ac:dyDescent="0.25">
      <c r="A525" s="14">
        <v>524</v>
      </c>
      <c r="B525" s="14" t="str">
        <f>_xlfn.CONCAT(AE525,"-",VLOOKUP(AE525,t_objeto!B:D,3,FALSE),"-",A525)</f>
        <v>RRMM-PERCCO-524</v>
      </c>
      <c r="C525" s="22" t="str">
        <f t="shared" si="89"/>
        <v>LAMINA_LISA__ACERO_ROLADA EN CALIENTE_4'X10'_24</v>
      </c>
      <c r="D525" s="14" t="s">
        <v>7407</v>
      </c>
      <c r="E525" s="14" t="s">
        <v>7380</v>
      </c>
      <c r="F525" s="21" t="s">
        <v>7386</v>
      </c>
      <c r="G525" s="22" t="s">
        <v>7382</v>
      </c>
      <c r="H525" s="14">
        <v>24</v>
      </c>
      <c r="I525" s="16">
        <v>0.61</v>
      </c>
      <c r="J525" s="16">
        <f t="shared" si="80"/>
        <v>2.4015748031496063E-2</v>
      </c>
      <c r="K525" s="16">
        <v>4.7889999999999997</v>
      </c>
      <c r="L525" s="23"/>
      <c r="M525" s="23"/>
      <c r="N525" s="23"/>
      <c r="O525" s="23"/>
      <c r="P525" s="23"/>
      <c r="Q525" s="19"/>
      <c r="R525" s="17">
        <v>4</v>
      </c>
      <c r="S525" s="17">
        <v>10</v>
      </c>
      <c r="T525" s="16">
        <f t="shared" si="84"/>
        <v>3048</v>
      </c>
      <c r="U525" s="16">
        <f t="shared" si="85"/>
        <v>1219.1999999999998</v>
      </c>
      <c r="V525" s="18">
        <f t="shared" si="81"/>
        <v>3716121.5999999996</v>
      </c>
      <c r="W525" s="18">
        <f t="shared" si="86"/>
        <v>3.7161215999999997</v>
      </c>
      <c r="X525" s="18">
        <f t="shared" si="87"/>
        <v>17.796506342399997</v>
      </c>
      <c r="Y525" s="24">
        <v>35</v>
      </c>
      <c r="Z525" s="24">
        <f t="shared" si="88"/>
        <v>622.87772198399989</v>
      </c>
      <c r="AA525" s="16">
        <v>40</v>
      </c>
      <c r="AB525" s="16">
        <f t="shared" si="90"/>
        <v>2968</v>
      </c>
      <c r="AC525" s="16">
        <f t="shared" si="90"/>
        <v>1139.1999999999998</v>
      </c>
      <c r="AD525" s="19">
        <f t="shared" si="82"/>
        <v>3381145.5999999996</v>
      </c>
      <c r="AE525" s="1" t="s">
        <v>7456</v>
      </c>
      <c r="AF525" s="1" t="str">
        <f>VLOOKUP(AE525,t_objeto!B:C,2,FALSE)</f>
        <v>RAW_MATERIAL</v>
      </c>
      <c r="AG525" s="1">
        <v>8</v>
      </c>
      <c r="AH525" s="1" t="str">
        <f>VLOOKUP(AG525,t_entry_status!A:AE,2,FALSE)</f>
        <v>PENDING</v>
      </c>
      <c r="AI525" s="7">
        <v>45560</v>
      </c>
      <c r="AJ525" s="1" t="s">
        <v>7449</v>
      </c>
      <c r="AK525" s="7">
        <v>45560</v>
      </c>
      <c r="AL525" s="1" t="s">
        <v>7449</v>
      </c>
    </row>
    <row r="526" spans="1:38" s="20" customFormat="1" x14ac:dyDescent="0.25">
      <c r="A526" s="14">
        <v>525</v>
      </c>
      <c r="B526" s="14" t="str">
        <f>_xlfn.CONCAT(AE526,"-",VLOOKUP(AE526,t_objeto!B:D,3,FALSE),"-",A526)</f>
        <v>RRMM-PERCCO-525</v>
      </c>
      <c r="C526" s="22" t="str">
        <f t="shared" si="89"/>
        <v>LAMINA_LISA__ACERO_ROLADA EN CALIENTE_4'X10'_25</v>
      </c>
      <c r="D526" s="14" t="s">
        <v>7407</v>
      </c>
      <c r="E526" s="14" t="s">
        <v>7380</v>
      </c>
      <c r="F526" s="21" t="s">
        <v>7386</v>
      </c>
      <c r="G526" s="22" t="s">
        <v>7382</v>
      </c>
      <c r="H526" s="14">
        <v>25</v>
      </c>
      <c r="I526" s="16">
        <v>0.53</v>
      </c>
      <c r="J526" s="16">
        <f t="shared" si="80"/>
        <v>2.0866141732283468E-2</v>
      </c>
      <c r="K526" s="16">
        <v>4.1609999999999996</v>
      </c>
      <c r="L526" s="23"/>
      <c r="M526" s="23"/>
      <c r="N526" s="23"/>
      <c r="O526" s="23"/>
      <c r="P526" s="23"/>
      <c r="Q526" s="19"/>
      <c r="R526" s="17">
        <v>4</v>
      </c>
      <c r="S526" s="17">
        <v>10</v>
      </c>
      <c r="T526" s="16">
        <f t="shared" si="84"/>
        <v>3048</v>
      </c>
      <c r="U526" s="16">
        <f t="shared" si="85"/>
        <v>1219.1999999999998</v>
      </c>
      <c r="V526" s="18">
        <f t="shared" si="81"/>
        <v>3716121.5999999996</v>
      </c>
      <c r="W526" s="18">
        <f t="shared" si="86"/>
        <v>3.7161215999999997</v>
      </c>
      <c r="X526" s="18">
        <f t="shared" si="87"/>
        <v>15.462781977599997</v>
      </c>
      <c r="Y526" s="24">
        <v>35</v>
      </c>
      <c r="Z526" s="24">
        <f t="shared" si="88"/>
        <v>541.19736921599986</v>
      </c>
      <c r="AA526" s="16">
        <v>41</v>
      </c>
      <c r="AB526" s="16">
        <f t="shared" si="90"/>
        <v>2966</v>
      </c>
      <c r="AC526" s="16">
        <f t="shared" si="90"/>
        <v>1137.1999999999998</v>
      </c>
      <c r="AD526" s="19">
        <f t="shared" si="82"/>
        <v>3372935.1999999993</v>
      </c>
      <c r="AE526" s="1" t="s">
        <v>7456</v>
      </c>
      <c r="AF526" s="1" t="str">
        <f>VLOOKUP(AE526,t_objeto!B:C,2,FALSE)</f>
        <v>RAW_MATERIAL</v>
      </c>
      <c r="AG526" s="1">
        <v>8</v>
      </c>
      <c r="AH526" s="1" t="str">
        <f>VLOOKUP(AG526,t_entry_status!A:AE,2,FALSE)</f>
        <v>PENDING</v>
      </c>
      <c r="AI526" s="7">
        <v>45560</v>
      </c>
      <c r="AJ526" s="1" t="s">
        <v>7449</v>
      </c>
      <c r="AK526" s="7">
        <v>45560</v>
      </c>
      <c r="AL526" s="1" t="s">
        <v>7449</v>
      </c>
    </row>
    <row r="527" spans="1:38" s="20" customFormat="1" x14ac:dyDescent="0.25">
      <c r="A527" s="14">
        <v>526</v>
      </c>
      <c r="B527" s="14" t="str">
        <f>_xlfn.CONCAT(AE527,"-",VLOOKUP(AE527,t_objeto!B:D,3,FALSE),"-",A527)</f>
        <v>RRMM-PERCCO-526</v>
      </c>
      <c r="C527" s="22" t="str">
        <f t="shared" si="89"/>
        <v>LAMINA_LISA__ACERO_ROLADA EN CALIENTE_4'X10'_26</v>
      </c>
      <c r="D527" s="14" t="s">
        <v>7407</v>
      </c>
      <c r="E527" s="14" t="s">
        <v>7380</v>
      </c>
      <c r="F527" s="21" t="s">
        <v>7386</v>
      </c>
      <c r="G527" s="22" t="s">
        <v>7382</v>
      </c>
      <c r="H527" s="14">
        <v>26</v>
      </c>
      <c r="I527" s="16">
        <v>0.45</v>
      </c>
      <c r="J527" s="16">
        <f t="shared" si="80"/>
        <v>1.7716535433070866E-2</v>
      </c>
      <c r="K527" s="16">
        <v>3.5329999999999999</v>
      </c>
      <c r="L527" s="23"/>
      <c r="M527" s="23"/>
      <c r="N527" s="23"/>
      <c r="O527" s="23"/>
      <c r="P527" s="23"/>
      <c r="Q527" s="19"/>
      <c r="R527" s="17">
        <v>4</v>
      </c>
      <c r="S527" s="17">
        <v>10</v>
      </c>
      <c r="T527" s="16">
        <f t="shared" si="84"/>
        <v>3048</v>
      </c>
      <c r="U527" s="16">
        <f t="shared" si="85"/>
        <v>1219.1999999999998</v>
      </c>
      <c r="V527" s="18">
        <f t="shared" si="81"/>
        <v>3716121.5999999996</v>
      </c>
      <c r="W527" s="18">
        <f t="shared" si="86"/>
        <v>3.7161215999999997</v>
      </c>
      <c r="X527" s="18">
        <f t="shared" si="87"/>
        <v>13.129057612799999</v>
      </c>
      <c r="Y527" s="24">
        <v>35</v>
      </c>
      <c r="Z527" s="24">
        <f t="shared" si="88"/>
        <v>459.51701644799994</v>
      </c>
      <c r="AA527" s="16">
        <v>42</v>
      </c>
      <c r="AB527" s="16">
        <f t="shared" si="90"/>
        <v>2964</v>
      </c>
      <c r="AC527" s="16">
        <f t="shared" si="90"/>
        <v>1135.1999999999998</v>
      </c>
      <c r="AD527" s="19">
        <f t="shared" si="82"/>
        <v>3364732.7999999993</v>
      </c>
      <c r="AE527" s="1" t="s">
        <v>7456</v>
      </c>
      <c r="AF527" s="1" t="str">
        <f>VLOOKUP(AE527,t_objeto!B:C,2,FALSE)</f>
        <v>RAW_MATERIAL</v>
      </c>
      <c r="AG527" s="1">
        <v>8</v>
      </c>
      <c r="AH527" s="1" t="str">
        <f>VLOOKUP(AG527,t_entry_status!A:AE,2,FALSE)</f>
        <v>PENDING</v>
      </c>
      <c r="AI527" s="7">
        <v>45560</v>
      </c>
      <c r="AJ527" s="1" t="s">
        <v>7449</v>
      </c>
      <c r="AK527" s="7">
        <v>45560</v>
      </c>
      <c r="AL527" s="1" t="s">
        <v>7449</v>
      </c>
    </row>
    <row r="528" spans="1:38" s="20" customFormat="1" x14ac:dyDescent="0.25">
      <c r="A528" s="14">
        <v>527</v>
      </c>
      <c r="B528" s="14" t="str">
        <f>_xlfn.CONCAT(AE528,"-",VLOOKUP(AE528,t_objeto!B:D,3,FALSE),"-",A528)</f>
        <v>RRMM-PERCCO-527</v>
      </c>
      <c r="C528" s="22" t="str">
        <f t="shared" si="89"/>
        <v>LAMINA_LISA__ACERO_ROLADA EN CALIENTE_4'X10'_27</v>
      </c>
      <c r="D528" s="14" t="s">
        <v>7407</v>
      </c>
      <c r="E528" s="14" t="s">
        <v>7380</v>
      </c>
      <c r="F528" s="21" t="s">
        <v>7386</v>
      </c>
      <c r="G528" s="22" t="s">
        <v>7382</v>
      </c>
      <c r="H528" s="14">
        <v>27</v>
      </c>
      <c r="I528" s="16">
        <v>0.42</v>
      </c>
      <c r="J528" s="16">
        <f t="shared" si="80"/>
        <v>1.6535433070866142E-2</v>
      </c>
      <c r="K528" s="16">
        <v>3.2970000000000002</v>
      </c>
      <c r="L528" s="23"/>
      <c r="M528" s="23"/>
      <c r="N528" s="23"/>
      <c r="O528" s="23"/>
      <c r="P528" s="23"/>
      <c r="Q528" s="19"/>
      <c r="R528" s="17">
        <v>4</v>
      </c>
      <c r="S528" s="17">
        <v>10</v>
      </c>
      <c r="T528" s="16">
        <f t="shared" si="84"/>
        <v>3048</v>
      </c>
      <c r="U528" s="16">
        <f t="shared" si="85"/>
        <v>1219.1999999999998</v>
      </c>
      <c r="V528" s="18">
        <f t="shared" si="81"/>
        <v>3716121.5999999996</v>
      </c>
      <c r="W528" s="18">
        <f t="shared" si="86"/>
        <v>3.7161215999999997</v>
      </c>
      <c r="X528" s="18">
        <f t="shared" si="87"/>
        <v>12.2520529152</v>
      </c>
      <c r="Y528" s="24">
        <v>35</v>
      </c>
      <c r="Z528" s="24">
        <f t="shared" si="88"/>
        <v>428.82185203199998</v>
      </c>
      <c r="AA528" s="16">
        <v>43</v>
      </c>
      <c r="AB528" s="16">
        <f t="shared" si="90"/>
        <v>2962</v>
      </c>
      <c r="AC528" s="16">
        <f t="shared" si="90"/>
        <v>1133.1999999999998</v>
      </c>
      <c r="AD528" s="19">
        <f t="shared" si="82"/>
        <v>3356538.3999999994</v>
      </c>
      <c r="AE528" s="1" t="s">
        <v>7456</v>
      </c>
      <c r="AF528" s="1" t="str">
        <f>VLOOKUP(AE528,t_objeto!B:C,2,FALSE)</f>
        <v>RAW_MATERIAL</v>
      </c>
      <c r="AG528" s="1">
        <v>8</v>
      </c>
      <c r="AH528" s="1" t="str">
        <f>VLOOKUP(AG528,t_entry_status!A:AE,2,FALSE)</f>
        <v>PENDING</v>
      </c>
      <c r="AI528" s="7">
        <v>45560</v>
      </c>
      <c r="AJ528" s="1" t="s">
        <v>7449</v>
      </c>
      <c r="AK528" s="7">
        <v>45560</v>
      </c>
      <c r="AL528" s="1" t="s">
        <v>7449</v>
      </c>
    </row>
    <row r="529" spans="1:38" s="20" customFormat="1" x14ac:dyDescent="0.25">
      <c r="A529" s="14">
        <v>528</v>
      </c>
      <c r="B529" s="14" t="str">
        <f>_xlfn.CONCAT(AE529,"-",VLOOKUP(AE529,t_objeto!B:D,3,FALSE),"-",A529)</f>
        <v>RRMM-PERCCO-528</v>
      </c>
      <c r="C529" s="22" t="str">
        <f t="shared" si="89"/>
        <v>LAMINA_LISA__ACERO_ROLADA EN CALIENTE_4'X10'_28</v>
      </c>
      <c r="D529" s="14" t="s">
        <v>7407</v>
      </c>
      <c r="E529" s="14" t="s">
        <v>7380</v>
      </c>
      <c r="F529" s="21" t="s">
        <v>7386</v>
      </c>
      <c r="G529" s="22" t="s">
        <v>7382</v>
      </c>
      <c r="H529" s="14">
        <v>28</v>
      </c>
      <c r="I529" s="16">
        <v>0.38</v>
      </c>
      <c r="J529" s="16">
        <f t="shared" si="80"/>
        <v>1.4960629921259844E-2</v>
      </c>
      <c r="K529" s="16">
        <v>2.9830000000000001</v>
      </c>
      <c r="L529" s="23"/>
      <c r="M529" s="23"/>
      <c r="N529" s="23"/>
      <c r="O529" s="23"/>
      <c r="P529" s="23"/>
      <c r="Q529" s="19"/>
      <c r="R529" s="17">
        <v>4</v>
      </c>
      <c r="S529" s="17">
        <v>10</v>
      </c>
      <c r="T529" s="16">
        <f t="shared" si="84"/>
        <v>3048</v>
      </c>
      <c r="U529" s="16">
        <f t="shared" si="85"/>
        <v>1219.1999999999998</v>
      </c>
      <c r="V529" s="18">
        <f t="shared" si="81"/>
        <v>3716121.5999999996</v>
      </c>
      <c r="W529" s="18">
        <f t="shared" si="86"/>
        <v>3.7161215999999997</v>
      </c>
      <c r="X529" s="18">
        <f t="shared" si="87"/>
        <v>11.085190732799999</v>
      </c>
      <c r="Y529" s="24">
        <v>35</v>
      </c>
      <c r="Z529" s="24">
        <f t="shared" si="88"/>
        <v>387.98167564799996</v>
      </c>
      <c r="AA529" s="16">
        <v>44</v>
      </c>
      <c r="AB529" s="16">
        <f t="shared" si="90"/>
        <v>2960</v>
      </c>
      <c r="AC529" s="16">
        <f t="shared" si="90"/>
        <v>1131.1999999999998</v>
      </c>
      <c r="AD529" s="19">
        <f t="shared" si="82"/>
        <v>3348351.9999999995</v>
      </c>
      <c r="AE529" s="1" t="s">
        <v>7456</v>
      </c>
      <c r="AF529" s="1" t="str">
        <f>VLOOKUP(AE529,t_objeto!B:C,2,FALSE)</f>
        <v>RAW_MATERIAL</v>
      </c>
      <c r="AG529" s="1">
        <v>8</v>
      </c>
      <c r="AH529" s="1" t="str">
        <f>VLOOKUP(AG529,t_entry_status!A:AE,2,FALSE)</f>
        <v>PENDING</v>
      </c>
      <c r="AI529" s="7">
        <v>45560</v>
      </c>
      <c r="AJ529" s="1" t="s">
        <v>7449</v>
      </c>
      <c r="AK529" s="7">
        <v>45560</v>
      </c>
      <c r="AL529" s="1" t="s">
        <v>7449</v>
      </c>
    </row>
    <row r="530" spans="1:38" s="20" customFormat="1" x14ac:dyDescent="0.25">
      <c r="A530" s="14">
        <v>529</v>
      </c>
      <c r="B530" s="14" t="str">
        <f>_xlfn.CONCAT(AE530,"-",VLOOKUP(AE530,t_objeto!B:D,3,FALSE),"-",A530)</f>
        <v>RRMM-PERCCO-529</v>
      </c>
      <c r="C530" s="22" t="str">
        <f t="shared" si="89"/>
        <v>LAMINA_LISA__ACERO_ROLADA EN CALIENTE_4'X10'_29</v>
      </c>
      <c r="D530" s="14" t="s">
        <v>7407</v>
      </c>
      <c r="E530" s="14" t="s">
        <v>7380</v>
      </c>
      <c r="F530" s="21" t="s">
        <v>7386</v>
      </c>
      <c r="G530" s="22" t="s">
        <v>7382</v>
      </c>
      <c r="H530" s="14">
        <v>29</v>
      </c>
      <c r="I530" s="16">
        <v>0.34</v>
      </c>
      <c r="J530" s="16">
        <f t="shared" si="80"/>
        <v>1.3385826771653545E-2</v>
      </c>
      <c r="K530" s="16">
        <v>2.669</v>
      </c>
      <c r="L530" s="23"/>
      <c r="M530" s="23"/>
      <c r="N530" s="23"/>
      <c r="O530" s="23"/>
      <c r="P530" s="23"/>
      <c r="Q530" s="19"/>
      <c r="R530" s="17">
        <v>4</v>
      </c>
      <c r="S530" s="17">
        <v>10</v>
      </c>
      <c r="T530" s="16">
        <f t="shared" si="84"/>
        <v>3048</v>
      </c>
      <c r="U530" s="16">
        <f t="shared" si="85"/>
        <v>1219.1999999999998</v>
      </c>
      <c r="V530" s="18">
        <f t="shared" si="81"/>
        <v>3716121.5999999996</v>
      </c>
      <c r="W530" s="18">
        <f t="shared" si="86"/>
        <v>3.7161215999999997</v>
      </c>
      <c r="X530" s="18">
        <f t="shared" si="87"/>
        <v>9.9183285504000001</v>
      </c>
      <c r="Y530" s="24">
        <v>35</v>
      </c>
      <c r="Z530" s="24">
        <f t="shared" si="88"/>
        <v>347.141499264</v>
      </c>
      <c r="AA530" s="16">
        <v>45</v>
      </c>
      <c r="AB530" s="16">
        <f t="shared" si="90"/>
        <v>2958</v>
      </c>
      <c r="AC530" s="16">
        <f t="shared" si="90"/>
        <v>1129.1999999999998</v>
      </c>
      <c r="AD530" s="19">
        <f t="shared" si="82"/>
        <v>3340173.5999999996</v>
      </c>
      <c r="AE530" s="1" t="s">
        <v>7456</v>
      </c>
      <c r="AF530" s="1" t="str">
        <f>VLOOKUP(AE530,t_objeto!B:C,2,FALSE)</f>
        <v>RAW_MATERIAL</v>
      </c>
      <c r="AG530" s="1">
        <v>8</v>
      </c>
      <c r="AH530" s="1" t="str">
        <f>VLOOKUP(AG530,t_entry_status!A:AE,2,FALSE)</f>
        <v>PENDING</v>
      </c>
      <c r="AI530" s="7">
        <v>45560</v>
      </c>
      <c r="AJ530" s="1" t="s">
        <v>7449</v>
      </c>
      <c r="AK530" s="7">
        <v>45560</v>
      </c>
      <c r="AL530" s="1" t="s">
        <v>7449</v>
      </c>
    </row>
    <row r="531" spans="1:38" s="20" customFormat="1" x14ac:dyDescent="0.25">
      <c r="A531" s="14">
        <v>530</v>
      </c>
      <c r="B531" s="14" t="str">
        <f>_xlfn.CONCAT(AE531,"-",VLOOKUP(AE531,t_objeto!B:D,3,FALSE),"-",A531)</f>
        <v>RRMM-PERCCO-530</v>
      </c>
      <c r="C531" s="22" t="str">
        <f t="shared" si="89"/>
        <v>LAMINA_LISA__ACERO_ROLADA EN CALIENTE_4'X10'_30</v>
      </c>
      <c r="D531" s="14" t="s">
        <v>7407</v>
      </c>
      <c r="E531" s="14" t="s">
        <v>7380</v>
      </c>
      <c r="F531" s="21" t="s">
        <v>7386</v>
      </c>
      <c r="G531" s="22" t="s">
        <v>7382</v>
      </c>
      <c r="H531" s="14">
        <v>30</v>
      </c>
      <c r="I531" s="16">
        <v>0.3</v>
      </c>
      <c r="J531" s="16">
        <f t="shared" ref="J531:J594" si="91">I531/25.4</f>
        <v>1.1811023622047244E-2</v>
      </c>
      <c r="K531" s="16">
        <v>2.355</v>
      </c>
      <c r="L531" s="23"/>
      <c r="M531" s="23"/>
      <c r="N531" s="23"/>
      <c r="O531" s="23"/>
      <c r="P531" s="23"/>
      <c r="Q531" s="19"/>
      <c r="R531" s="17">
        <v>4</v>
      </c>
      <c r="S531" s="17">
        <v>10</v>
      </c>
      <c r="T531" s="16">
        <f t="shared" si="84"/>
        <v>3048</v>
      </c>
      <c r="U531" s="16">
        <f t="shared" si="85"/>
        <v>1219.1999999999998</v>
      </c>
      <c r="V531" s="18">
        <f t="shared" si="81"/>
        <v>3716121.5999999996</v>
      </c>
      <c r="W531" s="18">
        <f t="shared" si="86"/>
        <v>3.7161215999999997</v>
      </c>
      <c r="X531" s="18">
        <f t="shared" si="87"/>
        <v>8.7514663679999991</v>
      </c>
      <c r="Y531" s="24">
        <v>35</v>
      </c>
      <c r="Z531" s="24">
        <f t="shared" si="88"/>
        <v>306.30132287999999</v>
      </c>
      <c r="AA531" s="16">
        <v>46</v>
      </c>
      <c r="AB531" s="16">
        <f t="shared" si="90"/>
        <v>2956</v>
      </c>
      <c r="AC531" s="16">
        <f t="shared" si="90"/>
        <v>1127.1999999999998</v>
      </c>
      <c r="AD531" s="19">
        <f t="shared" si="82"/>
        <v>3332003.1999999993</v>
      </c>
      <c r="AE531" s="1" t="s">
        <v>7456</v>
      </c>
      <c r="AF531" s="1" t="str">
        <f>VLOOKUP(AE531,t_objeto!B:C,2,FALSE)</f>
        <v>RAW_MATERIAL</v>
      </c>
      <c r="AG531" s="1">
        <v>8</v>
      </c>
      <c r="AH531" s="1" t="str">
        <f>VLOOKUP(AG531,t_entry_status!A:AE,2,FALSE)</f>
        <v>PENDING</v>
      </c>
      <c r="AI531" s="7">
        <v>45560</v>
      </c>
      <c r="AJ531" s="1" t="s">
        <v>7449</v>
      </c>
      <c r="AK531" s="7">
        <v>45560</v>
      </c>
      <c r="AL531" s="1" t="s">
        <v>7449</v>
      </c>
    </row>
    <row r="532" spans="1:38" s="20" customFormat="1" x14ac:dyDescent="0.25">
      <c r="A532" s="14">
        <v>531</v>
      </c>
      <c r="B532" s="14" t="str">
        <f>_xlfn.CONCAT(AE532,"-",VLOOKUP(AE532,t_objeto!B:D,3,FALSE),"-",A532)</f>
        <v>RRMM-PERCCO-531</v>
      </c>
      <c r="C532" s="22" t="str">
        <f t="shared" si="89"/>
        <v>PLACA__ACERO_ROLADA EN FRIO_4'X10'_1"</v>
      </c>
      <c r="D532" s="14" t="s">
        <v>7385</v>
      </c>
      <c r="E532" s="14" t="s">
        <v>7380</v>
      </c>
      <c r="F532" s="21" t="s">
        <v>7400</v>
      </c>
      <c r="G532" s="22" t="s">
        <v>7382</v>
      </c>
      <c r="H532" s="14" t="s">
        <v>7387</v>
      </c>
      <c r="I532" s="16">
        <v>25.4</v>
      </c>
      <c r="J532" s="16">
        <f t="shared" si="91"/>
        <v>1</v>
      </c>
      <c r="K532" s="16">
        <v>199.39</v>
      </c>
      <c r="L532" s="23"/>
      <c r="M532" s="23"/>
      <c r="N532" s="23"/>
      <c r="O532" s="23"/>
      <c r="P532" s="23"/>
      <c r="Q532" s="19"/>
      <c r="R532" s="17">
        <v>4</v>
      </c>
      <c r="S532" s="17">
        <v>10</v>
      </c>
      <c r="T532" s="16">
        <f t="shared" si="84"/>
        <v>3048</v>
      </c>
      <c r="U532" s="16">
        <f t="shared" si="85"/>
        <v>1219.1999999999998</v>
      </c>
      <c r="V532" s="18">
        <f t="shared" si="81"/>
        <v>3716121.5999999996</v>
      </c>
      <c r="W532" s="18">
        <f t="shared" si="86"/>
        <v>3.7161215999999997</v>
      </c>
      <c r="X532" s="18">
        <f t="shared" si="87"/>
        <v>740.95748582399983</v>
      </c>
      <c r="Y532" s="24">
        <v>35</v>
      </c>
      <c r="Z532" s="24">
        <f t="shared" si="88"/>
        <v>25933.512003839995</v>
      </c>
      <c r="AA532" s="16">
        <v>8</v>
      </c>
      <c r="AB532" s="16">
        <f t="shared" si="90"/>
        <v>3032</v>
      </c>
      <c r="AC532" s="16">
        <f t="shared" si="90"/>
        <v>1203.1999999999998</v>
      </c>
      <c r="AD532" s="19">
        <f t="shared" si="82"/>
        <v>3648102.3999999994</v>
      </c>
      <c r="AE532" s="1" t="s">
        <v>7456</v>
      </c>
      <c r="AF532" s="1" t="str">
        <f>VLOOKUP(AE532,t_objeto!B:C,2,FALSE)</f>
        <v>RAW_MATERIAL</v>
      </c>
      <c r="AG532" s="1">
        <v>8</v>
      </c>
      <c r="AH532" s="1" t="str">
        <f>VLOOKUP(AG532,t_entry_status!A:AE,2,FALSE)</f>
        <v>PENDING</v>
      </c>
      <c r="AI532" s="7">
        <v>45560</v>
      </c>
      <c r="AJ532" s="1" t="s">
        <v>7449</v>
      </c>
      <c r="AK532" s="7">
        <v>45560</v>
      </c>
      <c r="AL532" s="1" t="s">
        <v>7449</v>
      </c>
    </row>
    <row r="533" spans="1:38" s="20" customFormat="1" x14ac:dyDescent="0.25">
      <c r="A533" s="14">
        <v>532</v>
      </c>
      <c r="B533" s="14" t="str">
        <f>_xlfn.CONCAT(AE533,"-",VLOOKUP(AE533,t_objeto!B:D,3,FALSE),"-",A533)</f>
        <v>RRMM-PERCCO-532</v>
      </c>
      <c r="C533" s="22" t="str">
        <f t="shared" si="89"/>
        <v>PLACA__ACERO_ROLADA EN FRIO_4'X10'_7/8"</v>
      </c>
      <c r="D533" s="14" t="s">
        <v>7385</v>
      </c>
      <c r="E533" s="14" t="s">
        <v>7380</v>
      </c>
      <c r="F533" s="21" t="s">
        <v>7400</v>
      </c>
      <c r="G533" s="22" t="s">
        <v>7382</v>
      </c>
      <c r="H533" s="14" t="s">
        <v>7388</v>
      </c>
      <c r="I533" s="16">
        <v>22.22</v>
      </c>
      <c r="J533" s="16">
        <f t="shared" si="91"/>
        <v>0.87480314960629924</v>
      </c>
      <c r="K533" s="16">
        <v>174.42699999999999</v>
      </c>
      <c r="L533" s="23"/>
      <c r="M533" s="23"/>
      <c r="N533" s="23"/>
      <c r="O533" s="23"/>
      <c r="P533" s="23"/>
      <c r="Q533" s="19"/>
      <c r="R533" s="17">
        <v>4</v>
      </c>
      <c r="S533" s="17">
        <v>10</v>
      </c>
      <c r="T533" s="16">
        <f t="shared" si="84"/>
        <v>3048</v>
      </c>
      <c r="U533" s="16">
        <f t="shared" si="85"/>
        <v>1219.1999999999998</v>
      </c>
      <c r="V533" s="18">
        <f t="shared" ref="V533:V596" si="92">T533*U533</f>
        <v>3716121.5999999996</v>
      </c>
      <c r="W533" s="18">
        <f t="shared" si="86"/>
        <v>3.7161215999999997</v>
      </c>
      <c r="X533" s="18">
        <f t="shared" si="87"/>
        <v>648.1919423231999</v>
      </c>
      <c r="Y533" s="24">
        <v>35</v>
      </c>
      <c r="Z533" s="24">
        <f t="shared" si="88"/>
        <v>22686.717981311995</v>
      </c>
      <c r="AA533" s="16">
        <v>9</v>
      </c>
      <c r="AB533" s="16">
        <f t="shared" si="90"/>
        <v>3030</v>
      </c>
      <c r="AC533" s="16">
        <f t="shared" si="90"/>
        <v>1201.1999999999998</v>
      </c>
      <c r="AD533" s="19">
        <f t="shared" ref="AD533:AD596" si="93">AB533*AC533</f>
        <v>3639635.9999999995</v>
      </c>
      <c r="AE533" s="1" t="s">
        <v>7456</v>
      </c>
      <c r="AF533" s="1" t="str">
        <f>VLOOKUP(AE533,t_objeto!B:C,2,FALSE)</f>
        <v>RAW_MATERIAL</v>
      </c>
      <c r="AG533" s="1">
        <v>8</v>
      </c>
      <c r="AH533" s="1" t="str">
        <f>VLOOKUP(AG533,t_entry_status!A:AE,2,FALSE)</f>
        <v>PENDING</v>
      </c>
      <c r="AI533" s="7">
        <v>45560</v>
      </c>
      <c r="AJ533" s="1" t="s">
        <v>7449</v>
      </c>
      <c r="AK533" s="7">
        <v>45560</v>
      </c>
      <c r="AL533" s="1" t="s">
        <v>7449</v>
      </c>
    </row>
    <row r="534" spans="1:38" s="20" customFormat="1" x14ac:dyDescent="0.25">
      <c r="A534" s="14">
        <v>533</v>
      </c>
      <c r="B534" s="14" t="str">
        <f>_xlfn.CONCAT(AE534,"-",VLOOKUP(AE534,t_objeto!B:D,3,FALSE),"-",A534)</f>
        <v>RRMM-PERCCO-533</v>
      </c>
      <c r="C534" s="22" t="str">
        <f t="shared" si="89"/>
        <v>PLACA__ACERO_ROLADA EN FRIO_4'X10'_3/4"</v>
      </c>
      <c r="D534" s="14" t="s">
        <v>7385</v>
      </c>
      <c r="E534" s="14" t="s">
        <v>7380</v>
      </c>
      <c r="F534" s="21" t="s">
        <v>7400</v>
      </c>
      <c r="G534" s="22" t="s">
        <v>7382</v>
      </c>
      <c r="H534" s="14" t="s">
        <v>7389</v>
      </c>
      <c r="I534" s="16">
        <v>19.05</v>
      </c>
      <c r="J534" s="16">
        <f t="shared" si="91"/>
        <v>0.75000000000000011</v>
      </c>
      <c r="K534" s="16">
        <v>149.54300000000001</v>
      </c>
      <c r="L534" s="23"/>
      <c r="M534" s="23"/>
      <c r="N534" s="23"/>
      <c r="O534" s="23"/>
      <c r="P534" s="23"/>
      <c r="Q534" s="19"/>
      <c r="R534" s="17">
        <v>4</v>
      </c>
      <c r="S534" s="17">
        <v>10</v>
      </c>
      <c r="T534" s="16">
        <f t="shared" si="84"/>
        <v>3048</v>
      </c>
      <c r="U534" s="16">
        <f t="shared" si="85"/>
        <v>1219.1999999999998</v>
      </c>
      <c r="V534" s="18">
        <f t="shared" si="92"/>
        <v>3716121.5999999996</v>
      </c>
      <c r="W534" s="18">
        <f t="shared" si="86"/>
        <v>3.7161215999999997</v>
      </c>
      <c r="X534" s="18">
        <f t="shared" si="87"/>
        <v>555.71997242880002</v>
      </c>
      <c r="Y534" s="24">
        <v>35</v>
      </c>
      <c r="Z534" s="24">
        <f t="shared" si="88"/>
        <v>19450.199035008001</v>
      </c>
      <c r="AA534" s="16">
        <v>10</v>
      </c>
      <c r="AB534" s="16">
        <f t="shared" si="90"/>
        <v>3028</v>
      </c>
      <c r="AC534" s="16">
        <f t="shared" si="90"/>
        <v>1199.1999999999998</v>
      </c>
      <c r="AD534" s="19">
        <f t="shared" si="93"/>
        <v>3631177.5999999996</v>
      </c>
      <c r="AE534" s="1" t="s">
        <v>7456</v>
      </c>
      <c r="AF534" s="1" t="str">
        <f>VLOOKUP(AE534,t_objeto!B:C,2,FALSE)</f>
        <v>RAW_MATERIAL</v>
      </c>
      <c r="AG534" s="1">
        <v>8</v>
      </c>
      <c r="AH534" s="1" t="str">
        <f>VLOOKUP(AG534,t_entry_status!A:AE,2,FALSE)</f>
        <v>PENDING</v>
      </c>
      <c r="AI534" s="7">
        <v>45560</v>
      </c>
      <c r="AJ534" s="1" t="s">
        <v>7449</v>
      </c>
      <c r="AK534" s="7">
        <v>45560</v>
      </c>
      <c r="AL534" s="1" t="s">
        <v>7449</v>
      </c>
    </row>
    <row r="535" spans="1:38" s="20" customFormat="1" x14ac:dyDescent="0.25">
      <c r="A535" s="14">
        <v>534</v>
      </c>
      <c r="B535" s="14" t="str">
        <f>_xlfn.CONCAT(AE535,"-",VLOOKUP(AE535,t_objeto!B:D,3,FALSE),"-",A535)</f>
        <v>RRMM-PERCCO-534</v>
      </c>
      <c r="C535" s="22" t="str">
        <f t="shared" si="89"/>
        <v>PLACA__ACERO_ROLADA EN FRIO_4'X10'_11/16"</v>
      </c>
      <c r="D535" s="14" t="s">
        <v>7385</v>
      </c>
      <c r="E535" s="14" t="s">
        <v>7380</v>
      </c>
      <c r="F535" s="21" t="s">
        <v>7400</v>
      </c>
      <c r="G535" s="22" t="s">
        <v>7382</v>
      </c>
      <c r="H535" s="14" t="s">
        <v>7390</v>
      </c>
      <c r="I535" s="16">
        <v>17.46</v>
      </c>
      <c r="J535" s="16">
        <f t="shared" si="91"/>
        <v>0.68740157480314967</v>
      </c>
      <c r="K535" s="16">
        <v>137.06100000000001</v>
      </c>
      <c r="L535" s="23"/>
      <c r="M535" s="23"/>
      <c r="N535" s="23"/>
      <c r="O535" s="23"/>
      <c r="P535" s="23"/>
      <c r="Q535" s="19"/>
      <c r="R535" s="17">
        <v>4</v>
      </c>
      <c r="S535" s="17">
        <v>10</v>
      </c>
      <c r="T535" s="16">
        <f t="shared" si="84"/>
        <v>3048</v>
      </c>
      <c r="U535" s="16">
        <f t="shared" si="85"/>
        <v>1219.1999999999998</v>
      </c>
      <c r="V535" s="18">
        <f t="shared" si="92"/>
        <v>3716121.5999999996</v>
      </c>
      <c r="W535" s="18">
        <f t="shared" si="86"/>
        <v>3.7161215999999997</v>
      </c>
      <c r="X535" s="18">
        <f t="shared" si="87"/>
        <v>509.33534261759996</v>
      </c>
      <c r="Y535" s="24">
        <v>35</v>
      </c>
      <c r="Z535" s="24">
        <f t="shared" si="88"/>
        <v>17826.736991615999</v>
      </c>
      <c r="AA535" s="16">
        <v>11</v>
      </c>
      <c r="AB535" s="16">
        <f t="shared" si="90"/>
        <v>3026</v>
      </c>
      <c r="AC535" s="16">
        <f t="shared" si="90"/>
        <v>1197.1999999999998</v>
      </c>
      <c r="AD535" s="19">
        <f t="shared" si="93"/>
        <v>3622727.1999999993</v>
      </c>
      <c r="AE535" s="1" t="s">
        <v>7456</v>
      </c>
      <c r="AF535" s="1" t="str">
        <f>VLOOKUP(AE535,t_objeto!B:C,2,FALSE)</f>
        <v>RAW_MATERIAL</v>
      </c>
      <c r="AG535" s="1">
        <v>8</v>
      </c>
      <c r="AH535" s="1" t="str">
        <f>VLOOKUP(AG535,t_entry_status!A:AE,2,FALSE)</f>
        <v>PENDING</v>
      </c>
      <c r="AI535" s="7">
        <v>45560</v>
      </c>
      <c r="AJ535" s="1" t="s">
        <v>7449</v>
      </c>
      <c r="AK535" s="7">
        <v>45560</v>
      </c>
      <c r="AL535" s="1" t="s">
        <v>7449</v>
      </c>
    </row>
    <row r="536" spans="1:38" s="20" customFormat="1" x14ac:dyDescent="0.25">
      <c r="A536" s="14">
        <v>535</v>
      </c>
      <c r="B536" s="14" t="str">
        <f>_xlfn.CONCAT(AE536,"-",VLOOKUP(AE536,t_objeto!B:D,3,FALSE),"-",A536)</f>
        <v>RRMM-PERCCO-535</v>
      </c>
      <c r="C536" s="22" t="str">
        <f t="shared" si="89"/>
        <v>PLACA__ACERO_ROLADA EN FRIO_4'X10'_5/8"</v>
      </c>
      <c r="D536" s="14" t="s">
        <v>7385</v>
      </c>
      <c r="E536" s="14" t="s">
        <v>7380</v>
      </c>
      <c r="F536" s="21" t="s">
        <v>7400</v>
      </c>
      <c r="G536" s="22" t="s">
        <v>7382</v>
      </c>
      <c r="H536" s="14" t="s">
        <v>7391</v>
      </c>
      <c r="I536" s="16">
        <v>15.87</v>
      </c>
      <c r="J536" s="16">
        <f t="shared" si="91"/>
        <v>0.62480314960629924</v>
      </c>
      <c r="K536" s="16">
        <v>124.58</v>
      </c>
      <c r="L536" s="23"/>
      <c r="M536" s="23"/>
      <c r="N536" s="23"/>
      <c r="O536" s="23"/>
      <c r="P536" s="23"/>
      <c r="Q536" s="19"/>
      <c r="R536" s="17">
        <v>4</v>
      </c>
      <c r="S536" s="17">
        <v>10</v>
      </c>
      <c r="T536" s="16">
        <f t="shared" si="84"/>
        <v>3048</v>
      </c>
      <c r="U536" s="16">
        <f t="shared" si="85"/>
        <v>1219.1999999999998</v>
      </c>
      <c r="V536" s="18">
        <f t="shared" si="92"/>
        <v>3716121.5999999996</v>
      </c>
      <c r="W536" s="18">
        <f t="shared" si="86"/>
        <v>3.7161215999999997</v>
      </c>
      <c r="X536" s="18">
        <f t="shared" si="87"/>
        <v>462.95442892799997</v>
      </c>
      <c r="Y536" s="24">
        <v>35</v>
      </c>
      <c r="Z536" s="24">
        <f t="shared" si="88"/>
        <v>16203.40501248</v>
      </c>
      <c r="AA536" s="16">
        <v>12</v>
      </c>
      <c r="AB536" s="16">
        <f t="shared" si="90"/>
        <v>3024</v>
      </c>
      <c r="AC536" s="16">
        <f t="shared" si="90"/>
        <v>1195.1999999999998</v>
      </c>
      <c r="AD536" s="19">
        <f t="shared" si="93"/>
        <v>3614284.7999999993</v>
      </c>
      <c r="AE536" s="1" t="s">
        <v>7456</v>
      </c>
      <c r="AF536" s="1" t="str">
        <f>VLOOKUP(AE536,t_objeto!B:C,2,FALSE)</f>
        <v>RAW_MATERIAL</v>
      </c>
      <c r="AG536" s="1">
        <v>8</v>
      </c>
      <c r="AH536" s="1" t="str">
        <f>VLOOKUP(AG536,t_entry_status!A:AE,2,FALSE)</f>
        <v>PENDING</v>
      </c>
      <c r="AI536" s="7">
        <v>45560</v>
      </c>
      <c r="AJ536" s="1" t="s">
        <v>7449</v>
      </c>
      <c r="AK536" s="7">
        <v>45560</v>
      </c>
      <c r="AL536" s="1" t="s">
        <v>7449</v>
      </c>
    </row>
    <row r="537" spans="1:38" s="20" customFormat="1" x14ac:dyDescent="0.25">
      <c r="A537" s="14">
        <v>536</v>
      </c>
      <c r="B537" s="14" t="str">
        <f>_xlfn.CONCAT(AE537,"-",VLOOKUP(AE537,t_objeto!B:D,3,FALSE),"-",A537)</f>
        <v>RRMM-PERCCO-536</v>
      </c>
      <c r="C537" s="22" t="str">
        <f t="shared" si="89"/>
        <v>PLACA__ACERO_ROLADA EN FRIO_4'X10'_9/16"</v>
      </c>
      <c r="D537" s="14" t="s">
        <v>7385</v>
      </c>
      <c r="E537" s="14" t="s">
        <v>7380</v>
      </c>
      <c r="F537" s="21" t="s">
        <v>7400</v>
      </c>
      <c r="G537" s="22" t="s">
        <v>7382</v>
      </c>
      <c r="H537" s="14" t="s">
        <v>7392</v>
      </c>
      <c r="I537" s="16">
        <v>14.28</v>
      </c>
      <c r="J537" s="16">
        <f t="shared" si="91"/>
        <v>0.5622047244094488</v>
      </c>
      <c r="K537" s="16">
        <v>112.098</v>
      </c>
      <c r="L537" s="23"/>
      <c r="M537" s="23"/>
      <c r="N537" s="23"/>
      <c r="O537" s="23"/>
      <c r="P537" s="23"/>
      <c r="Q537" s="19"/>
      <c r="R537" s="17">
        <v>4</v>
      </c>
      <c r="S537" s="17">
        <v>10</v>
      </c>
      <c r="T537" s="16">
        <f t="shared" si="84"/>
        <v>3048</v>
      </c>
      <c r="U537" s="16">
        <f t="shared" si="85"/>
        <v>1219.1999999999998</v>
      </c>
      <c r="V537" s="18">
        <f t="shared" si="92"/>
        <v>3716121.5999999996</v>
      </c>
      <c r="W537" s="18">
        <f t="shared" si="86"/>
        <v>3.7161215999999997</v>
      </c>
      <c r="X537" s="18">
        <f t="shared" si="87"/>
        <v>416.56979911679997</v>
      </c>
      <c r="Y537" s="24">
        <v>35</v>
      </c>
      <c r="Z537" s="24">
        <f t="shared" si="88"/>
        <v>14579.942969087999</v>
      </c>
      <c r="AA537" s="16">
        <v>13</v>
      </c>
      <c r="AB537" s="16">
        <f t="shared" si="90"/>
        <v>3022</v>
      </c>
      <c r="AC537" s="16">
        <f t="shared" si="90"/>
        <v>1193.1999999999998</v>
      </c>
      <c r="AD537" s="19">
        <f t="shared" si="93"/>
        <v>3605850.3999999994</v>
      </c>
      <c r="AE537" s="1" t="s">
        <v>7456</v>
      </c>
      <c r="AF537" s="1" t="str">
        <f>VLOOKUP(AE537,t_objeto!B:C,2,FALSE)</f>
        <v>RAW_MATERIAL</v>
      </c>
      <c r="AG537" s="1">
        <v>8</v>
      </c>
      <c r="AH537" s="1" t="str">
        <f>VLOOKUP(AG537,t_entry_status!A:AE,2,FALSE)</f>
        <v>PENDING</v>
      </c>
      <c r="AI537" s="7">
        <v>45560</v>
      </c>
      <c r="AJ537" s="1" t="s">
        <v>7449</v>
      </c>
      <c r="AK537" s="7">
        <v>45560</v>
      </c>
      <c r="AL537" s="1" t="s">
        <v>7449</v>
      </c>
    </row>
    <row r="538" spans="1:38" s="20" customFormat="1" x14ac:dyDescent="0.25">
      <c r="A538" s="14">
        <v>537</v>
      </c>
      <c r="B538" s="14" t="str">
        <f>_xlfn.CONCAT(AE538,"-",VLOOKUP(AE538,t_objeto!B:D,3,FALSE),"-",A538)</f>
        <v>RRMM-PERCCO-537</v>
      </c>
      <c r="C538" s="22" t="str">
        <f t="shared" si="89"/>
        <v>PLACA__ACERO_ROLADA EN FRIO_4'X10'_1/2"</v>
      </c>
      <c r="D538" s="14" t="s">
        <v>7385</v>
      </c>
      <c r="E538" s="14" t="s">
        <v>7380</v>
      </c>
      <c r="F538" s="21" t="s">
        <v>7400</v>
      </c>
      <c r="G538" s="22" t="s">
        <v>7382</v>
      </c>
      <c r="H538" s="14" t="s">
        <v>7393</v>
      </c>
      <c r="I538" s="16">
        <v>12.7</v>
      </c>
      <c r="J538" s="16">
        <f t="shared" si="91"/>
        <v>0.5</v>
      </c>
      <c r="K538" s="16">
        <v>99.694999999999993</v>
      </c>
      <c r="L538" s="23"/>
      <c r="M538" s="23"/>
      <c r="N538" s="23"/>
      <c r="O538" s="23"/>
      <c r="P538" s="23"/>
      <c r="Q538" s="19"/>
      <c r="R538" s="17">
        <v>4</v>
      </c>
      <c r="S538" s="17">
        <v>10</v>
      </c>
      <c r="T538" s="16">
        <f t="shared" si="84"/>
        <v>3048</v>
      </c>
      <c r="U538" s="16">
        <f t="shared" si="85"/>
        <v>1219.1999999999998</v>
      </c>
      <c r="V538" s="18">
        <f t="shared" si="92"/>
        <v>3716121.5999999996</v>
      </c>
      <c r="W538" s="18">
        <f t="shared" si="86"/>
        <v>3.7161215999999997</v>
      </c>
      <c r="X538" s="18">
        <f t="shared" si="87"/>
        <v>370.47874291199992</v>
      </c>
      <c r="Y538" s="24">
        <v>35</v>
      </c>
      <c r="Z538" s="24">
        <f t="shared" si="88"/>
        <v>12966.756001919997</v>
      </c>
      <c r="AA538" s="16">
        <v>14</v>
      </c>
      <c r="AB538" s="16">
        <f t="shared" si="90"/>
        <v>3020</v>
      </c>
      <c r="AC538" s="16">
        <f t="shared" si="90"/>
        <v>1191.1999999999998</v>
      </c>
      <c r="AD538" s="19">
        <f t="shared" si="93"/>
        <v>3597423.9999999995</v>
      </c>
      <c r="AE538" s="1" t="s">
        <v>7456</v>
      </c>
      <c r="AF538" s="1" t="str">
        <f>VLOOKUP(AE538,t_objeto!B:C,2,FALSE)</f>
        <v>RAW_MATERIAL</v>
      </c>
      <c r="AG538" s="1">
        <v>8</v>
      </c>
      <c r="AH538" s="1" t="str">
        <f>VLOOKUP(AG538,t_entry_status!A:AE,2,FALSE)</f>
        <v>PENDING</v>
      </c>
      <c r="AI538" s="7">
        <v>45560</v>
      </c>
      <c r="AJ538" s="1" t="s">
        <v>7449</v>
      </c>
      <c r="AK538" s="7">
        <v>45560</v>
      </c>
      <c r="AL538" s="1" t="s">
        <v>7449</v>
      </c>
    </row>
    <row r="539" spans="1:38" s="20" customFormat="1" x14ac:dyDescent="0.25">
      <c r="A539" s="14">
        <v>538</v>
      </c>
      <c r="B539" s="14" t="str">
        <f>_xlfn.CONCAT(AE539,"-",VLOOKUP(AE539,t_objeto!B:D,3,FALSE),"-",A539)</f>
        <v>RRMM-PERCCO-538</v>
      </c>
      <c r="C539" s="22" t="str">
        <f t="shared" si="89"/>
        <v>PLACA__ACERO_ROLADA EN FRIO_4'X10'_7/16"</v>
      </c>
      <c r="D539" s="14" t="s">
        <v>7385</v>
      </c>
      <c r="E539" s="14" t="s">
        <v>7380</v>
      </c>
      <c r="F539" s="21" t="s">
        <v>7400</v>
      </c>
      <c r="G539" s="22" t="s">
        <v>7382</v>
      </c>
      <c r="H539" s="14" t="s">
        <v>7394</v>
      </c>
      <c r="I539" s="16">
        <v>11.11</v>
      </c>
      <c r="J539" s="16">
        <f t="shared" si="91"/>
        <v>0.43740157480314962</v>
      </c>
      <c r="K539" s="16">
        <v>87.213999999999999</v>
      </c>
      <c r="L539" s="23"/>
      <c r="M539" s="23"/>
      <c r="N539" s="23"/>
      <c r="O539" s="23"/>
      <c r="P539" s="23"/>
      <c r="Q539" s="19"/>
      <c r="R539" s="17">
        <v>4</v>
      </c>
      <c r="S539" s="17">
        <v>10</v>
      </c>
      <c r="T539" s="16">
        <f t="shared" si="84"/>
        <v>3048</v>
      </c>
      <c r="U539" s="16">
        <f t="shared" si="85"/>
        <v>1219.1999999999998</v>
      </c>
      <c r="V539" s="18">
        <f t="shared" si="92"/>
        <v>3716121.5999999996</v>
      </c>
      <c r="W539" s="18">
        <f t="shared" si="86"/>
        <v>3.7161215999999997</v>
      </c>
      <c r="X539" s="18">
        <f t="shared" si="87"/>
        <v>324.09782922239998</v>
      </c>
      <c r="Y539" s="24">
        <v>35</v>
      </c>
      <c r="Z539" s="24">
        <f t="shared" si="88"/>
        <v>11343.424022784</v>
      </c>
      <c r="AA539" s="16">
        <v>15</v>
      </c>
      <c r="AB539" s="16">
        <f t="shared" si="90"/>
        <v>3018</v>
      </c>
      <c r="AC539" s="16">
        <f t="shared" si="90"/>
        <v>1189.1999999999998</v>
      </c>
      <c r="AD539" s="19">
        <f t="shared" si="93"/>
        <v>3589005.5999999996</v>
      </c>
      <c r="AE539" s="1" t="s">
        <v>7456</v>
      </c>
      <c r="AF539" s="1" t="str">
        <f>VLOOKUP(AE539,t_objeto!B:C,2,FALSE)</f>
        <v>RAW_MATERIAL</v>
      </c>
      <c r="AG539" s="1">
        <v>8</v>
      </c>
      <c r="AH539" s="1" t="str">
        <f>VLOOKUP(AG539,t_entry_status!A:AE,2,FALSE)</f>
        <v>PENDING</v>
      </c>
      <c r="AI539" s="7">
        <v>45560</v>
      </c>
      <c r="AJ539" s="1" t="s">
        <v>7449</v>
      </c>
      <c r="AK539" s="7">
        <v>45560</v>
      </c>
      <c r="AL539" s="1" t="s">
        <v>7449</v>
      </c>
    </row>
    <row r="540" spans="1:38" s="20" customFormat="1" x14ac:dyDescent="0.25">
      <c r="A540" s="14">
        <v>539</v>
      </c>
      <c r="B540" s="14" t="str">
        <f>_xlfn.CONCAT(AE540,"-",VLOOKUP(AE540,t_objeto!B:D,3,FALSE),"-",A540)</f>
        <v>RRMM-PERCCO-539</v>
      </c>
      <c r="C540" s="22" t="str">
        <f t="shared" si="89"/>
        <v>PLACA__ACERO_ROLADA EN FRIO_4'X10'_3/8"</v>
      </c>
      <c r="D540" s="14" t="s">
        <v>7385</v>
      </c>
      <c r="E540" s="14" t="s">
        <v>7380</v>
      </c>
      <c r="F540" s="21" t="s">
        <v>7400</v>
      </c>
      <c r="G540" s="22" t="s">
        <v>7382</v>
      </c>
      <c r="H540" s="14" t="s">
        <v>7395</v>
      </c>
      <c r="I540" s="16">
        <v>9.52</v>
      </c>
      <c r="J540" s="16">
        <f t="shared" si="91"/>
        <v>0.37480314960629924</v>
      </c>
      <c r="K540" s="16">
        <v>74.731999999999999</v>
      </c>
      <c r="L540" s="23"/>
      <c r="M540" s="23"/>
      <c r="N540" s="23"/>
      <c r="O540" s="23"/>
      <c r="P540" s="23"/>
      <c r="Q540" s="19"/>
      <c r="R540" s="17">
        <v>4</v>
      </c>
      <c r="S540" s="17">
        <v>10</v>
      </c>
      <c r="T540" s="16">
        <f t="shared" si="84"/>
        <v>3048</v>
      </c>
      <c r="U540" s="16">
        <f t="shared" si="85"/>
        <v>1219.1999999999998</v>
      </c>
      <c r="V540" s="18">
        <f t="shared" si="92"/>
        <v>3716121.5999999996</v>
      </c>
      <c r="W540" s="18">
        <f t="shared" si="86"/>
        <v>3.7161215999999997</v>
      </c>
      <c r="X540" s="18">
        <f t="shared" si="87"/>
        <v>277.71319941119998</v>
      </c>
      <c r="Y540" s="24">
        <v>35</v>
      </c>
      <c r="Z540" s="24">
        <f t="shared" si="88"/>
        <v>9719.9619793919992</v>
      </c>
      <c r="AA540" s="16">
        <v>16</v>
      </c>
      <c r="AB540" s="16">
        <f t="shared" si="90"/>
        <v>3016</v>
      </c>
      <c r="AC540" s="16">
        <f t="shared" si="90"/>
        <v>1187.1999999999998</v>
      </c>
      <c r="AD540" s="19">
        <f t="shared" si="93"/>
        <v>3580595.1999999993</v>
      </c>
      <c r="AE540" s="1" t="s">
        <v>7456</v>
      </c>
      <c r="AF540" s="1" t="str">
        <f>VLOOKUP(AE540,t_objeto!B:C,2,FALSE)</f>
        <v>RAW_MATERIAL</v>
      </c>
      <c r="AG540" s="1">
        <v>8</v>
      </c>
      <c r="AH540" s="1" t="str">
        <f>VLOOKUP(AG540,t_entry_status!A:AE,2,FALSE)</f>
        <v>PENDING</v>
      </c>
      <c r="AI540" s="7">
        <v>45560</v>
      </c>
      <c r="AJ540" s="1" t="s">
        <v>7449</v>
      </c>
      <c r="AK540" s="7">
        <v>45560</v>
      </c>
      <c r="AL540" s="1" t="s">
        <v>7449</v>
      </c>
    </row>
    <row r="541" spans="1:38" s="20" customFormat="1" x14ac:dyDescent="0.25">
      <c r="A541" s="14">
        <v>540</v>
      </c>
      <c r="B541" s="14" t="str">
        <f>_xlfn.CONCAT(AE541,"-",VLOOKUP(AE541,t_objeto!B:D,3,FALSE),"-",A541)</f>
        <v>RRMM-PERCCO-540</v>
      </c>
      <c r="C541" s="22" t="str">
        <f t="shared" si="89"/>
        <v>PLACA__ACERO_ROLADA EN FRIO_4'X10'_5/16"</v>
      </c>
      <c r="D541" s="14" t="s">
        <v>7385</v>
      </c>
      <c r="E541" s="14" t="s">
        <v>7380</v>
      </c>
      <c r="F541" s="21" t="s">
        <v>7400</v>
      </c>
      <c r="G541" s="22" t="s">
        <v>7382</v>
      </c>
      <c r="H541" s="14" t="s">
        <v>7396</v>
      </c>
      <c r="I541" s="16">
        <v>7.93</v>
      </c>
      <c r="J541" s="16">
        <f t="shared" si="91"/>
        <v>0.31220472440944885</v>
      </c>
      <c r="K541" s="16">
        <v>62.250999999999998</v>
      </c>
      <c r="L541" s="23"/>
      <c r="M541" s="23"/>
      <c r="N541" s="23"/>
      <c r="O541" s="23"/>
      <c r="P541" s="23"/>
      <c r="Q541" s="19"/>
      <c r="R541" s="17">
        <v>4</v>
      </c>
      <c r="S541" s="17">
        <v>10</v>
      </c>
      <c r="T541" s="16">
        <f t="shared" si="84"/>
        <v>3048</v>
      </c>
      <c r="U541" s="16">
        <f t="shared" si="85"/>
        <v>1219.1999999999998</v>
      </c>
      <c r="V541" s="18">
        <f t="shared" si="92"/>
        <v>3716121.5999999996</v>
      </c>
      <c r="W541" s="18">
        <f t="shared" si="86"/>
        <v>3.7161215999999997</v>
      </c>
      <c r="X541" s="18">
        <f t="shared" si="87"/>
        <v>231.33228572159996</v>
      </c>
      <c r="Y541" s="24">
        <v>35</v>
      </c>
      <c r="Z541" s="24">
        <f t="shared" si="88"/>
        <v>8096.6300002559983</v>
      </c>
      <c r="AA541" s="16">
        <v>17</v>
      </c>
      <c r="AB541" s="16">
        <f t="shared" si="90"/>
        <v>3014</v>
      </c>
      <c r="AC541" s="16">
        <f t="shared" si="90"/>
        <v>1185.1999999999998</v>
      </c>
      <c r="AD541" s="19">
        <f t="shared" si="93"/>
        <v>3572192.7999999993</v>
      </c>
      <c r="AE541" s="1" t="s">
        <v>7456</v>
      </c>
      <c r="AF541" s="1" t="str">
        <f>VLOOKUP(AE541,t_objeto!B:C,2,FALSE)</f>
        <v>RAW_MATERIAL</v>
      </c>
      <c r="AG541" s="1">
        <v>8</v>
      </c>
      <c r="AH541" s="1" t="str">
        <f>VLOOKUP(AG541,t_entry_status!A:AE,2,FALSE)</f>
        <v>PENDING</v>
      </c>
      <c r="AI541" s="7">
        <v>45560</v>
      </c>
      <c r="AJ541" s="1" t="s">
        <v>7449</v>
      </c>
      <c r="AK541" s="7">
        <v>45560</v>
      </c>
      <c r="AL541" s="1" t="s">
        <v>7449</v>
      </c>
    </row>
    <row r="542" spans="1:38" s="20" customFormat="1" x14ac:dyDescent="0.25">
      <c r="A542" s="14">
        <v>541</v>
      </c>
      <c r="B542" s="14" t="str">
        <f>_xlfn.CONCAT(AE542,"-",VLOOKUP(AE542,t_objeto!B:D,3,FALSE),"-",A542)</f>
        <v>RRMM-PERCCO-541</v>
      </c>
      <c r="C542" s="22" t="str">
        <f t="shared" si="89"/>
        <v>PLACA__ACERO_ROLADA EN FRIO_4'X10'_1/4"</v>
      </c>
      <c r="D542" s="14" t="s">
        <v>7385</v>
      </c>
      <c r="E542" s="14" t="s">
        <v>7380</v>
      </c>
      <c r="F542" s="21" t="s">
        <v>7400</v>
      </c>
      <c r="G542" s="22" t="s">
        <v>7382</v>
      </c>
      <c r="H542" s="14" t="s">
        <v>7397</v>
      </c>
      <c r="I542" s="16">
        <v>6.35</v>
      </c>
      <c r="J542" s="16">
        <f t="shared" si="91"/>
        <v>0.25</v>
      </c>
      <c r="K542" s="16">
        <v>49.847999999999999</v>
      </c>
      <c r="L542" s="23">
        <v>1.2</v>
      </c>
      <c r="M542" s="23">
        <v>0.6</v>
      </c>
      <c r="N542" s="23"/>
      <c r="O542" s="23"/>
      <c r="P542" s="23"/>
      <c r="Q542" s="19" t="s">
        <v>7401</v>
      </c>
      <c r="R542" s="17">
        <v>4</v>
      </c>
      <c r="S542" s="17">
        <v>10</v>
      </c>
      <c r="T542" s="16">
        <f t="shared" si="84"/>
        <v>3048</v>
      </c>
      <c r="U542" s="16">
        <f t="shared" si="85"/>
        <v>1219.1999999999998</v>
      </c>
      <c r="V542" s="18">
        <f t="shared" si="92"/>
        <v>3716121.5999999996</v>
      </c>
      <c r="W542" s="18">
        <f t="shared" si="86"/>
        <v>3.7161215999999997</v>
      </c>
      <c r="X542" s="18">
        <f t="shared" si="87"/>
        <v>185.24122951679999</v>
      </c>
      <c r="Y542" s="24">
        <v>35</v>
      </c>
      <c r="Z542" s="24">
        <f t="shared" si="88"/>
        <v>6483.4430330879995</v>
      </c>
      <c r="AA542" s="16">
        <v>18</v>
      </c>
      <c r="AB542" s="16">
        <f t="shared" si="90"/>
        <v>3012</v>
      </c>
      <c r="AC542" s="16">
        <f t="shared" si="90"/>
        <v>1183.1999999999998</v>
      </c>
      <c r="AD542" s="19">
        <f t="shared" si="93"/>
        <v>3563798.3999999994</v>
      </c>
      <c r="AE542" s="1" t="s">
        <v>7456</v>
      </c>
      <c r="AF542" s="1" t="str">
        <f>VLOOKUP(AE542,t_objeto!B:C,2,FALSE)</f>
        <v>RAW_MATERIAL</v>
      </c>
      <c r="AG542" s="1">
        <v>8</v>
      </c>
      <c r="AH542" s="1" t="str">
        <f>VLOOKUP(AG542,t_entry_status!A:AE,2,FALSE)</f>
        <v>PENDING</v>
      </c>
      <c r="AI542" s="7">
        <v>45560</v>
      </c>
      <c r="AJ542" s="1" t="s">
        <v>7449</v>
      </c>
      <c r="AK542" s="7">
        <v>45560</v>
      </c>
      <c r="AL542" s="1" t="s">
        <v>7449</v>
      </c>
    </row>
    <row r="543" spans="1:38" s="20" customFormat="1" x14ac:dyDescent="0.25">
      <c r="A543" s="14">
        <v>542</v>
      </c>
      <c r="B543" s="14" t="str">
        <f>_xlfn.CONCAT(AE543,"-",VLOOKUP(AE543,t_objeto!B:D,3,FALSE),"-",A543)</f>
        <v>RRMM-PERCCO-542</v>
      </c>
      <c r="C543" s="22" t="str">
        <f t="shared" si="89"/>
        <v>PLACA__ACERO_ROLADA EN FRIO_4'X10'_3/16"</v>
      </c>
      <c r="D543" s="14" t="s">
        <v>7385</v>
      </c>
      <c r="E543" s="14" t="s">
        <v>7380</v>
      </c>
      <c r="F543" s="21" t="s">
        <v>7400</v>
      </c>
      <c r="G543" s="22" t="s">
        <v>7382</v>
      </c>
      <c r="H543" s="14" t="s">
        <v>7398</v>
      </c>
      <c r="I543" s="16">
        <v>4.76</v>
      </c>
      <c r="J543" s="16">
        <f t="shared" si="91"/>
        <v>0.18740157480314962</v>
      </c>
      <c r="K543" s="16">
        <v>37.366</v>
      </c>
      <c r="L543" s="23"/>
      <c r="M543" s="23"/>
      <c r="N543" s="23"/>
      <c r="O543" s="23"/>
      <c r="P543" s="23"/>
      <c r="Q543" s="19"/>
      <c r="R543" s="17">
        <v>4</v>
      </c>
      <c r="S543" s="17">
        <v>10</v>
      </c>
      <c r="T543" s="16">
        <f t="shared" si="84"/>
        <v>3048</v>
      </c>
      <c r="U543" s="16">
        <f t="shared" si="85"/>
        <v>1219.1999999999998</v>
      </c>
      <c r="V543" s="18">
        <f t="shared" si="92"/>
        <v>3716121.5999999996</v>
      </c>
      <c r="W543" s="18">
        <f t="shared" si="86"/>
        <v>3.7161215999999997</v>
      </c>
      <c r="X543" s="18">
        <f t="shared" si="87"/>
        <v>138.85659970559999</v>
      </c>
      <c r="Y543" s="24">
        <v>35</v>
      </c>
      <c r="Z543" s="24">
        <f t="shared" si="88"/>
        <v>4859.9809896959996</v>
      </c>
      <c r="AA543" s="16">
        <v>19</v>
      </c>
      <c r="AB543" s="16">
        <f t="shared" si="90"/>
        <v>3010</v>
      </c>
      <c r="AC543" s="16">
        <f t="shared" si="90"/>
        <v>1181.1999999999998</v>
      </c>
      <c r="AD543" s="19">
        <f t="shared" si="93"/>
        <v>3555411.9999999995</v>
      </c>
      <c r="AE543" s="1" t="s">
        <v>7456</v>
      </c>
      <c r="AF543" s="1" t="str">
        <f>VLOOKUP(AE543,t_objeto!B:C,2,FALSE)</f>
        <v>RAW_MATERIAL</v>
      </c>
      <c r="AG543" s="1">
        <v>8</v>
      </c>
      <c r="AH543" s="1" t="str">
        <f>VLOOKUP(AG543,t_entry_status!A:AE,2,FALSE)</f>
        <v>PENDING</v>
      </c>
      <c r="AI543" s="7">
        <v>45560</v>
      </c>
      <c r="AJ543" s="1" t="s">
        <v>7449</v>
      </c>
      <c r="AK543" s="7">
        <v>45560</v>
      </c>
      <c r="AL543" s="1" t="s">
        <v>7449</v>
      </c>
    </row>
    <row r="544" spans="1:38" s="20" customFormat="1" x14ac:dyDescent="0.25">
      <c r="A544" s="14">
        <v>543</v>
      </c>
      <c r="B544" s="14" t="str">
        <f>_xlfn.CONCAT(AE544,"-",VLOOKUP(AE544,t_objeto!B:D,3,FALSE),"-",A544)</f>
        <v>RRMM-PERCCO-543</v>
      </c>
      <c r="C544" s="22" t="str">
        <f t="shared" si="89"/>
        <v>LAMINA_LISA__ACERO_ROLADA EN FRIO_4'X10'_4</v>
      </c>
      <c r="D544" s="14" t="s">
        <v>7407</v>
      </c>
      <c r="E544" s="14" t="s">
        <v>7380</v>
      </c>
      <c r="F544" s="21" t="s">
        <v>7400</v>
      </c>
      <c r="G544" s="22" t="s">
        <v>7382</v>
      </c>
      <c r="H544" s="14">
        <v>4</v>
      </c>
      <c r="I544" s="16">
        <v>5.69</v>
      </c>
      <c r="J544" s="16">
        <f t="shared" si="91"/>
        <v>0.2240157480314961</v>
      </c>
      <c r="K544" s="16">
        <v>44.667000000000002</v>
      </c>
      <c r="L544" s="23"/>
      <c r="M544" s="23"/>
      <c r="N544" s="23"/>
      <c r="O544" s="23"/>
      <c r="P544" s="23"/>
      <c r="Q544" s="19"/>
      <c r="R544" s="17">
        <v>4</v>
      </c>
      <c r="S544" s="17">
        <v>10</v>
      </c>
      <c r="T544" s="16">
        <f t="shared" si="84"/>
        <v>3048</v>
      </c>
      <c r="U544" s="16">
        <f t="shared" si="85"/>
        <v>1219.1999999999998</v>
      </c>
      <c r="V544" s="18">
        <f t="shared" si="92"/>
        <v>3716121.5999999996</v>
      </c>
      <c r="W544" s="18">
        <f t="shared" si="86"/>
        <v>3.7161215999999997</v>
      </c>
      <c r="X544" s="18">
        <f t="shared" si="87"/>
        <v>165.98800350720001</v>
      </c>
      <c r="Y544" s="24">
        <v>35</v>
      </c>
      <c r="Z544" s="24">
        <f t="shared" si="88"/>
        <v>5809.5801227520005</v>
      </c>
      <c r="AA544" s="16">
        <v>20</v>
      </c>
      <c r="AB544" s="16">
        <f t="shared" si="90"/>
        <v>3008</v>
      </c>
      <c r="AC544" s="16">
        <f t="shared" si="90"/>
        <v>1179.1999999999998</v>
      </c>
      <c r="AD544" s="19">
        <f t="shared" si="93"/>
        <v>3547033.5999999996</v>
      </c>
      <c r="AE544" s="1" t="s">
        <v>7456</v>
      </c>
      <c r="AF544" s="1" t="str">
        <f>VLOOKUP(AE544,t_objeto!B:C,2,FALSE)</f>
        <v>RAW_MATERIAL</v>
      </c>
      <c r="AG544" s="1">
        <v>8</v>
      </c>
      <c r="AH544" s="1" t="str">
        <f>VLOOKUP(AG544,t_entry_status!A:AE,2,FALSE)</f>
        <v>PENDING</v>
      </c>
      <c r="AI544" s="7">
        <v>45560</v>
      </c>
      <c r="AJ544" s="1" t="s">
        <v>7449</v>
      </c>
      <c r="AK544" s="7">
        <v>45560</v>
      </c>
      <c r="AL544" s="1" t="s">
        <v>7449</v>
      </c>
    </row>
    <row r="545" spans="1:38" s="20" customFormat="1" x14ac:dyDescent="0.25">
      <c r="A545" s="14">
        <v>544</v>
      </c>
      <c r="B545" s="14" t="str">
        <f>_xlfn.CONCAT(AE545,"-",VLOOKUP(AE545,t_objeto!B:D,3,FALSE),"-",A545)</f>
        <v>RRMM-PERCCO-544</v>
      </c>
      <c r="C545" s="22" t="str">
        <f t="shared" si="89"/>
        <v>LAMINA_LISA__ACERO_ROLADA EN FRIO_4'X10'_5</v>
      </c>
      <c r="D545" s="14" t="s">
        <v>7407</v>
      </c>
      <c r="E545" s="14" t="s">
        <v>7380</v>
      </c>
      <c r="F545" s="21" t="s">
        <v>7400</v>
      </c>
      <c r="G545" s="22" t="s">
        <v>7382</v>
      </c>
      <c r="H545" s="14">
        <v>5</v>
      </c>
      <c r="I545" s="16">
        <v>5.31</v>
      </c>
      <c r="J545" s="16">
        <f t="shared" si="91"/>
        <v>0.20905511811023622</v>
      </c>
      <c r="K545" s="16">
        <v>41.683999999999997</v>
      </c>
      <c r="L545" s="23"/>
      <c r="M545" s="23"/>
      <c r="N545" s="23"/>
      <c r="O545" s="23"/>
      <c r="P545" s="23"/>
      <c r="Q545" s="19"/>
      <c r="R545" s="17">
        <v>4</v>
      </c>
      <c r="S545" s="17">
        <v>10</v>
      </c>
      <c r="T545" s="16">
        <f t="shared" si="84"/>
        <v>3048</v>
      </c>
      <c r="U545" s="16">
        <f t="shared" si="85"/>
        <v>1219.1999999999998</v>
      </c>
      <c r="V545" s="18">
        <f t="shared" si="92"/>
        <v>3716121.5999999996</v>
      </c>
      <c r="W545" s="18">
        <f t="shared" si="86"/>
        <v>3.7161215999999997</v>
      </c>
      <c r="X545" s="18">
        <f t="shared" si="87"/>
        <v>154.90281277439999</v>
      </c>
      <c r="Y545" s="24">
        <v>35</v>
      </c>
      <c r="Z545" s="24">
        <f t="shared" si="88"/>
        <v>5421.5984471039992</v>
      </c>
      <c r="AA545" s="16">
        <v>21</v>
      </c>
      <c r="AB545" s="16">
        <f t="shared" si="90"/>
        <v>3006</v>
      </c>
      <c r="AC545" s="16">
        <f t="shared" si="90"/>
        <v>1177.1999999999998</v>
      </c>
      <c r="AD545" s="19">
        <f t="shared" si="93"/>
        <v>3538663.1999999993</v>
      </c>
      <c r="AE545" s="1" t="s">
        <v>7456</v>
      </c>
      <c r="AF545" s="1" t="str">
        <f>VLOOKUP(AE545,t_objeto!B:C,2,FALSE)</f>
        <v>RAW_MATERIAL</v>
      </c>
      <c r="AG545" s="1">
        <v>8</v>
      </c>
      <c r="AH545" s="1" t="str">
        <f>VLOOKUP(AG545,t_entry_status!A:AE,2,FALSE)</f>
        <v>PENDING</v>
      </c>
      <c r="AI545" s="7">
        <v>45560</v>
      </c>
      <c r="AJ545" s="1" t="s">
        <v>7449</v>
      </c>
      <c r="AK545" s="7">
        <v>45560</v>
      </c>
      <c r="AL545" s="1" t="s">
        <v>7449</v>
      </c>
    </row>
    <row r="546" spans="1:38" s="20" customFormat="1" x14ac:dyDescent="0.25">
      <c r="A546" s="14">
        <v>545</v>
      </c>
      <c r="B546" s="14" t="str">
        <f>_xlfn.CONCAT(AE546,"-",VLOOKUP(AE546,t_objeto!B:D,3,FALSE),"-",A546)</f>
        <v>RRMM-PERCCO-545</v>
      </c>
      <c r="C546" s="22" t="str">
        <f t="shared" si="89"/>
        <v>LAMINA_LISA__ACERO_ROLADA EN FRIO_4'X10'_6</v>
      </c>
      <c r="D546" s="14" t="s">
        <v>7407</v>
      </c>
      <c r="E546" s="14" t="s">
        <v>7380</v>
      </c>
      <c r="F546" s="21" t="s">
        <v>7400</v>
      </c>
      <c r="G546" s="22" t="s">
        <v>7382</v>
      </c>
      <c r="H546" s="14">
        <v>6</v>
      </c>
      <c r="I546" s="16">
        <v>4.9400000000000004</v>
      </c>
      <c r="J546" s="16">
        <f t="shared" si="91"/>
        <v>0.19448818897637798</v>
      </c>
      <c r="K546" s="16">
        <v>38.779000000000003</v>
      </c>
      <c r="L546" s="23"/>
      <c r="M546" s="23"/>
      <c r="N546" s="23"/>
      <c r="O546" s="23"/>
      <c r="P546" s="23"/>
      <c r="Q546" s="19"/>
      <c r="R546" s="17">
        <v>4</v>
      </c>
      <c r="S546" s="17">
        <v>10</v>
      </c>
      <c r="T546" s="16">
        <f t="shared" si="84"/>
        <v>3048</v>
      </c>
      <c r="U546" s="16">
        <f t="shared" si="85"/>
        <v>1219.1999999999998</v>
      </c>
      <c r="V546" s="18">
        <f t="shared" si="92"/>
        <v>3716121.5999999996</v>
      </c>
      <c r="W546" s="18">
        <f t="shared" si="86"/>
        <v>3.7161215999999997</v>
      </c>
      <c r="X546" s="18">
        <f t="shared" si="87"/>
        <v>144.1074795264</v>
      </c>
      <c r="Y546" s="24">
        <v>35</v>
      </c>
      <c r="Z546" s="24">
        <f t="shared" si="88"/>
        <v>5043.761783424</v>
      </c>
      <c r="AA546" s="16">
        <v>22</v>
      </c>
      <c r="AB546" s="16">
        <f t="shared" si="90"/>
        <v>3004</v>
      </c>
      <c r="AC546" s="16">
        <f t="shared" si="90"/>
        <v>1175.1999999999998</v>
      </c>
      <c r="AD546" s="19">
        <f t="shared" si="93"/>
        <v>3530300.7999999993</v>
      </c>
      <c r="AE546" s="1" t="s">
        <v>7456</v>
      </c>
      <c r="AF546" s="1" t="str">
        <f>VLOOKUP(AE546,t_objeto!B:C,2,FALSE)</f>
        <v>RAW_MATERIAL</v>
      </c>
      <c r="AG546" s="1">
        <v>8</v>
      </c>
      <c r="AH546" s="1" t="str">
        <f>VLOOKUP(AG546,t_entry_status!A:AE,2,FALSE)</f>
        <v>PENDING</v>
      </c>
      <c r="AI546" s="7">
        <v>45560</v>
      </c>
      <c r="AJ546" s="1" t="s">
        <v>7449</v>
      </c>
      <c r="AK546" s="7">
        <v>45560</v>
      </c>
      <c r="AL546" s="1" t="s">
        <v>7449</v>
      </c>
    </row>
    <row r="547" spans="1:38" s="20" customFormat="1" x14ac:dyDescent="0.25">
      <c r="A547" s="14">
        <v>546</v>
      </c>
      <c r="B547" s="14" t="str">
        <f>_xlfn.CONCAT(AE547,"-",VLOOKUP(AE547,t_objeto!B:D,3,FALSE),"-",A547)</f>
        <v>RRMM-PERCCO-546</v>
      </c>
      <c r="C547" s="22" t="str">
        <f t="shared" si="89"/>
        <v>LAMINA_LISA__ACERO_ROLADA EN FRIO_4'X10'_7</v>
      </c>
      <c r="D547" s="14" t="s">
        <v>7407</v>
      </c>
      <c r="E547" s="14" t="s">
        <v>7380</v>
      </c>
      <c r="F547" s="21" t="s">
        <v>7400</v>
      </c>
      <c r="G547" s="22" t="s">
        <v>7382</v>
      </c>
      <c r="H547" s="14">
        <v>7</v>
      </c>
      <c r="I547" s="16">
        <v>4.55</v>
      </c>
      <c r="J547" s="16">
        <f t="shared" si="91"/>
        <v>0.17913385826771655</v>
      </c>
      <c r="K547" s="16">
        <v>35.718000000000004</v>
      </c>
      <c r="L547" s="23"/>
      <c r="M547" s="23"/>
      <c r="N547" s="23"/>
      <c r="O547" s="23"/>
      <c r="P547" s="23"/>
      <c r="Q547" s="19"/>
      <c r="R547" s="17">
        <v>4</v>
      </c>
      <c r="S547" s="17">
        <v>10</v>
      </c>
      <c r="T547" s="16">
        <f t="shared" si="84"/>
        <v>3048</v>
      </c>
      <c r="U547" s="16">
        <f t="shared" si="85"/>
        <v>1219.1999999999998</v>
      </c>
      <c r="V547" s="18">
        <f t="shared" si="92"/>
        <v>3716121.5999999996</v>
      </c>
      <c r="W547" s="18">
        <f t="shared" si="86"/>
        <v>3.7161215999999997</v>
      </c>
      <c r="X547" s="18">
        <f t="shared" si="87"/>
        <v>132.73243130879999</v>
      </c>
      <c r="Y547" s="24">
        <v>35</v>
      </c>
      <c r="Z547" s="24">
        <f t="shared" si="88"/>
        <v>4645.6350958079993</v>
      </c>
      <c r="AA547" s="16">
        <v>23</v>
      </c>
      <c r="AB547" s="16">
        <f t="shared" si="90"/>
        <v>3002</v>
      </c>
      <c r="AC547" s="16">
        <f t="shared" si="90"/>
        <v>1173.1999999999998</v>
      </c>
      <c r="AD547" s="19">
        <f t="shared" si="93"/>
        <v>3521946.3999999994</v>
      </c>
      <c r="AE547" s="1" t="s">
        <v>7456</v>
      </c>
      <c r="AF547" s="1" t="str">
        <f>VLOOKUP(AE547,t_objeto!B:C,2,FALSE)</f>
        <v>RAW_MATERIAL</v>
      </c>
      <c r="AG547" s="1">
        <v>8</v>
      </c>
      <c r="AH547" s="1" t="str">
        <f>VLOOKUP(AG547,t_entry_status!A:AE,2,FALSE)</f>
        <v>PENDING</v>
      </c>
      <c r="AI547" s="7">
        <v>45560</v>
      </c>
      <c r="AJ547" s="1" t="s">
        <v>7449</v>
      </c>
      <c r="AK547" s="7">
        <v>45560</v>
      </c>
      <c r="AL547" s="1" t="s">
        <v>7449</v>
      </c>
    </row>
    <row r="548" spans="1:38" s="20" customFormat="1" x14ac:dyDescent="0.25">
      <c r="A548" s="14">
        <v>547</v>
      </c>
      <c r="B548" s="14" t="str">
        <f>_xlfn.CONCAT(AE548,"-",VLOOKUP(AE548,t_objeto!B:D,3,FALSE),"-",A548)</f>
        <v>RRMM-PERCCO-547</v>
      </c>
      <c r="C548" s="22" t="str">
        <f t="shared" si="89"/>
        <v>LAMINA_LISA__ACERO_ROLADA EN FRIO_4'X10'_8</v>
      </c>
      <c r="D548" s="14" t="s">
        <v>7407</v>
      </c>
      <c r="E548" s="14" t="s">
        <v>7380</v>
      </c>
      <c r="F548" s="21" t="s">
        <v>7400</v>
      </c>
      <c r="G548" s="22" t="s">
        <v>7382</v>
      </c>
      <c r="H548" s="14">
        <v>8</v>
      </c>
      <c r="I548" s="16">
        <v>4.18</v>
      </c>
      <c r="J548" s="16">
        <f t="shared" si="91"/>
        <v>0.16456692913385826</v>
      </c>
      <c r="K548" s="16">
        <v>32.813000000000002</v>
      </c>
      <c r="L548" s="23"/>
      <c r="M548" s="23"/>
      <c r="N548" s="23"/>
      <c r="O548" s="23"/>
      <c r="P548" s="23"/>
      <c r="Q548" s="19"/>
      <c r="R548" s="17">
        <v>4</v>
      </c>
      <c r="S548" s="17">
        <v>10</v>
      </c>
      <c r="T548" s="16">
        <f t="shared" si="84"/>
        <v>3048</v>
      </c>
      <c r="U548" s="16">
        <f t="shared" si="85"/>
        <v>1219.1999999999998</v>
      </c>
      <c r="V548" s="18">
        <f t="shared" si="92"/>
        <v>3716121.5999999996</v>
      </c>
      <c r="W548" s="18">
        <f t="shared" si="86"/>
        <v>3.7161215999999997</v>
      </c>
      <c r="X548" s="18">
        <f t="shared" si="87"/>
        <v>121.9370980608</v>
      </c>
      <c r="Y548" s="24">
        <v>35</v>
      </c>
      <c r="Z548" s="24">
        <f t="shared" si="88"/>
        <v>4267.7984321280001</v>
      </c>
      <c r="AA548" s="16">
        <v>24</v>
      </c>
      <c r="AB548" s="16">
        <f t="shared" si="90"/>
        <v>3000</v>
      </c>
      <c r="AC548" s="16">
        <f t="shared" si="90"/>
        <v>1171.1999999999998</v>
      </c>
      <c r="AD548" s="19">
        <f t="shared" si="93"/>
        <v>3513599.9999999995</v>
      </c>
      <c r="AE548" s="1" t="s">
        <v>7456</v>
      </c>
      <c r="AF548" s="1" t="str">
        <f>VLOOKUP(AE548,t_objeto!B:C,2,FALSE)</f>
        <v>RAW_MATERIAL</v>
      </c>
      <c r="AG548" s="1">
        <v>8</v>
      </c>
      <c r="AH548" s="1" t="str">
        <f>VLOOKUP(AG548,t_entry_status!A:AE,2,FALSE)</f>
        <v>PENDING</v>
      </c>
      <c r="AI548" s="7">
        <v>45560</v>
      </c>
      <c r="AJ548" s="1" t="s">
        <v>7449</v>
      </c>
      <c r="AK548" s="7">
        <v>45560</v>
      </c>
      <c r="AL548" s="1" t="s">
        <v>7449</v>
      </c>
    </row>
    <row r="549" spans="1:38" s="20" customFormat="1" x14ac:dyDescent="0.25">
      <c r="A549" s="14">
        <v>548</v>
      </c>
      <c r="B549" s="14" t="str">
        <f>_xlfn.CONCAT(AE549,"-",VLOOKUP(AE549,t_objeto!B:D,3,FALSE),"-",A549)</f>
        <v>RRMM-PERCCO-548</v>
      </c>
      <c r="C549" s="22" t="str">
        <f t="shared" si="89"/>
        <v>LAMINA_LISA__ACERO_ROLADA EN FRIO_4'X10'_9</v>
      </c>
      <c r="D549" s="14" t="s">
        <v>7407</v>
      </c>
      <c r="E549" s="14" t="s">
        <v>7380</v>
      </c>
      <c r="F549" s="21" t="s">
        <v>7400</v>
      </c>
      <c r="G549" s="22" t="s">
        <v>7382</v>
      </c>
      <c r="H549" s="14">
        <v>9</v>
      </c>
      <c r="I549" s="16">
        <v>3.8</v>
      </c>
      <c r="J549" s="16">
        <f t="shared" si="91"/>
        <v>0.14960629921259844</v>
      </c>
      <c r="K549" s="16">
        <v>29.83</v>
      </c>
      <c r="L549" s="23"/>
      <c r="M549" s="23"/>
      <c r="N549" s="23"/>
      <c r="O549" s="23"/>
      <c r="P549" s="23"/>
      <c r="Q549" s="19"/>
      <c r="R549" s="17">
        <v>4</v>
      </c>
      <c r="S549" s="17">
        <v>10</v>
      </c>
      <c r="T549" s="16">
        <f t="shared" si="84"/>
        <v>3048</v>
      </c>
      <c r="U549" s="16">
        <f t="shared" si="85"/>
        <v>1219.1999999999998</v>
      </c>
      <c r="V549" s="18">
        <f t="shared" si="92"/>
        <v>3716121.5999999996</v>
      </c>
      <c r="W549" s="18">
        <f t="shared" si="86"/>
        <v>3.7161215999999997</v>
      </c>
      <c r="X549" s="18">
        <f t="shared" si="87"/>
        <v>110.85190732799998</v>
      </c>
      <c r="Y549" s="24">
        <v>35</v>
      </c>
      <c r="Z549" s="24">
        <f t="shared" si="88"/>
        <v>3879.8167564799992</v>
      </c>
      <c r="AA549" s="16">
        <v>25</v>
      </c>
      <c r="AB549" s="16">
        <f t="shared" si="90"/>
        <v>2998</v>
      </c>
      <c r="AC549" s="16">
        <f t="shared" si="90"/>
        <v>1169.1999999999998</v>
      </c>
      <c r="AD549" s="19">
        <f t="shared" si="93"/>
        <v>3505261.5999999996</v>
      </c>
      <c r="AE549" s="1" t="s">
        <v>7456</v>
      </c>
      <c r="AF549" s="1" t="str">
        <f>VLOOKUP(AE549,t_objeto!B:C,2,FALSE)</f>
        <v>RAW_MATERIAL</v>
      </c>
      <c r="AG549" s="1">
        <v>8</v>
      </c>
      <c r="AH549" s="1" t="str">
        <f>VLOOKUP(AG549,t_entry_status!A:AE,2,FALSE)</f>
        <v>PENDING</v>
      </c>
      <c r="AI549" s="7">
        <v>45560</v>
      </c>
      <c r="AJ549" s="1" t="s">
        <v>7449</v>
      </c>
      <c r="AK549" s="7">
        <v>45560</v>
      </c>
      <c r="AL549" s="1" t="s">
        <v>7449</v>
      </c>
    </row>
    <row r="550" spans="1:38" s="20" customFormat="1" x14ac:dyDescent="0.25">
      <c r="A550" s="14">
        <v>549</v>
      </c>
      <c r="B550" s="14" t="str">
        <f>_xlfn.CONCAT(AE550,"-",VLOOKUP(AE550,t_objeto!B:D,3,FALSE),"-",A550)</f>
        <v>RRMM-PERCCO-549</v>
      </c>
      <c r="C550" s="22" t="str">
        <f t="shared" si="89"/>
        <v>LAMINA_LISA__ACERO_ROLADA EN FRIO_4'X10'_10</v>
      </c>
      <c r="D550" s="14" t="s">
        <v>7407</v>
      </c>
      <c r="E550" s="14" t="s">
        <v>7380</v>
      </c>
      <c r="F550" s="21" t="s">
        <v>7400</v>
      </c>
      <c r="G550" s="22" t="s">
        <v>7382</v>
      </c>
      <c r="H550" s="14">
        <v>10</v>
      </c>
      <c r="I550" s="16">
        <v>3.42</v>
      </c>
      <c r="J550" s="16">
        <f t="shared" si="91"/>
        <v>0.13464566929133859</v>
      </c>
      <c r="K550" s="16">
        <v>26.847000000000001</v>
      </c>
      <c r="L550" s="23">
        <v>2</v>
      </c>
      <c r="M550" s="23">
        <v>1</v>
      </c>
      <c r="N550" s="23">
        <v>10</v>
      </c>
      <c r="O550" s="23"/>
      <c r="P550" s="23"/>
      <c r="Q550" s="19" t="s">
        <v>7402</v>
      </c>
      <c r="R550" s="17">
        <v>4</v>
      </c>
      <c r="S550" s="17">
        <v>10</v>
      </c>
      <c r="T550" s="16">
        <f t="shared" si="84"/>
        <v>3048</v>
      </c>
      <c r="U550" s="16">
        <f t="shared" si="85"/>
        <v>1219.1999999999998</v>
      </c>
      <c r="V550" s="18">
        <f t="shared" si="92"/>
        <v>3716121.5999999996</v>
      </c>
      <c r="W550" s="18">
        <f t="shared" si="86"/>
        <v>3.7161215999999997</v>
      </c>
      <c r="X550" s="18">
        <f t="shared" si="87"/>
        <v>99.766716595199995</v>
      </c>
      <c r="Y550" s="24">
        <v>35</v>
      </c>
      <c r="Z550" s="24">
        <f t="shared" si="88"/>
        <v>3491.8350808319997</v>
      </c>
      <c r="AA550" s="16">
        <v>26</v>
      </c>
      <c r="AB550" s="16">
        <f t="shared" si="90"/>
        <v>2996</v>
      </c>
      <c r="AC550" s="16">
        <f t="shared" si="90"/>
        <v>1167.1999999999998</v>
      </c>
      <c r="AD550" s="19">
        <f t="shared" si="93"/>
        <v>3496931.1999999993</v>
      </c>
      <c r="AE550" s="1" t="s">
        <v>7456</v>
      </c>
      <c r="AF550" s="1" t="str">
        <f>VLOOKUP(AE550,t_objeto!B:C,2,FALSE)</f>
        <v>RAW_MATERIAL</v>
      </c>
      <c r="AG550" s="1">
        <v>8</v>
      </c>
      <c r="AH550" s="1" t="str">
        <f>VLOOKUP(AG550,t_entry_status!A:AE,2,FALSE)</f>
        <v>PENDING</v>
      </c>
      <c r="AI550" s="7">
        <v>45560</v>
      </c>
      <c r="AJ550" s="1" t="s">
        <v>7449</v>
      </c>
      <c r="AK550" s="7">
        <v>45560</v>
      </c>
      <c r="AL550" s="1" t="s">
        <v>7449</v>
      </c>
    </row>
    <row r="551" spans="1:38" s="20" customFormat="1" x14ac:dyDescent="0.25">
      <c r="A551" s="14">
        <v>550</v>
      </c>
      <c r="B551" s="14" t="str">
        <f>_xlfn.CONCAT(AE551,"-",VLOOKUP(AE551,t_objeto!B:D,3,FALSE),"-",A551)</f>
        <v>RRMM-PERCCO-550</v>
      </c>
      <c r="C551" s="22" t="str">
        <f t="shared" si="89"/>
        <v>LAMINA_LISA__ACERO_ROLADA EN FRIO_4'X10'_1/8"</v>
      </c>
      <c r="D551" s="14" t="s">
        <v>7407</v>
      </c>
      <c r="E551" s="14" t="s">
        <v>7380</v>
      </c>
      <c r="F551" s="21" t="s">
        <v>7400</v>
      </c>
      <c r="G551" s="22" t="s">
        <v>7382</v>
      </c>
      <c r="H551" s="14" t="s">
        <v>7399</v>
      </c>
      <c r="I551" s="16">
        <v>3.18</v>
      </c>
      <c r="J551" s="16">
        <v>0.125</v>
      </c>
      <c r="K551" s="16"/>
      <c r="L551" s="23"/>
      <c r="M551" s="23"/>
      <c r="N551" s="23"/>
      <c r="O551" s="23"/>
      <c r="P551" s="23"/>
      <c r="Q551" s="19"/>
      <c r="R551" s="17">
        <v>4</v>
      </c>
      <c r="S551" s="17">
        <v>10</v>
      </c>
      <c r="T551" s="16">
        <f t="shared" si="84"/>
        <v>3048</v>
      </c>
      <c r="U551" s="16">
        <f t="shared" si="85"/>
        <v>1219.1999999999998</v>
      </c>
      <c r="V551" s="18">
        <f t="shared" si="92"/>
        <v>3716121.5999999996</v>
      </c>
      <c r="W551" s="18">
        <f t="shared" si="86"/>
        <v>3.7161215999999997</v>
      </c>
      <c r="X551" s="18">
        <f t="shared" si="87"/>
        <v>0</v>
      </c>
      <c r="Y551" s="24">
        <v>35</v>
      </c>
      <c r="Z551" s="24">
        <f t="shared" si="88"/>
        <v>0</v>
      </c>
      <c r="AA551" s="16">
        <v>26</v>
      </c>
      <c r="AB551" s="16">
        <f>T551-($AA551*2)</f>
        <v>2996</v>
      </c>
      <c r="AC551" s="16">
        <f>U551-($AA551*2)</f>
        <v>1167.1999999999998</v>
      </c>
      <c r="AD551" s="19">
        <f t="shared" si="93"/>
        <v>3496931.1999999993</v>
      </c>
      <c r="AE551" s="1" t="s">
        <v>7456</v>
      </c>
      <c r="AF551" s="1" t="str">
        <f>VLOOKUP(AE551,t_objeto!B:C,2,FALSE)</f>
        <v>RAW_MATERIAL</v>
      </c>
      <c r="AG551" s="1">
        <v>8</v>
      </c>
      <c r="AH551" s="1" t="str">
        <f>VLOOKUP(AG551,t_entry_status!A:AE,2,FALSE)</f>
        <v>PENDING</v>
      </c>
      <c r="AI551" s="7">
        <v>45560</v>
      </c>
      <c r="AJ551" s="1" t="s">
        <v>7449</v>
      </c>
      <c r="AK551" s="7">
        <v>45560</v>
      </c>
      <c r="AL551" s="1" t="s">
        <v>7449</v>
      </c>
    </row>
    <row r="552" spans="1:38" s="20" customFormat="1" x14ac:dyDescent="0.25">
      <c r="A552" s="14">
        <v>551</v>
      </c>
      <c r="B552" s="14" t="str">
        <f>_xlfn.CONCAT(AE552,"-",VLOOKUP(AE552,t_objeto!B:D,3,FALSE),"-",A552)</f>
        <v>RRMM-PERCCO-551</v>
      </c>
      <c r="C552" s="22" t="str">
        <f t="shared" si="89"/>
        <v>LAMINA_LISA__ACERO_ROLADA EN FRIO_4'X10'_11</v>
      </c>
      <c r="D552" s="14" t="s">
        <v>7407</v>
      </c>
      <c r="E552" s="14" t="s">
        <v>7380</v>
      </c>
      <c r="F552" s="21" t="s">
        <v>7400</v>
      </c>
      <c r="G552" s="22" t="s">
        <v>7382</v>
      </c>
      <c r="H552" s="14">
        <v>11</v>
      </c>
      <c r="I552" s="16">
        <v>3.04</v>
      </c>
      <c r="J552" s="16">
        <f t="shared" si="91"/>
        <v>0.11968503937007875</v>
      </c>
      <c r="K552" s="16">
        <v>23.864000000000001</v>
      </c>
      <c r="L552" s="23">
        <v>3</v>
      </c>
      <c r="M552" s="23"/>
      <c r="N552" s="23"/>
      <c r="O552" s="23"/>
      <c r="P552" s="23"/>
      <c r="Q552" s="19"/>
      <c r="R552" s="17">
        <v>4</v>
      </c>
      <c r="S552" s="17">
        <v>10</v>
      </c>
      <c r="T552" s="16">
        <f t="shared" si="84"/>
        <v>3048</v>
      </c>
      <c r="U552" s="16">
        <f t="shared" si="85"/>
        <v>1219.1999999999998</v>
      </c>
      <c r="V552" s="18">
        <f t="shared" si="92"/>
        <v>3716121.5999999996</v>
      </c>
      <c r="W552" s="18">
        <f t="shared" si="86"/>
        <v>3.7161215999999997</v>
      </c>
      <c r="X552" s="18">
        <f t="shared" si="87"/>
        <v>88.681525862399994</v>
      </c>
      <c r="Y552" s="24">
        <v>35</v>
      </c>
      <c r="Z552" s="24">
        <f t="shared" si="88"/>
        <v>3103.8534051839997</v>
      </c>
      <c r="AA552" s="16">
        <v>27</v>
      </c>
      <c r="AB552" s="16">
        <f t="shared" si="90"/>
        <v>2994</v>
      </c>
      <c r="AC552" s="16">
        <f t="shared" si="90"/>
        <v>1165.1999999999998</v>
      </c>
      <c r="AD552" s="19">
        <f t="shared" si="93"/>
        <v>3488608.7999999993</v>
      </c>
      <c r="AE552" s="1" t="s">
        <v>7456</v>
      </c>
      <c r="AF552" s="1" t="str">
        <f>VLOOKUP(AE552,t_objeto!B:C,2,FALSE)</f>
        <v>RAW_MATERIAL</v>
      </c>
      <c r="AG552" s="1">
        <v>8</v>
      </c>
      <c r="AH552" s="1" t="str">
        <f>VLOOKUP(AG552,t_entry_status!A:AE,2,FALSE)</f>
        <v>PENDING</v>
      </c>
      <c r="AI552" s="7">
        <v>45560</v>
      </c>
      <c r="AJ552" s="1" t="s">
        <v>7449</v>
      </c>
      <c r="AK552" s="7">
        <v>45560</v>
      </c>
      <c r="AL552" s="1" t="s">
        <v>7449</v>
      </c>
    </row>
    <row r="553" spans="1:38" s="20" customFormat="1" x14ac:dyDescent="0.25">
      <c r="A553" s="14">
        <v>552</v>
      </c>
      <c r="B553" s="14" t="str">
        <f>_xlfn.CONCAT(AE553,"-",VLOOKUP(AE553,t_objeto!B:D,3,FALSE),"-",A553)</f>
        <v>RRMM-PERCCO-552</v>
      </c>
      <c r="C553" s="22" t="str">
        <f t="shared" si="89"/>
        <v>LAMINA_LISA__ACERO_ROLADA EN FRIO_4'X10'_12</v>
      </c>
      <c r="D553" s="14" t="s">
        <v>7407</v>
      </c>
      <c r="E553" s="14" t="s">
        <v>7380</v>
      </c>
      <c r="F553" s="21" t="s">
        <v>7400</v>
      </c>
      <c r="G553" s="22" t="s">
        <v>7382</v>
      </c>
      <c r="H553" s="14">
        <v>12</v>
      </c>
      <c r="I553" s="16">
        <v>2.66</v>
      </c>
      <c r="J553" s="16">
        <f t="shared" si="91"/>
        <v>0.1047244094488189</v>
      </c>
      <c r="K553" s="16">
        <v>20.881</v>
      </c>
      <c r="L553" s="23">
        <v>4</v>
      </c>
      <c r="M553" s="23"/>
      <c r="N553" s="23"/>
      <c r="O553" s="23"/>
      <c r="P553" s="23"/>
      <c r="Q553" s="19"/>
      <c r="R553" s="17">
        <v>4</v>
      </c>
      <c r="S553" s="17">
        <v>10</v>
      </c>
      <c r="T553" s="16">
        <f t="shared" si="84"/>
        <v>3048</v>
      </c>
      <c r="U553" s="16">
        <f t="shared" si="85"/>
        <v>1219.1999999999998</v>
      </c>
      <c r="V553" s="18">
        <f t="shared" si="92"/>
        <v>3716121.5999999996</v>
      </c>
      <c r="W553" s="18">
        <f t="shared" si="86"/>
        <v>3.7161215999999997</v>
      </c>
      <c r="X553" s="18">
        <f t="shared" si="87"/>
        <v>77.596335129599993</v>
      </c>
      <c r="Y553" s="24">
        <v>35</v>
      </c>
      <c r="Z553" s="24">
        <f t="shared" si="88"/>
        <v>2715.8717295359997</v>
      </c>
      <c r="AA553" s="16">
        <v>28</v>
      </c>
      <c r="AB553" s="16">
        <f t="shared" si="90"/>
        <v>2992</v>
      </c>
      <c r="AC553" s="16">
        <f t="shared" si="90"/>
        <v>1163.1999999999998</v>
      </c>
      <c r="AD553" s="19">
        <f t="shared" si="93"/>
        <v>3480294.3999999994</v>
      </c>
      <c r="AE553" s="1" t="s">
        <v>7456</v>
      </c>
      <c r="AF553" s="1" t="str">
        <f>VLOOKUP(AE553,t_objeto!B:C,2,FALSE)</f>
        <v>RAW_MATERIAL</v>
      </c>
      <c r="AG553" s="1">
        <v>8</v>
      </c>
      <c r="AH553" s="1" t="str">
        <f>VLOOKUP(AG553,t_entry_status!A:AE,2,FALSE)</f>
        <v>PENDING</v>
      </c>
      <c r="AI553" s="7">
        <v>45560</v>
      </c>
      <c r="AJ553" s="1" t="s">
        <v>7449</v>
      </c>
      <c r="AK553" s="7">
        <v>45560</v>
      </c>
      <c r="AL553" s="1" t="s">
        <v>7449</v>
      </c>
    </row>
    <row r="554" spans="1:38" s="20" customFormat="1" x14ac:dyDescent="0.25">
      <c r="A554" s="14">
        <v>553</v>
      </c>
      <c r="B554" s="14" t="str">
        <f>_xlfn.CONCAT(AE554,"-",VLOOKUP(AE554,t_objeto!B:D,3,FALSE),"-",A554)</f>
        <v>RRMM-PERCCO-553</v>
      </c>
      <c r="C554" s="22" t="str">
        <f t="shared" si="89"/>
        <v>LAMINA_LISA__ACERO_ROLADA EN FRIO_4'X10'_13</v>
      </c>
      <c r="D554" s="14" t="s">
        <v>7407</v>
      </c>
      <c r="E554" s="14" t="s">
        <v>7380</v>
      </c>
      <c r="F554" s="21" t="s">
        <v>7400</v>
      </c>
      <c r="G554" s="22" t="s">
        <v>7382</v>
      </c>
      <c r="H554" s="14">
        <v>13</v>
      </c>
      <c r="I554" s="16">
        <v>2.2799999999999998</v>
      </c>
      <c r="J554" s="16">
        <f t="shared" si="91"/>
        <v>8.9763779527559054E-2</v>
      </c>
      <c r="K554" s="16">
        <v>17.898</v>
      </c>
      <c r="L554" s="23">
        <v>5</v>
      </c>
      <c r="M554" s="23"/>
      <c r="N554" s="23"/>
      <c r="O554" s="23"/>
      <c r="P554" s="23"/>
      <c r="Q554" s="19"/>
      <c r="R554" s="17">
        <v>4</v>
      </c>
      <c r="S554" s="17">
        <v>10</v>
      </c>
      <c r="T554" s="16">
        <f t="shared" si="84"/>
        <v>3048</v>
      </c>
      <c r="U554" s="16">
        <f t="shared" si="85"/>
        <v>1219.1999999999998</v>
      </c>
      <c r="V554" s="18">
        <f t="shared" si="92"/>
        <v>3716121.5999999996</v>
      </c>
      <c r="W554" s="18">
        <f t="shared" si="86"/>
        <v>3.7161215999999997</v>
      </c>
      <c r="X554" s="18">
        <f t="shared" si="87"/>
        <v>66.511144396799992</v>
      </c>
      <c r="Y554" s="24">
        <v>35</v>
      </c>
      <c r="Z554" s="24">
        <f t="shared" si="88"/>
        <v>2327.8900538879998</v>
      </c>
      <c r="AA554" s="16">
        <v>29</v>
      </c>
      <c r="AB554" s="16">
        <f t="shared" si="90"/>
        <v>2990</v>
      </c>
      <c r="AC554" s="16">
        <f t="shared" si="90"/>
        <v>1161.1999999999998</v>
      </c>
      <c r="AD554" s="19">
        <f t="shared" si="93"/>
        <v>3471987.9999999995</v>
      </c>
      <c r="AE554" s="1" t="s">
        <v>7456</v>
      </c>
      <c r="AF554" s="1" t="str">
        <f>VLOOKUP(AE554,t_objeto!B:C,2,FALSE)</f>
        <v>RAW_MATERIAL</v>
      </c>
      <c r="AG554" s="1">
        <v>8</v>
      </c>
      <c r="AH554" s="1" t="str">
        <f>VLOOKUP(AG554,t_entry_status!A:AE,2,FALSE)</f>
        <v>PENDING</v>
      </c>
      <c r="AI554" s="7">
        <v>45560</v>
      </c>
      <c r="AJ554" s="1" t="s">
        <v>7449</v>
      </c>
      <c r="AK554" s="7">
        <v>45560</v>
      </c>
      <c r="AL554" s="1" t="s">
        <v>7449</v>
      </c>
    </row>
    <row r="555" spans="1:38" s="20" customFormat="1" x14ac:dyDescent="0.25">
      <c r="A555" s="14">
        <v>554</v>
      </c>
      <c r="B555" s="14" t="str">
        <f>_xlfn.CONCAT(AE555,"-",VLOOKUP(AE555,t_objeto!B:D,3,FALSE),"-",A555)</f>
        <v>RRMM-PERCCO-554</v>
      </c>
      <c r="C555" s="22" t="str">
        <f t="shared" si="89"/>
        <v>LAMINA_LISA__ACERO_ROLADA EN FRIO_4'X10'_14</v>
      </c>
      <c r="D555" s="14" t="s">
        <v>7407</v>
      </c>
      <c r="E555" s="14" t="s">
        <v>7380</v>
      </c>
      <c r="F555" s="21" t="s">
        <v>7400</v>
      </c>
      <c r="G555" s="22" t="s">
        <v>7382</v>
      </c>
      <c r="H555" s="14">
        <v>14</v>
      </c>
      <c r="I555" s="16">
        <v>1.9</v>
      </c>
      <c r="J555" s="16">
        <f t="shared" si="91"/>
        <v>7.4803149606299218E-2</v>
      </c>
      <c r="K555" s="16">
        <v>14.914999999999999</v>
      </c>
      <c r="L555" s="23">
        <v>5</v>
      </c>
      <c r="M555" s="23">
        <v>1</v>
      </c>
      <c r="N555" s="23">
        <v>10</v>
      </c>
      <c r="O555" s="23"/>
      <c r="P555" s="23"/>
      <c r="Q555" s="19" t="s">
        <v>7402</v>
      </c>
      <c r="R555" s="17">
        <v>4</v>
      </c>
      <c r="S555" s="17">
        <v>10</v>
      </c>
      <c r="T555" s="16">
        <f t="shared" si="84"/>
        <v>3048</v>
      </c>
      <c r="U555" s="16">
        <f t="shared" si="85"/>
        <v>1219.1999999999998</v>
      </c>
      <c r="V555" s="18">
        <f t="shared" si="92"/>
        <v>3716121.5999999996</v>
      </c>
      <c r="W555" s="18">
        <f t="shared" si="86"/>
        <v>3.7161215999999997</v>
      </c>
      <c r="X555" s="18">
        <f t="shared" si="87"/>
        <v>55.425953663999991</v>
      </c>
      <c r="Y555" s="24">
        <v>35</v>
      </c>
      <c r="Z555" s="24">
        <f t="shared" si="88"/>
        <v>1939.9083782399996</v>
      </c>
      <c r="AA555" s="16">
        <v>30</v>
      </c>
      <c r="AB555" s="16">
        <f t="shared" si="90"/>
        <v>2988</v>
      </c>
      <c r="AC555" s="16">
        <f t="shared" si="90"/>
        <v>1159.1999999999998</v>
      </c>
      <c r="AD555" s="19">
        <f t="shared" si="93"/>
        <v>3463689.5999999996</v>
      </c>
      <c r="AE555" s="1" t="s">
        <v>7456</v>
      </c>
      <c r="AF555" s="1" t="str">
        <f>VLOOKUP(AE555,t_objeto!B:C,2,FALSE)</f>
        <v>RAW_MATERIAL</v>
      </c>
      <c r="AG555" s="1">
        <v>8</v>
      </c>
      <c r="AH555" s="1" t="str">
        <f>VLOOKUP(AG555,t_entry_status!A:AE,2,FALSE)</f>
        <v>PENDING</v>
      </c>
      <c r="AI555" s="7">
        <v>45560</v>
      </c>
      <c r="AJ555" s="1" t="s">
        <v>7449</v>
      </c>
      <c r="AK555" s="7">
        <v>45560</v>
      </c>
      <c r="AL555" s="1" t="s">
        <v>7449</v>
      </c>
    </row>
    <row r="556" spans="1:38" s="20" customFormat="1" x14ac:dyDescent="0.25">
      <c r="A556" s="14">
        <v>555</v>
      </c>
      <c r="B556" s="14" t="str">
        <f>_xlfn.CONCAT(AE556,"-",VLOOKUP(AE556,t_objeto!B:D,3,FALSE),"-",A556)</f>
        <v>RRMM-PERCCO-555</v>
      </c>
      <c r="C556" s="22" t="str">
        <f t="shared" si="89"/>
        <v>LAMINA_LISA__ACERO_ROLADA EN FRIO_4'X10'_15</v>
      </c>
      <c r="D556" s="14" t="s">
        <v>7407</v>
      </c>
      <c r="E556" s="14" t="s">
        <v>7380</v>
      </c>
      <c r="F556" s="21" t="s">
        <v>7400</v>
      </c>
      <c r="G556" s="22" t="s">
        <v>7382</v>
      </c>
      <c r="H556" s="14">
        <v>15</v>
      </c>
      <c r="I556" s="16">
        <v>1.71</v>
      </c>
      <c r="J556" s="16">
        <f t="shared" si="91"/>
        <v>6.7322834645669294E-2</v>
      </c>
      <c r="K556" s="16">
        <v>13.423999999999999</v>
      </c>
      <c r="L556" s="23"/>
      <c r="M556" s="23"/>
      <c r="N556" s="23"/>
      <c r="O556" s="23"/>
      <c r="P556" s="23"/>
      <c r="Q556" s="19"/>
      <c r="R556" s="17">
        <v>4</v>
      </c>
      <c r="S556" s="17">
        <v>10</v>
      </c>
      <c r="T556" s="16">
        <f t="shared" si="84"/>
        <v>3048</v>
      </c>
      <c r="U556" s="16">
        <f t="shared" si="85"/>
        <v>1219.1999999999998</v>
      </c>
      <c r="V556" s="18">
        <f t="shared" si="92"/>
        <v>3716121.5999999996</v>
      </c>
      <c r="W556" s="18">
        <f t="shared" si="86"/>
        <v>3.7161215999999997</v>
      </c>
      <c r="X556" s="18">
        <f t="shared" si="87"/>
        <v>49.885216358399994</v>
      </c>
      <c r="Y556" s="24">
        <v>35</v>
      </c>
      <c r="Z556" s="24">
        <f t="shared" si="88"/>
        <v>1745.9825725439998</v>
      </c>
      <c r="AA556" s="16">
        <v>31</v>
      </c>
      <c r="AB556" s="16">
        <f t="shared" si="90"/>
        <v>2986</v>
      </c>
      <c r="AC556" s="16">
        <f t="shared" si="90"/>
        <v>1157.1999999999998</v>
      </c>
      <c r="AD556" s="19">
        <f t="shared" si="93"/>
        <v>3455399.1999999993</v>
      </c>
      <c r="AE556" s="1" t="s">
        <v>7456</v>
      </c>
      <c r="AF556" s="1" t="str">
        <f>VLOOKUP(AE556,t_objeto!B:C,2,FALSE)</f>
        <v>RAW_MATERIAL</v>
      </c>
      <c r="AG556" s="1">
        <v>8</v>
      </c>
      <c r="AH556" s="1" t="str">
        <f>VLOOKUP(AG556,t_entry_status!A:AE,2,FALSE)</f>
        <v>PENDING</v>
      </c>
      <c r="AI556" s="7">
        <v>45560</v>
      </c>
      <c r="AJ556" s="1" t="s">
        <v>7449</v>
      </c>
      <c r="AK556" s="7">
        <v>45560</v>
      </c>
      <c r="AL556" s="1" t="s">
        <v>7449</v>
      </c>
    </row>
    <row r="557" spans="1:38" s="20" customFormat="1" x14ac:dyDescent="0.25">
      <c r="A557" s="14">
        <v>556</v>
      </c>
      <c r="B557" s="14" t="str">
        <f>_xlfn.CONCAT(AE557,"-",VLOOKUP(AE557,t_objeto!B:D,3,FALSE),"-",A557)</f>
        <v>RRMM-PERCCO-556</v>
      </c>
      <c r="C557" s="22" t="str">
        <f t="shared" si="89"/>
        <v>LAMINA_LISA__ACERO_ROLADA EN FRIO_4'X10'_16</v>
      </c>
      <c r="D557" s="14" t="s">
        <v>7407</v>
      </c>
      <c r="E557" s="14" t="s">
        <v>7380</v>
      </c>
      <c r="F557" s="21" t="s">
        <v>7400</v>
      </c>
      <c r="G557" s="22" t="s">
        <v>7382</v>
      </c>
      <c r="H557" s="14">
        <v>16</v>
      </c>
      <c r="I557" s="16">
        <v>1.52</v>
      </c>
      <c r="J557" s="16">
        <f t="shared" si="91"/>
        <v>5.9842519685039376E-2</v>
      </c>
      <c r="K557" s="16">
        <v>11.932</v>
      </c>
      <c r="L557" s="23"/>
      <c r="M557" s="23"/>
      <c r="N557" s="23"/>
      <c r="O557" s="23"/>
      <c r="P557" s="23"/>
      <c r="Q557" s="19"/>
      <c r="R557" s="17">
        <v>4</v>
      </c>
      <c r="S557" s="17">
        <v>10</v>
      </c>
      <c r="T557" s="16">
        <f t="shared" si="84"/>
        <v>3048</v>
      </c>
      <c r="U557" s="16">
        <f t="shared" si="85"/>
        <v>1219.1999999999998</v>
      </c>
      <c r="V557" s="18">
        <f t="shared" si="92"/>
        <v>3716121.5999999996</v>
      </c>
      <c r="W557" s="18">
        <f t="shared" si="86"/>
        <v>3.7161215999999997</v>
      </c>
      <c r="X557" s="18">
        <f t="shared" si="87"/>
        <v>44.340762931199997</v>
      </c>
      <c r="Y557" s="24">
        <v>35</v>
      </c>
      <c r="Z557" s="24">
        <f t="shared" si="88"/>
        <v>1551.9267025919999</v>
      </c>
      <c r="AA557" s="16">
        <v>32</v>
      </c>
      <c r="AB557" s="16">
        <f t="shared" si="90"/>
        <v>2984</v>
      </c>
      <c r="AC557" s="16">
        <f t="shared" si="90"/>
        <v>1155.1999999999998</v>
      </c>
      <c r="AD557" s="19">
        <f t="shared" si="93"/>
        <v>3447116.7999999993</v>
      </c>
      <c r="AE557" s="1" t="s">
        <v>7456</v>
      </c>
      <c r="AF557" s="1" t="str">
        <f>VLOOKUP(AE557,t_objeto!B:C,2,FALSE)</f>
        <v>RAW_MATERIAL</v>
      </c>
      <c r="AG557" s="1">
        <v>8</v>
      </c>
      <c r="AH557" s="1" t="str">
        <f>VLOOKUP(AG557,t_entry_status!A:AE,2,FALSE)</f>
        <v>PENDING</v>
      </c>
      <c r="AI557" s="7">
        <v>45560</v>
      </c>
      <c r="AJ557" s="1" t="s">
        <v>7449</v>
      </c>
      <c r="AK557" s="7">
        <v>45560</v>
      </c>
      <c r="AL557" s="1" t="s">
        <v>7449</v>
      </c>
    </row>
    <row r="558" spans="1:38" s="20" customFormat="1" x14ac:dyDescent="0.25">
      <c r="A558" s="14">
        <v>557</v>
      </c>
      <c r="B558" s="14" t="str">
        <f>_xlfn.CONCAT(AE558,"-",VLOOKUP(AE558,t_objeto!B:D,3,FALSE),"-",A558)</f>
        <v>RRMM-PERCCO-557</v>
      </c>
      <c r="C558" s="22" t="str">
        <f t="shared" si="89"/>
        <v>LAMINA_LISA__ACERO_ROLADA EN FRIO_4'X10'_17</v>
      </c>
      <c r="D558" s="14" t="s">
        <v>7407</v>
      </c>
      <c r="E558" s="14" t="s">
        <v>7380</v>
      </c>
      <c r="F558" s="21" t="s">
        <v>7400</v>
      </c>
      <c r="G558" s="22" t="s">
        <v>7382</v>
      </c>
      <c r="H558" s="14">
        <v>17</v>
      </c>
      <c r="I558" s="16">
        <v>1.37</v>
      </c>
      <c r="J558" s="16">
        <f t="shared" si="91"/>
        <v>5.3937007874015758E-2</v>
      </c>
      <c r="K558" s="16">
        <v>10.755000000000001</v>
      </c>
      <c r="L558" s="23"/>
      <c r="M558" s="23"/>
      <c r="N558" s="23"/>
      <c r="O558" s="23"/>
      <c r="P558" s="23"/>
      <c r="Q558" s="19"/>
      <c r="R558" s="17">
        <v>4</v>
      </c>
      <c r="S558" s="17">
        <v>10</v>
      </c>
      <c r="T558" s="16">
        <f t="shared" si="84"/>
        <v>3048</v>
      </c>
      <c r="U558" s="16">
        <f t="shared" si="85"/>
        <v>1219.1999999999998</v>
      </c>
      <c r="V558" s="18">
        <f t="shared" si="92"/>
        <v>3716121.5999999996</v>
      </c>
      <c r="W558" s="18">
        <f t="shared" si="86"/>
        <v>3.7161215999999997</v>
      </c>
      <c r="X558" s="18">
        <f t="shared" si="87"/>
        <v>39.966887808000003</v>
      </c>
      <c r="Y558" s="24">
        <v>35</v>
      </c>
      <c r="Z558" s="24">
        <f t="shared" si="88"/>
        <v>1398.84107328</v>
      </c>
      <c r="AA558" s="16">
        <v>33</v>
      </c>
      <c r="AB558" s="16">
        <f t="shared" si="90"/>
        <v>2982</v>
      </c>
      <c r="AC558" s="16">
        <f t="shared" si="90"/>
        <v>1153.1999999999998</v>
      </c>
      <c r="AD558" s="19">
        <f t="shared" si="93"/>
        <v>3438842.3999999994</v>
      </c>
      <c r="AE558" s="1" t="s">
        <v>7456</v>
      </c>
      <c r="AF558" s="1" t="str">
        <f>VLOOKUP(AE558,t_objeto!B:C,2,FALSE)</f>
        <v>RAW_MATERIAL</v>
      </c>
      <c r="AG558" s="1">
        <v>8</v>
      </c>
      <c r="AH558" s="1" t="str">
        <f>VLOOKUP(AG558,t_entry_status!A:AE,2,FALSE)</f>
        <v>PENDING</v>
      </c>
      <c r="AI558" s="7">
        <v>45560</v>
      </c>
      <c r="AJ558" s="1" t="s">
        <v>7449</v>
      </c>
      <c r="AK558" s="7">
        <v>45560</v>
      </c>
      <c r="AL558" s="1" t="s">
        <v>7449</v>
      </c>
    </row>
    <row r="559" spans="1:38" s="20" customFormat="1" x14ac:dyDescent="0.25">
      <c r="A559" s="14">
        <v>558</v>
      </c>
      <c r="B559" s="14" t="str">
        <f>_xlfn.CONCAT(AE559,"-",VLOOKUP(AE559,t_objeto!B:D,3,FALSE),"-",A559)</f>
        <v>RRMM-PERCCO-558</v>
      </c>
      <c r="C559" s="22" t="str">
        <f t="shared" si="89"/>
        <v>LAMINA_LISA__ACERO_ROLADA EN FRIO_4'X10'_18</v>
      </c>
      <c r="D559" s="14" t="s">
        <v>7407</v>
      </c>
      <c r="E559" s="14" t="s">
        <v>7380</v>
      </c>
      <c r="F559" s="21" t="s">
        <v>7400</v>
      </c>
      <c r="G559" s="22" t="s">
        <v>7382</v>
      </c>
      <c r="H559" s="14">
        <v>18</v>
      </c>
      <c r="I559" s="16">
        <v>1.21</v>
      </c>
      <c r="J559" s="16">
        <f t="shared" si="91"/>
        <v>4.7637795275590554E-2</v>
      </c>
      <c r="K559" s="16">
        <v>9.4990000000000006</v>
      </c>
      <c r="L559" s="23"/>
      <c r="M559" s="23"/>
      <c r="N559" s="23"/>
      <c r="O559" s="23"/>
      <c r="P559" s="23"/>
      <c r="Q559" s="19"/>
      <c r="R559" s="17">
        <v>4</v>
      </c>
      <c r="S559" s="17">
        <v>10</v>
      </c>
      <c r="T559" s="16">
        <f t="shared" si="84"/>
        <v>3048</v>
      </c>
      <c r="U559" s="16">
        <f t="shared" si="85"/>
        <v>1219.1999999999998</v>
      </c>
      <c r="V559" s="18">
        <f t="shared" si="92"/>
        <v>3716121.5999999996</v>
      </c>
      <c r="W559" s="18">
        <f t="shared" si="86"/>
        <v>3.7161215999999997</v>
      </c>
      <c r="X559" s="18">
        <f t="shared" si="87"/>
        <v>35.299439078399999</v>
      </c>
      <c r="Y559" s="24">
        <v>35</v>
      </c>
      <c r="Z559" s="24">
        <f t="shared" si="88"/>
        <v>1235.480367744</v>
      </c>
      <c r="AA559" s="16">
        <v>34</v>
      </c>
      <c r="AB559" s="16">
        <f t="shared" si="90"/>
        <v>2980</v>
      </c>
      <c r="AC559" s="16">
        <f t="shared" si="90"/>
        <v>1151.1999999999998</v>
      </c>
      <c r="AD559" s="19">
        <f t="shared" si="93"/>
        <v>3430575.9999999995</v>
      </c>
      <c r="AE559" s="1" t="s">
        <v>7456</v>
      </c>
      <c r="AF559" s="1" t="str">
        <f>VLOOKUP(AE559,t_objeto!B:C,2,FALSE)</f>
        <v>RAW_MATERIAL</v>
      </c>
      <c r="AG559" s="1">
        <v>8</v>
      </c>
      <c r="AH559" s="1" t="str">
        <f>VLOOKUP(AG559,t_entry_status!A:AE,2,FALSE)</f>
        <v>PENDING</v>
      </c>
      <c r="AI559" s="7">
        <v>45560</v>
      </c>
      <c r="AJ559" s="1" t="s">
        <v>7449</v>
      </c>
      <c r="AK559" s="7">
        <v>45560</v>
      </c>
      <c r="AL559" s="1" t="s">
        <v>7449</v>
      </c>
    </row>
    <row r="560" spans="1:38" s="20" customFormat="1" x14ac:dyDescent="0.25">
      <c r="A560" s="14">
        <v>559</v>
      </c>
      <c r="B560" s="14" t="str">
        <f>_xlfn.CONCAT(AE560,"-",VLOOKUP(AE560,t_objeto!B:D,3,FALSE),"-",A560)</f>
        <v>RRMM-PERCCO-559</v>
      </c>
      <c r="C560" s="22" t="str">
        <f t="shared" si="89"/>
        <v>LAMINA_LISA__ACERO_ROLADA EN FRIO_4'X10'_19</v>
      </c>
      <c r="D560" s="14" t="s">
        <v>7407</v>
      </c>
      <c r="E560" s="14" t="s">
        <v>7380</v>
      </c>
      <c r="F560" s="21" t="s">
        <v>7400</v>
      </c>
      <c r="G560" s="22" t="s">
        <v>7382</v>
      </c>
      <c r="H560" s="14">
        <v>19</v>
      </c>
      <c r="I560" s="16">
        <v>1.06</v>
      </c>
      <c r="J560" s="16">
        <f t="shared" si="91"/>
        <v>4.1732283464566935E-2</v>
      </c>
      <c r="K560" s="16">
        <v>8.3209999999999997</v>
      </c>
      <c r="L560" s="23"/>
      <c r="M560" s="23"/>
      <c r="N560" s="23"/>
      <c r="O560" s="23"/>
      <c r="P560" s="23"/>
      <c r="Q560" s="19"/>
      <c r="R560" s="17">
        <v>4</v>
      </c>
      <c r="S560" s="17">
        <v>10</v>
      </c>
      <c r="T560" s="16">
        <f t="shared" si="84"/>
        <v>3048</v>
      </c>
      <c r="U560" s="16">
        <f t="shared" si="85"/>
        <v>1219.1999999999998</v>
      </c>
      <c r="V560" s="18">
        <f t="shared" si="92"/>
        <v>3716121.5999999996</v>
      </c>
      <c r="W560" s="18">
        <f t="shared" si="86"/>
        <v>3.7161215999999997</v>
      </c>
      <c r="X560" s="18">
        <f t="shared" si="87"/>
        <v>30.921847833599998</v>
      </c>
      <c r="Y560" s="24">
        <v>35</v>
      </c>
      <c r="Z560" s="24">
        <f t="shared" si="88"/>
        <v>1082.264674176</v>
      </c>
      <c r="AA560" s="16">
        <v>35</v>
      </c>
      <c r="AB560" s="16">
        <f t="shared" si="90"/>
        <v>2978</v>
      </c>
      <c r="AC560" s="16">
        <f t="shared" si="90"/>
        <v>1149.1999999999998</v>
      </c>
      <c r="AD560" s="19">
        <f t="shared" si="93"/>
        <v>3422317.5999999996</v>
      </c>
      <c r="AE560" s="1" t="s">
        <v>7456</v>
      </c>
      <c r="AF560" s="1" t="str">
        <f>VLOOKUP(AE560,t_objeto!B:C,2,FALSE)</f>
        <v>RAW_MATERIAL</v>
      </c>
      <c r="AG560" s="1">
        <v>8</v>
      </c>
      <c r="AH560" s="1" t="str">
        <f>VLOOKUP(AG560,t_entry_status!A:AE,2,FALSE)</f>
        <v>PENDING</v>
      </c>
      <c r="AI560" s="7">
        <v>45560</v>
      </c>
      <c r="AJ560" s="1" t="s">
        <v>7449</v>
      </c>
      <c r="AK560" s="7">
        <v>45560</v>
      </c>
      <c r="AL560" s="1" t="s">
        <v>7449</v>
      </c>
    </row>
    <row r="561" spans="1:38" s="20" customFormat="1" x14ac:dyDescent="0.25">
      <c r="A561" s="14">
        <v>560</v>
      </c>
      <c r="B561" s="14" t="str">
        <f>_xlfn.CONCAT(AE561,"-",VLOOKUP(AE561,t_objeto!B:D,3,FALSE),"-",A561)</f>
        <v>RRMM-PERCCO-560</v>
      </c>
      <c r="C561" s="22" t="str">
        <f t="shared" si="89"/>
        <v>LAMINA_LISA__ACERO_ROLADA EN FRIO_4'X10'_20</v>
      </c>
      <c r="D561" s="14" t="s">
        <v>7407</v>
      </c>
      <c r="E561" s="14" t="s">
        <v>7380</v>
      </c>
      <c r="F561" s="21" t="s">
        <v>7400</v>
      </c>
      <c r="G561" s="22" t="s">
        <v>7382</v>
      </c>
      <c r="H561" s="14">
        <v>20</v>
      </c>
      <c r="I561" s="16">
        <v>0.91</v>
      </c>
      <c r="J561" s="16">
        <f t="shared" si="91"/>
        <v>3.582677165354331E-2</v>
      </c>
      <c r="K561" s="16">
        <v>7.1440000000000001</v>
      </c>
      <c r="L561" s="23"/>
      <c r="M561" s="23"/>
      <c r="N561" s="23"/>
      <c r="O561" s="23"/>
      <c r="P561" s="23"/>
      <c r="Q561" s="19"/>
      <c r="R561" s="17">
        <v>4</v>
      </c>
      <c r="S561" s="17">
        <v>10</v>
      </c>
      <c r="T561" s="16">
        <f t="shared" si="84"/>
        <v>3048</v>
      </c>
      <c r="U561" s="16">
        <f t="shared" si="85"/>
        <v>1219.1999999999998</v>
      </c>
      <c r="V561" s="18">
        <f t="shared" si="92"/>
        <v>3716121.5999999996</v>
      </c>
      <c r="W561" s="18">
        <f t="shared" si="86"/>
        <v>3.7161215999999997</v>
      </c>
      <c r="X561" s="18">
        <f t="shared" si="87"/>
        <v>26.5479727104</v>
      </c>
      <c r="Y561" s="24">
        <v>35</v>
      </c>
      <c r="Z561" s="24">
        <f t="shared" si="88"/>
        <v>929.17904486400005</v>
      </c>
      <c r="AA561" s="16">
        <v>36</v>
      </c>
      <c r="AB561" s="16">
        <f t="shared" si="90"/>
        <v>2976</v>
      </c>
      <c r="AC561" s="16">
        <f t="shared" si="90"/>
        <v>1147.1999999999998</v>
      </c>
      <c r="AD561" s="19">
        <f t="shared" si="93"/>
        <v>3414067.1999999993</v>
      </c>
      <c r="AE561" s="1" t="s">
        <v>7456</v>
      </c>
      <c r="AF561" s="1" t="str">
        <f>VLOOKUP(AE561,t_objeto!B:C,2,FALSE)</f>
        <v>RAW_MATERIAL</v>
      </c>
      <c r="AG561" s="1">
        <v>8</v>
      </c>
      <c r="AH561" s="1" t="str">
        <f>VLOOKUP(AG561,t_entry_status!A:AE,2,FALSE)</f>
        <v>PENDING</v>
      </c>
      <c r="AI561" s="7">
        <v>45560</v>
      </c>
      <c r="AJ561" s="1" t="s">
        <v>7449</v>
      </c>
      <c r="AK561" s="7">
        <v>45560</v>
      </c>
      <c r="AL561" s="1" t="s">
        <v>7449</v>
      </c>
    </row>
    <row r="562" spans="1:38" s="20" customFormat="1" x14ac:dyDescent="0.25">
      <c r="A562" s="14">
        <v>561</v>
      </c>
      <c r="B562" s="14" t="str">
        <f>_xlfn.CONCAT(AE562,"-",VLOOKUP(AE562,t_objeto!B:D,3,FALSE),"-",A562)</f>
        <v>RRMM-PERCCO-561</v>
      </c>
      <c r="C562" s="22" t="str">
        <f t="shared" si="89"/>
        <v>LAMINA_LISA__ACERO_ROLADA EN FRIO_4'X10'_21</v>
      </c>
      <c r="D562" s="14" t="s">
        <v>7407</v>
      </c>
      <c r="E562" s="14" t="s">
        <v>7380</v>
      </c>
      <c r="F562" s="21" t="s">
        <v>7400</v>
      </c>
      <c r="G562" s="22" t="s">
        <v>7382</v>
      </c>
      <c r="H562" s="14">
        <v>21</v>
      </c>
      <c r="I562" s="16">
        <v>0.84</v>
      </c>
      <c r="J562" s="16">
        <f t="shared" si="91"/>
        <v>3.3070866141732283E-2</v>
      </c>
      <c r="K562" s="16">
        <v>6.5940000000000003</v>
      </c>
      <c r="L562" s="23"/>
      <c r="M562" s="23"/>
      <c r="N562" s="23"/>
      <c r="O562" s="23"/>
      <c r="P562" s="23"/>
      <c r="Q562" s="19"/>
      <c r="R562" s="17">
        <v>4</v>
      </c>
      <c r="S562" s="17">
        <v>10</v>
      </c>
      <c r="T562" s="16">
        <f t="shared" si="84"/>
        <v>3048</v>
      </c>
      <c r="U562" s="16">
        <f t="shared" si="85"/>
        <v>1219.1999999999998</v>
      </c>
      <c r="V562" s="18">
        <f t="shared" si="92"/>
        <v>3716121.5999999996</v>
      </c>
      <c r="W562" s="18">
        <f t="shared" si="86"/>
        <v>3.7161215999999997</v>
      </c>
      <c r="X562" s="18">
        <f t="shared" si="87"/>
        <v>24.5041058304</v>
      </c>
      <c r="Y562" s="24">
        <v>35</v>
      </c>
      <c r="Z562" s="24">
        <f t="shared" si="88"/>
        <v>857.64370406399996</v>
      </c>
      <c r="AA562" s="16">
        <v>37</v>
      </c>
      <c r="AB562" s="16">
        <f t="shared" si="90"/>
        <v>2974</v>
      </c>
      <c r="AC562" s="16">
        <f t="shared" si="90"/>
        <v>1145.1999999999998</v>
      </c>
      <c r="AD562" s="19">
        <f t="shared" si="93"/>
        <v>3405824.7999999993</v>
      </c>
      <c r="AE562" s="1" t="s">
        <v>7456</v>
      </c>
      <c r="AF562" s="1" t="str">
        <f>VLOOKUP(AE562,t_objeto!B:C,2,FALSE)</f>
        <v>RAW_MATERIAL</v>
      </c>
      <c r="AG562" s="1">
        <v>8</v>
      </c>
      <c r="AH562" s="1" t="str">
        <f>VLOOKUP(AG562,t_entry_status!A:AE,2,FALSE)</f>
        <v>PENDING</v>
      </c>
      <c r="AI562" s="7">
        <v>45560</v>
      </c>
      <c r="AJ562" s="1" t="s">
        <v>7449</v>
      </c>
      <c r="AK562" s="7">
        <v>45560</v>
      </c>
      <c r="AL562" s="1" t="s">
        <v>7449</v>
      </c>
    </row>
    <row r="563" spans="1:38" s="20" customFormat="1" x14ac:dyDescent="0.25">
      <c r="A563" s="14">
        <v>562</v>
      </c>
      <c r="B563" s="14" t="str">
        <f>_xlfn.CONCAT(AE563,"-",VLOOKUP(AE563,t_objeto!B:D,3,FALSE),"-",A563)</f>
        <v>RRMM-PERCCO-562</v>
      </c>
      <c r="C563" s="22" t="str">
        <f t="shared" si="89"/>
        <v>LAMINA_LISA__ACERO_ROLADA EN FRIO_4'X10'_22</v>
      </c>
      <c r="D563" s="14" t="s">
        <v>7407</v>
      </c>
      <c r="E563" s="14" t="s">
        <v>7380</v>
      </c>
      <c r="F563" s="21" t="s">
        <v>7400</v>
      </c>
      <c r="G563" s="22" t="s">
        <v>7382</v>
      </c>
      <c r="H563" s="14">
        <v>22</v>
      </c>
      <c r="I563" s="16">
        <v>0.76</v>
      </c>
      <c r="J563" s="16">
        <f t="shared" si="91"/>
        <v>2.9921259842519688E-2</v>
      </c>
      <c r="K563" s="16">
        <v>6.1050000000000004</v>
      </c>
      <c r="L563" s="23"/>
      <c r="M563" s="23"/>
      <c r="N563" s="23"/>
      <c r="O563" s="23"/>
      <c r="P563" s="23"/>
      <c r="Q563" s="19"/>
      <c r="R563" s="17">
        <v>4</v>
      </c>
      <c r="S563" s="17">
        <v>10</v>
      </c>
      <c r="T563" s="16">
        <f t="shared" si="84"/>
        <v>3048</v>
      </c>
      <c r="U563" s="16">
        <f t="shared" si="85"/>
        <v>1219.1999999999998</v>
      </c>
      <c r="V563" s="18">
        <f t="shared" si="92"/>
        <v>3716121.5999999996</v>
      </c>
      <c r="W563" s="18">
        <f t="shared" si="86"/>
        <v>3.7161215999999997</v>
      </c>
      <c r="X563" s="18">
        <f t="shared" si="87"/>
        <v>22.686922368000001</v>
      </c>
      <c r="Y563" s="24">
        <v>35</v>
      </c>
      <c r="Z563" s="24">
        <f t="shared" si="88"/>
        <v>794.04228288000002</v>
      </c>
      <c r="AA563" s="16">
        <v>38</v>
      </c>
      <c r="AB563" s="16">
        <f t="shared" si="90"/>
        <v>2972</v>
      </c>
      <c r="AC563" s="16">
        <f t="shared" si="90"/>
        <v>1143.1999999999998</v>
      </c>
      <c r="AD563" s="19">
        <f t="shared" si="93"/>
        <v>3397590.3999999994</v>
      </c>
      <c r="AE563" s="1" t="s">
        <v>7456</v>
      </c>
      <c r="AF563" s="1" t="str">
        <f>VLOOKUP(AE563,t_objeto!B:C,2,FALSE)</f>
        <v>RAW_MATERIAL</v>
      </c>
      <c r="AG563" s="1">
        <v>8</v>
      </c>
      <c r="AH563" s="1" t="str">
        <f>VLOOKUP(AG563,t_entry_status!A:AE,2,FALSE)</f>
        <v>PENDING</v>
      </c>
      <c r="AI563" s="7">
        <v>45560</v>
      </c>
      <c r="AJ563" s="1" t="s">
        <v>7449</v>
      </c>
      <c r="AK563" s="7">
        <v>45560</v>
      </c>
      <c r="AL563" s="1" t="s">
        <v>7449</v>
      </c>
    </row>
    <row r="564" spans="1:38" s="20" customFormat="1" x14ac:dyDescent="0.25">
      <c r="A564" s="14">
        <v>563</v>
      </c>
      <c r="B564" s="14" t="str">
        <f>_xlfn.CONCAT(AE564,"-",VLOOKUP(AE564,t_objeto!B:D,3,FALSE),"-",A564)</f>
        <v>RRMM-PERCCO-563</v>
      </c>
      <c r="C564" s="22" t="str">
        <f t="shared" si="89"/>
        <v>LAMINA_LISA__ACERO_ROLADA EN FRIO_4'X10'_23</v>
      </c>
      <c r="D564" s="14" t="s">
        <v>7407</v>
      </c>
      <c r="E564" s="14" t="s">
        <v>7380</v>
      </c>
      <c r="F564" s="21" t="s">
        <v>7400</v>
      </c>
      <c r="G564" s="22" t="s">
        <v>7382</v>
      </c>
      <c r="H564" s="14">
        <v>23</v>
      </c>
      <c r="I564" s="16">
        <v>0.68</v>
      </c>
      <c r="J564" s="16">
        <f t="shared" si="91"/>
        <v>2.677165354330709E-2</v>
      </c>
      <c r="K564" s="16">
        <v>5.3380000000000001</v>
      </c>
      <c r="L564" s="23"/>
      <c r="M564" s="23"/>
      <c r="N564" s="23"/>
      <c r="O564" s="23"/>
      <c r="P564" s="23"/>
      <c r="Q564" s="19"/>
      <c r="R564" s="17">
        <v>4</v>
      </c>
      <c r="S564" s="17">
        <v>10</v>
      </c>
      <c r="T564" s="16">
        <f t="shared" si="84"/>
        <v>3048</v>
      </c>
      <c r="U564" s="16">
        <f t="shared" si="85"/>
        <v>1219.1999999999998</v>
      </c>
      <c r="V564" s="18">
        <f t="shared" si="92"/>
        <v>3716121.5999999996</v>
      </c>
      <c r="W564" s="18">
        <f t="shared" si="86"/>
        <v>3.7161215999999997</v>
      </c>
      <c r="X564" s="18">
        <f t="shared" si="87"/>
        <v>19.8366571008</v>
      </c>
      <c r="Y564" s="24">
        <v>35</v>
      </c>
      <c r="Z564" s="24">
        <f t="shared" si="88"/>
        <v>694.28299852800001</v>
      </c>
      <c r="AA564" s="16">
        <v>39</v>
      </c>
      <c r="AB564" s="16">
        <f t="shared" si="90"/>
        <v>2970</v>
      </c>
      <c r="AC564" s="16">
        <f t="shared" si="90"/>
        <v>1141.1999999999998</v>
      </c>
      <c r="AD564" s="19">
        <f t="shared" si="93"/>
        <v>3389363.9999999995</v>
      </c>
      <c r="AE564" s="1" t="s">
        <v>7456</v>
      </c>
      <c r="AF564" s="1" t="str">
        <f>VLOOKUP(AE564,t_objeto!B:C,2,FALSE)</f>
        <v>RAW_MATERIAL</v>
      </c>
      <c r="AG564" s="1">
        <v>8</v>
      </c>
      <c r="AH564" s="1" t="str">
        <f>VLOOKUP(AG564,t_entry_status!A:AE,2,FALSE)</f>
        <v>PENDING</v>
      </c>
      <c r="AI564" s="7">
        <v>45560</v>
      </c>
      <c r="AJ564" s="1" t="s">
        <v>7449</v>
      </c>
      <c r="AK564" s="7">
        <v>45560</v>
      </c>
      <c r="AL564" s="1" t="s">
        <v>7449</v>
      </c>
    </row>
    <row r="565" spans="1:38" s="20" customFormat="1" x14ac:dyDescent="0.25">
      <c r="A565" s="14">
        <v>564</v>
      </c>
      <c r="B565" s="14" t="str">
        <f>_xlfn.CONCAT(AE565,"-",VLOOKUP(AE565,t_objeto!B:D,3,FALSE),"-",A565)</f>
        <v>RRMM-PERCCO-564</v>
      </c>
      <c r="C565" s="22" t="str">
        <f t="shared" si="89"/>
        <v>LAMINA_LISA__ACERO_ROLADA EN FRIO_4'X10'_24</v>
      </c>
      <c r="D565" s="14" t="s">
        <v>7407</v>
      </c>
      <c r="E565" s="14" t="s">
        <v>7380</v>
      </c>
      <c r="F565" s="21" t="s">
        <v>7400</v>
      </c>
      <c r="G565" s="22" t="s">
        <v>7382</v>
      </c>
      <c r="H565" s="14">
        <v>24</v>
      </c>
      <c r="I565" s="16">
        <v>0.61</v>
      </c>
      <c r="J565" s="16">
        <f t="shared" si="91"/>
        <v>2.4015748031496063E-2</v>
      </c>
      <c r="K565" s="16">
        <v>4.7889999999999997</v>
      </c>
      <c r="L565" s="23"/>
      <c r="M565" s="23"/>
      <c r="N565" s="23"/>
      <c r="O565" s="23"/>
      <c r="P565" s="23"/>
      <c r="Q565" s="19"/>
      <c r="R565" s="17">
        <v>4</v>
      </c>
      <c r="S565" s="17">
        <v>10</v>
      </c>
      <c r="T565" s="16">
        <f t="shared" si="84"/>
        <v>3048</v>
      </c>
      <c r="U565" s="16">
        <f t="shared" si="85"/>
        <v>1219.1999999999998</v>
      </c>
      <c r="V565" s="18">
        <f t="shared" si="92"/>
        <v>3716121.5999999996</v>
      </c>
      <c r="W565" s="18">
        <f t="shared" si="86"/>
        <v>3.7161215999999997</v>
      </c>
      <c r="X565" s="18">
        <f t="shared" si="87"/>
        <v>17.796506342399997</v>
      </c>
      <c r="Y565" s="24">
        <v>35</v>
      </c>
      <c r="Z565" s="24">
        <f t="shared" si="88"/>
        <v>622.87772198399989</v>
      </c>
      <c r="AA565" s="16">
        <v>40</v>
      </c>
      <c r="AB565" s="16">
        <f t="shared" si="90"/>
        <v>2968</v>
      </c>
      <c r="AC565" s="16">
        <f t="shared" si="90"/>
        <v>1139.1999999999998</v>
      </c>
      <c r="AD565" s="19">
        <f t="shared" si="93"/>
        <v>3381145.5999999996</v>
      </c>
      <c r="AE565" s="1" t="s">
        <v>7456</v>
      </c>
      <c r="AF565" s="1" t="str">
        <f>VLOOKUP(AE565,t_objeto!B:C,2,FALSE)</f>
        <v>RAW_MATERIAL</v>
      </c>
      <c r="AG565" s="1">
        <v>8</v>
      </c>
      <c r="AH565" s="1" t="str">
        <f>VLOOKUP(AG565,t_entry_status!A:AE,2,FALSE)</f>
        <v>PENDING</v>
      </c>
      <c r="AI565" s="7">
        <v>45560</v>
      </c>
      <c r="AJ565" s="1" t="s">
        <v>7449</v>
      </c>
      <c r="AK565" s="7">
        <v>45560</v>
      </c>
      <c r="AL565" s="1" t="s">
        <v>7449</v>
      </c>
    </row>
    <row r="566" spans="1:38" s="20" customFormat="1" x14ac:dyDescent="0.25">
      <c r="A566" s="14">
        <v>565</v>
      </c>
      <c r="B566" s="14" t="str">
        <f>_xlfn.CONCAT(AE566,"-",VLOOKUP(AE566,t_objeto!B:D,3,FALSE),"-",A566)</f>
        <v>RRMM-PERCCO-565</v>
      </c>
      <c r="C566" s="22" t="str">
        <f t="shared" si="89"/>
        <v>LAMINA_LISA__ACERO_ROLADA EN FRIO_4'X10'_25</v>
      </c>
      <c r="D566" s="14" t="s">
        <v>7407</v>
      </c>
      <c r="E566" s="14" t="s">
        <v>7380</v>
      </c>
      <c r="F566" s="21" t="s">
        <v>7400</v>
      </c>
      <c r="G566" s="22" t="s">
        <v>7382</v>
      </c>
      <c r="H566" s="14">
        <v>25</v>
      </c>
      <c r="I566" s="16">
        <v>0.53</v>
      </c>
      <c r="J566" s="16">
        <f t="shared" si="91"/>
        <v>2.0866141732283468E-2</v>
      </c>
      <c r="K566" s="16">
        <v>4.1609999999999996</v>
      </c>
      <c r="L566" s="23"/>
      <c r="M566" s="23"/>
      <c r="N566" s="23"/>
      <c r="O566" s="23"/>
      <c r="P566" s="23"/>
      <c r="Q566" s="19"/>
      <c r="R566" s="17">
        <v>4</v>
      </c>
      <c r="S566" s="17">
        <v>10</v>
      </c>
      <c r="T566" s="16">
        <f t="shared" si="84"/>
        <v>3048</v>
      </c>
      <c r="U566" s="16">
        <f t="shared" si="85"/>
        <v>1219.1999999999998</v>
      </c>
      <c r="V566" s="18">
        <f t="shared" si="92"/>
        <v>3716121.5999999996</v>
      </c>
      <c r="W566" s="18">
        <f t="shared" si="86"/>
        <v>3.7161215999999997</v>
      </c>
      <c r="X566" s="18">
        <f t="shared" si="87"/>
        <v>15.462781977599997</v>
      </c>
      <c r="Y566" s="24">
        <v>35</v>
      </c>
      <c r="Z566" s="24">
        <f t="shared" si="88"/>
        <v>541.19736921599986</v>
      </c>
      <c r="AA566" s="16">
        <v>41</v>
      </c>
      <c r="AB566" s="16">
        <f t="shared" si="90"/>
        <v>2966</v>
      </c>
      <c r="AC566" s="16">
        <f t="shared" si="90"/>
        <v>1137.1999999999998</v>
      </c>
      <c r="AD566" s="19">
        <f t="shared" si="93"/>
        <v>3372935.1999999993</v>
      </c>
      <c r="AE566" s="1" t="s">
        <v>7456</v>
      </c>
      <c r="AF566" s="1" t="str">
        <f>VLOOKUP(AE566,t_objeto!B:C,2,FALSE)</f>
        <v>RAW_MATERIAL</v>
      </c>
      <c r="AG566" s="1">
        <v>8</v>
      </c>
      <c r="AH566" s="1" t="str">
        <f>VLOOKUP(AG566,t_entry_status!A:AE,2,FALSE)</f>
        <v>PENDING</v>
      </c>
      <c r="AI566" s="7">
        <v>45560</v>
      </c>
      <c r="AJ566" s="1" t="s">
        <v>7449</v>
      </c>
      <c r="AK566" s="7">
        <v>45560</v>
      </c>
      <c r="AL566" s="1" t="s">
        <v>7449</v>
      </c>
    </row>
    <row r="567" spans="1:38" s="20" customFormat="1" x14ac:dyDescent="0.25">
      <c r="A567" s="14">
        <v>566</v>
      </c>
      <c r="B567" s="14" t="str">
        <f>_xlfn.CONCAT(AE567,"-",VLOOKUP(AE567,t_objeto!B:D,3,FALSE),"-",A567)</f>
        <v>RRMM-PERCCO-566</v>
      </c>
      <c r="C567" s="22" t="str">
        <f t="shared" si="89"/>
        <v>LAMINA_LISA__ACERO_ROLADA EN FRIO_4'X10'_26</v>
      </c>
      <c r="D567" s="14" t="s">
        <v>7407</v>
      </c>
      <c r="E567" s="14" t="s">
        <v>7380</v>
      </c>
      <c r="F567" s="21" t="s">
        <v>7400</v>
      </c>
      <c r="G567" s="22" t="s">
        <v>7382</v>
      </c>
      <c r="H567" s="14">
        <v>26</v>
      </c>
      <c r="I567" s="16">
        <v>0.45</v>
      </c>
      <c r="J567" s="16">
        <f t="shared" si="91"/>
        <v>1.7716535433070866E-2</v>
      </c>
      <c r="K567" s="16">
        <v>3.5329999999999999</v>
      </c>
      <c r="L567" s="23"/>
      <c r="M567" s="23"/>
      <c r="N567" s="23"/>
      <c r="O567" s="23"/>
      <c r="P567" s="23"/>
      <c r="Q567" s="19"/>
      <c r="R567" s="17">
        <v>4</v>
      </c>
      <c r="S567" s="17">
        <v>10</v>
      </c>
      <c r="T567" s="16">
        <f t="shared" si="84"/>
        <v>3048</v>
      </c>
      <c r="U567" s="16">
        <f t="shared" si="85"/>
        <v>1219.1999999999998</v>
      </c>
      <c r="V567" s="18">
        <f t="shared" si="92"/>
        <v>3716121.5999999996</v>
      </c>
      <c r="W567" s="18">
        <f t="shared" si="86"/>
        <v>3.7161215999999997</v>
      </c>
      <c r="X567" s="18">
        <f t="shared" si="87"/>
        <v>13.129057612799999</v>
      </c>
      <c r="Y567" s="24">
        <v>35</v>
      </c>
      <c r="Z567" s="24">
        <f t="shared" si="88"/>
        <v>459.51701644799994</v>
      </c>
      <c r="AA567" s="16">
        <v>42</v>
      </c>
      <c r="AB567" s="16">
        <f t="shared" si="90"/>
        <v>2964</v>
      </c>
      <c r="AC567" s="16">
        <f t="shared" si="90"/>
        <v>1135.1999999999998</v>
      </c>
      <c r="AD567" s="19">
        <f t="shared" si="93"/>
        <v>3364732.7999999993</v>
      </c>
      <c r="AE567" s="1" t="s">
        <v>7456</v>
      </c>
      <c r="AF567" s="1" t="str">
        <f>VLOOKUP(AE567,t_objeto!B:C,2,FALSE)</f>
        <v>RAW_MATERIAL</v>
      </c>
      <c r="AG567" s="1">
        <v>8</v>
      </c>
      <c r="AH567" s="1" t="str">
        <f>VLOOKUP(AG567,t_entry_status!A:AE,2,FALSE)</f>
        <v>PENDING</v>
      </c>
      <c r="AI567" s="7">
        <v>45560</v>
      </c>
      <c r="AJ567" s="1" t="s">
        <v>7449</v>
      </c>
      <c r="AK567" s="7">
        <v>45560</v>
      </c>
      <c r="AL567" s="1" t="s">
        <v>7449</v>
      </c>
    </row>
    <row r="568" spans="1:38" s="20" customFormat="1" x14ac:dyDescent="0.25">
      <c r="A568" s="14">
        <v>567</v>
      </c>
      <c r="B568" s="14" t="str">
        <f>_xlfn.CONCAT(AE568,"-",VLOOKUP(AE568,t_objeto!B:D,3,FALSE),"-",A568)</f>
        <v>RRMM-PERCCO-567</v>
      </c>
      <c r="C568" s="22" t="str">
        <f t="shared" si="89"/>
        <v>LAMINA_LISA__ACERO_ROLADA EN FRIO_4'X10'_27</v>
      </c>
      <c r="D568" s="14" t="s">
        <v>7407</v>
      </c>
      <c r="E568" s="14" t="s">
        <v>7380</v>
      </c>
      <c r="F568" s="21" t="s">
        <v>7400</v>
      </c>
      <c r="G568" s="22" t="s">
        <v>7382</v>
      </c>
      <c r="H568" s="14">
        <v>27</v>
      </c>
      <c r="I568" s="16">
        <v>0.42</v>
      </c>
      <c r="J568" s="16">
        <f t="shared" si="91"/>
        <v>1.6535433070866142E-2</v>
      </c>
      <c r="K568" s="16">
        <v>3.2970000000000002</v>
      </c>
      <c r="L568" s="23"/>
      <c r="M568" s="23"/>
      <c r="N568" s="23"/>
      <c r="O568" s="23"/>
      <c r="P568" s="23"/>
      <c r="Q568" s="19"/>
      <c r="R568" s="17">
        <v>4</v>
      </c>
      <c r="S568" s="17">
        <v>10</v>
      </c>
      <c r="T568" s="16">
        <f t="shared" si="84"/>
        <v>3048</v>
      </c>
      <c r="U568" s="16">
        <f t="shared" si="85"/>
        <v>1219.1999999999998</v>
      </c>
      <c r="V568" s="18">
        <f t="shared" si="92"/>
        <v>3716121.5999999996</v>
      </c>
      <c r="W568" s="18">
        <f t="shared" si="86"/>
        <v>3.7161215999999997</v>
      </c>
      <c r="X568" s="18">
        <f t="shared" si="87"/>
        <v>12.2520529152</v>
      </c>
      <c r="Y568" s="24">
        <v>35</v>
      </c>
      <c r="Z568" s="24">
        <f t="shared" si="88"/>
        <v>428.82185203199998</v>
      </c>
      <c r="AA568" s="16">
        <v>43</v>
      </c>
      <c r="AB568" s="16">
        <f t="shared" si="90"/>
        <v>2962</v>
      </c>
      <c r="AC568" s="16">
        <f t="shared" si="90"/>
        <v>1133.1999999999998</v>
      </c>
      <c r="AD568" s="19">
        <f t="shared" si="93"/>
        <v>3356538.3999999994</v>
      </c>
      <c r="AE568" s="1" t="s">
        <v>7456</v>
      </c>
      <c r="AF568" s="1" t="str">
        <f>VLOOKUP(AE568,t_objeto!B:C,2,FALSE)</f>
        <v>RAW_MATERIAL</v>
      </c>
      <c r="AG568" s="1">
        <v>8</v>
      </c>
      <c r="AH568" s="1" t="str">
        <f>VLOOKUP(AG568,t_entry_status!A:AE,2,FALSE)</f>
        <v>PENDING</v>
      </c>
      <c r="AI568" s="7">
        <v>45560</v>
      </c>
      <c r="AJ568" s="1" t="s">
        <v>7449</v>
      </c>
      <c r="AK568" s="7">
        <v>45560</v>
      </c>
      <c r="AL568" s="1" t="s">
        <v>7449</v>
      </c>
    </row>
    <row r="569" spans="1:38" s="20" customFormat="1" x14ac:dyDescent="0.25">
      <c r="A569" s="14">
        <v>568</v>
      </c>
      <c r="B569" s="14" t="str">
        <f>_xlfn.CONCAT(AE569,"-",VLOOKUP(AE569,t_objeto!B:D,3,FALSE),"-",A569)</f>
        <v>RRMM-PERCCO-568</v>
      </c>
      <c r="C569" s="22" t="str">
        <f t="shared" si="89"/>
        <v>LAMINA_LISA__ACERO_ROLADA EN FRIO_4'X10'_28</v>
      </c>
      <c r="D569" s="14" t="s">
        <v>7407</v>
      </c>
      <c r="E569" s="14" t="s">
        <v>7380</v>
      </c>
      <c r="F569" s="21" t="s">
        <v>7400</v>
      </c>
      <c r="G569" s="22" t="s">
        <v>7382</v>
      </c>
      <c r="H569" s="14">
        <v>28</v>
      </c>
      <c r="I569" s="16">
        <v>0.38</v>
      </c>
      <c r="J569" s="16">
        <f t="shared" si="91"/>
        <v>1.4960629921259844E-2</v>
      </c>
      <c r="K569" s="16">
        <v>2.9830000000000001</v>
      </c>
      <c r="L569" s="23"/>
      <c r="M569" s="23"/>
      <c r="N569" s="23"/>
      <c r="O569" s="23"/>
      <c r="P569" s="23"/>
      <c r="Q569" s="19"/>
      <c r="R569" s="17">
        <v>4</v>
      </c>
      <c r="S569" s="17">
        <v>10</v>
      </c>
      <c r="T569" s="16">
        <f t="shared" si="84"/>
        <v>3048</v>
      </c>
      <c r="U569" s="16">
        <f t="shared" si="85"/>
        <v>1219.1999999999998</v>
      </c>
      <c r="V569" s="18">
        <f t="shared" si="92"/>
        <v>3716121.5999999996</v>
      </c>
      <c r="W569" s="18">
        <f t="shared" si="86"/>
        <v>3.7161215999999997</v>
      </c>
      <c r="X569" s="18">
        <f t="shared" si="87"/>
        <v>11.085190732799999</v>
      </c>
      <c r="Y569" s="24">
        <v>35</v>
      </c>
      <c r="Z569" s="24">
        <f t="shared" si="88"/>
        <v>387.98167564799996</v>
      </c>
      <c r="AA569" s="16">
        <v>44</v>
      </c>
      <c r="AB569" s="16">
        <f t="shared" si="90"/>
        <v>2960</v>
      </c>
      <c r="AC569" s="16">
        <f t="shared" si="90"/>
        <v>1131.1999999999998</v>
      </c>
      <c r="AD569" s="19">
        <f t="shared" si="93"/>
        <v>3348351.9999999995</v>
      </c>
      <c r="AE569" s="1" t="s">
        <v>7456</v>
      </c>
      <c r="AF569" s="1" t="str">
        <f>VLOOKUP(AE569,t_objeto!B:C,2,FALSE)</f>
        <v>RAW_MATERIAL</v>
      </c>
      <c r="AG569" s="1">
        <v>8</v>
      </c>
      <c r="AH569" s="1" t="str">
        <f>VLOOKUP(AG569,t_entry_status!A:AE,2,FALSE)</f>
        <v>PENDING</v>
      </c>
      <c r="AI569" s="7">
        <v>45560</v>
      </c>
      <c r="AJ569" s="1" t="s">
        <v>7449</v>
      </c>
      <c r="AK569" s="7">
        <v>45560</v>
      </c>
      <c r="AL569" s="1" t="s">
        <v>7449</v>
      </c>
    </row>
    <row r="570" spans="1:38" s="20" customFormat="1" x14ac:dyDescent="0.25">
      <c r="A570" s="14">
        <v>569</v>
      </c>
      <c r="B570" s="14" t="str">
        <f>_xlfn.CONCAT(AE570,"-",VLOOKUP(AE570,t_objeto!B:D,3,FALSE),"-",A570)</f>
        <v>RRMM-PERCCO-569</v>
      </c>
      <c r="C570" s="22" t="str">
        <f t="shared" si="89"/>
        <v>LAMINA_LISA__ACERO_ROLADA EN FRIO_4'X10'_29</v>
      </c>
      <c r="D570" s="14" t="s">
        <v>7407</v>
      </c>
      <c r="E570" s="14" t="s">
        <v>7380</v>
      </c>
      <c r="F570" s="21" t="s">
        <v>7400</v>
      </c>
      <c r="G570" s="22" t="s">
        <v>7382</v>
      </c>
      <c r="H570" s="14">
        <v>29</v>
      </c>
      <c r="I570" s="16">
        <v>0.34</v>
      </c>
      <c r="J570" s="16">
        <f t="shared" si="91"/>
        <v>1.3385826771653545E-2</v>
      </c>
      <c r="K570" s="16">
        <v>2.669</v>
      </c>
      <c r="L570" s="23"/>
      <c r="M570" s="23"/>
      <c r="N570" s="23"/>
      <c r="O570" s="23"/>
      <c r="P570" s="23"/>
      <c r="Q570" s="19"/>
      <c r="R570" s="17">
        <v>4</v>
      </c>
      <c r="S570" s="17">
        <v>10</v>
      </c>
      <c r="T570" s="16">
        <f t="shared" si="84"/>
        <v>3048</v>
      </c>
      <c r="U570" s="16">
        <f t="shared" si="85"/>
        <v>1219.1999999999998</v>
      </c>
      <c r="V570" s="18">
        <f t="shared" si="92"/>
        <v>3716121.5999999996</v>
      </c>
      <c r="W570" s="18">
        <f t="shared" si="86"/>
        <v>3.7161215999999997</v>
      </c>
      <c r="X570" s="18">
        <f t="shared" si="87"/>
        <v>9.9183285504000001</v>
      </c>
      <c r="Y570" s="24">
        <v>35</v>
      </c>
      <c r="Z570" s="24">
        <f t="shared" si="88"/>
        <v>347.141499264</v>
      </c>
      <c r="AA570" s="16">
        <v>45</v>
      </c>
      <c r="AB570" s="16">
        <f t="shared" si="90"/>
        <v>2958</v>
      </c>
      <c r="AC570" s="16">
        <f t="shared" si="90"/>
        <v>1129.1999999999998</v>
      </c>
      <c r="AD570" s="19">
        <f t="shared" si="93"/>
        <v>3340173.5999999996</v>
      </c>
      <c r="AE570" s="1" t="s">
        <v>7456</v>
      </c>
      <c r="AF570" s="1" t="str">
        <f>VLOOKUP(AE570,t_objeto!B:C,2,FALSE)</f>
        <v>RAW_MATERIAL</v>
      </c>
      <c r="AG570" s="1">
        <v>8</v>
      </c>
      <c r="AH570" s="1" t="str">
        <f>VLOOKUP(AG570,t_entry_status!A:AE,2,FALSE)</f>
        <v>PENDING</v>
      </c>
      <c r="AI570" s="7">
        <v>45560</v>
      </c>
      <c r="AJ570" s="1" t="s">
        <v>7449</v>
      </c>
      <c r="AK570" s="7">
        <v>45560</v>
      </c>
      <c r="AL570" s="1" t="s">
        <v>7449</v>
      </c>
    </row>
    <row r="571" spans="1:38" s="20" customFormat="1" x14ac:dyDescent="0.25">
      <c r="A571" s="14">
        <v>570</v>
      </c>
      <c r="B571" s="14" t="str">
        <f>_xlfn.CONCAT(AE571,"-",VLOOKUP(AE571,t_objeto!B:D,3,FALSE),"-",A571)</f>
        <v>RRMM-PERCCO-570</v>
      </c>
      <c r="C571" s="22" t="str">
        <f t="shared" si="89"/>
        <v>LAMINA_LISA__ACERO_ROLADA EN FRIO_4'X10'_30</v>
      </c>
      <c r="D571" s="14" t="s">
        <v>7407</v>
      </c>
      <c r="E571" s="14" t="s">
        <v>7380</v>
      </c>
      <c r="F571" s="21" t="s">
        <v>7400</v>
      </c>
      <c r="G571" s="22" t="s">
        <v>7382</v>
      </c>
      <c r="H571" s="14">
        <v>30</v>
      </c>
      <c r="I571" s="16">
        <v>0.3</v>
      </c>
      <c r="J571" s="16">
        <f t="shared" si="91"/>
        <v>1.1811023622047244E-2</v>
      </c>
      <c r="K571" s="16">
        <v>2.355</v>
      </c>
      <c r="L571" s="23"/>
      <c r="M571" s="23"/>
      <c r="N571" s="23"/>
      <c r="O571" s="23"/>
      <c r="P571" s="23"/>
      <c r="Q571" s="19"/>
      <c r="R571" s="17">
        <v>4</v>
      </c>
      <c r="S571" s="17">
        <v>10</v>
      </c>
      <c r="T571" s="16">
        <f t="shared" si="84"/>
        <v>3048</v>
      </c>
      <c r="U571" s="16">
        <f t="shared" si="85"/>
        <v>1219.1999999999998</v>
      </c>
      <c r="V571" s="18">
        <f t="shared" si="92"/>
        <v>3716121.5999999996</v>
      </c>
      <c r="W571" s="18">
        <f t="shared" si="86"/>
        <v>3.7161215999999997</v>
      </c>
      <c r="X571" s="18">
        <f t="shared" si="87"/>
        <v>8.7514663679999991</v>
      </c>
      <c r="Y571" s="24">
        <v>35</v>
      </c>
      <c r="Z571" s="24">
        <f t="shared" si="88"/>
        <v>306.30132287999999</v>
      </c>
      <c r="AA571" s="16">
        <v>46</v>
      </c>
      <c r="AB571" s="16">
        <f t="shared" si="90"/>
        <v>2956</v>
      </c>
      <c r="AC571" s="16">
        <f t="shared" si="90"/>
        <v>1127.1999999999998</v>
      </c>
      <c r="AD571" s="19">
        <f t="shared" si="93"/>
        <v>3332003.1999999993</v>
      </c>
      <c r="AE571" s="1" t="s">
        <v>7456</v>
      </c>
      <c r="AF571" s="1" t="str">
        <f>VLOOKUP(AE571,t_objeto!B:C,2,FALSE)</f>
        <v>RAW_MATERIAL</v>
      </c>
      <c r="AG571" s="1">
        <v>8</v>
      </c>
      <c r="AH571" s="1" t="str">
        <f>VLOOKUP(AG571,t_entry_status!A:AE,2,FALSE)</f>
        <v>PENDING</v>
      </c>
      <c r="AI571" s="7">
        <v>45560</v>
      </c>
      <c r="AJ571" s="1" t="s">
        <v>7449</v>
      </c>
      <c r="AK571" s="7">
        <v>45560</v>
      </c>
      <c r="AL571" s="1" t="s">
        <v>7449</v>
      </c>
    </row>
    <row r="572" spans="1:38" s="20" customFormat="1" x14ac:dyDescent="0.25">
      <c r="A572" s="14">
        <v>571</v>
      </c>
      <c r="B572" s="14" t="str">
        <f>_xlfn.CONCAT(AE572,"-",VLOOKUP(AE572,t_objeto!B:D,3,FALSE),"-",A572)</f>
        <v>RRMM-PERCCO-571</v>
      </c>
      <c r="C572" s="22" t="str">
        <f t="shared" si="89"/>
        <v>LAMINA_LISA__INOX_304/316 L_4'X10'_10</v>
      </c>
      <c r="D572" s="14" t="s">
        <v>7407</v>
      </c>
      <c r="E572" s="14" t="s">
        <v>7403</v>
      </c>
      <c r="F572" s="21" t="s">
        <v>7404</v>
      </c>
      <c r="G572" s="22" t="s">
        <v>7382</v>
      </c>
      <c r="H572" s="14">
        <v>10</v>
      </c>
      <c r="I572" s="16">
        <v>3.42</v>
      </c>
      <c r="J572" s="16">
        <f t="shared" si="91"/>
        <v>0.13464566929133859</v>
      </c>
      <c r="K572" s="16">
        <v>27.783000000000001</v>
      </c>
      <c r="L572" s="23"/>
      <c r="M572" s="23"/>
      <c r="N572" s="23"/>
      <c r="O572" s="23"/>
      <c r="P572" s="23"/>
      <c r="Q572" s="19"/>
      <c r="R572" s="17">
        <v>4</v>
      </c>
      <c r="S572" s="17">
        <v>10</v>
      </c>
      <c r="T572" s="16">
        <f t="shared" si="84"/>
        <v>3048</v>
      </c>
      <c r="U572" s="16">
        <f t="shared" si="85"/>
        <v>1219.1999999999998</v>
      </c>
      <c r="V572" s="18">
        <f t="shared" si="92"/>
        <v>3716121.5999999996</v>
      </c>
      <c r="W572" s="18">
        <f t="shared" si="86"/>
        <v>3.7161215999999997</v>
      </c>
      <c r="X572" s="18">
        <f t="shared" si="87"/>
        <v>103.2450064128</v>
      </c>
      <c r="Y572" s="24">
        <v>35</v>
      </c>
      <c r="Z572" s="24">
        <f t="shared" si="88"/>
        <v>3613.575224448</v>
      </c>
      <c r="AA572" s="16">
        <v>67</v>
      </c>
      <c r="AB572" s="16">
        <f t="shared" si="90"/>
        <v>2914</v>
      </c>
      <c r="AC572" s="16">
        <f t="shared" si="90"/>
        <v>1085.1999999999998</v>
      </c>
      <c r="AD572" s="19">
        <f t="shared" si="93"/>
        <v>3162272.7999999993</v>
      </c>
      <c r="AE572" s="1" t="s">
        <v>7456</v>
      </c>
      <c r="AF572" s="1" t="str">
        <f>VLOOKUP(AE572,t_objeto!B:C,2,FALSE)</f>
        <v>RAW_MATERIAL</v>
      </c>
      <c r="AG572" s="1">
        <v>8</v>
      </c>
      <c r="AH572" s="1" t="str">
        <f>VLOOKUP(AG572,t_entry_status!A:AE,2,FALSE)</f>
        <v>PENDING</v>
      </c>
      <c r="AI572" s="7">
        <v>45560</v>
      </c>
      <c r="AJ572" s="1" t="s">
        <v>7449</v>
      </c>
      <c r="AK572" s="7">
        <v>45560</v>
      </c>
      <c r="AL572" s="1" t="s">
        <v>7449</v>
      </c>
    </row>
    <row r="573" spans="1:38" s="20" customFormat="1" x14ac:dyDescent="0.25">
      <c r="A573" s="14">
        <v>572</v>
      </c>
      <c r="B573" s="14" t="str">
        <f>_xlfn.CONCAT(AE573,"-",VLOOKUP(AE573,t_objeto!B:D,3,FALSE),"-",A573)</f>
        <v>RRMM-PERCCO-572</v>
      </c>
      <c r="C573" s="22" t="str">
        <f t="shared" si="89"/>
        <v>LAMINA_LISA__INOX_304/316 L_4'X10'_11</v>
      </c>
      <c r="D573" s="14" t="s">
        <v>7407</v>
      </c>
      <c r="E573" s="14" t="s">
        <v>7403</v>
      </c>
      <c r="F573" s="21" t="s">
        <v>7404</v>
      </c>
      <c r="G573" s="22" t="s">
        <v>7382</v>
      </c>
      <c r="H573" s="14">
        <v>11</v>
      </c>
      <c r="I573" s="16">
        <v>3.04</v>
      </c>
      <c r="J573" s="16">
        <f t="shared" si="91"/>
        <v>0.11968503937007875</v>
      </c>
      <c r="K573" s="16">
        <v>24.704999999999998</v>
      </c>
      <c r="L573" s="23"/>
      <c r="M573" s="23"/>
      <c r="N573" s="23"/>
      <c r="O573" s="23"/>
      <c r="P573" s="23"/>
      <c r="Q573" s="19"/>
      <c r="R573" s="17">
        <v>4</v>
      </c>
      <c r="S573" s="17">
        <v>10</v>
      </c>
      <c r="T573" s="16">
        <f t="shared" si="84"/>
        <v>3048</v>
      </c>
      <c r="U573" s="16">
        <f t="shared" si="85"/>
        <v>1219.1999999999998</v>
      </c>
      <c r="V573" s="18">
        <f t="shared" si="92"/>
        <v>3716121.5999999996</v>
      </c>
      <c r="W573" s="18">
        <f t="shared" si="86"/>
        <v>3.7161215999999997</v>
      </c>
      <c r="X573" s="18">
        <f t="shared" si="87"/>
        <v>91.80678412799999</v>
      </c>
      <c r="Y573" s="24">
        <v>35</v>
      </c>
      <c r="Z573" s="24">
        <f t="shared" si="88"/>
        <v>3213.2374444799998</v>
      </c>
      <c r="AA573" s="16">
        <v>68</v>
      </c>
      <c r="AB573" s="16">
        <f t="shared" si="90"/>
        <v>2912</v>
      </c>
      <c r="AC573" s="16">
        <f t="shared" si="90"/>
        <v>1083.1999999999998</v>
      </c>
      <c r="AD573" s="19">
        <f t="shared" si="93"/>
        <v>3154278.3999999994</v>
      </c>
      <c r="AE573" s="1" t="s">
        <v>7456</v>
      </c>
      <c r="AF573" s="1" t="str">
        <f>VLOOKUP(AE573,t_objeto!B:C,2,FALSE)</f>
        <v>RAW_MATERIAL</v>
      </c>
      <c r="AG573" s="1">
        <v>8</v>
      </c>
      <c r="AH573" s="1" t="str">
        <f>VLOOKUP(AG573,t_entry_status!A:AE,2,FALSE)</f>
        <v>PENDING</v>
      </c>
      <c r="AI573" s="7">
        <v>45560</v>
      </c>
      <c r="AJ573" s="1" t="s">
        <v>7449</v>
      </c>
      <c r="AK573" s="7">
        <v>45560</v>
      </c>
      <c r="AL573" s="1" t="s">
        <v>7449</v>
      </c>
    </row>
    <row r="574" spans="1:38" s="20" customFormat="1" x14ac:dyDescent="0.25">
      <c r="A574" s="14">
        <v>573</v>
      </c>
      <c r="B574" s="14" t="str">
        <f>_xlfn.CONCAT(AE574,"-",VLOOKUP(AE574,t_objeto!B:D,3,FALSE),"-",A574)</f>
        <v>RRMM-PERCCO-573</v>
      </c>
      <c r="C574" s="22" t="str">
        <f t="shared" si="89"/>
        <v>LAMINA_LISA__INOX_304/316 L_4'X10'_12</v>
      </c>
      <c r="D574" s="14" t="s">
        <v>7407</v>
      </c>
      <c r="E574" s="14" t="s">
        <v>7403</v>
      </c>
      <c r="F574" s="21" t="s">
        <v>7404</v>
      </c>
      <c r="G574" s="22" t="s">
        <v>7382</v>
      </c>
      <c r="H574" s="14">
        <v>12</v>
      </c>
      <c r="I574" s="16">
        <v>2.66</v>
      </c>
      <c r="J574" s="16">
        <f t="shared" si="91"/>
        <v>0.1047244094488189</v>
      </c>
      <c r="K574" s="16">
        <v>21.626999999999999</v>
      </c>
      <c r="L574" s="23"/>
      <c r="M574" s="23"/>
      <c r="N574" s="23"/>
      <c r="O574" s="23"/>
      <c r="P574" s="23"/>
      <c r="Q574" s="19"/>
      <c r="R574" s="17">
        <v>4</v>
      </c>
      <c r="S574" s="17">
        <v>10</v>
      </c>
      <c r="T574" s="16">
        <f t="shared" si="84"/>
        <v>3048</v>
      </c>
      <c r="U574" s="16">
        <f t="shared" si="85"/>
        <v>1219.1999999999998</v>
      </c>
      <c r="V574" s="18">
        <f t="shared" si="92"/>
        <v>3716121.5999999996</v>
      </c>
      <c r="W574" s="18">
        <f t="shared" si="86"/>
        <v>3.7161215999999997</v>
      </c>
      <c r="X574" s="18">
        <f t="shared" si="87"/>
        <v>80.368561843199984</v>
      </c>
      <c r="Y574" s="24">
        <v>35</v>
      </c>
      <c r="Z574" s="24">
        <f t="shared" si="88"/>
        <v>2812.8996645119996</v>
      </c>
      <c r="AA574" s="16">
        <v>69</v>
      </c>
      <c r="AB574" s="16">
        <f t="shared" si="90"/>
        <v>2910</v>
      </c>
      <c r="AC574" s="16">
        <f t="shared" si="90"/>
        <v>1081.1999999999998</v>
      </c>
      <c r="AD574" s="19">
        <f t="shared" si="93"/>
        <v>3146291.9999999995</v>
      </c>
      <c r="AE574" s="1" t="s">
        <v>7456</v>
      </c>
      <c r="AF574" s="1" t="str">
        <f>VLOOKUP(AE574,t_objeto!B:C,2,FALSE)</f>
        <v>RAW_MATERIAL</v>
      </c>
      <c r="AG574" s="1">
        <v>8</v>
      </c>
      <c r="AH574" s="1" t="str">
        <f>VLOOKUP(AG574,t_entry_status!A:AE,2,FALSE)</f>
        <v>PENDING</v>
      </c>
      <c r="AI574" s="7">
        <v>45560</v>
      </c>
      <c r="AJ574" s="1" t="s">
        <v>7449</v>
      </c>
      <c r="AK574" s="7">
        <v>45560</v>
      </c>
      <c r="AL574" s="1" t="s">
        <v>7449</v>
      </c>
    </row>
    <row r="575" spans="1:38" s="20" customFormat="1" x14ac:dyDescent="0.25">
      <c r="A575" s="14">
        <v>574</v>
      </c>
      <c r="B575" s="14" t="str">
        <f>_xlfn.CONCAT(AE575,"-",VLOOKUP(AE575,t_objeto!B:D,3,FALSE),"-",A575)</f>
        <v>RRMM-PERCCO-574</v>
      </c>
      <c r="C575" s="22" t="str">
        <f t="shared" si="89"/>
        <v>LAMINA_LISA__INOX_304/316 L_4'X10'_13</v>
      </c>
      <c r="D575" s="14" t="s">
        <v>7407</v>
      </c>
      <c r="E575" s="14" t="s">
        <v>7403</v>
      </c>
      <c r="F575" s="21" t="s">
        <v>7404</v>
      </c>
      <c r="G575" s="22" t="s">
        <v>7382</v>
      </c>
      <c r="H575" s="14">
        <v>13</v>
      </c>
      <c r="I575" s="16">
        <v>2.2799999999999998</v>
      </c>
      <c r="J575" s="16">
        <f t="shared" si="91"/>
        <v>8.9763779527559054E-2</v>
      </c>
      <c r="K575" s="16">
        <v>18.225000000000001</v>
      </c>
      <c r="L575" s="23"/>
      <c r="M575" s="23"/>
      <c r="N575" s="23"/>
      <c r="O575" s="23"/>
      <c r="P575" s="23"/>
      <c r="Q575" s="19"/>
      <c r="R575" s="17">
        <v>4</v>
      </c>
      <c r="S575" s="17">
        <v>10</v>
      </c>
      <c r="T575" s="16">
        <f t="shared" si="84"/>
        <v>3048</v>
      </c>
      <c r="U575" s="16">
        <f t="shared" si="85"/>
        <v>1219.1999999999998</v>
      </c>
      <c r="V575" s="18">
        <f t="shared" si="92"/>
        <v>3716121.5999999996</v>
      </c>
      <c r="W575" s="18">
        <f t="shared" si="86"/>
        <v>3.7161215999999997</v>
      </c>
      <c r="X575" s="18">
        <f t="shared" si="87"/>
        <v>67.726316159999996</v>
      </c>
      <c r="Y575" s="24">
        <v>35</v>
      </c>
      <c r="Z575" s="24">
        <f t="shared" si="88"/>
        <v>2370.4210656</v>
      </c>
      <c r="AA575" s="16">
        <v>70</v>
      </c>
      <c r="AB575" s="16">
        <f t="shared" si="90"/>
        <v>2908</v>
      </c>
      <c r="AC575" s="16">
        <f t="shared" si="90"/>
        <v>1079.1999999999998</v>
      </c>
      <c r="AD575" s="19">
        <f t="shared" si="93"/>
        <v>3138313.5999999996</v>
      </c>
      <c r="AE575" s="1" t="s">
        <v>7456</v>
      </c>
      <c r="AF575" s="1" t="str">
        <f>VLOOKUP(AE575,t_objeto!B:C,2,FALSE)</f>
        <v>RAW_MATERIAL</v>
      </c>
      <c r="AG575" s="1">
        <v>8</v>
      </c>
      <c r="AH575" s="1" t="str">
        <f>VLOOKUP(AG575,t_entry_status!A:AE,2,FALSE)</f>
        <v>PENDING</v>
      </c>
      <c r="AI575" s="7">
        <v>45560</v>
      </c>
      <c r="AJ575" s="1" t="s">
        <v>7449</v>
      </c>
      <c r="AK575" s="7">
        <v>45560</v>
      </c>
      <c r="AL575" s="1" t="s">
        <v>7449</v>
      </c>
    </row>
    <row r="576" spans="1:38" s="20" customFormat="1" x14ac:dyDescent="0.25">
      <c r="A576" s="14">
        <v>575</v>
      </c>
      <c r="B576" s="14" t="str">
        <f>_xlfn.CONCAT(AE576,"-",VLOOKUP(AE576,t_objeto!B:D,3,FALSE),"-",A576)</f>
        <v>RRMM-PERCCO-575</v>
      </c>
      <c r="C576" s="22" t="str">
        <f t="shared" si="89"/>
        <v>LAMINA_LISA__INOX_304/316 L_4'X10'_14</v>
      </c>
      <c r="D576" s="14" t="s">
        <v>7407</v>
      </c>
      <c r="E576" s="14" t="s">
        <v>7403</v>
      </c>
      <c r="F576" s="21" t="s">
        <v>7404</v>
      </c>
      <c r="G576" s="22" t="s">
        <v>7382</v>
      </c>
      <c r="H576" s="14">
        <v>14</v>
      </c>
      <c r="I576" s="16">
        <v>1.9</v>
      </c>
      <c r="J576" s="16">
        <f t="shared" si="91"/>
        <v>7.4803149606299218E-2</v>
      </c>
      <c r="K576" s="16">
        <v>15.39</v>
      </c>
      <c r="L576" s="23"/>
      <c r="M576" s="23"/>
      <c r="N576" s="23"/>
      <c r="O576" s="23"/>
      <c r="P576" s="23"/>
      <c r="Q576" s="19"/>
      <c r="R576" s="17">
        <v>4</v>
      </c>
      <c r="S576" s="17">
        <v>10</v>
      </c>
      <c r="T576" s="16">
        <f t="shared" si="84"/>
        <v>3048</v>
      </c>
      <c r="U576" s="16">
        <f t="shared" si="85"/>
        <v>1219.1999999999998</v>
      </c>
      <c r="V576" s="18">
        <f t="shared" si="92"/>
        <v>3716121.5999999996</v>
      </c>
      <c r="W576" s="18">
        <f t="shared" si="86"/>
        <v>3.7161215999999997</v>
      </c>
      <c r="X576" s="18">
        <f t="shared" si="87"/>
        <v>57.191111423999999</v>
      </c>
      <c r="Y576" s="24">
        <v>35</v>
      </c>
      <c r="Z576" s="24">
        <f t="shared" si="88"/>
        <v>2001.68889984</v>
      </c>
      <c r="AA576" s="16">
        <v>71</v>
      </c>
      <c r="AB576" s="16">
        <f t="shared" si="90"/>
        <v>2906</v>
      </c>
      <c r="AC576" s="16">
        <f t="shared" si="90"/>
        <v>1077.1999999999998</v>
      </c>
      <c r="AD576" s="19">
        <f t="shared" si="93"/>
        <v>3130343.1999999993</v>
      </c>
      <c r="AE576" s="1" t="s">
        <v>7456</v>
      </c>
      <c r="AF576" s="1" t="str">
        <f>VLOOKUP(AE576,t_objeto!B:C,2,FALSE)</f>
        <v>RAW_MATERIAL</v>
      </c>
      <c r="AG576" s="1">
        <v>8</v>
      </c>
      <c r="AH576" s="1" t="str">
        <f>VLOOKUP(AG576,t_entry_status!A:AE,2,FALSE)</f>
        <v>PENDING</v>
      </c>
      <c r="AI576" s="7">
        <v>45560</v>
      </c>
      <c r="AJ576" s="1" t="s">
        <v>7449</v>
      </c>
      <c r="AK576" s="7">
        <v>45560</v>
      </c>
      <c r="AL576" s="1" t="s">
        <v>7449</v>
      </c>
    </row>
    <row r="577" spans="1:38" s="20" customFormat="1" x14ac:dyDescent="0.25">
      <c r="A577" s="14">
        <v>576</v>
      </c>
      <c r="B577" s="14" t="str">
        <f>_xlfn.CONCAT(AE577,"-",VLOOKUP(AE577,t_objeto!B:D,3,FALSE),"-",A577)</f>
        <v>RRMM-PERCCO-576</v>
      </c>
      <c r="C577" s="22" t="str">
        <f t="shared" si="89"/>
        <v>LAMINA_LISA__INOX_304/316 L_4'X10'_15</v>
      </c>
      <c r="D577" s="14" t="s">
        <v>7407</v>
      </c>
      <c r="E577" s="14" t="s">
        <v>7403</v>
      </c>
      <c r="F577" s="21" t="s">
        <v>7404</v>
      </c>
      <c r="G577" s="22" t="s">
        <v>7382</v>
      </c>
      <c r="H577" s="14">
        <v>15</v>
      </c>
      <c r="I577" s="16">
        <v>1.71</v>
      </c>
      <c r="J577" s="16">
        <f t="shared" si="91"/>
        <v>6.7322834645669294E-2</v>
      </c>
      <c r="K577" s="16">
        <v>13.669</v>
      </c>
      <c r="L577" s="23"/>
      <c r="M577" s="23"/>
      <c r="N577" s="23"/>
      <c r="O577" s="23"/>
      <c r="P577" s="23"/>
      <c r="Q577" s="19"/>
      <c r="R577" s="17">
        <v>4</v>
      </c>
      <c r="S577" s="17">
        <v>10</v>
      </c>
      <c r="T577" s="16">
        <f t="shared" si="84"/>
        <v>3048</v>
      </c>
      <c r="U577" s="16">
        <f t="shared" si="85"/>
        <v>1219.1999999999998</v>
      </c>
      <c r="V577" s="18">
        <f t="shared" si="92"/>
        <v>3716121.5999999996</v>
      </c>
      <c r="W577" s="18">
        <f t="shared" si="86"/>
        <v>3.7161215999999997</v>
      </c>
      <c r="X577" s="18">
        <f t="shared" si="87"/>
        <v>50.795666150399995</v>
      </c>
      <c r="Y577" s="24">
        <v>35</v>
      </c>
      <c r="Z577" s="24">
        <f t="shared" si="88"/>
        <v>1777.8483152639999</v>
      </c>
      <c r="AA577" s="16">
        <v>72</v>
      </c>
      <c r="AB577" s="16">
        <f t="shared" si="90"/>
        <v>2904</v>
      </c>
      <c r="AC577" s="16">
        <f t="shared" si="90"/>
        <v>1075.1999999999998</v>
      </c>
      <c r="AD577" s="19">
        <f t="shared" si="93"/>
        <v>3122380.7999999993</v>
      </c>
      <c r="AE577" s="1" t="s">
        <v>7456</v>
      </c>
      <c r="AF577" s="1" t="str">
        <f>VLOOKUP(AE577,t_objeto!B:C,2,FALSE)</f>
        <v>RAW_MATERIAL</v>
      </c>
      <c r="AG577" s="1">
        <v>8</v>
      </c>
      <c r="AH577" s="1" t="str">
        <f>VLOOKUP(AG577,t_entry_status!A:AE,2,FALSE)</f>
        <v>PENDING</v>
      </c>
      <c r="AI577" s="7">
        <v>45560</v>
      </c>
      <c r="AJ577" s="1" t="s">
        <v>7449</v>
      </c>
      <c r="AK577" s="7">
        <v>45560</v>
      </c>
      <c r="AL577" s="1" t="s">
        <v>7449</v>
      </c>
    </row>
    <row r="578" spans="1:38" s="20" customFormat="1" x14ac:dyDescent="0.25">
      <c r="A578" s="14">
        <v>577</v>
      </c>
      <c r="B578" s="14" t="str">
        <f>_xlfn.CONCAT(AE578,"-",VLOOKUP(AE578,t_objeto!B:D,3,FALSE),"-",A578)</f>
        <v>RRMM-PERCCO-577</v>
      </c>
      <c r="C578" s="22" t="str">
        <f t="shared" si="89"/>
        <v>LAMINA_LISA__INOX_304/316 L_4'X10'_16</v>
      </c>
      <c r="D578" s="14" t="s">
        <v>7407</v>
      </c>
      <c r="E578" s="14" t="s">
        <v>7403</v>
      </c>
      <c r="F578" s="21" t="s">
        <v>7404</v>
      </c>
      <c r="G578" s="22" t="s">
        <v>7382</v>
      </c>
      <c r="H578" s="14">
        <v>16</v>
      </c>
      <c r="I578" s="16">
        <v>1.52</v>
      </c>
      <c r="J578" s="16">
        <f t="shared" si="91"/>
        <v>5.9842519685039376E-2</v>
      </c>
      <c r="K578" s="16">
        <v>12.311999999999999</v>
      </c>
      <c r="L578" s="23"/>
      <c r="M578" s="23"/>
      <c r="N578" s="23"/>
      <c r="O578" s="23"/>
      <c r="P578" s="23"/>
      <c r="Q578" s="19"/>
      <c r="R578" s="17">
        <v>4</v>
      </c>
      <c r="S578" s="17">
        <v>10</v>
      </c>
      <c r="T578" s="16">
        <f t="shared" ref="T578:T641" si="94">S578*12*25.4</f>
        <v>3048</v>
      </c>
      <c r="U578" s="16">
        <f t="shared" ref="U578:U641" si="95">R578*12*25.4</f>
        <v>1219.1999999999998</v>
      </c>
      <c r="V578" s="18">
        <f t="shared" si="92"/>
        <v>3716121.5999999996</v>
      </c>
      <c r="W578" s="18">
        <f t="shared" ref="W578:W641" si="96">V578/1000000</f>
        <v>3.7161215999999997</v>
      </c>
      <c r="X578" s="18">
        <f t="shared" ref="X578:X641" si="97">K578*W578</f>
        <v>45.752889139199993</v>
      </c>
      <c r="Y578" s="24">
        <v>35</v>
      </c>
      <c r="Z578" s="24">
        <f t="shared" ref="Z578:Z641" si="98">X578*Y578</f>
        <v>1601.3511198719998</v>
      </c>
      <c r="AA578" s="16">
        <v>73</v>
      </c>
      <c r="AB578" s="16">
        <f t="shared" si="90"/>
        <v>2902</v>
      </c>
      <c r="AC578" s="16">
        <f t="shared" si="90"/>
        <v>1073.1999999999998</v>
      </c>
      <c r="AD578" s="19">
        <f t="shared" si="93"/>
        <v>3114426.3999999994</v>
      </c>
      <c r="AE578" s="1" t="s">
        <v>7456</v>
      </c>
      <c r="AF578" s="1" t="str">
        <f>VLOOKUP(AE578,t_objeto!B:C,2,FALSE)</f>
        <v>RAW_MATERIAL</v>
      </c>
      <c r="AG578" s="1">
        <v>8</v>
      </c>
      <c r="AH578" s="1" t="str">
        <f>VLOOKUP(AG578,t_entry_status!A:AE,2,FALSE)</f>
        <v>PENDING</v>
      </c>
      <c r="AI578" s="7">
        <v>45560</v>
      </c>
      <c r="AJ578" s="1" t="s">
        <v>7449</v>
      </c>
      <c r="AK578" s="7">
        <v>45560</v>
      </c>
      <c r="AL578" s="1" t="s">
        <v>7449</v>
      </c>
    </row>
    <row r="579" spans="1:38" s="20" customFormat="1" x14ac:dyDescent="0.25">
      <c r="A579" s="14">
        <v>578</v>
      </c>
      <c r="B579" s="14" t="str">
        <f>_xlfn.CONCAT(AE579,"-",VLOOKUP(AE579,t_objeto!B:D,3,FALSE),"-",A579)</f>
        <v>RRMM-PERCCO-578</v>
      </c>
      <c r="C579" s="22" t="str">
        <f t="shared" ref="C579:C642" si="99">_xlfn.CONCAT(D579,"_","_",E579,"_",F579,"_",R579,"'","X",S579,"'","_",H579)</f>
        <v>LAMINA_LISA__INOX_304/316 L_4'X10'_17</v>
      </c>
      <c r="D579" s="14" t="s">
        <v>7407</v>
      </c>
      <c r="E579" s="14" t="s">
        <v>7403</v>
      </c>
      <c r="F579" s="21" t="s">
        <v>7404</v>
      </c>
      <c r="G579" s="22" t="s">
        <v>7382</v>
      </c>
      <c r="H579" s="14">
        <v>17</v>
      </c>
      <c r="I579" s="16">
        <v>1.37</v>
      </c>
      <c r="J579" s="16">
        <f t="shared" si="91"/>
        <v>5.3937007874015758E-2</v>
      </c>
      <c r="K579" s="16">
        <v>10.951000000000001</v>
      </c>
      <c r="L579" s="23"/>
      <c r="M579" s="23"/>
      <c r="N579" s="23"/>
      <c r="O579" s="23"/>
      <c r="P579" s="23"/>
      <c r="Q579" s="19"/>
      <c r="R579" s="17">
        <v>4</v>
      </c>
      <c r="S579" s="17">
        <v>10</v>
      </c>
      <c r="T579" s="16">
        <f t="shared" si="94"/>
        <v>3048</v>
      </c>
      <c r="U579" s="16">
        <f t="shared" si="95"/>
        <v>1219.1999999999998</v>
      </c>
      <c r="V579" s="18">
        <f t="shared" si="92"/>
        <v>3716121.5999999996</v>
      </c>
      <c r="W579" s="18">
        <f t="shared" si="96"/>
        <v>3.7161215999999997</v>
      </c>
      <c r="X579" s="18">
        <f t="shared" si="97"/>
        <v>40.695247641599998</v>
      </c>
      <c r="Y579" s="24">
        <v>35</v>
      </c>
      <c r="Z579" s="24">
        <f t="shared" si="98"/>
        <v>1424.3336674559998</v>
      </c>
      <c r="AA579" s="16">
        <v>74</v>
      </c>
      <c r="AB579" s="16">
        <f t="shared" si="90"/>
        <v>2900</v>
      </c>
      <c r="AC579" s="16">
        <f t="shared" si="90"/>
        <v>1071.1999999999998</v>
      </c>
      <c r="AD579" s="19">
        <f t="shared" si="93"/>
        <v>3106479.9999999995</v>
      </c>
      <c r="AE579" s="1" t="s">
        <v>7456</v>
      </c>
      <c r="AF579" s="1" t="str">
        <f>VLOOKUP(AE579,t_objeto!B:C,2,FALSE)</f>
        <v>RAW_MATERIAL</v>
      </c>
      <c r="AG579" s="1">
        <v>8</v>
      </c>
      <c r="AH579" s="1" t="str">
        <f>VLOOKUP(AG579,t_entry_status!A:AE,2,FALSE)</f>
        <v>PENDING</v>
      </c>
      <c r="AI579" s="7">
        <v>45560</v>
      </c>
      <c r="AJ579" s="1" t="s">
        <v>7449</v>
      </c>
      <c r="AK579" s="7">
        <v>45560</v>
      </c>
      <c r="AL579" s="1" t="s">
        <v>7449</v>
      </c>
    </row>
    <row r="580" spans="1:38" s="20" customFormat="1" x14ac:dyDescent="0.25">
      <c r="A580" s="14">
        <v>579</v>
      </c>
      <c r="B580" s="14" t="str">
        <f>_xlfn.CONCAT(AE580,"-",VLOOKUP(AE580,t_objeto!B:D,3,FALSE),"-",A580)</f>
        <v>RRMM-PERCCO-579</v>
      </c>
      <c r="C580" s="22" t="str">
        <f t="shared" si="99"/>
        <v>LAMINA_LISA__INOX_304/316 L_4'X10'_18</v>
      </c>
      <c r="D580" s="14" t="s">
        <v>7407</v>
      </c>
      <c r="E580" s="14" t="s">
        <v>7403</v>
      </c>
      <c r="F580" s="21" t="s">
        <v>7404</v>
      </c>
      <c r="G580" s="22" t="s">
        <v>7382</v>
      </c>
      <c r="H580" s="14">
        <v>18</v>
      </c>
      <c r="I580" s="16">
        <v>1.21</v>
      </c>
      <c r="J580" s="16">
        <f t="shared" si="91"/>
        <v>4.7637795275590554E-2</v>
      </c>
      <c r="K580" s="16">
        <v>9.8819999999999997</v>
      </c>
      <c r="L580" s="23"/>
      <c r="M580" s="23"/>
      <c r="N580" s="23"/>
      <c r="O580" s="23"/>
      <c r="P580" s="23"/>
      <c r="Q580" s="19"/>
      <c r="R580" s="17">
        <v>4</v>
      </c>
      <c r="S580" s="17">
        <v>10</v>
      </c>
      <c r="T580" s="16">
        <f t="shared" si="94"/>
        <v>3048</v>
      </c>
      <c r="U580" s="16">
        <f t="shared" si="95"/>
        <v>1219.1999999999998</v>
      </c>
      <c r="V580" s="18">
        <f t="shared" si="92"/>
        <v>3716121.5999999996</v>
      </c>
      <c r="W580" s="18">
        <f t="shared" si="96"/>
        <v>3.7161215999999997</v>
      </c>
      <c r="X580" s="18">
        <f t="shared" si="97"/>
        <v>36.722713651199996</v>
      </c>
      <c r="Y580" s="24">
        <v>35</v>
      </c>
      <c r="Z580" s="24">
        <f t="shared" si="98"/>
        <v>1285.2949777919998</v>
      </c>
      <c r="AA580" s="16">
        <v>75</v>
      </c>
      <c r="AB580" s="16">
        <f t="shared" si="90"/>
        <v>2898</v>
      </c>
      <c r="AC580" s="16">
        <f t="shared" si="90"/>
        <v>1069.1999999999998</v>
      </c>
      <c r="AD580" s="19">
        <f t="shared" si="93"/>
        <v>3098541.5999999996</v>
      </c>
      <c r="AE580" s="1" t="s">
        <v>7456</v>
      </c>
      <c r="AF580" s="1" t="str">
        <f>VLOOKUP(AE580,t_objeto!B:C,2,FALSE)</f>
        <v>RAW_MATERIAL</v>
      </c>
      <c r="AG580" s="1">
        <v>8</v>
      </c>
      <c r="AH580" s="1" t="str">
        <f>VLOOKUP(AG580,t_entry_status!A:AE,2,FALSE)</f>
        <v>PENDING</v>
      </c>
      <c r="AI580" s="7">
        <v>45560</v>
      </c>
      <c r="AJ580" s="1" t="s">
        <v>7449</v>
      </c>
      <c r="AK580" s="7">
        <v>45560</v>
      </c>
      <c r="AL580" s="1" t="s">
        <v>7449</v>
      </c>
    </row>
    <row r="581" spans="1:38" s="20" customFormat="1" x14ac:dyDescent="0.25">
      <c r="A581" s="14">
        <v>580</v>
      </c>
      <c r="B581" s="14" t="str">
        <f>_xlfn.CONCAT(AE581,"-",VLOOKUP(AE581,t_objeto!B:D,3,FALSE),"-",A581)</f>
        <v>RRMM-PERCCO-580</v>
      </c>
      <c r="C581" s="22" t="str">
        <f t="shared" si="99"/>
        <v>LAMINA_LISA__INOX_304/316 L_4'X10'_19</v>
      </c>
      <c r="D581" s="14" t="s">
        <v>7407</v>
      </c>
      <c r="E581" s="14" t="s">
        <v>7403</v>
      </c>
      <c r="F581" s="21" t="s">
        <v>7404</v>
      </c>
      <c r="G581" s="22" t="s">
        <v>7382</v>
      </c>
      <c r="H581" s="14">
        <v>19</v>
      </c>
      <c r="I581" s="16">
        <v>1.06</v>
      </c>
      <c r="J581" s="16">
        <f t="shared" si="91"/>
        <v>4.1732283464566935E-2</v>
      </c>
      <c r="K581" s="16">
        <v>8.4730000000000008</v>
      </c>
      <c r="L581" s="23"/>
      <c r="M581" s="23"/>
      <c r="N581" s="23"/>
      <c r="O581" s="23"/>
      <c r="P581" s="23"/>
      <c r="Q581" s="19"/>
      <c r="R581" s="17">
        <v>4</v>
      </c>
      <c r="S581" s="17">
        <v>10</v>
      </c>
      <c r="T581" s="16">
        <f t="shared" si="94"/>
        <v>3048</v>
      </c>
      <c r="U581" s="16">
        <f t="shared" si="95"/>
        <v>1219.1999999999998</v>
      </c>
      <c r="V581" s="18">
        <f t="shared" si="92"/>
        <v>3716121.5999999996</v>
      </c>
      <c r="W581" s="18">
        <f t="shared" si="96"/>
        <v>3.7161215999999997</v>
      </c>
      <c r="X581" s="18">
        <f t="shared" si="97"/>
        <v>31.486698316800002</v>
      </c>
      <c r="Y581" s="24">
        <v>35</v>
      </c>
      <c r="Z581" s="24">
        <f t="shared" si="98"/>
        <v>1102.034441088</v>
      </c>
      <c r="AA581" s="16">
        <v>76</v>
      </c>
      <c r="AB581" s="16">
        <f t="shared" si="90"/>
        <v>2896</v>
      </c>
      <c r="AC581" s="16">
        <f t="shared" si="90"/>
        <v>1067.1999999999998</v>
      </c>
      <c r="AD581" s="19">
        <f t="shared" si="93"/>
        <v>3090611.1999999993</v>
      </c>
      <c r="AE581" s="1" t="s">
        <v>7456</v>
      </c>
      <c r="AF581" s="1" t="str">
        <f>VLOOKUP(AE581,t_objeto!B:C,2,FALSE)</f>
        <v>RAW_MATERIAL</v>
      </c>
      <c r="AG581" s="1">
        <v>8</v>
      </c>
      <c r="AH581" s="1" t="str">
        <f>VLOOKUP(AG581,t_entry_status!A:AE,2,FALSE)</f>
        <v>PENDING</v>
      </c>
      <c r="AI581" s="7">
        <v>45560</v>
      </c>
      <c r="AJ581" s="1" t="s">
        <v>7449</v>
      </c>
      <c r="AK581" s="7">
        <v>45560</v>
      </c>
      <c r="AL581" s="1" t="s">
        <v>7449</v>
      </c>
    </row>
    <row r="582" spans="1:38" s="20" customFormat="1" x14ac:dyDescent="0.25">
      <c r="A582" s="14">
        <v>581</v>
      </c>
      <c r="B582" s="14" t="str">
        <f>_xlfn.CONCAT(AE582,"-",VLOOKUP(AE582,t_objeto!B:D,3,FALSE),"-",A582)</f>
        <v>RRMM-PERCCO-581</v>
      </c>
      <c r="C582" s="22" t="str">
        <f t="shared" si="99"/>
        <v>LAMINA_LISA__INOX_304/316 L_4'X10'_20</v>
      </c>
      <c r="D582" s="14" t="s">
        <v>7407</v>
      </c>
      <c r="E582" s="14" t="s">
        <v>7403</v>
      </c>
      <c r="F582" s="21" t="s">
        <v>7404</v>
      </c>
      <c r="G582" s="22" t="s">
        <v>7382</v>
      </c>
      <c r="H582" s="14">
        <v>20</v>
      </c>
      <c r="I582" s="16">
        <v>0.91</v>
      </c>
      <c r="J582" s="16">
        <f t="shared" si="91"/>
        <v>3.582677165354331E-2</v>
      </c>
      <c r="K582" s="16">
        <v>7.2249999999999996</v>
      </c>
      <c r="L582" s="23"/>
      <c r="M582" s="23"/>
      <c r="N582" s="23"/>
      <c r="O582" s="23"/>
      <c r="P582" s="23"/>
      <c r="Q582" s="19"/>
      <c r="R582" s="17">
        <v>4</v>
      </c>
      <c r="S582" s="17">
        <v>10</v>
      </c>
      <c r="T582" s="16">
        <f t="shared" si="94"/>
        <v>3048</v>
      </c>
      <c r="U582" s="16">
        <f t="shared" si="95"/>
        <v>1219.1999999999998</v>
      </c>
      <c r="V582" s="18">
        <f t="shared" si="92"/>
        <v>3716121.5999999996</v>
      </c>
      <c r="W582" s="18">
        <f t="shared" si="96"/>
        <v>3.7161215999999997</v>
      </c>
      <c r="X582" s="18">
        <f t="shared" si="97"/>
        <v>26.848978559999995</v>
      </c>
      <c r="Y582" s="24">
        <v>35</v>
      </c>
      <c r="Z582" s="24">
        <f t="shared" si="98"/>
        <v>939.71424959999979</v>
      </c>
      <c r="AA582" s="16">
        <v>77</v>
      </c>
      <c r="AB582" s="16">
        <f t="shared" si="90"/>
        <v>2894</v>
      </c>
      <c r="AC582" s="16">
        <f t="shared" si="90"/>
        <v>1065.1999999999998</v>
      </c>
      <c r="AD582" s="19">
        <f t="shared" si="93"/>
        <v>3082688.7999999993</v>
      </c>
      <c r="AE582" s="1" t="s">
        <v>7456</v>
      </c>
      <c r="AF582" s="1" t="str">
        <f>VLOOKUP(AE582,t_objeto!B:C,2,FALSE)</f>
        <v>RAW_MATERIAL</v>
      </c>
      <c r="AG582" s="1">
        <v>8</v>
      </c>
      <c r="AH582" s="1" t="str">
        <f>VLOOKUP(AG582,t_entry_status!A:AE,2,FALSE)</f>
        <v>PENDING</v>
      </c>
      <c r="AI582" s="7">
        <v>45560</v>
      </c>
      <c r="AJ582" s="1" t="s">
        <v>7449</v>
      </c>
      <c r="AK582" s="7">
        <v>45560</v>
      </c>
      <c r="AL582" s="1" t="s">
        <v>7449</v>
      </c>
    </row>
    <row r="583" spans="1:38" s="20" customFormat="1" x14ac:dyDescent="0.25">
      <c r="A583" s="14">
        <v>582</v>
      </c>
      <c r="B583" s="14" t="str">
        <f>_xlfn.CONCAT(AE583,"-",VLOOKUP(AE583,t_objeto!B:D,3,FALSE),"-",A583)</f>
        <v>RRMM-PERCCO-582</v>
      </c>
      <c r="C583" s="22" t="str">
        <f t="shared" si="99"/>
        <v>LAMINA_LISA__INOX_304/316 L_4'X10'_21</v>
      </c>
      <c r="D583" s="14" t="s">
        <v>7407</v>
      </c>
      <c r="E583" s="14" t="s">
        <v>7403</v>
      </c>
      <c r="F583" s="21" t="s">
        <v>7404</v>
      </c>
      <c r="G583" s="22" t="s">
        <v>7382</v>
      </c>
      <c r="H583" s="14">
        <v>21</v>
      </c>
      <c r="I583" s="16">
        <v>0.84</v>
      </c>
      <c r="J583" s="16">
        <f t="shared" si="91"/>
        <v>3.3070866141732283E-2</v>
      </c>
      <c r="K583" s="16">
        <v>6.7149999999999999</v>
      </c>
      <c r="L583" s="23"/>
      <c r="M583" s="23"/>
      <c r="N583" s="23"/>
      <c r="O583" s="23"/>
      <c r="P583" s="23"/>
      <c r="Q583" s="19"/>
      <c r="R583" s="17">
        <v>4</v>
      </c>
      <c r="S583" s="17">
        <v>10</v>
      </c>
      <c r="T583" s="16">
        <f t="shared" si="94"/>
        <v>3048</v>
      </c>
      <c r="U583" s="16">
        <f t="shared" si="95"/>
        <v>1219.1999999999998</v>
      </c>
      <c r="V583" s="18">
        <f t="shared" si="92"/>
        <v>3716121.5999999996</v>
      </c>
      <c r="W583" s="18">
        <f t="shared" si="96"/>
        <v>3.7161215999999997</v>
      </c>
      <c r="X583" s="18">
        <f t="shared" si="97"/>
        <v>24.953756543999997</v>
      </c>
      <c r="Y583" s="24">
        <v>35</v>
      </c>
      <c r="Z583" s="24">
        <f t="shared" si="98"/>
        <v>873.38147903999993</v>
      </c>
      <c r="AA583" s="16">
        <v>78</v>
      </c>
      <c r="AB583" s="16">
        <f t="shared" si="90"/>
        <v>2892</v>
      </c>
      <c r="AC583" s="16">
        <f t="shared" si="90"/>
        <v>1063.1999999999998</v>
      </c>
      <c r="AD583" s="19">
        <f t="shared" si="93"/>
        <v>3074774.3999999994</v>
      </c>
      <c r="AE583" s="1" t="s">
        <v>7456</v>
      </c>
      <c r="AF583" s="1" t="str">
        <f>VLOOKUP(AE583,t_objeto!B:C,2,FALSE)</f>
        <v>RAW_MATERIAL</v>
      </c>
      <c r="AG583" s="1">
        <v>8</v>
      </c>
      <c r="AH583" s="1" t="str">
        <f>VLOOKUP(AG583,t_entry_status!A:AE,2,FALSE)</f>
        <v>PENDING</v>
      </c>
      <c r="AI583" s="7">
        <v>45560</v>
      </c>
      <c r="AJ583" s="1" t="s">
        <v>7449</v>
      </c>
      <c r="AK583" s="7">
        <v>45560</v>
      </c>
      <c r="AL583" s="1" t="s">
        <v>7449</v>
      </c>
    </row>
    <row r="584" spans="1:38" s="20" customFormat="1" x14ac:dyDescent="0.25">
      <c r="A584" s="14">
        <v>583</v>
      </c>
      <c r="B584" s="14" t="str">
        <f>_xlfn.CONCAT(AE584,"-",VLOOKUP(AE584,t_objeto!B:D,3,FALSE),"-",A584)</f>
        <v>RRMM-PERCCO-583</v>
      </c>
      <c r="C584" s="22" t="str">
        <f t="shared" si="99"/>
        <v>LAMINA_LISA__INOX_304/316 L_4'X10'_22</v>
      </c>
      <c r="D584" s="14" t="s">
        <v>7407</v>
      </c>
      <c r="E584" s="14" t="s">
        <v>7403</v>
      </c>
      <c r="F584" s="21" t="s">
        <v>7404</v>
      </c>
      <c r="G584" s="22" t="s">
        <v>7382</v>
      </c>
      <c r="H584" s="14">
        <v>22</v>
      </c>
      <c r="I584" s="16">
        <v>0.76</v>
      </c>
      <c r="J584" s="16">
        <f t="shared" si="91"/>
        <v>2.9921259842519688E-2</v>
      </c>
      <c r="K584" s="16">
        <v>5.9939999999999998</v>
      </c>
      <c r="L584" s="23"/>
      <c r="M584" s="23"/>
      <c r="N584" s="23"/>
      <c r="O584" s="23"/>
      <c r="P584" s="23"/>
      <c r="Q584" s="19"/>
      <c r="R584" s="17">
        <v>4</v>
      </c>
      <c r="S584" s="17">
        <v>10</v>
      </c>
      <c r="T584" s="16">
        <f t="shared" si="94"/>
        <v>3048</v>
      </c>
      <c r="U584" s="16">
        <f t="shared" si="95"/>
        <v>1219.1999999999998</v>
      </c>
      <c r="V584" s="18">
        <f t="shared" si="92"/>
        <v>3716121.5999999996</v>
      </c>
      <c r="W584" s="18">
        <f t="shared" si="96"/>
        <v>3.7161215999999997</v>
      </c>
      <c r="X584" s="18">
        <f t="shared" si="97"/>
        <v>22.274432870399998</v>
      </c>
      <c r="Y584" s="24">
        <v>35</v>
      </c>
      <c r="Z584" s="24">
        <f t="shared" si="98"/>
        <v>779.60515046399996</v>
      </c>
      <c r="AA584" s="16">
        <v>79</v>
      </c>
      <c r="AB584" s="16">
        <f t="shared" si="90"/>
        <v>2890</v>
      </c>
      <c r="AC584" s="16">
        <f t="shared" si="90"/>
        <v>1061.1999999999998</v>
      </c>
      <c r="AD584" s="19">
        <f t="shared" si="93"/>
        <v>3066867.9999999995</v>
      </c>
      <c r="AE584" s="1" t="s">
        <v>7456</v>
      </c>
      <c r="AF584" s="1" t="str">
        <f>VLOOKUP(AE584,t_objeto!B:C,2,FALSE)</f>
        <v>RAW_MATERIAL</v>
      </c>
      <c r="AG584" s="1">
        <v>8</v>
      </c>
      <c r="AH584" s="1" t="str">
        <f>VLOOKUP(AG584,t_entry_status!A:AE,2,FALSE)</f>
        <v>PENDING</v>
      </c>
      <c r="AI584" s="7">
        <v>45560</v>
      </c>
      <c r="AJ584" s="1" t="s">
        <v>7449</v>
      </c>
      <c r="AK584" s="7">
        <v>45560</v>
      </c>
      <c r="AL584" s="1" t="s">
        <v>7449</v>
      </c>
    </row>
    <row r="585" spans="1:38" s="20" customFormat="1" x14ac:dyDescent="0.25">
      <c r="A585" s="14">
        <v>584</v>
      </c>
      <c r="B585" s="14" t="str">
        <f>_xlfn.CONCAT(AE585,"-",VLOOKUP(AE585,t_objeto!B:D,3,FALSE),"-",A585)</f>
        <v>RRMM-PERCCO-584</v>
      </c>
      <c r="C585" s="22" t="str">
        <f t="shared" si="99"/>
        <v>LAMINA_LISA__INOX_304/316 L_4'X10'_23</v>
      </c>
      <c r="D585" s="14" t="s">
        <v>7407</v>
      </c>
      <c r="E585" s="14" t="s">
        <v>7403</v>
      </c>
      <c r="F585" s="21" t="s">
        <v>7404</v>
      </c>
      <c r="G585" s="22" t="s">
        <v>7382</v>
      </c>
      <c r="H585" s="14">
        <v>23</v>
      </c>
      <c r="I585" s="16">
        <v>0.68</v>
      </c>
      <c r="J585" s="16">
        <f t="shared" si="91"/>
        <v>2.677165354330709E-2</v>
      </c>
      <c r="K585" s="16">
        <v>5.4359999999999999</v>
      </c>
      <c r="L585" s="23"/>
      <c r="M585" s="23"/>
      <c r="N585" s="23"/>
      <c r="O585" s="23"/>
      <c r="P585" s="23"/>
      <c r="Q585" s="19"/>
      <c r="R585" s="17">
        <v>4</v>
      </c>
      <c r="S585" s="17">
        <v>10</v>
      </c>
      <c r="T585" s="16">
        <f t="shared" si="94"/>
        <v>3048</v>
      </c>
      <c r="U585" s="16">
        <f t="shared" si="95"/>
        <v>1219.1999999999998</v>
      </c>
      <c r="V585" s="18">
        <f t="shared" si="92"/>
        <v>3716121.5999999996</v>
      </c>
      <c r="W585" s="18">
        <f t="shared" si="96"/>
        <v>3.7161215999999997</v>
      </c>
      <c r="X585" s="18">
        <f t="shared" si="97"/>
        <v>20.200837017599998</v>
      </c>
      <c r="Y585" s="24">
        <v>35</v>
      </c>
      <c r="Z585" s="24">
        <f t="shared" si="98"/>
        <v>707.0292956159999</v>
      </c>
      <c r="AA585" s="16">
        <v>80</v>
      </c>
      <c r="AB585" s="16">
        <f t="shared" si="90"/>
        <v>2888</v>
      </c>
      <c r="AC585" s="16">
        <f t="shared" si="90"/>
        <v>1059.1999999999998</v>
      </c>
      <c r="AD585" s="19">
        <f t="shared" si="93"/>
        <v>3058969.5999999996</v>
      </c>
      <c r="AE585" s="1" t="s">
        <v>7456</v>
      </c>
      <c r="AF585" s="1" t="str">
        <f>VLOOKUP(AE585,t_objeto!B:C,2,FALSE)</f>
        <v>RAW_MATERIAL</v>
      </c>
      <c r="AG585" s="1">
        <v>8</v>
      </c>
      <c r="AH585" s="1" t="str">
        <f>VLOOKUP(AG585,t_entry_status!A:AE,2,FALSE)</f>
        <v>PENDING</v>
      </c>
      <c r="AI585" s="7">
        <v>45560</v>
      </c>
      <c r="AJ585" s="1" t="s">
        <v>7449</v>
      </c>
      <c r="AK585" s="7">
        <v>45560</v>
      </c>
      <c r="AL585" s="1" t="s">
        <v>7449</v>
      </c>
    </row>
    <row r="586" spans="1:38" s="20" customFormat="1" x14ac:dyDescent="0.25">
      <c r="A586" s="14">
        <v>585</v>
      </c>
      <c r="B586" s="14" t="str">
        <f>_xlfn.CONCAT(AE586,"-",VLOOKUP(AE586,t_objeto!B:D,3,FALSE),"-",A586)</f>
        <v>RRMM-PERCCO-585</v>
      </c>
      <c r="C586" s="22" t="str">
        <f t="shared" si="99"/>
        <v>LAMINA_LISA__INOX_304/316 L_4'X10'_24</v>
      </c>
      <c r="D586" s="14" t="s">
        <v>7407</v>
      </c>
      <c r="E586" s="14" t="s">
        <v>7403</v>
      </c>
      <c r="F586" s="21" t="s">
        <v>7404</v>
      </c>
      <c r="G586" s="22" t="s">
        <v>7382</v>
      </c>
      <c r="H586" s="14">
        <v>24</v>
      </c>
      <c r="I586" s="16">
        <v>0.61</v>
      </c>
      <c r="J586" s="16">
        <f t="shared" si="91"/>
        <v>2.4015748031496063E-2</v>
      </c>
      <c r="K586" s="16">
        <v>4.9409999999999998</v>
      </c>
      <c r="L586" s="23"/>
      <c r="M586" s="23"/>
      <c r="N586" s="23"/>
      <c r="O586" s="23"/>
      <c r="P586" s="23"/>
      <c r="Q586" s="19"/>
      <c r="R586" s="17">
        <v>4</v>
      </c>
      <c r="S586" s="17">
        <v>10</v>
      </c>
      <c r="T586" s="16">
        <f t="shared" si="94"/>
        <v>3048</v>
      </c>
      <c r="U586" s="16">
        <f t="shared" si="95"/>
        <v>1219.1999999999998</v>
      </c>
      <c r="V586" s="18">
        <f t="shared" si="92"/>
        <v>3716121.5999999996</v>
      </c>
      <c r="W586" s="18">
        <f t="shared" si="96"/>
        <v>3.7161215999999997</v>
      </c>
      <c r="X586" s="18">
        <f t="shared" si="97"/>
        <v>18.361356825599998</v>
      </c>
      <c r="Y586" s="24">
        <v>35</v>
      </c>
      <c r="Z586" s="24">
        <f t="shared" si="98"/>
        <v>642.64748889599991</v>
      </c>
      <c r="AA586" s="16">
        <v>81</v>
      </c>
      <c r="AB586" s="16">
        <f t="shared" si="90"/>
        <v>2886</v>
      </c>
      <c r="AC586" s="16">
        <f t="shared" si="90"/>
        <v>1057.1999999999998</v>
      </c>
      <c r="AD586" s="19">
        <f t="shared" si="93"/>
        <v>3051079.1999999993</v>
      </c>
      <c r="AE586" s="1" t="s">
        <v>7456</v>
      </c>
      <c r="AF586" s="1" t="str">
        <f>VLOOKUP(AE586,t_objeto!B:C,2,FALSE)</f>
        <v>RAW_MATERIAL</v>
      </c>
      <c r="AG586" s="1">
        <v>8</v>
      </c>
      <c r="AH586" s="1" t="str">
        <f>VLOOKUP(AG586,t_entry_status!A:AE,2,FALSE)</f>
        <v>PENDING</v>
      </c>
      <c r="AI586" s="7">
        <v>45560</v>
      </c>
      <c r="AJ586" s="1" t="s">
        <v>7449</v>
      </c>
      <c r="AK586" s="7">
        <v>45560</v>
      </c>
      <c r="AL586" s="1" t="s">
        <v>7449</v>
      </c>
    </row>
    <row r="587" spans="1:38" s="20" customFormat="1" x14ac:dyDescent="0.25">
      <c r="A587" s="14">
        <v>586</v>
      </c>
      <c r="B587" s="14" t="str">
        <f>_xlfn.CONCAT(AE587,"-",VLOOKUP(AE587,t_objeto!B:D,3,FALSE),"-",A587)</f>
        <v>RRMM-PERCCO-586</v>
      </c>
      <c r="C587" s="22" t="str">
        <f t="shared" si="99"/>
        <v>LAMINA_LISA__INOX_304/316 L_4'X10'_25</v>
      </c>
      <c r="D587" s="14" t="s">
        <v>7407</v>
      </c>
      <c r="E587" s="14" t="s">
        <v>7403</v>
      </c>
      <c r="F587" s="21" t="s">
        <v>7404</v>
      </c>
      <c r="G587" s="22" t="s">
        <v>7382</v>
      </c>
      <c r="H587" s="14">
        <v>25</v>
      </c>
      <c r="I587" s="16">
        <v>0.53</v>
      </c>
      <c r="J587" s="16">
        <f t="shared" si="91"/>
        <v>2.0866141732283468E-2</v>
      </c>
      <c r="K587" s="16">
        <v>4.2370000000000001</v>
      </c>
      <c r="L587" s="23"/>
      <c r="M587" s="23"/>
      <c r="N587" s="23"/>
      <c r="O587" s="23"/>
      <c r="P587" s="23"/>
      <c r="Q587" s="19"/>
      <c r="R587" s="17">
        <v>4</v>
      </c>
      <c r="S587" s="17">
        <v>10</v>
      </c>
      <c r="T587" s="16">
        <f t="shared" si="94"/>
        <v>3048</v>
      </c>
      <c r="U587" s="16">
        <f t="shared" si="95"/>
        <v>1219.1999999999998</v>
      </c>
      <c r="V587" s="18">
        <f t="shared" si="92"/>
        <v>3716121.5999999996</v>
      </c>
      <c r="W587" s="18">
        <f t="shared" si="96"/>
        <v>3.7161215999999997</v>
      </c>
      <c r="X587" s="18">
        <f t="shared" si="97"/>
        <v>15.745207219199999</v>
      </c>
      <c r="Y587" s="24">
        <v>35</v>
      </c>
      <c r="Z587" s="24">
        <f t="shared" si="98"/>
        <v>551.08225267199998</v>
      </c>
      <c r="AA587" s="16">
        <v>82</v>
      </c>
      <c r="AB587" s="16">
        <f t="shared" si="90"/>
        <v>2884</v>
      </c>
      <c r="AC587" s="16">
        <f t="shared" si="90"/>
        <v>1055.1999999999998</v>
      </c>
      <c r="AD587" s="19">
        <f t="shared" si="93"/>
        <v>3043196.7999999993</v>
      </c>
      <c r="AE587" s="1" t="s">
        <v>7456</v>
      </c>
      <c r="AF587" s="1" t="str">
        <f>VLOOKUP(AE587,t_objeto!B:C,2,FALSE)</f>
        <v>RAW_MATERIAL</v>
      </c>
      <c r="AG587" s="1">
        <v>8</v>
      </c>
      <c r="AH587" s="1" t="str">
        <f>VLOOKUP(AG587,t_entry_status!A:AE,2,FALSE)</f>
        <v>PENDING</v>
      </c>
      <c r="AI587" s="7">
        <v>45560</v>
      </c>
      <c r="AJ587" s="1" t="s">
        <v>7449</v>
      </c>
      <c r="AK587" s="7">
        <v>45560</v>
      </c>
      <c r="AL587" s="1" t="s">
        <v>7449</v>
      </c>
    </row>
    <row r="588" spans="1:38" s="20" customFormat="1" x14ac:dyDescent="0.25">
      <c r="A588" s="14">
        <v>587</v>
      </c>
      <c r="B588" s="14" t="str">
        <f>_xlfn.CONCAT(AE588,"-",VLOOKUP(AE588,t_objeto!B:D,3,FALSE),"-",A588)</f>
        <v>RRMM-PERCCO-587</v>
      </c>
      <c r="C588" s="22" t="str">
        <f t="shared" si="99"/>
        <v>LAMINA_LISA__INOX_304/316 L_4'X10'_26</v>
      </c>
      <c r="D588" s="14" t="s">
        <v>7407</v>
      </c>
      <c r="E588" s="14" t="s">
        <v>7403</v>
      </c>
      <c r="F588" s="21" t="s">
        <v>7404</v>
      </c>
      <c r="G588" s="22" t="s">
        <v>7382</v>
      </c>
      <c r="H588" s="14">
        <v>26</v>
      </c>
      <c r="I588" s="16">
        <v>0.45</v>
      </c>
      <c r="J588" s="16">
        <f t="shared" si="91"/>
        <v>1.7716535433070866E-2</v>
      </c>
      <c r="K588" s="16">
        <v>3.6859999999999999</v>
      </c>
      <c r="L588" s="23"/>
      <c r="M588" s="23"/>
      <c r="N588" s="23"/>
      <c r="O588" s="23"/>
      <c r="P588" s="23"/>
      <c r="Q588" s="19"/>
      <c r="R588" s="17">
        <v>4</v>
      </c>
      <c r="S588" s="17">
        <v>10</v>
      </c>
      <c r="T588" s="16">
        <f t="shared" si="94"/>
        <v>3048</v>
      </c>
      <c r="U588" s="16">
        <f t="shared" si="95"/>
        <v>1219.1999999999998</v>
      </c>
      <c r="V588" s="18">
        <f t="shared" si="92"/>
        <v>3716121.5999999996</v>
      </c>
      <c r="W588" s="18">
        <f t="shared" si="96"/>
        <v>3.7161215999999997</v>
      </c>
      <c r="X588" s="18">
        <f t="shared" si="97"/>
        <v>13.697624217599998</v>
      </c>
      <c r="Y588" s="24">
        <v>35</v>
      </c>
      <c r="Z588" s="24">
        <f t="shared" si="98"/>
        <v>479.41684761599993</v>
      </c>
      <c r="AA588" s="16">
        <v>83</v>
      </c>
      <c r="AB588" s="16">
        <f t="shared" si="90"/>
        <v>2882</v>
      </c>
      <c r="AC588" s="16">
        <f t="shared" si="90"/>
        <v>1053.1999999999998</v>
      </c>
      <c r="AD588" s="19">
        <f t="shared" si="93"/>
        <v>3035322.3999999994</v>
      </c>
      <c r="AE588" s="1" t="s">
        <v>7456</v>
      </c>
      <c r="AF588" s="1" t="str">
        <f>VLOOKUP(AE588,t_objeto!B:C,2,FALSE)</f>
        <v>RAW_MATERIAL</v>
      </c>
      <c r="AG588" s="1">
        <v>8</v>
      </c>
      <c r="AH588" s="1" t="str">
        <f>VLOOKUP(AG588,t_entry_status!A:AE,2,FALSE)</f>
        <v>PENDING</v>
      </c>
      <c r="AI588" s="7">
        <v>45560</v>
      </c>
      <c r="AJ588" s="1" t="s">
        <v>7449</v>
      </c>
      <c r="AK588" s="7">
        <v>45560</v>
      </c>
      <c r="AL588" s="1" t="s">
        <v>7449</v>
      </c>
    </row>
    <row r="589" spans="1:38" s="20" customFormat="1" x14ac:dyDescent="0.25">
      <c r="A589" s="14">
        <v>588</v>
      </c>
      <c r="B589" s="14" t="str">
        <f>_xlfn.CONCAT(AE589,"-",VLOOKUP(AE589,t_objeto!B:D,3,FALSE),"-",A589)</f>
        <v>RRMM-PERCCO-588</v>
      </c>
      <c r="C589" s="22" t="str">
        <f t="shared" si="99"/>
        <v>PLACA__ACERO_ROLADA EN CALIENTE_5'X10'_1"</v>
      </c>
      <c r="D589" s="14" t="s">
        <v>7385</v>
      </c>
      <c r="E589" s="14" t="s">
        <v>7380</v>
      </c>
      <c r="F589" s="21" t="s">
        <v>7386</v>
      </c>
      <c r="G589" s="22" t="s">
        <v>7382</v>
      </c>
      <c r="H589" s="14" t="s">
        <v>7387</v>
      </c>
      <c r="I589" s="16">
        <v>25.4</v>
      </c>
      <c r="J589" s="16">
        <f t="shared" si="91"/>
        <v>1</v>
      </c>
      <c r="K589" s="16">
        <v>199.39</v>
      </c>
      <c r="L589" s="23"/>
      <c r="M589" s="23"/>
      <c r="N589" s="23"/>
      <c r="O589" s="23"/>
      <c r="P589" s="23"/>
      <c r="Q589" s="19"/>
      <c r="R589" s="17">
        <v>5</v>
      </c>
      <c r="S589" s="17">
        <v>10</v>
      </c>
      <c r="T589" s="16">
        <f t="shared" si="94"/>
        <v>3048</v>
      </c>
      <c r="U589" s="16">
        <f t="shared" si="95"/>
        <v>1524</v>
      </c>
      <c r="V589" s="18">
        <f t="shared" si="92"/>
        <v>4645152</v>
      </c>
      <c r="W589" s="18">
        <f t="shared" si="96"/>
        <v>4.6451520000000004</v>
      </c>
      <c r="X589" s="18">
        <f t="shared" si="97"/>
        <v>926.19685728000002</v>
      </c>
      <c r="Y589" s="24">
        <v>35</v>
      </c>
      <c r="Z589" s="24">
        <f t="shared" si="98"/>
        <v>32416.8900048</v>
      </c>
      <c r="AA589" s="16">
        <v>8</v>
      </c>
      <c r="AB589" s="16">
        <f t="shared" si="90"/>
        <v>3032</v>
      </c>
      <c r="AC589" s="16">
        <f t="shared" si="90"/>
        <v>1508</v>
      </c>
      <c r="AD589" s="19">
        <f t="shared" si="93"/>
        <v>4572256</v>
      </c>
      <c r="AE589" s="1" t="s">
        <v>7456</v>
      </c>
      <c r="AF589" s="1" t="str">
        <f>VLOOKUP(AE589,t_objeto!B:C,2,FALSE)</f>
        <v>RAW_MATERIAL</v>
      </c>
      <c r="AG589" s="1">
        <v>8</v>
      </c>
      <c r="AH589" s="1" t="str">
        <f>VLOOKUP(AG589,t_entry_status!A:AE,2,FALSE)</f>
        <v>PENDING</v>
      </c>
      <c r="AI589" s="7">
        <v>45560</v>
      </c>
      <c r="AJ589" s="1" t="s">
        <v>7449</v>
      </c>
      <c r="AK589" s="7">
        <v>45560</v>
      </c>
      <c r="AL589" s="1" t="s">
        <v>7449</v>
      </c>
    </row>
    <row r="590" spans="1:38" s="20" customFormat="1" x14ac:dyDescent="0.25">
      <c r="A590" s="14">
        <v>589</v>
      </c>
      <c r="B590" s="14" t="str">
        <f>_xlfn.CONCAT(AE590,"-",VLOOKUP(AE590,t_objeto!B:D,3,FALSE),"-",A590)</f>
        <v>RRMM-PERCCO-589</v>
      </c>
      <c r="C590" s="22" t="str">
        <f t="shared" si="99"/>
        <v>PLACA__ACERO_ROLADA EN CALIENTE_5'X10'_7/8"</v>
      </c>
      <c r="D590" s="14" t="s">
        <v>7385</v>
      </c>
      <c r="E590" s="14" t="s">
        <v>7380</v>
      </c>
      <c r="F590" s="21" t="s">
        <v>7386</v>
      </c>
      <c r="G590" s="22" t="s">
        <v>7382</v>
      </c>
      <c r="H590" s="14" t="s">
        <v>7388</v>
      </c>
      <c r="I590" s="16">
        <v>22.22</v>
      </c>
      <c r="J590" s="16">
        <f t="shared" si="91"/>
        <v>0.87480314960629924</v>
      </c>
      <c r="K590" s="16">
        <v>174.42699999999999</v>
      </c>
      <c r="L590" s="23"/>
      <c r="M590" s="23"/>
      <c r="N590" s="23"/>
      <c r="O590" s="23"/>
      <c r="P590" s="23"/>
      <c r="Q590" s="19"/>
      <c r="R590" s="17">
        <v>5</v>
      </c>
      <c r="S590" s="17">
        <v>10</v>
      </c>
      <c r="T590" s="16">
        <f t="shared" si="94"/>
        <v>3048</v>
      </c>
      <c r="U590" s="16">
        <f t="shared" si="95"/>
        <v>1524</v>
      </c>
      <c r="V590" s="18">
        <f t="shared" si="92"/>
        <v>4645152</v>
      </c>
      <c r="W590" s="18">
        <f t="shared" si="96"/>
        <v>4.6451520000000004</v>
      </c>
      <c r="X590" s="18">
        <f t="shared" si="97"/>
        <v>810.23992790400007</v>
      </c>
      <c r="Y590" s="24">
        <v>35</v>
      </c>
      <c r="Z590" s="24">
        <f t="shared" si="98"/>
        <v>28358.397476640002</v>
      </c>
      <c r="AA590" s="16">
        <v>9</v>
      </c>
      <c r="AB590" s="16">
        <f t="shared" si="90"/>
        <v>3030</v>
      </c>
      <c r="AC590" s="16">
        <f t="shared" si="90"/>
        <v>1506</v>
      </c>
      <c r="AD590" s="19">
        <f t="shared" si="93"/>
        <v>4563180</v>
      </c>
      <c r="AE590" s="1" t="s">
        <v>7456</v>
      </c>
      <c r="AF590" s="1" t="str">
        <f>VLOOKUP(AE590,t_objeto!B:C,2,FALSE)</f>
        <v>RAW_MATERIAL</v>
      </c>
      <c r="AG590" s="1">
        <v>8</v>
      </c>
      <c r="AH590" s="1" t="str">
        <f>VLOOKUP(AG590,t_entry_status!A:AE,2,FALSE)</f>
        <v>PENDING</v>
      </c>
      <c r="AI590" s="7">
        <v>45560</v>
      </c>
      <c r="AJ590" s="1" t="s">
        <v>7449</v>
      </c>
      <c r="AK590" s="7">
        <v>45560</v>
      </c>
      <c r="AL590" s="1" t="s">
        <v>7449</v>
      </c>
    </row>
    <row r="591" spans="1:38" s="20" customFormat="1" x14ac:dyDescent="0.25">
      <c r="A591" s="14">
        <v>590</v>
      </c>
      <c r="B591" s="14" t="str">
        <f>_xlfn.CONCAT(AE591,"-",VLOOKUP(AE591,t_objeto!B:D,3,FALSE),"-",A591)</f>
        <v>RRMM-PERCCO-590</v>
      </c>
      <c r="C591" s="22" t="str">
        <f t="shared" si="99"/>
        <v>PLACA__ACERO_ROLADA EN CALIENTE_5'X10'_3/4"</v>
      </c>
      <c r="D591" s="14" t="s">
        <v>7385</v>
      </c>
      <c r="E591" s="14" t="s">
        <v>7380</v>
      </c>
      <c r="F591" s="21" t="s">
        <v>7386</v>
      </c>
      <c r="G591" s="22" t="s">
        <v>7382</v>
      </c>
      <c r="H591" s="14" t="s">
        <v>7389</v>
      </c>
      <c r="I591" s="16">
        <v>19.05</v>
      </c>
      <c r="J591" s="16">
        <f t="shared" si="91"/>
        <v>0.75000000000000011</v>
      </c>
      <c r="K591" s="16">
        <v>149.54300000000001</v>
      </c>
      <c r="L591" s="23"/>
      <c r="M591" s="23"/>
      <c r="N591" s="23"/>
      <c r="O591" s="23"/>
      <c r="P591" s="23"/>
      <c r="Q591" s="19"/>
      <c r="R591" s="17">
        <v>5</v>
      </c>
      <c r="S591" s="17">
        <v>10</v>
      </c>
      <c r="T591" s="16">
        <f t="shared" si="94"/>
        <v>3048</v>
      </c>
      <c r="U591" s="16">
        <f t="shared" si="95"/>
        <v>1524</v>
      </c>
      <c r="V591" s="18">
        <f t="shared" si="92"/>
        <v>4645152</v>
      </c>
      <c r="W591" s="18">
        <f t="shared" si="96"/>
        <v>4.6451520000000004</v>
      </c>
      <c r="X591" s="18">
        <f t="shared" si="97"/>
        <v>694.64996553600008</v>
      </c>
      <c r="Y591" s="24">
        <v>35</v>
      </c>
      <c r="Z591" s="24">
        <f t="shared" si="98"/>
        <v>24312.748793760002</v>
      </c>
      <c r="AA591" s="16">
        <v>10</v>
      </c>
      <c r="AB591" s="16">
        <f t="shared" si="90"/>
        <v>3028</v>
      </c>
      <c r="AC591" s="16">
        <f t="shared" si="90"/>
        <v>1504</v>
      </c>
      <c r="AD591" s="19">
        <f t="shared" si="93"/>
        <v>4554112</v>
      </c>
      <c r="AE591" s="1" t="s">
        <v>7456</v>
      </c>
      <c r="AF591" s="1" t="str">
        <f>VLOOKUP(AE591,t_objeto!B:C,2,FALSE)</f>
        <v>RAW_MATERIAL</v>
      </c>
      <c r="AG591" s="1">
        <v>8</v>
      </c>
      <c r="AH591" s="1" t="str">
        <f>VLOOKUP(AG591,t_entry_status!A:AE,2,FALSE)</f>
        <v>PENDING</v>
      </c>
      <c r="AI591" s="7">
        <v>45560</v>
      </c>
      <c r="AJ591" s="1" t="s">
        <v>7449</v>
      </c>
      <c r="AK591" s="7">
        <v>45560</v>
      </c>
      <c r="AL591" s="1" t="s">
        <v>7449</v>
      </c>
    </row>
    <row r="592" spans="1:38" s="20" customFormat="1" x14ac:dyDescent="0.25">
      <c r="A592" s="14">
        <v>591</v>
      </c>
      <c r="B592" s="14" t="str">
        <f>_xlfn.CONCAT(AE592,"-",VLOOKUP(AE592,t_objeto!B:D,3,FALSE),"-",A592)</f>
        <v>RRMM-PERCCO-591</v>
      </c>
      <c r="C592" s="22" t="str">
        <f t="shared" si="99"/>
        <v>PLACA__ACERO_ROLADA EN CALIENTE_5'X10'_11/16"</v>
      </c>
      <c r="D592" s="14" t="s">
        <v>7385</v>
      </c>
      <c r="E592" s="14" t="s">
        <v>7380</v>
      </c>
      <c r="F592" s="21" t="s">
        <v>7386</v>
      </c>
      <c r="G592" s="22" t="s">
        <v>7382</v>
      </c>
      <c r="H592" s="14" t="s">
        <v>7390</v>
      </c>
      <c r="I592" s="16">
        <v>17.46</v>
      </c>
      <c r="J592" s="16">
        <f t="shared" si="91"/>
        <v>0.68740157480314967</v>
      </c>
      <c r="K592" s="16">
        <v>137.06100000000001</v>
      </c>
      <c r="L592" s="23"/>
      <c r="M592" s="23"/>
      <c r="N592" s="23"/>
      <c r="O592" s="23"/>
      <c r="P592" s="23"/>
      <c r="Q592" s="19"/>
      <c r="R592" s="17">
        <v>5</v>
      </c>
      <c r="S592" s="17">
        <v>10</v>
      </c>
      <c r="T592" s="16">
        <f t="shared" si="94"/>
        <v>3048</v>
      </c>
      <c r="U592" s="16">
        <f t="shared" si="95"/>
        <v>1524</v>
      </c>
      <c r="V592" s="18">
        <f t="shared" si="92"/>
        <v>4645152</v>
      </c>
      <c r="W592" s="18">
        <f t="shared" si="96"/>
        <v>4.6451520000000004</v>
      </c>
      <c r="X592" s="18">
        <f t="shared" si="97"/>
        <v>636.66917827200007</v>
      </c>
      <c r="Y592" s="24">
        <v>35</v>
      </c>
      <c r="Z592" s="24">
        <f t="shared" si="98"/>
        <v>22283.421239520001</v>
      </c>
      <c r="AA592" s="16">
        <v>11</v>
      </c>
      <c r="AB592" s="16">
        <f t="shared" ref="AB592:AC614" si="100">T592-($AA592*2)</f>
        <v>3026</v>
      </c>
      <c r="AC592" s="16">
        <f t="shared" si="100"/>
        <v>1502</v>
      </c>
      <c r="AD592" s="19">
        <f t="shared" si="93"/>
        <v>4545052</v>
      </c>
      <c r="AE592" s="1" t="s">
        <v>7456</v>
      </c>
      <c r="AF592" s="1" t="str">
        <f>VLOOKUP(AE592,t_objeto!B:C,2,FALSE)</f>
        <v>RAW_MATERIAL</v>
      </c>
      <c r="AG592" s="1">
        <v>8</v>
      </c>
      <c r="AH592" s="1" t="str">
        <f>VLOOKUP(AG592,t_entry_status!A:AE,2,FALSE)</f>
        <v>PENDING</v>
      </c>
      <c r="AI592" s="7">
        <v>45560</v>
      </c>
      <c r="AJ592" s="1" t="s">
        <v>7449</v>
      </c>
      <c r="AK592" s="7">
        <v>45560</v>
      </c>
      <c r="AL592" s="1" t="s">
        <v>7449</v>
      </c>
    </row>
    <row r="593" spans="1:38" s="20" customFormat="1" x14ac:dyDescent="0.25">
      <c r="A593" s="14">
        <v>592</v>
      </c>
      <c r="B593" s="14" t="str">
        <f>_xlfn.CONCAT(AE593,"-",VLOOKUP(AE593,t_objeto!B:D,3,FALSE),"-",A593)</f>
        <v>RRMM-PERCCO-592</v>
      </c>
      <c r="C593" s="22" t="str">
        <f t="shared" si="99"/>
        <v>PLACA__ACERO_ROLADA EN CALIENTE_5'X10'_5/8"</v>
      </c>
      <c r="D593" s="14" t="s">
        <v>7385</v>
      </c>
      <c r="E593" s="14" t="s">
        <v>7380</v>
      </c>
      <c r="F593" s="21" t="s">
        <v>7386</v>
      </c>
      <c r="G593" s="22" t="s">
        <v>7382</v>
      </c>
      <c r="H593" s="14" t="s">
        <v>7391</v>
      </c>
      <c r="I593" s="16">
        <v>15.87</v>
      </c>
      <c r="J593" s="16">
        <f t="shared" si="91"/>
        <v>0.62480314960629924</v>
      </c>
      <c r="K593" s="16">
        <v>124.58</v>
      </c>
      <c r="L593" s="23"/>
      <c r="M593" s="23"/>
      <c r="N593" s="23"/>
      <c r="O593" s="23"/>
      <c r="P593" s="23"/>
      <c r="Q593" s="19"/>
      <c r="R593" s="17">
        <v>5</v>
      </c>
      <c r="S593" s="17">
        <v>10</v>
      </c>
      <c r="T593" s="16">
        <f t="shared" si="94"/>
        <v>3048</v>
      </c>
      <c r="U593" s="16">
        <f t="shared" si="95"/>
        <v>1524</v>
      </c>
      <c r="V593" s="18">
        <f t="shared" si="92"/>
        <v>4645152</v>
      </c>
      <c r="W593" s="18">
        <f t="shared" si="96"/>
        <v>4.6451520000000004</v>
      </c>
      <c r="X593" s="18">
        <f t="shared" si="97"/>
        <v>578.69303616000002</v>
      </c>
      <c r="Y593" s="24">
        <v>35</v>
      </c>
      <c r="Z593" s="24">
        <f t="shared" si="98"/>
        <v>20254.256265600001</v>
      </c>
      <c r="AA593" s="16">
        <v>12</v>
      </c>
      <c r="AB593" s="16">
        <f t="shared" si="100"/>
        <v>3024</v>
      </c>
      <c r="AC593" s="16">
        <f t="shared" si="100"/>
        <v>1500</v>
      </c>
      <c r="AD593" s="19">
        <f t="shared" si="93"/>
        <v>4536000</v>
      </c>
      <c r="AE593" s="1" t="s">
        <v>7456</v>
      </c>
      <c r="AF593" s="1" t="str">
        <f>VLOOKUP(AE593,t_objeto!B:C,2,FALSE)</f>
        <v>RAW_MATERIAL</v>
      </c>
      <c r="AG593" s="1">
        <v>8</v>
      </c>
      <c r="AH593" s="1" t="str">
        <f>VLOOKUP(AG593,t_entry_status!A:AE,2,FALSE)</f>
        <v>PENDING</v>
      </c>
      <c r="AI593" s="7">
        <v>45560</v>
      </c>
      <c r="AJ593" s="1" t="s">
        <v>7449</v>
      </c>
      <c r="AK593" s="7">
        <v>45560</v>
      </c>
      <c r="AL593" s="1" t="s">
        <v>7449</v>
      </c>
    </row>
    <row r="594" spans="1:38" s="20" customFormat="1" x14ac:dyDescent="0.25">
      <c r="A594" s="14">
        <v>593</v>
      </c>
      <c r="B594" s="14" t="str">
        <f>_xlfn.CONCAT(AE594,"-",VLOOKUP(AE594,t_objeto!B:D,3,FALSE),"-",A594)</f>
        <v>RRMM-PERCCO-593</v>
      </c>
      <c r="C594" s="22" t="str">
        <f t="shared" si="99"/>
        <v>PLACA__ACERO_ROLADA EN CALIENTE_5'X10'_9/16"</v>
      </c>
      <c r="D594" s="14" t="s">
        <v>7385</v>
      </c>
      <c r="E594" s="14" t="s">
        <v>7380</v>
      </c>
      <c r="F594" s="21" t="s">
        <v>7386</v>
      </c>
      <c r="G594" s="22" t="s">
        <v>7382</v>
      </c>
      <c r="H594" s="14" t="s">
        <v>7392</v>
      </c>
      <c r="I594" s="16">
        <v>14.28</v>
      </c>
      <c r="J594" s="16">
        <f t="shared" si="91"/>
        <v>0.5622047244094488</v>
      </c>
      <c r="K594" s="16">
        <v>112.098</v>
      </c>
      <c r="L594" s="23"/>
      <c r="M594" s="23"/>
      <c r="N594" s="23"/>
      <c r="O594" s="23"/>
      <c r="P594" s="23"/>
      <c r="Q594" s="19"/>
      <c r="R594" s="17">
        <v>5</v>
      </c>
      <c r="S594" s="17">
        <v>10</v>
      </c>
      <c r="T594" s="16">
        <f t="shared" si="94"/>
        <v>3048</v>
      </c>
      <c r="U594" s="16">
        <f t="shared" si="95"/>
        <v>1524</v>
      </c>
      <c r="V594" s="18">
        <f t="shared" si="92"/>
        <v>4645152</v>
      </c>
      <c r="W594" s="18">
        <f t="shared" si="96"/>
        <v>4.6451520000000004</v>
      </c>
      <c r="X594" s="18">
        <f t="shared" si="97"/>
        <v>520.71224889600001</v>
      </c>
      <c r="Y594" s="24">
        <v>35</v>
      </c>
      <c r="Z594" s="24">
        <f t="shared" si="98"/>
        <v>18224.92871136</v>
      </c>
      <c r="AA594" s="16">
        <v>13</v>
      </c>
      <c r="AB594" s="16">
        <f t="shared" si="100"/>
        <v>3022</v>
      </c>
      <c r="AC594" s="16">
        <f t="shared" si="100"/>
        <v>1498</v>
      </c>
      <c r="AD594" s="19">
        <f t="shared" si="93"/>
        <v>4526956</v>
      </c>
      <c r="AE594" s="1" t="s">
        <v>7456</v>
      </c>
      <c r="AF594" s="1" t="str">
        <f>VLOOKUP(AE594,t_objeto!B:C,2,FALSE)</f>
        <v>RAW_MATERIAL</v>
      </c>
      <c r="AG594" s="1">
        <v>8</v>
      </c>
      <c r="AH594" s="1" t="str">
        <f>VLOOKUP(AG594,t_entry_status!A:AE,2,FALSE)</f>
        <v>PENDING</v>
      </c>
      <c r="AI594" s="7">
        <v>45560</v>
      </c>
      <c r="AJ594" s="1" t="s">
        <v>7449</v>
      </c>
      <c r="AK594" s="7">
        <v>45560</v>
      </c>
      <c r="AL594" s="1" t="s">
        <v>7449</v>
      </c>
    </row>
    <row r="595" spans="1:38" s="20" customFormat="1" x14ac:dyDescent="0.25">
      <c r="A595" s="14">
        <v>594</v>
      </c>
      <c r="B595" s="14" t="str">
        <f>_xlfn.CONCAT(AE595,"-",VLOOKUP(AE595,t_objeto!B:D,3,FALSE),"-",A595)</f>
        <v>RRMM-PERCCO-594</v>
      </c>
      <c r="C595" s="22" t="str">
        <f t="shared" si="99"/>
        <v>PLACA__ACERO_ROLADA EN CALIENTE_5'X10'_1/2"</v>
      </c>
      <c r="D595" s="14" t="s">
        <v>7385</v>
      </c>
      <c r="E595" s="14" t="s">
        <v>7380</v>
      </c>
      <c r="F595" s="21" t="s">
        <v>7386</v>
      </c>
      <c r="G595" s="22" t="s">
        <v>7382</v>
      </c>
      <c r="H595" s="14" t="s">
        <v>7393</v>
      </c>
      <c r="I595" s="16">
        <v>12.7</v>
      </c>
      <c r="J595" s="16">
        <f t="shared" ref="J595:J658" si="101">I595/25.4</f>
        <v>0.5</v>
      </c>
      <c r="K595" s="16">
        <v>99.694999999999993</v>
      </c>
      <c r="L595" s="23"/>
      <c r="M595" s="23"/>
      <c r="N595" s="23"/>
      <c r="O595" s="23"/>
      <c r="P595" s="23"/>
      <c r="Q595" s="19"/>
      <c r="R595" s="17">
        <v>5</v>
      </c>
      <c r="S595" s="17">
        <v>10</v>
      </c>
      <c r="T595" s="16">
        <f t="shared" si="94"/>
        <v>3048</v>
      </c>
      <c r="U595" s="16">
        <f t="shared" si="95"/>
        <v>1524</v>
      </c>
      <c r="V595" s="18">
        <f t="shared" si="92"/>
        <v>4645152</v>
      </c>
      <c r="W595" s="18">
        <f t="shared" si="96"/>
        <v>4.6451520000000004</v>
      </c>
      <c r="X595" s="18">
        <f t="shared" si="97"/>
        <v>463.09842864000001</v>
      </c>
      <c r="Y595" s="24">
        <v>35</v>
      </c>
      <c r="Z595" s="24">
        <f t="shared" si="98"/>
        <v>16208.4450024</v>
      </c>
      <c r="AA595" s="16">
        <v>14</v>
      </c>
      <c r="AB595" s="16">
        <f t="shared" si="100"/>
        <v>3020</v>
      </c>
      <c r="AC595" s="16">
        <f t="shared" si="100"/>
        <v>1496</v>
      </c>
      <c r="AD595" s="19">
        <f t="shared" si="93"/>
        <v>4517920</v>
      </c>
      <c r="AE595" s="1" t="s">
        <v>7456</v>
      </c>
      <c r="AF595" s="1" t="str">
        <f>VLOOKUP(AE595,t_objeto!B:C,2,FALSE)</f>
        <v>RAW_MATERIAL</v>
      </c>
      <c r="AG595" s="1">
        <v>8</v>
      </c>
      <c r="AH595" s="1" t="str">
        <f>VLOOKUP(AG595,t_entry_status!A:AE,2,FALSE)</f>
        <v>PENDING</v>
      </c>
      <c r="AI595" s="7">
        <v>45560</v>
      </c>
      <c r="AJ595" s="1" t="s">
        <v>7449</v>
      </c>
      <c r="AK595" s="7">
        <v>45560</v>
      </c>
      <c r="AL595" s="1" t="s">
        <v>7449</v>
      </c>
    </row>
    <row r="596" spans="1:38" s="20" customFormat="1" x14ac:dyDescent="0.25">
      <c r="A596" s="14">
        <v>595</v>
      </c>
      <c r="B596" s="14" t="str">
        <f>_xlfn.CONCAT(AE596,"-",VLOOKUP(AE596,t_objeto!B:D,3,FALSE),"-",A596)</f>
        <v>RRMM-PERCCO-595</v>
      </c>
      <c r="C596" s="22" t="str">
        <f t="shared" si="99"/>
        <v>PLACA__ACERO_ROLADA EN CALIENTE_5'X10'_7/16"</v>
      </c>
      <c r="D596" s="14" t="s">
        <v>7385</v>
      </c>
      <c r="E596" s="14" t="s">
        <v>7380</v>
      </c>
      <c r="F596" s="21" t="s">
        <v>7386</v>
      </c>
      <c r="G596" s="22" t="s">
        <v>7382</v>
      </c>
      <c r="H596" s="14" t="s">
        <v>7394</v>
      </c>
      <c r="I596" s="16">
        <v>11.11</v>
      </c>
      <c r="J596" s="16">
        <f t="shared" si="101"/>
        <v>0.43740157480314962</v>
      </c>
      <c r="K596" s="16">
        <v>87.213999999999999</v>
      </c>
      <c r="L596" s="23"/>
      <c r="M596" s="23"/>
      <c r="N596" s="23"/>
      <c r="O596" s="23"/>
      <c r="P596" s="23"/>
      <c r="Q596" s="19"/>
      <c r="R596" s="17">
        <v>5</v>
      </c>
      <c r="S596" s="17">
        <v>10</v>
      </c>
      <c r="T596" s="16">
        <f t="shared" si="94"/>
        <v>3048</v>
      </c>
      <c r="U596" s="16">
        <f t="shared" si="95"/>
        <v>1524</v>
      </c>
      <c r="V596" s="18">
        <f t="shared" si="92"/>
        <v>4645152</v>
      </c>
      <c r="W596" s="18">
        <f t="shared" si="96"/>
        <v>4.6451520000000004</v>
      </c>
      <c r="X596" s="18">
        <f t="shared" si="97"/>
        <v>405.12228652800002</v>
      </c>
      <c r="Y596" s="24">
        <v>35</v>
      </c>
      <c r="Z596" s="24">
        <f t="shared" si="98"/>
        <v>14179.280028480001</v>
      </c>
      <c r="AA596" s="16">
        <v>15</v>
      </c>
      <c r="AB596" s="16">
        <f t="shared" si="100"/>
        <v>3018</v>
      </c>
      <c r="AC596" s="16">
        <f t="shared" si="100"/>
        <v>1494</v>
      </c>
      <c r="AD596" s="19">
        <f t="shared" si="93"/>
        <v>4508892</v>
      </c>
      <c r="AE596" s="1" t="s">
        <v>7456</v>
      </c>
      <c r="AF596" s="1" t="str">
        <f>VLOOKUP(AE596,t_objeto!B:C,2,FALSE)</f>
        <v>RAW_MATERIAL</v>
      </c>
      <c r="AG596" s="1">
        <v>8</v>
      </c>
      <c r="AH596" s="1" t="str">
        <f>VLOOKUP(AG596,t_entry_status!A:AE,2,FALSE)</f>
        <v>PENDING</v>
      </c>
      <c r="AI596" s="7">
        <v>45560</v>
      </c>
      <c r="AJ596" s="1" t="s">
        <v>7449</v>
      </c>
      <c r="AK596" s="7">
        <v>45560</v>
      </c>
      <c r="AL596" s="1" t="s">
        <v>7449</v>
      </c>
    </row>
    <row r="597" spans="1:38" s="20" customFormat="1" x14ac:dyDescent="0.25">
      <c r="A597" s="14">
        <v>596</v>
      </c>
      <c r="B597" s="14" t="str">
        <f>_xlfn.CONCAT(AE597,"-",VLOOKUP(AE597,t_objeto!B:D,3,FALSE),"-",A597)</f>
        <v>RRMM-PERCCO-596</v>
      </c>
      <c r="C597" s="22" t="str">
        <f t="shared" si="99"/>
        <v>PLACA__ACERO_ROLADA EN CALIENTE_5'X10'_3/8"</v>
      </c>
      <c r="D597" s="14" t="s">
        <v>7385</v>
      </c>
      <c r="E597" s="14" t="s">
        <v>7380</v>
      </c>
      <c r="F597" s="21" t="s">
        <v>7386</v>
      </c>
      <c r="G597" s="22" t="s">
        <v>7382</v>
      </c>
      <c r="H597" s="14" t="s">
        <v>7395</v>
      </c>
      <c r="I597" s="16">
        <v>9.52</v>
      </c>
      <c r="J597" s="16">
        <f t="shared" si="101"/>
        <v>0.37480314960629924</v>
      </c>
      <c r="K597" s="16">
        <v>74.731999999999999</v>
      </c>
      <c r="L597" s="23"/>
      <c r="M597" s="23"/>
      <c r="N597" s="23"/>
      <c r="O597" s="23"/>
      <c r="P597" s="23"/>
      <c r="Q597" s="19"/>
      <c r="R597" s="17">
        <v>5</v>
      </c>
      <c r="S597" s="17">
        <v>10</v>
      </c>
      <c r="T597" s="16">
        <f t="shared" si="94"/>
        <v>3048</v>
      </c>
      <c r="U597" s="16">
        <f t="shared" si="95"/>
        <v>1524</v>
      </c>
      <c r="V597" s="18">
        <f t="shared" ref="V597:V660" si="102">T597*U597</f>
        <v>4645152</v>
      </c>
      <c r="W597" s="18">
        <f t="shared" si="96"/>
        <v>4.6451520000000004</v>
      </c>
      <c r="X597" s="18">
        <f t="shared" si="97"/>
        <v>347.141499264</v>
      </c>
      <c r="Y597" s="24">
        <v>35</v>
      </c>
      <c r="Z597" s="24">
        <f t="shared" si="98"/>
        <v>12149.952474240001</v>
      </c>
      <c r="AA597" s="16">
        <v>16</v>
      </c>
      <c r="AB597" s="16">
        <f t="shared" si="100"/>
        <v>3016</v>
      </c>
      <c r="AC597" s="16">
        <f t="shared" si="100"/>
        <v>1492</v>
      </c>
      <c r="AD597" s="19">
        <f t="shared" ref="AD597:AD660" si="103">AB597*AC597</f>
        <v>4499872</v>
      </c>
      <c r="AE597" s="1" t="s">
        <v>7456</v>
      </c>
      <c r="AF597" s="1" t="str">
        <f>VLOOKUP(AE597,t_objeto!B:C,2,FALSE)</f>
        <v>RAW_MATERIAL</v>
      </c>
      <c r="AG597" s="1">
        <v>8</v>
      </c>
      <c r="AH597" s="1" t="str">
        <f>VLOOKUP(AG597,t_entry_status!A:AE,2,FALSE)</f>
        <v>PENDING</v>
      </c>
      <c r="AI597" s="7">
        <v>45560</v>
      </c>
      <c r="AJ597" s="1" t="s">
        <v>7449</v>
      </c>
      <c r="AK597" s="7">
        <v>45560</v>
      </c>
      <c r="AL597" s="1" t="s">
        <v>7449</v>
      </c>
    </row>
    <row r="598" spans="1:38" s="20" customFormat="1" x14ac:dyDescent="0.25">
      <c r="A598" s="14">
        <v>597</v>
      </c>
      <c r="B598" s="14" t="str">
        <f>_xlfn.CONCAT(AE598,"-",VLOOKUP(AE598,t_objeto!B:D,3,FALSE),"-",A598)</f>
        <v>RRMM-PERCCO-597</v>
      </c>
      <c r="C598" s="22" t="str">
        <f t="shared" si="99"/>
        <v>PLACA__ACERO_ROLADA EN CALIENTE_5'X10'_5/16"</v>
      </c>
      <c r="D598" s="14" t="s">
        <v>7385</v>
      </c>
      <c r="E598" s="14" t="s">
        <v>7380</v>
      </c>
      <c r="F598" s="21" t="s">
        <v>7386</v>
      </c>
      <c r="G598" s="22" t="s">
        <v>7382</v>
      </c>
      <c r="H598" s="14" t="s">
        <v>7396</v>
      </c>
      <c r="I598" s="16">
        <v>7.93</v>
      </c>
      <c r="J598" s="16">
        <f t="shared" si="101"/>
        <v>0.31220472440944885</v>
      </c>
      <c r="K598" s="16">
        <v>62.250999999999998</v>
      </c>
      <c r="L598" s="23"/>
      <c r="M598" s="23"/>
      <c r="N598" s="23"/>
      <c r="O598" s="23"/>
      <c r="P598" s="23"/>
      <c r="Q598" s="19"/>
      <c r="R598" s="17">
        <v>5</v>
      </c>
      <c r="S598" s="17">
        <v>10</v>
      </c>
      <c r="T598" s="16">
        <f t="shared" si="94"/>
        <v>3048</v>
      </c>
      <c r="U598" s="16">
        <f t="shared" si="95"/>
        <v>1524</v>
      </c>
      <c r="V598" s="18">
        <f t="shared" si="102"/>
        <v>4645152</v>
      </c>
      <c r="W598" s="18">
        <f t="shared" si="96"/>
        <v>4.6451520000000004</v>
      </c>
      <c r="X598" s="18">
        <f t="shared" si="97"/>
        <v>289.16535715200001</v>
      </c>
      <c r="Y598" s="24">
        <v>35</v>
      </c>
      <c r="Z598" s="24">
        <f t="shared" si="98"/>
        <v>10120.787500320001</v>
      </c>
      <c r="AA598" s="16">
        <v>17</v>
      </c>
      <c r="AB598" s="16">
        <f t="shared" si="100"/>
        <v>3014</v>
      </c>
      <c r="AC598" s="16">
        <f t="shared" si="100"/>
        <v>1490</v>
      </c>
      <c r="AD598" s="19">
        <f t="shared" si="103"/>
        <v>4490860</v>
      </c>
      <c r="AE598" s="1" t="s">
        <v>7456</v>
      </c>
      <c r="AF598" s="1" t="str">
        <f>VLOOKUP(AE598,t_objeto!B:C,2,FALSE)</f>
        <v>RAW_MATERIAL</v>
      </c>
      <c r="AG598" s="1">
        <v>8</v>
      </c>
      <c r="AH598" s="1" t="str">
        <f>VLOOKUP(AG598,t_entry_status!A:AE,2,FALSE)</f>
        <v>PENDING</v>
      </c>
      <c r="AI598" s="7">
        <v>45560</v>
      </c>
      <c r="AJ598" s="1" t="s">
        <v>7449</v>
      </c>
      <c r="AK598" s="7">
        <v>45560</v>
      </c>
      <c r="AL598" s="1" t="s">
        <v>7449</v>
      </c>
    </row>
    <row r="599" spans="1:38" s="20" customFormat="1" x14ac:dyDescent="0.25">
      <c r="A599" s="14">
        <v>598</v>
      </c>
      <c r="B599" s="14" t="str">
        <f>_xlfn.CONCAT(AE599,"-",VLOOKUP(AE599,t_objeto!B:D,3,FALSE),"-",A599)</f>
        <v>RRMM-PERCCO-598</v>
      </c>
      <c r="C599" s="22" t="str">
        <f t="shared" si="99"/>
        <v>PLACA__ACERO_ROLADA EN CALIENTE_5'X10'_1/4"</v>
      </c>
      <c r="D599" s="14" t="s">
        <v>7385</v>
      </c>
      <c r="E599" s="14" t="s">
        <v>7380</v>
      </c>
      <c r="F599" s="21" t="s">
        <v>7386</v>
      </c>
      <c r="G599" s="22" t="s">
        <v>7382</v>
      </c>
      <c r="H599" s="14" t="s">
        <v>7397</v>
      </c>
      <c r="I599" s="16">
        <v>6.35</v>
      </c>
      <c r="J599" s="16">
        <f t="shared" si="101"/>
        <v>0.25</v>
      </c>
      <c r="K599" s="16">
        <v>49.847999999999999</v>
      </c>
      <c r="L599" s="23"/>
      <c r="M599" s="23"/>
      <c r="N599" s="23"/>
      <c r="O599" s="23"/>
      <c r="P599" s="23"/>
      <c r="Q599" s="19"/>
      <c r="R599" s="17">
        <v>5</v>
      </c>
      <c r="S599" s="17">
        <v>10</v>
      </c>
      <c r="T599" s="16">
        <f t="shared" si="94"/>
        <v>3048</v>
      </c>
      <c r="U599" s="16">
        <f t="shared" si="95"/>
        <v>1524</v>
      </c>
      <c r="V599" s="18">
        <f t="shared" si="102"/>
        <v>4645152</v>
      </c>
      <c r="W599" s="18">
        <f t="shared" si="96"/>
        <v>4.6451520000000004</v>
      </c>
      <c r="X599" s="18">
        <f t="shared" si="97"/>
        <v>231.55153689600002</v>
      </c>
      <c r="Y599" s="24">
        <v>35</v>
      </c>
      <c r="Z599" s="24">
        <f t="shared" si="98"/>
        <v>8104.3037913600001</v>
      </c>
      <c r="AA599" s="16">
        <v>18</v>
      </c>
      <c r="AB599" s="16">
        <f t="shared" si="100"/>
        <v>3012</v>
      </c>
      <c r="AC599" s="16">
        <f t="shared" si="100"/>
        <v>1488</v>
      </c>
      <c r="AD599" s="19">
        <f t="shared" si="103"/>
        <v>4481856</v>
      </c>
      <c r="AE599" s="1" t="s">
        <v>7456</v>
      </c>
      <c r="AF599" s="1" t="str">
        <f>VLOOKUP(AE599,t_objeto!B:C,2,FALSE)</f>
        <v>RAW_MATERIAL</v>
      </c>
      <c r="AG599" s="1">
        <v>8</v>
      </c>
      <c r="AH599" s="1" t="str">
        <f>VLOOKUP(AG599,t_entry_status!A:AE,2,FALSE)</f>
        <v>PENDING</v>
      </c>
      <c r="AI599" s="7">
        <v>45560</v>
      </c>
      <c r="AJ599" s="1" t="s">
        <v>7449</v>
      </c>
      <c r="AK599" s="7">
        <v>45560</v>
      </c>
      <c r="AL599" s="1" t="s">
        <v>7449</v>
      </c>
    </row>
    <row r="600" spans="1:38" s="20" customFormat="1" x14ac:dyDescent="0.25">
      <c r="A600" s="14">
        <v>599</v>
      </c>
      <c r="B600" s="14" t="str">
        <f>_xlfn.CONCAT(AE600,"-",VLOOKUP(AE600,t_objeto!B:D,3,FALSE),"-",A600)</f>
        <v>RRMM-PERCCO-599</v>
      </c>
      <c r="C600" s="22" t="str">
        <f t="shared" si="99"/>
        <v>PLACA__ACERO_ROLADA EN CALIENTE_5'X10'_3/16"</v>
      </c>
      <c r="D600" s="14" t="s">
        <v>7385</v>
      </c>
      <c r="E600" s="14" t="s">
        <v>7380</v>
      </c>
      <c r="F600" s="21" t="s">
        <v>7386</v>
      </c>
      <c r="G600" s="22" t="s">
        <v>7382</v>
      </c>
      <c r="H600" s="14" t="s">
        <v>7398</v>
      </c>
      <c r="I600" s="16">
        <v>4.76</v>
      </c>
      <c r="J600" s="16">
        <f t="shared" si="101"/>
        <v>0.18740157480314962</v>
      </c>
      <c r="K600" s="16">
        <v>37.366</v>
      </c>
      <c r="L600" s="23"/>
      <c r="M600" s="23"/>
      <c r="N600" s="23"/>
      <c r="O600" s="23"/>
      <c r="P600" s="23"/>
      <c r="Q600" s="19"/>
      <c r="R600" s="17">
        <v>5</v>
      </c>
      <c r="S600" s="17">
        <v>10</v>
      </c>
      <c r="T600" s="16">
        <f t="shared" si="94"/>
        <v>3048</v>
      </c>
      <c r="U600" s="16">
        <f t="shared" si="95"/>
        <v>1524</v>
      </c>
      <c r="V600" s="18">
        <f t="shared" si="102"/>
        <v>4645152</v>
      </c>
      <c r="W600" s="18">
        <f t="shared" si="96"/>
        <v>4.6451520000000004</v>
      </c>
      <c r="X600" s="18">
        <f t="shared" si="97"/>
        <v>173.570749632</v>
      </c>
      <c r="Y600" s="24">
        <v>35</v>
      </c>
      <c r="Z600" s="24">
        <f t="shared" si="98"/>
        <v>6074.9762371200004</v>
      </c>
      <c r="AA600" s="16">
        <v>19</v>
      </c>
      <c r="AB600" s="16">
        <f t="shared" si="100"/>
        <v>3010</v>
      </c>
      <c r="AC600" s="16">
        <f t="shared" si="100"/>
        <v>1486</v>
      </c>
      <c r="AD600" s="19">
        <f t="shared" si="103"/>
        <v>4472860</v>
      </c>
      <c r="AE600" s="1" t="s">
        <v>7456</v>
      </c>
      <c r="AF600" s="1" t="str">
        <f>VLOOKUP(AE600,t_objeto!B:C,2,FALSE)</f>
        <v>RAW_MATERIAL</v>
      </c>
      <c r="AG600" s="1">
        <v>8</v>
      </c>
      <c r="AH600" s="1" t="str">
        <f>VLOOKUP(AG600,t_entry_status!A:AE,2,FALSE)</f>
        <v>PENDING</v>
      </c>
      <c r="AI600" s="7">
        <v>45560</v>
      </c>
      <c r="AJ600" s="1" t="s">
        <v>7449</v>
      </c>
      <c r="AK600" s="7">
        <v>45560</v>
      </c>
      <c r="AL600" s="1" t="s">
        <v>7449</v>
      </c>
    </row>
    <row r="601" spans="1:38" s="20" customFormat="1" x14ac:dyDescent="0.25">
      <c r="A601" s="14">
        <v>600</v>
      </c>
      <c r="B601" s="14" t="str">
        <f>_xlfn.CONCAT(AE601,"-",VLOOKUP(AE601,t_objeto!B:D,3,FALSE),"-",A601)</f>
        <v>RRMM-PERCCO-600</v>
      </c>
      <c r="C601" s="22" t="str">
        <f t="shared" si="99"/>
        <v>LAMINA_LISA__ACERO_ROLADA EN CALIENTE_5'X10'_4</v>
      </c>
      <c r="D601" s="14" t="s">
        <v>7407</v>
      </c>
      <c r="E601" s="14" t="s">
        <v>7380</v>
      </c>
      <c r="F601" s="21" t="s">
        <v>7386</v>
      </c>
      <c r="G601" s="22" t="s">
        <v>7382</v>
      </c>
      <c r="H601" s="14">
        <v>4</v>
      </c>
      <c r="I601" s="16">
        <v>5.69</v>
      </c>
      <c r="J601" s="16">
        <f t="shared" si="101"/>
        <v>0.2240157480314961</v>
      </c>
      <c r="K601" s="16">
        <v>44.667000000000002</v>
      </c>
      <c r="L601" s="23"/>
      <c r="M601" s="23"/>
      <c r="N601" s="23"/>
      <c r="O601" s="23"/>
      <c r="P601" s="23"/>
      <c r="Q601" s="19"/>
      <c r="R601" s="17">
        <v>5</v>
      </c>
      <c r="S601" s="17">
        <v>10</v>
      </c>
      <c r="T601" s="16">
        <f t="shared" si="94"/>
        <v>3048</v>
      </c>
      <c r="U601" s="16">
        <f t="shared" si="95"/>
        <v>1524</v>
      </c>
      <c r="V601" s="18">
        <f t="shared" si="102"/>
        <v>4645152</v>
      </c>
      <c r="W601" s="18">
        <f t="shared" si="96"/>
        <v>4.6451520000000004</v>
      </c>
      <c r="X601" s="18">
        <f t="shared" si="97"/>
        <v>207.48500438400004</v>
      </c>
      <c r="Y601" s="24">
        <v>35</v>
      </c>
      <c r="Z601" s="24">
        <f t="shared" si="98"/>
        <v>7261.9751534400011</v>
      </c>
      <c r="AA601" s="16">
        <v>20</v>
      </c>
      <c r="AB601" s="16">
        <f t="shared" si="100"/>
        <v>3008</v>
      </c>
      <c r="AC601" s="16">
        <f t="shared" si="100"/>
        <v>1484</v>
      </c>
      <c r="AD601" s="19">
        <f t="shared" si="103"/>
        <v>4463872</v>
      </c>
      <c r="AE601" s="1" t="s">
        <v>7456</v>
      </c>
      <c r="AF601" s="1" t="str">
        <f>VLOOKUP(AE601,t_objeto!B:C,2,FALSE)</f>
        <v>RAW_MATERIAL</v>
      </c>
      <c r="AG601" s="1">
        <v>8</v>
      </c>
      <c r="AH601" s="1" t="str">
        <f>VLOOKUP(AG601,t_entry_status!A:AE,2,FALSE)</f>
        <v>PENDING</v>
      </c>
      <c r="AI601" s="7">
        <v>45560</v>
      </c>
      <c r="AJ601" s="1" t="s">
        <v>7449</v>
      </c>
      <c r="AK601" s="7">
        <v>45560</v>
      </c>
      <c r="AL601" s="1" t="s">
        <v>7449</v>
      </c>
    </row>
    <row r="602" spans="1:38" s="20" customFormat="1" x14ac:dyDescent="0.25">
      <c r="A602" s="14">
        <v>601</v>
      </c>
      <c r="B602" s="14" t="str">
        <f>_xlfn.CONCAT(AE602,"-",VLOOKUP(AE602,t_objeto!B:D,3,FALSE),"-",A602)</f>
        <v>RRMM-PERCCO-601</v>
      </c>
      <c r="C602" s="22" t="str">
        <f t="shared" si="99"/>
        <v>LAMINA_LISA__ACERO_ROLADA EN CALIENTE_5'X10'_5</v>
      </c>
      <c r="D602" s="14" t="s">
        <v>7407</v>
      </c>
      <c r="E602" s="14" t="s">
        <v>7380</v>
      </c>
      <c r="F602" s="21" t="s">
        <v>7386</v>
      </c>
      <c r="G602" s="22" t="s">
        <v>7382</v>
      </c>
      <c r="H602" s="14">
        <v>5</v>
      </c>
      <c r="I602" s="16">
        <v>5.31</v>
      </c>
      <c r="J602" s="16">
        <f t="shared" si="101"/>
        <v>0.20905511811023622</v>
      </c>
      <c r="K602" s="16">
        <v>41.683999999999997</v>
      </c>
      <c r="L602" s="23"/>
      <c r="M602" s="23"/>
      <c r="N602" s="23"/>
      <c r="O602" s="23"/>
      <c r="P602" s="23"/>
      <c r="Q602" s="19"/>
      <c r="R602" s="17">
        <v>5</v>
      </c>
      <c r="S602" s="17">
        <v>10</v>
      </c>
      <c r="T602" s="16">
        <f t="shared" si="94"/>
        <v>3048</v>
      </c>
      <c r="U602" s="16">
        <f t="shared" si="95"/>
        <v>1524</v>
      </c>
      <c r="V602" s="18">
        <f t="shared" si="102"/>
        <v>4645152</v>
      </c>
      <c r="W602" s="18">
        <f t="shared" si="96"/>
        <v>4.6451520000000004</v>
      </c>
      <c r="X602" s="18">
        <f t="shared" si="97"/>
        <v>193.62851596800002</v>
      </c>
      <c r="Y602" s="24">
        <v>35</v>
      </c>
      <c r="Z602" s="24">
        <f t="shared" si="98"/>
        <v>6776.9980588800008</v>
      </c>
      <c r="AA602" s="16">
        <v>21</v>
      </c>
      <c r="AB602" s="16">
        <f t="shared" si="100"/>
        <v>3006</v>
      </c>
      <c r="AC602" s="16">
        <f t="shared" si="100"/>
        <v>1482</v>
      </c>
      <c r="AD602" s="19">
        <f t="shared" si="103"/>
        <v>4454892</v>
      </c>
      <c r="AE602" s="1" t="s">
        <v>7456</v>
      </c>
      <c r="AF602" s="1" t="str">
        <f>VLOOKUP(AE602,t_objeto!B:C,2,FALSE)</f>
        <v>RAW_MATERIAL</v>
      </c>
      <c r="AG602" s="1">
        <v>8</v>
      </c>
      <c r="AH602" s="1" t="str">
        <f>VLOOKUP(AG602,t_entry_status!A:AE,2,FALSE)</f>
        <v>PENDING</v>
      </c>
      <c r="AI602" s="7">
        <v>45560</v>
      </c>
      <c r="AJ602" s="1" t="s">
        <v>7449</v>
      </c>
      <c r="AK602" s="7">
        <v>45560</v>
      </c>
      <c r="AL602" s="1" t="s">
        <v>7449</v>
      </c>
    </row>
    <row r="603" spans="1:38" s="20" customFormat="1" x14ac:dyDescent="0.25">
      <c r="A603" s="14">
        <v>602</v>
      </c>
      <c r="B603" s="14" t="str">
        <f>_xlfn.CONCAT(AE603,"-",VLOOKUP(AE603,t_objeto!B:D,3,FALSE),"-",A603)</f>
        <v>RRMM-PERCCO-602</v>
      </c>
      <c r="C603" s="22" t="str">
        <f t="shared" si="99"/>
        <v>LAMINA_LISA__ACERO_ROLADA EN CALIENTE_5'X10'_6</v>
      </c>
      <c r="D603" s="14" t="s">
        <v>7407</v>
      </c>
      <c r="E603" s="14" t="s">
        <v>7380</v>
      </c>
      <c r="F603" s="21" t="s">
        <v>7386</v>
      </c>
      <c r="G603" s="22" t="s">
        <v>7382</v>
      </c>
      <c r="H603" s="14">
        <v>6</v>
      </c>
      <c r="I603" s="16">
        <v>4.9400000000000004</v>
      </c>
      <c r="J603" s="16">
        <f t="shared" si="101"/>
        <v>0.19448818897637798</v>
      </c>
      <c r="K603" s="16">
        <v>38.779000000000003</v>
      </c>
      <c r="L603" s="23"/>
      <c r="M603" s="23"/>
      <c r="N603" s="23"/>
      <c r="O603" s="23"/>
      <c r="P603" s="23"/>
      <c r="Q603" s="19"/>
      <c r="R603" s="17">
        <v>5</v>
      </c>
      <c r="S603" s="17">
        <v>10</v>
      </c>
      <c r="T603" s="16">
        <f t="shared" si="94"/>
        <v>3048</v>
      </c>
      <c r="U603" s="16">
        <f t="shared" si="95"/>
        <v>1524</v>
      </c>
      <c r="V603" s="18">
        <f t="shared" si="102"/>
        <v>4645152</v>
      </c>
      <c r="W603" s="18">
        <f t="shared" si="96"/>
        <v>4.6451520000000004</v>
      </c>
      <c r="X603" s="18">
        <f t="shared" si="97"/>
        <v>180.13434940800002</v>
      </c>
      <c r="Y603" s="24">
        <v>35</v>
      </c>
      <c r="Z603" s="24">
        <f t="shared" si="98"/>
        <v>6304.7022292800011</v>
      </c>
      <c r="AA603" s="16">
        <v>22</v>
      </c>
      <c r="AB603" s="16">
        <f t="shared" si="100"/>
        <v>3004</v>
      </c>
      <c r="AC603" s="16">
        <f t="shared" si="100"/>
        <v>1480</v>
      </c>
      <c r="AD603" s="19">
        <f t="shared" si="103"/>
        <v>4445920</v>
      </c>
      <c r="AE603" s="1" t="s">
        <v>7456</v>
      </c>
      <c r="AF603" s="1" t="str">
        <f>VLOOKUP(AE603,t_objeto!B:C,2,FALSE)</f>
        <v>RAW_MATERIAL</v>
      </c>
      <c r="AG603" s="1">
        <v>8</v>
      </c>
      <c r="AH603" s="1" t="str">
        <f>VLOOKUP(AG603,t_entry_status!A:AE,2,FALSE)</f>
        <v>PENDING</v>
      </c>
      <c r="AI603" s="7">
        <v>45560</v>
      </c>
      <c r="AJ603" s="1" t="s">
        <v>7449</v>
      </c>
      <c r="AK603" s="7">
        <v>45560</v>
      </c>
      <c r="AL603" s="1" t="s">
        <v>7449</v>
      </c>
    </row>
    <row r="604" spans="1:38" s="20" customFormat="1" x14ac:dyDescent="0.25">
      <c r="A604" s="14">
        <v>603</v>
      </c>
      <c r="B604" s="14" t="str">
        <f>_xlfn.CONCAT(AE604,"-",VLOOKUP(AE604,t_objeto!B:D,3,FALSE),"-",A604)</f>
        <v>RRMM-PERCCO-603</v>
      </c>
      <c r="C604" s="22" t="str">
        <f t="shared" si="99"/>
        <v>LAMINA_LISA__ACERO_ROLADA EN CALIENTE_5'X10'_7</v>
      </c>
      <c r="D604" s="14" t="s">
        <v>7407</v>
      </c>
      <c r="E604" s="14" t="s">
        <v>7380</v>
      </c>
      <c r="F604" s="21" t="s">
        <v>7386</v>
      </c>
      <c r="G604" s="22" t="s">
        <v>7382</v>
      </c>
      <c r="H604" s="14">
        <v>7</v>
      </c>
      <c r="I604" s="16">
        <v>4.55</v>
      </c>
      <c r="J604" s="16">
        <f t="shared" si="101"/>
        <v>0.17913385826771655</v>
      </c>
      <c r="K604" s="16">
        <v>35.718000000000004</v>
      </c>
      <c r="L604" s="23"/>
      <c r="M604" s="23"/>
      <c r="N604" s="23"/>
      <c r="O604" s="23"/>
      <c r="P604" s="23"/>
      <c r="Q604" s="19"/>
      <c r="R604" s="17">
        <v>5</v>
      </c>
      <c r="S604" s="17">
        <v>10</v>
      </c>
      <c r="T604" s="16">
        <f t="shared" si="94"/>
        <v>3048</v>
      </c>
      <c r="U604" s="16">
        <f t="shared" si="95"/>
        <v>1524</v>
      </c>
      <c r="V604" s="18">
        <f t="shared" si="102"/>
        <v>4645152</v>
      </c>
      <c r="W604" s="18">
        <f t="shared" si="96"/>
        <v>4.6451520000000004</v>
      </c>
      <c r="X604" s="18">
        <f t="shared" si="97"/>
        <v>165.91553913600004</v>
      </c>
      <c r="Y604" s="24">
        <v>35</v>
      </c>
      <c r="Z604" s="24">
        <f t="shared" si="98"/>
        <v>5807.0438697600011</v>
      </c>
      <c r="AA604" s="16">
        <v>23</v>
      </c>
      <c r="AB604" s="16">
        <f t="shared" si="100"/>
        <v>3002</v>
      </c>
      <c r="AC604" s="16">
        <f t="shared" si="100"/>
        <v>1478</v>
      </c>
      <c r="AD604" s="19">
        <f t="shared" si="103"/>
        <v>4436956</v>
      </c>
      <c r="AE604" s="1" t="s">
        <v>7456</v>
      </c>
      <c r="AF604" s="1" t="str">
        <f>VLOOKUP(AE604,t_objeto!B:C,2,FALSE)</f>
        <v>RAW_MATERIAL</v>
      </c>
      <c r="AG604" s="1">
        <v>8</v>
      </c>
      <c r="AH604" s="1" t="str">
        <f>VLOOKUP(AG604,t_entry_status!A:AE,2,FALSE)</f>
        <v>PENDING</v>
      </c>
      <c r="AI604" s="7">
        <v>45560</v>
      </c>
      <c r="AJ604" s="1" t="s">
        <v>7449</v>
      </c>
      <c r="AK604" s="7">
        <v>45560</v>
      </c>
      <c r="AL604" s="1" t="s">
        <v>7449</v>
      </c>
    </row>
    <row r="605" spans="1:38" s="20" customFormat="1" x14ac:dyDescent="0.25">
      <c r="A605" s="14">
        <v>604</v>
      </c>
      <c r="B605" s="14" t="str">
        <f>_xlfn.CONCAT(AE605,"-",VLOOKUP(AE605,t_objeto!B:D,3,FALSE),"-",A605)</f>
        <v>RRMM-PERCCO-604</v>
      </c>
      <c r="C605" s="22" t="str">
        <f t="shared" si="99"/>
        <v>LAMINA_LISA__ACERO_ROLADA EN CALIENTE_5'X10'_8</v>
      </c>
      <c r="D605" s="14" t="s">
        <v>7407</v>
      </c>
      <c r="E605" s="14" t="s">
        <v>7380</v>
      </c>
      <c r="F605" s="21" t="s">
        <v>7386</v>
      </c>
      <c r="G605" s="22" t="s">
        <v>7382</v>
      </c>
      <c r="H605" s="14">
        <v>8</v>
      </c>
      <c r="I605" s="16">
        <v>4.18</v>
      </c>
      <c r="J605" s="16">
        <f t="shared" si="101"/>
        <v>0.16456692913385826</v>
      </c>
      <c r="K605" s="16">
        <v>32.813000000000002</v>
      </c>
      <c r="L605" s="23"/>
      <c r="M605" s="23"/>
      <c r="N605" s="23"/>
      <c r="O605" s="23"/>
      <c r="P605" s="23"/>
      <c r="Q605" s="19"/>
      <c r="R605" s="17">
        <v>5</v>
      </c>
      <c r="S605" s="17">
        <v>10</v>
      </c>
      <c r="T605" s="16">
        <f t="shared" si="94"/>
        <v>3048</v>
      </c>
      <c r="U605" s="16">
        <f t="shared" si="95"/>
        <v>1524</v>
      </c>
      <c r="V605" s="18">
        <f t="shared" si="102"/>
        <v>4645152</v>
      </c>
      <c r="W605" s="18">
        <f t="shared" si="96"/>
        <v>4.6451520000000004</v>
      </c>
      <c r="X605" s="18">
        <f t="shared" si="97"/>
        <v>152.42137257600001</v>
      </c>
      <c r="Y605" s="24">
        <v>35</v>
      </c>
      <c r="Z605" s="24">
        <f t="shared" si="98"/>
        <v>5334.7480401600005</v>
      </c>
      <c r="AA605" s="16">
        <v>24</v>
      </c>
      <c r="AB605" s="16">
        <f t="shared" si="100"/>
        <v>3000</v>
      </c>
      <c r="AC605" s="16">
        <f t="shared" si="100"/>
        <v>1476</v>
      </c>
      <c r="AD605" s="19">
        <f t="shared" si="103"/>
        <v>4428000</v>
      </c>
      <c r="AE605" s="1" t="s">
        <v>7456</v>
      </c>
      <c r="AF605" s="1" t="str">
        <f>VLOOKUP(AE605,t_objeto!B:C,2,FALSE)</f>
        <v>RAW_MATERIAL</v>
      </c>
      <c r="AG605" s="1">
        <v>8</v>
      </c>
      <c r="AH605" s="1" t="str">
        <f>VLOOKUP(AG605,t_entry_status!A:AE,2,FALSE)</f>
        <v>PENDING</v>
      </c>
      <c r="AI605" s="7">
        <v>45560</v>
      </c>
      <c r="AJ605" s="1" t="s">
        <v>7449</v>
      </c>
      <c r="AK605" s="7">
        <v>45560</v>
      </c>
      <c r="AL605" s="1" t="s">
        <v>7449</v>
      </c>
    </row>
    <row r="606" spans="1:38" s="20" customFormat="1" x14ac:dyDescent="0.25">
      <c r="A606" s="14">
        <v>605</v>
      </c>
      <c r="B606" s="14" t="str">
        <f>_xlfn.CONCAT(AE606,"-",VLOOKUP(AE606,t_objeto!B:D,3,FALSE),"-",A606)</f>
        <v>RRMM-PERCCO-605</v>
      </c>
      <c r="C606" s="22" t="str">
        <f t="shared" si="99"/>
        <v>LAMINA_LISA__ACERO_ROLADA EN CALIENTE_5'X10'_9</v>
      </c>
      <c r="D606" s="14" t="s">
        <v>7407</v>
      </c>
      <c r="E606" s="14" t="s">
        <v>7380</v>
      </c>
      <c r="F606" s="21" t="s">
        <v>7386</v>
      </c>
      <c r="G606" s="22" t="s">
        <v>7382</v>
      </c>
      <c r="H606" s="14">
        <v>9</v>
      </c>
      <c r="I606" s="16">
        <v>3.8</v>
      </c>
      <c r="J606" s="16">
        <f t="shared" si="101"/>
        <v>0.14960629921259844</v>
      </c>
      <c r="K606" s="16">
        <v>29.83</v>
      </c>
      <c r="L606" s="23"/>
      <c r="M606" s="23"/>
      <c r="N606" s="23"/>
      <c r="O606" s="23"/>
      <c r="P606" s="23"/>
      <c r="Q606" s="19"/>
      <c r="R606" s="17">
        <v>5</v>
      </c>
      <c r="S606" s="17">
        <v>10</v>
      </c>
      <c r="T606" s="16">
        <f t="shared" si="94"/>
        <v>3048</v>
      </c>
      <c r="U606" s="16">
        <f t="shared" si="95"/>
        <v>1524</v>
      </c>
      <c r="V606" s="18">
        <f t="shared" si="102"/>
        <v>4645152</v>
      </c>
      <c r="W606" s="18">
        <f t="shared" si="96"/>
        <v>4.6451520000000004</v>
      </c>
      <c r="X606" s="18">
        <f t="shared" si="97"/>
        <v>138.56488415999999</v>
      </c>
      <c r="Y606" s="24">
        <v>35</v>
      </c>
      <c r="Z606" s="24">
        <f t="shared" si="98"/>
        <v>4849.7709455999993</v>
      </c>
      <c r="AA606" s="16">
        <v>25</v>
      </c>
      <c r="AB606" s="16">
        <f t="shared" si="100"/>
        <v>2998</v>
      </c>
      <c r="AC606" s="16">
        <f t="shared" si="100"/>
        <v>1474</v>
      </c>
      <c r="AD606" s="19">
        <f t="shared" si="103"/>
        <v>4419052</v>
      </c>
      <c r="AE606" s="1" t="s">
        <v>7456</v>
      </c>
      <c r="AF606" s="1" t="str">
        <f>VLOOKUP(AE606,t_objeto!B:C,2,FALSE)</f>
        <v>RAW_MATERIAL</v>
      </c>
      <c r="AG606" s="1">
        <v>8</v>
      </c>
      <c r="AH606" s="1" t="str">
        <f>VLOOKUP(AG606,t_entry_status!A:AE,2,FALSE)</f>
        <v>PENDING</v>
      </c>
      <c r="AI606" s="7">
        <v>45560</v>
      </c>
      <c r="AJ606" s="1" t="s">
        <v>7449</v>
      </c>
      <c r="AK606" s="7">
        <v>45560</v>
      </c>
      <c r="AL606" s="1" t="s">
        <v>7449</v>
      </c>
    </row>
    <row r="607" spans="1:38" s="20" customFormat="1" x14ac:dyDescent="0.25">
      <c r="A607" s="14">
        <v>606</v>
      </c>
      <c r="B607" s="14" t="str">
        <f>_xlfn.CONCAT(AE607,"-",VLOOKUP(AE607,t_objeto!B:D,3,FALSE),"-",A607)</f>
        <v>RRMM-PERCCO-606</v>
      </c>
      <c r="C607" s="22" t="str">
        <f t="shared" si="99"/>
        <v>LAMINA_LISA__ACERO_ROLADA EN CALIENTE_5'X10'_10</v>
      </c>
      <c r="D607" s="14" t="s">
        <v>7407</v>
      </c>
      <c r="E607" s="14" t="s">
        <v>7380</v>
      </c>
      <c r="F607" s="21" t="s">
        <v>7386</v>
      </c>
      <c r="G607" s="22" t="s">
        <v>7382</v>
      </c>
      <c r="H607" s="14">
        <v>10</v>
      </c>
      <c r="I607" s="16">
        <v>3.42</v>
      </c>
      <c r="J607" s="16">
        <f t="shared" si="101"/>
        <v>0.13464566929133859</v>
      </c>
      <c r="K607" s="16">
        <v>26.847000000000001</v>
      </c>
      <c r="L607" s="23"/>
      <c r="M607" s="23"/>
      <c r="N607" s="23"/>
      <c r="O607" s="23"/>
      <c r="P607" s="23"/>
      <c r="Q607" s="19"/>
      <c r="R607" s="17">
        <v>5</v>
      </c>
      <c r="S607" s="17">
        <v>10</v>
      </c>
      <c r="T607" s="16">
        <f t="shared" si="94"/>
        <v>3048</v>
      </c>
      <c r="U607" s="16">
        <f t="shared" si="95"/>
        <v>1524</v>
      </c>
      <c r="V607" s="18">
        <f t="shared" si="102"/>
        <v>4645152</v>
      </c>
      <c r="W607" s="18">
        <f t="shared" si="96"/>
        <v>4.6451520000000004</v>
      </c>
      <c r="X607" s="18">
        <f t="shared" si="97"/>
        <v>124.70839574400001</v>
      </c>
      <c r="Y607" s="24">
        <v>35</v>
      </c>
      <c r="Z607" s="24">
        <f t="shared" si="98"/>
        <v>4364.7938510400008</v>
      </c>
      <c r="AA607" s="16">
        <v>26</v>
      </c>
      <c r="AB607" s="16">
        <f t="shared" si="100"/>
        <v>2996</v>
      </c>
      <c r="AC607" s="16">
        <f t="shared" si="100"/>
        <v>1472</v>
      </c>
      <c r="AD607" s="19">
        <f t="shared" si="103"/>
        <v>4410112</v>
      </c>
      <c r="AE607" s="1" t="s">
        <v>7456</v>
      </c>
      <c r="AF607" s="1" t="str">
        <f>VLOOKUP(AE607,t_objeto!B:C,2,FALSE)</f>
        <v>RAW_MATERIAL</v>
      </c>
      <c r="AG607" s="1">
        <v>8</v>
      </c>
      <c r="AH607" s="1" t="str">
        <f>VLOOKUP(AG607,t_entry_status!A:AE,2,FALSE)</f>
        <v>PENDING</v>
      </c>
      <c r="AI607" s="7">
        <v>45560</v>
      </c>
      <c r="AJ607" s="1" t="s">
        <v>7449</v>
      </c>
      <c r="AK607" s="7">
        <v>45560</v>
      </c>
      <c r="AL607" s="1" t="s">
        <v>7449</v>
      </c>
    </row>
    <row r="608" spans="1:38" s="20" customFormat="1" x14ac:dyDescent="0.25">
      <c r="A608" s="14">
        <v>607</v>
      </c>
      <c r="B608" s="14" t="str">
        <f>_xlfn.CONCAT(AE608,"-",VLOOKUP(AE608,t_objeto!B:D,3,FALSE),"-",A608)</f>
        <v>RRMM-PERCCO-607</v>
      </c>
      <c r="C608" s="22" t="str">
        <f t="shared" si="99"/>
        <v>LAMINA_LISA__ACERO_ROLADA EN CALIENTE_5'X10'_1/8"</v>
      </c>
      <c r="D608" s="14" t="s">
        <v>7407</v>
      </c>
      <c r="E608" s="14" t="s">
        <v>7380</v>
      </c>
      <c r="F608" s="21" t="s">
        <v>7386</v>
      </c>
      <c r="G608" s="22" t="s">
        <v>7382</v>
      </c>
      <c r="H608" s="14" t="s">
        <v>7399</v>
      </c>
      <c r="I608" s="16">
        <v>3.18</v>
      </c>
      <c r="J608" s="16">
        <v>0.125</v>
      </c>
      <c r="K608" s="16"/>
      <c r="L608" s="23"/>
      <c r="M608" s="23"/>
      <c r="N608" s="23"/>
      <c r="O608" s="23"/>
      <c r="P608" s="23"/>
      <c r="Q608" s="19"/>
      <c r="R608" s="17">
        <v>5</v>
      </c>
      <c r="S608" s="17">
        <v>10</v>
      </c>
      <c r="T608" s="16">
        <f t="shared" si="94"/>
        <v>3048</v>
      </c>
      <c r="U608" s="16">
        <f t="shared" si="95"/>
        <v>1524</v>
      </c>
      <c r="V608" s="18">
        <f t="shared" si="102"/>
        <v>4645152</v>
      </c>
      <c r="W608" s="18">
        <f t="shared" si="96"/>
        <v>4.6451520000000004</v>
      </c>
      <c r="X608" s="18">
        <f t="shared" si="97"/>
        <v>0</v>
      </c>
      <c r="Y608" s="24">
        <v>35</v>
      </c>
      <c r="Z608" s="24">
        <f t="shared" si="98"/>
        <v>0</v>
      </c>
      <c r="AA608" s="16">
        <v>26</v>
      </c>
      <c r="AB608" s="16">
        <f t="shared" si="100"/>
        <v>2996</v>
      </c>
      <c r="AC608" s="16">
        <f t="shared" si="100"/>
        <v>1472</v>
      </c>
      <c r="AD608" s="19">
        <f t="shared" si="103"/>
        <v>4410112</v>
      </c>
      <c r="AE608" s="1" t="s">
        <v>7456</v>
      </c>
      <c r="AF608" s="1" t="str">
        <f>VLOOKUP(AE608,t_objeto!B:C,2,FALSE)</f>
        <v>RAW_MATERIAL</v>
      </c>
      <c r="AG608" s="1">
        <v>8</v>
      </c>
      <c r="AH608" s="1" t="str">
        <f>VLOOKUP(AG608,t_entry_status!A:AE,2,FALSE)</f>
        <v>PENDING</v>
      </c>
      <c r="AI608" s="7">
        <v>45560</v>
      </c>
      <c r="AJ608" s="1" t="s">
        <v>7449</v>
      </c>
      <c r="AK608" s="7">
        <v>45560</v>
      </c>
      <c r="AL608" s="1" t="s">
        <v>7449</v>
      </c>
    </row>
    <row r="609" spans="1:38" s="20" customFormat="1" x14ac:dyDescent="0.25">
      <c r="A609" s="14">
        <v>608</v>
      </c>
      <c r="B609" s="14" t="str">
        <f>_xlfn.CONCAT(AE609,"-",VLOOKUP(AE609,t_objeto!B:D,3,FALSE),"-",A609)</f>
        <v>RRMM-PERCCO-608</v>
      </c>
      <c r="C609" s="22" t="str">
        <f t="shared" si="99"/>
        <v>LAMINA_LISA__ACERO_ROLADA EN CALIENTE_5'X10'_11</v>
      </c>
      <c r="D609" s="14" t="s">
        <v>7407</v>
      </c>
      <c r="E609" s="14" t="s">
        <v>7380</v>
      </c>
      <c r="F609" s="21" t="s">
        <v>7386</v>
      </c>
      <c r="G609" s="22" t="s">
        <v>7382</v>
      </c>
      <c r="H609" s="14">
        <v>11</v>
      </c>
      <c r="I609" s="16">
        <v>3.04</v>
      </c>
      <c r="J609" s="16">
        <f t="shared" si="101"/>
        <v>0.11968503937007875</v>
      </c>
      <c r="K609" s="16">
        <v>23.864000000000001</v>
      </c>
      <c r="L609" s="23"/>
      <c r="M609" s="23"/>
      <c r="N609" s="23"/>
      <c r="O609" s="23"/>
      <c r="P609" s="23"/>
      <c r="Q609" s="19"/>
      <c r="R609" s="17">
        <v>5</v>
      </c>
      <c r="S609" s="17">
        <v>10</v>
      </c>
      <c r="T609" s="16">
        <f t="shared" si="94"/>
        <v>3048</v>
      </c>
      <c r="U609" s="16">
        <f t="shared" si="95"/>
        <v>1524</v>
      </c>
      <c r="V609" s="18">
        <f t="shared" si="102"/>
        <v>4645152</v>
      </c>
      <c r="W609" s="18">
        <f t="shared" si="96"/>
        <v>4.6451520000000004</v>
      </c>
      <c r="X609" s="18">
        <f t="shared" si="97"/>
        <v>110.85190732800001</v>
      </c>
      <c r="Y609" s="24">
        <v>35</v>
      </c>
      <c r="Z609" s="24">
        <f t="shared" si="98"/>
        <v>3879.8167564800005</v>
      </c>
      <c r="AA609" s="16">
        <v>27</v>
      </c>
      <c r="AB609" s="16">
        <f t="shared" si="100"/>
        <v>2994</v>
      </c>
      <c r="AC609" s="16">
        <f t="shared" si="100"/>
        <v>1470</v>
      </c>
      <c r="AD609" s="19">
        <f t="shared" si="103"/>
        <v>4401180</v>
      </c>
      <c r="AE609" s="1" t="s">
        <v>7456</v>
      </c>
      <c r="AF609" s="1" t="str">
        <f>VLOOKUP(AE609,t_objeto!B:C,2,FALSE)</f>
        <v>RAW_MATERIAL</v>
      </c>
      <c r="AG609" s="1">
        <v>8</v>
      </c>
      <c r="AH609" s="1" t="str">
        <f>VLOOKUP(AG609,t_entry_status!A:AE,2,FALSE)</f>
        <v>PENDING</v>
      </c>
      <c r="AI609" s="7">
        <v>45560</v>
      </c>
      <c r="AJ609" s="1" t="s">
        <v>7449</v>
      </c>
      <c r="AK609" s="7">
        <v>45560</v>
      </c>
      <c r="AL609" s="1" t="s">
        <v>7449</v>
      </c>
    </row>
    <row r="610" spans="1:38" s="20" customFormat="1" x14ac:dyDescent="0.25">
      <c r="A610" s="14">
        <v>609</v>
      </c>
      <c r="B610" s="14" t="str">
        <f>_xlfn.CONCAT(AE610,"-",VLOOKUP(AE610,t_objeto!B:D,3,FALSE),"-",A610)</f>
        <v>RRMM-PERCCO-609</v>
      </c>
      <c r="C610" s="22" t="str">
        <f t="shared" si="99"/>
        <v>LAMINA_LISA__ACERO_ROLADA EN CALIENTE_5'X10'_12</v>
      </c>
      <c r="D610" s="14" t="s">
        <v>7407</v>
      </c>
      <c r="E610" s="14" t="s">
        <v>7380</v>
      </c>
      <c r="F610" s="21" t="s">
        <v>7386</v>
      </c>
      <c r="G610" s="22" t="s">
        <v>7382</v>
      </c>
      <c r="H610" s="14">
        <v>12</v>
      </c>
      <c r="I610" s="16">
        <v>2.66</v>
      </c>
      <c r="J610" s="16">
        <f t="shared" si="101"/>
        <v>0.1047244094488189</v>
      </c>
      <c r="K610" s="16">
        <v>20.881</v>
      </c>
      <c r="L610" s="23"/>
      <c r="M610" s="23"/>
      <c r="N610" s="23"/>
      <c r="O610" s="23"/>
      <c r="P610" s="23"/>
      <c r="Q610" s="19"/>
      <c r="R610" s="17">
        <v>5</v>
      </c>
      <c r="S610" s="17">
        <v>10</v>
      </c>
      <c r="T610" s="16">
        <f t="shared" si="94"/>
        <v>3048</v>
      </c>
      <c r="U610" s="16">
        <f t="shared" si="95"/>
        <v>1524</v>
      </c>
      <c r="V610" s="18">
        <f t="shared" si="102"/>
        <v>4645152</v>
      </c>
      <c r="W610" s="18">
        <f t="shared" si="96"/>
        <v>4.6451520000000004</v>
      </c>
      <c r="X610" s="18">
        <f t="shared" si="97"/>
        <v>96.995418912000005</v>
      </c>
      <c r="Y610" s="24">
        <v>35</v>
      </c>
      <c r="Z610" s="24">
        <f t="shared" si="98"/>
        <v>3394.8396619200003</v>
      </c>
      <c r="AA610" s="16">
        <v>28</v>
      </c>
      <c r="AB610" s="16">
        <f t="shared" si="100"/>
        <v>2992</v>
      </c>
      <c r="AC610" s="16">
        <f t="shared" si="100"/>
        <v>1468</v>
      </c>
      <c r="AD610" s="19">
        <f t="shared" si="103"/>
        <v>4392256</v>
      </c>
      <c r="AE610" s="1" t="s">
        <v>7456</v>
      </c>
      <c r="AF610" s="1" t="str">
        <f>VLOOKUP(AE610,t_objeto!B:C,2,FALSE)</f>
        <v>RAW_MATERIAL</v>
      </c>
      <c r="AG610" s="1">
        <v>8</v>
      </c>
      <c r="AH610" s="1" t="str">
        <f>VLOOKUP(AG610,t_entry_status!A:AE,2,FALSE)</f>
        <v>PENDING</v>
      </c>
      <c r="AI610" s="7">
        <v>45560</v>
      </c>
      <c r="AJ610" s="1" t="s">
        <v>7449</v>
      </c>
      <c r="AK610" s="7">
        <v>45560</v>
      </c>
      <c r="AL610" s="1" t="s">
        <v>7449</v>
      </c>
    </row>
    <row r="611" spans="1:38" s="20" customFormat="1" x14ac:dyDescent="0.25">
      <c r="A611" s="14">
        <v>610</v>
      </c>
      <c r="B611" s="14" t="str">
        <f>_xlfn.CONCAT(AE611,"-",VLOOKUP(AE611,t_objeto!B:D,3,FALSE),"-",A611)</f>
        <v>RRMM-PERCCO-610</v>
      </c>
      <c r="C611" s="22" t="str">
        <f t="shared" si="99"/>
        <v>LAMINA_LISA__ACERO_ROLADA EN CALIENTE_5'X10'_13</v>
      </c>
      <c r="D611" s="14" t="s">
        <v>7407</v>
      </c>
      <c r="E611" s="14" t="s">
        <v>7380</v>
      </c>
      <c r="F611" s="21" t="s">
        <v>7386</v>
      </c>
      <c r="G611" s="22" t="s">
        <v>7382</v>
      </c>
      <c r="H611" s="14">
        <v>13</v>
      </c>
      <c r="I611" s="16">
        <v>2.2799999999999998</v>
      </c>
      <c r="J611" s="16">
        <f t="shared" si="101"/>
        <v>8.9763779527559054E-2</v>
      </c>
      <c r="K611" s="16">
        <v>17.898</v>
      </c>
      <c r="L611" s="23"/>
      <c r="M611" s="23"/>
      <c r="N611" s="23"/>
      <c r="O611" s="23"/>
      <c r="P611" s="23"/>
      <c r="Q611" s="19"/>
      <c r="R611" s="17">
        <v>5</v>
      </c>
      <c r="S611" s="17">
        <v>10</v>
      </c>
      <c r="T611" s="16">
        <f t="shared" si="94"/>
        <v>3048</v>
      </c>
      <c r="U611" s="16">
        <f t="shared" si="95"/>
        <v>1524</v>
      </c>
      <c r="V611" s="18">
        <f t="shared" si="102"/>
        <v>4645152</v>
      </c>
      <c r="W611" s="18">
        <f t="shared" si="96"/>
        <v>4.6451520000000004</v>
      </c>
      <c r="X611" s="18">
        <f t="shared" si="97"/>
        <v>83.138930496</v>
      </c>
      <c r="Y611" s="24">
        <v>35</v>
      </c>
      <c r="Z611" s="24">
        <f t="shared" si="98"/>
        <v>2909.86256736</v>
      </c>
      <c r="AA611" s="16">
        <v>29</v>
      </c>
      <c r="AB611" s="16">
        <f t="shared" si="100"/>
        <v>2990</v>
      </c>
      <c r="AC611" s="16">
        <f t="shared" si="100"/>
        <v>1466</v>
      </c>
      <c r="AD611" s="19">
        <f t="shared" si="103"/>
        <v>4383340</v>
      </c>
      <c r="AE611" s="1" t="s">
        <v>7456</v>
      </c>
      <c r="AF611" s="1" t="str">
        <f>VLOOKUP(AE611,t_objeto!B:C,2,FALSE)</f>
        <v>RAW_MATERIAL</v>
      </c>
      <c r="AG611" s="1">
        <v>8</v>
      </c>
      <c r="AH611" s="1" t="str">
        <f>VLOOKUP(AG611,t_entry_status!A:AE,2,FALSE)</f>
        <v>PENDING</v>
      </c>
      <c r="AI611" s="7">
        <v>45560</v>
      </c>
      <c r="AJ611" s="1" t="s">
        <v>7449</v>
      </c>
      <c r="AK611" s="7">
        <v>45560</v>
      </c>
      <c r="AL611" s="1" t="s">
        <v>7449</v>
      </c>
    </row>
    <row r="612" spans="1:38" s="20" customFormat="1" x14ac:dyDescent="0.25">
      <c r="A612" s="14">
        <v>611</v>
      </c>
      <c r="B612" s="14" t="str">
        <f>_xlfn.CONCAT(AE612,"-",VLOOKUP(AE612,t_objeto!B:D,3,FALSE),"-",A612)</f>
        <v>RRMM-PERCCO-611</v>
      </c>
      <c r="C612" s="22" t="str">
        <f t="shared" si="99"/>
        <v>LAMINA_LISA__ACERO_ROLADA EN CALIENTE_5'X10'_14</v>
      </c>
      <c r="D612" s="14" t="s">
        <v>7407</v>
      </c>
      <c r="E612" s="14" t="s">
        <v>7380</v>
      </c>
      <c r="F612" s="21" t="s">
        <v>7386</v>
      </c>
      <c r="G612" s="22" t="s">
        <v>7382</v>
      </c>
      <c r="H612" s="14">
        <v>14</v>
      </c>
      <c r="I612" s="16">
        <v>1.9</v>
      </c>
      <c r="J612" s="16">
        <f t="shared" si="101"/>
        <v>7.4803149606299218E-2</v>
      </c>
      <c r="K612" s="16">
        <v>14.914999999999999</v>
      </c>
      <c r="L612" s="23"/>
      <c r="M612" s="23"/>
      <c r="N612" s="23"/>
      <c r="O612" s="23"/>
      <c r="P612" s="23"/>
      <c r="Q612" s="19"/>
      <c r="R612" s="17">
        <v>5</v>
      </c>
      <c r="S612" s="17">
        <v>10</v>
      </c>
      <c r="T612" s="16">
        <f t="shared" si="94"/>
        <v>3048</v>
      </c>
      <c r="U612" s="16">
        <f t="shared" si="95"/>
        <v>1524</v>
      </c>
      <c r="V612" s="18">
        <f t="shared" si="102"/>
        <v>4645152</v>
      </c>
      <c r="W612" s="18">
        <f t="shared" si="96"/>
        <v>4.6451520000000004</v>
      </c>
      <c r="X612" s="18">
        <f t="shared" si="97"/>
        <v>69.282442079999996</v>
      </c>
      <c r="Y612" s="24">
        <v>35</v>
      </c>
      <c r="Z612" s="24">
        <f t="shared" si="98"/>
        <v>2424.8854727999997</v>
      </c>
      <c r="AA612" s="16">
        <v>30</v>
      </c>
      <c r="AB612" s="16">
        <f t="shared" si="100"/>
        <v>2988</v>
      </c>
      <c r="AC612" s="16">
        <f t="shared" si="100"/>
        <v>1464</v>
      </c>
      <c r="AD612" s="19">
        <f t="shared" si="103"/>
        <v>4374432</v>
      </c>
      <c r="AE612" s="1" t="s">
        <v>7456</v>
      </c>
      <c r="AF612" s="1" t="str">
        <f>VLOOKUP(AE612,t_objeto!B:C,2,FALSE)</f>
        <v>RAW_MATERIAL</v>
      </c>
      <c r="AG612" s="1">
        <v>8</v>
      </c>
      <c r="AH612" s="1" t="str">
        <f>VLOOKUP(AG612,t_entry_status!A:AE,2,FALSE)</f>
        <v>PENDING</v>
      </c>
      <c r="AI612" s="7">
        <v>45560</v>
      </c>
      <c r="AJ612" s="1" t="s">
        <v>7449</v>
      </c>
      <c r="AK612" s="7">
        <v>45560</v>
      </c>
      <c r="AL612" s="1" t="s">
        <v>7449</v>
      </c>
    </row>
    <row r="613" spans="1:38" s="20" customFormat="1" x14ac:dyDescent="0.25">
      <c r="A613" s="14">
        <v>612</v>
      </c>
      <c r="B613" s="14" t="str">
        <f>_xlfn.CONCAT(AE613,"-",VLOOKUP(AE613,t_objeto!B:D,3,FALSE),"-",A613)</f>
        <v>RRMM-PERCCO-612</v>
      </c>
      <c r="C613" s="22" t="str">
        <f t="shared" si="99"/>
        <v>LAMINA_LISA__ACERO_ROLADA EN CALIENTE_5'X10'_15</v>
      </c>
      <c r="D613" s="14" t="s">
        <v>7407</v>
      </c>
      <c r="E613" s="14" t="s">
        <v>7380</v>
      </c>
      <c r="F613" s="21" t="s">
        <v>7386</v>
      </c>
      <c r="G613" s="22" t="s">
        <v>7382</v>
      </c>
      <c r="H613" s="14">
        <v>15</v>
      </c>
      <c r="I613" s="16">
        <v>1.71</v>
      </c>
      <c r="J613" s="16">
        <f t="shared" si="101"/>
        <v>6.7322834645669294E-2</v>
      </c>
      <c r="K613" s="16">
        <v>13.423999999999999</v>
      </c>
      <c r="L613" s="23"/>
      <c r="M613" s="23"/>
      <c r="N613" s="23"/>
      <c r="O613" s="23"/>
      <c r="P613" s="23"/>
      <c r="Q613" s="19"/>
      <c r="R613" s="17">
        <v>5</v>
      </c>
      <c r="S613" s="17">
        <v>10</v>
      </c>
      <c r="T613" s="16">
        <f t="shared" si="94"/>
        <v>3048</v>
      </c>
      <c r="U613" s="16">
        <f t="shared" si="95"/>
        <v>1524</v>
      </c>
      <c r="V613" s="18">
        <f t="shared" si="102"/>
        <v>4645152</v>
      </c>
      <c r="W613" s="18">
        <f t="shared" si="96"/>
        <v>4.6451520000000004</v>
      </c>
      <c r="X613" s="18">
        <f t="shared" si="97"/>
        <v>62.356520448000005</v>
      </c>
      <c r="Y613" s="24">
        <v>35</v>
      </c>
      <c r="Z613" s="24">
        <f t="shared" si="98"/>
        <v>2182.4782156800002</v>
      </c>
      <c r="AA613" s="16">
        <v>31</v>
      </c>
      <c r="AB613" s="16">
        <f t="shared" si="100"/>
        <v>2986</v>
      </c>
      <c r="AC613" s="16">
        <f t="shared" si="100"/>
        <v>1462</v>
      </c>
      <c r="AD613" s="19">
        <f t="shared" si="103"/>
        <v>4365532</v>
      </c>
      <c r="AE613" s="1" t="s">
        <v>7456</v>
      </c>
      <c r="AF613" s="1" t="str">
        <f>VLOOKUP(AE613,t_objeto!B:C,2,FALSE)</f>
        <v>RAW_MATERIAL</v>
      </c>
      <c r="AG613" s="1">
        <v>8</v>
      </c>
      <c r="AH613" s="1" t="str">
        <f>VLOOKUP(AG613,t_entry_status!A:AE,2,FALSE)</f>
        <v>PENDING</v>
      </c>
      <c r="AI613" s="7">
        <v>45560</v>
      </c>
      <c r="AJ613" s="1" t="s">
        <v>7449</v>
      </c>
      <c r="AK613" s="7">
        <v>45560</v>
      </c>
      <c r="AL613" s="1" t="s">
        <v>7449</v>
      </c>
    </row>
    <row r="614" spans="1:38" s="20" customFormat="1" x14ac:dyDescent="0.25">
      <c r="A614" s="14">
        <v>613</v>
      </c>
      <c r="B614" s="14" t="str">
        <f>_xlfn.CONCAT(AE614,"-",VLOOKUP(AE614,t_objeto!B:D,3,FALSE),"-",A614)</f>
        <v>RRMM-PERCCO-613</v>
      </c>
      <c r="C614" s="22" t="str">
        <f t="shared" si="99"/>
        <v>LAMINA_LISA__ACERO_ROLADA EN CALIENTE_5'X10'_16</v>
      </c>
      <c r="D614" s="14" t="s">
        <v>7407</v>
      </c>
      <c r="E614" s="14" t="s">
        <v>7380</v>
      </c>
      <c r="F614" s="21" t="s">
        <v>7386</v>
      </c>
      <c r="G614" s="22" t="s">
        <v>7382</v>
      </c>
      <c r="H614" s="14">
        <v>16</v>
      </c>
      <c r="I614" s="16">
        <v>1.52</v>
      </c>
      <c r="J614" s="16">
        <f t="shared" si="101"/>
        <v>5.9842519685039376E-2</v>
      </c>
      <c r="K614" s="16">
        <v>11.932</v>
      </c>
      <c r="L614" s="23"/>
      <c r="M614" s="23"/>
      <c r="N614" s="23"/>
      <c r="O614" s="23"/>
      <c r="P614" s="23"/>
      <c r="Q614" s="19"/>
      <c r="R614" s="17">
        <v>5</v>
      </c>
      <c r="S614" s="17">
        <v>10</v>
      </c>
      <c r="T614" s="16">
        <f t="shared" si="94"/>
        <v>3048</v>
      </c>
      <c r="U614" s="16">
        <f t="shared" si="95"/>
        <v>1524</v>
      </c>
      <c r="V614" s="18">
        <f t="shared" si="102"/>
        <v>4645152</v>
      </c>
      <c r="W614" s="18">
        <f t="shared" si="96"/>
        <v>4.6451520000000004</v>
      </c>
      <c r="X614" s="18">
        <f t="shared" si="97"/>
        <v>55.425953664000005</v>
      </c>
      <c r="Y614" s="24">
        <v>35</v>
      </c>
      <c r="Z614" s="24">
        <f t="shared" si="98"/>
        <v>1939.9083782400003</v>
      </c>
      <c r="AA614" s="16">
        <v>32</v>
      </c>
      <c r="AB614" s="16">
        <f t="shared" si="100"/>
        <v>2984</v>
      </c>
      <c r="AC614" s="16">
        <f t="shared" si="100"/>
        <v>1460</v>
      </c>
      <c r="AD614" s="19">
        <f t="shared" si="103"/>
        <v>4356640</v>
      </c>
      <c r="AE614" s="1" t="s">
        <v>7456</v>
      </c>
      <c r="AF614" s="1" t="str">
        <f>VLOOKUP(AE614,t_objeto!B:C,2,FALSE)</f>
        <v>RAW_MATERIAL</v>
      </c>
      <c r="AG614" s="1">
        <v>8</v>
      </c>
      <c r="AH614" s="1" t="str">
        <f>VLOOKUP(AG614,t_entry_status!A:AE,2,FALSE)</f>
        <v>PENDING</v>
      </c>
      <c r="AI614" s="7">
        <v>45560</v>
      </c>
      <c r="AJ614" s="1" t="s">
        <v>7449</v>
      </c>
      <c r="AK614" s="7">
        <v>45560</v>
      </c>
      <c r="AL614" s="1" t="s">
        <v>7449</v>
      </c>
    </row>
    <row r="615" spans="1:38" s="20" customFormat="1" x14ac:dyDescent="0.25">
      <c r="A615" s="14">
        <v>614</v>
      </c>
      <c r="B615" s="14" t="str">
        <f>_xlfn.CONCAT(AE615,"-",VLOOKUP(AE615,t_objeto!B:D,3,FALSE),"-",A615)</f>
        <v>RRMM-PERCCO-614</v>
      </c>
      <c r="C615" s="22" t="str">
        <f t="shared" si="99"/>
        <v>LAMINA_LISA__ACERO_ROLADA EN CALIENTE_5'X10'_17</v>
      </c>
      <c r="D615" s="14" t="s">
        <v>7407</v>
      </c>
      <c r="E615" s="14" t="s">
        <v>7380</v>
      </c>
      <c r="F615" s="21" t="s">
        <v>7386</v>
      </c>
      <c r="G615" s="22" t="s">
        <v>7382</v>
      </c>
      <c r="H615" s="14">
        <v>17</v>
      </c>
      <c r="I615" s="16">
        <v>1.37</v>
      </c>
      <c r="J615" s="16">
        <f t="shared" si="101"/>
        <v>5.3937007874015758E-2</v>
      </c>
      <c r="K615" s="16">
        <v>10.755000000000001</v>
      </c>
      <c r="L615" s="23"/>
      <c r="M615" s="23"/>
      <c r="N615" s="23"/>
      <c r="O615" s="23"/>
      <c r="P615" s="23"/>
      <c r="Q615" s="19"/>
      <c r="R615" s="17">
        <v>5</v>
      </c>
      <c r="S615" s="17">
        <v>10</v>
      </c>
      <c r="T615" s="16">
        <f t="shared" si="94"/>
        <v>3048</v>
      </c>
      <c r="U615" s="16">
        <f t="shared" si="95"/>
        <v>1524</v>
      </c>
      <c r="V615" s="18">
        <f t="shared" si="102"/>
        <v>4645152</v>
      </c>
      <c r="W615" s="18">
        <f t="shared" si="96"/>
        <v>4.6451520000000004</v>
      </c>
      <c r="X615" s="18">
        <f t="shared" si="97"/>
        <v>49.958609760000009</v>
      </c>
      <c r="Y615" s="24">
        <v>35</v>
      </c>
      <c r="Z615" s="24">
        <f t="shared" si="98"/>
        <v>1748.5513416000003</v>
      </c>
      <c r="AA615" s="16">
        <v>33</v>
      </c>
      <c r="AB615" s="16">
        <f t="shared" ref="AB615:AC685" si="104">T615-($AA615*2)</f>
        <v>2982</v>
      </c>
      <c r="AC615" s="16">
        <f t="shared" si="104"/>
        <v>1458</v>
      </c>
      <c r="AD615" s="19">
        <f t="shared" si="103"/>
        <v>4347756</v>
      </c>
      <c r="AE615" s="1" t="s">
        <v>7456</v>
      </c>
      <c r="AF615" s="1" t="str">
        <f>VLOOKUP(AE615,t_objeto!B:C,2,FALSE)</f>
        <v>RAW_MATERIAL</v>
      </c>
      <c r="AG615" s="1">
        <v>8</v>
      </c>
      <c r="AH615" s="1" t="str">
        <f>VLOOKUP(AG615,t_entry_status!A:AE,2,FALSE)</f>
        <v>PENDING</v>
      </c>
      <c r="AI615" s="7">
        <v>45560</v>
      </c>
      <c r="AJ615" s="1" t="s">
        <v>7449</v>
      </c>
      <c r="AK615" s="7">
        <v>45560</v>
      </c>
      <c r="AL615" s="1" t="s">
        <v>7449</v>
      </c>
    </row>
    <row r="616" spans="1:38" s="20" customFormat="1" x14ac:dyDescent="0.25">
      <c r="A616" s="14">
        <v>615</v>
      </c>
      <c r="B616" s="14" t="str">
        <f>_xlfn.CONCAT(AE616,"-",VLOOKUP(AE616,t_objeto!B:D,3,FALSE),"-",A616)</f>
        <v>RRMM-PERCCO-615</v>
      </c>
      <c r="C616" s="22" t="str">
        <f t="shared" si="99"/>
        <v>LAMINA_LISA__ACERO_ROLADA EN CALIENTE_5'X10'_18</v>
      </c>
      <c r="D616" s="14" t="s">
        <v>7407</v>
      </c>
      <c r="E616" s="14" t="s">
        <v>7380</v>
      </c>
      <c r="F616" s="21" t="s">
        <v>7386</v>
      </c>
      <c r="G616" s="22" t="s">
        <v>7382</v>
      </c>
      <c r="H616" s="14">
        <v>18</v>
      </c>
      <c r="I616" s="16">
        <v>1.21</v>
      </c>
      <c r="J616" s="16">
        <f t="shared" si="101"/>
        <v>4.7637795275590554E-2</v>
      </c>
      <c r="K616" s="16">
        <v>9.4990000000000006</v>
      </c>
      <c r="L616" s="23"/>
      <c r="M616" s="23"/>
      <c r="N616" s="23"/>
      <c r="O616" s="23"/>
      <c r="P616" s="23"/>
      <c r="Q616" s="19"/>
      <c r="R616" s="17">
        <v>5</v>
      </c>
      <c r="S616" s="17">
        <v>10</v>
      </c>
      <c r="T616" s="16">
        <f t="shared" si="94"/>
        <v>3048</v>
      </c>
      <c r="U616" s="16">
        <f t="shared" si="95"/>
        <v>1524</v>
      </c>
      <c r="V616" s="18">
        <f t="shared" si="102"/>
        <v>4645152</v>
      </c>
      <c r="W616" s="18">
        <f t="shared" si="96"/>
        <v>4.6451520000000004</v>
      </c>
      <c r="X616" s="18">
        <f t="shared" si="97"/>
        <v>44.124298848000009</v>
      </c>
      <c r="Y616" s="24">
        <v>35</v>
      </c>
      <c r="Z616" s="24">
        <f t="shared" si="98"/>
        <v>1544.3504596800003</v>
      </c>
      <c r="AA616" s="16">
        <v>34</v>
      </c>
      <c r="AB616" s="16">
        <f t="shared" si="104"/>
        <v>2980</v>
      </c>
      <c r="AC616" s="16">
        <f t="shared" si="104"/>
        <v>1456</v>
      </c>
      <c r="AD616" s="19">
        <f t="shared" si="103"/>
        <v>4338880</v>
      </c>
      <c r="AE616" s="1" t="s">
        <v>7456</v>
      </c>
      <c r="AF616" s="1" t="str">
        <f>VLOOKUP(AE616,t_objeto!B:C,2,FALSE)</f>
        <v>RAW_MATERIAL</v>
      </c>
      <c r="AG616" s="1">
        <v>8</v>
      </c>
      <c r="AH616" s="1" t="str">
        <f>VLOOKUP(AG616,t_entry_status!A:AE,2,FALSE)</f>
        <v>PENDING</v>
      </c>
      <c r="AI616" s="7">
        <v>45560</v>
      </c>
      <c r="AJ616" s="1" t="s">
        <v>7449</v>
      </c>
      <c r="AK616" s="7">
        <v>45560</v>
      </c>
      <c r="AL616" s="1" t="s">
        <v>7449</v>
      </c>
    </row>
    <row r="617" spans="1:38" s="20" customFormat="1" x14ac:dyDescent="0.25">
      <c r="A617" s="14">
        <v>616</v>
      </c>
      <c r="B617" s="14" t="str">
        <f>_xlfn.CONCAT(AE617,"-",VLOOKUP(AE617,t_objeto!B:D,3,FALSE),"-",A617)</f>
        <v>RRMM-PERCCO-616</v>
      </c>
      <c r="C617" s="22" t="str">
        <f t="shared" si="99"/>
        <v>LAMINA_LISA__ACERO_ROLADA EN CALIENTE_5'X10'_19</v>
      </c>
      <c r="D617" s="14" t="s">
        <v>7407</v>
      </c>
      <c r="E617" s="14" t="s">
        <v>7380</v>
      </c>
      <c r="F617" s="21" t="s">
        <v>7386</v>
      </c>
      <c r="G617" s="22" t="s">
        <v>7382</v>
      </c>
      <c r="H617" s="14">
        <v>19</v>
      </c>
      <c r="I617" s="16">
        <v>1.06</v>
      </c>
      <c r="J617" s="16">
        <f t="shared" si="101"/>
        <v>4.1732283464566935E-2</v>
      </c>
      <c r="K617" s="16">
        <v>8.3209999999999997</v>
      </c>
      <c r="L617" s="23"/>
      <c r="M617" s="23"/>
      <c r="N617" s="23"/>
      <c r="O617" s="23"/>
      <c r="P617" s="23"/>
      <c r="Q617" s="19"/>
      <c r="R617" s="17">
        <v>5</v>
      </c>
      <c r="S617" s="17">
        <v>10</v>
      </c>
      <c r="T617" s="16">
        <f t="shared" si="94"/>
        <v>3048</v>
      </c>
      <c r="U617" s="16">
        <f t="shared" si="95"/>
        <v>1524</v>
      </c>
      <c r="V617" s="18">
        <f t="shared" si="102"/>
        <v>4645152</v>
      </c>
      <c r="W617" s="18">
        <f t="shared" si="96"/>
        <v>4.6451520000000004</v>
      </c>
      <c r="X617" s="18">
        <f t="shared" si="97"/>
        <v>38.652309792000004</v>
      </c>
      <c r="Y617" s="24">
        <v>35</v>
      </c>
      <c r="Z617" s="24">
        <f t="shared" si="98"/>
        <v>1352.8308427200002</v>
      </c>
      <c r="AA617" s="16">
        <v>35</v>
      </c>
      <c r="AB617" s="16">
        <f t="shared" si="104"/>
        <v>2978</v>
      </c>
      <c r="AC617" s="16">
        <f t="shared" si="104"/>
        <v>1454</v>
      </c>
      <c r="AD617" s="19">
        <f t="shared" si="103"/>
        <v>4330012</v>
      </c>
      <c r="AE617" s="1" t="s">
        <v>7456</v>
      </c>
      <c r="AF617" s="1" t="str">
        <f>VLOOKUP(AE617,t_objeto!B:C,2,FALSE)</f>
        <v>RAW_MATERIAL</v>
      </c>
      <c r="AG617" s="1">
        <v>8</v>
      </c>
      <c r="AH617" s="1" t="str">
        <f>VLOOKUP(AG617,t_entry_status!A:AE,2,FALSE)</f>
        <v>PENDING</v>
      </c>
      <c r="AI617" s="7">
        <v>45560</v>
      </c>
      <c r="AJ617" s="1" t="s">
        <v>7449</v>
      </c>
      <c r="AK617" s="7">
        <v>45560</v>
      </c>
      <c r="AL617" s="1" t="s">
        <v>7449</v>
      </c>
    </row>
    <row r="618" spans="1:38" s="20" customFormat="1" x14ac:dyDescent="0.25">
      <c r="A618" s="14">
        <v>617</v>
      </c>
      <c r="B618" s="14" t="str">
        <f>_xlfn.CONCAT(AE618,"-",VLOOKUP(AE618,t_objeto!B:D,3,FALSE),"-",A618)</f>
        <v>RRMM-PERCCO-617</v>
      </c>
      <c r="C618" s="22" t="str">
        <f t="shared" si="99"/>
        <v>LAMINA_LISA__ACERO_ROLADA EN CALIENTE_5'X10'_20</v>
      </c>
      <c r="D618" s="14" t="s">
        <v>7407</v>
      </c>
      <c r="E618" s="14" t="s">
        <v>7380</v>
      </c>
      <c r="F618" s="21" t="s">
        <v>7386</v>
      </c>
      <c r="G618" s="22" t="s">
        <v>7382</v>
      </c>
      <c r="H618" s="14">
        <v>20</v>
      </c>
      <c r="I618" s="16">
        <v>0.91</v>
      </c>
      <c r="J618" s="16">
        <f t="shared" si="101"/>
        <v>3.582677165354331E-2</v>
      </c>
      <c r="K618" s="16">
        <v>7.1440000000000001</v>
      </c>
      <c r="L618" s="23"/>
      <c r="M618" s="23"/>
      <c r="N618" s="23"/>
      <c r="O618" s="23"/>
      <c r="P618" s="23"/>
      <c r="Q618" s="19"/>
      <c r="R618" s="17">
        <v>5</v>
      </c>
      <c r="S618" s="17">
        <v>10</v>
      </c>
      <c r="T618" s="16">
        <f t="shared" si="94"/>
        <v>3048</v>
      </c>
      <c r="U618" s="16">
        <f t="shared" si="95"/>
        <v>1524</v>
      </c>
      <c r="V618" s="18">
        <f t="shared" si="102"/>
        <v>4645152</v>
      </c>
      <c r="W618" s="18">
        <f t="shared" si="96"/>
        <v>4.6451520000000004</v>
      </c>
      <c r="X618" s="18">
        <f t="shared" si="97"/>
        <v>33.184965888000001</v>
      </c>
      <c r="Y618" s="24">
        <v>35</v>
      </c>
      <c r="Z618" s="24">
        <f t="shared" si="98"/>
        <v>1161.47380608</v>
      </c>
      <c r="AA618" s="16">
        <v>36</v>
      </c>
      <c r="AB618" s="16">
        <f t="shared" si="104"/>
        <v>2976</v>
      </c>
      <c r="AC618" s="16">
        <f t="shared" si="104"/>
        <v>1452</v>
      </c>
      <c r="AD618" s="19">
        <f t="shared" si="103"/>
        <v>4321152</v>
      </c>
      <c r="AE618" s="1" t="s">
        <v>7456</v>
      </c>
      <c r="AF618" s="1" t="str">
        <f>VLOOKUP(AE618,t_objeto!B:C,2,FALSE)</f>
        <v>RAW_MATERIAL</v>
      </c>
      <c r="AG618" s="1">
        <v>8</v>
      </c>
      <c r="AH618" s="1" t="str">
        <f>VLOOKUP(AG618,t_entry_status!A:AE,2,FALSE)</f>
        <v>PENDING</v>
      </c>
      <c r="AI618" s="7">
        <v>45560</v>
      </c>
      <c r="AJ618" s="1" t="s">
        <v>7449</v>
      </c>
      <c r="AK618" s="7">
        <v>45560</v>
      </c>
      <c r="AL618" s="1" t="s">
        <v>7449</v>
      </c>
    </row>
    <row r="619" spans="1:38" s="20" customFormat="1" x14ac:dyDescent="0.25">
      <c r="A619" s="14">
        <v>618</v>
      </c>
      <c r="B619" s="14" t="str">
        <f>_xlfn.CONCAT(AE619,"-",VLOOKUP(AE619,t_objeto!B:D,3,FALSE),"-",A619)</f>
        <v>RRMM-PERCCO-618</v>
      </c>
      <c r="C619" s="22" t="str">
        <f t="shared" si="99"/>
        <v>LAMINA_LISA__ACERO_ROLADA EN CALIENTE_5'X10'_21</v>
      </c>
      <c r="D619" s="14" t="s">
        <v>7407</v>
      </c>
      <c r="E619" s="14" t="s">
        <v>7380</v>
      </c>
      <c r="F619" s="21" t="s">
        <v>7386</v>
      </c>
      <c r="G619" s="22" t="s">
        <v>7382</v>
      </c>
      <c r="H619" s="14">
        <v>21</v>
      </c>
      <c r="I619" s="16">
        <v>0.84</v>
      </c>
      <c r="J619" s="16">
        <f t="shared" si="101"/>
        <v>3.3070866141732283E-2</v>
      </c>
      <c r="K619" s="16">
        <v>6.5940000000000003</v>
      </c>
      <c r="L619" s="23"/>
      <c r="M619" s="23"/>
      <c r="N619" s="23"/>
      <c r="O619" s="23"/>
      <c r="P619" s="23"/>
      <c r="Q619" s="19"/>
      <c r="R619" s="17">
        <v>5</v>
      </c>
      <c r="S619" s="17">
        <v>10</v>
      </c>
      <c r="T619" s="16">
        <f t="shared" si="94"/>
        <v>3048</v>
      </c>
      <c r="U619" s="16">
        <f t="shared" si="95"/>
        <v>1524</v>
      </c>
      <c r="V619" s="18">
        <f t="shared" si="102"/>
        <v>4645152</v>
      </c>
      <c r="W619" s="18">
        <f t="shared" si="96"/>
        <v>4.6451520000000004</v>
      </c>
      <c r="X619" s="18">
        <f t="shared" si="97"/>
        <v>30.630132288000006</v>
      </c>
      <c r="Y619" s="24">
        <v>35</v>
      </c>
      <c r="Z619" s="24">
        <f t="shared" si="98"/>
        <v>1072.0546300800002</v>
      </c>
      <c r="AA619" s="16">
        <v>37</v>
      </c>
      <c r="AB619" s="16">
        <f t="shared" si="104"/>
        <v>2974</v>
      </c>
      <c r="AC619" s="16">
        <f t="shared" si="104"/>
        <v>1450</v>
      </c>
      <c r="AD619" s="19">
        <f t="shared" si="103"/>
        <v>4312300</v>
      </c>
      <c r="AE619" s="1" t="s">
        <v>7456</v>
      </c>
      <c r="AF619" s="1" t="str">
        <f>VLOOKUP(AE619,t_objeto!B:C,2,FALSE)</f>
        <v>RAW_MATERIAL</v>
      </c>
      <c r="AG619" s="1">
        <v>8</v>
      </c>
      <c r="AH619" s="1" t="str">
        <f>VLOOKUP(AG619,t_entry_status!A:AE,2,FALSE)</f>
        <v>PENDING</v>
      </c>
      <c r="AI619" s="7">
        <v>45560</v>
      </c>
      <c r="AJ619" s="1" t="s">
        <v>7449</v>
      </c>
      <c r="AK619" s="7">
        <v>45560</v>
      </c>
      <c r="AL619" s="1" t="s">
        <v>7449</v>
      </c>
    </row>
    <row r="620" spans="1:38" s="20" customFormat="1" x14ac:dyDescent="0.25">
      <c r="A620" s="14">
        <v>619</v>
      </c>
      <c r="B620" s="14" t="str">
        <f>_xlfn.CONCAT(AE620,"-",VLOOKUP(AE620,t_objeto!B:D,3,FALSE),"-",A620)</f>
        <v>RRMM-PERCCO-619</v>
      </c>
      <c r="C620" s="22" t="str">
        <f t="shared" si="99"/>
        <v>LAMINA_LISA__ACERO_ROLADA EN CALIENTE_5'X10'_22</v>
      </c>
      <c r="D620" s="14" t="s">
        <v>7407</v>
      </c>
      <c r="E620" s="14" t="s">
        <v>7380</v>
      </c>
      <c r="F620" s="21" t="s">
        <v>7386</v>
      </c>
      <c r="G620" s="22" t="s">
        <v>7382</v>
      </c>
      <c r="H620" s="14">
        <v>22</v>
      </c>
      <c r="I620" s="16">
        <v>0.76</v>
      </c>
      <c r="J620" s="16">
        <f t="shared" si="101"/>
        <v>2.9921259842519688E-2</v>
      </c>
      <c r="K620" s="16">
        <v>6.1050000000000004</v>
      </c>
      <c r="L620" s="23"/>
      <c r="M620" s="23"/>
      <c r="N620" s="23"/>
      <c r="O620" s="23"/>
      <c r="P620" s="23"/>
      <c r="Q620" s="19"/>
      <c r="R620" s="17">
        <v>5</v>
      </c>
      <c r="S620" s="17">
        <v>10</v>
      </c>
      <c r="T620" s="16">
        <f t="shared" si="94"/>
        <v>3048</v>
      </c>
      <c r="U620" s="16">
        <f t="shared" si="95"/>
        <v>1524</v>
      </c>
      <c r="V620" s="18">
        <f t="shared" si="102"/>
        <v>4645152</v>
      </c>
      <c r="W620" s="18">
        <f t="shared" si="96"/>
        <v>4.6451520000000004</v>
      </c>
      <c r="X620" s="18">
        <f t="shared" si="97"/>
        <v>28.358652960000004</v>
      </c>
      <c r="Y620" s="24">
        <v>35</v>
      </c>
      <c r="Z620" s="24">
        <f t="shared" si="98"/>
        <v>992.55285360000016</v>
      </c>
      <c r="AA620" s="16">
        <v>38</v>
      </c>
      <c r="AB620" s="16">
        <f t="shared" si="104"/>
        <v>2972</v>
      </c>
      <c r="AC620" s="16">
        <f t="shared" si="104"/>
        <v>1448</v>
      </c>
      <c r="AD620" s="19">
        <f t="shared" si="103"/>
        <v>4303456</v>
      </c>
      <c r="AE620" s="1" t="s">
        <v>7456</v>
      </c>
      <c r="AF620" s="1" t="str">
        <f>VLOOKUP(AE620,t_objeto!B:C,2,FALSE)</f>
        <v>RAW_MATERIAL</v>
      </c>
      <c r="AG620" s="1">
        <v>8</v>
      </c>
      <c r="AH620" s="1" t="str">
        <f>VLOOKUP(AG620,t_entry_status!A:AE,2,FALSE)</f>
        <v>PENDING</v>
      </c>
      <c r="AI620" s="7">
        <v>45560</v>
      </c>
      <c r="AJ620" s="1" t="s">
        <v>7449</v>
      </c>
      <c r="AK620" s="7">
        <v>45560</v>
      </c>
      <c r="AL620" s="1" t="s">
        <v>7449</v>
      </c>
    </row>
    <row r="621" spans="1:38" s="20" customFormat="1" x14ac:dyDescent="0.25">
      <c r="A621" s="14">
        <v>620</v>
      </c>
      <c r="B621" s="14" t="str">
        <f>_xlfn.CONCAT(AE621,"-",VLOOKUP(AE621,t_objeto!B:D,3,FALSE),"-",A621)</f>
        <v>RRMM-PERCCO-620</v>
      </c>
      <c r="C621" s="22" t="str">
        <f t="shared" si="99"/>
        <v>LAMINA_LISA__ACERO_ROLADA EN CALIENTE_5'X10'_23</v>
      </c>
      <c r="D621" s="14" t="s">
        <v>7407</v>
      </c>
      <c r="E621" s="14" t="s">
        <v>7380</v>
      </c>
      <c r="F621" s="21" t="s">
        <v>7386</v>
      </c>
      <c r="G621" s="22" t="s">
        <v>7382</v>
      </c>
      <c r="H621" s="14">
        <v>23</v>
      </c>
      <c r="I621" s="16">
        <v>0.68</v>
      </c>
      <c r="J621" s="16">
        <f t="shared" si="101"/>
        <v>2.677165354330709E-2</v>
      </c>
      <c r="K621" s="16">
        <v>5.3380000000000001</v>
      </c>
      <c r="L621" s="23"/>
      <c r="M621" s="23"/>
      <c r="N621" s="23"/>
      <c r="O621" s="23"/>
      <c r="P621" s="23"/>
      <c r="Q621" s="19"/>
      <c r="R621" s="17">
        <v>5</v>
      </c>
      <c r="S621" s="17">
        <v>10</v>
      </c>
      <c r="T621" s="16">
        <f t="shared" si="94"/>
        <v>3048</v>
      </c>
      <c r="U621" s="16">
        <f t="shared" si="95"/>
        <v>1524</v>
      </c>
      <c r="V621" s="18">
        <f t="shared" si="102"/>
        <v>4645152</v>
      </c>
      <c r="W621" s="18">
        <f t="shared" si="96"/>
        <v>4.6451520000000004</v>
      </c>
      <c r="X621" s="18">
        <f t="shared" si="97"/>
        <v>24.795821376000003</v>
      </c>
      <c r="Y621" s="24">
        <v>35</v>
      </c>
      <c r="Z621" s="24">
        <f t="shared" si="98"/>
        <v>867.85374816000012</v>
      </c>
      <c r="AA621" s="16">
        <v>39</v>
      </c>
      <c r="AB621" s="16">
        <f t="shared" si="104"/>
        <v>2970</v>
      </c>
      <c r="AC621" s="16">
        <f t="shared" si="104"/>
        <v>1446</v>
      </c>
      <c r="AD621" s="19">
        <f t="shared" si="103"/>
        <v>4294620</v>
      </c>
      <c r="AE621" s="1" t="s">
        <v>7456</v>
      </c>
      <c r="AF621" s="1" t="str">
        <f>VLOOKUP(AE621,t_objeto!B:C,2,FALSE)</f>
        <v>RAW_MATERIAL</v>
      </c>
      <c r="AG621" s="1">
        <v>8</v>
      </c>
      <c r="AH621" s="1" t="str">
        <f>VLOOKUP(AG621,t_entry_status!A:AE,2,FALSE)</f>
        <v>PENDING</v>
      </c>
      <c r="AI621" s="7">
        <v>45560</v>
      </c>
      <c r="AJ621" s="1" t="s">
        <v>7449</v>
      </c>
      <c r="AK621" s="7">
        <v>45560</v>
      </c>
      <c r="AL621" s="1" t="s">
        <v>7449</v>
      </c>
    </row>
    <row r="622" spans="1:38" s="20" customFormat="1" x14ac:dyDescent="0.25">
      <c r="A622" s="14">
        <v>621</v>
      </c>
      <c r="B622" s="14" t="str">
        <f>_xlfn.CONCAT(AE622,"-",VLOOKUP(AE622,t_objeto!B:D,3,FALSE),"-",A622)</f>
        <v>RRMM-PERCCO-621</v>
      </c>
      <c r="C622" s="22" t="str">
        <f t="shared" si="99"/>
        <v>LAMINA_LISA__ACERO_ROLADA EN CALIENTE_5'X10'_24</v>
      </c>
      <c r="D622" s="14" t="s">
        <v>7407</v>
      </c>
      <c r="E622" s="14" t="s">
        <v>7380</v>
      </c>
      <c r="F622" s="21" t="s">
        <v>7386</v>
      </c>
      <c r="G622" s="22" t="s">
        <v>7382</v>
      </c>
      <c r="H622" s="14">
        <v>24</v>
      </c>
      <c r="I622" s="16">
        <v>0.61</v>
      </c>
      <c r="J622" s="16">
        <f t="shared" si="101"/>
        <v>2.4015748031496063E-2</v>
      </c>
      <c r="K622" s="16">
        <v>4.7889999999999997</v>
      </c>
      <c r="L622" s="23"/>
      <c r="M622" s="23"/>
      <c r="N622" s="23"/>
      <c r="O622" s="23"/>
      <c r="P622" s="23"/>
      <c r="Q622" s="19"/>
      <c r="R622" s="17">
        <v>5</v>
      </c>
      <c r="S622" s="17">
        <v>10</v>
      </c>
      <c r="T622" s="16">
        <f t="shared" si="94"/>
        <v>3048</v>
      </c>
      <c r="U622" s="16">
        <f t="shared" si="95"/>
        <v>1524</v>
      </c>
      <c r="V622" s="18">
        <f t="shared" si="102"/>
        <v>4645152</v>
      </c>
      <c r="W622" s="18">
        <f t="shared" si="96"/>
        <v>4.6451520000000004</v>
      </c>
      <c r="X622" s="18">
        <f t="shared" si="97"/>
        <v>22.245632927999999</v>
      </c>
      <c r="Y622" s="24">
        <v>35</v>
      </c>
      <c r="Z622" s="24">
        <f t="shared" si="98"/>
        <v>778.59715247999998</v>
      </c>
      <c r="AA622" s="16">
        <v>40</v>
      </c>
      <c r="AB622" s="16">
        <f t="shared" si="104"/>
        <v>2968</v>
      </c>
      <c r="AC622" s="16">
        <f t="shared" si="104"/>
        <v>1444</v>
      </c>
      <c r="AD622" s="19">
        <f t="shared" si="103"/>
        <v>4285792</v>
      </c>
      <c r="AE622" s="1" t="s">
        <v>7456</v>
      </c>
      <c r="AF622" s="1" t="str">
        <f>VLOOKUP(AE622,t_objeto!B:C,2,FALSE)</f>
        <v>RAW_MATERIAL</v>
      </c>
      <c r="AG622" s="1">
        <v>8</v>
      </c>
      <c r="AH622" s="1" t="str">
        <f>VLOOKUP(AG622,t_entry_status!A:AE,2,FALSE)</f>
        <v>PENDING</v>
      </c>
      <c r="AI622" s="7">
        <v>45560</v>
      </c>
      <c r="AJ622" s="1" t="s">
        <v>7449</v>
      </c>
      <c r="AK622" s="7">
        <v>45560</v>
      </c>
      <c r="AL622" s="1" t="s">
        <v>7449</v>
      </c>
    </row>
    <row r="623" spans="1:38" s="20" customFormat="1" x14ac:dyDescent="0.25">
      <c r="A623" s="14">
        <v>622</v>
      </c>
      <c r="B623" s="14" t="str">
        <f>_xlfn.CONCAT(AE623,"-",VLOOKUP(AE623,t_objeto!B:D,3,FALSE),"-",A623)</f>
        <v>RRMM-PERCCO-622</v>
      </c>
      <c r="C623" s="22" t="str">
        <f t="shared" si="99"/>
        <v>LAMINA_LISA__ACERO_ROLADA EN CALIENTE_5'X10'_25</v>
      </c>
      <c r="D623" s="14" t="s">
        <v>7407</v>
      </c>
      <c r="E623" s="14" t="s">
        <v>7380</v>
      </c>
      <c r="F623" s="21" t="s">
        <v>7386</v>
      </c>
      <c r="G623" s="22" t="s">
        <v>7382</v>
      </c>
      <c r="H623" s="14">
        <v>25</v>
      </c>
      <c r="I623" s="16">
        <v>0.53</v>
      </c>
      <c r="J623" s="16">
        <f t="shared" si="101"/>
        <v>2.0866141732283468E-2</v>
      </c>
      <c r="K623" s="16">
        <v>4.1609999999999996</v>
      </c>
      <c r="L623" s="23"/>
      <c r="M623" s="23"/>
      <c r="N623" s="23"/>
      <c r="O623" s="23"/>
      <c r="P623" s="23"/>
      <c r="Q623" s="19"/>
      <c r="R623" s="17">
        <v>5</v>
      </c>
      <c r="S623" s="17">
        <v>10</v>
      </c>
      <c r="T623" s="16">
        <f t="shared" si="94"/>
        <v>3048</v>
      </c>
      <c r="U623" s="16">
        <f t="shared" si="95"/>
        <v>1524</v>
      </c>
      <c r="V623" s="18">
        <f t="shared" si="102"/>
        <v>4645152</v>
      </c>
      <c r="W623" s="18">
        <f t="shared" si="96"/>
        <v>4.6451520000000004</v>
      </c>
      <c r="X623" s="18">
        <f t="shared" si="97"/>
        <v>19.328477471999999</v>
      </c>
      <c r="Y623" s="24">
        <v>35</v>
      </c>
      <c r="Z623" s="24">
        <f t="shared" si="98"/>
        <v>676.49671151999996</v>
      </c>
      <c r="AA623" s="16">
        <v>41</v>
      </c>
      <c r="AB623" s="16">
        <f t="shared" si="104"/>
        <v>2966</v>
      </c>
      <c r="AC623" s="16">
        <f t="shared" si="104"/>
        <v>1442</v>
      </c>
      <c r="AD623" s="19">
        <f t="shared" si="103"/>
        <v>4276972</v>
      </c>
      <c r="AE623" s="1" t="s">
        <v>7456</v>
      </c>
      <c r="AF623" s="1" t="str">
        <f>VLOOKUP(AE623,t_objeto!B:C,2,FALSE)</f>
        <v>RAW_MATERIAL</v>
      </c>
      <c r="AG623" s="1">
        <v>8</v>
      </c>
      <c r="AH623" s="1" t="str">
        <f>VLOOKUP(AG623,t_entry_status!A:AE,2,FALSE)</f>
        <v>PENDING</v>
      </c>
      <c r="AI623" s="7">
        <v>45560</v>
      </c>
      <c r="AJ623" s="1" t="s">
        <v>7449</v>
      </c>
      <c r="AK623" s="7">
        <v>45560</v>
      </c>
      <c r="AL623" s="1" t="s">
        <v>7449</v>
      </c>
    </row>
    <row r="624" spans="1:38" s="20" customFormat="1" x14ac:dyDescent="0.25">
      <c r="A624" s="14">
        <v>623</v>
      </c>
      <c r="B624" s="14" t="str">
        <f>_xlfn.CONCAT(AE624,"-",VLOOKUP(AE624,t_objeto!B:D,3,FALSE),"-",A624)</f>
        <v>RRMM-PERCCO-623</v>
      </c>
      <c r="C624" s="22" t="str">
        <f t="shared" si="99"/>
        <v>LAMINA_LISA__ACERO_ROLADA EN CALIENTE_5'X10'_26</v>
      </c>
      <c r="D624" s="14" t="s">
        <v>7407</v>
      </c>
      <c r="E624" s="14" t="s">
        <v>7380</v>
      </c>
      <c r="F624" s="21" t="s">
        <v>7386</v>
      </c>
      <c r="G624" s="22" t="s">
        <v>7382</v>
      </c>
      <c r="H624" s="14">
        <v>26</v>
      </c>
      <c r="I624" s="16">
        <v>0.45</v>
      </c>
      <c r="J624" s="16">
        <f t="shared" si="101"/>
        <v>1.7716535433070866E-2</v>
      </c>
      <c r="K624" s="16">
        <v>3.5329999999999999</v>
      </c>
      <c r="L624" s="23"/>
      <c r="M624" s="23"/>
      <c r="N624" s="23"/>
      <c r="O624" s="23"/>
      <c r="P624" s="23"/>
      <c r="Q624" s="19"/>
      <c r="R624" s="17">
        <v>5</v>
      </c>
      <c r="S624" s="17">
        <v>10</v>
      </c>
      <c r="T624" s="16">
        <f t="shared" si="94"/>
        <v>3048</v>
      </c>
      <c r="U624" s="16">
        <f t="shared" si="95"/>
        <v>1524</v>
      </c>
      <c r="V624" s="18">
        <f t="shared" si="102"/>
        <v>4645152</v>
      </c>
      <c r="W624" s="18">
        <f t="shared" si="96"/>
        <v>4.6451520000000004</v>
      </c>
      <c r="X624" s="18">
        <f t="shared" si="97"/>
        <v>16.411322016</v>
      </c>
      <c r="Y624" s="24">
        <v>35</v>
      </c>
      <c r="Z624" s="24">
        <f t="shared" si="98"/>
        <v>574.39627055999995</v>
      </c>
      <c r="AA624" s="16">
        <v>42</v>
      </c>
      <c r="AB624" s="16">
        <f t="shared" si="104"/>
        <v>2964</v>
      </c>
      <c r="AC624" s="16">
        <f t="shared" si="104"/>
        <v>1440</v>
      </c>
      <c r="AD624" s="19">
        <f t="shared" si="103"/>
        <v>4268160</v>
      </c>
      <c r="AE624" s="1" t="s">
        <v>7456</v>
      </c>
      <c r="AF624" s="1" t="str">
        <f>VLOOKUP(AE624,t_objeto!B:C,2,FALSE)</f>
        <v>RAW_MATERIAL</v>
      </c>
      <c r="AG624" s="1">
        <v>8</v>
      </c>
      <c r="AH624" s="1" t="str">
        <f>VLOOKUP(AG624,t_entry_status!A:AE,2,FALSE)</f>
        <v>PENDING</v>
      </c>
      <c r="AI624" s="7">
        <v>45560</v>
      </c>
      <c r="AJ624" s="1" t="s">
        <v>7449</v>
      </c>
      <c r="AK624" s="7">
        <v>45560</v>
      </c>
      <c r="AL624" s="1" t="s">
        <v>7449</v>
      </c>
    </row>
    <row r="625" spans="1:38" s="20" customFormat="1" x14ac:dyDescent="0.25">
      <c r="A625" s="14">
        <v>624</v>
      </c>
      <c r="B625" s="14" t="str">
        <f>_xlfn.CONCAT(AE625,"-",VLOOKUP(AE625,t_objeto!B:D,3,FALSE),"-",A625)</f>
        <v>RRMM-PERCCO-624</v>
      </c>
      <c r="C625" s="22" t="str">
        <f t="shared" si="99"/>
        <v>LAMINA_LISA__ACERO_ROLADA EN CALIENTE_5'X10'_27</v>
      </c>
      <c r="D625" s="14" t="s">
        <v>7407</v>
      </c>
      <c r="E625" s="14" t="s">
        <v>7380</v>
      </c>
      <c r="F625" s="21" t="s">
        <v>7386</v>
      </c>
      <c r="G625" s="22" t="s">
        <v>7382</v>
      </c>
      <c r="H625" s="14">
        <v>27</v>
      </c>
      <c r="I625" s="16">
        <v>0.42</v>
      </c>
      <c r="J625" s="16">
        <f t="shared" si="101"/>
        <v>1.6535433070866142E-2</v>
      </c>
      <c r="K625" s="16">
        <v>3.2970000000000002</v>
      </c>
      <c r="L625" s="23"/>
      <c r="M625" s="23"/>
      <c r="N625" s="23"/>
      <c r="O625" s="23"/>
      <c r="P625" s="23"/>
      <c r="Q625" s="19"/>
      <c r="R625" s="17">
        <v>5</v>
      </c>
      <c r="S625" s="17">
        <v>10</v>
      </c>
      <c r="T625" s="16">
        <f t="shared" si="94"/>
        <v>3048</v>
      </c>
      <c r="U625" s="16">
        <f t="shared" si="95"/>
        <v>1524</v>
      </c>
      <c r="V625" s="18">
        <f t="shared" si="102"/>
        <v>4645152</v>
      </c>
      <c r="W625" s="18">
        <f t="shared" si="96"/>
        <v>4.6451520000000004</v>
      </c>
      <c r="X625" s="18">
        <f t="shared" si="97"/>
        <v>15.315066144000003</v>
      </c>
      <c r="Y625" s="24">
        <v>35</v>
      </c>
      <c r="Z625" s="24">
        <f t="shared" si="98"/>
        <v>536.02731504000008</v>
      </c>
      <c r="AA625" s="16">
        <v>43</v>
      </c>
      <c r="AB625" s="16">
        <f t="shared" si="104"/>
        <v>2962</v>
      </c>
      <c r="AC625" s="16">
        <f t="shared" si="104"/>
        <v>1438</v>
      </c>
      <c r="AD625" s="19">
        <f t="shared" si="103"/>
        <v>4259356</v>
      </c>
      <c r="AE625" s="1" t="s">
        <v>7456</v>
      </c>
      <c r="AF625" s="1" t="str">
        <f>VLOOKUP(AE625,t_objeto!B:C,2,FALSE)</f>
        <v>RAW_MATERIAL</v>
      </c>
      <c r="AG625" s="1">
        <v>8</v>
      </c>
      <c r="AH625" s="1" t="str">
        <f>VLOOKUP(AG625,t_entry_status!A:AE,2,FALSE)</f>
        <v>PENDING</v>
      </c>
      <c r="AI625" s="7">
        <v>45560</v>
      </c>
      <c r="AJ625" s="1" t="s">
        <v>7449</v>
      </c>
      <c r="AK625" s="7">
        <v>45560</v>
      </c>
      <c r="AL625" s="1" t="s">
        <v>7449</v>
      </c>
    </row>
    <row r="626" spans="1:38" s="20" customFormat="1" x14ac:dyDescent="0.25">
      <c r="A626" s="14">
        <v>625</v>
      </c>
      <c r="B626" s="14" t="str">
        <f>_xlfn.CONCAT(AE626,"-",VLOOKUP(AE626,t_objeto!B:D,3,FALSE),"-",A626)</f>
        <v>RRMM-PERCCO-625</v>
      </c>
      <c r="C626" s="22" t="str">
        <f t="shared" si="99"/>
        <v>LAMINA_LISA__ACERO_ROLADA EN CALIENTE_5'X10'_28</v>
      </c>
      <c r="D626" s="14" t="s">
        <v>7407</v>
      </c>
      <c r="E626" s="14" t="s">
        <v>7380</v>
      </c>
      <c r="F626" s="21" t="s">
        <v>7386</v>
      </c>
      <c r="G626" s="22" t="s">
        <v>7382</v>
      </c>
      <c r="H626" s="14">
        <v>28</v>
      </c>
      <c r="I626" s="16">
        <v>0.38</v>
      </c>
      <c r="J626" s="16">
        <f t="shared" si="101"/>
        <v>1.4960629921259844E-2</v>
      </c>
      <c r="K626" s="16">
        <v>2.9830000000000001</v>
      </c>
      <c r="L626" s="23"/>
      <c r="M626" s="23"/>
      <c r="N626" s="23"/>
      <c r="O626" s="23"/>
      <c r="P626" s="23"/>
      <c r="Q626" s="19"/>
      <c r="R626" s="17">
        <v>5</v>
      </c>
      <c r="S626" s="17">
        <v>10</v>
      </c>
      <c r="T626" s="16">
        <f t="shared" si="94"/>
        <v>3048</v>
      </c>
      <c r="U626" s="16">
        <f t="shared" si="95"/>
        <v>1524</v>
      </c>
      <c r="V626" s="18">
        <f t="shared" si="102"/>
        <v>4645152</v>
      </c>
      <c r="W626" s="18">
        <f t="shared" si="96"/>
        <v>4.6451520000000004</v>
      </c>
      <c r="X626" s="18">
        <f t="shared" si="97"/>
        <v>13.856488416000001</v>
      </c>
      <c r="Y626" s="24">
        <v>35</v>
      </c>
      <c r="Z626" s="24">
        <f t="shared" si="98"/>
        <v>484.97709456000007</v>
      </c>
      <c r="AA626" s="16">
        <v>44</v>
      </c>
      <c r="AB626" s="16">
        <f t="shared" si="104"/>
        <v>2960</v>
      </c>
      <c r="AC626" s="16">
        <f t="shared" si="104"/>
        <v>1436</v>
      </c>
      <c r="AD626" s="19">
        <f t="shared" si="103"/>
        <v>4250560</v>
      </c>
      <c r="AE626" s="1" t="s">
        <v>7456</v>
      </c>
      <c r="AF626" s="1" t="str">
        <f>VLOOKUP(AE626,t_objeto!B:C,2,FALSE)</f>
        <v>RAW_MATERIAL</v>
      </c>
      <c r="AG626" s="1">
        <v>8</v>
      </c>
      <c r="AH626" s="1" t="str">
        <f>VLOOKUP(AG626,t_entry_status!A:AE,2,FALSE)</f>
        <v>PENDING</v>
      </c>
      <c r="AI626" s="7">
        <v>45560</v>
      </c>
      <c r="AJ626" s="1" t="s">
        <v>7449</v>
      </c>
      <c r="AK626" s="7">
        <v>45560</v>
      </c>
      <c r="AL626" s="1" t="s">
        <v>7449</v>
      </c>
    </row>
    <row r="627" spans="1:38" s="20" customFormat="1" x14ac:dyDescent="0.25">
      <c r="A627" s="14">
        <v>626</v>
      </c>
      <c r="B627" s="14" t="str">
        <f>_xlfn.CONCAT(AE627,"-",VLOOKUP(AE627,t_objeto!B:D,3,FALSE),"-",A627)</f>
        <v>RRMM-PERCCO-626</v>
      </c>
      <c r="C627" s="22" t="str">
        <f t="shared" si="99"/>
        <v>LAMINA_LISA__ACERO_ROLADA EN CALIENTE_5'X10'_29</v>
      </c>
      <c r="D627" s="14" t="s">
        <v>7407</v>
      </c>
      <c r="E627" s="14" t="s">
        <v>7380</v>
      </c>
      <c r="F627" s="21" t="s">
        <v>7386</v>
      </c>
      <c r="G627" s="22" t="s">
        <v>7382</v>
      </c>
      <c r="H627" s="14">
        <v>29</v>
      </c>
      <c r="I627" s="16">
        <v>0.34</v>
      </c>
      <c r="J627" s="16">
        <f t="shared" si="101"/>
        <v>1.3385826771653545E-2</v>
      </c>
      <c r="K627" s="16">
        <v>2.669</v>
      </c>
      <c r="L627" s="23"/>
      <c r="M627" s="23"/>
      <c r="N627" s="23"/>
      <c r="O627" s="23"/>
      <c r="P627" s="23"/>
      <c r="Q627" s="19"/>
      <c r="R627" s="17">
        <v>5</v>
      </c>
      <c r="S627" s="17">
        <v>10</v>
      </c>
      <c r="T627" s="16">
        <f t="shared" si="94"/>
        <v>3048</v>
      </c>
      <c r="U627" s="16">
        <f t="shared" si="95"/>
        <v>1524</v>
      </c>
      <c r="V627" s="18">
        <f t="shared" si="102"/>
        <v>4645152</v>
      </c>
      <c r="W627" s="18">
        <f t="shared" si="96"/>
        <v>4.6451520000000004</v>
      </c>
      <c r="X627" s="18">
        <f t="shared" si="97"/>
        <v>12.397910688000001</v>
      </c>
      <c r="Y627" s="24">
        <v>35</v>
      </c>
      <c r="Z627" s="24">
        <f t="shared" si="98"/>
        <v>433.92687408000006</v>
      </c>
      <c r="AA627" s="16">
        <v>45</v>
      </c>
      <c r="AB627" s="16">
        <f t="shared" si="104"/>
        <v>2958</v>
      </c>
      <c r="AC627" s="16">
        <f t="shared" si="104"/>
        <v>1434</v>
      </c>
      <c r="AD627" s="19">
        <f t="shared" si="103"/>
        <v>4241772</v>
      </c>
      <c r="AE627" s="1" t="s">
        <v>7456</v>
      </c>
      <c r="AF627" s="1" t="str">
        <f>VLOOKUP(AE627,t_objeto!B:C,2,FALSE)</f>
        <v>RAW_MATERIAL</v>
      </c>
      <c r="AG627" s="1">
        <v>8</v>
      </c>
      <c r="AH627" s="1" t="str">
        <f>VLOOKUP(AG627,t_entry_status!A:AE,2,FALSE)</f>
        <v>PENDING</v>
      </c>
      <c r="AI627" s="7">
        <v>45560</v>
      </c>
      <c r="AJ627" s="1" t="s">
        <v>7449</v>
      </c>
      <c r="AK627" s="7">
        <v>45560</v>
      </c>
      <c r="AL627" s="1" t="s">
        <v>7449</v>
      </c>
    </row>
    <row r="628" spans="1:38" s="20" customFormat="1" x14ac:dyDescent="0.25">
      <c r="A628" s="14">
        <v>627</v>
      </c>
      <c r="B628" s="14" t="str">
        <f>_xlfn.CONCAT(AE628,"-",VLOOKUP(AE628,t_objeto!B:D,3,FALSE),"-",A628)</f>
        <v>RRMM-PERCCO-627</v>
      </c>
      <c r="C628" s="22" t="str">
        <f t="shared" si="99"/>
        <v>LAMINA_LISA__ACERO_ROLADA EN CALIENTE_5'X10'_30</v>
      </c>
      <c r="D628" s="14" t="s">
        <v>7407</v>
      </c>
      <c r="E628" s="14" t="s">
        <v>7380</v>
      </c>
      <c r="F628" s="21" t="s">
        <v>7386</v>
      </c>
      <c r="G628" s="22" t="s">
        <v>7382</v>
      </c>
      <c r="H628" s="14">
        <v>30</v>
      </c>
      <c r="I628" s="16">
        <v>0.3</v>
      </c>
      <c r="J628" s="16">
        <f t="shared" si="101"/>
        <v>1.1811023622047244E-2</v>
      </c>
      <c r="K628" s="16">
        <v>2.355</v>
      </c>
      <c r="L628" s="23"/>
      <c r="M628" s="23"/>
      <c r="N628" s="23"/>
      <c r="O628" s="23"/>
      <c r="P628" s="23"/>
      <c r="Q628" s="19"/>
      <c r="R628" s="17">
        <v>5</v>
      </c>
      <c r="S628" s="17">
        <v>10</v>
      </c>
      <c r="T628" s="16">
        <f t="shared" si="94"/>
        <v>3048</v>
      </c>
      <c r="U628" s="16">
        <f t="shared" si="95"/>
        <v>1524</v>
      </c>
      <c r="V628" s="18">
        <f t="shared" si="102"/>
        <v>4645152</v>
      </c>
      <c r="W628" s="18">
        <f t="shared" si="96"/>
        <v>4.6451520000000004</v>
      </c>
      <c r="X628" s="18">
        <f t="shared" si="97"/>
        <v>10.939332960000002</v>
      </c>
      <c r="Y628" s="24">
        <v>35</v>
      </c>
      <c r="Z628" s="24">
        <f t="shared" si="98"/>
        <v>382.87665360000005</v>
      </c>
      <c r="AA628" s="16">
        <v>46</v>
      </c>
      <c r="AB628" s="16">
        <f t="shared" si="104"/>
        <v>2956</v>
      </c>
      <c r="AC628" s="16">
        <f t="shared" si="104"/>
        <v>1432</v>
      </c>
      <c r="AD628" s="19">
        <f t="shared" si="103"/>
        <v>4232992</v>
      </c>
      <c r="AE628" s="1" t="s">
        <v>7456</v>
      </c>
      <c r="AF628" s="1" t="str">
        <f>VLOOKUP(AE628,t_objeto!B:C,2,FALSE)</f>
        <v>RAW_MATERIAL</v>
      </c>
      <c r="AG628" s="1">
        <v>8</v>
      </c>
      <c r="AH628" s="1" t="str">
        <f>VLOOKUP(AG628,t_entry_status!A:AE,2,FALSE)</f>
        <v>PENDING</v>
      </c>
      <c r="AI628" s="7">
        <v>45560</v>
      </c>
      <c r="AJ628" s="1" t="s">
        <v>7449</v>
      </c>
      <c r="AK628" s="7">
        <v>45560</v>
      </c>
      <c r="AL628" s="1" t="s">
        <v>7449</v>
      </c>
    </row>
    <row r="629" spans="1:38" s="20" customFormat="1" x14ac:dyDescent="0.25">
      <c r="A629" s="14">
        <v>628</v>
      </c>
      <c r="B629" s="14" t="str">
        <f>_xlfn.CONCAT(AE629,"-",VLOOKUP(AE629,t_objeto!B:D,3,FALSE),"-",A629)</f>
        <v>RRMM-PERCCO-628</v>
      </c>
      <c r="C629" s="22" t="str">
        <f t="shared" si="99"/>
        <v>PLACA__ACERO_ROLADA EN FRIO_5'X10'_1"</v>
      </c>
      <c r="D629" s="14" t="s">
        <v>7385</v>
      </c>
      <c r="E629" s="14" t="s">
        <v>7380</v>
      </c>
      <c r="F629" s="21" t="s">
        <v>7400</v>
      </c>
      <c r="G629" s="22" t="s">
        <v>7382</v>
      </c>
      <c r="H629" s="14" t="s">
        <v>7387</v>
      </c>
      <c r="I629" s="16">
        <v>25.4</v>
      </c>
      <c r="J629" s="16">
        <f t="shared" si="101"/>
        <v>1</v>
      </c>
      <c r="K629" s="16">
        <v>199.39</v>
      </c>
      <c r="L629" s="23"/>
      <c r="M629" s="23"/>
      <c r="N629" s="23"/>
      <c r="O629" s="23"/>
      <c r="P629" s="23"/>
      <c r="Q629" s="19"/>
      <c r="R629" s="17">
        <v>5</v>
      </c>
      <c r="S629" s="17">
        <v>10</v>
      </c>
      <c r="T629" s="16">
        <f t="shared" si="94"/>
        <v>3048</v>
      </c>
      <c r="U629" s="16">
        <f t="shared" si="95"/>
        <v>1524</v>
      </c>
      <c r="V629" s="18">
        <f t="shared" si="102"/>
        <v>4645152</v>
      </c>
      <c r="W629" s="18">
        <f t="shared" si="96"/>
        <v>4.6451520000000004</v>
      </c>
      <c r="X629" s="18">
        <f t="shared" si="97"/>
        <v>926.19685728000002</v>
      </c>
      <c r="Y629" s="24">
        <v>35</v>
      </c>
      <c r="Z629" s="24">
        <f t="shared" si="98"/>
        <v>32416.8900048</v>
      </c>
      <c r="AA629" s="16">
        <v>8</v>
      </c>
      <c r="AB629" s="16">
        <f t="shared" si="104"/>
        <v>3032</v>
      </c>
      <c r="AC629" s="16">
        <f t="shared" si="104"/>
        <v>1508</v>
      </c>
      <c r="AD629" s="19">
        <f t="shared" si="103"/>
        <v>4572256</v>
      </c>
      <c r="AE629" s="1" t="s">
        <v>7456</v>
      </c>
      <c r="AF629" s="1" t="str">
        <f>VLOOKUP(AE629,t_objeto!B:C,2,FALSE)</f>
        <v>RAW_MATERIAL</v>
      </c>
      <c r="AG629" s="1">
        <v>8</v>
      </c>
      <c r="AH629" s="1" t="str">
        <f>VLOOKUP(AG629,t_entry_status!A:AE,2,FALSE)</f>
        <v>PENDING</v>
      </c>
      <c r="AI629" s="7">
        <v>45560</v>
      </c>
      <c r="AJ629" s="1" t="s">
        <v>7449</v>
      </c>
      <c r="AK629" s="7">
        <v>45560</v>
      </c>
      <c r="AL629" s="1" t="s">
        <v>7449</v>
      </c>
    </row>
    <row r="630" spans="1:38" s="20" customFormat="1" x14ac:dyDescent="0.25">
      <c r="A630" s="14">
        <v>629</v>
      </c>
      <c r="B630" s="14" t="str">
        <f>_xlfn.CONCAT(AE630,"-",VLOOKUP(AE630,t_objeto!B:D,3,FALSE),"-",A630)</f>
        <v>RRMM-PERCCO-629</v>
      </c>
      <c r="C630" s="22" t="str">
        <f t="shared" si="99"/>
        <v>PLACA__ACERO_ROLADA EN FRIO_5'X10'_7/8"</v>
      </c>
      <c r="D630" s="14" t="s">
        <v>7385</v>
      </c>
      <c r="E630" s="14" t="s">
        <v>7380</v>
      </c>
      <c r="F630" s="21" t="s">
        <v>7400</v>
      </c>
      <c r="G630" s="22" t="s">
        <v>7382</v>
      </c>
      <c r="H630" s="14" t="s">
        <v>7388</v>
      </c>
      <c r="I630" s="16">
        <v>22.22</v>
      </c>
      <c r="J630" s="16">
        <f t="shared" si="101"/>
        <v>0.87480314960629924</v>
      </c>
      <c r="K630" s="16">
        <v>174.42699999999999</v>
      </c>
      <c r="L630" s="23"/>
      <c r="M630" s="23"/>
      <c r="N630" s="23"/>
      <c r="O630" s="23"/>
      <c r="P630" s="23"/>
      <c r="Q630" s="19"/>
      <c r="R630" s="17">
        <v>5</v>
      </c>
      <c r="S630" s="17">
        <v>10</v>
      </c>
      <c r="T630" s="16">
        <f t="shared" si="94"/>
        <v>3048</v>
      </c>
      <c r="U630" s="16">
        <f t="shared" si="95"/>
        <v>1524</v>
      </c>
      <c r="V630" s="18">
        <f t="shared" si="102"/>
        <v>4645152</v>
      </c>
      <c r="W630" s="18">
        <f t="shared" si="96"/>
        <v>4.6451520000000004</v>
      </c>
      <c r="X630" s="18">
        <f t="shared" si="97"/>
        <v>810.23992790400007</v>
      </c>
      <c r="Y630" s="24">
        <v>35</v>
      </c>
      <c r="Z630" s="24">
        <f t="shared" si="98"/>
        <v>28358.397476640002</v>
      </c>
      <c r="AA630" s="16">
        <v>9</v>
      </c>
      <c r="AB630" s="16">
        <f t="shared" si="104"/>
        <v>3030</v>
      </c>
      <c r="AC630" s="16">
        <f t="shared" si="104"/>
        <v>1506</v>
      </c>
      <c r="AD630" s="19">
        <f t="shared" si="103"/>
        <v>4563180</v>
      </c>
      <c r="AE630" s="1" t="s">
        <v>7456</v>
      </c>
      <c r="AF630" s="1" t="str">
        <f>VLOOKUP(AE630,t_objeto!B:C,2,FALSE)</f>
        <v>RAW_MATERIAL</v>
      </c>
      <c r="AG630" s="1">
        <v>8</v>
      </c>
      <c r="AH630" s="1" t="str">
        <f>VLOOKUP(AG630,t_entry_status!A:AE,2,FALSE)</f>
        <v>PENDING</v>
      </c>
      <c r="AI630" s="7">
        <v>45560</v>
      </c>
      <c r="AJ630" s="1" t="s">
        <v>7449</v>
      </c>
      <c r="AK630" s="7">
        <v>45560</v>
      </c>
      <c r="AL630" s="1" t="s">
        <v>7449</v>
      </c>
    </row>
    <row r="631" spans="1:38" s="20" customFormat="1" x14ac:dyDescent="0.25">
      <c r="A631" s="14">
        <v>630</v>
      </c>
      <c r="B631" s="14" t="str">
        <f>_xlfn.CONCAT(AE631,"-",VLOOKUP(AE631,t_objeto!B:D,3,FALSE),"-",A631)</f>
        <v>RRMM-PERCCO-630</v>
      </c>
      <c r="C631" s="22" t="str">
        <f t="shared" si="99"/>
        <v>PLACA__ACERO_ROLADA EN FRIO_5'X10'_3/4"</v>
      </c>
      <c r="D631" s="14" t="s">
        <v>7385</v>
      </c>
      <c r="E631" s="14" t="s">
        <v>7380</v>
      </c>
      <c r="F631" s="21" t="s">
        <v>7400</v>
      </c>
      <c r="G631" s="22" t="s">
        <v>7382</v>
      </c>
      <c r="H631" s="14" t="s">
        <v>7389</v>
      </c>
      <c r="I631" s="16">
        <v>19.05</v>
      </c>
      <c r="J631" s="16">
        <f t="shared" si="101"/>
        <v>0.75000000000000011</v>
      </c>
      <c r="K631" s="16">
        <v>149.54300000000001</v>
      </c>
      <c r="L631" s="23"/>
      <c r="M631" s="23"/>
      <c r="N631" s="23"/>
      <c r="O631" s="23"/>
      <c r="P631" s="23"/>
      <c r="Q631" s="19"/>
      <c r="R631" s="17">
        <v>5</v>
      </c>
      <c r="S631" s="17">
        <v>10</v>
      </c>
      <c r="T631" s="16">
        <f t="shared" si="94"/>
        <v>3048</v>
      </c>
      <c r="U631" s="16">
        <f t="shared" si="95"/>
        <v>1524</v>
      </c>
      <c r="V631" s="18">
        <f t="shared" si="102"/>
        <v>4645152</v>
      </c>
      <c r="W631" s="18">
        <f t="shared" si="96"/>
        <v>4.6451520000000004</v>
      </c>
      <c r="X631" s="18">
        <f t="shared" si="97"/>
        <v>694.64996553600008</v>
      </c>
      <c r="Y631" s="24">
        <v>35</v>
      </c>
      <c r="Z631" s="24">
        <f t="shared" si="98"/>
        <v>24312.748793760002</v>
      </c>
      <c r="AA631" s="16">
        <v>10</v>
      </c>
      <c r="AB631" s="16">
        <f t="shared" si="104"/>
        <v>3028</v>
      </c>
      <c r="AC631" s="16">
        <f t="shared" si="104"/>
        <v>1504</v>
      </c>
      <c r="AD631" s="19">
        <f t="shared" si="103"/>
        <v>4554112</v>
      </c>
      <c r="AE631" s="1" t="s">
        <v>7456</v>
      </c>
      <c r="AF631" s="1" t="str">
        <f>VLOOKUP(AE631,t_objeto!B:C,2,FALSE)</f>
        <v>RAW_MATERIAL</v>
      </c>
      <c r="AG631" s="1">
        <v>8</v>
      </c>
      <c r="AH631" s="1" t="str">
        <f>VLOOKUP(AG631,t_entry_status!A:AE,2,FALSE)</f>
        <v>PENDING</v>
      </c>
      <c r="AI631" s="7">
        <v>45560</v>
      </c>
      <c r="AJ631" s="1" t="s">
        <v>7449</v>
      </c>
      <c r="AK631" s="7">
        <v>45560</v>
      </c>
      <c r="AL631" s="1" t="s">
        <v>7449</v>
      </c>
    </row>
    <row r="632" spans="1:38" s="20" customFormat="1" x14ac:dyDescent="0.25">
      <c r="A632" s="14">
        <v>631</v>
      </c>
      <c r="B632" s="14" t="str">
        <f>_xlfn.CONCAT(AE632,"-",VLOOKUP(AE632,t_objeto!B:D,3,FALSE),"-",A632)</f>
        <v>RRMM-PERCCO-631</v>
      </c>
      <c r="C632" s="22" t="str">
        <f t="shared" si="99"/>
        <v>PLACA__ACERO_ROLADA EN FRIO_5'X10'_11/16"</v>
      </c>
      <c r="D632" s="14" t="s">
        <v>7385</v>
      </c>
      <c r="E632" s="14" t="s">
        <v>7380</v>
      </c>
      <c r="F632" s="21" t="s">
        <v>7400</v>
      </c>
      <c r="G632" s="22" t="s">
        <v>7382</v>
      </c>
      <c r="H632" s="14" t="s">
        <v>7390</v>
      </c>
      <c r="I632" s="16">
        <v>17.46</v>
      </c>
      <c r="J632" s="16">
        <f t="shared" si="101"/>
        <v>0.68740157480314967</v>
      </c>
      <c r="K632" s="16">
        <v>137.06100000000001</v>
      </c>
      <c r="L632" s="23"/>
      <c r="M632" s="23"/>
      <c r="N632" s="23"/>
      <c r="O632" s="23"/>
      <c r="P632" s="23"/>
      <c r="Q632" s="19"/>
      <c r="R632" s="17">
        <v>5</v>
      </c>
      <c r="S632" s="17">
        <v>10</v>
      </c>
      <c r="T632" s="16">
        <f t="shared" si="94"/>
        <v>3048</v>
      </c>
      <c r="U632" s="16">
        <f t="shared" si="95"/>
        <v>1524</v>
      </c>
      <c r="V632" s="18">
        <f t="shared" si="102"/>
        <v>4645152</v>
      </c>
      <c r="W632" s="18">
        <f t="shared" si="96"/>
        <v>4.6451520000000004</v>
      </c>
      <c r="X632" s="18">
        <f t="shared" si="97"/>
        <v>636.66917827200007</v>
      </c>
      <c r="Y632" s="24">
        <v>35</v>
      </c>
      <c r="Z632" s="24">
        <f t="shared" si="98"/>
        <v>22283.421239520001</v>
      </c>
      <c r="AA632" s="16">
        <v>11</v>
      </c>
      <c r="AB632" s="16">
        <f t="shared" si="104"/>
        <v>3026</v>
      </c>
      <c r="AC632" s="16">
        <f t="shared" si="104"/>
        <v>1502</v>
      </c>
      <c r="AD632" s="19">
        <f t="shared" si="103"/>
        <v>4545052</v>
      </c>
      <c r="AE632" s="1" t="s">
        <v>7456</v>
      </c>
      <c r="AF632" s="1" t="str">
        <f>VLOOKUP(AE632,t_objeto!B:C,2,FALSE)</f>
        <v>RAW_MATERIAL</v>
      </c>
      <c r="AG632" s="1">
        <v>8</v>
      </c>
      <c r="AH632" s="1" t="str">
        <f>VLOOKUP(AG632,t_entry_status!A:AE,2,FALSE)</f>
        <v>PENDING</v>
      </c>
      <c r="AI632" s="7">
        <v>45560</v>
      </c>
      <c r="AJ632" s="1" t="s">
        <v>7449</v>
      </c>
      <c r="AK632" s="7">
        <v>45560</v>
      </c>
      <c r="AL632" s="1" t="s">
        <v>7449</v>
      </c>
    </row>
    <row r="633" spans="1:38" s="20" customFormat="1" x14ac:dyDescent="0.25">
      <c r="A633" s="14">
        <v>632</v>
      </c>
      <c r="B633" s="14" t="str">
        <f>_xlfn.CONCAT(AE633,"-",VLOOKUP(AE633,t_objeto!B:D,3,FALSE),"-",A633)</f>
        <v>RRMM-PERCCO-632</v>
      </c>
      <c r="C633" s="22" t="str">
        <f t="shared" si="99"/>
        <v>PLACA__ACERO_ROLADA EN FRIO_5'X10'_5/8"</v>
      </c>
      <c r="D633" s="14" t="s">
        <v>7385</v>
      </c>
      <c r="E633" s="14" t="s">
        <v>7380</v>
      </c>
      <c r="F633" s="21" t="s">
        <v>7400</v>
      </c>
      <c r="G633" s="22" t="s">
        <v>7382</v>
      </c>
      <c r="H633" s="14" t="s">
        <v>7391</v>
      </c>
      <c r="I633" s="16">
        <v>15.87</v>
      </c>
      <c r="J633" s="16">
        <f t="shared" si="101"/>
        <v>0.62480314960629924</v>
      </c>
      <c r="K633" s="16">
        <v>124.58</v>
      </c>
      <c r="L633" s="23"/>
      <c r="M633" s="23"/>
      <c r="N633" s="23"/>
      <c r="O633" s="23"/>
      <c r="P633" s="23"/>
      <c r="Q633" s="19"/>
      <c r="R633" s="17">
        <v>5</v>
      </c>
      <c r="S633" s="17">
        <v>10</v>
      </c>
      <c r="T633" s="16">
        <f t="shared" si="94"/>
        <v>3048</v>
      </c>
      <c r="U633" s="16">
        <f t="shared" si="95"/>
        <v>1524</v>
      </c>
      <c r="V633" s="18">
        <f t="shared" si="102"/>
        <v>4645152</v>
      </c>
      <c r="W633" s="18">
        <f t="shared" si="96"/>
        <v>4.6451520000000004</v>
      </c>
      <c r="X633" s="18">
        <f t="shared" si="97"/>
        <v>578.69303616000002</v>
      </c>
      <c r="Y633" s="24">
        <v>35</v>
      </c>
      <c r="Z633" s="24">
        <f t="shared" si="98"/>
        <v>20254.256265600001</v>
      </c>
      <c r="AA633" s="16">
        <v>12</v>
      </c>
      <c r="AB633" s="16">
        <f t="shared" si="104"/>
        <v>3024</v>
      </c>
      <c r="AC633" s="16">
        <f t="shared" si="104"/>
        <v>1500</v>
      </c>
      <c r="AD633" s="19">
        <f t="shared" si="103"/>
        <v>4536000</v>
      </c>
      <c r="AE633" s="1" t="s">
        <v>7456</v>
      </c>
      <c r="AF633" s="1" t="str">
        <f>VLOOKUP(AE633,t_objeto!B:C,2,FALSE)</f>
        <v>RAW_MATERIAL</v>
      </c>
      <c r="AG633" s="1">
        <v>8</v>
      </c>
      <c r="AH633" s="1" t="str">
        <f>VLOOKUP(AG633,t_entry_status!A:AE,2,FALSE)</f>
        <v>PENDING</v>
      </c>
      <c r="AI633" s="7">
        <v>45560</v>
      </c>
      <c r="AJ633" s="1" t="s">
        <v>7449</v>
      </c>
      <c r="AK633" s="7">
        <v>45560</v>
      </c>
      <c r="AL633" s="1" t="s">
        <v>7449</v>
      </c>
    </row>
    <row r="634" spans="1:38" s="20" customFormat="1" x14ac:dyDescent="0.25">
      <c r="A634" s="14">
        <v>633</v>
      </c>
      <c r="B634" s="14" t="str">
        <f>_xlfn.CONCAT(AE634,"-",VLOOKUP(AE634,t_objeto!B:D,3,FALSE),"-",A634)</f>
        <v>RRMM-PERCCO-633</v>
      </c>
      <c r="C634" s="22" t="str">
        <f t="shared" si="99"/>
        <v>PLACA__ACERO_ROLADA EN FRIO_5'X10'_9/16"</v>
      </c>
      <c r="D634" s="14" t="s">
        <v>7385</v>
      </c>
      <c r="E634" s="14" t="s">
        <v>7380</v>
      </c>
      <c r="F634" s="21" t="s">
        <v>7400</v>
      </c>
      <c r="G634" s="22" t="s">
        <v>7382</v>
      </c>
      <c r="H634" s="14" t="s">
        <v>7392</v>
      </c>
      <c r="I634" s="16">
        <v>14.28</v>
      </c>
      <c r="J634" s="16">
        <f t="shared" si="101"/>
        <v>0.5622047244094488</v>
      </c>
      <c r="K634" s="16">
        <v>112.098</v>
      </c>
      <c r="L634" s="23"/>
      <c r="M634" s="23"/>
      <c r="N634" s="23"/>
      <c r="O634" s="23"/>
      <c r="P634" s="23"/>
      <c r="Q634" s="19"/>
      <c r="R634" s="17">
        <v>5</v>
      </c>
      <c r="S634" s="17">
        <v>10</v>
      </c>
      <c r="T634" s="16">
        <f t="shared" si="94"/>
        <v>3048</v>
      </c>
      <c r="U634" s="16">
        <f t="shared" si="95"/>
        <v>1524</v>
      </c>
      <c r="V634" s="18">
        <f t="shared" si="102"/>
        <v>4645152</v>
      </c>
      <c r="W634" s="18">
        <f t="shared" si="96"/>
        <v>4.6451520000000004</v>
      </c>
      <c r="X634" s="18">
        <f t="shared" si="97"/>
        <v>520.71224889600001</v>
      </c>
      <c r="Y634" s="24">
        <v>35</v>
      </c>
      <c r="Z634" s="24">
        <f t="shared" si="98"/>
        <v>18224.92871136</v>
      </c>
      <c r="AA634" s="16">
        <v>13</v>
      </c>
      <c r="AB634" s="16">
        <f t="shared" si="104"/>
        <v>3022</v>
      </c>
      <c r="AC634" s="16">
        <f t="shared" si="104"/>
        <v>1498</v>
      </c>
      <c r="AD634" s="19">
        <f t="shared" si="103"/>
        <v>4526956</v>
      </c>
      <c r="AE634" s="1" t="s">
        <v>7456</v>
      </c>
      <c r="AF634" s="1" t="str">
        <f>VLOOKUP(AE634,t_objeto!B:C,2,FALSE)</f>
        <v>RAW_MATERIAL</v>
      </c>
      <c r="AG634" s="1">
        <v>8</v>
      </c>
      <c r="AH634" s="1" t="str">
        <f>VLOOKUP(AG634,t_entry_status!A:AE,2,FALSE)</f>
        <v>PENDING</v>
      </c>
      <c r="AI634" s="7">
        <v>45560</v>
      </c>
      <c r="AJ634" s="1" t="s">
        <v>7449</v>
      </c>
      <c r="AK634" s="7">
        <v>45560</v>
      </c>
      <c r="AL634" s="1" t="s">
        <v>7449</v>
      </c>
    </row>
    <row r="635" spans="1:38" s="20" customFormat="1" x14ac:dyDescent="0.25">
      <c r="A635" s="14">
        <v>634</v>
      </c>
      <c r="B635" s="14" t="str">
        <f>_xlfn.CONCAT(AE635,"-",VLOOKUP(AE635,t_objeto!B:D,3,FALSE),"-",A635)</f>
        <v>RRMM-PERCCO-634</v>
      </c>
      <c r="C635" s="22" t="str">
        <f t="shared" si="99"/>
        <v>PLACA__ACERO_ROLADA EN FRIO_5'X10'_1/2"</v>
      </c>
      <c r="D635" s="14" t="s">
        <v>7385</v>
      </c>
      <c r="E635" s="14" t="s">
        <v>7380</v>
      </c>
      <c r="F635" s="21" t="s">
        <v>7400</v>
      </c>
      <c r="G635" s="22" t="s">
        <v>7382</v>
      </c>
      <c r="H635" s="14" t="s">
        <v>7393</v>
      </c>
      <c r="I635" s="16">
        <v>12.7</v>
      </c>
      <c r="J635" s="16">
        <f t="shared" si="101"/>
        <v>0.5</v>
      </c>
      <c r="K635" s="16">
        <v>99.694999999999993</v>
      </c>
      <c r="L635" s="23"/>
      <c r="M635" s="23"/>
      <c r="N635" s="23"/>
      <c r="O635" s="23"/>
      <c r="P635" s="23"/>
      <c r="Q635" s="19"/>
      <c r="R635" s="17">
        <v>5</v>
      </c>
      <c r="S635" s="17">
        <v>10</v>
      </c>
      <c r="T635" s="16">
        <f t="shared" si="94"/>
        <v>3048</v>
      </c>
      <c r="U635" s="16">
        <f t="shared" si="95"/>
        <v>1524</v>
      </c>
      <c r="V635" s="18">
        <f t="shared" si="102"/>
        <v>4645152</v>
      </c>
      <c r="W635" s="18">
        <f t="shared" si="96"/>
        <v>4.6451520000000004</v>
      </c>
      <c r="X635" s="18">
        <f t="shared" si="97"/>
        <v>463.09842864000001</v>
      </c>
      <c r="Y635" s="24">
        <v>35</v>
      </c>
      <c r="Z635" s="24">
        <f t="shared" si="98"/>
        <v>16208.4450024</v>
      </c>
      <c r="AA635" s="16">
        <v>14</v>
      </c>
      <c r="AB635" s="16">
        <f t="shared" si="104"/>
        <v>3020</v>
      </c>
      <c r="AC635" s="16">
        <f t="shared" si="104"/>
        <v>1496</v>
      </c>
      <c r="AD635" s="19">
        <f t="shared" si="103"/>
        <v>4517920</v>
      </c>
      <c r="AE635" s="1" t="s">
        <v>7456</v>
      </c>
      <c r="AF635" s="1" t="str">
        <f>VLOOKUP(AE635,t_objeto!B:C,2,FALSE)</f>
        <v>RAW_MATERIAL</v>
      </c>
      <c r="AG635" s="1">
        <v>8</v>
      </c>
      <c r="AH635" s="1" t="str">
        <f>VLOOKUP(AG635,t_entry_status!A:AE,2,FALSE)</f>
        <v>PENDING</v>
      </c>
      <c r="AI635" s="7">
        <v>45560</v>
      </c>
      <c r="AJ635" s="1" t="s">
        <v>7449</v>
      </c>
      <c r="AK635" s="7">
        <v>45560</v>
      </c>
      <c r="AL635" s="1" t="s">
        <v>7449</v>
      </c>
    </row>
    <row r="636" spans="1:38" s="20" customFormat="1" x14ac:dyDescent="0.25">
      <c r="A636" s="14">
        <v>635</v>
      </c>
      <c r="B636" s="14" t="str">
        <f>_xlfn.CONCAT(AE636,"-",VLOOKUP(AE636,t_objeto!B:D,3,FALSE),"-",A636)</f>
        <v>RRMM-PERCCO-635</v>
      </c>
      <c r="C636" s="22" t="str">
        <f t="shared" si="99"/>
        <v>PLACA__ACERO_ROLADA EN FRIO_5'X10'_7/16"</v>
      </c>
      <c r="D636" s="14" t="s">
        <v>7385</v>
      </c>
      <c r="E636" s="14" t="s">
        <v>7380</v>
      </c>
      <c r="F636" s="21" t="s">
        <v>7400</v>
      </c>
      <c r="G636" s="22" t="s">
        <v>7382</v>
      </c>
      <c r="H636" s="14" t="s">
        <v>7394</v>
      </c>
      <c r="I636" s="16">
        <v>11.11</v>
      </c>
      <c r="J636" s="16">
        <f t="shared" si="101"/>
        <v>0.43740157480314962</v>
      </c>
      <c r="K636" s="16">
        <v>87.213999999999999</v>
      </c>
      <c r="L636" s="23"/>
      <c r="M636" s="23"/>
      <c r="N636" s="23"/>
      <c r="O636" s="23"/>
      <c r="P636" s="23"/>
      <c r="Q636" s="19"/>
      <c r="R636" s="17">
        <v>5</v>
      </c>
      <c r="S636" s="17">
        <v>10</v>
      </c>
      <c r="T636" s="16">
        <f t="shared" si="94"/>
        <v>3048</v>
      </c>
      <c r="U636" s="16">
        <f t="shared" si="95"/>
        <v>1524</v>
      </c>
      <c r="V636" s="18">
        <f t="shared" si="102"/>
        <v>4645152</v>
      </c>
      <c r="W636" s="18">
        <f t="shared" si="96"/>
        <v>4.6451520000000004</v>
      </c>
      <c r="X636" s="18">
        <f t="shared" si="97"/>
        <v>405.12228652800002</v>
      </c>
      <c r="Y636" s="24">
        <v>35</v>
      </c>
      <c r="Z636" s="24">
        <f t="shared" si="98"/>
        <v>14179.280028480001</v>
      </c>
      <c r="AA636" s="16">
        <v>15</v>
      </c>
      <c r="AB636" s="16">
        <f t="shared" si="104"/>
        <v>3018</v>
      </c>
      <c r="AC636" s="16">
        <f t="shared" si="104"/>
        <v>1494</v>
      </c>
      <c r="AD636" s="19">
        <f t="shared" si="103"/>
        <v>4508892</v>
      </c>
      <c r="AE636" s="1" t="s">
        <v>7456</v>
      </c>
      <c r="AF636" s="1" t="str">
        <f>VLOOKUP(AE636,t_objeto!B:C,2,FALSE)</f>
        <v>RAW_MATERIAL</v>
      </c>
      <c r="AG636" s="1">
        <v>8</v>
      </c>
      <c r="AH636" s="1" t="str">
        <f>VLOOKUP(AG636,t_entry_status!A:AE,2,FALSE)</f>
        <v>PENDING</v>
      </c>
      <c r="AI636" s="7">
        <v>45560</v>
      </c>
      <c r="AJ636" s="1" t="s">
        <v>7449</v>
      </c>
      <c r="AK636" s="7">
        <v>45560</v>
      </c>
      <c r="AL636" s="1" t="s">
        <v>7449</v>
      </c>
    </row>
    <row r="637" spans="1:38" s="20" customFormat="1" x14ac:dyDescent="0.25">
      <c r="A637" s="14">
        <v>636</v>
      </c>
      <c r="B637" s="14" t="str">
        <f>_xlfn.CONCAT(AE637,"-",VLOOKUP(AE637,t_objeto!B:D,3,FALSE),"-",A637)</f>
        <v>RRMM-PERCCO-636</v>
      </c>
      <c r="C637" s="22" t="str">
        <f t="shared" si="99"/>
        <v>PLACA__ACERO_ROLADA EN FRIO_5'X10'_3/8"</v>
      </c>
      <c r="D637" s="14" t="s">
        <v>7385</v>
      </c>
      <c r="E637" s="14" t="s">
        <v>7380</v>
      </c>
      <c r="F637" s="21" t="s">
        <v>7400</v>
      </c>
      <c r="G637" s="22" t="s">
        <v>7382</v>
      </c>
      <c r="H637" s="14" t="s">
        <v>7395</v>
      </c>
      <c r="I637" s="16">
        <v>9.52</v>
      </c>
      <c r="J637" s="16">
        <f t="shared" si="101"/>
        <v>0.37480314960629924</v>
      </c>
      <c r="K637" s="16">
        <v>74.731999999999999</v>
      </c>
      <c r="L637" s="23"/>
      <c r="M637" s="23"/>
      <c r="N637" s="23"/>
      <c r="O637" s="23"/>
      <c r="P637" s="23"/>
      <c r="Q637" s="19"/>
      <c r="R637" s="17">
        <v>5</v>
      </c>
      <c r="S637" s="17">
        <v>10</v>
      </c>
      <c r="T637" s="16">
        <f t="shared" si="94"/>
        <v>3048</v>
      </c>
      <c r="U637" s="16">
        <f t="shared" si="95"/>
        <v>1524</v>
      </c>
      <c r="V637" s="18">
        <f t="shared" si="102"/>
        <v>4645152</v>
      </c>
      <c r="W637" s="18">
        <f t="shared" si="96"/>
        <v>4.6451520000000004</v>
      </c>
      <c r="X637" s="18">
        <f t="shared" si="97"/>
        <v>347.141499264</v>
      </c>
      <c r="Y637" s="24">
        <v>35</v>
      </c>
      <c r="Z637" s="24">
        <f t="shared" si="98"/>
        <v>12149.952474240001</v>
      </c>
      <c r="AA637" s="16">
        <v>16</v>
      </c>
      <c r="AB637" s="16">
        <f t="shared" si="104"/>
        <v>3016</v>
      </c>
      <c r="AC637" s="16">
        <f t="shared" si="104"/>
        <v>1492</v>
      </c>
      <c r="AD637" s="19">
        <f t="shared" si="103"/>
        <v>4499872</v>
      </c>
      <c r="AE637" s="1" t="s">
        <v>7456</v>
      </c>
      <c r="AF637" s="1" t="str">
        <f>VLOOKUP(AE637,t_objeto!B:C,2,FALSE)</f>
        <v>RAW_MATERIAL</v>
      </c>
      <c r="AG637" s="1">
        <v>8</v>
      </c>
      <c r="AH637" s="1" t="str">
        <f>VLOOKUP(AG637,t_entry_status!A:AE,2,FALSE)</f>
        <v>PENDING</v>
      </c>
      <c r="AI637" s="7">
        <v>45560</v>
      </c>
      <c r="AJ637" s="1" t="s">
        <v>7449</v>
      </c>
      <c r="AK637" s="7">
        <v>45560</v>
      </c>
      <c r="AL637" s="1" t="s">
        <v>7449</v>
      </c>
    </row>
    <row r="638" spans="1:38" s="20" customFormat="1" x14ac:dyDescent="0.25">
      <c r="A638" s="14">
        <v>637</v>
      </c>
      <c r="B638" s="14" t="str">
        <f>_xlfn.CONCAT(AE638,"-",VLOOKUP(AE638,t_objeto!B:D,3,FALSE),"-",A638)</f>
        <v>RRMM-PERCCO-637</v>
      </c>
      <c r="C638" s="22" t="str">
        <f t="shared" si="99"/>
        <v>PLACA__ACERO_ROLADA EN FRIO_5'X10'_5/16"</v>
      </c>
      <c r="D638" s="14" t="s">
        <v>7385</v>
      </c>
      <c r="E638" s="14" t="s">
        <v>7380</v>
      </c>
      <c r="F638" s="21" t="s">
        <v>7400</v>
      </c>
      <c r="G638" s="22" t="s">
        <v>7382</v>
      </c>
      <c r="H638" s="14" t="s">
        <v>7396</v>
      </c>
      <c r="I638" s="16">
        <v>7.93</v>
      </c>
      <c r="J638" s="16">
        <f t="shared" si="101"/>
        <v>0.31220472440944885</v>
      </c>
      <c r="K638" s="16">
        <v>62.250999999999998</v>
      </c>
      <c r="L638" s="23"/>
      <c r="M638" s="23"/>
      <c r="N638" s="23"/>
      <c r="O638" s="23"/>
      <c r="P638" s="23"/>
      <c r="Q638" s="19"/>
      <c r="R638" s="17">
        <v>5</v>
      </c>
      <c r="S638" s="17">
        <v>10</v>
      </c>
      <c r="T638" s="16">
        <f t="shared" si="94"/>
        <v>3048</v>
      </c>
      <c r="U638" s="16">
        <f t="shared" si="95"/>
        <v>1524</v>
      </c>
      <c r="V638" s="18">
        <f t="shared" si="102"/>
        <v>4645152</v>
      </c>
      <c r="W638" s="18">
        <f t="shared" si="96"/>
        <v>4.6451520000000004</v>
      </c>
      <c r="X638" s="18">
        <f t="shared" si="97"/>
        <v>289.16535715200001</v>
      </c>
      <c r="Y638" s="24">
        <v>35</v>
      </c>
      <c r="Z638" s="24">
        <f t="shared" si="98"/>
        <v>10120.787500320001</v>
      </c>
      <c r="AA638" s="16">
        <v>17</v>
      </c>
      <c r="AB638" s="16">
        <f t="shared" si="104"/>
        <v>3014</v>
      </c>
      <c r="AC638" s="16">
        <f t="shared" si="104"/>
        <v>1490</v>
      </c>
      <c r="AD638" s="19">
        <f t="shared" si="103"/>
        <v>4490860</v>
      </c>
      <c r="AE638" s="1" t="s">
        <v>7456</v>
      </c>
      <c r="AF638" s="1" t="str">
        <f>VLOOKUP(AE638,t_objeto!B:C,2,FALSE)</f>
        <v>RAW_MATERIAL</v>
      </c>
      <c r="AG638" s="1">
        <v>8</v>
      </c>
      <c r="AH638" s="1" t="str">
        <f>VLOOKUP(AG638,t_entry_status!A:AE,2,FALSE)</f>
        <v>PENDING</v>
      </c>
      <c r="AI638" s="7">
        <v>45560</v>
      </c>
      <c r="AJ638" s="1" t="s">
        <v>7449</v>
      </c>
      <c r="AK638" s="7">
        <v>45560</v>
      </c>
      <c r="AL638" s="1" t="s">
        <v>7449</v>
      </c>
    </row>
    <row r="639" spans="1:38" s="20" customFormat="1" x14ac:dyDescent="0.25">
      <c r="A639" s="14">
        <v>638</v>
      </c>
      <c r="B639" s="14" t="str">
        <f>_xlfn.CONCAT(AE639,"-",VLOOKUP(AE639,t_objeto!B:D,3,FALSE),"-",A639)</f>
        <v>RRMM-PERCCO-638</v>
      </c>
      <c r="C639" s="22" t="str">
        <f t="shared" si="99"/>
        <v>PLACA__ACERO_ROLADA EN FRIO_5'X10'_1/4"</v>
      </c>
      <c r="D639" s="14" t="s">
        <v>7385</v>
      </c>
      <c r="E639" s="14" t="s">
        <v>7380</v>
      </c>
      <c r="F639" s="21" t="s">
        <v>7400</v>
      </c>
      <c r="G639" s="22" t="s">
        <v>7382</v>
      </c>
      <c r="H639" s="14" t="s">
        <v>7397</v>
      </c>
      <c r="I639" s="16">
        <v>6.35</v>
      </c>
      <c r="J639" s="16">
        <f t="shared" si="101"/>
        <v>0.25</v>
      </c>
      <c r="K639" s="16">
        <v>49.847999999999999</v>
      </c>
      <c r="L639" s="23">
        <v>1.2</v>
      </c>
      <c r="M639" s="23">
        <v>0.6</v>
      </c>
      <c r="N639" s="23"/>
      <c r="O639" s="23"/>
      <c r="P639" s="23"/>
      <c r="Q639" s="19" t="s">
        <v>7401</v>
      </c>
      <c r="R639" s="17">
        <v>5</v>
      </c>
      <c r="S639" s="17">
        <v>10</v>
      </c>
      <c r="T639" s="16">
        <f t="shared" si="94"/>
        <v>3048</v>
      </c>
      <c r="U639" s="16">
        <f t="shared" si="95"/>
        <v>1524</v>
      </c>
      <c r="V639" s="18">
        <f t="shared" si="102"/>
        <v>4645152</v>
      </c>
      <c r="W639" s="18">
        <f t="shared" si="96"/>
        <v>4.6451520000000004</v>
      </c>
      <c r="X639" s="18">
        <f t="shared" si="97"/>
        <v>231.55153689600002</v>
      </c>
      <c r="Y639" s="24">
        <v>35</v>
      </c>
      <c r="Z639" s="24">
        <f t="shared" si="98"/>
        <v>8104.3037913600001</v>
      </c>
      <c r="AA639" s="16">
        <v>18</v>
      </c>
      <c r="AB639" s="16">
        <f t="shared" si="104"/>
        <v>3012</v>
      </c>
      <c r="AC639" s="16">
        <f t="shared" si="104"/>
        <v>1488</v>
      </c>
      <c r="AD639" s="19">
        <f t="shared" si="103"/>
        <v>4481856</v>
      </c>
      <c r="AE639" s="1" t="s">
        <v>7456</v>
      </c>
      <c r="AF639" s="1" t="str">
        <f>VLOOKUP(AE639,t_objeto!B:C,2,FALSE)</f>
        <v>RAW_MATERIAL</v>
      </c>
      <c r="AG639" s="1">
        <v>8</v>
      </c>
      <c r="AH639" s="1" t="str">
        <f>VLOOKUP(AG639,t_entry_status!A:AE,2,FALSE)</f>
        <v>PENDING</v>
      </c>
      <c r="AI639" s="7">
        <v>45560</v>
      </c>
      <c r="AJ639" s="1" t="s">
        <v>7449</v>
      </c>
      <c r="AK639" s="7">
        <v>45560</v>
      </c>
      <c r="AL639" s="1" t="s">
        <v>7449</v>
      </c>
    </row>
    <row r="640" spans="1:38" s="20" customFormat="1" x14ac:dyDescent="0.25">
      <c r="A640" s="14">
        <v>639</v>
      </c>
      <c r="B640" s="14" t="str">
        <f>_xlfn.CONCAT(AE640,"-",VLOOKUP(AE640,t_objeto!B:D,3,FALSE),"-",A640)</f>
        <v>RRMM-PERCCO-639</v>
      </c>
      <c r="C640" s="22" t="str">
        <f t="shared" si="99"/>
        <v>PLACA__ACERO_ROLADA EN FRIO_5'X10'_3/16"</v>
      </c>
      <c r="D640" s="14" t="s">
        <v>7385</v>
      </c>
      <c r="E640" s="14" t="s">
        <v>7380</v>
      </c>
      <c r="F640" s="21" t="s">
        <v>7400</v>
      </c>
      <c r="G640" s="22" t="s">
        <v>7382</v>
      </c>
      <c r="H640" s="14" t="s">
        <v>7398</v>
      </c>
      <c r="I640" s="16">
        <v>4.76</v>
      </c>
      <c r="J640" s="16">
        <f t="shared" si="101"/>
        <v>0.18740157480314962</v>
      </c>
      <c r="K640" s="16">
        <v>37.366</v>
      </c>
      <c r="L640" s="23"/>
      <c r="M640" s="23"/>
      <c r="N640" s="23"/>
      <c r="O640" s="23"/>
      <c r="P640" s="23"/>
      <c r="Q640" s="19"/>
      <c r="R640" s="17">
        <v>5</v>
      </c>
      <c r="S640" s="17">
        <v>10</v>
      </c>
      <c r="T640" s="16">
        <f t="shared" si="94"/>
        <v>3048</v>
      </c>
      <c r="U640" s="16">
        <f t="shared" si="95"/>
        <v>1524</v>
      </c>
      <c r="V640" s="18">
        <f t="shared" si="102"/>
        <v>4645152</v>
      </c>
      <c r="W640" s="18">
        <f t="shared" si="96"/>
        <v>4.6451520000000004</v>
      </c>
      <c r="X640" s="18">
        <f t="shared" si="97"/>
        <v>173.570749632</v>
      </c>
      <c r="Y640" s="24">
        <v>35</v>
      </c>
      <c r="Z640" s="24">
        <f t="shared" si="98"/>
        <v>6074.9762371200004</v>
      </c>
      <c r="AA640" s="16">
        <v>19</v>
      </c>
      <c r="AB640" s="16">
        <f t="shared" si="104"/>
        <v>3010</v>
      </c>
      <c r="AC640" s="16">
        <f t="shared" si="104"/>
        <v>1486</v>
      </c>
      <c r="AD640" s="19">
        <f t="shared" si="103"/>
        <v>4472860</v>
      </c>
      <c r="AE640" s="1" t="s">
        <v>7456</v>
      </c>
      <c r="AF640" s="1" t="str">
        <f>VLOOKUP(AE640,t_objeto!B:C,2,FALSE)</f>
        <v>RAW_MATERIAL</v>
      </c>
      <c r="AG640" s="1">
        <v>8</v>
      </c>
      <c r="AH640" s="1" t="str">
        <f>VLOOKUP(AG640,t_entry_status!A:AE,2,FALSE)</f>
        <v>PENDING</v>
      </c>
      <c r="AI640" s="7">
        <v>45560</v>
      </c>
      <c r="AJ640" s="1" t="s">
        <v>7449</v>
      </c>
      <c r="AK640" s="7">
        <v>45560</v>
      </c>
      <c r="AL640" s="1" t="s">
        <v>7449</v>
      </c>
    </row>
    <row r="641" spans="1:38" s="20" customFormat="1" x14ac:dyDescent="0.25">
      <c r="A641" s="14">
        <v>640</v>
      </c>
      <c r="B641" s="14" t="str">
        <f>_xlfn.CONCAT(AE641,"-",VLOOKUP(AE641,t_objeto!B:D,3,FALSE),"-",A641)</f>
        <v>RRMM-PERCCO-640</v>
      </c>
      <c r="C641" s="22" t="str">
        <f t="shared" si="99"/>
        <v>LAMINA_LISA__ACERO_ROLADA EN FRIO_5'X10'_4</v>
      </c>
      <c r="D641" s="14" t="s">
        <v>7407</v>
      </c>
      <c r="E641" s="14" t="s">
        <v>7380</v>
      </c>
      <c r="F641" s="21" t="s">
        <v>7400</v>
      </c>
      <c r="G641" s="22" t="s">
        <v>7382</v>
      </c>
      <c r="H641" s="14">
        <v>4</v>
      </c>
      <c r="I641" s="16">
        <v>5.69</v>
      </c>
      <c r="J641" s="16">
        <f t="shared" si="101"/>
        <v>0.2240157480314961</v>
      </c>
      <c r="K641" s="16">
        <v>44.667000000000002</v>
      </c>
      <c r="L641" s="23"/>
      <c r="M641" s="23"/>
      <c r="N641" s="23"/>
      <c r="O641" s="23"/>
      <c r="P641" s="23"/>
      <c r="Q641" s="19"/>
      <c r="R641" s="17">
        <v>5</v>
      </c>
      <c r="S641" s="17">
        <v>10</v>
      </c>
      <c r="T641" s="16">
        <f t="shared" si="94"/>
        <v>3048</v>
      </c>
      <c r="U641" s="16">
        <f t="shared" si="95"/>
        <v>1524</v>
      </c>
      <c r="V641" s="18">
        <f t="shared" si="102"/>
        <v>4645152</v>
      </c>
      <c r="W641" s="18">
        <f t="shared" si="96"/>
        <v>4.6451520000000004</v>
      </c>
      <c r="X641" s="18">
        <f t="shared" si="97"/>
        <v>207.48500438400004</v>
      </c>
      <c r="Y641" s="24">
        <v>35</v>
      </c>
      <c r="Z641" s="24">
        <f t="shared" si="98"/>
        <v>7261.9751534400011</v>
      </c>
      <c r="AA641" s="16">
        <v>20</v>
      </c>
      <c r="AB641" s="16">
        <f t="shared" si="104"/>
        <v>3008</v>
      </c>
      <c r="AC641" s="16">
        <f t="shared" si="104"/>
        <v>1484</v>
      </c>
      <c r="AD641" s="19">
        <f t="shared" si="103"/>
        <v>4463872</v>
      </c>
      <c r="AE641" s="1" t="s">
        <v>7456</v>
      </c>
      <c r="AF641" s="1" t="str">
        <f>VLOOKUP(AE641,t_objeto!B:C,2,FALSE)</f>
        <v>RAW_MATERIAL</v>
      </c>
      <c r="AG641" s="1">
        <v>8</v>
      </c>
      <c r="AH641" s="1" t="str">
        <f>VLOOKUP(AG641,t_entry_status!A:AE,2,FALSE)</f>
        <v>PENDING</v>
      </c>
      <c r="AI641" s="7">
        <v>45560</v>
      </c>
      <c r="AJ641" s="1" t="s">
        <v>7449</v>
      </c>
      <c r="AK641" s="7">
        <v>45560</v>
      </c>
      <c r="AL641" s="1" t="s">
        <v>7449</v>
      </c>
    </row>
    <row r="642" spans="1:38" s="20" customFormat="1" x14ac:dyDescent="0.25">
      <c r="A642" s="14">
        <v>641</v>
      </c>
      <c r="B642" s="14" t="str">
        <f>_xlfn.CONCAT(AE642,"-",VLOOKUP(AE642,t_objeto!B:D,3,FALSE),"-",A642)</f>
        <v>RRMM-PERCCO-641</v>
      </c>
      <c r="C642" s="22" t="str">
        <f t="shared" si="99"/>
        <v>LAMINA_LISA__ACERO_ROLADA EN FRIO_5'X10'_5</v>
      </c>
      <c r="D642" s="14" t="s">
        <v>7407</v>
      </c>
      <c r="E642" s="14" t="s">
        <v>7380</v>
      </c>
      <c r="F642" s="21" t="s">
        <v>7400</v>
      </c>
      <c r="G642" s="22" t="s">
        <v>7382</v>
      </c>
      <c r="H642" s="14">
        <v>5</v>
      </c>
      <c r="I642" s="16">
        <v>5.31</v>
      </c>
      <c r="J642" s="16">
        <f t="shared" si="101"/>
        <v>0.20905511811023622</v>
      </c>
      <c r="K642" s="16">
        <v>41.683999999999997</v>
      </c>
      <c r="L642" s="23"/>
      <c r="M642" s="23"/>
      <c r="N642" s="23"/>
      <c r="O642" s="23"/>
      <c r="P642" s="23"/>
      <c r="Q642" s="19"/>
      <c r="R642" s="17">
        <v>5</v>
      </c>
      <c r="S642" s="17">
        <v>10</v>
      </c>
      <c r="T642" s="16">
        <f t="shared" ref="T642:T685" si="105">S642*12*25.4</f>
        <v>3048</v>
      </c>
      <c r="U642" s="16">
        <f t="shared" ref="U642:U685" si="106">R642*12*25.4</f>
        <v>1524</v>
      </c>
      <c r="V642" s="18">
        <f t="shared" si="102"/>
        <v>4645152</v>
      </c>
      <c r="W642" s="18">
        <f t="shared" ref="W642:W685" si="107">V642/1000000</f>
        <v>4.6451520000000004</v>
      </c>
      <c r="X642" s="18">
        <f t="shared" ref="X642:X685" si="108">K642*W642</f>
        <v>193.62851596800002</v>
      </c>
      <c r="Y642" s="24">
        <v>35</v>
      </c>
      <c r="Z642" s="24">
        <f t="shared" ref="Z642:Z685" si="109">X642*Y642</f>
        <v>6776.9980588800008</v>
      </c>
      <c r="AA642" s="16">
        <v>21</v>
      </c>
      <c r="AB642" s="16">
        <f t="shared" si="104"/>
        <v>3006</v>
      </c>
      <c r="AC642" s="16">
        <f t="shared" si="104"/>
        <v>1482</v>
      </c>
      <c r="AD642" s="19">
        <f t="shared" si="103"/>
        <v>4454892</v>
      </c>
      <c r="AE642" s="1" t="s">
        <v>7456</v>
      </c>
      <c r="AF642" s="1" t="str">
        <f>VLOOKUP(AE642,t_objeto!B:C,2,FALSE)</f>
        <v>RAW_MATERIAL</v>
      </c>
      <c r="AG642" s="1">
        <v>8</v>
      </c>
      <c r="AH642" s="1" t="str">
        <f>VLOOKUP(AG642,t_entry_status!A:AE,2,FALSE)</f>
        <v>PENDING</v>
      </c>
      <c r="AI642" s="7">
        <v>45560</v>
      </c>
      <c r="AJ642" s="1" t="s">
        <v>7449</v>
      </c>
      <c r="AK642" s="7">
        <v>45560</v>
      </c>
      <c r="AL642" s="1" t="s">
        <v>7449</v>
      </c>
    </row>
    <row r="643" spans="1:38" s="20" customFormat="1" x14ac:dyDescent="0.25">
      <c r="A643" s="14">
        <v>642</v>
      </c>
      <c r="B643" s="14" t="str">
        <f>_xlfn.CONCAT(AE643,"-",VLOOKUP(AE643,t_objeto!B:D,3,FALSE),"-",A643)</f>
        <v>RRMM-PERCCO-642</v>
      </c>
      <c r="C643" s="22" t="str">
        <f t="shared" ref="C643:C685" si="110">_xlfn.CONCAT(D643,"_","_",E643,"_",F643,"_",R643,"'","X",S643,"'","_",H643)</f>
        <v>LAMINA_LISA__ACERO_ROLADA EN FRIO_5'X10'_6</v>
      </c>
      <c r="D643" s="14" t="s">
        <v>7407</v>
      </c>
      <c r="E643" s="14" t="s">
        <v>7380</v>
      </c>
      <c r="F643" s="21" t="s">
        <v>7400</v>
      </c>
      <c r="G643" s="22" t="s">
        <v>7382</v>
      </c>
      <c r="H643" s="14">
        <v>6</v>
      </c>
      <c r="I643" s="16">
        <v>4.9400000000000004</v>
      </c>
      <c r="J643" s="16">
        <f t="shared" si="101"/>
        <v>0.19448818897637798</v>
      </c>
      <c r="K643" s="16">
        <v>38.779000000000003</v>
      </c>
      <c r="L643" s="23"/>
      <c r="M643" s="23"/>
      <c r="N643" s="23"/>
      <c r="O643" s="23"/>
      <c r="P643" s="23"/>
      <c r="Q643" s="19"/>
      <c r="R643" s="17">
        <v>5</v>
      </c>
      <c r="S643" s="17">
        <v>10</v>
      </c>
      <c r="T643" s="16">
        <f t="shared" si="105"/>
        <v>3048</v>
      </c>
      <c r="U643" s="16">
        <f t="shared" si="106"/>
        <v>1524</v>
      </c>
      <c r="V643" s="18">
        <f t="shared" si="102"/>
        <v>4645152</v>
      </c>
      <c r="W643" s="18">
        <f t="shared" si="107"/>
        <v>4.6451520000000004</v>
      </c>
      <c r="X643" s="18">
        <f t="shared" si="108"/>
        <v>180.13434940800002</v>
      </c>
      <c r="Y643" s="24">
        <v>35</v>
      </c>
      <c r="Z643" s="24">
        <f t="shared" si="109"/>
        <v>6304.7022292800011</v>
      </c>
      <c r="AA643" s="16">
        <v>22</v>
      </c>
      <c r="AB643" s="16">
        <f t="shared" si="104"/>
        <v>3004</v>
      </c>
      <c r="AC643" s="16">
        <f t="shared" si="104"/>
        <v>1480</v>
      </c>
      <c r="AD643" s="19">
        <f t="shared" si="103"/>
        <v>4445920</v>
      </c>
      <c r="AE643" s="1" t="s">
        <v>7456</v>
      </c>
      <c r="AF643" s="1" t="str">
        <f>VLOOKUP(AE643,t_objeto!B:C,2,FALSE)</f>
        <v>RAW_MATERIAL</v>
      </c>
      <c r="AG643" s="1">
        <v>8</v>
      </c>
      <c r="AH643" s="1" t="str">
        <f>VLOOKUP(AG643,t_entry_status!A:AE,2,FALSE)</f>
        <v>PENDING</v>
      </c>
      <c r="AI643" s="7">
        <v>45560</v>
      </c>
      <c r="AJ643" s="1" t="s">
        <v>7449</v>
      </c>
      <c r="AK643" s="7">
        <v>45560</v>
      </c>
      <c r="AL643" s="1" t="s">
        <v>7449</v>
      </c>
    </row>
    <row r="644" spans="1:38" s="20" customFormat="1" x14ac:dyDescent="0.25">
      <c r="A644" s="14">
        <v>643</v>
      </c>
      <c r="B644" s="14" t="str">
        <f>_xlfn.CONCAT(AE644,"-",VLOOKUP(AE644,t_objeto!B:D,3,FALSE),"-",A644)</f>
        <v>RRMM-PERCCO-643</v>
      </c>
      <c r="C644" s="22" t="str">
        <f t="shared" si="110"/>
        <v>LAMINA_LISA__ACERO_ROLADA EN FRIO_5'X10'_7</v>
      </c>
      <c r="D644" s="14" t="s">
        <v>7407</v>
      </c>
      <c r="E644" s="14" t="s">
        <v>7380</v>
      </c>
      <c r="F644" s="21" t="s">
        <v>7400</v>
      </c>
      <c r="G644" s="22" t="s">
        <v>7382</v>
      </c>
      <c r="H644" s="14">
        <v>7</v>
      </c>
      <c r="I644" s="16">
        <v>4.55</v>
      </c>
      <c r="J644" s="16">
        <f t="shared" si="101"/>
        <v>0.17913385826771655</v>
      </c>
      <c r="K644" s="16">
        <v>35.718000000000004</v>
      </c>
      <c r="L644" s="23"/>
      <c r="M644" s="23"/>
      <c r="N644" s="23"/>
      <c r="O644" s="23"/>
      <c r="P644" s="23"/>
      <c r="Q644" s="19"/>
      <c r="R644" s="17">
        <v>5</v>
      </c>
      <c r="S644" s="17">
        <v>10</v>
      </c>
      <c r="T644" s="16">
        <f t="shared" si="105"/>
        <v>3048</v>
      </c>
      <c r="U644" s="16">
        <f t="shared" si="106"/>
        <v>1524</v>
      </c>
      <c r="V644" s="18">
        <f t="shared" si="102"/>
        <v>4645152</v>
      </c>
      <c r="W644" s="18">
        <f t="shared" si="107"/>
        <v>4.6451520000000004</v>
      </c>
      <c r="X644" s="18">
        <f t="shared" si="108"/>
        <v>165.91553913600004</v>
      </c>
      <c r="Y644" s="24">
        <v>35</v>
      </c>
      <c r="Z644" s="24">
        <f t="shared" si="109"/>
        <v>5807.0438697600011</v>
      </c>
      <c r="AA644" s="16">
        <v>23</v>
      </c>
      <c r="AB644" s="16">
        <f t="shared" si="104"/>
        <v>3002</v>
      </c>
      <c r="AC644" s="16">
        <f t="shared" si="104"/>
        <v>1478</v>
      </c>
      <c r="AD644" s="19">
        <f t="shared" si="103"/>
        <v>4436956</v>
      </c>
      <c r="AE644" s="1" t="s">
        <v>7456</v>
      </c>
      <c r="AF644" s="1" t="str">
        <f>VLOOKUP(AE644,t_objeto!B:C,2,FALSE)</f>
        <v>RAW_MATERIAL</v>
      </c>
      <c r="AG644" s="1">
        <v>8</v>
      </c>
      <c r="AH644" s="1" t="str">
        <f>VLOOKUP(AG644,t_entry_status!A:AE,2,FALSE)</f>
        <v>PENDING</v>
      </c>
      <c r="AI644" s="7">
        <v>45560</v>
      </c>
      <c r="AJ644" s="1" t="s">
        <v>7449</v>
      </c>
      <c r="AK644" s="7">
        <v>45560</v>
      </c>
      <c r="AL644" s="1" t="s">
        <v>7449</v>
      </c>
    </row>
    <row r="645" spans="1:38" s="20" customFormat="1" x14ac:dyDescent="0.25">
      <c r="A645" s="14">
        <v>644</v>
      </c>
      <c r="B645" s="14" t="str">
        <f>_xlfn.CONCAT(AE645,"-",VLOOKUP(AE645,t_objeto!B:D,3,FALSE),"-",A645)</f>
        <v>RRMM-PERCCO-644</v>
      </c>
      <c r="C645" s="22" t="str">
        <f t="shared" si="110"/>
        <v>LAMINA_LISA__ACERO_ROLADA EN FRIO_5'X10'_8</v>
      </c>
      <c r="D645" s="14" t="s">
        <v>7407</v>
      </c>
      <c r="E645" s="14" t="s">
        <v>7380</v>
      </c>
      <c r="F645" s="21" t="s">
        <v>7400</v>
      </c>
      <c r="G645" s="22" t="s">
        <v>7382</v>
      </c>
      <c r="H645" s="14">
        <v>8</v>
      </c>
      <c r="I645" s="16">
        <v>4.18</v>
      </c>
      <c r="J645" s="16">
        <f t="shared" si="101"/>
        <v>0.16456692913385826</v>
      </c>
      <c r="K645" s="16">
        <v>32.813000000000002</v>
      </c>
      <c r="L645" s="23"/>
      <c r="M645" s="23"/>
      <c r="N645" s="23"/>
      <c r="O645" s="23"/>
      <c r="P645" s="23"/>
      <c r="Q645" s="19"/>
      <c r="R645" s="17">
        <v>5</v>
      </c>
      <c r="S645" s="17">
        <v>10</v>
      </c>
      <c r="T645" s="16">
        <f t="shared" si="105"/>
        <v>3048</v>
      </c>
      <c r="U645" s="16">
        <f t="shared" si="106"/>
        <v>1524</v>
      </c>
      <c r="V645" s="18">
        <f t="shared" si="102"/>
        <v>4645152</v>
      </c>
      <c r="W645" s="18">
        <f t="shared" si="107"/>
        <v>4.6451520000000004</v>
      </c>
      <c r="X645" s="18">
        <f t="shared" si="108"/>
        <v>152.42137257600001</v>
      </c>
      <c r="Y645" s="24">
        <v>35</v>
      </c>
      <c r="Z645" s="24">
        <f t="shared" si="109"/>
        <v>5334.7480401600005</v>
      </c>
      <c r="AA645" s="16">
        <v>24</v>
      </c>
      <c r="AB645" s="16">
        <f t="shared" si="104"/>
        <v>3000</v>
      </c>
      <c r="AC645" s="16">
        <f t="shared" si="104"/>
        <v>1476</v>
      </c>
      <c r="AD645" s="19">
        <f t="shared" si="103"/>
        <v>4428000</v>
      </c>
      <c r="AE645" s="1" t="s">
        <v>7456</v>
      </c>
      <c r="AF645" s="1" t="str">
        <f>VLOOKUP(AE645,t_objeto!B:C,2,FALSE)</f>
        <v>RAW_MATERIAL</v>
      </c>
      <c r="AG645" s="1">
        <v>8</v>
      </c>
      <c r="AH645" s="1" t="str">
        <f>VLOOKUP(AG645,t_entry_status!A:AE,2,FALSE)</f>
        <v>PENDING</v>
      </c>
      <c r="AI645" s="7">
        <v>45560</v>
      </c>
      <c r="AJ645" s="1" t="s">
        <v>7449</v>
      </c>
      <c r="AK645" s="7">
        <v>45560</v>
      </c>
      <c r="AL645" s="1" t="s">
        <v>7449</v>
      </c>
    </row>
    <row r="646" spans="1:38" s="20" customFormat="1" x14ac:dyDescent="0.25">
      <c r="A646" s="14">
        <v>645</v>
      </c>
      <c r="B646" s="14" t="str">
        <f>_xlfn.CONCAT(AE646,"-",VLOOKUP(AE646,t_objeto!B:D,3,FALSE),"-",A646)</f>
        <v>RRMM-PERCCO-645</v>
      </c>
      <c r="C646" s="22" t="str">
        <f t="shared" si="110"/>
        <v>LAMINA_LISA__ACERO_ROLADA EN FRIO_5'X10'_9</v>
      </c>
      <c r="D646" s="14" t="s">
        <v>7407</v>
      </c>
      <c r="E646" s="14" t="s">
        <v>7380</v>
      </c>
      <c r="F646" s="21" t="s">
        <v>7400</v>
      </c>
      <c r="G646" s="22" t="s">
        <v>7382</v>
      </c>
      <c r="H646" s="14">
        <v>9</v>
      </c>
      <c r="I646" s="16">
        <v>3.8</v>
      </c>
      <c r="J646" s="16">
        <f t="shared" si="101"/>
        <v>0.14960629921259844</v>
      </c>
      <c r="K646" s="16">
        <v>29.83</v>
      </c>
      <c r="L646" s="23"/>
      <c r="M646" s="23"/>
      <c r="N646" s="23"/>
      <c r="O646" s="23"/>
      <c r="P646" s="23"/>
      <c r="Q646" s="19"/>
      <c r="R646" s="17">
        <v>5</v>
      </c>
      <c r="S646" s="17">
        <v>10</v>
      </c>
      <c r="T646" s="16">
        <f t="shared" si="105"/>
        <v>3048</v>
      </c>
      <c r="U646" s="16">
        <f t="shared" si="106"/>
        <v>1524</v>
      </c>
      <c r="V646" s="18">
        <f t="shared" si="102"/>
        <v>4645152</v>
      </c>
      <c r="W646" s="18">
        <f t="shared" si="107"/>
        <v>4.6451520000000004</v>
      </c>
      <c r="X646" s="18">
        <f t="shared" si="108"/>
        <v>138.56488415999999</v>
      </c>
      <c r="Y646" s="24">
        <v>35</v>
      </c>
      <c r="Z646" s="24">
        <f t="shared" si="109"/>
        <v>4849.7709455999993</v>
      </c>
      <c r="AA646" s="16">
        <v>25</v>
      </c>
      <c r="AB646" s="16">
        <f t="shared" si="104"/>
        <v>2998</v>
      </c>
      <c r="AC646" s="16">
        <f t="shared" si="104"/>
        <v>1474</v>
      </c>
      <c r="AD646" s="19">
        <f t="shared" si="103"/>
        <v>4419052</v>
      </c>
      <c r="AE646" s="1" t="s">
        <v>7456</v>
      </c>
      <c r="AF646" s="1" t="str">
        <f>VLOOKUP(AE646,t_objeto!B:C,2,FALSE)</f>
        <v>RAW_MATERIAL</v>
      </c>
      <c r="AG646" s="1">
        <v>8</v>
      </c>
      <c r="AH646" s="1" t="str">
        <f>VLOOKUP(AG646,t_entry_status!A:AE,2,FALSE)</f>
        <v>PENDING</v>
      </c>
      <c r="AI646" s="7">
        <v>45560</v>
      </c>
      <c r="AJ646" s="1" t="s">
        <v>7449</v>
      </c>
      <c r="AK646" s="7">
        <v>45560</v>
      </c>
      <c r="AL646" s="1" t="s">
        <v>7449</v>
      </c>
    </row>
    <row r="647" spans="1:38" s="20" customFormat="1" x14ac:dyDescent="0.25">
      <c r="A647" s="14">
        <v>646</v>
      </c>
      <c r="B647" s="14" t="str">
        <f>_xlfn.CONCAT(AE647,"-",VLOOKUP(AE647,t_objeto!B:D,3,FALSE),"-",A647)</f>
        <v>RRMM-PERCCO-646</v>
      </c>
      <c r="C647" s="22" t="str">
        <f t="shared" si="110"/>
        <v>LAMINA_LISA__ACERO_ROLADA EN FRIO_5'X10'_10</v>
      </c>
      <c r="D647" s="14" t="s">
        <v>7407</v>
      </c>
      <c r="E647" s="14" t="s">
        <v>7380</v>
      </c>
      <c r="F647" s="21" t="s">
        <v>7400</v>
      </c>
      <c r="G647" s="22" t="s">
        <v>7382</v>
      </c>
      <c r="H647" s="14">
        <v>10</v>
      </c>
      <c r="I647" s="16">
        <v>3.42</v>
      </c>
      <c r="J647" s="16">
        <f t="shared" si="101"/>
        <v>0.13464566929133859</v>
      </c>
      <c r="K647" s="16">
        <v>26.847000000000001</v>
      </c>
      <c r="L647" s="23">
        <v>2</v>
      </c>
      <c r="M647" s="23">
        <v>1</v>
      </c>
      <c r="N647" s="23">
        <v>10</v>
      </c>
      <c r="O647" s="23"/>
      <c r="P647" s="23"/>
      <c r="Q647" s="19" t="s">
        <v>7402</v>
      </c>
      <c r="R647" s="17">
        <v>5</v>
      </c>
      <c r="S647" s="17">
        <v>10</v>
      </c>
      <c r="T647" s="16">
        <f t="shared" si="105"/>
        <v>3048</v>
      </c>
      <c r="U647" s="16">
        <f t="shared" si="106"/>
        <v>1524</v>
      </c>
      <c r="V647" s="18">
        <f t="shared" si="102"/>
        <v>4645152</v>
      </c>
      <c r="W647" s="18">
        <f t="shared" si="107"/>
        <v>4.6451520000000004</v>
      </c>
      <c r="X647" s="18">
        <f t="shared" si="108"/>
        <v>124.70839574400001</v>
      </c>
      <c r="Y647" s="24">
        <v>35</v>
      </c>
      <c r="Z647" s="24">
        <f t="shared" si="109"/>
        <v>4364.7938510400008</v>
      </c>
      <c r="AA647" s="16">
        <v>26</v>
      </c>
      <c r="AB647" s="16">
        <f t="shared" si="104"/>
        <v>2996</v>
      </c>
      <c r="AC647" s="16">
        <f t="shared" si="104"/>
        <v>1472</v>
      </c>
      <c r="AD647" s="19">
        <f t="shared" si="103"/>
        <v>4410112</v>
      </c>
      <c r="AE647" s="1" t="s">
        <v>7456</v>
      </c>
      <c r="AF647" s="1" t="str">
        <f>VLOOKUP(AE647,t_objeto!B:C,2,FALSE)</f>
        <v>RAW_MATERIAL</v>
      </c>
      <c r="AG647" s="1">
        <v>8</v>
      </c>
      <c r="AH647" s="1" t="str">
        <f>VLOOKUP(AG647,t_entry_status!A:AE,2,FALSE)</f>
        <v>PENDING</v>
      </c>
      <c r="AI647" s="7">
        <v>45560</v>
      </c>
      <c r="AJ647" s="1" t="s">
        <v>7449</v>
      </c>
      <c r="AK647" s="7">
        <v>45560</v>
      </c>
      <c r="AL647" s="1" t="s">
        <v>7449</v>
      </c>
    </row>
    <row r="648" spans="1:38" s="20" customFormat="1" x14ac:dyDescent="0.25">
      <c r="A648" s="14">
        <v>647</v>
      </c>
      <c r="B648" s="14" t="str">
        <f>_xlfn.CONCAT(AE648,"-",VLOOKUP(AE648,t_objeto!B:D,3,FALSE),"-",A648)</f>
        <v>RRMM-PERCCO-647</v>
      </c>
      <c r="C648" s="22" t="str">
        <f t="shared" si="110"/>
        <v>LAMINA_LISA__ACERO_ROLADA EN FRIO_5'X10'_1/8"</v>
      </c>
      <c r="D648" s="14" t="s">
        <v>7407</v>
      </c>
      <c r="E648" s="14" t="s">
        <v>7380</v>
      </c>
      <c r="F648" s="21" t="s">
        <v>7400</v>
      </c>
      <c r="G648" s="22" t="s">
        <v>7382</v>
      </c>
      <c r="H648" s="14" t="s">
        <v>7399</v>
      </c>
      <c r="I648" s="16">
        <v>3.18</v>
      </c>
      <c r="J648" s="16">
        <v>0.125</v>
      </c>
      <c r="K648" s="16"/>
      <c r="L648" s="23"/>
      <c r="M648" s="23"/>
      <c r="N648" s="23"/>
      <c r="O648" s="23"/>
      <c r="P648" s="23"/>
      <c r="Q648" s="19"/>
      <c r="R648" s="17">
        <v>5</v>
      </c>
      <c r="S648" s="17">
        <v>10</v>
      </c>
      <c r="T648" s="16">
        <f t="shared" si="105"/>
        <v>3048</v>
      </c>
      <c r="U648" s="16">
        <f t="shared" si="106"/>
        <v>1524</v>
      </c>
      <c r="V648" s="18">
        <f t="shared" si="102"/>
        <v>4645152</v>
      </c>
      <c r="W648" s="18">
        <f t="shared" si="107"/>
        <v>4.6451520000000004</v>
      </c>
      <c r="X648" s="18">
        <f t="shared" si="108"/>
        <v>0</v>
      </c>
      <c r="Y648" s="24">
        <v>35</v>
      </c>
      <c r="Z648" s="24">
        <f t="shared" si="109"/>
        <v>0</v>
      </c>
      <c r="AA648" s="16">
        <v>26</v>
      </c>
      <c r="AB648" s="16">
        <f>T648-($AA648*2)</f>
        <v>2996</v>
      </c>
      <c r="AC648" s="16">
        <f>U648-($AA648*2)</f>
        <v>1472</v>
      </c>
      <c r="AD648" s="19">
        <f t="shared" si="103"/>
        <v>4410112</v>
      </c>
      <c r="AE648" s="1" t="s">
        <v>7456</v>
      </c>
      <c r="AF648" s="1" t="str">
        <f>VLOOKUP(AE648,t_objeto!B:C,2,FALSE)</f>
        <v>RAW_MATERIAL</v>
      </c>
      <c r="AG648" s="1">
        <v>8</v>
      </c>
      <c r="AH648" s="1" t="str">
        <f>VLOOKUP(AG648,t_entry_status!A:AE,2,FALSE)</f>
        <v>PENDING</v>
      </c>
      <c r="AI648" s="7">
        <v>45560</v>
      </c>
      <c r="AJ648" s="1" t="s">
        <v>7449</v>
      </c>
      <c r="AK648" s="7">
        <v>45560</v>
      </c>
      <c r="AL648" s="1" t="s">
        <v>7449</v>
      </c>
    </row>
    <row r="649" spans="1:38" s="20" customFormat="1" x14ac:dyDescent="0.25">
      <c r="A649" s="14">
        <v>648</v>
      </c>
      <c r="B649" s="14" t="str">
        <f>_xlfn.CONCAT(AE649,"-",VLOOKUP(AE649,t_objeto!B:D,3,FALSE),"-",A649)</f>
        <v>RRMM-PERCCO-648</v>
      </c>
      <c r="C649" s="22" t="str">
        <f t="shared" si="110"/>
        <v>LAMINA_LISA__ACERO_ROLADA EN FRIO_5'X10'_11</v>
      </c>
      <c r="D649" s="14" t="s">
        <v>7407</v>
      </c>
      <c r="E649" s="14" t="s">
        <v>7380</v>
      </c>
      <c r="F649" s="21" t="s">
        <v>7400</v>
      </c>
      <c r="G649" s="22" t="s">
        <v>7382</v>
      </c>
      <c r="H649" s="14">
        <v>11</v>
      </c>
      <c r="I649" s="16">
        <v>3.04</v>
      </c>
      <c r="J649" s="16">
        <f t="shared" si="101"/>
        <v>0.11968503937007875</v>
      </c>
      <c r="K649" s="16">
        <v>23.864000000000001</v>
      </c>
      <c r="L649" s="23">
        <v>3</v>
      </c>
      <c r="M649" s="23"/>
      <c r="N649" s="23"/>
      <c r="O649" s="23"/>
      <c r="P649" s="23"/>
      <c r="Q649" s="19"/>
      <c r="R649" s="17">
        <v>5</v>
      </c>
      <c r="S649" s="17">
        <v>10</v>
      </c>
      <c r="T649" s="16">
        <f t="shared" si="105"/>
        <v>3048</v>
      </c>
      <c r="U649" s="16">
        <f t="shared" si="106"/>
        <v>1524</v>
      </c>
      <c r="V649" s="18">
        <f t="shared" si="102"/>
        <v>4645152</v>
      </c>
      <c r="W649" s="18">
        <f t="shared" si="107"/>
        <v>4.6451520000000004</v>
      </c>
      <c r="X649" s="18">
        <f t="shared" si="108"/>
        <v>110.85190732800001</v>
      </c>
      <c r="Y649" s="24">
        <v>35</v>
      </c>
      <c r="Z649" s="24">
        <f t="shared" si="109"/>
        <v>3879.8167564800005</v>
      </c>
      <c r="AA649" s="16">
        <v>27</v>
      </c>
      <c r="AB649" s="16">
        <f t="shared" si="104"/>
        <v>2994</v>
      </c>
      <c r="AC649" s="16">
        <f t="shared" si="104"/>
        <v>1470</v>
      </c>
      <c r="AD649" s="19">
        <f t="shared" si="103"/>
        <v>4401180</v>
      </c>
      <c r="AE649" s="1" t="s">
        <v>7456</v>
      </c>
      <c r="AF649" s="1" t="str">
        <f>VLOOKUP(AE649,t_objeto!B:C,2,FALSE)</f>
        <v>RAW_MATERIAL</v>
      </c>
      <c r="AG649" s="1">
        <v>8</v>
      </c>
      <c r="AH649" s="1" t="str">
        <f>VLOOKUP(AG649,t_entry_status!A:AE,2,FALSE)</f>
        <v>PENDING</v>
      </c>
      <c r="AI649" s="7">
        <v>45560</v>
      </c>
      <c r="AJ649" s="1" t="s">
        <v>7449</v>
      </c>
      <c r="AK649" s="7">
        <v>45560</v>
      </c>
      <c r="AL649" s="1" t="s">
        <v>7449</v>
      </c>
    </row>
    <row r="650" spans="1:38" s="20" customFormat="1" x14ac:dyDescent="0.25">
      <c r="A650" s="14">
        <v>649</v>
      </c>
      <c r="B650" s="14" t="str">
        <f>_xlfn.CONCAT(AE650,"-",VLOOKUP(AE650,t_objeto!B:D,3,FALSE),"-",A650)</f>
        <v>RRMM-PERCCO-649</v>
      </c>
      <c r="C650" s="22" t="str">
        <f t="shared" si="110"/>
        <v>LAMINA_LISA__ACERO_ROLADA EN FRIO_5'X10'_12</v>
      </c>
      <c r="D650" s="14" t="s">
        <v>7407</v>
      </c>
      <c r="E650" s="14" t="s">
        <v>7380</v>
      </c>
      <c r="F650" s="21" t="s">
        <v>7400</v>
      </c>
      <c r="G650" s="22" t="s">
        <v>7382</v>
      </c>
      <c r="H650" s="14">
        <v>12</v>
      </c>
      <c r="I650" s="16">
        <v>2.66</v>
      </c>
      <c r="J650" s="16">
        <f t="shared" si="101"/>
        <v>0.1047244094488189</v>
      </c>
      <c r="K650" s="16">
        <v>20.881</v>
      </c>
      <c r="L650" s="23">
        <v>4</v>
      </c>
      <c r="M650" s="23"/>
      <c r="N650" s="23"/>
      <c r="O650" s="23"/>
      <c r="P650" s="23"/>
      <c r="Q650" s="19"/>
      <c r="R650" s="17">
        <v>5</v>
      </c>
      <c r="S650" s="17">
        <v>10</v>
      </c>
      <c r="T650" s="16">
        <f t="shared" si="105"/>
        <v>3048</v>
      </c>
      <c r="U650" s="16">
        <f t="shared" si="106"/>
        <v>1524</v>
      </c>
      <c r="V650" s="18">
        <f t="shared" si="102"/>
        <v>4645152</v>
      </c>
      <c r="W650" s="18">
        <f t="shared" si="107"/>
        <v>4.6451520000000004</v>
      </c>
      <c r="X650" s="18">
        <f t="shared" si="108"/>
        <v>96.995418912000005</v>
      </c>
      <c r="Y650" s="24">
        <v>35</v>
      </c>
      <c r="Z650" s="24">
        <f t="shared" si="109"/>
        <v>3394.8396619200003</v>
      </c>
      <c r="AA650" s="16">
        <v>28</v>
      </c>
      <c r="AB650" s="16">
        <f t="shared" si="104"/>
        <v>2992</v>
      </c>
      <c r="AC650" s="16">
        <f t="shared" si="104"/>
        <v>1468</v>
      </c>
      <c r="AD650" s="19">
        <f t="shared" si="103"/>
        <v>4392256</v>
      </c>
      <c r="AE650" s="1" t="s">
        <v>7456</v>
      </c>
      <c r="AF650" s="1" t="str">
        <f>VLOOKUP(AE650,t_objeto!B:C,2,FALSE)</f>
        <v>RAW_MATERIAL</v>
      </c>
      <c r="AG650" s="1">
        <v>8</v>
      </c>
      <c r="AH650" s="1" t="str">
        <f>VLOOKUP(AG650,t_entry_status!A:AE,2,FALSE)</f>
        <v>PENDING</v>
      </c>
      <c r="AI650" s="7">
        <v>45560</v>
      </c>
      <c r="AJ650" s="1" t="s">
        <v>7449</v>
      </c>
      <c r="AK650" s="7">
        <v>45560</v>
      </c>
      <c r="AL650" s="1" t="s">
        <v>7449</v>
      </c>
    </row>
    <row r="651" spans="1:38" s="20" customFormat="1" x14ac:dyDescent="0.25">
      <c r="A651" s="14">
        <v>650</v>
      </c>
      <c r="B651" s="14" t="str">
        <f>_xlfn.CONCAT(AE651,"-",VLOOKUP(AE651,t_objeto!B:D,3,FALSE),"-",A651)</f>
        <v>RRMM-PERCCO-650</v>
      </c>
      <c r="C651" s="22" t="str">
        <f t="shared" si="110"/>
        <v>LAMINA_LISA__ACERO_ROLADA EN FRIO_5'X10'_13</v>
      </c>
      <c r="D651" s="14" t="s">
        <v>7407</v>
      </c>
      <c r="E651" s="14" t="s">
        <v>7380</v>
      </c>
      <c r="F651" s="21" t="s">
        <v>7400</v>
      </c>
      <c r="G651" s="22" t="s">
        <v>7382</v>
      </c>
      <c r="H651" s="14">
        <v>13</v>
      </c>
      <c r="I651" s="16">
        <v>2.2799999999999998</v>
      </c>
      <c r="J651" s="16">
        <f t="shared" si="101"/>
        <v>8.9763779527559054E-2</v>
      </c>
      <c r="K651" s="16">
        <v>17.898</v>
      </c>
      <c r="L651" s="23">
        <v>5</v>
      </c>
      <c r="M651" s="23"/>
      <c r="N651" s="23"/>
      <c r="O651" s="23"/>
      <c r="P651" s="23"/>
      <c r="Q651" s="19"/>
      <c r="R651" s="17">
        <v>5</v>
      </c>
      <c r="S651" s="17">
        <v>10</v>
      </c>
      <c r="T651" s="16">
        <f t="shared" si="105"/>
        <v>3048</v>
      </c>
      <c r="U651" s="16">
        <f t="shared" si="106"/>
        <v>1524</v>
      </c>
      <c r="V651" s="18">
        <f t="shared" si="102"/>
        <v>4645152</v>
      </c>
      <c r="W651" s="18">
        <f t="shared" si="107"/>
        <v>4.6451520000000004</v>
      </c>
      <c r="X651" s="18">
        <f t="shared" si="108"/>
        <v>83.138930496</v>
      </c>
      <c r="Y651" s="24">
        <v>35</v>
      </c>
      <c r="Z651" s="24">
        <f t="shared" si="109"/>
        <v>2909.86256736</v>
      </c>
      <c r="AA651" s="16">
        <v>29</v>
      </c>
      <c r="AB651" s="16">
        <f t="shared" si="104"/>
        <v>2990</v>
      </c>
      <c r="AC651" s="16">
        <f t="shared" si="104"/>
        <v>1466</v>
      </c>
      <c r="AD651" s="19">
        <f t="shared" si="103"/>
        <v>4383340</v>
      </c>
      <c r="AE651" s="1" t="s">
        <v>7456</v>
      </c>
      <c r="AF651" s="1" t="str">
        <f>VLOOKUP(AE651,t_objeto!B:C,2,FALSE)</f>
        <v>RAW_MATERIAL</v>
      </c>
      <c r="AG651" s="1">
        <v>8</v>
      </c>
      <c r="AH651" s="1" t="str">
        <f>VLOOKUP(AG651,t_entry_status!A:AE,2,FALSE)</f>
        <v>PENDING</v>
      </c>
      <c r="AI651" s="7">
        <v>45560</v>
      </c>
      <c r="AJ651" s="1" t="s">
        <v>7449</v>
      </c>
      <c r="AK651" s="7">
        <v>45560</v>
      </c>
      <c r="AL651" s="1" t="s">
        <v>7449</v>
      </c>
    </row>
    <row r="652" spans="1:38" s="20" customFormat="1" x14ac:dyDescent="0.25">
      <c r="A652" s="14">
        <v>651</v>
      </c>
      <c r="B652" s="14" t="str">
        <f>_xlfn.CONCAT(AE652,"-",VLOOKUP(AE652,t_objeto!B:D,3,FALSE),"-",A652)</f>
        <v>RRMM-PERCCO-651</v>
      </c>
      <c r="C652" s="22" t="str">
        <f t="shared" si="110"/>
        <v>LAMINA_LISA__ACERO_ROLADA EN FRIO_5'X10'_14</v>
      </c>
      <c r="D652" s="14" t="s">
        <v>7407</v>
      </c>
      <c r="E652" s="14" t="s">
        <v>7380</v>
      </c>
      <c r="F652" s="21" t="s">
        <v>7400</v>
      </c>
      <c r="G652" s="22" t="s">
        <v>7382</v>
      </c>
      <c r="H652" s="14">
        <v>14</v>
      </c>
      <c r="I652" s="16">
        <v>1.9</v>
      </c>
      <c r="J652" s="16">
        <f t="shared" si="101"/>
        <v>7.4803149606299218E-2</v>
      </c>
      <c r="K652" s="16">
        <v>14.914999999999999</v>
      </c>
      <c r="L652" s="23">
        <v>5</v>
      </c>
      <c r="M652" s="23">
        <v>1</v>
      </c>
      <c r="N652" s="23">
        <v>10</v>
      </c>
      <c r="O652" s="23"/>
      <c r="P652" s="23"/>
      <c r="Q652" s="19" t="s">
        <v>7402</v>
      </c>
      <c r="R652" s="17">
        <v>5</v>
      </c>
      <c r="S652" s="17">
        <v>10</v>
      </c>
      <c r="T652" s="16">
        <f t="shared" si="105"/>
        <v>3048</v>
      </c>
      <c r="U652" s="16">
        <f t="shared" si="106"/>
        <v>1524</v>
      </c>
      <c r="V652" s="18">
        <f t="shared" si="102"/>
        <v>4645152</v>
      </c>
      <c r="W652" s="18">
        <f t="shared" si="107"/>
        <v>4.6451520000000004</v>
      </c>
      <c r="X652" s="18">
        <f t="shared" si="108"/>
        <v>69.282442079999996</v>
      </c>
      <c r="Y652" s="24">
        <v>35</v>
      </c>
      <c r="Z652" s="24">
        <f t="shared" si="109"/>
        <v>2424.8854727999997</v>
      </c>
      <c r="AA652" s="16">
        <v>30</v>
      </c>
      <c r="AB652" s="16">
        <f t="shared" si="104"/>
        <v>2988</v>
      </c>
      <c r="AC652" s="16">
        <f t="shared" si="104"/>
        <v>1464</v>
      </c>
      <c r="AD652" s="19">
        <f t="shared" si="103"/>
        <v>4374432</v>
      </c>
      <c r="AE652" s="1" t="s">
        <v>7456</v>
      </c>
      <c r="AF652" s="1" t="str">
        <f>VLOOKUP(AE652,t_objeto!B:C,2,FALSE)</f>
        <v>RAW_MATERIAL</v>
      </c>
      <c r="AG652" s="1">
        <v>8</v>
      </c>
      <c r="AH652" s="1" t="str">
        <f>VLOOKUP(AG652,t_entry_status!A:AE,2,FALSE)</f>
        <v>PENDING</v>
      </c>
      <c r="AI652" s="7">
        <v>45560</v>
      </c>
      <c r="AJ652" s="1" t="s">
        <v>7449</v>
      </c>
      <c r="AK652" s="7">
        <v>45560</v>
      </c>
      <c r="AL652" s="1" t="s">
        <v>7449</v>
      </c>
    </row>
    <row r="653" spans="1:38" s="20" customFormat="1" x14ac:dyDescent="0.25">
      <c r="A653" s="14">
        <v>652</v>
      </c>
      <c r="B653" s="14" t="str">
        <f>_xlfn.CONCAT(AE653,"-",VLOOKUP(AE653,t_objeto!B:D,3,FALSE),"-",A653)</f>
        <v>RRMM-PERCCO-652</v>
      </c>
      <c r="C653" s="22" t="str">
        <f t="shared" si="110"/>
        <v>LAMINA_LISA__ACERO_ROLADA EN FRIO_5'X10'_15</v>
      </c>
      <c r="D653" s="14" t="s">
        <v>7407</v>
      </c>
      <c r="E653" s="14" t="s">
        <v>7380</v>
      </c>
      <c r="F653" s="21" t="s">
        <v>7400</v>
      </c>
      <c r="G653" s="22" t="s">
        <v>7382</v>
      </c>
      <c r="H653" s="14">
        <v>15</v>
      </c>
      <c r="I653" s="16">
        <v>1.71</v>
      </c>
      <c r="J653" s="16">
        <f t="shared" si="101"/>
        <v>6.7322834645669294E-2</v>
      </c>
      <c r="K653" s="16">
        <v>13.423999999999999</v>
      </c>
      <c r="L653" s="23"/>
      <c r="M653" s="23"/>
      <c r="N653" s="23"/>
      <c r="O653" s="23"/>
      <c r="P653" s="23"/>
      <c r="Q653" s="19"/>
      <c r="R653" s="17">
        <v>5</v>
      </c>
      <c r="S653" s="17">
        <v>10</v>
      </c>
      <c r="T653" s="16">
        <f t="shared" si="105"/>
        <v>3048</v>
      </c>
      <c r="U653" s="16">
        <f t="shared" si="106"/>
        <v>1524</v>
      </c>
      <c r="V653" s="18">
        <f t="shared" si="102"/>
        <v>4645152</v>
      </c>
      <c r="W653" s="18">
        <f t="shared" si="107"/>
        <v>4.6451520000000004</v>
      </c>
      <c r="X653" s="18">
        <f t="shared" si="108"/>
        <v>62.356520448000005</v>
      </c>
      <c r="Y653" s="24">
        <v>35</v>
      </c>
      <c r="Z653" s="24">
        <f t="shared" si="109"/>
        <v>2182.4782156800002</v>
      </c>
      <c r="AA653" s="16">
        <v>31</v>
      </c>
      <c r="AB653" s="16">
        <f t="shared" si="104"/>
        <v>2986</v>
      </c>
      <c r="AC653" s="16">
        <f t="shared" si="104"/>
        <v>1462</v>
      </c>
      <c r="AD653" s="19">
        <f t="shared" si="103"/>
        <v>4365532</v>
      </c>
      <c r="AE653" s="1" t="s">
        <v>7456</v>
      </c>
      <c r="AF653" s="1" t="str">
        <f>VLOOKUP(AE653,t_objeto!B:C,2,FALSE)</f>
        <v>RAW_MATERIAL</v>
      </c>
      <c r="AG653" s="1">
        <v>8</v>
      </c>
      <c r="AH653" s="1" t="str">
        <f>VLOOKUP(AG653,t_entry_status!A:AE,2,FALSE)</f>
        <v>PENDING</v>
      </c>
      <c r="AI653" s="7">
        <v>45560</v>
      </c>
      <c r="AJ653" s="1" t="s">
        <v>7449</v>
      </c>
      <c r="AK653" s="7">
        <v>45560</v>
      </c>
      <c r="AL653" s="1" t="s">
        <v>7449</v>
      </c>
    </row>
    <row r="654" spans="1:38" s="20" customFormat="1" x14ac:dyDescent="0.25">
      <c r="A654" s="14">
        <v>653</v>
      </c>
      <c r="B654" s="14" t="str">
        <f>_xlfn.CONCAT(AE654,"-",VLOOKUP(AE654,t_objeto!B:D,3,FALSE),"-",A654)</f>
        <v>RRMM-PERCCO-653</v>
      </c>
      <c r="C654" s="22" t="str">
        <f t="shared" si="110"/>
        <v>LAMINA_LISA__ACERO_ROLADA EN FRIO_5'X10'_16</v>
      </c>
      <c r="D654" s="14" t="s">
        <v>7407</v>
      </c>
      <c r="E654" s="14" t="s">
        <v>7380</v>
      </c>
      <c r="F654" s="21" t="s">
        <v>7400</v>
      </c>
      <c r="G654" s="22" t="s">
        <v>7382</v>
      </c>
      <c r="H654" s="14">
        <v>16</v>
      </c>
      <c r="I654" s="16">
        <v>1.52</v>
      </c>
      <c r="J654" s="16">
        <f t="shared" si="101"/>
        <v>5.9842519685039376E-2</v>
      </c>
      <c r="K654" s="16">
        <v>11.932</v>
      </c>
      <c r="L654" s="23"/>
      <c r="M654" s="23"/>
      <c r="N654" s="23"/>
      <c r="O654" s="23"/>
      <c r="P654" s="23"/>
      <c r="Q654" s="19"/>
      <c r="R654" s="17">
        <v>5</v>
      </c>
      <c r="S654" s="17">
        <v>10</v>
      </c>
      <c r="T654" s="16">
        <f t="shared" si="105"/>
        <v>3048</v>
      </c>
      <c r="U654" s="16">
        <f t="shared" si="106"/>
        <v>1524</v>
      </c>
      <c r="V654" s="18">
        <f t="shared" si="102"/>
        <v>4645152</v>
      </c>
      <c r="W654" s="18">
        <f t="shared" si="107"/>
        <v>4.6451520000000004</v>
      </c>
      <c r="X654" s="18">
        <f t="shared" si="108"/>
        <v>55.425953664000005</v>
      </c>
      <c r="Y654" s="24">
        <v>35</v>
      </c>
      <c r="Z654" s="24">
        <f t="shared" si="109"/>
        <v>1939.9083782400003</v>
      </c>
      <c r="AA654" s="16">
        <v>32</v>
      </c>
      <c r="AB654" s="16">
        <f t="shared" si="104"/>
        <v>2984</v>
      </c>
      <c r="AC654" s="16">
        <f t="shared" si="104"/>
        <v>1460</v>
      </c>
      <c r="AD654" s="19">
        <f t="shared" si="103"/>
        <v>4356640</v>
      </c>
      <c r="AE654" s="1" t="s">
        <v>7456</v>
      </c>
      <c r="AF654" s="1" t="str">
        <f>VLOOKUP(AE654,t_objeto!B:C,2,FALSE)</f>
        <v>RAW_MATERIAL</v>
      </c>
      <c r="AG654" s="1">
        <v>8</v>
      </c>
      <c r="AH654" s="1" t="str">
        <f>VLOOKUP(AG654,t_entry_status!A:AE,2,FALSE)</f>
        <v>PENDING</v>
      </c>
      <c r="AI654" s="7">
        <v>45560</v>
      </c>
      <c r="AJ654" s="1" t="s">
        <v>7449</v>
      </c>
      <c r="AK654" s="7">
        <v>45560</v>
      </c>
      <c r="AL654" s="1" t="s">
        <v>7449</v>
      </c>
    </row>
    <row r="655" spans="1:38" s="20" customFormat="1" x14ac:dyDescent="0.25">
      <c r="A655" s="14">
        <v>654</v>
      </c>
      <c r="B655" s="14" t="str">
        <f>_xlfn.CONCAT(AE655,"-",VLOOKUP(AE655,t_objeto!B:D,3,FALSE),"-",A655)</f>
        <v>RRMM-PERCCO-654</v>
      </c>
      <c r="C655" s="22" t="str">
        <f t="shared" si="110"/>
        <v>LAMINA_LISA__ACERO_ROLADA EN FRIO_5'X10'_17</v>
      </c>
      <c r="D655" s="14" t="s">
        <v>7407</v>
      </c>
      <c r="E655" s="14" t="s">
        <v>7380</v>
      </c>
      <c r="F655" s="21" t="s">
        <v>7400</v>
      </c>
      <c r="G655" s="22" t="s">
        <v>7382</v>
      </c>
      <c r="H655" s="14">
        <v>17</v>
      </c>
      <c r="I655" s="16">
        <v>1.37</v>
      </c>
      <c r="J655" s="16">
        <f t="shared" si="101"/>
        <v>5.3937007874015758E-2</v>
      </c>
      <c r="K655" s="16">
        <v>10.755000000000001</v>
      </c>
      <c r="L655" s="23"/>
      <c r="M655" s="23"/>
      <c r="N655" s="23"/>
      <c r="O655" s="23"/>
      <c r="P655" s="23"/>
      <c r="Q655" s="19"/>
      <c r="R655" s="17">
        <v>5</v>
      </c>
      <c r="S655" s="17">
        <v>10</v>
      </c>
      <c r="T655" s="16">
        <f t="shared" si="105"/>
        <v>3048</v>
      </c>
      <c r="U655" s="16">
        <f t="shared" si="106"/>
        <v>1524</v>
      </c>
      <c r="V655" s="18">
        <f t="shared" si="102"/>
        <v>4645152</v>
      </c>
      <c r="W655" s="18">
        <f t="shared" si="107"/>
        <v>4.6451520000000004</v>
      </c>
      <c r="X655" s="18">
        <f t="shared" si="108"/>
        <v>49.958609760000009</v>
      </c>
      <c r="Y655" s="24">
        <v>35</v>
      </c>
      <c r="Z655" s="24">
        <f t="shared" si="109"/>
        <v>1748.5513416000003</v>
      </c>
      <c r="AA655" s="16">
        <v>33</v>
      </c>
      <c r="AB655" s="16">
        <f t="shared" si="104"/>
        <v>2982</v>
      </c>
      <c r="AC655" s="16">
        <f t="shared" si="104"/>
        <v>1458</v>
      </c>
      <c r="AD655" s="19">
        <f t="shared" si="103"/>
        <v>4347756</v>
      </c>
      <c r="AE655" s="1" t="s">
        <v>7456</v>
      </c>
      <c r="AF655" s="1" t="str">
        <f>VLOOKUP(AE655,t_objeto!B:C,2,FALSE)</f>
        <v>RAW_MATERIAL</v>
      </c>
      <c r="AG655" s="1">
        <v>8</v>
      </c>
      <c r="AH655" s="1" t="str">
        <f>VLOOKUP(AG655,t_entry_status!A:AE,2,FALSE)</f>
        <v>PENDING</v>
      </c>
      <c r="AI655" s="7">
        <v>45560</v>
      </c>
      <c r="AJ655" s="1" t="s">
        <v>7449</v>
      </c>
      <c r="AK655" s="7">
        <v>45560</v>
      </c>
      <c r="AL655" s="1" t="s">
        <v>7449</v>
      </c>
    </row>
    <row r="656" spans="1:38" s="20" customFormat="1" x14ac:dyDescent="0.25">
      <c r="A656" s="14">
        <v>655</v>
      </c>
      <c r="B656" s="14" t="str">
        <f>_xlfn.CONCAT(AE656,"-",VLOOKUP(AE656,t_objeto!B:D,3,FALSE),"-",A656)</f>
        <v>RRMM-PERCCO-655</v>
      </c>
      <c r="C656" s="22" t="str">
        <f t="shared" si="110"/>
        <v>LAMINA_LISA__ACERO_ROLADA EN FRIO_5'X10'_18</v>
      </c>
      <c r="D656" s="14" t="s">
        <v>7407</v>
      </c>
      <c r="E656" s="14" t="s">
        <v>7380</v>
      </c>
      <c r="F656" s="21" t="s">
        <v>7400</v>
      </c>
      <c r="G656" s="22" t="s">
        <v>7382</v>
      </c>
      <c r="H656" s="14">
        <v>18</v>
      </c>
      <c r="I656" s="16">
        <v>1.21</v>
      </c>
      <c r="J656" s="16">
        <f t="shared" si="101"/>
        <v>4.7637795275590554E-2</v>
      </c>
      <c r="K656" s="16">
        <v>9.4990000000000006</v>
      </c>
      <c r="L656" s="23"/>
      <c r="M656" s="23"/>
      <c r="N656" s="23"/>
      <c r="O656" s="23"/>
      <c r="P656" s="23"/>
      <c r="Q656" s="19"/>
      <c r="R656" s="17">
        <v>5</v>
      </c>
      <c r="S656" s="17">
        <v>10</v>
      </c>
      <c r="T656" s="16">
        <f t="shared" si="105"/>
        <v>3048</v>
      </c>
      <c r="U656" s="16">
        <f t="shared" si="106"/>
        <v>1524</v>
      </c>
      <c r="V656" s="18">
        <f t="shared" si="102"/>
        <v>4645152</v>
      </c>
      <c r="W656" s="18">
        <f t="shared" si="107"/>
        <v>4.6451520000000004</v>
      </c>
      <c r="X656" s="18">
        <f t="shared" si="108"/>
        <v>44.124298848000009</v>
      </c>
      <c r="Y656" s="24">
        <v>35</v>
      </c>
      <c r="Z656" s="24">
        <f t="shared" si="109"/>
        <v>1544.3504596800003</v>
      </c>
      <c r="AA656" s="16">
        <v>34</v>
      </c>
      <c r="AB656" s="16">
        <f t="shared" si="104"/>
        <v>2980</v>
      </c>
      <c r="AC656" s="16">
        <f t="shared" si="104"/>
        <v>1456</v>
      </c>
      <c r="AD656" s="19">
        <f t="shared" si="103"/>
        <v>4338880</v>
      </c>
      <c r="AE656" s="1" t="s">
        <v>7456</v>
      </c>
      <c r="AF656" s="1" t="str">
        <f>VLOOKUP(AE656,t_objeto!B:C,2,FALSE)</f>
        <v>RAW_MATERIAL</v>
      </c>
      <c r="AG656" s="1">
        <v>8</v>
      </c>
      <c r="AH656" s="1" t="str">
        <f>VLOOKUP(AG656,t_entry_status!A:AE,2,FALSE)</f>
        <v>PENDING</v>
      </c>
      <c r="AI656" s="7">
        <v>45560</v>
      </c>
      <c r="AJ656" s="1" t="s">
        <v>7449</v>
      </c>
      <c r="AK656" s="7">
        <v>45560</v>
      </c>
      <c r="AL656" s="1" t="s">
        <v>7449</v>
      </c>
    </row>
    <row r="657" spans="1:38" s="20" customFormat="1" x14ac:dyDescent="0.25">
      <c r="A657" s="14">
        <v>656</v>
      </c>
      <c r="B657" s="14" t="str">
        <f>_xlfn.CONCAT(AE657,"-",VLOOKUP(AE657,t_objeto!B:D,3,FALSE),"-",A657)</f>
        <v>RRMM-PERCCO-656</v>
      </c>
      <c r="C657" s="22" t="str">
        <f t="shared" si="110"/>
        <v>LAMINA_LISA__ACERO_ROLADA EN FRIO_5'X10'_19</v>
      </c>
      <c r="D657" s="14" t="s">
        <v>7407</v>
      </c>
      <c r="E657" s="14" t="s">
        <v>7380</v>
      </c>
      <c r="F657" s="21" t="s">
        <v>7400</v>
      </c>
      <c r="G657" s="22" t="s">
        <v>7382</v>
      </c>
      <c r="H657" s="14">
        <v>19</v>
      </c>
      <c r="I657" s="16">
        <v>1.06</v>
      </c>
      <c r="J657" s="16">
        <f t="shared" si="101"/>
        <v>4.1732283464566935E-2</v>
      </c>
      <c r="K657" s="16">
        <v>8.3209999999999997</v>
      </c>
      <c r="L657" s="23"/>
      <c r="M657" s="23"/>
      <c r="N657" s="23"/>
      <c r="O657" s="23"/>
      <c r="P657" s="23"/>
      <c r="Q657" s="19"/>
      <c r="R657" s="17">
        <v>5</v>
      </c>
      <c r="S657" s="17">
        <v>10</v>
      </c>
      <c r="T657" s="16">
        <f t="shared" si="105"/>
        <v>3048</v>
      </c>
      <c r="U657" s="16">
        <f t="shared" si="106"/>
        <v>1524</v>
      </c>
      <c r="V657" s="18">
        <f t="shared" si="102"/>
        <v>4645152</v>
      </c>
      <c r="W657" s="18">
        <f t="shared" si="107"/>
        <v>4.6451520000000004</v>
      </c>
      <c r="X657" s="18">
        <f t="shared" si="108"/>
        <v>38.652309792000004</v>
      </c>
      <c r="Y657" s="24">
        <v>35</v>
      </c>
      <c r="Z657" s="24">
        <f t="shared" si="109"/>
        <v>1352.8308427200002</v>
      </c>
      <c r="AA657" s="16">
        <v>35</v>
      </c>
      <c r="AB657" s="16">
        <f t="shared" si="104"/>
        <v>2978</v>
      </c>
      <c r="AC657" s="16">
        <f t="shared" si="104"/>
        <v>1454</v>
      </c>
      <c r="AD657" s="19">
        <f t="shared" si="103"/>
        <v>4330012</v>
      </c>
      <c r="AE657" s="1" t="s">
        <v>7456</v>
      </c>
      <c r="AF657" s="1" t="str">
        <f>VLOOKUP(AE657,t_objeto!B:C,2,FALSE)</f>
        <v>RAW_MATERIAL</v>
      </c>
      <c r="AG657" s="1">
        <v>8</v>
      </c>
      <c r="AH657" s="1" t="str">
        <f>VLOOKUP(AG657,t_entry_status!A:AE,2,FALSE)</f>
        <v>PENDING</v>
      </c>
      <c r="AI657" s="7">
        <v>45560</v>
      </c>
      <c r="AJ657" s="1" t="s">
        <v>7449</v>
      </c>
      <c r="AK657" s="7">
        <v>45560</v>
      </c>
      <c r="AL657" s="1" t="s">
        <v>7449</v>
      </c>
    </row>
    <row r="658" spans="1:38" s="20" customFormat="1" x14ac:dyDescent="0.25">
      <c r="A658" s="14">
        <v>657</v>
      </c>
      <c r="B658" s="14" t="str">
        <f>_xlfn.CONCAT(AE658,"-",VLOOKUP(AE658,t_objeto!B:D,3,FALSE),"-",A658)</f>
        <v>RRMM-PERCCO-657</v>
      </c>
      <c r="C658" s="22" t="str">
        <f t="shared" si="110"/>
        <v>LAMINA_LISA__ACERO_ROLADA EN FRIO_5'X10'_20</v>
      </c>
      <c r="D658" s="14" t="s">
        <v>7407</v>
      </c>
      <c r="E658" s="14" t="s">
        <v>7380</v>
      </c>
      <c r="F658" s="21" t="s">
        <v>7400</v>
      </c>
      <c r="G658" s="22" t="s">
        <v>7382</v>
      </c>
      <c r="H658" s="14">
        <v>20</v>
      </c>
      <c r="I658" s="16">
        <v>0.91</v>
      </c>
      <c r="J658" s="16">
        <f t="shared" si="101"/>
        <v>3.582677165354331E-2</v>
      </c>
      <c r="K658" s="16">
        <v>7.1440000000000001</v>
      </c>
      <c r="L658" s="23"/>
      <c r="M658" s="23"/>
      <c r="N658" s="23"/>
      <c r="O658" s="23"/>
      <c r="P658" s="23"/>
      <c r="Q658" s="19"/>
      <c r="R658" s="17">
        <v>5</v>
      </c>
      <c r="S658" s="17">
        <v>10</v>
      </c>
      <c r="T658" s="16">
        <f t="shared" si="105"/>
        <v>3048</v>
      </c>
      <c r="U658" s="16">
        <f t="shared" si="106"/>
        <v>1524</v>
      </c>
      <c r="V658" s="18">
        <f t="shared" si="102"/>
        <v>4645152</v>
      </c>
      <c r="W658" s="18">
        <f t="shared" si="107"/>
        <v>4.6451520000000004</v>
      </c>
      <c r="X658" s="18">
        <f t="shared" si="108"/>
        <v>33.184965888000001</v>
      </c>
      <c r="Y658" s="24">
        <v>35</v>
      </c>
      <c r="Z658" s="24">
        <f t="shared" si="109"/>
        <v>1161.47380608</v>
      </c>
      <c r="AA658" s="16">
        <v>36</v>
      </c>
      <c r="AB658" s="16">
        <f t="shared" si="104"/>
        <v>2976</v>
      </c>
      <c r="AC658" s="16">
        <f t="shared" si="104"/>
        <v>1452</v>
      </c>
      <c r="AD658" s="19">
        <f t="shared" si="103"/>
        <v>4321152</v>
      </c>
      <c r="AE658" s="1" t="s">
        <v>7456</v>
      </c>
      <c r="AF658" s="1" t="str">
        <f>VLOOKUP(AE658,t_objeto!B:C,2,FALSE)</f>
        <v>RAW_MATERIAL</v>
      </c>
      <c r="AG658" s="1">
        <v>8</v>
      </c>
      <c r="AH658" s="1" t="str">
        <f>VLOOKUP(AG658,t_entry_status!A:AE,2,FALSE)</f>
        <v>PENDING</v>
      </c>
      <c r="AI658" s="7">
        <v>45560</v>
      </c>
      <c r="AJ658" s="1" t="s">
        <v>7449</v>
      </c>
      <c r="AK658" s="7">
        <v>45560</v>
      </c>
      <c r="AL658" s="1" t="s">
        <v>7449</v>
      </c>
    </row>
    <row r="659" spans="1:38" s="20" customFormat="1" x14ac:dyDescent="0.25">
      <c r="A659" s="14">
        <v>658</v>
      </c>
      <c r="B659" s="14" t="str">
        <f>_xlfn.CONCAT(AE659,"-",VLOOKUP(AE659,t_objeto!B:D,3,FALSE),"-",A659)</f>
        <v>RRMM-PERCCO-658</v>
      </c>
      <c r="C659" s="22" t="str">
        <f t="shared" si="110"/>
        <v>LAMINA_LISA__ACERO_ROLADA EN FRIO_5'X10'_21</v>
      </c>
      <c r="D659" s="14" t="s">
        <v>7407</v>
      </c>
      <c r="E659" s="14" t="s">
        <v>7380</v>
      </c>
      <c r="F659" s="21" t="s">
        <v>7400</v>
      </c>
      <c r="G659" s="22" t="s">
        <v>7382</v>
      </c>
      <c r="H659" s="14">
        <v>21</v>
      </c>
      <c r="I659" s="16">
        <v>0.84</v>
      </c>
      <c r="J659" s="16">
        <f t="shared" ref="J659:J685" si="111">I659/25.4</f>
        <v>3.3070866141732283E-2</v>
      </c>
      <c r="K659" s="16">
        <v>6.5940000000000003</v>
      </c>
      <c r="L659" s="23"/>
      <c r="M659" s="23"/>
      <c r="N659" s="23"/>
      <c r="O659" s="23"/>
      <c r="P659" s="23"/>
      <c r="Q659" s="19"/>
      <c r="R659" s="17">
        <v>5</v>
      </c>
      <c r="S659" s="17">
        <v>10</v>
      </c>
      <c r="T659" s="16">
        <f t="shared" si="105"/>
        <v>3048</v>
      </c>
      <c r="U659" s="16">
        <f t="shared" si="106"/>
        <v>1524</v>
      </c>
      <c r="V659" s="18">
        <f t="shared" si="102"/>
        <v>4645152</v>
      </c>
      <c r="W659" s="18">
        <f t="shared" si="107"/>
        <v>4.6451520000000004</v>
      </c>
      <c r="X659" s="18">
        <f t="shared" si="108"/>
        <v>30.630132288000006</v>
      </c>
      <c r="Y659" s="24">
        <v>35</v>
      </c>
      <c r="Z659" s="24">
        <f t="shared" si="109"/>
        <v>1072.0546300800002</v>
      </c>
      <c r="AA659" s="16">
        <v>37</v>
      </c>
      <c r="AB659" s="16">
        <f t="shared" si="104"/>
        <v>2974</v>
      </c>
      <c r="AC659" s="16">
        <f t="shared" si="104"/>
        <v>1450</v>
      </c>
      <c r="AD659" s="19">
        <f t="shared" si="103"/>
        <v>4312300</v>
      </c>
      <c r="AE659" s="1" t="s">
        <v>7456</v>
      </c>
      <c r="AF659" s="1" t="str">
        <f>VLOOKUP(AE659,t_objeto!B:C,2,FALSE)</f>
        <v>RAW_MATERIAL</v>
      </c>
      <c r="AG659" s="1">
        <v>8</v>
      </c>
      <c r="AH659" s="1" t="str">
        <f>VLOOKUP(AG659,t_entry_status!A:AE,2,FALSE)</f>
        <v>PENDING</v>
      </c>
      <c r="AI659" s="7">
        <v>45560</v>
      </c>
      <c r="AJ659" s="1" t="s">
        <v>7449</v>
      </c>
      <c r="AK659" s="7">
        <v>45560</v>
      </c>
      <c r="AL659" s="1" t="s">
        <v>7449</v>
      </c>
    </row>
    <row r="660" spans="1:38" s="20" customFormat="1" x14ac:dyDescent="0.25">
      <c r="A660" s="14">
        <v>659</v>
      </c>
      <c r="B660" s="14" t="str">
        <f>_xlfn.CONCAT(AE660,"-",VLOOKUP(AE660,t_objeto!B:D,3,FALSE),"-",A660)</f>
        <v>RRMM-PERCCO-659</v>
      </c>
      <c r="C660" s="22" t="str">
        <f t="shared" si="110"/>
        <v>LAMINA_LISA__ACERO_ROLADA EN FRIO_5'X10'_22</v>
      </c>
      <c r="D660" s="14" t="s">
        <v>7407</v>
      </c>
      <c r="E660" s="14" t="s">
        <v>7380</v>
      </c>
      <c r="F660" s="21" t="s">
        <v>7400</v>
      </c>
      <c r="G660" s="22" t="s">
        <v>7382</v>
      </c>
      <c r="H660" s="14">
        <v>22</v>
      </c>
      <c r="I660" s="16">
        <v>0.76</v>
      </c>
      <c r="J660" s="16">
        <f t="shared" si="111"/>
        <v>2.9921259842519688E-2</v>
      </c>
      <c r="K660" s="16">
        <v>6.1050000000000004</v>
      </c>
      <c r="L660" s="23"/>
      <c r="M660" s="23"/>
      <c r="N660" s="23"/>
      <c r="O660" s="23"/>
      <c r="P660" s="23"/>
      <c r="Q660" s="19"/>
      <c r="R660" s="17">
        <v>5</v>
      </c>
      <c r="S660" s="17">
        <v>10</v>
      </c>
      <c r="T660" s="16">
        <f t="shared" si="105"/>
        <v>3048</v>
      </c>
      <c r="U660" s="16">
        <f t="shared" si="106"/>
        <v>1524</v>
      </c>
      <c r="V660" s="18">
        <f t="shared" si="102"/>
        <v>4645152</v>
      </c>
      <c r="W660" s="18">
        <f t="shared" si="107"/>
        <v>4.6451520000000004</v>
      </c>
      <c r="X660" s="18">
        <f t="shared" si="108"/>
        <v>28.358652960000004</v>
      </c>
      <c r="Y660" s="24">
        <v>35</v>
      </c>
      <c r="Z660" s="24">
        <f t="shared" si="109"/>
        <v>992.55285360000016</v>
      </c>
      <c r="AA660" s="16">
        <v>38</v>
      </c>
      <c r="AB660" s="16">
        <f t="shared" si="104"/>
        <v>2972</v>
      </c>
      <c r="AC660" s="16">
        <f t="shared" si="104"/>
        <v>1448</v>
      </c>
      <c r="AD660" s="19">
        <f t="shared" si="103"/>
        <v>4303456</v>
      </c>
      <c r="AE660" s="1" t="s">
        <v>7456</v>
      </c>
      <c r="AF660" s="1" t="str">
        <f>VLOOKUP(AE660,t_objeto!B:C,2,FALSE)</f>
        <v>RAW_MATERIAL</v>
      </c>
      <c r="AG660" s="1">
        <v>8</v>
      </c>
      <c r="AH660" s="1" t="str">
        <f>VLOOKUP(AG660,t_entry_status!A:AE,2,FALSE)</f>
        <v>PENDING</v>
      </c>
      <c r="AI660" s="7">
        <v>45560</v>
      </c>
      <c r="AJ660" s="1" t="s">
        <v>7449</v>
      </c>
      <c r="AK660" s="7">
        <v>45560</v>
      </c>
      <c r="AL660" s="1" t="s">
        <v>7449</v>
      </c>
    </row>
    <row r="661" spans="1:38" s="20" customFormat="1" x14ac:dyDescent="0.25">
      <c r="A661" s="14">
        <v>660</v>
      </c>
      <c r="B661" s="14" t="str">
        <f>_xlfn.CONCAT(AE661,"-",VLOOKUP(AE661,t_objeto!B:D,3,FALSE),"-",A661)</f>
        <v>RRMM-PERCCO-660</v>
      </c>
      <c r="C661" s="22" t="str">
        <f t="shared" si="110"/>
        <v>LAMINA_LISA__ACERO_ROLADA EN FRIO_5'X10'_23</v>
      </c>
      <c r="D661" s="14" t="s">
        <v>7407</v>
      </c>
      <c r="E661" s="14" t="s">
        <v>7380</v>
      </c>
      <c r="F661" s="21" t="s">
        <v>7400</v>
      </c>
      <c r="G661" s="22" t="s">
        <v>7382</v>
      </c>
      <c r="H661" s="14">
        <v>23</v>
      </c>
      <c r="I661" s="16">
        <v>0.68</v>
      </c>
      <c r="J661" s="16">
        <f t="shared" si="111"/>
        <v>2.677165354330709E-2</v>
      </c>
      <c r="K661" s="16">
        <v>5.3380000000000001</v>
      </c>
      <c r="L661" s="23"/>
      <c r="M661" s="23"/>
      <c r="N661" s="23"/>
      <c r="O661" s="23"/>
      <c r="P661" s="23"/>
      <c r="Q661" s="19"/>
      <c r="R661" s="17">
        <v>5</v>
      </c>
      <c r="S661" s="17">
        <v>10</v>
      </c>
      <c r="T661" s="16">
        <f t="shared" si="105"/>
        <v>3048</v>
      </c>
      <c r="U661" s="16">
        <f t="shared" si="106"/>
        <v>1524</v>
      </c>
      <c r="V661" s="18">
        <f t="shared" ref="V661:V685" si="112">T661*U661</f>
        <v>4645152</v>
      </c>
      <c r="W661" s="18">
        <f t="shared" si="107"/>
        <v>4.6451520000000004</v>
      </c>
      <c r="X661" s="18">
        <f t="shared" si="108"/>
        <v>24.795821376000003</v>
      </c>
      <c r="Y661" s="24">
        <v>35</v>
      </c>
      <c r="Z661" s="24">
        <f t="shared" si="109"/>
        <v>867.85374816000012</v>
      </c>
      <c r="AA661" s="16">
        <v>39</v>
      </c>
      <c r="AB661" s="16">
        <f t="shared" si="104"/>
        <v>2970</v>
      </c>
      <c r="AC661" s="16">
        <f t="shared" si="104"/>
        <v>1446</v>
      </c>
      <c r="AD661" s="19">
        <f t="shared" ref="AD661:AD685" si="113">AB661*AC661</f>
        <v>4294620</v>
      </c>
      <c r="AE661" s="1" t="s">
        <v>7456</v>
      </c>
      <c r="AF661" s="1" t="str">
        <f>VLOOKUP(AE661,t_objeto!B:C,2,FALSE)</f>
        <v>RAW_MATERIAL</v>
      </c>
      <c r="AG661" s="1">
        <v>8</v>
      </c>
      <c r="AH661" s="1" t="str">
        <f>VLOOKUP(AG661,t_entry_status!A:AE,2,FALSE)</f>
        <v>PENDING</v>
      </c>
      <c r="AI661" s="7">
        <v>45560</v>
      </c>
      <c r="AJ661" s="1" t="s">
        <v>7449</v>
      </c>
      <c r="AK661" s="7">
        <v>45560</v>
      </c>
      <c r="AL661" s="1" t="s">
        <v>7449</v>
      </c>
    </row>
    <row r="662" spans="1:38" s="20" customFormat="1" x14ac:dyDescent="0.25">
      <c r="A662" s="14">
        <v>661</v>
      </c>
      <c r="B662" s="14" t="str">
        <f>_xlfn.CONCAT(AE662,"-",VLOOKUP(AE662,t_objeto!B:D,3,FALSE),"-",A662)</f>
        <v>RRMM-PERCCO-661</v>
      </c>
      <c r="C662" s="22" t="str">
        <f t="shared" si="110"/>
        <v>LAMINA_LISA__ACERO_ROLADA EN FRIO_5'X10'_24</v>
      </c>
      <c r="D662" s="14" t="s">
        <v>7407</v>
      </c>
      <c r="E662" s="14" t="s">
        <v>7380</v>
      </c>
      <c r="F662" s="21" t="s">
        <v>7400</v>
      </c>
      <c r="G662" s="22" t="s">
        <v>7382</v>
      </c>
      <c r="H662" s="14">
        <v>24</v>
      </c>
      <c r="I662" s="16">
        <v>0.61</v>
      </c>
      <c r="J662" s="16">
        <f t="shared" si="111"/>
        <v>2.4015748031496063E-2</v>
      </c>
      <c r="K662" s="16">
        <v>4.7889999999999997</v>
      </c>
      <c r="L662" s="23"/>
      <c r="M662" s="23"/>
      <c r="N662" s="23"/>
      <c r="O662" s="23"/>
      <c r="P662" s="23"/>
      <c r="Q662" s="19"/>
      <c r="R662" s="17">
        <v>5</v>
      </c>
      <c r="S662" s="17">
        <v>10</v>
      </c>
      <c r="T662" s="16">
        <f t="shared" si="105"/>
        <v>3048</v>
      </c>
      <c r="U662" s="16">
        <f t="shared" si="106"/>
        <v>1524</v>
      </c>
      <c r="V662" s="18">
        <f t="shared" si="112"/>
        <v>4645152</v>
      </c>
      <c r="W662" s="18">
        <f t="shared" si="107"/>
        <v>4.6451520000000004</v>
      </c>
      <c r="X662" s="18">
        <f t="shared" si="108"/>
        <v>22.245632927999999</v>
      </c>
      <c r="Y662" s="24">
        <v>35</v>
      </c>
      <c r="Z662" s="24">
        <f t="shared" si="109"/>
        <v>778.59715247999998</v>
      </c>
      <c r="AA662" s="16">
        <v>40</v>
      </c>
      <c r="AB662" s="16">
        <f t="shared" si="104"/>
        <v>2968</v>
      </c>
      <c r="AC662" s="16">
        <f t="shared" si="104"/>
        <v>1444</v>
      </c>
      <c r="AD662" s="19">
        <f t="shared" si="113"/>
        <v>4285792</v>
      </c>
      <c r="AE662" s="1" t="s">
        <v>7456</v>
      </c>
      <c r="AF662" s="1" t="str">
        <f>VLOOKUP(AE662,t_objeto!B:C,2,FALSE)</f>
        <v>RAW_MATERIAL</v>
      </c>
      <c r="AG662" s="1">
        <v>8</v>
      </c>
      <c r="AH662" s="1" t="str">
        <f>VLOOKUP(AG662,t_entry_status!A:AE,2,FALSE)</f>
        <v>PENDING</v>
      </c>
      <c r="AI662" s="7">
        <v>45560</v>
      </c>
      <c r="AJ662" s="1" t="s">
        <v>7449</v>
      </c>
      <c r="AK662" s="7">
        <v>45560</v>
      </c>
      <c r="AL662" s="1" t="s">
        <v>7449</v>
      </c>
    </row>
    <row r="663" spans="1:38" s="20" customFormat="1" x14ac:dyDescent="0.25">
      <c r="A663" s="14">
        <v>662</v>
      </c>
      <c r="B663" s="14" t="str">
        <f>_xlfn.CONCAT(AE663,"-",VLOOKUP(AE663,t_objeto!B:D,3,FALSE),"-",A663)</f>
        <v>RRMM-PERCCO-662</v>
      </c>
      <c r="C663" s="22" t="str">
        <f t="shared" si="110"/>
        <v>LAMINA_LISA__ACERO_ROLADA EN FRIO_5'X10'_25</v>
      </c>
      <c r="D663" s="14" t="s">
        <v>7407</v>
      </c>
      <c r="E663" s="14" t="s">
        <v>7380</v>
      </c>
      <c r="F663" s="21" t="s">
        <v>7400</v>
      </c>
      <c r="G663" s="22" t="s">
        <v>7382</v>
      </c>
      <c r="H663" s="14">
        <v>25</v>
      </c>
      <c r="I663" s="16">
        <v>0.53</v>
      </c>
      <c r="J663" s="16">
        <f t="shared" si="111"/>
        <v>2.0866141732283468E-2</v>
      </c>
      <c r="K663" s="16">
        <v>4.1609999999999996</v>
      </c>
      <c r="L663" s="23"/>
      <c r="M663" s="23"/>
      <c r="N663" s="23"/>
      <c r="O663" s="23"/>
      <c r="P663" s="23"/>
      <c r="Q663" s="19"/>
      <c r="R663" s="17">
        <v>5</v>
      </c>
      <c r="S663" s="17">
        <v>10</v>
      </c>
      <c r="T663" s="16">
        <f t="shared" si="105"/>
        <v>3048</v>
      </c>
      <c r="U663" s="16">
        <f t="shared" si="106"/>
        <v>1524</v>
      </c>
      <c r="V663" s="18">
        <f t="shared" si="112"/>
        <v>4645152</v>
      </c>
      <c r="W663" s="18">
        <f t="shared" si="107"/>
        <v>4.6451520000000004</v>
      </c>
      <c r="X663" s="18">
        <f t="shared" si="108"/>
        <v>19.328477471999999</v>
      </c>
      <c r="Y663" s="24">
        <v>35</v>
      </c>
      <c r="Z663" s="24">
        <f t="shared" si="109"/>
        <v>676.49671151999996</v>
      </c>
      <c r="AA663" s="16">
        <v>41</v>
      </c>
      <c r="AB663" s="16">
        <f t="shared" si="104"/>
        <v>2966</v>
      </c>
      <c r="AC663" s="16">
        <f t="shared" si="104"/>
        <v>1442</v>
      </c>
      <c r="AD663" s="19">
        <f t="shared" si="113"/>
        <v>4276972</v>
      </c>
      <c r="AE663" s="1" t="s">
        <v>7456</v>
      </c>
      <c r="AF663" s="1" t="str">
        <f>VLOOKUP(AE663,t_objeto!B:C,2,FALSE)</f>
        <v>RAW_MATERIAL</v>
      </c>
      <c r="AG663" s="1">
        <v>8</v>
      </c>
      <c r="AH663" s="1" t="str">
        <f>VLOOKUP(AG663,t_entry_status!A:AE,2,FALSE)</f>
        <v>PENDING</v>
      </c>
      <c r="AI663" s="7">
        <v>45560</v>
      </c>
      <c r="AJ663" s="1" t="s">
        <v>7449</v>
      </c>
      <c r="AK663" s="7">
        <v>45560</v>
      </c>
      <c r="AL663" s="1" t="s">
        <v>7449</v>
      </c>
    </row>
    <row r="664" spans="1:38" s="20" customFormat="1" x14ac:dyDescent="0.25">
      <c r="A664" s="14">
        <v>663</v>
      </c>
      <c r="B664" s="14" t="str">
        <f>_xlfn.CONCAT(AE664,"-",VLOOKUP(AE664,t_objeto!B:D,3,FALSE),"-",A664)</f>
        <v>RRMM-PERCCO-663</v>
      </c>
      <c r="C664" s="22" t="str">
        <f t="shared" si="110"/>
        <v>LAMINA_LISA__ACERO_ROLADA EN FRIO_5'X10'_26</v>
      </c>
      <c r="D664" s="14" t="s">
        <v>7407</v>
      </c>
      <c r="E664" s="14" t="s">
        <v>7380</v>
      </c>
      <c r="F664" s="21" t="s">
        <v>7400</v>
      </c>
      <c r="G664" s="22" t="s">
        <v>7382</v>
      </c>
      <c r="H664" s="14">
        <v>26</v>
      </c>
      <c r="I664" s="16">
        <v>0.45</v>
      </c>
      <c r="J664" s="16">
        <f t="shared" si="111"/>
        <v>1.7716535433070866E-2</v>
      </c>
      <c r="K664" s="16">
        <v>3.5329999999999999</v>
      </c>
      <c r="L664" s="23"/>
      <c r="M664" s="23"/>
      <c r="N664" s="23"/>
      <c r="O664" s="23"/>
      <c r="P664" s="23"/>
      <c r="Q664" s="19"/>
      <c r="R664" s="17">
        <v>5</v>
      </c>
      <c r="S664" s="17">
        <v>10</v>
      </c>
      <c r="T664" s="16">
        <f t="shared" si="105"/>
        <v>3048</v>
      </c>
      <c r="U664" s="16">
        <f t="shared" si="106"/>
        <v>1524</v>
      </c>
      <c r="V664" s="18">
        <f t="shared" si="112"/>
        <v>4645152</v>
      </c>
      <c r="W664" s="18">
        <f t="shared" si="107"/>
        <v>4.6451520000000004</v>
      </c>
      <c r="X664" s="18">
        <f t="shared" si="108"/>
        <v>16.411322016</v>
      </c>
      <c r="Y664" s="24">
        <v>35</v>
      </c>
      <c r="Z664" s="24">
        <f t="shared" si="109"/>
        <v>574.39627055999995</v>
      </c>
      <c r="AA664" s="16">
        <v>42</v>
      </c>
      <c r="AB664" s="16">
        <f t="shared" si="104"/>
        <v>2964</v>
      </c>
      <c r="AC664" s="16">
        <f t="shared" si="104"/>
        <v>1440</v>
      </c>
      <c r="AD664" s="19">
        <f t="shared" si="113"/>
        <v>4268160</v>
      </c>
      <c r="AE664" s="1" t="s">
        <v>7456</v>
      </c>
      <c r="AF664" s="1" t="str">
        <f>VLOOKUP(AE664,t_objeto!B:C,2,FALSE)</f>
        <v>RAW_MATERIAL</v>
      </c>
      <c r="AG664" s="1">
        <v>8</v>
      </c>
      <c r="AH664" s="1" t="str">
        <f>VLOOKUP(AG664,t_entry_status!A:AE,2,FALSE)</f>
        <v>PENDING</v>
      </c>
      <c r="AI664" s="7">
        <v>45560</v>
      </c>
      <c r="AJ664" s="1" t="s">
        <v>7449</v>
      </c>
      <c r="AK664" s="7">
        <v>45560</v>
      </c>
      <c r="AL664" s="1" t="s">
        <v>7449</v>
      </c>
    </row>
    <row r="665" spans="1:38" s="20" customFormat="1" x14ac:dyDescent="0.25">
      <c r="A665" s="14">
        <v>664</v>
      </c>
      <c r="B665" s="14" t="str">
        <f>_xlfn.CONCAT(AE665,"-",VLOOKUP(AE665,t_objeto!B:D,3,FALSE),"-",A665)</f>
        <v>RRMM-PERCCO-664</v>
      </c>
      <c r="C665" s="22" t="str">
        <f t="shared" si="110"/>
        <v>LAMINA_LISA__ACERO_ROLADA EN FRIO_5'X10'_27</v>
      </c>
      <c r="D665" s="14" t="s">
        <v>7407</v>
      </c>
      <c r="E665" s="14" t="s">
        <v>7380</v>
      </c>
      <c r="F665" s="21" t="s">
        <v>7400</v>
      </c>
      <c r="G665" s="22" t="s">
        <v>7382</v>
      </c>
      <c r="H665" s="14">
        <v>27</v>
      </c>
      <c r="I665" s="16">
        <v>0.42</v>
      </c>
      <c r="J665" s="16">
        <f t="shared" si="111"/>
        <v>1.6535433070866142E-2</v>
      </c>
      <c r="K665" s="16">
        <v>3.2970000000000002</v>
      </c>
      <c r="L665" s="23"/>
      <c r="M665" s="23"/>
      <c r="N665" s="23"/>
      <c r="O665" s="23"/>
      <c r="P665" s="23"/>
      <c r="Q665" s="19"/>
      <c r="R665" s="17">
        <v>5</v>
      </c>
      <c r="S665" s="17">
        <v>10</v>
      </c>
      <c r="T665" s="16">
        <f t="shared" si="105"/>
        <v>3048</v>
      </c>
      <c r="U665" s="16">
        <f t="shared" si="106"/>
        <v>1524</v>
      </c>
      <c r="V665" s="18">
        <f t="shared" si="112"/>
        <v>4645152</v>
      </c>
      <c r="W665" s="18">
        <f t="shared" si="107"/>
        <v>4.6451520000000004</v>
      </c>
      <c r="X665" s="18">
        <f t="shared" si="108"/>
        <v>15.315066144000003</v>
      </c>
      <c r="Y665" s="24">
        <v>35</v>
      </c>
      <c r="Z665" s="24">
        <f t="shared" si="109"/>
        <v>536.02731504000008</v>
      </c>
      <c r="AA665" s="16">
        <v>43</v>
      </c>
      <c r="AB665" s="16">
        <f t="shared" si="104"/>
        <v>2962</v>
      </c>
      <c r="AC665" s="16">
        <f t="shared" si="104"/>
        <v>1438</v>
      </c>
      <c r="AD665" s="19">
        <f t="shared" si="113"/>
        <v>4259356</v>
      </c>
      <c r="AE665" s="1" t="s">
        <v>7456</v>
      </c>
      <c r="AF665" s="1" t="str">
        <f>VLOOKUP(AE665,t_objeto!B:C,2,FALSE)</f>
        <v>RAW_MATERIAL</v>
      </c>
      <c r="AG665" s="1">
        <v>8</v>
      </c>
      <c r="AH665" s="1" t="str">
        <f>VLOOKUP(AG665,t_entry_status!A:AE,2,FALSE)</f>
        <v>PENDING</v>
      </c>
      <c r="AI665" s="7">
        <v>45560</v>
      </c>
      <c r="AJ665" s="1" t="s">
        <v>7449</v>
      </c>
      <c r="AK665" s="7">
        <v>45560</v>
      </c>
      <c r="AL665" s="1" t="s">
        <v>7449</v>
      </c>
    </row>
    <row r="666" spans="1:38" s="20" customFormat="1" x14ac:dyDescent="0.25">
      <c r="A666" s="14">
        <v>665</v>
      </c>
      <c r="B666" s="14" t="str">
        <f>_xlfn.CONCAT(AE666,"-",VLOOKUP(AE666,t_objeto!B:D,3,FALSE),"-",A666)</f>
        <v>RRMM-PERCCO-665</v>
      </c>
      <c r="C666" s="22" t="str">
        <f t="shared" si="110"/>
        <v>LAMINA_LISA__ACERO_ROLADA EN FRIO_5'X10'_28</v>
      </c>
      <c r="D666" s="14" t="s">
        <v>7407</v>
      </c>
      <c r="E666" s="14" t="s">
        <v>7380</v>
      </c>
      <c r="F666" s="21" t="s">
        <v>7400</v>
      </c>
      <c r="G666" s="22" t="s">
        <v>7382</v>
      </c>
      <c r="H666" s="14">
        <v>28</v>
      </c>
      <c r="I666" s="16">
        <v>0.38</v>
      </c>
      <c r="J666" s="16">
        <f t="shared" si="111"/>
        <v>1.4960629921259844E-2</v>
      </c>
      <c r="K666" s="16">
        <v>2.9830000000000001</v>
      </c>
      <c r="L666" s="23"/>
      <c r="M666" s="23"/>
      <c r="N666" s="23"/>
      <c r="O666" s="23"/>
      <c r="P666" s="23"/>
      <c r="Q666" s="19"/>
      <c r="R666" s="17">
        <v>5</v>
      </c>
      <c r="S666" s="17">
        <v>10</v>
      </c>
      <c r="T666" s="16">
        <f t="shared" si="105"/>
        <v>3048</v>
      </c>
      <c r="U666" s="16">
        <f t="shared" si="106"/>
        <v>1524</v>
      </c>
      <c r="V666" s="18">
        <f t="shared" si="112"/>
        <v>4645152</v>
      </c>
      <c r="W666" s="18">
        <f t="shared" si="107"/>
        <v>4.6451520000000004</v>
      </c>
      <c r="X666" s="18">
        <f t="shared" si="108"/>
        <v>13.856488416000001</v>
      </c>
      <c r="Y666" s="24">
        <v>35</v>
      </c>
      <c r="Z666" s="24">
        <f t="shared" si="109"/>
        <v>484.97709456000007</v>
      </c>
      <c r="AA666" s="16">
        <v>44</v>
      </c>
      <c r="AB666" s="16">
        <f t="shared" si="104"/>
        <v>2960</v>
      </c>
      <c r="AC666" s="16">
        <f t="shared" si="104"/>
        <v>1436</v>
      </c>
      <c r="AD666" s="19">
        <f t="shared" si="113"/>
        <v>4250560</v>
      </c>
      <c r="AE666" s="1" t="s">
        <v>7456</v>
      </c>
      <c r="AF666" s="1" t="str">
        <f>VLOOKUP(AE666,t_objeto!B:C,2,FALSE)</f>
        <v>RAW_MATERIAL</v>
      </c>
      <c r="AG666" s="1">
        <v>8</v>
      </c>
      <c r="AH666" s="1" t="str">
        <f>VLOOKUP(AG666,t_entry_status!A:AE,2,FALSE)</f>
        <v>PENDING</v>
      </c>
      <c r="AI666" s="7">
        <v>45560</v>
      </c>
      <c r="AJ666" s="1" t="s">
        <v>7449</v>
      </c>
      <c r="AK666" s="7">
        <v>45560</v>
      </c>
      <c r="AL666" s="1" t="s">
        <v>7449</v>
      </c>
    </row>
    <row r="667" spans="1:38" s="20" customFormat="1" x14ac:dyDescent="0.25">
      <c r="A667" s="14">
        <v>666</v>
      </c>
      <c r="B667" s="14" t="str">
        <f>_xlfn.CONCAT(AE667,"-",VLOOKUP(AE667,t_objeto!B:D,3,FALSE),"-",A667)</f>
        <v>RRMM-PERCCO-666</v>
      </c>
      <c r="C667" s="22" t="str">
        <f t="shared" si="110"/>
        <v>LAMINA_LISA__ACERO_ROLADA EN FRIO_5'X10'_29</v>
      </c>
      <c r="D667" s="14" t="s">
        <v>7407</v>
      </c>
      <c r="E667" s="14" t="s">
        <v>7380</v>
      </c>
      <c r="F667" s="21" t="s">
        <v>7400</v>
      </c>
      <c r="G667" s="22" t="s">
        <v>7382</v>
      </c>
      <c r="H667" s="14">
        <v>29</v>
      </c>
      <c r="I667" s="16">
        <v>0.34</v>
      </c>
      <c r="J667" s="16">
        <f t="shared" si="111"/>
        <v>1.3385826771653545E-2</v>
      </c>
      <c r="K667" s="16">
        <v>2.669</v>
      </c>
      <c r="L667" s="23"/>
      <c r="M667" s="23"/>
      <c r="N667" s="23"/>
      <c r="O667" s="23"/>
      <c r="P667" s="23"/>
      <c r="Q667" s="19"/>
      <c r="R667" s="17">
        <v>5</v>
      </c>
      <c r="S667" s="17">
        <v>10</v>
      </c>
      <c r="T667" s="16">
        <f t="shared" si="105"/>
        <v>3048</v>
      </c>
      <c r="U667" s="16">
        <f t="shared" si="106"/>
        <v>1524</v>
      </c>
      <c r="V667" s="18">
        <f t="shared" si="112"/>
        <v>4645152</v>
      </c>
      <c r="W667" s="18">
        <f t="shared" si="107"/>
        <v>4.6451520000000004</v>
      </c>
      <c r="X667" s="18">
        <f t="shared" si="108"/>
        <v>12.397910688000001</v>
      </c>
      <c r="Y667" s="24">
        <v>35</v>
      </c>
      <c r="Z667" s="24">
        <f t="shared" si="109"/>
        <v>433.92687408000006</v>
      </c>
      <c r="AA667" s="16">
        <v>45</v>
      </c>
      <c r="AB667" s="16">
        <f t="shared" si="104"/>
        <v>2958</v>
      </c>
      <c r="AC667" s="16">
        <f t="shared" si="104"/>
        <v>1434</v>
      </c>
      <c r="AD667" s="19">
        <f t="shared" si="113"/>
        <v>4241772</v>
      </c>
      <c r="AE667" s="1" t="s">
        <v>7456</v>
      </c>
      <c r="AF667" s="1" t="str">
        <f>VLOOKUP(AE667,t_objeto!B:C,2,FALSE)</f>
        <v>RAW_MATERIAL</v>
      </c>
      <c r="AG667" s="1">
        <v>8</v>
      </c>
      <c r="AH667" s="1" t="str">
        <f>VLOOKUP(AG667,t_entry_status!A:AE,2,FALSE)</f>
        <v>PENDING</v>
      </c>
      <c r="AI667" s="7">
        <v>45560</v>
      </c>
      <c r="AJ667" s="1" t="s">
        <v>7449</v>
      </c>
      <c r="AK667" s="7">
        <v>45560</v>
      </c>
      <c r="AL667" s="1" t="s">
        <v>7449</v>
      </c>
    </row>
    <row r="668" spans="1:38" s="20" customFormat="1" x14ac:dyDescent="0.25">
      <c r="A668" s="14">
        <v>667</v>
      </c>
      <c r="B668" s="14" t="str">
        <f>_xlfn.CONCAT(AE668,"-",VLOOKUP(AE668,t_objeto!B:D,3,FALSE),"-",A668)</f>
        <v>RRMM-PERCCO-667</v>
      </c>
      <c r="C668" s="22" t="str">
        <f t="shared" si="110"/>
        <v>LAMINA_LISA__ACERO_ROLADA EN FRIO_5'X10'_30</v>
      </c>
      <c r="D668" s="14" t="s">
        <v>7407</v>
      </c>
      <c r="E668" s="14" t="s">
        <v>7380</v>
      </c>
      <c r="F668" s="21" t="s">
        <v>7400</v>
      </c>
      <c r="G668" s="22" t="s">
        <v>7382</v>
      </c>
      <c r="H668" s="14">
        <v>30</v>
      </c>
      <c r="I668" s="16">
        <v>0.3</v>
      </c>
      <c r="J668" s="16">
        <f t="shared" si="111"/>
        <v>1.1811023622047244E-2</v>
      </c>
      <c r="K668" s="16">
        <v>2.355</v>
      </c>
      <c r="L668" s="23"/>
      <c r="M668" s="23"/>
      <c r="N668" s="23"/>
      <c r="O668" s="23"/>
      <c r="P668" s="23"/>
      <c r="Q668" s="19"/>
      <c r="R668" s="17">
        <v>5</v>
      </c>
      <c r="S668" s="17">
        <v>10</v>
      </c>
      <c r="T668" s="16">
        <f t="shared" si="105"/>
        <v>3048</v>
      </c>
      <c r="U668" s="16">
        <f t="shared" si="106"/>
        <v>1524</v>
      </c>
      <c r="V668" s="18">
        <f t="shared" si="112"/>
        <v>4645152</v>
      </c>
      <c r="W668" s="18">
        <f t="shared" si="107"/>
        <v>4.6451520000000004</v>
      </c>
      <c r="X668" s="18">
        <f t="shared" si="108"/>
        <v>10.939332960000002</v>
      </c>
      <c r="Y668" s="24">
        <v>35</v>
      </c>
      <c r="Z668" s="24">
        <f t="shared" si="109"/>
        <v>382.87665360000005</v>
      </c>
      <c r="AA668" s="16">
        <v>46</v>
      </c>
      <c r="AB668" s="16">
        <f t="shared" si="104"/>
        <v>2956</v>
      </c>
      <c r="AC668" s="16">
        <f t="shared" si="104"/>
        <v>1432</v>
      </c>
      <c r="AD668" s="19">
        <f t="shared" si="113"/>
        <v>4232992</v>
      </c>
      <c r="AE668" s="1" t="s">
        <v>7456</v>
      </c>
      <c r="AF668" s="1" t="str">
        <f>VLOOKUP(AE668,t_objeto!B:C,2,FALSE)</f>
        <v>RAW_MATERIAL</v>
      </c>
      <c r="AG668" s="1">
        <v>8</v>
      </c>
      <c r="AH668" s="1" t="str">
        <f>VLOOKUP(AG668,t_entry_status!A:AE,2,FALSE)</f>
        <v>PENDING</v>
      </c>
      <c r="AI668" s="7">
        <v>45560</v>
      </c>
      <c r="AJ668" s="1" t="s">
        <v>7449</v>
      </c>
      <c r="AK668" s="7">
        <v>45560</v>
      </c>
      <c r="AL668" s="1" t="s">
        <v>7449</v>
      </c>
    </row>
    <row r="669" spans="1:38" s="20" customFormat="1" x14ac:dyDescent="0.25">
      <c r="A669" s="14">
        <v>668</v>
      </c>
      <c r="B669" s="14" t="str">
        <f>_xlfn.CONCAT(AE669,"-",VLOOKUP(AE669,t_objeto!B:D,3,FALSE),"-",A669)</f>
        <v>RRMM-PERCCO-668</v>
      </c>
      <c r="C669" s="22" t="str">
        <f t="shared" si="110"/>
        <v>LAMINA_LISA__INOX_304/316 L_5'X10'_10</v>
      </c>
      <c r="D669" s="14" t="s">
        <v>7407</v>
      </c>
      <c r="E669" s="14" t="s">
        <v>7403</v>
      </c>
      <c r="F669" s="21" t="s">
        <v>7404</v>
      </c>
      <c r="G669" s="22" t="s">
        <v>7382</v>
      </c>
      <c r="H669" s="14">
        <v>10</v>
      </c>
      <c r="I669" s="16">
        <v>3.42</v>
      </c>
      <c r="J669" s="16">
        <f t="shared" si="111"/>
        <v>0.13464566929133859</v>
      </c>
      <c r="K669" s="16">
        <v>27.783000000000001</v>
      </c>
      <c r="L669" s="23"/>
      <c r="M669" s="23"/>
      <c r="N669" s="23"/>
      <c r="O669" s="23"/>
      <c r="P669" s="23"/>
      <c r="Q669" s="19"/>
      <c r="R669" s="17">
        <v>5</v>
      </c>
      <c r="S669" s="17">
        <v>10</v>
      </c>
      <c r="T669" s="16">
        <f t="shared" si="105"/>
        <v>3048</v>
      </c>
      <c r="U669" s="16">
        <f t="shared" si="106"/>
        <v>1524</v>
      </c>
      <c r="V669" s="18">
        <f t="shared" si="112"/>
        <v>4645152</v>
      </c>
      <c r="W669" s="18">
        <f t="shared" si="107"/>
        <v>4.6451520000000004</v>
      </c>
      <c r="X669" s="18">
        <f t="shared" si="108"/>
        <v>129.05625801600002</v>
      </c>
      <c r="Y669" s="24">
        <v>35</v>
      </c>
      <c r="Z669" s="24">
        <f t="shared" si="109"/>
        <v>4516.9690305600006</v>
      </c>
      <c r="AA669" s="16">
        <v>67</v>
      </c>
      <c r="AB669" s="16">
        <f t="shared" si="104"/>
        <v>2914</v>
      </c>
      <c r="AC669" s="16">
        <f t="shared" si="104"/>
        <v>1390</v>
      </c>
      <c r="AD669" s="19">
        <f t="shared" si="113"/>
        <v>4050460</v>
      </c>
      <c r="AE669" s="1" t="s">
        <v>7456</v>
      </c>
      <c r="AF669" s="1" t="str">
        <f>VLOOKUP(AE669,t_objeto!B:C,2,FALSE)</f>
        <v>RAW_MATERIAL</v>
      </c>
      <c r="AG669" s="1">
        <v>8</v>
      </c>
      <c r="AH669" s="1" t="str">
        <f>VLOOKUP(AG669,t_entry_status!A:AE,2,FALSE)</f>
        <v>PENDING</v>
      </c>
      <c r="AI669" s="7">
        <v>45560</v>
      </c>
      <c r="AJ669" s="1" t="s">
        <v>7449</v>
      </c>
      <c r="AK669" s="7">
        <v>45560</v>
      </c>
      <c r="AL669" s="1" t="s">
        <v>7449</v>
      </c>
    </row>
    <row r="670" spans="1:38" s="20" customFormat="1" x14ac:dyDescent="0.25">
      <c r="A670" s="14">
        <v>669</v>
      </c>
      <c r="B670" s="14" t="str">
        <f>_xlfn.CONCAT(AE670,"-",VLOOKUP(AE670,t_objeto!B:D,3,FALSE),"-",A670)</f>
        <v>RRMM-PERCCO-669</v>
      </c>
      <c r="C670" s="22" t="str">
        <f t="shared" si="110"/>
        <v>LAMINA_LISA__INOX_304/316 L_5'X10'_11</v>
      </c>
      <c r="D670" s="14" t="s">
        <v>7407</v>
      </c>
      <c r="E670" s="14" t="s">
        <v>7403</v>
      </c>
      <c r="F670" s="21" t="s">
        <v>7404</v>
      </c>
      <c r="G670" s="22" t="s">
        <v>7382</v>
      </c>
      <c r="H670" s="14">
        <v>11</v>
      </c>
      <c r="I670" s="16">
        <v>3.04</v>
      </c>
      <c r="J670" s="16">
        <f t="shared" si="111"/>
        <v>0.11968503937007875</v>
      </c>
      <c r="K670" s="16">
        <v>24.704999999999998</v>
      </c>
      <c r="L670" s="23"/>
      <c r="M670" s="23"/>
      <c r="N670" s="23"/>
      <c r="O670" s="23"/>
      <c r="P670" s="23"/>
      <c r="Q670" s="19"/>
      <c r="R670" s="17">
        <v>5</v>
      </c>
      <c r="S670" s="17">
        <v>10</v>
      </c>
      <c r="T670" s="16">
        <f t="shared" si="105"/>
        <v>3048</v>
      </c>
      <c r="U670" s="16">
        <f t="shared" si="106"/>
        <v>1524</v>
      </c>
      <c r="V670" s="18">
        <f t="shared" si="112"/>
        <v>4645152</v>
      </c>
      <c r="W670" s="18">
        <f t="shared" si="107"/>
        <v>4.6451520000000004</v>
      </c>
      <c r="X670" s="18">
        <f t="shared" si="108"/>
        <v>114.75848016</v>
      </c>
      <c r="Y670" s="24">
        <v>35</v>
      </c>
      <c r="Z670" s="24">
        <f t="shared" si="109"/>
        <v>4016.5468056</v>
      </c>
      <c r="AA670" s="16">
        <v>68</v>
      </c>
      <c r="AB670" s="16">
        <f t="shared" si="104"/>
        <v>2912</v>
      </c>
      <c r="AC670" s="16">
        <f t="shared" si="104"/>
        <v>1388</v>
      </c>
      <c r="AD670" s="19">
        <f t="shared" si="113"/>
        <v>4041856</v>
      </c>
      <c r="AE670" s="1" t="s">
        <v>7456</v>
      </c>
      <c r="AF670" s="1" t="str">
        <f>VLOOKUP(AE670,t_objeto!B:C,2,FALSE)</f>
        <v>RAW_MATERIAL</v>
      </c>
      <c r="AG670" s="1">
        <v>8</v>
      </c>
      <c r="AH670" s="1" t="str">
        <f>VLOOKUP(AG670,t_entry_status!A:AE,2,FALSE)</f>
        <v>PENDING</v>
      </c>
      <c r="AI670" s="7">
        <v>45560</v>
      </c>
      <c r="AJ670" s="1" t="s">
        <v>7449</v>
      </c>
      <c r="AK670" s="7">
        <v>45560</v>
      </c>
      <c r="AL670" s="1" t="s">
        <v>7449</v>
      </c>
    </row>
    <row r="671" spans="1:38" s="20" customFormat="1" x14ac:dyDescent="0.25">
      <c r="A671" s="14">
        <v>670</v>
      </c>
      <c r="B671" s="14" t="str">
        <f>_xlfn.CONCAT(AE671,"-",VLOOKUP(AE671,t_objeto!B:D,3,FALSE),"-",A671)</f>
        <v>RRMM-PERCCO-670</v>
      </c>
      <c r="C671" s="22" t="str">
        <f t="shared" si="110"/>
        <v>LAMINA_LISA__INOX_304/316 L_5'X10'_12</v>
      </c>
      <c r="D671" s="14" t="s">
        <v>7407</v>
      </c>
      <c r="E671" s="14" t="s">
        <v>7403</v>
      </c>
      <c r="F671" s="21" t="s">
        <v>7404</v>
      </c>
      <c r="G671" s="22" t="s">
        <v>7382</v>
      </c>
      <c r="H671" s="14">
        <v>12</v>
      </c>
      <c r="I671" s="16">
        <v>2.66</v>
      </c>
      <c r="J671" s="16">
        <f t="shared" si="111"/>
        <v>0.1047244094488189</v>
      </c>
      <c r="K671" s="16">
        <v>21.626999999999999</v>
      </c>
      <c r="L671" s="23"/>
      <c r="M671" s="23"/>
      <c r="N671" s="23"/>
      <c r="O671" s="23"/>
      <c r="P671" s="23"/>
      <c r="Q671" s="19"/>
      <c r="R671" s="17">
        <v>5</v>
      </c>
      <c r="S671" s="17">
        <v>10</v>
      </c>
      <c r="T671" s="16">
        <f t="shared" si="105"/>
        <v>3048</v>
      </c>
      <c r="U671" s="16">
        <f t="shared" si="106"/>
        <v>1524</v>
      </c>
      <c r="V671" s="18">
        <f t="shared" si="112"/>
        <v>4645152</v>
      </c>
      <c r="W671" s="18">
        <f t="shared" si="107"/>
        <v>4.6451520000000004</v>
      </c>
      <c r="X671" s="18">
        <f t="shared" si="108"/>
        <v>100.46070230400001</v>
      </c>
      <c r="Y671" s="24">
        <v>35</v>
      </c>
      <c r="Z671" s="24">
        <f t="shared" si="109"/>
        <v>3516.1245806400002</v>
      </c>
      <c r="AA671" s="16">
        <v>69</v>
      </c>
      <c r="AB671" s="16">
        <f t="shared" si="104"/>
        <v>2910</v>
      </c>
      <c r="AC671" s="16">
        <f t="shared" si="104"/>
        <v>1386</v>
      </c>
      <c r="AD671" s="19">
        <f t="shared" si="113"/>
        <v>4033260</v>
      </c>
      <c r="AE671" s="1" t="s">
        <v>7456</v>
      </c>
      <c r="AF671" s="1" t="str">
        <f>VLOOKUP(AE671,t_objeto!B:C,2,FALSE)</f>
        <v>RAW_MATERIAL</v>
      </c>
      <c r="AG671" s="1">
        <v>8</v>
      </c>
      <c r="AH671" s="1" t="str">
        <f>VLOOKUP(AG671,t_entry_status!A:AE,2,FALSE)</f>
        <v>PENDING</v>
      </c>
      <c r="AI671" s="7">
        <v>45560</v>
      </c>
      <c r="AJ671" s="1" t="s">
        <v>7449</v>
      </c>
      <c r="AK671" s="7">
        <v>45560</v>
      </c>
      <c r="AL671" s="1" t="s">
        <v>7449</v>
      </c>
    </row>
    <row r="672" spans="1:38" s="20" customFormat="1" x14ac:dyDescent="0.25">
      <c r="A672" s="14">
        <v>671</v>
      </c>
      <c r="B672" s="14" t="str">
        <f>_xlfn.CONCAT(AE672,"-",VLOOKUP(AE672,t_objeto!B:D,3,FALSE),"-",A672)</f>
        <v>RRMM-PERCCO-671</v>
      </c>
      <c r="C672" s="22" t="str">
        <f t="shared" si="110"/>
        <v>LAMINA_LISA__INOX_304/316 L_5'X10'_13</v>
      </c>
      <c r="D672" s="14" t="s">
        <v>7407</v>
      </c>
      <c r="E672" s="14" t="s">
        <v>7403</v>
      </c>
      <c r="F672" s="21" t="s">
        <v>7404</v>
      </c>
      <c r="G672" s="22" t="s">
        <v>7382</v>
      </c>
      <c r="H672" s="14">
        <v>13</v>
      </c>
      <c r="I672" s="16">
        <v>2.2799999999999998</v>
      </c>
      <c r="J672" s="16">
        <f t="shared" si="111"/>
        <v>8.9763779527559054E-2</v>
      </c>
      <c r="K672" s="16">
        <v>18.225000000000001</v>
      </c>
      <c r="L672" s="23"/>
      <c r="M672" s="23"/>
      <c r="N672" s="23"/>
      <c r="O672" s="23"/>
      <c r="P672" s="23"/>
      <c r="Q672" s="19"/>
      <c r="R672" s="17">
        <v>5</v>
      </c>
      <c r="S672" s="17">
        <v>10</v>
      </c>
      <c r="T672" s="16">
        <f t="shared" si="105"/>
        <v>3048</v>
      </c>
      <c r="U672" s="16">
        <f t="shared" si="106"/>
        <v>1524</v>
      </c>
      <c r="V672" s="18">
        <f t="shared" si="112"/>
        <v>4645152</v>
      </c>
      <c r="W672" s="18">
        <f t="shared" si="107"/>
        <v>4.6451520000000004</v>
      </c>
      <c r="X672" s="18">
        <f t="shared" si="108"/>
        <v>84.657895200000013</v>
      </c>
      <c r="Y672" s="24">
        <v>35</v>
      </c>
      <c r="Z672" s="24">
        <f t="shared" si="109"/>
        <v>2963.0263320000004</v>
      </c>
      <c r="AA672" s="16">
        <v>70</v>
      </c>
      <c r="AB672" s="16">
        <f t="shared" si="104"/>
        <v>2908</v>
      </c>
      <c r="AC672" s="16">
        <f t="shared" si="104"/>
        <v>1384</v>
      </c>
      <c r="AD672" s="19">
        <f t="shared" si="113"/>
        <v>4024672</v>
      </c>
      <c r="AE672" s="1" t="s">
        <v>7456</v>
      </c>
      <c r="AF672" s="1" t="str">
        <f>VLOOKUP(AE672,t_objeto!B:C,2,FALSE)</f>
        <v>RAW_MATERIAL</v>
      </c>
      <c r="AG672" s="1">
        <v>8</v>
      </c>
      <c r="AH672" s="1" t="str">
        <f>VLOOKUP(AG672,t_entry_status!A:AE,2,FALSE)</f>
        <v>PENDING</v>
      </c>
      <c r="AI672" s="7">
        <v>45560</v>
      </c>
      <c r="AJ672" s="1" t="s">
        <v>7449</v>
      </c>
      <c r="AK672" s="7">
        <v>45560</v>
      </c>
      <c r="AL672" s="1" t="s">
        <v>7449</v>
      </c>
    </row>
    <row r="673" spans="1:38" s="20" customFormat="1" x14ac:dyDescent="0.25">
      <c r="A673" s="14">
        <v>672</v>
      </c>
      <c r="B673" s="14" t="str">
        <f>_xlfn.CONCAT(AE673,"-",VLOOKUP(AE673,t_objeto!B:D,3,FALSE),"-",A673)</f>
        <v>RRMM-PERCCO-672</v>
      </c>
      <c r="C673" s="22" t="str">
        <f t="shared" si="110"/>
        <v>LAMINA_LISA__INOX_304/316 L_5'X10'_14</v>
      </c>
      <c r="D673" s="14" t="s">
        <v>7407</v>
      </c>
      <c r="E673" s="14" t="s">
        <v>7403</v>
      </c>
      <c r="F673" s="21" t="s">
        <v>7404</v>
      </c>
      <c r="G673" s="22" t="s">
        <v>7382</v>
      </c>
      <c r="H673" s="14">
        <v>14</v>
      </c>
      <c r="I673" s="16">
        <v>1.9</v>
      </c>
      <c r="J673" s="16">
        <f t="shared" si="111"/>
        <v>7.4803149606299218E-2</v>
      </c>
      <c r="K673" s="16">
        <v>15.39</v>
      </c>
      <c r="L673" s="23"/>
      <c r="M673" s="23"/>
      <c r="N673" s="23"/>
      <c r="O673" s="23"/>
      <c r="P673" s="23"/>
      <c r="Q673" s="19"/>
      <c r="R673" s="17">
        <v>5</v>
      </c>
      <c r="S673" s="17">
        <v>10</v>
      </c>
      <c r="T673" s="16">
        <f t="shared" si="105"/>
        <v>3048</v>
      </c>
      <c r="U673" s="16">
        <f t="shared" si="106"/>
        <v>1524</v>
      </c>
      <c r="V673" s="18">
        <f t="shared" si="112"/>
        <v>4645152</v>
      </c>
      <c r="W673" s="18">
        <f t="shared" si="107"/>
        <v>4.6451520000000004</v>
      </c>
      <c r="X673" s="18">
        <f t="shared" si="108"/>
        <v>71.488889280000009</v>
      </c>
      <c r="Y673" s="24">
        <v>35</v>
      </c>
      <c r="Z673" s="24">
        <f t="shared" si="109"/>
        <v>2502.1111248000002</v>
      </c>
      <c r="AA673" s="16">
        <v>71</v>
      </c>
      <c r="AB673" s="16">
        <f t="shared" si="104"/>
        <v>2906</v>
      </c>
      <c r="AC673" s="16">
        <f t="shared" si="104"/>
        <v>1382</v>
      </c>
      <c r="AD673" s="19">
        <f t="shared" si="113"/>
        <v>4016092</v>
      </c>
      <c r="AE673" s="1" t="s">
        <v>7456</v>
      </c>
      <c r="AF673" s="1" t="str">
        <f>VLOOKUP(AE673,t_objeto!B:C,2,FALSE)</f>
        <v>RAW_MATERIAL</v>
      </c>
      <c r="AG673" s="1">
        <v>8</v>
      </c>
      <c r="AH673" s="1" t="str">
        <f>VLOOKUP(AG673,t_entry_status!A:AE,2,FALSE)</f>
        <v>PENDING</v>
      </c>
      <c r="AI673" s="7">
        <v>45560</v>
      </c>
      <c r="AJ673" s="1" t="s">
        <v>7449</v>
      </c>
      <c r="AK673" s="7">
        <v>45560</v>
      </c>
      <c r="AL673" s="1" t="s">
        <v>7449</v>
      </c>
    </row>
    <row r="674" spans="1:38" s="20" customFormat="1" x14ac:dyDescent="0.25">
      <c r="A674" s="14">
        <v>673</v>
      </c>
      <c r="B674" s="14" t="str">
        <f>_xlfn.CONCAT(AE674,"-",VLOOKUP(AE674,t_objeto!B:D,3,FALSE),"-",A674)</f>
        <v>RRMM-PERCCO-673</v>
      </c>
      <c r="C674" s="22" t="str">
        <f t="shared" si="110"/>
        <v>LAMINA_LISA__INOX_304/316 L_5'X10'_15</v>
      </c>
      <c r="D674" s="14" t="s">
        <v>7407</v>
      </c>
      <c r="E674" s="14" t="s">
        <v>7403</v>
      </c>
      <c r="F674" s="21" t="s">
        <v>7404</v>
      </c>
      <c r="G674" s="22" t="s">
        <v>7382</v>
      </c>
      <c r="H674" s="14">
        <v>15</v>
      </c>
      <c r="I674" s="16">
        <v>1.71</v>
      </c>
      <c r="J674" s="16">
        <f t="shared" si="111"/>
        <v>6.7322834645669294E-2</v>
      </c>
      <c r="K674" s="16">
        <v>13.669</v>
      </c>
      <c r="L674" s="23"/>
      <c r="M674" s="23"/>
      <c r="N674" s="23"/>
      <c r="O674" s="23"/>
      <c r="P674" s="23"/>
      <c r="Q674" s="19"/>
      <c r="R674" s="17">
        <v>5</v>
      </c>
      <c r="S674" s="17">
        <v>10</v>
      </c>
      <c r="T674" s="16">
        <f t="shared" si="105"/>
        <v>3048</v>
      </c>
      <c r="U674" s="16">
        <f t="shared" si="106"/>
        <v>1524</v>
      </c>
      <c r="V674" s="18">
        <f t="shared" si="112"/>
        <v>4645152</v>
      </c>
      <c r="W674" s="18">
        <f t="shared" si="107"/>
        <v>4.6451520000000004</v>
      </c>
      <c r="X674" s="18">
        <f t="shared" si="108"/>
        <v>63.494582688000008</v>
      </c>
      <c r="Y674" s="24">
        <v>35</v>
      </c>
      <c r="Z674" s="24">
        <f t="shared" si="109"/>
        <v>2222.3103940800002</v>
      </c>
      <c r="AA674" s="16">
        <v>72</v>
      </c>
      <c r="AB674" s="16">
        <f t="shared" si="104"/>
        <v>2904</v>
      </c>
      <c r="AC674" s="16">
        <f t="shared" si="104"/>
        <v>1380</v>
      </c>
      <c r="AD674" s="19">
        <f t="shared" si="113"/>
        <v>4007520</v>
      </c>
      <c r="AE674" s="1" t="s">
        <v>7456</v>
      </c>
      <c r="AF674" s="1" t="str">
        <f>VLOOKUP(AE674,t_objeto!B:C,2,FALSE)</f>
        <v>RAW_MATERIAL</v>
      </c>
      <c r="AG674" s="1">
        <v>8</v>
      </c>
      <c r="AH674" s="1" t="str">
        <f>VLOOKUP(AG674,t_entry_status!A:AE,2,FALSE)</f>
        <v>PENDING</v>
      </c>
      <c r="AI674" s="7">
        <v>45560</v>
      </c>
      <c r="AJ674" s="1" t="s">
        <v>7449</v>
      </c>
      <c r="AK674" s="7">
        <v>45560</v>
      </c>
      <c r="AL674" s="1" t="s">
        <v>7449</v>
      </c>
    </row>
    <row r="675" spans="1:38" s="20" customFormat="1" x14ac:dyDescent="0.25">
      <c r="A675" s="14">
        <v>674</v>
      </c>
      <c r="B675" s="14" t="str">
        <f>_xlfn.CONCAT(AE675,"-",VLOOKUP(AE675,t_objeto!B:D,3,FALSE),"-",A675)</f>
        <v>RRMM-PERCCO-674</v>
      </c>
      <c r="C675" s="22" t="str">
        <f t="shared" si="110"/>
        <v>LAMINA_LISA__INOX_304/316 L_5'X10'_16</v>
      </c>
      <c r="D675" s="14" t="s">
        <v>7407</v>
      </c>
      <c r="E675" s="14" t="s">
        <v>7403</v>
      </c>
      <c r="F675" s="21" t="s">
        <v>7404</v>
      </c>
      <c r="G675" s="22" t="s">
        <v>7382</v>
      </c>
      <c r="H675" s="14">
        <v>16</v>
      </c>
      <c r="I675" s="16">
        <v>1.52</v>
      </c>
      <c r="J675" s="16">
        <f t="shared" si="111"/>
        <v>5.9842519685039376E-2</v>
      </c>
      <c r="K675" s="16">
        <v>12.311999999999999</v>
      </c>
      <c r="L675" s="23"/>
      <c r="M675" s="23"/>
      <c r="N675" s="23"/>
      <c r="O675" s="23"/>
      <c r="P675" s="23"/>
      <c r="Q675" s="19"/>
      <c r="R675" s="17">
        <v>5</v>
      </c>
      <c r="S675" s="17">
        <v>10</v>
      </c>
      <c r="T675" s="16">
        <f t="shared" si="105"/>
        <v>3048</v>
      </c>
      <c r="U675" s="16">
        <f t="shared" si="106"/>
        <v>1524</v>
      </c>
      <c r="V675" s="18">
        <f t="shared" si="112"/>
        <v>4645152</v>
      </c>
      <c r="W675" s="18">
        <f t="shared" si="107"/>
        <v>4.6451520000000004</v>
      </c>
      <c r="X675" s="18">
        <f t="shared" si="108"/>
        <v>57.191111423999999</v>
      </c>
      <c r="Y675" s="24">
        <v>35</v>
      </c>
      <c r="Z675" s="24">
        <f t="shared" si="109"/>
        <v>2001.68889984</v>
      </c>
      <c r="AA675" s="16">
        <v>73</v>
      </c>
      <c r="AB675" s="16">
        <f t="shared" si="104"/>
        <v>2902</v>
      </c>
      <c r="AC675" s="16">
        <f t="shared" si="104"/>
        <v>1378</v>
      </c>
      <c r="AD675" s="19">
        <f t="shared" si="113"/>
        <v>3998956</v>
      </c>
      <c r="AE675" s="1" t="s">
        <v>7456</v>
      </c>
      <c r="AF675" s="1" t="str">
        <f>VLOOKUP(AE675,t_objeto!B:C,2,FALSE)</f>
        <v>RAW_MATERIAL</v>
      </c>
      <c r="AG675" s="1">
        <v>8</v>
      </c>
      <c r="AH675" s="1" t="str">
        <f>VLOOKUP(AG675,t_entry_status!A:AE,2,FALSE)</f>
        <v>PENDING</v>
      </c>
      <c r="AI675" s="7">
        <v>45560</v>
      </c>
      <c r="AJ675" s="1" t="s">
        <v>7449</v>
      </c>
      <c r="AK675" s="7">
        <v>45560</v>
      </c>
      <c r="AL675" s="1" t="s">
        <v>7449</v>
      </c>
    </row>
    <row r="676" spans="1:38" s="20" customFormat="1" x14ac:dyDescent="0.25">
      <c r="A676" s="14">
        <v>675</v>
      </c>
      <c r="B676" s="14" t="str">
        <f>_xlfn.CONCAT(AE676,"-",VLOOKUP(AE676,t_objeto!B:D,3,FALSE),"-",A676)</f>
        <v>RRMM-PERCCO-675</v>
      </c>
      <c r="C676" s="22" t="str">
        <f t="shared" si="110"/>
        <v>LAMINA_LISA__INOX_304/316 L_5'X10'_17</v>
      </c>
      <c r="D676" s="14" t="s">
        <v>7407</v>
      </c>
      <c r="E676" s="14" t="s">
        <v>7403</v>
      </c>
      <c r="F676" s="21" t="s">
        <v>7404</v>
      </c>
      <c r="G676" s="22" t="s">
        <v>7382</v>
      </c>
      <c r="H676" s="14">
        <v>17</v>
      </c>
      <c r="I676" s="16">
        <v>1.37</v>
      </c>
      <c r="J676" s="16">
        <f t="shared" si="111"/>
        <v>5.3937007874015758E-2</v>
      </c>
      <c r="K676" s="16">
        <v>10.951000000000001</v>
      </c>
      <c r="L676" s="23"/>
      <c r="M676" s="23"/>
      <c r="N676" s="23"/>
      <c r="O676" s="23"/>
      <c r="P676" s="23"/>
      <c r="Q676" s="19"/>
      <c r="R676" s="17">
        <v>5</v>
      </c>
      <c r="S676" s="17">
        <v>10</v>
      </c>
      <c r="T676" s="16">
        <f t="shared" si="105"/>
        <v>3048</v>
      </c>
      <c r="U676" s="16">
        <f t="shared" si="106"/>
        <v>1524</v>
      </c>
      <c r="V676" s="18">
        <f t="shared" si="112"/>
        <v>4645152</v>
      </c>
      <c r="W676" s="18">
        <f t="shared" si="107"/>
        <v>4.6451520000000004</v>
      </c>
      <c r="X676" s="18">
        <f t="shared" si="108"/>
        <v>50.86905955200001</v>
      </c>
      <c r="Y676" s="24">
        <v>35</v>
      </c>
      <c r="Z676" s="24">
        <f t="shared" si="109"/>
        <v>1780.4170843200004</v>
      </c>
      <c r="AA676" s="16">
        <v>74</v>
      </c>
      <c r="AB676" s="16">
        <f t="shared" si="104"/>
        <v>2900</v>
      </c>
      <c r="AC676" s="16">
        <f t="shared" si="104"/>
        <v>1376</v>
      </c>
      <c r="AD676" s="19">
        <f t="shared" si="113"/>
        <v>3990400</v>
      </c>
      <c r="AE676" s="1" t="s">
        <v>7456</v>
      </c>
      <c r="AF676" s="1" t="str">
        <f>VLOOKUP(AE676,t_objeto!B:C,2,FALSE)</f>
        <v>RAW_MATERIAL</v>
      </c>
      <c r="AG676" s="1">
        <v>8</v>
      </c>
      <c r="AH676" s="1" t="str">
        <f>VLOOKUP(AG676,t_entry_status!A:AE,2,FALSE)</f>
        <v>PENDING</v>
      </c>
      <c r="AI676" s="7">
        <v>45560</v>
      </c>
      <c r="AJ676" s="1" t="s">
        <v>7449</v>
      </c>
      <c r="AK676" s="7">
        <v>45560</v>
      </c>
      <c r="AL676" s="1" t="s">
        <v>7449</v>
      </c>
    </row>
    <row r="677" spans="1:38" s="20" customFormat="1" x14ac:dyDescent="0.25">
      <c r="A677" s="14">
        <v>676</v>
      </c>
      <c r="B677" s="14" t="str">
        <f>_xlfn.CONCAT(AE677,"-",VLOOKUP(AE677,t_objeto!B:D,3,FALSE),"-",A677)</f>
        <v>RRMM-PERCCO-676</v>
      </c>
      <c r="C677" s="22" t="str">
        <f t="shared" si="110"/>
        <v>LAMINA_LISA__INOX_304/316 L_5'X10'_18</v>
      </c>
      <c r="D677" s="14" t="s">
        <v>7407</v>
      </c>
      <c r="E677" s="14" t="s">
        <v>7403</v>
      </c>
      <c r="F677" s="21" t="s">
        <v>7404</v>
      </c>
      <c r="G677" s="22" t="s">
        <v>7382</v>
      </c>
      <c r="H677" s="14">
        <v>18</v>
      </c>
      <c r="I677" s="16">
        <v>1.21</v>
      </c>
      <c r="J677" s="16">
        <f t="shared" si="111"/>
        <v>4.7637795275590554E-2</v>
      </c>
      <c r="K677" s="16">
        <v>9.8819999999999997</v>
      </c>
      <c r="L677" s="23"/>
      <c r="M677" s="23"/>
      <c r="N677" s="23"/>
      <c r="O677" s="23"/>
      <c r="P677" s="23"/>
      <c r="Q677" s="19"/>
      <c r="R677" s="17">
        <v>5</v>
      </c>
      <c r="S677" s="17">
        <v>10</v>
      </c>
      <c r="T677" s="16">
        <f t="shared" si="105"/>
        <v>3048</v>
      </c>
      <c r="U677" s="16">
        <f t="shared" si="106"/>
        <v>1524</v>
      </c>
      <c r="V677" s="18">
        <f t="shared" si="112"/>
        <v>4645152</v>
      </c>
      <c r="W677" s="18">
        <f t="shared" si="107"/>
        <v>4.6451520000000004</v>
      </c>
      <c r="X677" s="18">
        <f t="shared" si="108"/>
        <v>45.903392064000002</v>
      </c>
      <c r="Y677" s="24">
        <v>35</v>
      </c>
      <c r="Z677" s="24">
        <f t="shared" si="109"/>
        <v>1606.6187222400001</v>
      </c>
      <c r="AA677" s="16">
        <v>75</v>
      </c>
      <c r="AB677" s="16">
        <f t="shared" si="104"/>
        <v>2898</v>
      </c>
      <c r="AC677" s="16">
        <f t="shared" si="104"/>
        <v>1374</v>
      </c>
      <c r="AD677" s="19">
        <f t="shared" si="113"/>
        <v>3981852</v>
      </c>
      <c r="AE677" s="1" t="s">
        <v>7456</v>
      </c>
      <c r="AF677" s="1" t="str">
        <f>VLOOKUP(AE677,t_objeto!B:C,2,FALSE)</f>
        <v>RAW_MATERIAL</v>
      </c>
      <c r="AG677" s="1">
        <v>8</v>
      </c>
      <c r="AH677" s="1" t="str">
        <f>VLOOKUP(AG677,t_entry_status!A:AE,2,FALSE)</f>
        <v>PENDING</v>
      </c>
      <c r="AI677" s="7">
        <v>45560</v>
      </c>
      <c r="AJ677" s="1" t="s">
        <v>7449</v>
      </c>
      <c r="AK677" s="7">
        <v>45560</v>
      </c>
      <c r="AL677" s="1" t="s">
        <v>7449</v>
      </c>
    </row>
    <row r="678" spans="1:38" s="20" customFormat="1" x14ac:dyDescent="0.25">
      <c r="A678" s="14">
        <v>677</v>
      </c>
      <c r="B678" s="14" t="str">
        <f>_xlfn.CONCAT(AE678,"-",VLOOKUP(AE678,t_objeto!B:D,3,FALSE),"-",A678)</f>
        <v>RRMM-PERCCO-677</v>
      </c>
      <c r="C678" s="22" t="str">
        <f t="shared" si="110"/>
        <v>LAMINA_LISA__INOX_304/316 L_5'X10'_19</v>
      </c>
      <c r="D678" s="14" t="s">
        <v>7407</v>
      </c>
      <c r="E678" s="14" t="s">
        <v>7403</v>
      </c>
      <c r="F678" s="21" t="s">
        <v>7404</v>
      </c>
      <c r="G678" s="22" t="s">
        <v>7382</v>
      </c>
      <c r="H678" s="14">
        <v>19</v>
      </c>
      <c r="I678" s="16">
        <v>1.06</v>
      </c>
      <c r="J678" s="16">
        <f t="shared" si="111"/>
        <v>4.1732283464566935E-2</v>
      </c>
      <c r="K678" s="16">
        <v>8.4730000000000008</v>
      </c>
      <c r="L678" s="23"/>
      <c r="M678" s="23"/>
      <c r="N678" s="23"/>
      <c r="O678" s="23"/>
      <c r="P678" s="23"/>
      <c r="Q678" s="19"/>
      <c r="R678" s="17">
        <v>5</v>
      </c>
      <c r="S678" s="17">
        <v>10</v>
      </c>
      <c r="T678" s="16">
        <f t="shared" si="105"/>
        <v>3048</v>
      </c>
      <c r="U678" s="16">
        <f t="shared" si="106"/>
        <v>1524</v>
      </c>
      <c r="V678" s="18">
        <f t="shared" si="112"/>
        <v>4645152</v>
      </c>
      <c r="W678" s="18">
        <f t="shared" si="107"/>
        <v>4.6451520000000004</v>
      </c>
      <c r="X678" s="18">
        <f t="shared" si="108"/>
        <v>39.358372896000006</v>
      </c>
      <c r="Y678" s="24">
        <v>35</v>
      </c>
      <c r="Z678" s="24">
        <f t="shared" si="109"/>
        <v>1377.5430513600002</v>
      </c>
      <c r="AA678" s="16">
        <v>76</v>
      </c>
      <c r="AB678" s="16">
        <f t="shared" si="104"/>
        <v>2896</v>
      </c>
      <c r="AC678" s="16">
        <f t="shared" si="104"/>
        <v>1372</v>
      </c>
      <c r="AD678" s="19">
        <f t="shared" si="113"/>
        <v>3973312</v>
      </c>
      <c r="AE678" s="1" t="s">
        <v>7456</v>
      </c>
      <c r="AF678" s="1" t="str">
        <f>VLOOKUP(AE678,t_objeto!B:C,2,FALSE)</f>
        <v>RAW_MATERIAL</v>
      </c>
      <c r="AG678" s="1">
        <v>8</v>
      </c>
      <c r="AH678" s="1" t="str">
        <f>VLOOKUP(AG678,t_entry_status!A:AE,2,FALSE)</f>
        <v>PENDING</v>
      </c>
      <c r="AI678" s="7">
        <v>45560</v>
      </c>
      <c r="AJ678" s="1" t="s">
        <v>7449</v>
      </c>
      <c r="AK678" s="7">
        <v>45560</v>
      </c>
      <c r="AL678" s="1" t="s">
        <v>7449</v>
      </c>
    </row>
    <row r="679" spans="1:38" s="20" customFormat="1" x14ac:dyDescent="0.25">
      <c r="A679" s="14">
        <v>678</v>
      </c>
      <c r="B679" s="14" t="str">
        <f>_xlfn.CONCAT(AE679,"-",VLOOKUP(AE679,t_objeto!B:D,3,FALSE),"-",A679)</f>
        <v>RRMM-PERCCO-678</v>
      </c>
      <c r="C679" s="22" t="str">
        <f t="shared" si="110"/>
        <v>LAMINA_LISA__INOX_304/316 L_5'X10'_20</v>
      </c>
      <c r="D679" s="14" t="s">
        <v>7407</v>
      </c>
      <c r="E679" s="14" t="s">
        <v>7403</v>
      </c>
      <c r="F679" s="21" t="s">
        <v>7404</v>
      </c>
      <c r="G679" s="22" t="s">
        <v>7382</v>
      </c>
      <c r="H679" s="14">
        <v>20</v>
      </c>
      <c r="I679" s="16">
        <v>0.91</v>
      </c>
      <c r="J679" s="16">
        <f t="shared" si="111"/>
        <v>3.582677165354331E-2</v>
      </c>
      <c r="K679" s="16">
        <v>7.2249999999999996</v>
      </c>
      <c r="L679" s="23"/>
      <c r="M679" s="23"/>
      <c r="N679" s="23"/>
      <c r="O679" s="23"/>
      <c r="P679" s="23"/>
      <c r="Q679" s="19"/>
      <c r="R679" s="17">
        <v>5</v>
      </c>
      <c r="S679" s="17">
        <v>10</v>
      </c>
      <c r="T679" s="16">
        <f t="shared" si="105"/>
        <v>3048</v>
      </c>
      <c r="U679" s="16">
        <f t="shared" si="106"/>
        <v>1524</v>
      </c>
      <c r="V679" s="18">
        <f t="shared" si="112"/>
        <v>4645152</v>
      </c>
      <c r="W679" s="18">
        <f t="shared" si="107"/>
        <v>4.6451520000000004</v>
      </c>
      <c r="X679" s="18">
        <f t="shared" si="108"/>
        <v>33.561223200000001</v>
      </c>
      <c r="Y679" s="24">
        <v>35</v>
      </c>
      <c r="Z679" s="24">
        <f t="shared" si="109"/>
        <v>1174.642812</v>
      </c>
      <c r="AA679" s="16">
        <v>77</v>
      </c>
      <c r="AB679" s="16">
        <f t="shared" si="104"/>
        <v>2894</v>
      </c>
      <c r="AC679" s="16">
        <f t="shared" si="104"/>
        <v>1370</v>
      </c>
      <c r="AD679" s="19">
        <f t="shared" si="113"/>
        <v>3964780</v>
      </c>
      <c r="AE679" s="1" t="s">
        <v>7456</v>
      </c>
      <c r="AF679" s="1" t="str">
        <f>VLOOKUP(AE679,t_objeto!B:C,2,FALSE)</f>
        <v>RAW_MATERIAL</v>
      </c>
      <c r="AG679" s="1">
        <v>8</v>
      </c>
      <c r="AH679" s="1" t="str">
        <f>VLOOKUP(AG679,t_entry_status!A:AE,2,FALSE)</f>
        <v>PENDING</v>
      </c>
      <c r="AI679" s="7">
        <v>45560</v>
      </c>
      <c r="AJ679" s="1" t="s">
        <v>7449</v>
      </c>
      <c r="AK679" s="7">
        <v>45560</v>
      </c>
      <c r="AL679" s="1" t="s">
        <v>7449</v>
      </c>
    </row>
    <row r="680" spans="1:38" s="20" customFormat="1" x14ac:dyDescent="0.25">
      <c r="A680" s="14">
        <v>679</v>
      </c>
      <c r="B680" s="14" t="str">
        <f>_xlfn.CONCAT(AE680,"-",VLOOKUP(AE680,t_objeto!B:D,3,FALSE),"-",A680)</f>
        <v>RRMM-PERCCO-679</v>
      </c>
      <c r="C680" s="22" t="str">
        <f t="shared" si="110"/>
        <v>LAMINA_LISA__INOX_304/316 L_5'X10'_21</v>
      </c>
      <c r="D680" s="14" t="s">
        <v>7407</v>
      </c>
      <c r="E680" s="14" t="s">
        <v>7403</v>
      </c>
      <c r="F680" s="21" t="s">
        <v>7404</v>
      </c>
      <c r="G680" s="22" t="s">
        <v>7382</v>
      </c>
      <c r="H680" s="14">
        <v>21</v>
      </c>
      <c r="I680" s="16">
        <v>0.84</v>
      </c>
      <c r="J680" s="16">
        <f t="shared" si="111"/>
        <v>3.3070866141732283E-2</v>
      </c>
      <c r="K680" s="16">
        <v>6.7149999999999999</v>
      </c>
      <c r="L680" s="23"/>
      <c r="M680" s="23"/>
      <c r="N680" s="23"/>
      <c r="O680" s="23"/>
      <c r="P680" s="23"/>
      <c r="Q680" s="19"/>
      <c r="R680" s="17">
        <v>5</v>
      </c>
      <c r="S680" s="17">
        <v>10</v>
      </c>
      <c r="T680" s="16">
        <f t="shared" si="105"/>
        <v>3048</v>
      </c>
      <c r="U680" s="16">
        <f t="shared" si="106"/>
        <v>1524</v>
      </c>
      <c r="V680" s="18">
        <f t="shared" si="112"/>
        <v>4645152</v>
      </c>
      <c r="W680" s="18">
        <f t="shared" si="107"/>
        <v>4.6451520000000004</v>
      </c>
      <c r="X680" s="18">
        <f t="shared" si="108"/>
        <v>31.192195680000001</v>
      </c>
      <c r="Y680" s="24">
        <v>35</v>
      </c>
      <c r="Z680" s="24">
        <f t="shared" si="109"/>
        <v>1091.7268488</v>
      </c>
      <c r="AA680" s="16">
        <v>78</v>
      </c>
      <c r="AB680" s="16">
        <f t="shared" si="104"/>
        <v>2892</v>
      </c>
      <c r="AC680" s="16">
        <f t="shared" si="104"/>
        <v>1368</v>
      </c>
      <c r="AD680" s="19">
        <f t="shared" si="113"/>
        <v>3956256</v>
      </c>
      <c r="AE680" s="1" t="s">
        <v>7456</v>
      </c>
      <c r="AF680" s="1" t="str">
        <f>VLOOKUP(AE680,t_objeto!B:C,2,FALSE)</f>
        <v>RAW_MATERIAL</v>
      </c>
      <c r="AG680" s="1">
        <v>8</v>
      </c>
      <c r="AH680" s="1" t="str">
        <f>VLOOKUP(AG680,t_entry_status!A:AE,2,FALSE)</f>
        <v>PENDING</v>
      </c>
      <c r="AI680" s="7">
        <v>45560</v>
      </c>
      <c r="AJ680" s="1" t="s">
        <v>7449</v>
      </c>
      <c r="AK680" s="7">
        <v>45560</v>
      </c>
      <c r="AL680" s="1" t="s">
        <v>7449</v>
      </c>
    </row>
    <row r="681" spans="1:38" s="20" customFormat="1" x14ac:dyDescent="0.25">
      <c r="A681" s="14">
        <v>680</v>
      </c>
      <c r="B681" s="14" t="str">
        <f>_xlfn.CONCAT(AE681,"-",VLOOKUP(AE681,t_objeto!B:D,3,FALSE),"-",A681)</f>
        <v>RRMM-PERCCO-680</v>
      </c>
      <c r="C681" s="22" t="str">
        <f t="shared" si="110"/>
        <v>LAMINA_LISA__INOX_304/316 L_5'X10'_22</v>
      </c>
      <c r="D681" s="14" t="s">
        <v>7407</v>
      </c>
      <c r="E681" s="14" t="s">
        <v>7403</v>
      </c>
      <c r="F681" s="21" t="s">
        <v>7404</v>
      </c>
      <c r="G681" s="22" t="s">
        <v>7382</v>
      </c>
      <c r="H681" s="14">
        <v>22</v>
      </c>
      <c r="I681" s="16">
        <v>0.76</v>
      </c>
      <c r="J681" s="16">
        <f t="shared" si="111"/>
        <v>2.9921259842519688E-2</v>
      </c>
      <c r="K681" s="16">
        <v>5.9939999999999998</v>
      </c>
      <c r="L681" s="23"/>
      <c r="M681" s="23"/>
      <c r="N681" s="23"/>
      <c r="O681" s="23"/>
      <c r="P681" s="23"/>
      <c r="Q681" s="19"/>
      <c r="R681" s="17">
        <v>5</v>
      </c>
      <c r="S681" s="17">
        <v>10</v>
      </c>
      <c r="T681" s="16">
        <f t="shared" si="105"/>
        <v>3048</v>
      </c>
      <c r="U681" s="16">
        <f t="shared" si="106"/>
        <v>1524</v>
      </c>
      <c r="V681" s="18">
        <f t="shared" si="112"/>
        <v>4645152</v>
      </c>
      <c r="W681" s="18">
        <f t="shared" si="107"/>
        <v>4.6451520000000004</v>
      </c>
      <c r="X681" s="18">
        <f t="shared" si="108"/>
        <v>27.843041088</v>
      </c>
      <c r="Y681" s="24">
        <v>35</v>
      </c>
      <c r="Z681" s="24">
        <f t="shared" si="109"/>
        <v>974.50643807999995</v>
      </c>
      <c r="AA681" s="16">
        <v>79</v>
      </c>
      <c r="AB681" s="16">
        <f t="shared" si="104"/>
        <v>2890</v>
      </c>
      <c r="AC681" s="16">
        <f t="shared" si="104"/>
        <v>1366</v>
      </c>
      <c r="AD681" s="19">
        <f t="shared" si="113"/>
        <v>3947740</v>
      </c>
      <c r="AE681" s="1" t="s">
        <v>7456</v>
      </c>
      <c r="AF681" s="1" t="str">
        <f>VLOOKUP(AE681,t_objeto!B:C,2,FALSE)</f>
        <v>RAW_MATERIAL</v>
      </c>
      <c r="AG681" s="1">
        <v>8</v>
      </c>
      <c r="AH681" s="1" t="str">
        <f>VLOOKUP(AG681,t_entry_status!A:AE,2,FALSE)</f>
        <v>PENDING</v>
      </c>
      <c r="AI681" s="7">
        <v>45560</v>
      </c>
      <c r="AJ681" s="1" t="s">
        <v>7449</v>
      </c>
      <c r="AK681" s="7">
        <v>45560</v>
      </c>
      <c r="AL681" s="1" t="s">
        <v>7449</v>
      </c>
    </row>
    <row r="682" spans="1:38" s="20" customFormat="1" x14ac:dyDescent="0.25">
      <c r="A682" s="14">
        <v>681</v>
      </c>
      <c r="B682" s="14" t="str">
        <f>_xlfn.CONCAT(AE682,"-",VLOOKUP(AE682,t_objeto!B:D,3,FALSE),"-",A682)</f>
        <v>RRMM-PERCCO-681</v>
      </c>
      <c r="C682" s="22" t="str">
        <f t="shared" si="110"/>
        <v>LAMINA_LISA__INOX_304/316 L_5'X10'_23</v>
      </c>
      <c r="D682" s="14" t="s">
        <v>7407</v>
      </c>
      <c r="E682" s="14" t="s">
        <v>7403</v>
      </c>
      <c r="F682" s="21" t="s">
        <v>7404</v>
      </c>
      <c r="G682" s="22" t="s">
        <v>7382</v>
      </c>
      <c r="H682" s="14">
        <v>23</v>
      </c>
      <c r="I682" s="16">
        <v>0.68</v>
      </c>
      <c r="J682" s="16">
        <f t="shared" si="111"/>
        <v>2.677165354330709E-2</v>
      </c>
      <c r="K682" s="16">
        <v>5.4359999999999999</v>
      </c>
      <c r="L682" s="23"/>
      <c r="M682" s="23"/>
      <c r="N682" s="23"/>
      <c r="O682" s="23"/>
      <c r="P682" s="23"/>
      <c r="Q682" s="19"/>
      <c r="R682" s="17">
        <v>5</v>
      </c>
      <c r="S682" s="17">
        <v>10</v>
      </c>
      <c r="T682" s="16">
        <f t="shared" si="105"/>
        <v>3048</v>
      </c>
      <c r="U682" s="16">
        <f t="shared" si="106"/>
        <v>1524</v>
      </c>
      <c r="V682" s="18">
        <f t="shared" si="112"/>
        <v>4645152</v>
      </c>
      <c r="W682" s="18">
        <f t="shared" si="107"/>
        <v>4.6451520000000004</v>
      </c>
      <c r="X682" s="18">
        <f t="shared" si="108"/>
        <v>25.251046272000004</v>
      </c>
      <c r="Y682" s="24">
        <v>35</v>
      </c>
      <c r="Z682" s="24">
        <f t="shared" si="109"/>
        <v>883.78661952000016</v>
      </c>
      <c r="AA682" s="16">
        <v>80</v>
      </c>
      <c r="AB682" s="16">
        <f t="shared" si="104"/>
        <v>2888</v>
      </c>
      <c r="AC682" s="16">
        <f t="shared" si="104"/>
        <v>1364</v>
      </c>
      <c r="AD682" s="19">
        <f t="shared" si="113"/>
        <v>3939232</v>
      </c>
      <c r="AE682" s="1" t="s">
        <v>7456</v>
      </c>
      <c r="AF682" s="1" t="str">
        <f>VLOOKUP(AE682,t_objeto!B:C,2,FALSE)</f>
        <v>RAW_MATERIAL</v>
      </c>
      <c r="AG682" s="1">
        <v>8</v>
      </c>
      <c r="AH682" s="1" t="str">
        <f>VLOOKUP(AG682,t_entry_status!A:AE,2,FALSE)</f>
        <v>PENDING</v>
      </c>
      <c r="AI682" s="7">
        <v>45560</v>
      </c>
      <c r="AJ682" s="1" t="s">
        <v>7449</v>
      </c>
      <c r="AK682" s="7">
        <v>45560</v>
      </c>
      <c r="AL682" s="1" t="s">
        <v>7449</v>
      </c>
    </row>
    <row r="683" spans="1:38" s="20" customFormat="1" x14ac:dyDescent="0.25">
      <c r="A683" s="14">
        <v>682</v>
      </c>
      <c r="B683" s="14" t="str">
        <f>_xlfn.CONCAT(AE683,"-",VLOOKUP(AE683,t_objeto!B:D,3,FALSE),"-",A683)</f>
        <v>RRMM-PERCCO-682</v>
      </c>
      <c r="C683" s="22" t="str">
        <f t="shared" si="110"/>
        <v>LAMINA_LISA__INOX_304/316 L_5'X10'_24</v>
      </c>
      <c r="D683" s="14" t="s">
        <v>7407</v>
      </c>
      <c r="E683" s="14" t="s">
        <v>7403</v>
      </c>
      <c r="F683" s="21" t="s">
        <v>7404</v>
      </c>
      <c r="G683" s="22" t="s">
        <v>7382</v>
      </c>
      <c r="H683" s="14">
        <v>24</v>
      </c>
      <c r="I683" s="16">
        <v>0.61</v>
      </c>
      <c r="J683" s="16">
        <f t="shared" si="111"/>
        <v>2.4015748031496063E-2</v>
      </c>
      <c r="K683" s="16">
        <v>4.9409999999999998</v>
      </c>
      <c r="L683" s="23"/>
      <c r="M683" s="23"/>
      <c r="N683" s="23"/>
      <c r="O683" s="23"/>
      <c r="P683" s="23"/>
      <c r="Q683" s="19"/>
      <c r="R683" s="17">
        <v>5</v>
      </c>
      <c r="S683" s="17">
        <v>10</v>
      </c>
      <c r="T683" s="16">
        <f t="shared" si="105"/>
        <v>3048</v>
      </c>
      <c r="U683" s="16">
        <f t="shared" si="106"/>
        <v>1524</v>
      </c>
      <c r="V683" s="18">
        <f t="shared" si="112"/>
        <v>4645152</v>
      </c>
      <c r="W683" s="18">
        <f t="shared" si="107"/>
        <v>4.6451520000000004</v>
      </c>
      <c r="X683" s="18">
        <f t="shared" si="108"/>
        <v>22.951696032000001</v>
      </c>
      <c r="Y683" s="24">
        <v>35</v>
      </c>
      <c r="Z683" s="24">
        <f t="shared" si="109"/>
        <v>803.30936112000006</v>
      </c>
      <c r="AA683" s="16">
        <v>81</v>
      </c>
      <c r="AB683" s="16">
        <f t="shared" si="104"/>
        <v>2886</v>
      </c>
      <c r="AC683" s="16">
        <f t="shared" si="104"/>
        <v>1362</v>
      </c>
      <c r="AD683" s="19">
        <f t="shared" si="113"/>
        <v>3930732</v>
      </c>
      <c r="AE683" s="1" t="s">
        <v>7456</v>
      </c>
      <c r="AF683" s="1" t="str">
        <f>VLOOKUP(AE683,t_objeto!B:C,2,FALSE)</f>
        <v>RAW_MATERIAL</v>
      </c>
      <c r="AG683" s="1">
        <v>8</v>
      </c>
      <c r="AH683" s="1" t="str">
        <f>VLOOKUP(AG683,t_entry_status!A:AE,2,FALSE)</f>
        <v>PENDING</v>
      </c>
      <c r="AI683" s="7">
        <v>45560</v>
      </c>
      <c r="AJ683" s="1" t="s">
        <v>7449</v>
      </c>
      <c r="AK683" s="7">
        <v>45560</v>
      </c>
      <c r="AL683" s="1" t="s">
        <v>7449</v>
      </c>
    </row>
    <row r="684" spans="1:38" s="20" customFormat="1" x14ac:dyDescent="0.25">
      <c r="A684" s="14">
        <v>683</v>
      </c>
      <c r="B684" s="14" t="str">
        <f>_xlfn.CONCAT(AE684,"-",VLOOKUP(AE684,t_objeto!B:D,3,FALSE),"-",A684)</f>
        <v>RRMM-PERCCO-683</v>
      </c>
      <c r="C684" s="22" t="str">
        <f t="shared" si="110"/>
        <v>LAMINA_LISA__INOX_304/316 L_5'X10'_25</v>
      </c>
      <c r="D684" s="14" t="s">
        <v>7407</v>
      </c>
      <c r="E684" s="14" t="s">
        <v>7403</v>
      </c>
      <c r="F684" s="21" t="s">
        <v>7404</v>
      </c>
      <c r="G684" s="22" t="s">
        <v>7382</v>
      </c>
      <c r="H684" s="14">
        <v>25</v>
      </c>
      <c r="I684" s="16">
        <v>0.53</v>
      </c>
      <c r="J684" s="16">
        <f t="shared" si="111"/>
        <v>2.0866141732283468E-2</v>
      </c>
      <c r="K684" s="16">
        <v>4.2370000000000001</v>
      </c>
      <c r="L684" s="23"/>
      <c r="M684" s="23"/>
      <c r="N684" s="23"/>
      <c r="O684" s="23"/>
      <c r="P684" s="23"/>
      <c r="Q684" s="19"/>
      <c r="R684" s="17">
        <v>5</v>
      </c>
      <c r="S684" s="17">
        <v>10</v>
      </c>
      <c r="T684" s="16">
        <f t="shared" si="105"/>
        <v>3048</v>
      </c>
      <c r="U684" s="16">
        <f t="shared" si="106"/>
        <v>1524</v>
      </c>
      <c r="V684" s="18">
        <f t="shared" si="112"/>
        <v>4645152</v>
      </c>
      <c r="W684" s="18">
        <f t="shared" si="107"/>
        <v>4.6451520000000004</v>
      </c>
      <c r="X684" s="18">
        <f t="shared" si="108"/>
        <v>19.681509024</v>
      </c>
      <c r="Y684" s="24">
        <v>35</v>
      </c>
      <c r="Z684" s="24">
        <f t="shared" si="109"/>
        <v>688.85281584000006</v>
      </c>
      <c r="AA684" s="16">
        <v>82</v>
      </c>
      <c r="AB684" s="16">
        <f t="shared" si="104"/>
        <v>2884</v>
      </c>
      <c r="AC684" s="16">
        <f t="shared" si="104"/>
        <v>1360</v>
      </c>
      <c r="AD684" s="19">
        <f t="shared" si="113"/>
        <v>3922240</v>
      </c>
      <c r="AE684" s="1" t="s">
        <v>7456</v>
      </c>
      <c r="AF684" s="1" t="str">
        <f>VLOOKUP(AE684,t_objeto!B:C,2,FALSE)</f>
        <v>RAW_MATERIAL</v>
      </c>
      <c r="AG684" s="1">
        <v>8</v>
      </c>
      <c r="AH684" s="1" t="str">
        <f>VLOOKUP(AG684,t_entry_status!A:AE,2,FALSE)</f>
        <v>PENDING</v>
      </c>
      <c r="AI684" s="7">
        <v>45560</v>
      </c>
      <c r="AJ684" s="1" t="s">
        <v>7449</v>
      </c>
      <c r="AK684" s="7">
        <v>45560</v>
      </c>
      <c r="AL684" s="1" t="s">
        <v>7449</v>
      </c>
    </row>
    <row r="685" spans="1:38" s="20" customFormat="1" x14ac:dyDescent="0.25">
      <c r="A685" s="14">
        <v>684</v>
      </c>
      <c r="B685" s="14" t="str">
        <f>_xlfn.CONCAT(AE685,"-",VLOOKUP(AE685,t_objeto!B:D,3,FALSE),"-",A685)</f>
        <v>RRMM-PERCCO-684</v>
      </c>
      <c r="C685" s="22" t="str">
        <f t="shared" si="110"/>
        <v>LAMINA_LISA__INOX_304/316 L_5'X10'_26</v>
      </c>
      <c r="D685" s="14" t="s">
        <v>7407</v>
      </c>
      <c r="E685" s="14" t="s">
        <v>7403</v>
      </c>
      <c r="F685" s="21" t="s">
        <v>7404</v>
      </c>
      <c r="G685" s="22" t="s">
        <v>7382</v>
      </c>
      <c r="H685" s="14">
        <v>26</v>
      </c>
      <c r="I685" s="16">
        <v>0.45</v>
      </c>
      <c r="J685" s="16">
        <f t="shared" si="111"/>
        <v>1.7716535433070866E-2</v>
      </c>
      <c r="K685" s="16">
        <v>3.6859999999999999</v>
      </c>
      <c r="L685" s="23"/>
      <c r="M685" s="23"/>
      <c r="N685" s="23"/>
      <c r="O685" s="23"/>
      <c r="P685" s="23"/>
      <c r="Q685" s="19"/>
      <c r="R685" s="17">
        <v>5</v>
      </c>
      <c r="S685" s="17">
        <v>10</v>
      </c>
      <c r="T685" s="16">
        <f t="shared" si="105"/>
        <v>3048</v>
      </c>
      <c r="U685" s="16">
        <f t="shared" si="106"/>
        <v>1524</v>
      </c>
      <c r="V685" s="18">
        <f t="shared" si="112"/>
        <v>4645152</v>
      </c>
      <c r="W685" s="18">
        <f t="shared" si="107"/>
        <v>4.6451520000000004</v>
      </c>
      <c r="X685" s="18">
        <f t="shared" si="108"/>
        <v>17.122030272</v>
      </c>
      <c r="Y685" s="24">
        <v>35</v>
      </c>
      <c r="Z685" s="24">
        <f t="shared" si="109"/>
        <v>599.27105951999999</v>
      </c>
      <c r="AA685" s="16">
        <v>83</v>
      </c>
      <c r="AB685" s="16">
        <f t="shared" si="104"/>
        <v>2882</v>
      </c>
      <c r="AC685" s="16">
        <f t="shared" si="104"/>
        <v>1358</v>
      </c>
      <c r="AD685" s="19">
        <f t="shared" si="113"/>
        <v>3913756</v>
      </c>
      <c r="AE685" s="1" t="s">
        <v>7456</v>
      </c>
      <c r="AF685" s="1" t="str">
        <f>VLOOKUP(AE685,t_objeto!B:C,2,FALSE)</f>
        <v>RAW_MATERIAL</v>
      </c>
      <c r="AG685" s="1">
        <v>8</v>
      </c>
      <c r="AH685" s="1" t="str">
        <f>VLOOKUP(AG685,t_entry_status!A:AE,2,FALSE)</f>
        <v>PENDING</v>
      </c>
      <c r="AI685" s="7">
        <v>45560</v>
      </c>
      <c r="AJ685" s="1" t="s">
        <v>7449</v>
      </c>
      <c r="AK685" s="7">
        <v>45560</v>
      </c>
      <c r="AL685" s="1" t="s">
        <v>7449</v>
      </c>
    </row>
  </sheetData>
  <autoFilter ref="A1:AE685" xr:uid="{F0A24DCF-522D-48E7-81D4-CBB830696A9C}"/>
  <phoneticPr fontId="5" type="noConversion"/>
  <pageMargins left="0.74803149606299213" right="0.74803149606299213" top="0.98425196850393704" bottom="0.98425196850393704" header="0" footer="0"/>
  <pageSetup scale="90" orientation="portrait" verticalDpi="300"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B0905A39-9729-4272-A308-A1B09D9297C7}">
          <x14:formula1>
            <xm:f>t_entry_status!$A:$A</xm:f>
          </x14:formula1>
          <xm:sqref>AG2:AG685</xm:sqref>
        </x14:dataValidation>
        <x14:dataValidation type="list" allowBlank="1" showInputMessage="1" showErrorMessage="1" xr:uid="{3691ED58-9316-459F-BE25-299F596A05F8}">
          <x14:formula1>
            <xm:f>t_objeto!$B:$B</xm:f>
          </x14:formula1>
          <xm:sqref>AE2:AE685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79BA3-F673-4266-BEC9-BDA31D7647B5}">
  <dimension ref="A1:J22"/>
  <sheetViews>
    <sheetView workbookViewId="0"/>
  </sheetViews>
  <sheetFormatPr baseColWidth="10" defaultRowHeight="15" x14ac:dyDescent="0.25"/>
  <cols>
    <col min="1" max="1" width="2.7109375" style="1" bestFit="1" customWidth="1"/>
    <col min="2" max="2" width="25.42578125" style="1" bestFit="1" customWidth="1"/>
    <col min="3" max="3" width="8.5703125" style="1" bestFit="1" customWidth="1"/>
    <col min="4" max="4" width="15.140625" style="1" bestFit="1" customWidth="1"/>
    <col min="5" max="5" width="13.7109375" style="1" bestFit="1" customWidth="1"/>
    <col min="6" max="6" width="23.42578125" style="1" bestFit="1" customWidth="1"/>
    <col min="7" max="7" width="15.7109375" style="1" bestFit="1" customWidth="1"/>
    <col min="8" max="8" width="14.85546875" style="1" bestFit="1" customWidth="1"/>
    <col min="9" max="9" width="15.7109375" style="1" bestFit="1" customWidth="1"/>
    <col min="10" max="10" width="14.85546875" style="1" bestFit="1" customWidth="1"/>
    <col min="11" max="16384" width="11.42578125" style="1"/>
  </cols>
  <sheetData>
    <row r="1" spans="1:10" x14ac:dyDescent="0.25">
      <c r="A1" s="5" t="s">
        <v>7286</v>
      </c>
      <c r="B1" s="5" t="s">
        <v>7406</v>
      </c>
      <c r="C1" s="5" t="s">
        <v>7333</v>
      </c>
      <c r="D1" s="5" t="s">
        <v>7287</v>
      </c>
      <c r="E1" s="5" t="s">
        <v>24</v>
      </c>
      <c r="F1" s="5" t="s">
        <v>43</v>
      </c>
      <c r="G1" s="5" t="s">
        <v>44</v>
      </c>
      <c r="H1" s="5" t="s">
        <v>45</v>
      </c>
      <c r="I1" s="5" t="s">
        <v>46</v>
      </c>
      <c r="J1" s="5" t="s">
        <v>47</v>
      </c>
    </row>
    <row r="2" spans="1:10" x14ac:dyDescent="0.25">
      <c r="A2" s="1">
        <v>1</v>
      </c>
      <c r="B2" s="22" t="s">
        <v>7800</v>
      </c>
      <c r="C2" s="1" t="s">
        <v>7456</v>
      </c>
      <c r="D2" s="1" t="str">
        <f>VLOOKUP(C2,t_objeto!B:C,2,FALSE)</f>
        <v>RAW_MATERIAL</v>
      </c>
      <c r="E2" s="1">
        <v>8</v>
      </c>
      <c r="F2" s="1" t="str">
        <f>VLOOKUP(E2,t_entry_status!A:C,2,FALSE)</f>
        <v>PENDING</v>
      </c>
      <c r="G2" s="7">
        <v>45560</v>
      </c>
      <c r="H2" s="1" t="s">
        <v>7449</v>
      </c>
      <c r="I2" s="7">
        <v>45560</v>
      </c>
      <c r="J2" s="1" t="s">
        <v>7449</v>
      </c>
    </row>
    <row r="3" spans="1:10" x14ac:dyDescent="0.25">
      <c r="A3" s="1">
        <v>2</v>
      </c>
      <c r="B3" s="22" t="s">
        <v>7801</v>
      </c>
      <c r="C3" s="1" t="s">
        <v>7456</v>
      </c>
      <c r="D3" s="1" t="str">
        <f>VLOOKUP(C3,t_objeto!B:C,2,FALSE)</f>
        <v>RAW_MATERIAL</v>
      </c>
      <c r="E3" s="1">
        <v>8</v>
      </c>
      <c r="F3" s="1" t="str">
        <f>VLOOKUP(E3,t_entry_status!A:C,2,FALSE)</f>
        <v>PENDING</v>
      </c>
      <c r="G3" s="7">
        <v>45560</v>
      </c>
      <c r="H3" s="1" t="s">
        <v>7449</v>
      </c>
      <c r="I3" s="7">
        <v>45560</v>
      </c>
      <c r="J3" s="1" t="s">
        <v>7449</v>
      </c>
    </row>
    <row r="4" spans="1:10" x14ac:dyDescent="0.25">
      <c r="A4" s="1">
        <v>3</v>
      </c>
      <c r="B4" s="22" t="s">
        <v>7802</v>
      </c>
      <c r="C4" s="1" t="s">
        <v>7456</v>
      </c>
      <c r="D4" s="1" t="str">
        <f>VLOOKUP(C4,t_objeto!B:C,2,FALSE)</f>
        <v>RAW_MATERIAL</v>
      </c>
      <c r="E4" s="1">
        <v>8</v>
      </c>
      <c r="F4" s="1" t="str">
        <f>VLOOKUP(E4,t_entry_status!A:C,2,FALSE)</f>
        <v>PENDING</v>
      </c>
      <c r="G4" s="7">
        <v>45560</v>
      </c>
      <c r="H4" s="1" t="s">
        <v>7449</v>
      </c>
      <c r="I4" s="7">
        <v>45560</v>
      </c>
      <c r="J4" s="1" t="s">
        <v>7449</v>
      </c>
    </row>
    <row r="5" spans="1:10" x14ac:dyDescent="0.25">
      <c r="A5" s="1">
        <v>4</v>
      </c>
      <c r="B5" s="22" t="s">
        <v>7803</v>
      </c>
      <c r="C5" s="1" t="s">
        <v>7456</v>
      </c>
      <c r="D5" s="1" t="str">
        <f>VLOOKUP(C5,t_objeto!B:C,2,FALSE)</f>
        <v>RAW_MATERIAL</v>
      </c>
      <c r="E5" s="1">
        <v>8</v>
      </c>
      <c r="F5" s="1" t="str">
        <f>VLOOKUP(E5,t_entry_status!A:C,2,FALSE)</f>
        <v>PENDING</v>
      </c>
      <c r="G5" s="7">
        <v>45560</v>
      </c>
      <c r="H5" s="1" t="s">
        <v>7449</v>
      </c>
      <c r="I5" s="7">
        <v>45560</v>
      </c>
      <c r="J5" s="1" t="s">
        <v>7449</v>
      </c>
    </row>
    <row r="6" spans="1:10" x14ac:dyDescent="0.25">
      <c r="A6" s="1">
        <v>5</v>
      </c>
      <c r="B6" s="22" t="s">
        <v>7804</v>
      </c>
      <c r="C6" s="1" t="s">
        <v>7456</v>
      </c>
      <c r="D6" s="1" t="str">
        <f>VLOOKUP(C6,t_objeto!B:C,2,FALSE)</f>
        <v>RAW_MATERIAL</v>
      </c>
      <c r="E6" s="1">
        <v>8</v>
      </c>
      <c r="F6" s="1" t="str">
        <f>VLOOKUP(E6,t_entry_status!A:C,2,FALSE)</f>
        <v>PENDING</v>
      </c>
      <c r="G6" s="7">
        <v>45560</v>
      </c>
      <c r="H6" s="1" t="s">
        <v>7449</v>
      </c>
      <c r="I6" s="7">
        <v>45560</v>
      </c>
      <c r="J6" s="1" t="s">
        <v>7449</v>
      </c>
    </row>
    <row r="7" spans="1:10" x14ac:dyDescent="0.25">
      <c r="A7" s="1">
        <v>6</v>
      </c>
      <c r="B7" s="22" t="s">
        <v>7805</v>
      </c>
      <c r="C7" s="1" t="s">
        <v>7456</v>
      </c>
      <c r="D7" s="1" t="str">
        <f>VLOOKUP(C7,t_objeto!B:C,2,FALSE)</f>
        <v>RAW_MATERIAL</v>
      </c>
      <c r="E7" s="1">
        <v>8</v>
      </c>
      <c r="F7" s="1" t="str">
        <f>VLOOKUP(E7,t_entry_status!A:C,2,FALSE)</f>
        <v>PENDING</v>
      </c>
      <c r="G7" s="7">
        <v>45560</v>
      </c>
      <c r="H7" s="1" t="s">
        <v>7449</v>
      </c>
      <c r="I7" s="7">
        <v>45560</v>
      </c>
      <c r="J7" s="1" t="s">
        <v>7449</v>
      </c>
    </row>
    <row r="8" spans="1:10" x14ac:dyDescent="0.25">
      <c r="A8" s="1">
        <v>7</v>
      </c>
      <c r="B8" s="22" t="s">
        <v>7806</v>
      </c>
      <c r="C8" s="1" t="s">
        <v>7456</v>
      </c>
      <c r="D8" s="1" t="str">
        <f>VLOOKUP(C8,t_objeto!B:C,2,FALSE)</f>
        <v>RAW_MATERIAL</v>
      </c>
      <c r="E8" s="1">
        <v>8</v>
      </c>
      <c r="F8" s="1" t="str">
        <f>VLOOKUP(E8,t_entry_status!A:C,2,FALSE)</f>
        <v>PENDING</v>
      </c>
      <c r="G8" s="7">
        <v>45560</v>
      </c>
      <c r="H8" s="1" t="s">
        <v>7449</v>
      </c>
      <c r="I8" s="7">
        <v>45560</v>
      </c>
      <c r="J8" s="1" t="s">
        <v>7449</v>
      </c>
    </row>
    <row r="9" spans="1:10" x14ac:dyDescent="0.25">
      <c r="A9" s="1">
        <v>8</v>
      </c>
      <c r="B9" s="22" t="s">
        <v>7807</v>
      </c>
      <c r="C9" s="1" t="s">
        <v>7456</v>
      </c>
      <c r="D9" s="1" t="str">
        <f>VLOOKUP(C9,t_objeto!B:C,2,FALSE)</f>
        <v>RAW_MATERIAL</v>
      </c>
      <c r="E9" s="1">
        <v>8</v>
      </c>
      <c r="F9" s="1" t="str">
        <f>VLOOKUP(E9,t_entry_status!A:C,2,FALSE)</f>
        <v>PENDING</v>
      </c>
      <c r="G9" s="7">
        <v>45560</v>
      </c>
      <c r="H9" s="1" t="s">
        <v>7449</v>
      </c>
      <c r="I9" s="7">
        <v>45560</v>
      </c>
      <c r="J9" s="1" t="s">
        <v>7449</v>
      </c>
    </row>
    <row r="10" spans="1:10" x14ac:dyDescent="0.25">
      <c r="A10" s="1">
        <v>9</v>
      </c>
      <c r="B10" s="22" t="s">
        <v>7808</v>
      </c>
      <c r="C10" s="1" t="s">
        <v>7456</v>
      </c>
      <c r="D10" s="1" t="str">
        <f>VLOOKUP(C10,t_objeto!B:C,2,FALSE)</f>
        <v>RAW_MATERIAL</v>
      </c>
      <c r="E10" s="1">
        <v>8</v>
      </c>
      <c r="F10" s="1" t="str">
        <f>VLOOKUP(E10,t_entry_status!A:C,2,FALSE)</f>
        <v>PENDING</v>
      </c>
      <c r="G10" s="7">
        <v>45560</v>
      </c>
      <c r="H10" s="1" t="s">
        <v>7449</v>
      </c>
      <c r="I10" s="7">
        <v>45560</v>
      </c>
      <c r="J10" s="1" t="s">
        <v>7449</v>
      </c>
    </row>
    <row r="11" spans="1:10" x14ac:dyDescent="0.25">
      <c r="A11" s="1">
        <v>10</v>
      </c>
      <c r="B11" s="22" t="s">
        <v>7809</v>
      </c>
      <c r="C11" s="1" t="s">
        <v>7456</v>
      </c>
      <c r="D11" s="1" t="str">
        <f>VLOOKUP(C11,t_objeto!B:C,2,FALSE)</f>
        <v>RAW_MATERIAL</v>
      </c>
      <c r="E11" s="1">
        <v>8</v>
      </c>
      <c r="F11" s="1" t="str">
        <f>VLOOKUP(E11,t_entry_status!A:C,2,FALSE)</f>
        <v>PENDING</v>
      </c>
      <c r="G11" s="7">
        <v>45560</v>
      </c>
      <c r="H11" s="1" t="s">
        <v>7449</v>
      </c>
      <c r="I11" s="7">
        <v>45560</v>
      </c>
      <c r="J11" s="1" t="s">
        <v>7449</v>
      </c>
    </row>
    <row r="12" spans="1:10" x14ac:dyDescent="0.25">
      <c r="A12" s="1">
        <v>11</v>
      </c>
      <c r="B12" s="22" t="s">
        <v>7810</v>
      </c>
      <c r="C12" s="1" t="s">
        <v>7456</v>
      </c>
      <c r="D12" s="1" t="str">
        <f>VLOOKUP(C12,t_objeto!B:C,2,FALSE)</f>
        <v>RAW_MATERIAL</v>
      </c>
      <c r="E12" s="1">
        <v>8</v>
      </c>
      <c r="F12" s="1" t="str">
        <f>VLOOKUP(E12,t_entry_status!A:C,2,FALSE)</f>
        <v>PENDING</v>
      </c>
      <c r="G12" s="7">
        <v>45560</v>
      </c>
      <c r="H12" s="1" t="s">
        <v>7449</v>
      </c>
      <c r="I12" s="7">
        <v>45560</v>
      </c>
      <c r="J12" s="1" t="s">
        <v>7449</v>
      </c>
    </row>
    <row r="13" spans="1:10" x14ac:dyDescent="0.25">
      <c r="A13" s="1">
        <v>12</v>
      </c>
      <c r="B13" s="22" t="s">
        <v>7811</v>
      </c>
      <c r="C13" s="1" t="s">
        <v>7456</v>
      </c>
      <c r="D13" s="1" t="str">
        <f>VLOOKUP(C13,t_objeto!B:C,2,FALSE)</f>
        <v>RAW_MATERIAL</v>
      </c>
      <c r="E13" s="1">
        <v>8</v>
      </c>
      <c r="F13" s="1" t="str">
        <f>VLOOKUP(E13,t_entry_status!A:C,2,FALSE)</f>
        <v>PENDING</v>
      </c>
      <c r="G13" s="7">
        <v>45560</v>
      </c>
      <c r="H13" s="1" t="s">
        <v>7449</v>
      </c>
      <c r="I13" s="7">
        <v>45560</v>
      </c>
      <c r="J13" s="1" t="s">
        <v>7449</v>
      </c>
    </row>
    <row r="14" spans="1:10" x14ac:dyDescent="0.25">
      <c r="A14" s="1">
        <v>13</v>
      </c>
      <c r="B14" s="22" t="s">
        <v>7812</v>
      </c>
      <c r="C14" s="1" t="s">
        <v>7456</v>
      </c>
      <c r="D14" s="1" t="str">
        <f>VLOOKUP(C14,t_objeto!B:C,2,FALSE)</f>
        <v>RAW_MATERIAL</v>
      </c>
      <c r="E14" s="1">
        <v>8</v>
      </c>
      <c r="F14" s="1" t="str">
        <f>VLOOKUP(E14,t_entry_status!A:C,2,FALSE)</f>
        <v>PENDING</v>
      </c>
      <c r="G14" s="7">
        <v>45560</v>
      </c>
      <c r="H14" s="1" t="s">
        <v>7449</v>
      </c>
      <c r="I14" s="7">
        <v>45560</v>
      </c>
      <c r="J14" s="1" t="s">
        <v>7449</v>
      </c>
    </row>
    <row r="15" spans="1:10" x14ac:dyDescent="0.25">
      <c r="A15" s="1">
        <v>14</v>
      </c>
      <c r="B15" s="22" t="s">
        <v>7813</v>
      </c>
      <c r="C15" s="1" t="s">
        <v>7456</v>
      </c>
      <c r="D15" s="1" t="str">
        <f>VLOOKUP(C15,t_objeto!B:C,2,FALSE)</f>
        <v>RAW_MATERIAL</v>
      </c>
      <c r="E15" s="1">
        <v>8</v>
      </c>
      <c r="F15" s="1" t="str">
        <f>VLOOKUP(E15,t_entry_status!A:C,2,FALSE)</f>
        <v>PENDING</v>
      </c>
      <c r="G15" s="7">
        <v>45560</v>
      </c>
      <c r="H15" s="1" t="s">
        <v>7449</v>
      </c>
      <c r="I15" s="7">
        <v>45560</v>
      </c>
      <c r="J15" s="1" t="s">
        <v>7449</v>
      </c>
    </row>
    <row r="16" spans="1:10" x14ac:dyDescent="0.25">
      <c r="A16" s="1">
        <v>15</v>
      </c>
      <c r="B16" s="22" t="s">
        <v>7385</v>
      </c>
      <c r="C16" s="1" t="s">
        <v>7456</v>
      </c>
      <c r="D16" s="1" t="str">
        <f>VLOOKUP(C16,t_objeto!B:C,2,FALSE)</f>
        <v>RAW_MATERIAL</v>
      </c>
      <c r="E16" s="1">
        <v>8</v>
      </c>
      <c r="F16" s="1" t="str">
        <f>VLOOKUP(E16,t_entry_status!A:C,2,FALSE)</f>
        <v>PENDING</v>
      </c>
      <c r="G16" s="7">
        <v>45560</v>
      </c>
      <c r="H16" s="1" t="s">
        <v>7449</v>
      </c>
      <c r="I16" s="7">
        <v>45560</v>
      </c>
      <c r="J16" s="1" t="s">
        <v>7449</v>
      </c>
    </row>
    <row r="17" spans="1:10" x14ac:dyDescent="0.25">
      <c r="A17" s="1">
        <v>16</v>
      </c>
      <c r="B17" s="22" t="s">
        <v>7816</v>
      </c>
      <c r="C17" s="1" t="s">
        <v>7456</v>
      </c>
      <c r="D17" s="1" t="str">
        <f>VLOOKUP(C17,t_objeto!B:C,2,FALSE)</f>
        <v>RAW_MATERIAL</v>
      </c>
      <c r="E17" s="1">
        <v>8</v>
      </c>
      <c r="F17" s="1" t="str">
        <f>VLOOKUP(E17,t_entry_status!A:C,2,FALSE)</f>
        <v>PENDING</v>
      </c>
      <c r="G17" s="7">
        <v>45560</v>
      </c>
      <c r="H17" s="1" t="s">
        <v>7449</v>
      </c>
      <c r="I17" s="7">
        <v>45560</v>
      </c>
      <c r="J17" s="1" t="s">
        <v>7449</v>
      </c>
    </row>
    <row r="18" spans="1:10" x14ac:dyDescent="0.25">
      <c r="A18" s="1">
        <v>17</v>
      </c>
      <c r="B18" s="22" t="s">
        <v>7814</v>
      </c>
      <c r="C18" s="1" t="s">
        <v>7456</v>
      </c>
      <c r="D18" s="1" t="str">
        <f>VLOOKUP(C18,t_objeto!B:C,2,FALSE)</f>
        <v>RAW_MATERIAL</v>
      </c>
      <c r="E18" s="1">
        <v>8</v>
      </c>
      <c r="F18" s="1" t="str">
        <f>VLOOKUP(E18,t_entry_status!A:C,2,FALSE)</f>
        <v>PENDING</v>
      </c>
      <c r="G18" s="7">
        <v>45560</v>
      </c>
      <c r="H18" s="1" t="s">
        <v>7449</v>
      </c>
      <c r="I18" s="7">
        <v>45560</v>
      </c>
      <c r="J18" s="1" t="s">
        <v>7449</v>
      </c>
    </row>
    <row r="19" spans="1:10" x14ac:dyDescent="0.25">
      <c r="A19" s="1">
        <v>18</v>
      </c>
      <c r="B19" s="22" t="s">
        <v>7815</v>
      </c>
      <c r="C19" s="1" t="s">
        <v>7456</v>
      </c>
      <c r="D19" s="1" t="str">
        <f>VLOOKUP(C19,t_objeto!B:C,2,FALSE)</f>
        <v>RAW_MATERIAL</v>
      </c>
      <c r="E19" s="1">
        <v>8</v>
      </c>
      <c r="F19" s="1" t="str">
        <f>VLOOKUP(E19,t_entry_status!A:C,2,FALSE)</f>
        <v>PENDING</v>
      </c>
      <c r="G19" s="7">
        <v>45560</v>
      </c>
      <c r="H19" s="1" t="s">
        <v>7449</v>
      </c>
      <c r="I19" s="7">
        <v>45560</v>
      </c>
      <c r="J19" s="1" t="s">
        <v>7449</v>
      </c>
    </row>
    <row r="20" spans="1:10" x14ac:dyDescent="0.25">
      <c r="A20" s="1">
        <v>19</v>
      </c>
      <c r="B20" s="22" t="s">
        <v>7817</v>
      </c>
      <c r="C20" s="1" t="s">
        <v>7456</v>
      </c>
      <c r="D20" s="1" t="str">
        <f>VLOOKUP(C20,t_objeto!B:C,2,FALSE)</f>
        <v>RAW_MATERIAL</v>
      </c>
      <c r="E20" s="1">
        <v>8</v>
      </c>
      <c r="F20" s="1" t="str">
        <f>VLOOKUP(E20,t_entry_status!A:C,2,FALSE)</f>
        <v>PENDING</v>
      </c>
      <c r="G20" s="7">
        <v>45560</v>
      </c>
      <c r="H20" s="1" t="s">
        <v>7449</v>
      </c>
      <c r="I20" s="7">
        <v>45560</v>
      </c>
      <c r="J20" s="1" t="s">
        <v>7449</v>
      </c>
    </row>
    <row r="21" spans="1:10" x14ac:dyDescent="0.25">
      <c r="B21" s="1" t="s">
        <v>7818</v>
      </c>
    </row>
    <row r="22" spans="1:10" x14ac:dyDescent="0.25">
      <c r="B22" s="1" t="s">
        <v>7819</v>
      </c>
    </row>
  </sheetData>
  <phoneticPr fontId="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55D92E69-F101-41AA-902A-90FB59107DD7}">
          <x14:formula1>
            <xm:f>t_objeto!$B:$B</xm:f>
          </x14:formula1>
          <xm:sqref>C2:C20</xm:sqref>
        </x14:dataValidation>
        <x14:dataValidation type="list" allowBlank="1" showInputMessage="1" showErrorMessage="1" xr:uid="{4E888283-9D4D-4960-9F06-3C53A4EC21AA}">
          <x14:formula1>
            <xm:f>t_entry_status!$A:$A</xm:f>
          </x14:formula1>
          <xm:sqref>E2:E20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C1F38-8955-469A-BDD9-08C99A419EA6}">
  <dimension ref="A1:I2193"/>
  <sheetViews>
    <sheetView topLeftCell="B1" workbookViewId="0">
      <selection activeCell="J11" sqref="J11"/>
    </sheetView>
  </sheetViews>
  <sheetFormatPr baseColWidth="10" defaultColWidth="11.5703125" defaultRowHeight="15" x14ac:dyDescent="0.25"/>
  <cols>
    <col min="1" max="4" width="11.5703125" style="1"/>
    <col min="5" max="5" width="13" style="1" bestFit="1" customWidth="1"/>
    <col min="6" max="6" width="19.42578125" style="1" bestFit="1" customWidth="1"/>
    <col min="7" max="7" width="20" style="1" bestFit="1" customWidth="1"/>
    <col min="8" max="8" width="23.28515625" style="1" bestFit="1" customWidth="1"/>
    <col min="9" max="9" width="13.28515625" style="1" bestFit="1" customWidth="1"/>
    <col min="10" max="16384" width="11.5703125" style="1"/>
  </cols>
  <sheetData>
    <row r="1" spans="1:9" s="5" customFormat="1" x14ac:dyDescent="0.25">
      <c r="A1" s="5" t="s">
        <v>7422</v>
      </c>
      <c r="B1" s="5" t="s">
        <v>7423</v>
      </c>
      <c r="C1" s="5" t="s">
        <v>7424</v>
      </c>
      <c r="D1" s="5" t="s">
        <v>7425</v>
      </c>
      <c r="E1" s="5" t="s">
        <v>7426</v>
      </c>
      <c r="F1" s="5" t="s">
        <v>7434</v>
      </c>
      <c r="G1" s="5" t="s">
        <v>7412</v>
      </c>
      <c r="H1" s="5" t="s">
        <v>7413</v>
      </c>
      <c r="I1" s="5" t="s">
        <v>7414</v>
      </c>
    </row>
    <row r="2" spans="1:9" x14ac:dyDescent="0.25">
      <c r="A2" s="26">
        <v>45292</v>
      </c>
      <c r="B2" s="27">
        <f>YEAR(A2)</f>
        <v>2024</v>
      </c>
      <c r="C2" s="27">
        <f>MONTH(A2)</f>
        <v>1</v>
      </c>
      <c r="D2" s="27">
        <f>DAY(A2)</f>
        <v>1</v>
      </c>
      <c r="E2" s="27">
        <f>WEEKDAY(A2)</f>
        <v>2</v>
      </c>
      <c r="F2" s="27">
        <f>VLOOKUP(E2,[2]t_calendarioPolitica!A:C,3,FALSE)</f>
        <v>1</v>
      </c>
      <c r="G2" s="1">
        <v>0</v>
      </c>
      <c r="H2" s="1">
        <v>1</v>
      </c>
      <c r="I2" s="1">
        <f>IF(AND(F2&lt;&gt;0, H2&lt;&gt;0,G2&lt;&gt;0), 1, 0)</f>
        <v>0</v>
      </c>
    </row>
    <row r="3" spans="1:9" x14ac:dyDescent="0.25">
      <c r="A3" s="26">
        <v>45293</v>
      </c>
      <c r="B3" s="27">
        <f t="shared" ref="B3:B66" si="0">YEAR(A3)</f>
        <v>2024</v>
      </c>
      <c r="C3" s="27">
        <f t="shared" ref="C3:C66" si="1">MONTH(A3)</f>
        <v>1</v>
      </c>
      <c r="D3" s="27">
        <f t="shared" ref="D3:D66" si="2">DAY(A3)</f>
        <v>2</v>
      </c>
      <c r="E3" s="27">
        <f t="shared" ref="E3:E66" si="3">WEEKDAY(A3)</f>
        <v>3</v>
      </c>
      <c r="F3" s="27">
        <f>VLOOKUP(E3,[2]t_calendarioPolitica!A:C,3,FALSE)</f>
        <v>1</v>
      </c>
      <c r="G3" s="1">
        <v>1</v>
      </c>
      <c r="H3" s="1">
        <v>1</v>
      </c>
      <c r="I3" s="1">
        <f t="shared" ref="I3:I66" si="4">IF(AND(F3&lt;&gt;0, H3&lt;&gt;0,G3&lt;&gt;0), 1, 0)</f>
        <v>1</v>
      </c>
    </row>
    <row r="4" spans="1:9" x14ac:dyDescent="0.25">
      <c r="A4" s="26">
        <v>45294</v>
      </c>
      <c r="B4" s="27">
        <f t="shared" si="0"/>
        <v>2024</v>
      </c>
      <c r="C4" s="27">
        <f t="shared" si="1"/>
        <v>1</v>
      </c>
      <c r="D4" s="27">
        <f t="shared" si="2"/>
        <v>3</v>
      </c>
      <c r="E4" s="27">
        <f t="shared" si="3"/>
        <v>4</v>
      </c>
      <c r="F4" s="27">
        <f>VLOOKUP(E4,[2]t_calendarioPolitica!A:C,3,FALSE)</f>
        <v>1</v>
      </c>
      <c r="G4" s="1">
        <v>1</v>
      </c>
      <c r="H4" s="1">
        <v>1</v>
      </c>
      <c r="I4" s="1">
        <f t="shared" si="4"/>
        <v>1</v>
      </c>
    </row>
    <row r="5" spans="1:9" x14ac:dyDescent="0.25">
      <c r="A5" s="26">
        <v>45295</v>
      </c>
      <c r="B5" s="27">
        <f t="shared" si="0"/>
        <v>2024</v>
      </c>
      <c r="C5" s="27">
        <f t="shared" si="1"/>
        <v>1</v>
      </c>
      <c r="D5" s="27">
        <f t="shared" si="2"/>
        <v>4</v>
      </c>
      <c r="E5" s="27">
        <f t="shared" si="3"/>
        <v>5</v>
      </c>
      <c r="F5" s="27">
        <f>VLOOKUP(E5,[2]t_calendarioPolitica!A:C,3,FALSE)</f>
        <v>1</v>
      </c>
      <c r="G5" s="1">
        <v>1</v>
      </c>
      <c r="H5" s="1">
        <v>1</v>
      </c>
      <c r="I5" s="1">
        <f t="shared" si="4"/>
        <v>1</v>
      </c>
    </row>
    <row r="6" spans="1:9" x14ac:dyDescent="0.25">
      <c r="A6" s="26">
        <v>45296</v>
      </c>
      <c r="B6" s="27">
        <f t="shared" si="0"/>
        <v>2024</v>
      </c>
      <c r="C6" s="27">
        <f t="shared" si="1"/>
        <v>1</v>
      </c>
      <c r="D6" s="27">
        <f t="shared" si="2"/>
        <v>5</v>
      </c>
      <c r="E6" s="27">
        <f t="shared" si="3"/>
        <v>6</v>
      </c>
      <c r="F6" s="27">
        <f>VLOOKUP(E6,[2]t_calendarioPolitica!A:C,3,FALSE)</f>
        <v>1</v>
      </c>
      <c r="G6" s="1">
        <v>1</v>
      </c>
      <c r="H6" s="1">
        <v>1</v>
      </c>
      <c r="I6" s="1">
        <f t="shared" si="4"/>
        <v>1</v>
      </c>
    </row>
    <row r="7" spans="1:9" x14ac:dyDescent="0.25">
      <c r="A7" s="26">
        <v>45297</v>
      </c>
      <c r="B7" s="27">
        <f t="shared" si="0"/>
        <v>2024</v>
      </c>
      <c r="C7" s="27">
        <f t="shared" si="1"/>
        <v>1</v>
      </c>
      <c r="D7" s="27">
        <f t="shared" si="2"/>
        <v>6</v>
      </c>
      <c r="E7" s="27">
        <f t="shared" si="3"/>
        <v>7</v>
      </c>
      <c r="F7" s="27">
        <f>VLOOKUP(E7,[2]t_calendarioPolitica!A:C,3,FALSE)</f>
        <v>2</v>
      </c>
      <c r="G7" s="1">
        <v>1</v>
      </c>
      <c r="H7" s="1">
        <v>1</v>
      </c>
      <c r="I7" s="1">
        <f t="shared" si="4"/>
        <v>1</v>
      </c>
    </row>
    <row r="8" spans="1:9" x14ac:dyDescent="0.25">
      <c r="A8" s="26">
        <v>45298</v>
      </c>
      <c r="B8" s="27">
        <f t="shared" si="0"/>
        <v>2024</v>
      </c>
      <c r="C8" s="27">
        <f t="shared" si="1"/>
        <v>1</v>
      </c>
      <c r="D8" s="27">
        <f t="shared" si="2"/>
        <v>7</v>
      </c>
      <c r="E8" s="27">
        <f t="shared" si="3"/>
        <v>1</v>
      </c>
      <c r="F8" s="27">
        <f>VLOOKUP(E8,[2]t_calendarioPolitica!A:C,3,FALSE)</f>
        <v>0</v>
      </c>
      <c r="G8" s="1">
        <v>1</v>
      </c>
      <c r="H8" s="1">
        <v>1</v>
      </c>
      <c r="I8" s="1">
        <f t="shared" si="4"/>
        <v>0</v>
      </c>
    </row>
    <row r="9" spans="1:9" x14ac:dyDescent="0.25">
      <c r="A9" s="26">
        <v>45299</v>
      </c>
      <c r="B9" s="27">
        <f t="shared" si="0"/>
        <v>2024</v>
      </c>
      <c r="C9" s="27">
        <f t="shared" si="1"/>
        <v>1</v>
      </c>
      <c r="D9" s="27">
        <f t="shared" si="2"/>
        <v>8</v>
      </c>
      <c r="E9" s="27">
        <f t="shared" si="3"/>
        <v>2</v>
      </c>
      <c r="F9" s="27">
        <f>VLOOKUP(E9,[2]t_calendarioPolitica!A:C,3,FALSE)</f>
        <v>1</v>
      </c>
      <c r="G9" s="1">
        <v>1</v>
      </c>
      <c r="H9" s="1">
        <v>1</v>
      </c>
      <c r="I9" s="1">
        <f t="shared" si="4"/>
        <v>1</v>
      </c>
    </row>
    <row r="10" spans="1:9" x14ac:dyDescent="0.25">
      <c r="A10" s="26">
        <v>45300</v>
      </c>
      <c r="B10" s="27">
        <f t="shared" si="0"/>
        <v>2024</v>
      </c>
      <c r="C10" s="27">
        <f t="shared" si="1"/>
        <v>1</v>
      </c>
      <c r="D10" s="27">
        <f t="shared" si="2"/>
        <v>9</v>
      </c>
      <c r="E10" s="27">
        <f t="shared" si="3"/>
        <v>3</v>
      </c>
      <c r="F10" s="27">
        <f>VLOOKUP(E10,[2]t_calendarioPolitica!A:C,3,FALSE)</f>
        <v>1</v>
      </c>
      <c r="G10" s="1">
        <v>1</v>
      </c>
      <c r="H10" s="1">
        <v>1</v>
      </c>
      <c r="I10" s="1">
        <f t="shared" si="4"/>
        <v>1</v>
      </c>
    </row>
    <row r="11" spans="1:9" x14ac:dyDescent="0.25">
      <c r="A11" s="26">
        <v>45301</v>
      </c>
      <c r="B11" s="27">
        <f t="shared" si="0"/>
        <v>2024</v>
      </c>
      <c r="C11" s="27">
        <f t="shared" si="1"/>
        <v>1</v>
      </c>
      <c r="D11" s="27">
        <f t="shared" si="2"/>
        <v>10</v>
      </c>
      <c r="E11" s="27">
        <f t="shared" si="3"/>
        <v>4</v>
      </c>
      <c r="F11" s="27">
        <f>VLOOKUP(E11,[2]t_calendarioPolitica!A:C,3,FALSE)</f>
        <v>1</v>
      </c>
      <c r="G11" s="1">
        <v>1</v>
      </c>
      <c r="H11" s="1">
        <v>1</v>
      </c>
      <c r="I11" s="1">
        <f t="shared" si="4"/>
        <v>1</v>
      </c>
    </row>
    <row r="12" spans="1:9" x14ac:dyDescent="0.25">
      <c r="A12" s="26">
        <v>45302</v>
      </c>
      <c r="B12" s="27">
        <f t="shared" si="0"/>
        <v>2024</v>
      </c>
      <c r="C12" s="27">
        <f t="shared" si="1"/>
        <v>1</v>
      </c>
      <c r="D12" s="27">
        <f t="shared" si="2"/>
        <v>11</v>
      </c>
      <c r="E12" s="27">
        <f t="shared" si="3"/>
        <v>5</v>
      </c>
      <c r="F12" s="27">
        <f>VLOOKUP(E12,[2]t_calendarioPolitica!A:C,3,FALSE)</f>
        <v>1</v>
      </c>
      <c r="G12" s="1">
        <v>1</v>
      </c>
      <c r="H12" s="1">
        <v>1</v>
      </c>
      <c r="I12" s="1">
        <f t="shared" si="4"/>
        <v>1</v>
      </c>
    </row>
    <row r="13" spans="1:9" x14ac:dyDescent="0.25">
      <c r="A13" s="26">
        <v>45303</v>
      </c>
      <c r="B13" s="27">
        <f t="shared" si="0"/>
        <v>2024</v>
      </c>
      <c r="C13" s="27">
        <f t="shared" si="1"/>
        <v>1</v>
      </c>
      <c r="D13" s="27">
        <f t="shared" si="2"/>
        <v>12</v>
      </c>
      <c r="E13" s="27">
        <f t="shared" si="3"/>
        <v>6</v>
      </c>
      <c r="F13" s="27">
        <f>VLOOKUP(E13,[2]t_calendarioPolitica!A:C,3,FALSE)</f>
        <v>1</v>
      </c>
      <c r="G13" s="1">
        <v>1</v>
      </c>
      <c r="H13" s="1">
        <v>1</v>
      </c>
      <c r="I13" s="1">
        <f t="shared" si="4"/>
        <v>1</v>
      </c>
    </row>
    <row r="14" spans="1:9" x14ac:dyDescent="0.25">
      <c r="A14" s="26">
        <v>45304</v>
      </c>
      <c r="B14" s="27">
        <f t="shared" si="0"/>
        <v>2024</v>
      </c>
      <c r="C14" s="27">
        <f t="shared" si="1"/>
        <v>1</v>
      </c>
      <c r="D14" s="27">
        <f t="shared" si="2"/>
        <v>13</v>
      </c>
      <c r="E14" s="27">
        <f t="shared" si="3"/>
        <v>7</v>
      </c>
      <c r="F14" s="27">
        <f>VLOOKUP(E14,[2]t_calendarioPolitica!A:C,3,FALSE)</f>
        <v>2</v>
      </c>
      <c r="G14" s="1">
        <v>1</v>
      </c>
      <c r="H14" s="1">
        <v>1</v>
      </c>
      <c r="I14" s="1">
        <f t="shared" si="4"/>
        <v>1</v>
      </c>
    </row>
    <row r="15" spans="1:9" x14ac:dyDescent="0.25">
      <c r="A15" s="26">
        <v>45305</v>
      </c>
      <c r="B15" s="27">
        <f t="shared" si="0"/>
        <v>2024</v>
      </c>
      <c r="C15" s="27">
        <f t="shared" si="1"/>
        <v>1</v>
      </c>
      <c r="D15" s="27">
        <f t="shared" si="2"/>
        <v>14</v>
      </c>
      <c r="E15" s="27">
        <f t="shared" si="3"/>
        <v>1</v>
      </c>
      <c r="F15" s="27">
        <f>VLOOKUP(E15,[2]t_calendarioPolitica!A:C,3,FALSE)</f>
        <v>0</v>
      </c>
      <c r="G15" s="1">
        <v>1</v>
      </c>
      <c r="H15" s="1">
        <v>1</v>
      </c>
      <c r="I15" s="1">
        <f t="shared" si="4"/>
        <v>0</v>
      </c>
    </row>
    <row r="16" spans="1:9" x14ac:dyDescent="0.25">
      <c r="A16" s="26">
        <v>45306</v>
      </c>
      <c r="B16" s="27">
        <f t="shared" si="0"/>
        <v>2024</v>
      </c>
      <c r="C16" s="27">
        <f t="shared" si="1"/>
        <v>1</v>
      </c>
      <c r="D16" s="27">
        <f t="shared" si="2"/>
        <v>15</v>
      </c>
      <c r="E16" s="27">
        <f t="shared" si="3"/>
        <v>2</v>
      </c>
      <c r="F16" s="27">
        <f>VLOOKUP(E16,[2]t_calendarioPolitica!A:C,3,FALSE)</f>
        <v>1</v>
      </c>
      <c r="G16" s="1">
        <v>1</v>
      </c>
      <c r="H16" s="1">
        <v>1</v>
      </c>
      <c r="I16" s="1">
        <f t="shared" si="4"/>
        <v>1</v>
      </c>
    </row>
    <row r="17" spans="1:9" x14ac:dyDescent="0.25">
      <c r="A17" s="26">
        <v>45307</v>
      </c>
      <c r="B17" s="27">
        <f t="shared" si="0"/>
        <v>2024</v>
      </c>
      <c r="C17" s="27">
        <f t="shared" si="1"/>
        <v>1</v>
      </c>
      <c r="D17" s="27">
        <f t="shared" si="2"/>
        <v>16</v>
      </c>
      <c r="E17" s="27">
        <f t="shared" si="3"/>
        <v>3</v>
      </c>
      <c r="F17" s="27">
        <f>VLOOKUP(E17,[2]t_calendarioPolitica!A:C,3,FALSE)</f>
        <v>1</v>
      </c>
      <c r="G17" s="1">
        <v>1</v>
      </c>
      <c r="H17" s="1">
        <v>1</v>
      </c>
      <c r="I17" s="1">
        <f t="shared" si="4"/>
        <v>1</v>
      </c>
    </row>
    <row r="18" spans="1:9" x14ac:dyDescent="0.25">
      <c r="A18" s="26">
        <v>45308</v>
      </c>
      <c r="B18" s="27">
        <f t="shared" si="0"/>
        <v>2024</v>
      </c>
      <c r="C18" s="27">
        <f t="shared" si="1"/>
        <v>1</v>
      </c>
      <c r="D18" s="27">
        <f t="shared" si="2"/>
        <v>17</v>
      </c>
      <c r="E18" s="27">
        <f t="shared" si="3"/>
        <v>4</v>
      </c>
      <c r="F18" s="27">
        <f>VLOOKUP(E18,[2]t_calendarioPolitica!A:C,3,FALSE)</f>
        <v>1</v>
      </c>
      <c r="G18" s="1">
        <v>1</v>
      </c>
      <c r="H18" s="1">
        <v>1</v>
      </c>
      <c r="I18" s="1">
        <f t="shared" si="4"/>
        <v>1</v>
      </c>
    </row>
    <row r="19" spans="1:9" x14ac:dyDescent="0.25">
      <c r="A19" s="26">
        <v>45309</v>
      </c>
      <c r="B19" s="27">
        <f t="shared" si="0"/>
        <v>2024</v>
      </c>
      <c r="C19" s="27">
        <f t="shared" si="1"/>
        <v>1</v>
      </c>
      <c r="D19" s="27">
        <f t="shared" si="2"/>
        <v>18</v>
      </c>
      <c r="E19" s="27">
        <f t="shared" si="3"/>
        <v>5</v>
      </c>
      <c r="F19" s="27">
        <f>VLOOKUP(E19,[2]t_calendarioPolitica!A:C,3,FALSE)</f>
        <v>1</v>
      </c>
      <c r="G19" s="1">
        <v>1</v>
      </c>
      <c r="H19" s="1">
        <v>1</v>
      </c>
      <c r="I19" s="1">
        <f t="shared" si="4"/>
        <v>1</v>
      </c>
    </row>
    <row r="20" spans="1:9" x14ac:dyDescent="0.25">
      <c r="A20" s="26">
        <v>45310</v>
      </c>
      <c r="B20" s="27">
        <f t="shared" si="0"/>
        <v>2024</v>
      </c>
      <c r="C20" s="27">
        <f t="shared" si="1"/>
        <v>1</v>
      </c>
      <c r="D20" s="27">
        <f t="shared" si="2"/>
        <v>19</v>
      </c>
      <c r="E20" s="27">
        <f t="shared" si="3"/>
        <v>6</v>
      </c>
      <c r="F20" s="27">
        <f>VLOOKUP(E20,[2]t_calendarioPolitica!A:C,3,FALSE)</f>
        <v>1</v>
      </c>
      <c r="G20" s="1">
        <v>1</v>
      </c>
      <c r="H20" s="1">
        <v>1</v>
      </c>
      <c r="I20" s="1">
        <f t="shared" si="4"/>
        <v>1</v>
      </c>
    </row>
    <row r="21" spans="1:9" x14ac:dyDescent="0.25">
      <c r="A21" s="26">
        <v>45311</v>
      </c>
      <c r="B21" s="27">
        <f t="shared" si="0"/>
        <v>2024</v>
      </c>
      <c r="C21" s="27">
        <f t="shared" si="1"/>
        <v>1</v>
      </c>
      <c r="D21" s="27">
        <f t="shared" si="2"/>
        <v>20</v>
      </c>
      <c r="E21" s="27">
        <f t="shared" si="3"/>
        <v>7</v>
      </c>
      <c r="F21" s="27">
        <f>VLOOKUP(E21,[2]t_calendarioPolitica!A:C,3,FALSE)</f>
        <v>2</v>
      </c>
      <c r="G21" s="1">
        <v>1</v>
      </c>
      <c r="H21" s="1">
        <v>1</v>
      </c>
      <c r="I21" s="1">
        <f t="shared" si="4"/>
        <v>1</v>
      </c>
    </row>
    <row r="22" spans="1:9" x14ac:dyDescent="0.25">
      <c r="A22" s="26">
        <v>45312</v>
      </c>
      <c r="B22" s="27">
        <f t="shared" si="0"/>
        <v>2024</v>
      </c>
      <c r="C22" s="27">
        <f t="shared" si="1"/>
        <v>1</v>
      </c>
      <c r="D22" s="27">
        <f t="shared" si="2"/>
        <v>21</v>
      </c>
      <c r="E22" s="27">
        <f t="shared" si="3"/>
        <v>1</v>
      </c>
      <c r="F22" s="27">
        <f>VLOOKUP(E22,[2]t_calendarioPolitica!A:C,3,FALSE)</f>
        <v>0</v>
      </c>
      <c r="G22" s="1">
        <v>1</v>
      </c>
      <c r="H22" s="1">
        <v>1</v>
      </c>
      <c r="I22" s="1">
        <f t="shared" si="4"/>
        <v>0</v>
      </c>
    </row>
    <row r="23" spans="1:9" x14ac:dyDescent="0.25">
      <c r="A23" s="26">
        <v>45313</v>
      </c>
      <c r="B23" s="27">
        <f t="shared" si="0"/>
        <v>2024</v>
      </c>
      <c r="C23" s="27">
        <f t="shared" si="1"/>
        <v>1</v>
      </c>
      <c r="D23" s="27">
        <f t="shared" si="2"/>
        <v>22</v>
      </c>
      <c r="E23" s="27">
        <f t="shared" si="3"/>
        <v>2</v>
      </c>
      <c r="F23" s="27">
        <f>VLOOKUP(E23,[2]t_calendarioPolitica!A:C,3,FALSE)</f>
        <v>1</v>
      </c>
      <c r="G23" s="1">
        <v>1</v>
      </c>
      <c r="H23" s="1">
        <v>1</v>
      </c>
      <c r="I23" s="1">
        <f t="shared" si="4"/>
        <v>1</v>
      </c>
    </row>
    <row r="24" spans="1:9" x14ac:dyDescent="0.25">
      <c r="A24" s="26">
        <v>45314</v>
      </c>
      <c r="B24" s="27">
        <f t="shared" si="0"/>
        <v>2024</v>
      </c>
      <c r="C24" s="27">
        <f t="shared" si="1"/>
        <v>1</v>
      </c>
      <c r="D24" s="27">
        <f t="shared" si="2"/>
        <v>23</v>
      </c>
      <c r="E24" s="27">
        <f t="shared" si="3"/>
        <v>3</v>
      </c>
      <c r="F24" s="27">
        <f>VLOOKUP(E24,[2]t_calendarioPolitica!A:C,3,FALSE)</f>
        <v>1</v>
      </c>
      <c r="G24" s="1">
        <v>1</v>
      </c>
      <c r="H24" s="1">
        <v>1</v>
      </c>
      <c r="I24" s="1">
        <f t="shared" si="4"/>
        <v>1</v>
      </c>
    </row>
    <row r="25" spans="1:9" x14ac:dyDescent="0.25">
      <c r="A25" s="26">
        <v>45315</v>
      </c>
      <c r="B25" s="27">
        <f t="shared" si="0"/>
        <v>2024</v>
      </c>
      <c r="C25" s="27">
        <f t="shared" si="1"/>
        <v>1</v>
      </c>
      <c r="D25" s="27">
        <f t="shared" si="2"/>
        <v>24</v>
      </c>
      <c r="E25" s="27">
        <f t="shared" si="3"/>
        <v>4</v>
      </c>
      <c r="F25" s="27">
        <f>VLOOKUP(E25,[2]t_calendarioPolitica!A:C,3,FALSE)</f>
        <v>1</v>
      </c>
      <c r="G25" s="1">
        <v>1</v>
      </c>
      <c r="H25" s="1">
        <v>1</v>
      </c>
      <c r="I25" s="1">
        <f t="shared" si="4"/>
        <v>1</v>
      </c>
    </row>
    <row r="26" spans="1:9" x14ac:dyDescent="0.25">
      <c r="A26" s="26">
        <v>45316</v>
      </c>
      <c r="B26" s="27">
        <f t="shared" si="0"/>
        <v>2024</v>
      </c>
      <c r="C26" s="27">
        <f t="shared" si="1"/>
        <v>1</v>
      </c>
      <c r="D26" s="27">
        <f t="shared" si="2"/>
        <v>25</v>
      </c>
      <c r="E26" s="27">
        <f t="shared" si="3"/>
        <v>5</v>
      </c>
      <c r="F26" s="27">
        <f>VLOOKUP(E26,[2]t_calendarioPolitica!A:C,3,FALSE)</f>
        <v>1</v>
      </c>
      <c r="G26" s="1">
        <v>1</v>
      </c>
      <c r="H26" s="1">
        <v>1</v>
      </c>
      <c r="I26" s="1">
        <f t="shared" si="4"/>
        <v>1</v>
      </c>
    </row>
    <row r="27" spans="1:9" x14ac:dyDescent="0.25">
      <c r="A27" s="26">
        <v>45317</v>
      </c>
      <c r="B27" s="27">
        <f t="shared" si="0"/>
        <v>2024</v>
      </c>
      <c r="C27" s="27">
        <f t="shared" si="1"/>
        <v>1</v>
      </c>
      <c r="D27" s="27">
        <f t="shared" si="2"/>
        <v>26</v>
      </c>
      <c r="E27" s="27">
        <f t="shared" si="3"/>
        <v>6</v>
      </c>
      <c r="F27" s="27">
        <f>VLOOKUP(E27,[2]t_calendarioPolitica!A:C,3,FALSE)</f>
        <v>1</v>
      </c>
      <c r="G27" s="1">
        <v>1</v>
      </c>
      <c r="H27" s="1">
        <v>1</v>
      </c>
      <c r="I27" s="1">
        <f t="shared" si="4"/>
        <v>1</v>
      </c>
    </row>
    <row r="28" spans="1:9" x14ac:dyDescent="0.25">
      <c r="A28" s="26">
        <v>45318</v>
      </c>
      <c r="B28" s="27">
        <f t="shared" si="0"/>
        <v>2024</v>
      </c>
      <c r="C28" s="27">
        <f t="shared" si="1"/>
        <v>1</v>
      </c>
      <c r="D28" s="27">
        <f t="shared" si="2"/>
        <v>27</v>
      </c>
      <c r="E28" s="27">
        <f t="shared" si="3"/>
        <v>7</v>
      </c>
      <c r="F28" s="27">
        <f>VLOOKUP(E28,[2]t_calendarioPolitica!A:C,3,FALSE)</f>
        <v>2</v>
      </c>
      <c r="G28" s="1">
        <v>1</v>
      </c>
      <c r="H28" s="1">
        <v>1</v>
      </c>
      <c r="I28" s="1">
        <f t="shared" si="4"/>
        <v>1</v>
      </c>
    </row>
    <row r="29" spans="1:9" x14ac:dyDescent="0.25">
      <c r="A29" s="26">
        <v>45319</v>
      </c>
      <c r="B29" s="27">
        <f t="shared" si="0"/>
        <v>2024</v>
      </c>
      <c r="C29" s="27">
        <f t="shared" si="1"/>
        <v>1</v>
      </c>
      <c r="D29" s="27">
        <f t="shared" si="2"/>
        <v>28</v>
      </c>
      <c r="E29" s="27">
        <f t="shared" si="3"/>
        <v>1</v>
      </c>
      <c r="F29" s="27">
        <f>VLOOKUP(E29,[2]t_calendarioPolitica!A:C,3,FALSE)</f>
        <v>0</v>
      </c>
      <c r="G29" s="1">
        <v>1</v>
      </c>
      <c r="H29" s="1">
        <v>1</v>
      </c>
      <c r="I29" s="1">
        <f t="shared" si="4"/>
        <v>0</v>
      </c>
    </row>
    <row r="30" spans="1:9" x14ac:dyDescent="0.25">
      <c r="A30" s="26">
        <v>45320</v>
      </c>
      <c r="B30" s="27">
        <f t="shared" si="0"/>
        <v>2024</v>
      </c>
      <c r="C30" s="27">
        <f t="shared" si="1"/>
        <v>1</v>
      </c>
      <c r="D30" s="27">
        <f t="shared" si="2"/>
        <v>29</v>
      </c>
      <c r="E30" s="27">
        <f t="shared" si="3"/>
        <v>2</v>
      </c>
      <c r="F30" s="27">
        <f>VLOOKUP(E30,[2]t_calendarioPolitica!A:C,3,FALSE)</f>
        <v>1</v>
      </c>
      <c r="G30" s="1">
        <v>1</v>
      </c>
      <c r="H30" s="1">
        <v>1</v>
      </c>
      <c r="I30" s="1">
        <f t="shared" si="4"/>
        <v>1</v>
      </c>
    </row>
    <row r="31" spans="1:9" x14ac:dyDescent="0.25">
      <c r="A31" s="26">
        <v>45321</v>
      </c>
      <c r="B31" s="27">
        <f t="shared" si="0"/>
        <v>2024</v>
      </c>
      <c r="C31" s="27">
        <f t="shared" si="1"/>
        <v>1</v>
      </c>
      <c r="D31" s="27">
        <f t="shared" si="2"/>
        <v>30</v>
      </c>
      <c r="E31" s="27">
        <f t="shared" si="3"/>
        <v>3</v>
      </c>
      <c r="F31" s="27">
        <f>VLOOKUP(E31,[2]t_calendarioPolitica!A:C,3,FALSE)</f>
        <v>1</v>
      </c>
      <c r="G31" s="1">
        <v>1</v>
      </c>
      <c r="H31" s="1">
        <v>1</v>
      </c>
      <c r="I31" s="1">
        <f t="shared" si="4"/>
        <v>1</v>
      </c>
    </row>
    <row r="32" spans="1:9" x14ac:dyDescent="0.25">
      <c r="A32" s="26">
        <v>45322</v>
      </c>
      <c r="B32" s="27">
        <f t="shared" si="0"/>
        <v>2024</v>
      </c>
      <c r="C32" s="27">
        <f t="shared" si="1"/>
        <v>1</v>
      </c>
      <c r="D32" s="27">
        <f t="shared" si="2"/>
        <v>31</v>
      </c>
      <c r="E32" s="27">
        <f t="shared" si="3"/>
        <v>4</v>
      </c>
      <c r="F32" s="27">
        <f>VLOOKUP(E32,[2]t_calendarioPolitica!A:C,3,FALSE)</f>
        <v>1</v>
      </c>
      <c r="G32" s="1">
        <v>1</v>
      </c>
      <c r="H32" s="1">
        <v>1</v>
      </c>
      <c r="I32" s="1">
        <f t="shared" si="4"/>
        <v>1</v>
      </c>
    </row>
    <row r="33" spans="1:9" x14ac:dyDescent="0.25">
      <c r="A33" s="26">
        <v>45323</v>
      </c>
      <c r="B33" s="27">
        <f t="shared" si="0"/>
        <v>2024</v>
      </c>
      <c r="C33" s="27">
        <f t="shared" si="1"/>
        <v>2</v>
      </c>
      <c r="D33" s="27">
        <f t="shared" si="2"/>
        <v>1</v>
      </c>
      <c r="E33" s="27">
        <f t="shared" si="3"/>
        <v>5</v>
      </c>
      <c r="F33" s="27">
        <f>VLOOKUP(E33,[2]t_calendarioPolitica!A:C,3,FALSE)</f>
        <v>1</v>
      </c>
      <c r="G33" s="1">
        <v>1</v>
      </c>
      <c r="H33" s="1">
        <v>1</v>
      </c>
      <c r="I33" s="1">
        <f t="shared" si="4"/>
        <v>1</v>
      </c>
    </row>
    <row r="34" spans="1:9" x14ac:dyDescent="0.25">
      <c r="A34" s="26">
        <v>45324</v>
      </c>
      <c r="B34" s="27">
        <f t="shared" si="0"/>
        <v>2024</v>
      </c>
      <c r="C34" s="27">
        <f t="shared" si="1"/>
        <v>2</v>
      </c>
      <c r="D34" s="27">
        <f t="shared" si="2"/>
        <v>2</v>
      </c>
      <c r="E34" s="27">
        <f t="shared" si="3"/>
        <v>6</v>
      </c>
      <c r="F34" s="27">
        <f>VLOOKUP(E34,[2]t_calendarioPolitica!A:C,3,FALSE)</f>
        <v>1</v>
      </c>
      <c r="G34" s="1">
        <v>1</v>
      </c>
      <c r="H34" s="1">
        <v>1</v>
      </c>
      <c r="I34" s="1">
        <f t="shared" si="4"/>
        <v>1</v>
      </c>
    </row>
    <row r="35" spans="1:9" x14ac:dyDescent="0.25">
      <c r="A35" s="26">
        <v>45325</v>
      </c>
      <c r="B35" s="27">
        <f t="shared" si="0"/>
        <v>2024</v>
      </c>
      <c r="C35" s="27">
        <f t="shared" si="1"/>
        <v>2</v>
      </c>
      <c r="D35" s="27">
        <f t="shared" si="2"/>
        <v>3</v>
      </c>
      <c r="E35" s="27">
        <f t="shared" si="3"/>
        <v>7</v>
      </c>
      <c r="F35" s="27">
        <f>VLOOKUP(E35,[2]t_calendarioPolitica!A:C,3,FALSE)</f>
        <v>2</v>
      </c>
      <c r="G35" s="1">
        <v>1</v>
      </c>
      <c r="H35" s="1">
        <v>1</v>
      </c>
      <c r="I35" s="1">
        <f t="shared" si="4"/>
        <v>1</v>
      </c>
    </row>
    <row r="36" spans="1:9" x14ac:dyDescent="0.25">
      <c r="A36" s="26">
        <v>45326</v>
      </c>
      <c r="B36" s="27">
        <f t="shared" si="0"/>
        <v>2024</v>
      </c>
      <c r="C36" s="27">
        <f t="shared" si="1"/>
        <v>2</v>
      </c>
      <c r="D36" s="27">
        <f t="shared" si="2"/>
        <v>4</v>
      </c>
      <c r="E36" s="27">
        <f t="shared" si="3"/>
        <v>1</v>
      </c>
      <c r="F36" s="27">
        <f>VLOOKUP(E36,[2]t_calendarioPolitica!A:C,3,FALSE)</f>
        <v>0</v>
      </c>
      <c r="G36" s="1">
        <v>1</v>
      </c>
      <c r="H36" s="1">
        <v>1</v>
      </c>
      <c r="I36" s="1">
        <f t="shared" si="4"/>
        <v>0</v>
      </c>
    </row>
    <row r="37" spans="1:9" x14ac:dyDescent="0.25">
      <c r="A37" s="26">
        <v>45327</v>
      </c>
      <c r="B37" s="27">
        <f t="shared" si="0"/>
        <v>2024</v>
      </c>
      <c r="C37" s="27">
        <f t="shared" si="1"/>
        <v>2</v>
      </c>
      <c r="D37" s="27">
        <f t="shared" si="2"/>
        <v>5</v>
      </c>
      <c r="E37" s="27">
        <f t="shared" si="3"/>
        <v>2</v>
      </c>
      <c r="F37" s="27">
        <f>VLOOKUP(E37,[2]t_calendarioPolitica!A:C,3,FALSE)</f>
        <v>1</v>
      </c>
      <c r="G37" s="1">
        <v>1</v>
      </c>
      <c r="H37" s="1">
        <v>1</v>
      </c>
      <c r="I37" s="1">
        <f t="shared" si="4"/>
        <v>1</v>
      </c>
    </row>
    <row r="38" spans="1:9" x14ac:dyDescent="0.25">
      <c r="A38" s="26">
        <v>45328</v>
      </c>
      <c r="B38" s="27">
        <f t="shared" si="0"/>
        <v>2024</v>
      </c>
      <c r="C38" s="27">
        <f t="shared" si="1"/>
        <v>2</v>
      </c>
      <c r="D38" s="27">
        <f t="shared" si="2"/>
        <v>6</v>
      </c>
      <c r="E38" s="27">
        <f t="shared" si="3"/>
        <v>3</v>
      </c>
      <c r="F38" s="27">
        <f>VLOOKUP(E38,[2]t_calendarioPolitica!A:C,3,FALSE)</f>
        <v>1</v>
      </c>
      <c r="G38" s="1">
        <v>1</v>
      </c>
      <c r="H38" s="1">
        <v>1</v>
      </c>
      <c r="I38" s="1">
        <f t="shared" si="4"/>
        <v>1</v>
      </c>
    </row>
    <row r="39" spans="1:9" x14ac:dyDescent="0.25">
      <c r="A39" s="26">
        <v>45329</v>
      </c>
      <c r="B39" s="27">
        <f t="shared" si="0"/>
        <v>2024</v>
      </c>
      <c r="C39" s="27">
        <f t="shared" si="1"/>
        <v>2</v>
      </c>
      <c r="D39" s="27">
        <f t="shared" si="2"/>
        <v>7</v>
      </c>
      <c r="E39" s="27">
        <f t="shared" si="3"/>
        <v>4</v>
      </c>
      <c r="F39" s="27">
        <f>VLOOKUP(E39,[2]t_calendarioPolitica!A:C,3,FALSE)</f>
        <v>1</v>
      </c>
      <c r="G39" s="1">
        <v>1</v>
      </c>
      <c r="H39" s="1">
        <v>1</v>
      </c>
      <c r="I39" s="1">
        <f t="shared" si="4"/>
        <v>1</v>
      </c>
    </row>
    <row r="40" spans="1:9" x14ac:dyDescent="0.25">
      <c r="A40" s="26">
        <v>45330</v>
      </c>
      <c r="B40" s="27">
        <f t="shared" si="0"/>
        <v>2024</v>
      </c>
      <c r="C40" s="27">
        <f t="shared" si="1"/>
        <v>2</v>
      </c>
      <c r="D40" s="27">
        <f t="shared" si="2"/>
        <v>8</v>
      </c>
      <c r="E40" s="27">
        <f t="shared" si="3"/>
        <v>5</v>
      </c>
      <c r="F40" s="27">
        <f>VLOOKUP(E40,[2]t_calendarioPolitica!A:C,3,FALSE)</f>
        <v>1</v>
      </c>
      <c r="G40" s="1">
        <v>1</v>
      </c>
      <c r="H40" s="1">
        <v>1</v>
      </c>
      <c r="I40" s="1">
        <f t="shared" si="4"/>
        <v>1</v>
      </c>
    </row>
    <row r="41" spans="1:9" x14ac:dyDescent="0.25">
      <c r="A41" s="26">
        <v>45331</v>
      </c>
      <c r="B41" s="27">
        <f t="shared" si="0"/>
        <v>2024</v>
      </c>
      <c r="C41" s="27">
        <f t="shared" si="1"/>
        <v>2</v>
      </c>
      <c r="D41" s="27">
        <f t="shared" si="2"/>
        <v>9</v>
      </c>
      <c r="E41" s="27">
        <f t="shared" si="3"/>
        <v>6</v>
      </c>
      <c r="F41" s="27">
        <f>VLOOKUP(E41,[2]t_calendarioPolitica!A:C,3,FALSE)</f>
        <v>1</v>
      </c>
      <c r="G41" s="1">
        <v>1</v>
      </c>
      <c r="H41" s="1">
        <v>1</v>
      </c>
      <c r="I41" s="1">
        <f t="shared" si="4"/>
        <v>1</v>
      </c>
    </row>
    <row r="42" spans="1:9" x14ac:dyDescent="0.25">
      <c r="A42" s="26">
        <v>45332</v>
      </c>
      <c r="B42" s="27">
        <f t="shared" si="0"/>
        <v>2024</v>
      </c>
      <c r="C42" s="27">
        <f t="shared" si="1"/>
        <v>2</v>
      </c>
      <c r="D42" s="27">
        <f t="shared" si="2"/>
        <v>10</v>
      </c>
      <c r="E42" s="27">
        <f t="shared" si="3"/>
        <v>7</v>
      </c>
      <c r="F42" s="27">
        <f>VLOOKUP(E42,[2]t_calendarioPolitica!A:C,3,FALSE)</f>
        <v>2</v>
      </c>
      <c r="G42" s="1">
        <v>1</v>
      </c>
      <c r="H42" s="1">
        <v>1</v>
      </c>
      <c r="I42" s="1">
        <f t="shared" si="4"/>
        <v>1</v>
      </c>
    </row>
    <row r="43" spans="1:9" x14ac:dyDescent="0.25">
      <c r="A43" s="26">
        <v>45333</v>
      </c>
      <c r="B43" s="27">
        <f t="shared" si="0"/>
        <v>2024</v>
      </c>
      <c r="C43" s="27">
        <f t="shared" si="1"/>
        <v>2</v>
      </c>
      <c r="D43" s="27">
        <f t="shared" si="2"/>
        <v>11</v>
      </c>
      <c r="E43" s="27">
        <f t="shared" si="3"/>
        <v>1</v>
      </c>
      <c r="F43" s="27">
        <f>VLOOKUP(E43,[2]t_calendarioPolitica!A:C,3,FALSE)</f>
        <v>0</v>
      </c>
      <c r="G43" s="1">
        <v>1</v>
      </c>
      <c r="H43" s="1">
        <v>1</v>
      </c>
      <c r="I43" s="1">
        <f t="shared" si="4"/>
        <v>0</v>
      </c>
    </row>
    <row r="44" spans="1:9" x14ac:dyDescent="0.25">
      <c r="A44" s="26">
        <v>45334</v>
      </c>
      <c r="B44" s="27">
        <f t="shared" si="0"/>
        <v>2024</v>
      </c>
      <c r="C44" s="27">
        <f t="shared" si="1"/>
        <v>2</v>
      </c>
      <c r="D44" s="27">
        <f t="shared" si="2"/>
        <v>12</v>
      </c>
      <c r="E44" s="27">
        <f t="shared" si="3"/>
        <v>2</v>
      </c>
      <c r="F44" s="27">
        <f>VLOOKUP(E44,[2]t_calendarioPolitica!A:C,3,FALSE)</f>
        <v>1</v>
      </c>
      <c r="G44" s="1">
        <v>1</v>
      </c>
      <c r="H44" s="1">
        <v>1</v>
      </c>
      <c r="I44" s="1">
        <f t="shared" si="4"/>
        <v>1</v>
      </c>
    </row>
    <row r="45" spans="1:9" x14ac:dyDescent="0.25">
      <c r="A45" s="26">
        <v>45335</v>
      </c>
      <c r="B45" s="27">
        <f t="shared" si="0"/>
        <v>2024</v>
      </c>
      <c r="C45" s="27">
        <f t="shared" si="1"/>
        <v>2</v>
      </c>
      <c r="D45" s="27">
        <f t="shared" si="2"/>
        <v>13</v>
      </c>
      <c r="E45" s="27">
        <f t="shared" si="3"/>
        <v>3</v>
      </c>
      <c r="F45" s="27">
        <f>VLOOKUP(E45,[2]t_calendarioPolitica!A:C,3,FALSE)</f>
        <v>1</v>
      </c>
      <c r="G45" s="1">
        <v>1</v>
      </c>
      <c r="H45" s="1">
        <v>1</v>
      </c>
      <c r="I45" s="1">
        <f t="shared" si="4"/>
        <v>1</v>
      </c>
    </row>
    <row r="46" spans="1:9" x14ac:dyDescent="0.25">
      <c r="A46" s="26">
        <v>45336</v>
      </c>
      <c r="B46" s="27">
        <f t="shared" si="0"/>
        <v>2024</v>
      </c>
      <c r="C46" s="27">
        <f t="shared" si="1"/>
        <v>2</v>
      </c>
      <c r="D46" s="27">
        <f t="shared" si="2"/>
        <v>14</v>
      </c>
      <c r="E46" s="27">
        <f t="shared" si="3"/>
        <v>4</v>
      </c>
      <c r="F46" s="27">
        <f>VLOOKUP(E46,[2]t_calendarioPolitica!A:C,3,FALSE)</f>
        <v>1</v>
      </c>
      <c r="G46" s="1">
        <v>1</v>
      </c>
      <c r="H46" s="1">
        <v>1</v>
      </c>
      <c r="I46" s="1">
        <f t="shared" si="4"/>
        <v>1</v>
      </c>
    </row>
    <row r="47" spans="1:9" x14ac:dyDescent="0.25">
      <c r="A47" s="26">
        <v>45337</v>
      </c>
      <c r="B47" s="27">
        <f t="shared" si="0"/>
        <v>2024</v>
      </c>
      <c r="C47" s="27">
        <f t="shared" si="1"/>
        <v>2</v>
      </c>
      <c r="D47" s="27">
        <f t="shared" si="2"/>
        <v>15</v>
      </c>
      <c r="E47" s="27">
        <f t="shared" si="3"/>
        <v>5</v>
      </c>
      <c r="F47" s="27">
        <f>VLOOKUP(E47,[2]t_calendarioPolitica!A:C,3,FALSE)</f>
        <v>1</v>
      </c>
      <c r="G47" s="1">
        <v>1</v>
      </c>
      <c r="H47" s="1">
        <v>1</v>
      </c>
      <c r="I47" s="1">
        <f t="shared" si="4"/>
        <v>1</v>
      </c>
    </row>
    <row r="48" spans="1:9" x14ac:dyDescent="0.25">
      <c r="A48" s="26">
        <v>45338</v>
      </c>
      <c r="B48" s="27">
        <f t="shared" si="0"/>
        <v>2024</v>
      </c>
      <c r="C48" s="27">
        <f t="shared" si="1"/>
        <v>2</v>
      </c>
      <c r="D48" s="27">
        <f t="shared" si="2"/>
        <v>16</v>
      </c>
      <c r="E48" s="27">
        <f t="shared" si="3"/>
        <v>6</v>
      </c>
      <c r="F48" s="27">
        <f>VLOOKUP(E48,[2]t_calendarioPolitica!A:C,3,FALSE)</f>
        <v>1</v>
      </c>
      <c r="G48" s="1">
        <v>1</v>
      </c>
      <c r="H48" s="1">
        <v>1</v>
      </c>
      <c r="I48" s="1">
        <f t="shared" si="4"/>
        <v>1</v>
      </c>
    </row>
    <row r="49" spans="1:9" x14ac:dyDescent="0.25">
      <c r="A49" s="26">
        <v>45339</v>
      </c>
      <c r="B49" s="27">
        <f t="shared" si="0"/>
        <v>2024</v>
      </c>
      <c r="C49" s="27">
        <f t="shared" si="1"/>
        <v>2</v>
      </c>
      <c r="D49" s="27">
        <f t="shared" si="2"/>
        <v>17</v>
      </c>
      <c r="E49" s="27">
        <f t="shared" si="3"/>
        <v>7</v>
      </c>
      <c r="F49" s="27">
        <f>VLOOKUP(E49,[2]t_calendarioPolitica!A:C,3,FALSE)</f>
        <v>2</v>
      </c>
      <c r="G49" s="1">
        <v>1</v>
      </c>
      <c r="H49" s="1">
        <v>1</v>
      </c>
      <c r="I49" s="1">
        <f t="shared" si="4"/>
        <v>1</v>
      </c>
    </row>
    <row r="50" spans="1:9" x14ac:dyDescent="0.25">
      <c r="A50" s="26">
        <v>45340</v>
      </c>
      <c r="B50" s="27">
        <f t="shared" si="0"/>
        <v>2024</v>
      </c>
      <c r="C50" s="27">
        <f t="shared" si="1"/>
        <v>2</v>
      </c>
      <c r="D50" s="27">
        <f t="shared" si="2"/>
        <v>18</v>
      </c>
      <c r="E50" s="27">
        <f t="shared" si="3"/>
        <v>1</v>
      </c>
      <c r="F50" s="27">
        <f>VLOOKUP(E50,[2]t_calendarioPolitica!A:C,3,FALSE)</f>
        <v>0</v>
      </c>
      <c r="G50" s="1">
        <v>1</v>
      </c>
      <c r="H50" s="1">
        <v>1</v>
      </c>
      <c r="I50" s="1">
        <f t="shared" si="4"/>
        <v>0</v>
      </c>
    </row>
    <row r="51" spans="1:9" x14ac:dyDescent="0.25">
      <c r="A51" s="26">
        <v>45341</v>
      </c>
      <c r="B51" s="27">
        <f t="shared" si="0"/>
        <v>2024</v>
      </c>
      <c r="C51" s="27">
        <f t="shared" si="1"/>
        <v>2</v>
      </c>
      <c r="D51" s="27">
        <f t="shared" si="2"/>
        <v>19</v>
      </c>
      <c r="E51" s="27">
        <f t="shared" si="3"/>
        <v>2</v>
      </c>
      <c r="F51" s="27">
        <f>VLOOKUP(E51,[2]t_calendarioPolitica!A:C,3,FALSE)</f>
        <v>1</v>
      </c>
      <c r="G51" s="1">
        <v>1</v>
      </c>
      <c r="H51" s="1">
        <v>1</v>
      </c>
      <c r="I51" s="1">
        <f t="shared" si="4"/>
        <v>1</v>
      </c>
    </row>
    <row r="52" spans="1:9" x14ac:dyDescent="0.25">
      <c r="A52" s="26">
        <v>45342</v>
      </c>
      <c r="B52" s="27">
        <f t="shared" si="0"/>
        <v>2024</v>
      </c>
      <c r="C52" s="27">
        <f t="shared" si="1"/>
        <v>2</v>
      </c>
      <c r="D52" s="27">
        <f t="shared" si="2"/>
        <v>20</v>
      </c>
      <c r="E52" s="27">
        <f t="shared" si="3"/>
        <v>3</v>
      </c>
      <c r="F52" s="27">
        <f>VLOOKUP(E52,[2]t_calendarioPolitica!A:C,3,FALSE)</f>
        <v>1</v>
      </c>
      <c r="G52" s="1">
        <v>1</v>
      </c>
      <c r="H52" s="1">
        <v>1</v>
      </c>
      <c r="I52" s="1">
        <f t="shared" si="4"/>
        <v>1</v>
      </c>
    </row>
    <row r="53" spans="1:9" x14ac:dyDescent="0.25">
      <c r="A53" s="26">
        <v>45343</v>
      </c>
      <c r="B53" s="27">
        <f t="shared" si="0"/>
        <v>2024</v>
      </c>
      <c r="C53" s="27">
        <f t="shared" si="1"/>
        <v>2</v>
      </c>
      <c r="D53" s="27">
        <f t="shared" si="2"/>
        <v>21</v>
      </c>
      <c r="E53" s="27">
        <f t="shared" si="3"/>
        <v>4</v>
      </c>
      <c r="F53" s="27">
        <f>VLOOKUP(E53,[2]t_calendarioPolitica!A:C,3,FALSE)</f>
        <v>1</v>
      </c>
      <c r="G53" s="1">
        <v>1</v>
      </c>
      <c r="H53" s="1">
        <v>1</v>
      </c>
      <c r="I53" s="1">
        <f t="shared" si="4"/>
        <v>1</v>
      </c>
    </row>
    <row r="54" spans="1:9" x14ac:dyDescent="0.25">
      <c r="A54" s="26">
        <v>45344</v>
      </c>
      <c r="B54" s="27">
        <f t="shared" si="0"/>
        <v>2024</v>
      </c>
      <c r="C54" s="27">
        <f t="shared" si="1"/>
        <v>2</v>
      </c>
      <c r="D54" s="27">
        <f t="shared" si="2"/>
        <v>22</v>
      </c>
      <c r="E54" s="27">
        <f t="shared" si="3"/>
        <v>5</v>
      </c>
      <c r="F54" s="27">
        <f>VLOOKUP(E54,[2]t_calendarioPolitica!A:C,3,FALSE)</f>
        <v>1</v>
      </c>
      <c r="G54" s="1">
        <v>1</v>
      </c>
      <c r="H54" s="1">
        <v>1</v>
      </c>
      <c r="I54" s="1">
        <f t="shared" si="4"/>
        <v>1</v>
      </c>
    </row>
    <row r="55" spans="1:9" x14ac:dyDescent="0.25">
      <c r="A55" s="26">
        <v>45345</v>
      </c>
      <c r="B55" s="27">
        <f t="shared" si="0"/>
        <v>2024</v>
      </c>
      <c r="C55" s="27">
        <f t="shared" si="1"/>
        <v>2</v>
      </c>
      <c r="D55" s="27">
        <f t="shared" si="2"/>
        <v>23</v>
      </c>
      <c r="E55" s="27">
        <f t="shared" si="3"/>
        <v>6</v>
      </c>
      <c r="F55" s="27">
        <f>VLOOKUP(E55,[2]t_calendarioPolitica!A:C,3,FALSE)</f>
        <v>1</v>
      </c>
      <c r="G55" s="1">
        <v>1</v>
      </c>
      <c r="H55" s="1">
        <v>1</v>
      </c>
      <c r="I55" s="1">
        <f t="shared" si="4"/>
        <v>1</v>
      </c>
    </row>
    <row r="56" spans="1:9" x14ac:dyDescent="0.25">
      <c r="A56" s="26">
        <v>45346</v>
      </c>
      <c r="B56" s="27">
        <f t="shared" si="0"/>
        <v>2024</v>
      </c>
      <c r="C56" s="27">
        <f t="shared" si="1"/>
        <v>2</v>
      </c>
      <c r="D56" s="27">
        <f t="shared" si="2"/>
        <v>24</v>
      </c>
      <c r="E56" s="27">
        <f t="shared" si="3"/>
        <v>7</v>
      </c>
      <c r="F56" s="27">
        <f>VLOOKUP(E56,[2]t_calendarioPolitica!A:C,3,FALSE)</f>
        <v>2</v>
      </c>
      <c r="G56" s="1">
        <v>1</v>
      </c>
      <c r="H56" s="1">
        <v>1</v>
      </c>
      <c r="I56" s="1">
        <f t="shared" si="4"/>
        <v>1</v>
      </c>
    </row>
    <row r="57" spans="1:9" x14ac:dyDescent="0.25">
      <c r="A57" s="26">
        <v>45347</v>
      </c>
      <c r="B57" s="27">
        <f t="shared" si="0"/>
        <v>2024</v>
      </c>
      <c r="C57" s="27">
        <f t="shared" si="1"/>
        <v>2</v>
      </c>
      <c r="D57" s="27">
        <f t="shared" si="2"/>
        <v>25</v>
      </c>
      <c r="E57" s="27">
        <f t="shared" si="3"/>
        <v>1</v>
      </c>
      <c r="F57" s="27">
        <f>VLOOKUP(E57,[2]t_calendarioPolitica!A:C,3,FALSE)</f>
        <v>0</v>
      </c>
      <c r="G57" s="1">
        <v>1</v>
      </c>
      <c r="H57" s="1">
        <v>1</v>
      </c>
      <c r="I57" s="1">
        <f t="shared" si="4"/>
        <v>0</v>
      </c>
    </row>
    <row r="58" spans="1:9" x14ac:dyDescent="0.25">
      <c r="A58" s="26">
        <v>45348</v>
      </c>
      <c r="B58" s="27">
        <f t="shared" si="0"/>
        <v>2024</v>
      </c>
      <c r="C58" s="27">
        <f t="shared" si="1"/>
        <v>2</v>
      </c>
      <c r="D58" s="27">
        <f t="shared" si="2"/>
        <v>26</v>
      </c>
      <c r="E58" s="27">
        <f t="shared" si="3"/>
        <v>2</v>
      </c>
      <c r="F58" s="27">
        <f>VLOOKUP(E58,[2]t_calendarioPolitica!A:C,3,FALSE)</f>
        <v>1</v>
      </c>
      <c r="G58" s="1">
        <v>1</v>
      </c>
      <c r="H58" s="1">
        <v>1</v>
      </c>
      <c r="I58" s="1">
        <f t="shared" si="4"/>
        <v>1</v>
      </c>
    </row>
    <row r="59" spans="1:9" x14ac:dyDescent="0.25">
      <c r="A59" s="26">
        <v>45349</v>
      </c>
      <c r="B59" s="27">
        <f t="shared" si="0"/>
        <v>2024</v>
      </c>
      <c r="C59" s="27">
        <f t="shared" si="1"/>
        <v>2</v>
      </c>
      <c r="D59" s="27">
        <f t="shared" si="2"/>
        <v>27</v>
      </c>
      <c r="E59" s="27">
        <f t="shared" si="3"/>
        <v>3</v>
      </c>
      <c r="F59" s="27">
        <f>VLOOKUP(E59,[2]t_calendarioPolitica!A:C,3,FALSE)</f>
        <v>1</v>
      </c>
      <c r="G59" s="1">
        <v>1</v>
      </c>
      <c r="H59" s="1">
        <v>1</v>
      </c>
      <c r="I59" s="1">
        <f t="shared" si="4"/>
        <v>1</v>
      </c>
    </row>
    <row r="60" spans="1:9" x14ac:dyDescent="0.25">
      <c r="A60" s="26">
        <v>45350</v>
      </c>
      <c r="B60" s="27">
        <f t="shared" si="0"/>
        <v>2024</v>
      </c>
      <c r="C60" s="27">
        <f t="shared" si="1"/>
        <v>2</v>
      </c>
      <c r="D60" s="27">
        <f t="shared" si="2"/>
        <v>28</v>
      </c>
      <c r="E60" s="27">
        <f t="shared" si="3"/>
        <v>4</v>
      </c>
      <c r="F60" s="27">
        <f>VLOOKUP(E60,[2]t_calendarioPolitica!A:C,3,FALSE)</f>
        <v>1</v>
      </c>
      <c r="G60" s="1">
        <v>1</v>
      </c>
      <c r="H60" s="1">
        <v>1</v>
      </c>
      <c r="I60" s="1">
        <f t="shared" si="4"/>
        <v>1</v>
      </c>
    </row>
    <row r="61" spans="1:9" x14ac:dyDescent="0.25">
      <c r="A61" s="26">
        <v>45351</v>
      </c>
      <c r="B61" s="27">
        <f t="shared" si="0"/>
        <v>2024</v>
      </c>
      <c r="C61" s="27">
        <f t="shared" si="1"/>
        <v>2</v>
      </c>
      <c r="D61" s="27">
        <f t="shared" si="2"/>
        <v>29</v>
      </c>
      <c r="E61" s="27">
        <f t="shared" si="3"/>
        <v>5</v>
      </c>
      <c r="F61" s="27">
        <f>VLOOKUP(E61,[2]t_calendarioPolitica!A:C,3,FALSE)</f>
        <v>1</v>
      </c>
      <c r="G61" s="1">
        <v>1</v>
      </c>
      <c r="H61" s="1">
        <v>1</v>
      </c>
      <c r="I61" s="1">
        <f t="shared" si="4"/>
        <v>1</v>
      </c>
    </row>
    <row r="62" spans="1:9" x14ac:dyDescent="0.25">
      <c r="A62" s="26">
        <v>45352</v>
      </c>
      <c r="B62" s="27">
        <f t="shared" si="0"/>
        <v>2024</v>
      </c>
      <c r="C62" s="27">
        <f t="shared" si="1"/>
        <v>3</v>
      </c>
      <c r="D62" s="27">
        <f t="shared" si="2"/>
        <v>1</v>
      </c>
      <c r="E62" s="27">
        <f t="shared" si="3"/>
        <v>6</v>
      </c>
      <c r="F62" s="27">
        <f>VLOOKUP(E62,[2]t_calendarioPolitica!A:C,3,FALSE)</f>
        <v>1</v>
      </c>
      <c r="G62" s="1">
        <v>1</v>
      </c>
      <c r="H62" s="1">
        <v>1</v>
      </c>
      <c r="I62" s="1">
        <f t="shared" si="4"/>
        <v>1</v>
      </c>
    </row>
    <row r="63" spans="1:9" x14ac:dyDescent="0.25">
      <c r="A63" s="26">
        <v>45353</v>
      </c>
      <c r="B63" s="27">
        <f t="shared" si="0"/>
        <v>2024</v>
      </c>
      <c r="C63" s="27">
        <f t="shared" si="1"/>
        <v>3</v>
      </c>
      <c r="D63" s="27">
        <f t="shared" si="2"/>
        <v>2</v>
      </c>
      <c r="E63" s="27">
        <f t="shared" si="3"/>
        <v>7</v>
      </c>
      <c r="F63" s="27">
        <f>VLOOKUP(E63,[2]t_calendarioPolitica!A:C,3,FALSE)</f>
        <v>2</v>
      </c>
      <c r="G63" s="1">
        <v>1</v>
      </c>
      <c r="H63" s="1">
        <v>1</v>
      </c>
      <c r="I63" s="1">
        <f t="shared" si="4"/>
        <v>1</v>
      </c>
    </row>
    <row r="64" spans="1:9" x14ac:dyDescent="0.25">
      <c r="A64" s="26">
        <v>45354</v>
      </c>
      <c r="B64" s="27">
        <f t="shared" si="0"/>
        <v>2024</v>
      </c>
      <c r="C64" s="27">
        <f t="shared" si="1"/>
        <v>3</v>
      </c>
      <c r="D64" s="27">
        <f t="shared" si="2"/>
        <v>3</v>
      </c>
      <c r="E64" s="27">
        <f t="shared" si="3"/>
        <v>1</v>
      </c>
      <c r="F64" s="27">
        <f>VLOOKUP(E64,[2]t_calendarioPolitica!A:C,3,FALSE)</f>
        <v>0</v>
      </c>
      <c r="G64" s="1">
        <v>1</v>
      </c>
      <c r="H64" s="1">
        <v>1</v>
      </c>
      <c r="I64" s="1">
        <f t="shared" si="4"/>
        <v>0</v>
      </c>
    </row>
    <row r="65" spans="1:9" x14ac:dyDescent="0.25">
      <c r="A65" s="26">
        <v>45355</v>
      </c>
      <c r="B65" s="27">
        <f t="shared" si="0"/>
        <v>2024</v>
      </c>
      <c r="C65" s="27">
        <f t="shared" si="1"/>
        <v>3</v>
      </c>
      <c r="D65" s="27">
        <f t="shared" si="2"/>
        <v>4</v>
      </c>
      <c r="E65" s="27">
        <f t="shared" si="3"/>
        <v>2</v>
      </c>
      <c r="F65" s="27">
        <f>VLOOKUP(E65,[2]t_calendarioPolitica!A:C,3,FALSE)</f>
        <v>1</v>
      </c>
      <c r="G65" s="1">
        <v>1</v>
      </c>
      <c r="H65" s="1">
        <v>1</v>
      </c>
      <c r="I65" s="1">
        <f t="shared" si="4"/>
        <v>1</v>
      </c>
    </row>
    <row r="66" spans="1:9" x14ac:dyDescent="0.25">
      <c r="A66" s="26">
        <v>45356</v>
      </c>
      <c r="B66" s="27">
        <f t="shared" si="0"/>
        <v>2024</v>
      </c>
      <c r="C66" s="27">
        <f t="shared" si="1"/>
        <v>3</v>
      </c>
      <c r="D66" s="27">
        <f t="shared" si="2"/>
        <v>5</v>
      </c>
      <c r="E66" s="27">
        <f t="shared" si="3"/>
        <v>3</v>
      </c>
      <c r="F66" s="27">
        <f>VLOOKUP(E66,[2]t_calendarioPolitica!A:C,3,FALSE)</f>
        <v>1</v>
      </c>
      <c r="G66" s="1">
        <v>1</v>
      </c>
      <c r="H66" s="1">
        <v>1</v>
      </c>
      <c r="I66" s="1">
        <f t="shared" si="4"/>
        <v>1</v>
      </c>
    </row>
    <row r="67" spans="1:9" x14ac:dyDescent="0.25">
      <c r="A67" s="26">
        <v>45357</v>
      </c>
      <c r="B67" s="27">
        <f t="shared" ref="B67:B130" si="5">YEAR(A67)</f>
        <v>2024</v>
      </c>
      <c r="C67" s="27">
        <f t="shared" ref="C67:C130" si="6">MONTH(A67)</f>
        <v>3</v>
      </c>
      <c r="D67" s="27">
        <f t="shared" ref="D67:D130" si="7">DAY(A67)</f>
        <v>6</v>
      </c>
      <c r="E67" s="27">
        <f t="shared" ref="E67:E130" si="8">WEEKDAY(A67)</f>
        <v>4</v>
      </c>
      <c r="F67" s="27">
        <f>VLOOKUP(E67,[2]t_calendarioPolitica!A:C,3,FALSE)</f>
        <v>1</v>
      </c>
      <c r="G67" s="1">
        <v>1</v>
      </c>
      <c r="H67" s="1">
        <v>1</v>
      </c>
      <c r="I67" s="1">
        <f t="shared" ref="I67:I130" si="9">IF(AND(F67&lt;&gt;0, H67&lt;&gt;0,G67&lt;&gt;0), 1, 0)</f>
        <v>1</v>
      </c>
    </row>
    <row r="68" spans="1:9" x14ac:dyDescent="0.25">
      <c r="A68" s="26">
        <v>45358</v>
      </c>
      <c r="B68" s="27">
        <f t="shared" si="5"/>
        <v>2024</v>
      </c>
      <c r="C68" s="27">
        <f t="shared" si="6"/>
        <v>3</v>
      </c>
      <c r="D68" s="27">
        <f t="shared" si="7"/>
        <v>7</v>
      </c>
      <c r="E68" s="27">
        <f t="shared" si="8"/>
        <v>5</v>
      </c>
      <c r="F68" s="27">
        <f>VLOOKUP(E68,[2]t_calendarioPolitica!A:C,3,FALSE)</f>
        <v>1</v>
      </c>
      <c r="G68" s="1">
        <v>1</v>
      </c>
      <c r="H68" s="1">
        <v>1</v>
      </c>
      <c r="I68" s="1">
        <f t="shared" si="9"/>
        <v>1</v>
      </c>
    </row>
    <row r="69" spans="1:9" x14ac:dyDescent="0.25">
      <c r="A69" s="26">
        <v>45359</v>
      </c>
      <c r="B69" s="27">
        <f t="shared" si="5"/>
        <v>2024</v>
      </c>
      <c r="C69" s="27">
        <f t="shared" si="6"/>
        <v>3</v>
      </c>
      <c r="D69" s="27">
        <f t="shared" si="7"/>
        <v>8</v>
      </c>
      <c r="E69" s="27">
        <f t="shared" si="8"/>
        <v>6</v>
      </c>
      <c r="F69" s="27">
        <f>VLOOKUP(E69,[2]t_calendarioPolitica!A:C,3,FALSE)</f>
        <v>1</v>
      </c>
      <c r="G69" s="1">
        <v>1</v>
      </c>
      <c r="H69" s="1">
        <v>1</v>
      </c>
      <c r="I69" s="1">
        <f t="shared" si="9"/>
        <v>1</v>
      </c>
    </row>
    <row r="70" spans="1:9" x14ac:dyDescent="0.25">
      <c r="A70" s="26">
        <v>45360</v>
      </c>
      <c r="B70" s="27">
        <f t="shared" si="5"/>
        <v>2024</v>
      </c>
      <c r="C70" s="27">
        <f t="shared" si="6"/>
        <v>3</v>
      </c>
      <c r="D70" s="27">
        <f t="shared" si="7"/>
        <v>9</v>
      </c>
      <c r="E70" s="27">
        <f t="shared" si="8"/>
        <v>7</v>
      </c>
      <c r="F70" s="27">
        <f>VLOOKUP(E70,[2]t_calendarioPolitica!A:C,3,FALSE)</f>
        <v>2</v>
      </c>
      <c r="G70" s="1">
        <v>1</v>
      </c>
      <c r="H70" s="1">
        <v>1</v>
      </c>
      <c r="I70" s="1">
        <f t="shared" si="9"/>
        <v>1</v>
      </c>
    </row>
    <row r="71" spans="1:9" x14ac:dyDescent="0.25">
      <c r="A71" s="26">
        <v>45361</v>
      </c>
      <c r="B71" s="27">
        <f t="shared" si="5"/>
        <v>2024</v>
      </c>
      <c r="C71" s="27">
        <f t="shared" si="6"/>
        <v>3</v>
      </c>
      <c r="D71" s="27">
        <f t="shared" si="7"/>
        <v>10</v>
      </c>
      <c r="E71" s="27">
        <f t="shared" si="8"/>
        <v>1</v>
      </c>
      <c r="F71" s="27">
        <f>VLOOKUP(E71,[2]t_calendarioPolitica!A:C,3,FALSE)</f>
        <v>0</v>
      </c>
      <c r="G71" s="1">
        <v>1</v>
      </c>
      <c r="H71" s="1">
        <v>1</v>
      </c>
      <c r="I71" s="1">
        <f t="shared" si="9"/>
        <v>0</v>
      </c>
    </row>
    <row r="72" spans="1:9" x14ac:dyDescent="0.25">
      <c r="A72" s="26">
        <v>45362</v>
      </c>
      <c r="B72" s="27">
        <f t="shared" si="5"/>
        <v>2024</v>
      </c>
      <c r="C72" s="27">
        <f t="shared" si="6"/>
        <v>3</v>
      </c>
      <c r="D72" s="27">
        <f t="shared" si="7"/>
        <v>11</v>
      </c>
      <c r="E72" s="27">
        <f t="shared" si="8"/>
        <v>2</v>
      </c>
      <c r="F72" s="27">
        <f>VLOOKUP(E72,[2]t_calendarioPolitica!A:C,3,FALSE)</f>
        <v>1</v>
      </c>
      <c r="G72" s="1">
        <v>1</v>
      </c>
      <c r="H72" s="1">
        <v>1</v>
      </c>
      <c r="I72" s="1">
        <f t="shared" si="9"/>
        <v>1</v>
      </c>
    </row>
    <row r="73" spans="1:9" x14ac:dyDescent="0.25">
      <c r="A73" s="26">
        <v>45363</v>
      </c>
      <c r="B73" s="27">
        <f t="shared" si="5"/>
        <v>2024</v>
      </c>
      <c r="C73" s="27">
        <f t="shared" si="6"/>
        <v>3</v>
      </c>
      <c r="D73" s="27">
        <f t="shared" si="7"/>
        <v>12</v>
      </c>
      <c r="E73" s="27">
        <f t="shared" si="8"/>
        <v>3</v>
      </c>
      <c r="F73" s="27">
        <f>VLOOKUP(E73,[2]t_calendarioPolitica!A:C,3,FALSE)</f>
        <v>1</v>
      </c>
      <c r="G73" s="1">
        <v>1</v>
      </c>
      <c r="H73" s="1">
        <v>1</v>
      </c>
      <c r="I73" s="1">
        <f t="shared" si="9"/>
        <v>1</v>
      </c>
    </row>
    <row r="74" spans="1:9" x14ac:dyDescent="0.25">
      <c r="A74" s="26">
        <v>45364</v>
      </c>
      <c r="B74" s="27">
        <f t="shared" si="5"/>
        <v>2024</v>
      </c>
      <c r="C74" s="27">
        <f t="shared" si="6"/>
        <v>3</v>
      </c>
      <c r="D74" s="27">
        <f t="shared" si="7"/>
        <v>13</v>
      </c>
      <c r="E74" s="27">
        <f t="shared" si="8"/>
        <v>4</v>
      </c>
      <c r="F74" s="27">
        <f>VLOOKUP(E74,[2]t_calendarioPolitica!A:C,3,FALSE)</f>
        <v>1</v>
      </c>
      <c r="G74" s="1">
        <v>1</v>
      </c>
      <c r="H74" s="1">
        <v>1</v>
      </c>
      <c r="I74" s="1">
        <f t="shared" si="9"/>
        <v>1</v>
      </c>
    </row>
    <row r="75" spans="1:9" x14ac:dyDescent="0.25">
      <c r="A75" s="26">
        <v>45365</v>
      </c>
      <c r="B75" s="27">
        <f t="shared" si="5"/>
        <v>2024</v>
      </c>
      <c r="C75" s="27">
        <f t="shared" si="6"/>
        <v>3</v>
      </c>
      <c r="D75" s="27">
        <f t="shared" si="7"/>
        <v>14</v>
      </c>
      <c r="E75" s="27">
        <f t="shared" si="8"/>
        <v>5</v>
      </c>
      <c r="F75" s="27">
        <f>VLOOKUP(E75,[2]t_calendarioPolitica!A:C,3,FALSE)</f>
        <v>1</v>
      </c>
      <c r="G75" s="1">
        <v>1</v>
      </c>
      <c r="H75" s="1">
        <v>1</v>
      </c>
      <c r="I75" s="1">
        <f t="shared" si="9"/>
        <v>1</v>
      </c>
    </row>
    <row r="76" spans="1:9" x14ac:dyDescent="0.25">
      <c r="A76" s="26">
        <v>45366</v>
      </c>
      <c r="B76" s="27">
        <f t="shared" si="5"/>
        <v>2024</v>
      </c>
      <c r="C76" s="27">
        <f t="shared" si="6"/>
        <v>3</v>
      </c>
      <c r="D76" s="27">
        <f t="shared" si="7"/>
        <v>15</v>
      </c>
      <c r="E76" s="27">
        <f t="shared" si="8"/>
        <v>6</v>
      </c>
      <c r="F76" s="27">
        <f>VLOOKUP(E76,[2]t_calendarioPolitica!A:C,3,FALSE)</f>
        <v>1</v>
      </c>
      <c r="G76" s="1">
        <v>1</v>
      </c>
      <c r="H76" s="1">
        <v>1</v>
      </c>
      <c r="I76" s="1">
        <f t="shared" si="9"/>
        <v>1</v>
      </c>
    </row>
    <row r="77" spans="1:9" x14ac:dyDescent="0.25">
      <c r="A77" s="26">
        <v>45367</v>
      </c>
      <c r="B77" s="27">
        <f t="shared" si="5"/>
        <v>2024</v>
      </c>
      <c r="C77" s="27">
        <f t="shared" si="6"/>
        <v>3</v>
      </c>
      <c r="D77" s="27">
        <f t="shared" si="7"/>
        <v>16</v>
      </c>
      <c r="E77" s="27">
        <f t="shared" si="8"/>
        <v>7</v>
      </c>
      <c r="F77" s="27">
        <f>VLOOKUP(E77,[2]t_calendarioPolitica!A:C,3,FALSE)</f>
        <v>2</v>
      </c>
      <c r="G77" s="1">
        <v>1</v>
      </c>
      <c r="H77" s="1">
        <v>1</v>
      </c>
      <c r="I77" s="1">
        <f t="shared" si="9"/>
        <v>1</v>
      </c>
    </row>
    <row r="78" spans="1:9" x14ac:dyDescent="0.25">
      <c r="A78" s="26">
        <v>45368</v>
      </c>
      <c r="B78" s="27">
        <f t="shared" si="5"/>
        <v>2024</v>
      </c>
      <c r="C78" s="27">
        <f t="shared" si="6"/>
        <v>3</v>
      </c>
      <c r="D78" s="27">
        <f t="shared" si="7"/>
        <v>17</v>
      </c>
      <c r="E78" s="27">
        <f t="shared" si="8"/>
        <v>1</v>
      </c>
      <c r="F78" s="27">
        <f>VLOOKUP(E78,[2]t_calendarioPolitica!A:C,3,FALSE)</f>
        <v>0</v>
      </c>
      <c r="G78" s="1">
        <v>1</v>
      </c>
      <c r="H78" s="1">
        <v>1</v>
      </c>
      <c r="I78" s="1">
        <f t="shared" si="9"/>
        <v>0</v>
      </c>
    </row>
    <row r="79" spans="1:9" x14ac:dyDescent="0.25">
      <c r="A79" s="26">
        <v>45369</v>
      </c>
      <c r="B79" s="27">
        <f t="shared" si="5"/>
        <v>2024</v>
      </c>
      <c r="C79" s="27">
        <f t="shared" si="6"/>
        <v>3</v>
      </c>
      <c r="D79" s="27">
        <f t="shared" si="7"/>
        <v>18</v>
      </c>
      <c r="E79" s="27">
        <f t="shared" si="8"/>
        <v>2</v>
      </c>
      <c r="F79" s="27">
        <f>VLOOKUP(E79,[2]t_calendarioPolitica!A:C,3,FALSE)</f>
        <v>1</v>
      </c>
      <c r="G79" s="1">
        <v>1</v>
      </c>
      <c r="H79" s="1">
        <v>1</v>
      </c>
      <c r="I79" s="1">
        <f t="shared" si="9"/>
        <v>1</v>
      </c>
    </row>
    <row r="80" spans="1:9" x14ac:dyDescent="0.25">
      <c r="A80" s="26">
        <v>45370</v>
      </c>
      <c r="B80" s="27">
        <f t="shared" si="5"/>
        <v>2024</v>
      </c>
      <c r="C80" s="27">
        <f t="shared" si="6"/>
        <v>3</v>
      </c>
      <c r="D80" s="27">
        <f t="shared" si="7"/>
        <v>19</v>
      </c>
      <c r="E80" s="27">
        <f t="shared" si="8"/>
        <v>3</v>
      </c>
      <c r="F80" s="27">
        <f>VLOOKUP(E80,[2]t_calendarioPolitica!A:C,3,FALSE)</f>
        <v>1</v>
      </c>
      <c r="G80" s="1">
        <v>1</v>
      </c>
      <c r="H80" s="1">
        <v>1</v>
      </c>
      <c r="I80" s="1">
        <f t="shared" si="9"/>
        <v>1</v>
      </c>
    </row>
    <row r="81" spans="1:9" x14ac:dyDescent="0.25">
      <c r="A81" s="26">
        <v>45371</v>
      </c>
      <c r="B81" s="27">
        <f t="shared" si="5"/>
        <v>2024</v>
      </c>
      <c r="C81" s="27">
        <f t="shared" si="6"/>
        <v>3</v>
      </c>
      <c r="D81" s="27">
        <f t="shared" si="7"/>
        <v>20</v>
      </c>
      <c r="E81" s="27">
        <f t="shared" si="8"/>
        <v>4</v>
      </c>
      <c r="F81" s="27">
        <f>VLOOKUP(E81,[2]t_calendarioPolitica!A:C,3,FALSE)</f>
        <v>1</v>
      </c>
      <c r="G81" s="1">
        <v>1</v>
      </c>
      <c r="H81" s="1">
        <v>1</v>
      </c>
      <c r="I81" s="1">
        <f t="shared" si="9"/>
        <v>1</v>
      </c>
    </row>
    <row r="82" spans="1:9" x14ac:dyDescent="0.25">
      <c r="A82" s="26">
        <v>45372</v>
      </c>
      <c r="B82" s="27">
        <f t="shared" si="5"/>
        <v>2024</v>
      </c>
      <c r="C82" s="27">
        <f t="shared" si="6"/>
        <v>3</v>
      </c>
      <c r="D82" s="27">
        <f t="shared" si="7"/>
        <v>21</v>
      </c>
      <c r="E82" s="27">
        <f t="shared" si="8"/>
        <v>5</v>
      </c>
      <c r="F82" s="27">
        <f>VLOOKUP(E82,[2]t_calendarioPolitica!A:C,3,FALSE)</f>
        <v>1</v>
      </c>
      <c r="G82" s="1">
        <v>1</v>
      </c>
      <c r="H82" s="1">
        <v>1</v>
      </c>
      <c r="I82" s="1">
        <f t="shared" si="9"/>
        <v>1</v>
      </c>
    </row>
    <row r="83" spans="1:9" x14ac:dyDescent="0.25">
      <c r="A83" s="26">
        <v>45373</v>
      </c>
      <c r="B83" s="27">
        <f t="shared" si="5"/>
        <v>2024</v>
      </c>
      <c r="C83" s="27">
        <f t="shared" si="6"/>
        <v>3</v>
      </c>
      <c r="D83" s="27">
        <f t="shared" si="7"/>
        <v>22</v>
      </c>
      <c r="E83" s="27">
        <f t="shared" si="8"/>
        <v>6</v>
      </c>
      <c r="F83" s="27">
        <f>VLOOKUP(E83,[2]t_calendarioPolitica!A:C,3,FALSE)</f>
        <v>1</v>
      </c>
      <c r="G83" s="1">
        <v>1</v>
      </c>
      <c r="H83" s="1">
        <v>1</v>
      </c>
      <c r="I83" s="1">
        <f t="shared" si="9"/>
        <v>1</v>
      </c>
    </row>
    <row r="84" spans="1:9" x14ac:dyDescent="0.25">
      <c r="A84" s="26">
        <v>45374</v>
      </c>
      <c r="B84" s="27">
        <f t="shared" si="5"/>
        <v>2024</v>
      </c>
      <c r="C84" s="27">
        <f t="shared" si="6"/>
        <v>3</v>
      </c>
      <c r="D84" s="27">
        <f t="shared" si="7"/>
        <v>23</v>
      </c>
      <c r="E84" s="27">
        <f t="shared" si="8"/>
        <v>7</v>
      </c>
      <c r="F84" s="27">
        <f>VLOOKUP(E84,[2]t_calendarioPolitica!A:C,3,FALSE)</f>
        <v>2</v>
      </c>
      <c r="G84" s="1">
        <v>1</v>
      </c>
      <c r="H84" s="1">
        <v>1</v>
      </c>
      <c r="I84" s="1">
        <f t="shared" si="9"/>
        <v>1</v>
      </c>
    </row>
    <row r="85" spans="1:9" x14ac:dyDescent="0.25">
      <c r="A85" s="26">
        <v>45375</v>
      </c>
      <c r="B85" s="27">
        <f t="shared" si="5"/>
        <v>2024</v>
      </c>
      <c r="C85" s="27">
        <f t="shared" si="6"/>
        <v>3</v>
      </c>
      <c r="D85" s="27">
        <f t="shared" si="7"/>
        <v>24</v>
      </c>
      <c r="E85" s="27">
        <f t="shared" si="8"/>
        <v>1</v>
      </c>
      <c r="F85" s="27">
        <f>VLOOKUP(E85,[2]t_calendarioPolitica!A:C,3,FALSE)</f>
        <v>0</v>
      </c>
      <c r="G85" s="1">
        <v>1</v>
      </c>
      <c r="H85" s="1">
        <v>1</v>
      </c>
      <c r="I85" s="1">
        <f t="shared" si="9"/>
        <v>0</v>
      </c>
    </row>
    <row r="86" spans="1:9" x14ac:dyDescent="0.25">
      <c r="A86" s="26">
        <v>45376</v>
      </c>
      <c r="B86" s="27">
        <f t="shared" si="5"/>
        <v>2024</v>
      </c>
      <c r="C86" s="27">
        <f t="shared" si="6"/>
        <v>3</v>
      </c>
      <c r="D86" s="27">
        <f t="shared" si="7"/>
        <v>25</v>
      </c>
      <c r="E86" s="27">
        <f t="shared" si="8"/>
        <v>2</v>
      </c>
      <c r="F86" s="27">
        <f>VLOOKUP(E86,[2]t_calendarioPolitica!A:C,3,FALSE)</f>
        <v>1</v>
      </c>
      <c r="G86" s="1">
        <v>1</v>
      </c>
      <c r="H86" s="1">
        <v>1</v>
      </c>
      <c r="I86" s="1">
        <f t="shared" si="9"/>
        <v>1</v>
      </c>
    </row>
    <row r="87" spans="1:9" x14ac:dyDescent="0.25">
      <c r="A87" s="26">
        <v>45377</v>
      </c>
      <c r="B87" s="27">
        <f t="shared" si="5"/>
        <v>2024</v>
      </c>
      <c r="C87" s="27">
        <f t="shared" si="6"/>
        <v>3</v>
      </c>
      <c r="D87" s="27">
        <f t="shared" si="7"/>
        <v>26</v>
      </c>
      <c r="E87" s="27">
        <f t="shared" si="8"/>
        <v>3</v>
      </c>
      <c r="F87" s="27">
        <f>VLOOKUP(E87,[2]t_calendarioPolitica!A:C,3,FALSE)</f>
        <v>1</v>
      </c>
      <c r="G87" s="1">
        <v>1</v>
      </c>
      <c r="H87" s="1">
        <v>1</v>
      </c>
      <c r="I87" s="1">
        <f t="shared" si="9"/>
        <v>1</v>
      </c>
    </row>
    <row r="88" spans="1:9" x14ac:dyDescent="0.25">
      <c r="A88" s="26">
        <v>45378</v>
      </c>
      <c r="B88" s="27">
        <f t="shared" si="5"/>
        <v>2024</v>
      </c>
      <c r="C88" s="27">
        <f t="shared" si="6"/>
        <v>3</v>
      </c>
      <c r="D88" s="27">
        <f t="shared" si="7"/>
        <v>27</v>
      </c>
      <c r="E88" s="27">
        <f t="shared" si="8"/>
        <v>4</v>
      </c>
      <c r="F88" s="27">
        <f>VLOOKUP(E88,[2]t_calendarioPolitica!A:C,3,FALSE)</f>
        <v>1</v>
      </c>
      <c r="G88" s="1">
        <v>1</v>
      </c>
      <c r="H88" s="1">
        <v>1</v>
      </c>
      <c r="I88" s="1">
        <f t="shared" si="9"/>
        <v>1</v>
      </c>
    </row>
    <row r="89" spans="1:9" x14ac:dyDescent="0.25">
      <c r="A89" s="26">
        <v>45379</v>
      </c>
      <c r="B89" s="27">
        <f t="shared" si="5"/>
        <v>2024</v>
      </c>
      <c r="C89" s="27">
        <f t="shared" si="6"/>
        <v>3</v>
      </c>
      <c r="D89" s="27">
        <f t="shared" si="7"/>
        <v>28</v>
      </c>
      <c r="E89" s="27">
        <f t="shared" si="8"/>
        <v>5</v>
      </c>
      <c r="F89" s="27">
        <f>VLOOKUP(E89,[2]t_calendarioPolitica!A:C,3,FALSE)</f>
        <v>1</v>
      </c>
      <c r="G89" s="1">
        <v>1</v>
      </c>
      <c r="H89" s="1">
        <v>1</v>
      </c>
      <c r="I89" s="1">
        <f t="shared" si="9"/>
        <v>1</v>
      </c>
    </row>
    <row r="90" spans="1:9" x14ac:dyDescent="0.25">
      <c r="A90" s="26">
        <v>45380</v>
      </c>
      <c r="B90" s="27">
        <f t="shared" si="5"/>
        <v>2024</v>
      </c>
      <c r="C90" s="27">
        <f t="shared" si="6"/>
        <v>3</v>
      </c>
      <c r="D90" s="27">
        <f t="shared" si="7"/>
        <v>29</v>
      </c>
      <c r="E90" s="27">
        <f t="shared" si="8"/>
        <v>6</v>
      </c>
      <c r="F90" s="27">
        <f>VLOOKUP(E90,[2]t_calendarioPolitica!A:C,3,FALSE)</f>
        <v>1</v>
      </c>
      <c r="G90" s="1">
        <v>1</v>
      </c>
      <c r="H90" s="1">
        <v>1</v>
      </c>
      <c r="I90" s="1">
        <f t="shared" si="9"/>
        <v>1</v>
      </c>
    </row>
    <row r="91" spans="1:9" x14ac:dyDescent="0.25">
      <c r="A91" s="26">
        <v>45381</v>
      </c>
      <c r="B91" s="27">
        <f t="shared" si="5"/>
        <v>2024</v>
      </c>
      <c r="C91" s="27">
        <f t="shared" si="6"/>
        <v>3</v>
      </c>
      <c r="D91" s="27">
        <f t="shared" si="7"/>
        <v>30</v>
      </c>
      <c r="E91" s="27">
        <f t="shared" si="8"/>
        <v>7</v>
      </c>
      <c r="F91" s="27">
        <f>VLOOKUP(E91,[2]t_calendarioPolitica!A:C,3,FALSE)</f>
        <v>2</v>
      </c>
      <c r="G91" s="1">
        <v>1</v>
      </c>
      <c r="H91" s="1">
        <v>1</v>
      </c>
      <c r="I91" s="1">
        <f t="shared" si="9"/>
        <v>1</v>
      </c>
    </row>
    <row r="92" spans="1:9" x14ac:dyDescent="0.25">
      <c r="A92" s="26">
        <v>45382</v>
      </c>
      <c r="B92" s="27">
        <f t="shared" si="5"/>
        <v>2024</v>
      </c>
      <c r="C92" s="27">
        <f t="shared" si="6"/>
        <v>3</v>
      </c>
      <c r="D92" s="27">
        <f t="shared" si="7"/>
        <v>31</v>
      </c>
      <c r="E92" s="27">
        <f t="shared" si="8"/>
        <v>1</v>
      </c>
      <c r="F92" s="27">
        <f>VLOOKUP(E92,[2]t_calendarioPolitica!A:C,3,FALSE)</f>
        <v>0</v>
      </c>
      <c r="G92" s="1">
        <v>1</v>
      </c>
      <c r="H92" s="1">
        <v>1</v>
      </c>
      <c r="I92" s="1">
        <f t="shared" si="9"/>
        <v>0</v>
      </c>
    </row>
    <row r="93" spans="1:9" x14ac:dyDescent="0.25">
      <c r="A93" s="26">
        <v>45383</v>
      </c>
      <c r="B93" s="27">
        <f t="shared" si="5"/>
        <v>2024</v>
      </c>
      <c r="C93" s="27">
        <f t="shared" si="6"/>
        <v>4</v>
      </c>
      <c r="D93" s="27">
        <f t="shared" si="7"/>
        <v>1</v>
      </c>
      <c r="E93" s="27">
        <f t="shared" si="8"/>
        <v>2</v>
      </c>
      <c r="F93" s="27">
        <f>VLOOKUP(E93,[2]t_calendarioPolitica!A:C,3,FALSE)</f>
        <v>1</v>
      </c>
      <c r="G93" s="1">
        <v>1</v>
      </c>
      <c r="H93" s="1">
        <v>1</v>
      </c>
      <c r="I93" s="1">
        <f t="shared" si="9"/>
        <v>1</v>
      </c>
    </row>
    <row r="94" spans="1:9" x14ac:dyDescent="0.25">
      <c r="A94" s="26">
        <v>45384</v>
      </c>
      <c r="B94" s="27">
        <f t="shared" si="5"/>
        <v>2024</v>
      </c>
      <c r="C94" s="27">
        <f t="shared" si="6"/>
        <v>4</v>
      </c>
      <c r="D94" s="27">
        <f t="shared" si="7"/>
        <v>2</v>
      </c>
      <c r="E94" s="27">
        <f t="shared" si="8"/>
        <v>3</v>
      </c>
      <c r="F94" s="27">
        <f>VLOOKUP(E94,[2]t_calendarioPolitica!A:C,3,FALSE)</f>
        <v>1</v>
      </c>
      <c r="G94" s="1">
        <v>1</v>
      </c>
      <c r="H94" s="1">
        <v>1</v>
      </c>
      <c r="I94" s="1">
        <f t="shared" si="9"/>
        <v>1</v>
      </c>
    </row>
    <row r="95" spans="1:9" x14ac:dyDescent="0.25">
      <c r="A95" s="26">
        <v>45385</v>
      </c>
      <c r="B95" s="27">
        <f t="shared" si="5"/>
        <v>2024</v>
      </c>
      <c r="C95" s="27">
        <f t="shared" si="6"/>
        <v>4</v>
      </c>
      <c r="D95" s="27">
        <f t="shared" si="7"/>
        <v>3</v>
      </c>
      <c r="E95" s="27">
        <f t="shared" si="8"/>
        <v>4</v>
      </c>
      <c r="F95" s="27">
        <f>VLOOKUP(E95,[2]t_calendarioPolitica!A:C,3,FALSE)</f>
        <v>1</v>
      </c>
      <c r="G95" s="1">
        <v>1</v>
      </c>
      <c r="H95" s="1">
        <v>1</v>
      </c>
      <c r="I95" s="1">
        <f t="shared" si="9"/>
        <v>1</v>
      </c>
    </row>
    <row r="96" spans="1:9" x14ac:dyDescent="0.25">
      <c r="A96" s="26">
        <v>45386</v>
      </c>
      <c r="B96" s="27">
        <f t="shared" si="5"/>
        <v>2024</v>
      </c>
      <c r="C96" s="27">
        <f t="shared" si="6"/>
        <v>4</v>
      </c>
      <c r="D96" s="27">
        <f t="shared" si="7"/>
        <v>4</v>
      </c>
      <c r="E96" s="27">
        <f t="shared" si="8"/>
        <v>5</v>
      </c>
      <c r="F96" s="27">
        <f>VLOOKUP(E96,[2]t_calendarioPolitica!A:C,3,FALSE)</f>
        <v>1</v>
      </c>
      <c r="G96" s="1">
        <v>1</v>
      </c>
      <c r="H96" s="1">
        <v>1</v>
      </c>
      <c r="I96" s="1">
        <f t="shared" si="9"/>
        <v>1</v>
      </c>
    </row>
    <row r="97" spans="1:9" x14ac:dyDescent="0.25">
      <c r="A97" s="26">
        <v>45387</v>
      </c>
      <c r="B97" s="27">
        <f t="shared" si="5"/>
        <v>2024</v>
      </c>
      <c r="C97" s="27">
        <f t="shared" si="6"/>
        <v>4</v>
      </c>
      <c r="D97" s="27">
        <f t="shared" si="7"/>
        <v>5</v>
      </c>
      <c r="E97" s="27">
        <f t="shared" si="8"/>
        <v>6</v>
      </c>
      <c r="F97" s="27">
        <f>VLOOKUP(E97,[2]t_calendarioPolitica!A:C,3,FALSE)</f>
        <v>1</v>
      </c>
      <c r="G97" s="1">
        <v>1</v>
      </c>
      <c r="H97" s="1">
        <v>1</v>
      </c>
      <c r="I97" s="1">
        <f t="shared" si="9"/>
        <v>1</v>
      </c>
    </row>
    <row r="98" spans="1:9" x14ac:dyDescent="0.25">
      <c r="A98" s="26">
        <v>45388</v>
      </c>
      <c r="B98" s="27">
        <f t="shared" si="5"/>
        <v>2024</v>
      </c>
      <c r="C98" s="27">
        <f t="shared" si="6"/>
        <v>4</v>
      </c>
      <c r="D98" s="27">
        <f t="shared" si="7"/>
        <v>6</v>
      </c>
      <c r="E98" s="27">
        <f t="shared" si="8"/>
        <v>7</v>
      </c>
      <c r="F98" s="27">
        <f>VLOOKUP(E98,[2]t_calendarioPolitica!A:C,3,FALSE)</f>
        <v>2</v>
      </c>
      <c r="G98" s="1">
        <v>1</v>
      </c>
      <c r="H98" s="1">
        <v>1</v>
      </c>
      <c r="I98" s="1">
        <f t="shared" si="9"/>
        <v>1</v>
      </c>
    </row>
    <row r="99" spans="1:9" x14ac:dyDescent="0.25">
      <c r="A99" s="26">
        <v>45389</v>
      </c>
      <c r="B99" s="27">
        <f t="shared" si="5"/>
        <v>2024</v>
      </c>
      <c r="C99" s="27">
        <f t="shared" si="6"/>
        <v>4</v>
      </c>
      <c r="D99" s="27">
        <f t="shared" si="7"/>
        <v>7</v>
      </c>
      <c r="E99" s="27">
        <f t="shared" si="8"/>
        <v>1</v>
      </c>
      <c r="F99" s="27">
        <f>VLOOKUP(E99,[2]t_calendarioPolitica!A:C,3,FALSE)</f>
        <v>0</v>
      </c>
      <c r="G99" s="1">
        <v>1</v>
      </c>
      <c r="H99" s="1">
        <v>1</v>
      </c>
      <c r="I99" s="1">
        <f t="shared" si="9"/>
        <v>0</v>
      </c>
    </row>
    <row r="100" spans="1:9" x14ac:dyDescent="0.25">
      <c r="A100" s="26">
        <v>45390</v>
      </c>
      <c r="B100" s="27">
        <f t="shared" si="5"/>
        <v>2024</v>
      </c>
      <c r="C100" s="27">
        <f t="shared" si="6"/>
        <v>4</v>
      </c>
      <c r="D100" s="27">
        <f t="shared" si="7"/>
        <v>8</v>
      </c>
      <c r="E100" s="27">
        <f t="shared" si="8"/>
        <v>2</v>
      </c>
      <c r="F100" s="27">
        <f>VLOOKUP(E100,[2]t_calendarioPolitica!A:C,3,FALSE)</f>
        <v>1</v>
      </c>
      <c r="G100" s="1">
        <v>1</v>
      </c>
      <c r="H100" s="1">
        <v>1</v>
      </c>
      <c r="I100" s="1">
        <f t="shared" si="9"/>
        <v>1</v>
      </c>
    </row>
    <row r="101" spans="1:9" x14ac:dyDescent="0.25">
      <c r="A101" s="26">
        <v>45391</v>
      </c>
      <c r="B101" s="27">
        <f t="shared" si="5"/>
        <v>2024</v>
      </c>
      <c r="C101" s="27">
        <f t="shared" si="6"/>
        <v>4</v>
      </c>
      <c r="D101" s="27">
        <f t="shared" si="7"/>
        <v>9</v>
      </c>
      <c r="E101" s="27">
        <f t="shared" si="8"/>
        <v>3</v>
      </c>
      <c r="F101" s="27">
        <f>VLOOKUP(E101,[2]t_calendarioPolitica!A:C,3,FALSE)</f>
        <v>1</v>
      </c>
      <c r="G101" s="1">
        <v>1</v>
      </c>
      <c r="H101" s="1">
        <v>1</v>
      </c>
      <c r="I101" s="1">
        <f t="shared" si="9"/>
        <v>1</v>
      </c>
    </row>
    <row r="102" spans="1:9" x14ac:dyDescent="0.25">
      <c r="A102" s="26">
        <v>45392</v>
      </c>
      <c r="B102" s="27">
        <f t="shared" si="5"/>
        <v>2024</v>
      </c>
      <c r="C102" s="27">
        <f t="shared" si="6"/>
        <v>4</v>
      </c>
      <c r="D102" s="27">
        <f t="shared" si="7"/>
        <v>10</v>
      </c>
      <c r="E102" s="27">
        <f t="shared" si="8"/>
        <v>4</v>
      </c>
      <c r="F102" s="27">
        <f>VLOOKUP(E102,[2]t_calendarioPolitica!A:C,3,FALSE)</f>
        <v>1</v>
      </c>
      <c r="G102" s="1">
        <v>1</v>
      </c>
      <c r="H102" s="1">
        <v>1</v>
      </c>
      <c r="I102" s="1">
        <f t="shared" si="9"/>
        <v>1</v>
      </c>
    </row>
    <row r="103" spans="1:9" x14ac:dyDescent="0.25">
      <c r="A103" s="26">
        <v>45393</v>
      </c>
      <c r="B103" s="27">
        <f t="shared" si="5"/>
        <v>2024</v>
      </c>
      <c r="C103" s="27">
        <f t="shared" si="6"/>
        <v>4</v>
      </c>
      <c r="D103" s="27">
        <f t="shared" si="7"/>
        <v>11</v>
      </c>
      <c r="E103" s="27">
        <f t="shared" si="8"/>
        <v>5</v>
      </c>
      <c r="F103" s="27">
        <f>VLOOKUP(E103,[2]t_calendarioPolitica!A:C,3,FALSE)</f>
        <v>1</v>
      </c>
      <c r="G103" s="1">
        <v>1</v>
      </c>
      <c r="H103" s="1">
        <v>1</v>
      </c>
      <c r="I103" s="1">
        <f t="shared" si="9"/>
        <v>1</v>
      </c>
    </row>
    <row r="104" spans="1:9" x14ac:dyDescent="0.25">
      <c r="A104" s="26">
        <v>45394</v>
      </c>
      <c r="B104" s="27">
        <f t="shared" si="5"/>
        <v>2024</v>
      </c>
      <c r="C104" s="27">
        <f t="shared" si="6"/>
        <v>4</v>
      </c>
      <c r="D104" s="27">
        <f t="shared" si="7"/>
        <v>12</v>
      </c>
      <c r="E104" s="27">
        <f t="shared" si="8"/>
        <v>6</v>
      </c>
      <c r="F104" s="27">
        <f>VLOOKUP(E104,[2]t_calendarioPolitica!A:C,3,FALSE)</f>
        <v>1</v>
      </c>
      <c r="G104" s="1">
        <v>1</v>
      </c>
      <c r="H104" s="1">
        <v>1</v>
      </c>
      <c r="I104" s="1">
        <f t="shared" si="9"/>
        <v>1</v>
      </c>
    </row>
    <row r="105" spans="1:9" x14ac:dyDescent="0.25">
      <c r="A105" s="26">
        <v>45395</v>
      </c>
      <c r="B105" s="27">
        <f t="shared" si="5"/>
        <v>2024</v>
      </c>
      <c r="C105" s="27">
        <f t="shared" si="6"/>
        <v>4</v>
      </c>
      <c r="D105" s="27">
        <f t="shared" si="7"/>
        <v>13</v>
      </c>
      <c r="E105" s="27">
        <f t="shared" si="8"/>
        <v>7</v>
      </c>
      <c r="F105" s="27">
        <f>VLOOKUP(E105,[2]t_calendarioPolitica!A:C,3,FALSE)</f>
        <v>2</v>
      </c>
      <c r="G105" s="1">
        <v>1</v>
      </c>
      <c r="H105" s="1">
        <v>1</v>
      </c>
      <c r="I105" s="1">
        <f t="shared" si="9"/>
        <v>1</v>
      </c>
    </row>
    <row r="106" spans="1:9" x14ac:dyDescent="0.25">
      <c r="A106" s="26">
        <v>45396</v>
      </c>
      <c r="B106" s="27">
        <f t="shared" si="5"/>
        <v>2024</v>
      </c>
      <c r="C106" s="27">
        <f t="shared" si="6"/>
        <v>4</v>
      </c>
      <c r="D106" s="27">
        <f t="shared" si="7"/>
        <v>14</v>
      </c>
      <c r="E106" s="27">
        <f t="shared" si="8"/>
        <v>1</v>
      </c>
      <c r="F106" s="27">
        <f>VLOOKUP(E106,[2]t_calendarioPolitica!A:C,3,FALSE)</f>
        <v>0</v>
      </c>
      <c r="G106" s="1">
        <v>1</v>
      </c>
      <c r="H106" s="1">
        <v>1</v>
      </c>
      <c r="I106" s="1">
        <f t="shared" si="9"/>
        <v>0</v>
      </c>
    </row>
    <row r="107" spans="1:9" x14ac:dyDescent="0.25">
      <c r="A107" s="26">
        <v>45397</v>
      </c>
      <c r="B107" s="27">
        <f t="shared" si="5"/>
        <v>2024</v>
      </c>
      <c r="C107" s="27">
        <f t="shared" si="6"/>
        <v>4</v>
      </c>
      <c r="D107" s="27">
        <f t="shared" si="7"/>
        <v>15</v>
      </c>
      <c r="E107" s="27">
        <f t="shared" si="8"/>
        <v>2</v>
      </c>
      <c r="F107" s="27">
        <f>VLOOKUP(E107,[2]t_calendarioPolitica!A:C,3,FALSE)</f>
        <v>1</v>
      </c>
      <c r="G107" s="1">
        <v>1</v>
      </c>
      <c r="H107" s="1">
        <v>1</v>
      </c>
      <c r="I107" s="1">
        <f t="shared" si="9"/>
        <v>1</v>
      </c>
    </row>
    <row r="108" spans="1:9" x14ac:dyDescent="0.25">
      <c r="A108" s="26">
        <v>45398</v>
      </c>
      <c r="B108" s="27">
        <f t="shared" si="5"/>
        <v>2024</v>
      </c>
      <c r="C108" s="27">
        <f t="shared" si="6"/>
        <v>4</v>
      </c>
      <c r="D108" s="27">
        <f t="shared" si="7"/>
        <v>16</v>
      </c>
      <c r="E108" s="27">
        <f t="shared" si="8"/>
        <v>3</v>
      </c>
      <c r="F108" s="27">
        <f>VLOOKUP(E108,[2]t_calendarioPolitica!A:C,3,FALSE)</f>
        <v>1</v>
      </c>
      <c r="G108" s="1">
        <v>1</v>
      </c>
      <c r="H108" s="1">
        <v>1</v>
      </c>
      <c r="I108" s="1">
        <f t="shared" si="9"/>
        <v>1</v>
      </c>
    </row>
    <row r="109" spans="1:9" x14ac:dyDescent="0.25">
      <c r="A109" s="26">
        <v>45399</v>
      </c>
      <c r="B109" s="27">
        <f t="shared" si="5"/>
        <v>2024</v>
      </c>
      <c r="C109" s="27">
        <f t="shared" si="6"/>
        <v>4</v>
      </c>
      <c r="D109" s="27">
        <f t="shared" si="7"/>
        <v>17</v>
      </c>
      <c r="E109" s="27">
        <f t="shared" si="8"/>
        <v>4</v>
      </c>
      <c r="F109" s="27">
        <f>VLOOKUP(E109,[2]t_calendarioPolitica!A:C,3,FALSE)</f>
        <v>1</v>
      </c>
      <c r="G109" s="1">
        <v>1</v>
      </c>
      <c r="H109" s="1">
        <v>1</v>
      </c>
      <c r="I109" s="1">
        <f t="shared" si="9"/>
        <v>1</v>
      </c>
    </row>
    <row r="110" spans="1:9" x14ac:dyDescent="0.25">
      <c r="A110" s="26">
        <v>45400</v>
      </c>
      <c r="B110" s="27">
        <f t="shared" si="5"/>
        <v>2024</v>
      </c>
      <c r="C110" s="27">
        <f t="shared" si="6"/>
        <v>4</v>
      </c>
      <c r="D110" s="27">
        <f t="shared" si="7"/>
        <v>18</v>
      </c>
      <c r="E110" s="27">
        <f t="shared" si="8"/>
        <v>5</v>
      </c>
      <c r="F110" s="27">
        <f>VLOOKUP(E110,[2]t_calendarioPolitica!A:C,3,FALSE)</f>
        <v>1</v>
      </c>
      <c r="G110" s="1">
        <v>1</v>
      </c>
      <c r="H110" s="1">
        <v>1</v>
      </c>
      <c r="I110" s="1">
        <f t="shared" si="9"/>
        <v>1</v>
      </c>
    </row>
    <row r="111" spans="1:9" x14ac:dyDescent="0.25">
      <c r="A111" s="26">
        <v>45401</v>
      </c>
      <c r="B111" s="27">
        <f t="shared" si="5"/>
        <v>2024</v>
      </c>
      <c r="C111" s="27">
        <f t="shared" si="6"/>
        <v>4</v>
      </c>
      <c r="D111" s="27">
        <f t="shared" si="7"/>
        <v>19</v>
      </c>
      <c r="E111" s="27">
        <f t="shared" si="8"/>
        <v>6</v>
      </c>
      <c r="F111" s="27">
        <f>VLOOKUP(E111,[2]t_calendarioPolitica!A:C,3,FALSE)</f>
        <v>1</v>
      </c>
      <c r="G111" s="1">
        <v>1</v>
      </c>
      <c r="H111" s="1">
        <v>1</v>
      </c>
      <c r="I111" s="1">
        <f t="shared" si="9"/>
        <v>1</v>
      </c>
    </row>
    <row r="112" spans="1:9" x14ac:dyDescent="0.25">
      <c r="A112" s="26">
        <v>45402</v>
      </c>
      <c r="B112" s="27">
        <f t="shared" si="5"/>
        <v>2024</v>
      </c>
      <c r="C112" s="27">
        <f t="shared" si="6"/>
        <v>4</v>
      </c>
      <c r="D112" s="27">
        <f t="shared" si="7"/>
        <v>20</v>
      </c>
      <c r="E112" s="27">
        <f t="shared" si="8"/>
        <v>7</v>
      </c>
      <c r="F112" s="27">
        <f>VLOOKUP(E112,[2]t_calendarioPolitica!A:C,3,FALSE)</f>
        <v>2</v>
      </c>
      <c r="G112" s="1">
        <v>1</v>
      </c>
      <c r="H112" s="1">
        <v>1</v>
      </c>
      <c r="I112" s="1">
        <f t="shared" si="9"/>
        <v>1</v>
      </c>
    </row>
    <row r="113" spans="1:9" x14ac:dyDescent="0.25">
      <c r="A113" s="26">
        <v>45403</v>
      </c>
      <c r="B113" s="27">
        <f t="shared" si="5"/>
        <v>2024</v>
      </c>
      <c r="C113" s="27">
        <f t="shared" si="6"/>
        <v>4</v>
      </c>
      <c r="D113" s="27">
        <f t="shared" si="7"/>
        <v>21</v>
      </c>
      <c r="E113" s="27">
        <f t="shared" si="8"/>
        <v>1</v>
      </c>
      <c r="F113" s="27">
        <f>VLOOKUP(E113,[2]t_calendarioPolitica!A:C,3,FALSE)</f>
        <v>0</v>
      </c>
      <c r="G113" s="1">
        <v>1</v>
      </c>
      <c r="H113" s="1">
        <v>1</v>
      </c>
      <c r="I113" s="1">
        <f t="shared" si="9"/>
        <v>0</v>
      </c>
    </row>
    <row r="114" spans="1:9" x14ac:dyDescent="0.25">
      <c r="A114" s="26">
        <v>45404</v>
      </c>
      <c r="B114" s="27">
        <f t="shared" si="5"/>
        <v>2024</v>
      </c>
      <c r="C114" s="27">
        <f t="shared" si="6"/>
        <v>4</v>
      </c>
      <c r="D114" s="27">
        <f t="shared" si="7"/>
        <v>22</v>
      </c>
      <c r="E114" s="27">
        <f t="shared" si="8"/>
        <v>2</v>
      </c>
      <c r="F114" s="27">
        <f>VLOOKUP(E114,[2]t_calendarioPolitica!A:C,3,FALSE)</f>
        <v>1</v>
      </c>
      <c r="G114" s="1">
        <v>1</v>
      </c>
      <c r="H114" s="1">
        <v>1</v>
      </c>
      <c r="I114" s="1">
        <f t="shared" si="9"/>
        <v>1</v>
      </c>
    </row>
    <row r="115" spans="1:9" x14ac:dyDescent="0.25">
      <c r="A115" s="26">
        <v>45405</v>
      </c>
      <c r="B115" s="27">
        <f t="shared" si="5"/>
        <v>2024</v>
      </c>
      <c r="C115" s="27">
        <f t="shared" si="6"/>
        <v>4</v>
      </c>
      <c r="D115" s="27">
        <f t="shared" si="7"/>
        <v>23</v>
      </c>
      <c r="E115" s="27">
        <f t="shared" si="8"/>
        <v>3</v>
      </c>
      <c r="F115" s="27">
        <f>VLOOKUP(E115,[2]t_calendarioPolitica!A:C,3,FALSE)</f>
        <v>1</v>
      </c>
      <c r="G115" s="1">
        <v>1</v>
      </c>
      <c r="H115" s="1">
        <v>1</v>
      </c>
      <c r="I115" s="1">
        <f t="shared" si="9"/>
        <v>1</v>
      </c>
    </row>
    <row r="116" spans="1:9" x14ac:dyDescent="0.25">
      <c r="A116" s="26">
        <v>45406</v>
      </c>
      <c r="B116" s="27">
        <f t="shared" si="5"/>
        <v>2024</v>
      </c>
      <c r="C116" s="27">
        <f t="shared" si="6"/>
        <v>4</v>
      </c>
      <c r="D116" s="27">
        <f t="shared" si="7"/>
        <v>24</v>
      </c>
      <c r="E116" s="27">
        <f t="shared" si="8"/>
        <v>4</v>
      </c>
      <c r="F116" s="27">
        <f>VLOOKUP(E116,[2]t_calendarioPolitica!A:C,3,FALSE)</f>
        <v>1</v>
      </c>
      <c r="G116" s="1">
        <v>1</v>
      </c>
      <c r="H116" s="1">
        <v>1</v>
      </c>
      <c r="I116" s="1">
        <f t="shared" si="9"/>
        <v>1</v>
      </c>
    </row>
    <row r="117" spans="1:9" x14ac:dyDescent="0.25">
      <c r="A117" s="26">
        <v>45407</v>
      </c>
      <c r="B117" s="27">
        <f t="shared" si="5"/>
        <v>2024</v>
      </c>
      <c r="C117" s="27">
        <f t="shared" si="6"/>
        <v>4</v>
      </c>
      <c r="D117" s="27">
        <f t="shared" si="7"/>
        <v>25</v>
      </c>
      <c r="E117" s="27">
        <f t="shared" si="8"/>
        <v>5</v>
      </c>
      <c r="F117" s="27">
        <f>VLOOKUP(E117,[2]t_calendarioPolitica!A:C,3,FALSE)</f>
        <v>1</v>
      </c>
      <c r="G117" s="1">
        <v>1</v>
      </c>
      <c r="H117" s="1">
        <v>1</v>
      </c>
      <c r="I117" s="1">
        <f t="shared" si="9"/>
        <v>1</v>
      </c>
    </row>
    <row r="118" spans="1:9" x14ac:dyDescent="0.25">
      <c r="A118" s="26">
        <v>45408</v>
      </c>
      <c r="B118" s="27">
        <f t="shared" si="5"/>
        <v>2024</v>
      </c>
      <c r="C118" s="27">
        <f t="shared" si="6"/>
        <v>4</v>
      </c>
      <c r="D118" s="27">
        <f t="shared" si="7"/>
        <v>26</v>
      </c>
      <c r="E118" s="27">
        <f t="shared" si="8"/>
        <v>6</v>
      </c>
      <c r="F118" s="27">
        <f>VLOOKUP(E118,[2]t_calendarioPolitica!A:C,3,FALSE)</f>
        <v>1</v>
      </c>
      <c r="G118" s="1">
        <v>1</v>
      </c>
      <c r="H118" s="1">
        <v>1</v>
      </c>
      <c r="I118" s="1">
        <f t="shared" si="9"/>
        <v>1</v>
      </c>
    </row>
    <row r="119" spans="1:9" x14ac:dyDescent="0.25">
      <c r="A119" s="26">
        <v>45409</v>
      </c>
      <c r="B119" s="27">
        <f t="shared" si="5"/>
        <v>2024</v>
      </c>
      <c r="C119" s="27">
        <f t="shared" si="6"/>
        <v>4</v>
      </c>
      <c r="D119" s="27">
        <f t="shared" si="7"/>
        <v>27</v>
      </c>
      <c r="E119" s="27">
        <f t="shared" si="8"/>
        <v>7</v>
      </c>
      <c r="F119" s="27">
        <f>VLOOKUP(E119,[2]t_calendarioPolitica!A:C,3,FALSE)</f>
        <v>2</v>
      </c>
      <c r="G119" s="1">
        <v>1</v>
      </c>
      <c r="H119" s="1">
        <v>1</v>
      </c>
      <c r="I119" s="1">
        <f t="shared" si="9"/>
        <v>1</v>
      </c>
    </row>
    <row r="120" spans="1:9" x14ac:dyDescent="0.25">
      <c r="A120" s="26">
        <v>45410</v>
      </c>
      <c r="B120" s="27">
        <f t="shared" si="5"/>
        <v>2024</v>
      </c>
      <c r="C120" s="27">
        <f t="shared" si="6"/>
        <v>4</v>
      </c>
      <c r="D120" s="27">
        <f t="shared" si="7"/>
        <v>28</v>
      </c>
      <c r="E120" s="27">
        <f t="shared" si="8"/>
        <v>1</v>
      </c>
      <c r="F120" s="27">
        <f>VLOOKUP(E120,[2]t_calendarioPolitica!A:C,3,FALSE)</f>
        <v>0</v>
      </c>
      <c r="G120" s="1">
        <v>1</v>
      </c>
      <c r="H120" s="1">
        <v>1</v>
      </c>
      <c r="I120" s="1">
        <f t="shared" si="9"/>
        <v>0</v>
      </c>
    </row>
    <row r="121" spans="1:9" x14ac:dyDescent="0.25">
      <c r="A121" s="26">
        <v>45411</v>
      </c>
      <c r="B121" s="27">
        <f t="shared" si="5"/>
        <v>2024</v>
      </c>
      <c r="C121" s="27">
        <f t="shared" si="6"/>
        <v>4</v>
      </c>
      <c r="D121" s="27">
        <f t="shared" si="7"/>
        <v>29</v>
      </c>
      <c r="E121" s="27">
        <f t="shared" si="8"/>
        <v>2</v>
      </c>
      <c r="F121" s="27">
        <f>VLOOKUP(E121,[2]t_calendarioPolitica!A:C,3,FALSE)</f>
        <v>1</v>
      </c>
      <c r="G121" s="1">
        <v>1</v>
      </c>
      <c r="H121" s="1">
        <v>1</v>
      </c>
      <c r="I121" s="1">
        <f t="shared" si="9"/>
        <v>1</v>
      </c>
    </row>
    <row r="122" spans="1:9" x14ac:dyDescent="0.25">
      <c r="A122" s="26">
        <v>45412</v>
      </c>
      <c r="B122" s="27">
        <f t="shared" si="5"/>
        <v>2024</v>
      </c>
      <c r="C122" s="27">
        <f t="shared" si="6"/>
        <v>4</v>
      </c>
      <c r="D122" s="27">
        <f t="shared" si="7"/>
        <v>30</v>
      </c>
      <c r="E122" s="27">
        <f t="shared" si="8"/>
        <v>3</v>
      </c>
      <c r="F122" s="27">
        <f>VLOOKUP(E122,[2]t_calendarioPolitica!A:C,3,FALSE)</f>
        <v>1</v>
      </c>
      <c r="G122" s="1">
        <v>1</v>
      </c>
      <c r="H122" s="1">
        <v>1</v>
      </c>
      <c r="I122" s="1">
        <f t="shared" si="9"/>
        <v>1</v>
      </c>
    </row>
    <row r="123" spans="1:9" x14ac:dyDescent="0.25">
      <c r="A123" s="26">
        <v>45413</v>
      </c>
      <c r="B123" s="27">
        <f t="shared" si="5"/>
        <v>2024</v>
      </c>
      <c r="C123" s="27">
        <f t="shared" si="6"/>
        <v>5</v>
      </c>
      <c r="D123" s="27">
        <f t="shared" si="7"/>
        <v>1</v>
      </c>
      <c r="E123" s="27">
        <f t="shared" si="8"/>
        <v>4</v>
      </c>
      <c r="F123" s="27">
        <f>VLOOKUP(E123,[2]t_calendarioPolitica!A:C,3,FALSE)</f>
        <v>1</v>
      </c>
      <c r="G123" s="1">
        <v>1</v>
      </c>
      <c r="H123" s="1">
        <v>1</v>
      </c>
      <c r="I123" s="1">
        <f t="shared" si="9"/>
        <v>1</v>
      </c>
    </row>
    <row r="124" spans="1:9" x14ac:dyDescent="0.25">
      <c r="A124" s="26">
        <v>45414</v>
      </c>
      <c r="B124" s="27">
        <f t="shared" si="5"/>
        <v>2024</v>
      </c>
      <c r="C124" s="27">
        <f t="shared" si="6"/>
        <v>5</v>
      </c>
      <c r="D124" s="27">
        <f t="shared" si="7"/>
        <v>2</v>
      </c>
      <c r="E124" s="27">
        <f t="shared" si="8"/>
        <v>5</v>
      </c>
      <c r="F124" s="27">
        <f>VLOOKUP(E124,[2]t_calendarioPolitica!A:C,3,FALSE)</f>
        <v>1</v>
      </c>
      <c r="G124" s="1">
        <v>1</v>
      </c>
      <c r="H124" s="1">
        <v>1</v>
      </c>
      <c r="I124" s="1">
        <f t="shared" si="9"/>
        <v>1</v>
      </c>
    </row>
    <row r="125" spans="1:9" x14ac:dyDescent="0.25">
      <c r="A125" s="26">
        <v>45415</v>
      </c>
      <c r="B125" s="27">
        <f t="shared" si="5"/>
        <v>2024</v>
      </c>
      <c r="C125" s="27">
        <f t="shared" si="6"/>
        <v>5</v>
      </c>
      <c r="D125" s="27">
        <f t="shared" si="7"/>
        <v>3</v>
      </c>
      <c r="E125" s="27">
        <f t="shared" si="8"/>
        <v>6</v>
      </c>
      <c r="F125" s="27">
        <f>VLOOKUP(E125,[2]t_calendarioPolitica!A:C,3,FALSE)</f>
        <v>1</v>
      </c>
      <c r="G125" s="1">
        <v>1</v>
      </c>
      <c r="H125" s="1">
        <v>1</v>
      </c>
      <c r="I125" s="1">
        <f t="shared" si="9"/>
        <v>1</v>
      </c>
    </row>
    <row r="126" spans="1:9" x14ac:dyDescent="0.25">
      <c r="A126" s="26">
        <v>45416</v>
      </c>
      <c r="B126" s="27">
        <f t="shared" si="5"/>
        <v>2024</v>
      </c>
      <c r="C126" s="27">
        <f t="shared" si="6"/>
        <v>5</v>
      </c>
      <c r="D126" s="27">
        <f t="shared" si="7"/>
        <v>4</v>
      </c>
      <c r="E126" s="27">
        <f t="shared" si="8"/>
        <v>7</v>
      </c>
      <c r="F126" s="27">
        <f>VLOOKUP(E126,[2]t_calendarioPolitica!A:C,3,FALSE)</f>
        <v>2</v>
      </c>
      <c r="G126" s="1">
        <v>1</v>
      </c>
      <c r="H126" s="1">
        <v>1</v>
      </c>
      <c r="I126" s="1">
        <f t="shared" si="9"/>
        <v>1</v>
      </c>
    </row>
    <row r="127" spans="1:9" x14ac:dyDescent="0.25">
      <c r="A127" s="26">
        <v>45417</v>
      </c>
      <c r="B127" s="27">
        <f t="shared" si="5"/>
        <v>2024</v>
      </c>
      <c r="C127" s="27">
        <f t="shared" si="6"/>
        <v>5</v>
      </c>
      <c r="D127" s="27">
        <f t="shared" si="7"/>
        <v>5</v>
      </c>
      <c r="E127" s="27">
        <f t="shared" si="8"/>
        <v>1</v>
      </c>
      <c r="F127" s="27">
        <f>VLOOKUP(E127,[2]t_calendarioPolitica!A:C,3,FALSE)</f>
        <v>0</v>
      </c>
      <c r="G127" s="1">
        <v>1</v>
      </c>
      <c r="H127" s="1">
        <v>1</v>
      </c>
      <c r="I127" s="1">
        <f t="shared" si="9"/>
        <v>0</v>
      </c>
    </row>
    <row r="128" spans="1:9" x14ac:dyDescent="0.25">
      <c r="A128" s="26">
        <v>45418</v>
      </c>
      <c r="B128" s="27">
        <f t="shared" si="5"/>
        <v>2024</v>
      </c>
      <c r="C128" s="27">
        <f t="shared" si="6"/>
        <v>5</v>
      </c>
      <c r="D128" s="27">
        <f t="shared" si="7"/>
        <v>6</v>
      </c>
      <c r="E128" s="27">
        <f t="shared" si="8"/>
        <v>2</v>
      </c>
      <c r="F128" s="27">
        <f>VLOOKUP(E128,[2]t_calendarioPolitica!A:C,3,FALSE)</f>
        <v>1</v>
      </c>
      <c r="G128" s="1">
        <v>1</v>
      </c>
      <c r="H128" s="1">
        <v>1</v>
      </c>
      <c r="I128" s="1">
        <f t="shared" si="9"/>
        <v>1</v>
      </c>
    </row>
    <row r="129" spans="1:9" x14ac:dyDescent="0.25">
      <c r="A129" s="26">
        <v>45419</v>
      </c>
      <c r="B129" s="27">
        <f t="shared" si="5"/>
        <v>2024</v>
      </c>
      <c r="C129" s="27">
        <f t="shared" si="6"/>
        <v>5</v>
      </c>
      <c r="D129" s="27">
        <f t="shared" si="7"/>
        <v>7</v>
      </c>
      <c r="E129" s="27">
        <f t="shared" si="8"/>
        <v>3</v>
      </c>
      <c r="F129" s="27">
        <f>VLOOKUP(E129,[2]t_calendarioPolitica!A:C,3,FALSE)</f>
        <v>1</v>
      </c>
      <c r="G129" s="1">
        <v>1</v>
      </c>
      <c r="H129" s="1">
        <v>1</v>
      </c>
      <c r="I129" s="1">
        <f t="shared" si="9"/>
        <v>1</v>
      </c>
    </row>
    <row r="130" spans="1:9" x14ac:dyDescent="0.25">
      <c r="A130" s="26">
        <v>45420</v>
      </c>
      <c r="B130" s="27">
        <f t="shared" si="5"/>
        <v>2024</v>
      </c>
      <c r="C130" s="27">
        <f t="shared" si="6"/>
        <v>5</v>
      </c>
      <c r="D130" s="27">
        <f t="shared" si="7"/>
        <v>8</v>
      </c>
      <c r="E130" s="27">
        <f t="shared" si="8"/>
        <v>4</v>
      </c>
      <c r="F130" s="27">
        <f>VLOOKUP(E130,[2]t_calendarioPolitica!A:C,3,FALSE)</f>
        <v>1</v>
      </c>
      <c r="G130" s="1">
        <v>1</v>
      </c>
      <c r="H130" s="1">
        <v>1</v>
      </c>
      <c r="I130" s="1">
        <f t="shared" si="9"/>
        <v>1</v>
      </c>
    </row>
    <row r="131" spans="1:9" x14ac:dyDescent="0.25">
      <c r="A131" s="26">
        <v>45421</v>
      </c>
      <c r="B131" s="27">
        <f t="shared" ref="B131:B194" si="10">YEAR(A131)</f>
        <v>2024</v>
      </c>
      <c r="C131" s="27">
        <f t="shared" ref="C131:C194" si="11">MONTH(A131)</f>
        <v>5</v>
      </c>
      <c r="D131" s="27">
        <f t="shared" ref="D131:D194" si="12">DAY(A131)</f>
        <v>9</v>
      </c>
      <c r="E131" s="27">
        <f t="shared" ref="E131:E194" si="13">WEEKDAY(A131)</f>
        <v>5</v>
      </c>
      <c r="F131" s="27">
        <f>VLOOKUP(E131,[2]t_calendarioPolitica!A:C,3,FALSE)</f>
        <v>1</v>
      </c>
      <c r="G131" s="1">
        <v>1</v>
      </c>
      <c r="H131" s="1">
        <v>1</v>
      </c>
      <c r="I131" s="1">
        <f t="shared" ref="I131:I194" si="14">IF(AND(F131&lt;&gt;0, H131&lt;&gt;0,G131&lt;&gt;0), 1, 0)</f>
        <v>1</v>
      </c>
    </row>
    <row r="132" spans="1:9" x14ac:dyDescent="0.25">
      <c r="A132" s="26">
        <v>45422</v>
      </c>
      <c r="B132" s="27">
        <f t="shared" si="10"/>
        <v>2024</v>
      </c>
      <c r="C132" s="27">
        <f t="shared" si="11"/>
        <v>5</v>
      </c>
      <c r="D132" s="27">
        <f t="shared" si="12"/>
        <v>10</v>
      </c>
      <c r="E132" s="27">
        <f t="shared" si="13"/>
        <v>6</v>
      </c>
      <c r="F132" s="27">
        <f>VLOOKUP(E132,[2]t_calendarioPolitica!A:C,3,FALSE)</f>
        <v>1</v>
      </c>
      <c r="G132" s="1">
        <v>1</v>
      </c>
      <c r="H132" s="1">
        <v>0</v>
      </c>
      <c r="I132" s="1">
        <f t="shared" si="14"/>
        <v>0</v>
      </c>
    </row>
    <row r="133" spans="1:9" x14ac:dyDescent="0.25">
      <c r="A133" s="26">
        <v>45423</v>
      </c>
      <c r="B133" s="27">
        <f t="shared" si="10"/>
        <v>2024</v>
      </c>
      <c r="C133" s="27">
        <f t="shared" si="11"/>
        <v>5</v>
      </c>
      <c r="D133" s="27">
        <f t="shared" si="12"/>
        <v>11</v>
      </c>
      <c r="E133" s="27">
        <f t="shared" si="13"/>
        <v>7</v>
      </c>
      <c r="F133" s="27">
        <f>VLOOKUP(E133,[2]t_calendarioPolitica!A:C,3,FALSE)</f>
        <v>2</v>
      </c>
      <c r="G133" s="1">
        <v>1</v>
      </c>
      <c r="H133" s="1">
        <v>1</v>
      </c>
      <c r="I133" s="1">
        <f t="shared" si="14"/>
        <v>1</v>
      </c>
    </row>
    <row r="134" spans="1:9" x14ac:dyDescent="0.25">
      <c r="A134" s="26">
        <v>45424</v>
      </c>
      <c r="B134" s="27">
        <f t="shared" si="10"/>
        <v>2024</v>
      </c>
      <c r="C134" s="27">
        <f t="shared" si="11"/>
        <v>5</v>
      </c>
      <c r="D134" s="27">
        <f t="shared" si="12"/>
        <v>12</v>
      </c>
      <c r="E134" s="27">
        <f t="shared" si="13"/>
        <v>1</v>
      </c>
      <c r="F134" s="27">
        <f>VLOOKUP(E134,[2]t_calendarioPolitica!A:C,3,FALSE)</f>
        <v>0</v>
      </c>
      <c r="G134" s="1">
        <v>1</v>
      </c>
      <c r="H134" s="1">
        <v>1</v>
      </c>
      <c r="I134" s="1">
        <f t="shared" si="14"/>
        <v>0</v>
      </c>
    </row>
    <row r="135" spans="1:9" x14ac:dyDescent="0.25">
      <c r="A135" s="26">
        <v>45425</v>
      </c>
      <c r="B135" s="27">
        <f t="shared" si="10"/>
        <v>2024</v>
      </c>
      <c r="C135" s="27">
        <f t="shared" si="11"/>
        <v>5</v>
      </c>
      <c r="D135" s="27">
        <f t="shared" si="12"/>
        <v>13</v>
      </c>
      <c r="E135" s="27">
        <f t="shared" si="13"/>
        <v>2</v>
      </c>
      <c r="F135" s="27">
        <f>VLOOKUP(E135,[2]t_calendarioPolitica!A:C,3,FALSE)</f>
        <v>1</v>
      </c>
      <c r="G135" s="1">
        <v>1</v>
      </c>
      <c r="H135" s="1">
        <v>1</v>
      </c>
      <c r="I135" s="1">
        <f t="shared" si="14"/>
        <v>1</v>
      </c>
    </row>
    <row r="136" spans="1:9" x14ac:dyDescent="0.25">
      <c r="A136" s="26">
        <v>45426</v>
      </c>
      <c r="B136" s="27">
        <f t="shared" si="10"/>
        <v>2024</v>
      </c>
      <c r="C136" s="27">
        <f t="shared" si="11"/>
        <v>5</v>
      </c>
      <c r="D136" s="27">
        <f t="shared" si="12"/>
        <v>14</v>
      </c>
      <c r="E136" s="27">
        <f t="shared" si="13"/>
        <v>3</v>
      </c>
      <c r="F136" s="27">
        <f>VLOOKUP(E136,[2]t_calendarioPolitica!A:C,3,FALSE)</f>
        <v>1</v>
      </c>
      <c r="G136" s="1">
        <v>1</v>
      </c>
      <c r="H136" s="1">
        <v>1</v>
      </c>
      <c r="I136" s="1">
        <f t="shared" si="14"/>
        <v>1</v>
      </c>
    </row>
    <row r="137" spans="1:9" x14ac:dyDescent="0.25">
      <c r="A137" s="26">
        <v>45427</v>
      </c>
      <c r="B137" s="27">
        <f t="shared" si="10"/>
        <v>2024</v>
      </c>
      <c r="C137" s="27">
        <f t="shared" si="11"/>
        <v>5</v>
      </c>
      <c r="D137" s="27">
        <f t="shared" si="12"/>
        <v>15</v>
      </c>
      <c r="E137" s="27">
        <f t="shared" si="13"/>
        <v>4</v>
      </c>
      <c r="F137" s="27">
        <f>VLOOKUP(E137,[2]t_calendarioPolitica!A:C,3,FALSE)</f>
        <v>1</v>
      </c>
      <c r="G137" s="1">
        <v>1</v>
      </c>
      <c r="H137" s="1">
        <v>1</v>
      </c>
      <c r="I137" s="1">
        <f t="shared" si="14"/>
        <v>1</v>
      </c>
    </row>
    <row r="138" spans="1:9" x14ac:dyDescent="0.25">
      <c r="A138" s="26">
        <v>45428</v>
      </c>
      <c r="B138" s="27">
        <f t="shared" si="10"/>
        <v>2024</v>
      </c>
      <c r="C138" s="27">
        <f t="shared" si="11"/>
        <v>5</v>
      </c>
      <c r="D138" s="27">
        <f t="shared" si="12"/>
        <v>16</v>
      </c>
      <c r="E138" s="27">
        <f t="shared" si="13"/>
        <v>5</v>
      </c>
      <c r="F138" s="27">
        <f>VLOOKUP(E138,[2]t_calendarioPolitica!A:C,3,FALSE)</f>
        <v>1</v>
      </c>
      <c r="G138" s="1">
        <v>1</v>
      </c>
      <c r="H138" s="1">
        <v>1</v>
      </c>
      <c r="I138" s="1">
        <f t="shared" si="14"/>
        <v>1</v>
      </c>
    </row>
    <row r="139" spans="1:9" x14ac:dyDescent="0.25">
      <c r="A139" s="26">
        <v>45429</v>
      </c>
      <c r="B139" s="27">
        <f t="shared" si="10"/>
        <v>2024</v>
      </c>
      <c r="C139" s="27">
        <f t="shared" si="11"/>
        <v>5</v>
      </c>
      <c r="D139" s="27">
        <f t="shared" si="12"/>
        <v>17</v>
      </c>
      <c r="E139" s="27">
        <f t="shared" si="13"/>
        <v>6</v>
      </c>
      <c r="F139" s="27">
        <f>VLOOKUP(E139,[2]t_calendarioPolitica!A:C,3,FALSE)</f>
        <v>1</v>
      </c>
      <c r="G139" s="1">
        <v>1</v>
      </c>
      <c r="H139" s="1">
        <v>1</v>
      </c>
      <c r="I139" s="1">
        <f t="shared" si="14"/>
        <v>1</v>
      </c>
    </row>
    <row r="140" spans="1:9" x14ac:dyDescent="0.25">
      <c r="A140" s="26">
        <v>45430</v>
      </c>
      <c r="B140" s="27">
        <f t="shared" si="10"/>
        <v>2024</v>
      </c>
      <c r="C140" s="27">
        <f t="shared" si="11"/>
        <v>5</v>
      </c>
      <c r="D140" s="27">
        <f t="shared" si="12"/>
        <v>18</v>
      </c>
      <c r="E140" s="27">
        <f t="shared" si="13"/>
        <v>7</v>
      </c>
      <c r="F140" s="27">
        <f>VLOOKUP(E140,[2]t_calendarioPolitica!A:C,3,FALSE)</f>
        <v>2</v>
      </c>
      <c r="G140" s="1">
        <v>1</v>
      </c>
      <c r="H140" s="1">
        <v>1</v>
      </c>
      <c r="I140" s="1">
        <f t="shared" si="14"/>
        <v>1</v>
      </c>
    </row>
    <row r="141" spans="1:9" x14ac:dyDescent="0.25">
      <c r="A141" s="26">
        <v>45431</v>
      </c>
      <c r="B141" s="27">
        <f t="shared" si="10"/>
        <v>2024</v>
      </c>
      <c r="C141" s="27">
        <f t="shared" si="11"/>
        <v>5</v>
      </c>
      <c r="D141" s="27">
        <f t="shared" si="12"/>
        <v>19</v>
      </c>
      <c r="E141" s="27">
        <f t="shared" si="13"/>
        <v>1</v>
      </c>
      <c r="F141" s="27">
        <f>VLOOKUP(E141,[2]t_calendarioPolitica!A:C,3,FALSE)</f>
        <v>0</v>
      </c>
      <c r="G141" s="1">
        <v>1</v>
      </c>
      <c r="H141" s="1">
        <v>1</v>
      </c>
      <c r="I141" s="1">
        <f t="shared" si="14"/>
        <v>0</v>
      </c>
    </row>
    <row r="142" spans="1:9" x14ac:dyDescent="0.25">
      <c r="A142" s="26">
        <v>45432</v>
      </c>
      <c r="B142" s="27">
        <f t="shared" si="10"/>
        <v>2024</v>
      </c>
      <c r="C142" s="27">
        <f t="shared" si="11"/>
        <v>5</v>
      </c>
      <c r="D142" s="27">
        <f t="shared" si="12"/>
        <v>20</v>
      </c>
      <c r="E142" s="27">
        <f t="shared" si="13"/>
        <v>2</v>
      </c>
      <c r="F142" s="27">
        <f>VLOOKUP(E142,[2]t_calendarioPolitica!A:C,3,FALSE)</f>
        <v>1</v>
      </c>
      <c r="G142" s="1">
        <v>1</v>
      </c>
      <c r="H142" s="1">
        <v>1</v>
      </c>
      <c r="I142" s="1">
        <f t="shared" si="14"/>
        <v>1</v>
      </c>
    </row>
    <row r="143" spans="1:9" x14ac:dyDescent="0.25">
      <c r="A143" s="26">
        <v>45433</v>
      </c>
      <c r="B143" s="27">
        <f t="shared" si="10"/>
        <v>2024</v>
      </c>
      <c r="C143" s="27">
        <f t="shared" si="11"/>
        <v>5</v>
      </c>
      <c r="D143" s="27">
        <f t="shared" si="12"/>
        <v>21</v>
      </c>
      <c r="E143" s="27">
        <f t="shared" si="13"/>
        <v>3</v>
      </c>
      <c r="F143" s="27">
        <f>VLOOKUP(E143,[2]t_calendarioPolitica!A:C,3,FALSE)</f>
        <v>1</v>
      </c>
      <c r="G143" s="1">
        <v>1</v>
      </c>
      <c r="H143" s="1">
        <v>1</v>
      </c>
      <c r="I143" s="1">
        <f t="shared" si="14"/>
        <v>1</v>
      </c>
    </row>
    <row r="144" spans="1:9" x14ac:dyDescent="0.25">
      <c r="A144" s="26">
        <v>45434</v>
      </c>
      <c r="B144" s="27">
        <f t="shared" si="10"/>
        <v>2024</v>
      </c>
      <c r="C144" s="27">
        <f t="shared" si="11"/>
        <v>5</v>
      </c>
      <c r="D144" s="27">
        <f t="shared" si="12"/>
        <v>22</v>
      </c>
      <c r="E144" s="27">
        <f t="shared" si="13"/>
        <v>4</v>
      </c>
      <c r="F144" s="27">
        <f>VLOOKUP(E144,[2]t_calendarioPolitica!A:C,3,FALSE)</f>
        <v>1</v>
      </c>
      <c r="G144" s="1">
        <v>1</v>
      </c>
      <c r="H144" s="1">
        <v>1</v>
      </c>
      <c r="I144" s="1">
        <f t="shared" si="14"/>
        <v>1</v>
      </c>
    </row>
    <row r="145" spans="1:9" x14ac:dyDescent="0.25">
      <c r="A145" s="26">
        <v>45435</v>
      </c>
      <c r="B145" s="27">
        <f t="shared" si="10"/>
        <v>2024</v>
      </c>
      <c r="C145" s="27">
        <f t="shared" si="11"/>
        <v>5</v>
      </c>
      <c r="D145" s="27">
        <f t="shared" si="12"/>
        <v>23</v>
      </c>
      <c r="E145" s="27">
        <f t="shared" si="13"/>
        <v>5</v>
      </c>
      <c r="F145" s="27">
        <f>VLOOKUP(E145,[2]t_calendarioPolitica!A:C,3,FALSE)</f>
        <v>1</v>
      </c>
      <c r="G145" s="1">
        <v>1</v>
      </c>
      <c r="H145" s="1">
        <v>1</v>
      </c>
      <c r="I145" s="1">
        <f t="shared" si="14"/>
        <v>1</v>
      </c>
    </row>
    <row r="146" spans="1:9" x14ac:dyDescent="0.25">
      <c r="A146" s="26">
        <v>45436</v>
      </c>
      <c r="B146" s="27">
        <f t="shared" si="10"/>
        <v>2024</v>
      </c>
      <c r="C146" s="27">
        <f t="shared" si="11"/>
        <v>5</v>
      </c>
      <c r="D146" s="27">
        <f t="shared" si="12"/>
        <v>24</v>
      </c>
      <c r="E146" s="27">
        <f t="shared" si="13"/>
        <v>6</v>
      </c>
      <c r="F146" s="27">
        <f>VLOOKUP(E146,[2]t_calendarioPolitica!A:C,3,FALSE)</f>
        <v>1</v>
      </c>
      <c r="G146" s="1">
        <v>1</v>
      </c>
      <c r="H146" s="1">
        <v>1</v>
      </c>
      <c r="I146" s="1">
        <f t="shared" si="14"/>
        <v>1</v>
      </c>
    </row>
    <row r="147" spans="1:9" x14ac:dyDescent="0.25">
      <c r="A147" s="26">
        <v>45437</v>
      </c>
      <c r="B147" s="27">
        <f t="shared" si="10"/>
        <v>2024</v>
      </c>
      <c r="C147" s="27">
        <f t="shared" si="11"/>
        <v>5</v>
      </c>
      <c r="D147" s="27">
        <f t="shared" si="12"/>
        <v>25</v>
      </c>
      <c r="E147" s="27">
        <f t="shared" si="13"/>
        <v>7</v>
      </c>
      <c r="F147" s="27">
        <f>VLOOKUP(E147,[2]t_calendarioPolitica!A:C,3,FALSE)</f>
        <v>2</v>
      </c>
      <c r="G147" s="1">
        <v>1</v>
      </c>
      <c r="H147" s="1">
        <v>1</v>
      </c>
      <c r="I147" s="1">
        <f t="shared" si="14"/>
        <v>1</v>
      </c>
    </row>
    <row r="148" spans="1:9" x14ac:dyDescent="0.25">
      <c r="A148" s="26">
        <v>45438</v>
      </c>
      <c r="B148" s="27">
        <f t="shared" si="10"/>
        <v>2024</v>
      </c>
      <c r="C148" s="27">
        <f t="shared" si="11"/>
        <v>5</v>
      </c>
      <c r="D148" s="27">
        <f t="shared" si="12"/>
        <v>26</v>
      </c>
      <c r="E148" s="27">
        <f t="shared" si="13"/>
        <v>1</v>
      </c>
      <c r="F148" s="27">
        <f>VLOOKUP(E148,[2]t_calendarioPolitica!A:C,3,FALSE)</f>
        <v>0</v>
      </c>
      <c r="G148" s="1">
        <v>1</v>
      </c>
      <c r="H148" s="1">
        <v>1</v>
      </c>
      <c r="I148" s="1">
        <f t="shared" si="14"/>
        <v>0</v>
      </c>
    </row>
    <row r="149" spans="1:9" x14ac:dyDescent="0.25">
      <c r="A149" s="26">
        <v>45439</v>
      </c>
      <c r="B149" s="27">
        <f t="shared" si="10"/>
        <v>2024</v>
      </c>
      <c r="C149" s="27">
        <f t="shared" si="11"/>
        <v>5</v>
      </c>
      <c r="D149" s="27">
        <f t="shared" si="12"/>
        <v>27</v>
      </c>
      <c r="E149" s="27">
        <f t="shared" si="13"/>
        <v>2</v>
      </c>
      <c r="F149" s="27">
        <f>VLOOKUP(E149,[2]t_calendarioPolitica!A:C,3,FALSE)</f>
        <v>1</v>
      </c>
      <c r="G149" s="1">
        <v>1</v>
      </c>
      <c r="H149" s="1">
        <v>1</v>
      </c>
      <c r="I149" s="1">
        <f t="shared" si="14"/>
        <v>1</v>
      </c>
    </row>
    <row r="150" spans="1:9" x14ac:dyDescent="0.25">
      <c r="A150" s="26">
        <v>45440</v>
      </c>
      <c r="B150" s="27">
        <f t="shared" si="10"/>
        <v>2024</v>
      </c>
      <c r="C150" s="27">
        <f t="shared" si="11"/>
        <v>5</v>
      </c>
      <c r="D150" s="27">
        <f t="shared" si="12"/>
        <v>28</v>
      </c>
      <c r="E150" s="27">
        <f t="shared" si="13"/>
        <v>3</v>
      </c>
      <c r="F150" s="27">
        <f>VLOOKUP(E150,[2]t_calendarioPolitica!A:C,3,FALSE)</f>
        <v>1</v>
      </c>
      <c r="G150" s="1">
        <v>1</v>
      </c>
      <c r="H150" s="1">
        <v>1</v>
      </c>
      <c r="I150" s="1">
        <f t="shared" si="14"/>
        <v>1</v>
      </c>
    </row>
    <row r="151" spans="1:9" x14ac:dyDescent="0.25">
      <c r="A151" s="26">
        <v>45441</v>
      </c>
      <c r="B151" s="27">
        <f t="shared" si="10"/>
        <v>2024</v>
      </c>
      <c r="C151" s="27">
        <f t="shared" si="11"/>
        <v>5</v>
      </c>
      <c r="D151" s="27">
        <f t="shared" si="12"/>
        <v>29</v>
      </c>
      <c r="E151" s="27">
        <f t="shared" si="13"/>
        <v>4</v>
      </c>
      <c r="F151" s="27">
        <f>VLOOKUP(E151,[2]t_calendarioPolitica!A:C,3,FALSE)</f>
        <v>1</v>
      </c>
      <c r="G151" s="1">
        <v>1</v>
      </c>
      <c r="H151" s="1">
        <v>1</v>
      </c>
      <c r="I151" s="1">
        <f t="shared" si="14"/>
        <v>1</v>
      </c>
    </row>
    <row r="152" spans="1:9" x14ac:dyDescent="0.25">
      <c r="A152" s="26">
        <v>45442</v>
      </c>
      <c r="B152" s="27">
        <f t="shared" si="10"/>
        <v>2024</v>
      </c>
      <c r="C152" s="27">
        <f t="shared" si="11"/>
        <v>5</v>
      </c>
      <c r="D152" s="27">
        <f t="shared" si="12"/>
        <v>30</v>
      </c>
      <c r="E152" s="27">
        <f t="shared" si="13"/>
        <v>5</v>
      </c>
      <c r="F152" s="27">
        <f>VLOOKUP(E152,[2]t_calendarioPolitica!A:C,3,FALSE)</f>
        <v>1</v>
      </c>
      <c r="G152" s="1">
        <v>1</v>
      </c>
      <c r="H152" s="1">
        <v>1</v>
      </c>
      <c r="I152" s="1">
        <f t="shared" si="14"/>
        <v>1</v>
      </c>
    </row>
    <row r="153" spans="1:9" x14ac:dyDescent="0.25">
      <c r="A153" s="26">
        <v>45443</v>
      </c>
      <c r="B153" s="27">
        <f t="shared" si="10"/>
        <v>2024</v>
      </c>
      <c r="C153" s="27">
        <f t="shared" si="11"/>
        <v>5</v>
      </c>
      <c r="D153" s="27">
        <f t="shared" si="12"/>
        <v>31</v>
      </c>
      <c r="E153" s="27">
        <f t="shared" si="13"/>
        <v>6</v>
      </c>
      <c r="F153" s="27">
        <f>VLOOKUP(E153,[2]t_calendarioPolitica!A:C,3,FALSE)</f>
        <v>1</v>
      </c>
      <c r="G153" s="1">
        <v>1</v>
      </c>
      <c r="H153" s="1">
        <v>1</v>
      </c>
      <c r="I153" s="1">
        <f t="shared" si="14"/>
        <v>1</v>
      </c>
    </row>
    <row r="154" spans="1:9" x14ac:dyDescent="0.25">
      <c r="A154" s="26">
        <v>45444</v>
      </c>
      <c r="B154" s="27">
        <f t="shared" si="10"/>
        <v>2024</v>
      </c>
      <c r="C154" s="27">
        <f t="shared" si="11"/>
        <v>6</v>
      </c>
      <c r="D154" s="27">
        <f t="shared" si="12"/>
        <v>1</v>
      </c>
      <c r="E154" s="27">
        <f t="shared" si="13"/>
        <v>7</v>
      </c>
      <c r="F154" s="27">
        <f>VLOOKUP(E154,[2]t_calendarioPolitica!A:C,3,FALSE)</f>
        <v>2</v>
      </c>
      <c r="G154" s="1">
        <v>1</v>
      </c>
      <c r="H154" s="1">
        <v>1</v>
      </c>
      <c r="I154" s="1">
        <f t="shared" si="14"/>
        <v>1</v>
      </c>
    </row>
    <row r="155" spans="1:9" x14ac:dyDescent="0.25">
      <c r="A155" s="26">
        <v>45445</v>
      </c>
      <c r="B155" s="27">
        <f t="shared" si="10"/>
        <v>2024</v>
      </c>
      <c r="C155" s="27">
        <f t="shared" si="11"/>
        <v>6</v>
      </c>
      <c r="D155" s="27">
        <f t="shared" si="12"/>
        <v>2</v>
      </c>
      <c r="E155" s="27">
        <f t="shared" si="13"/>
        <v>1</v>
      </c>
      <c r="F155" s="27">
        <f>VLOOKUP(E155,[2]t_calendarioPolitica!A:C,3,FALSE)</f>
        <v>0</v>
      </c>
      <c r="G155" s="1">
        <v>1</v>
      </c>
      <c r="H155" s="1">
        <v>1</v>
      </c>
      <c r="I155" s="1">
        <f t="shared" si="14"/>
        <v>0</v>
      </c>
    </row>
    <row r="156" spans="1:9" x14ac:dyDescent="0.25">
      <c r="A156" s="26">
        <v>45446</v>
      </c>
      <c r="B156" s="27">
        <f t="shared" si="10"/>
        <v>2024</v>
      </c>
      <c r="C156" s="27">
        <f t="shared" si="11"/>
        <v>6</v>
      </c>
      <c r="D156" s="27">
        <f t="shared" si="12"/>
        <v>3</v>
      </c>
      <c r="E156" s="27">
        <f t="shared" si="13"/>
        <v>2</v>
      </c>
      <c r="F156" s="27">
        <f>VLOOKUP(E156,[2]t_calendarioPolitica!A:C,3,FALSE)</f>
        <v>1</v>
      </c>
      <c r="G156" s="1">
        <v>1</v>
      </c>
      <c r="H156" s="1">
        <v>1</v>
      </c>
      <c r="I156" s="1">
        <f t="shared" si="14"/>
        <v>1</v>
      </c>
    </row>
    <row r="157" spans="1:9" x14ac:dyDescent="0.25">
      <c r="A157" s="26">
        <v>45447</v>
      </c>
      <c r="B157" s="27">
        <f t="shared" si="10"/>
        <v>2024</v>
      </c>
      <c r="C157" s="27">
        <f t="shared" si="11"/>
        <v>6</v>
      </c>
      <c r="D157" s="27">
        <f t="shared" si="12"/>
        <v>4</v>
      </c>
      <c r="E157" s="27">
        <f t="shared" si="13"/>
        <v>3</v>
      </c>
      <c r="F157" s="27">
        <f>VLOOKUP(E157,[2]t_calendarioPolitica!A:C,3,FALSE)</f>
        <v>1</v>
      </c>
      <c r="G157" s="1">
        <v>1</v>
      </c>
      <c r="H157" s="1">
        <v>1</v>
      </c>
      <c r="I157" s="1">
        <f t="shared" si="14"/>
        <v>1</v>
      </c>
    </row>
    <row r="158" spans="1:9" x14ac:dyDescent="0.25">
      <c r="A158" s="26">
        <v>45448</v>
      </c>
      <c r="B158" s="27">
        <f t="shared" si="10"/>
        <v>2024</v>
      </c>
      <c r="C158" s="27">
        <f t="shared" si="11"/>
        <v>6</v>
      </c>
      <c r="D158" s="27">
        <f t="shared" si="12"/>
        <v>5</v>
      </c>
      <c r="E158" s="27">
        <f t="shared" si="13"/>
        <v>4</v>
      </c>
      <c r="F158" s="27">
        <f>VLOOKUP(E158,[2]t_calendarioPolitica!A:C,3,FALSE)</f>
        <v>1</v>
      </c>
      <c r="G158" s="1">
        <v>1</v>
      </c>
      <c r="H158" s="1">
        <v>1</v>
      </c>
      <c r="I158" s="1">
        <f t="shared" si="14"/>
        <v>1</v>
      </c>
    </row>
    <row r="159" spans="1:9" x14ac:dyDescent="0.25">
      <c r="A159" s="26">
        <v>45449</v>
      </c>
      <c r="B159" s="27">
        <f t="shared" si="10"/>
        <v>2024</v>
      </c>
      <c r="C159" s="27">
        <f t="shared" si="11"/>
        <v>6</v>
      </c>
      <c r="D159" s="27">
        <f t="shared" si="12"/>
        <v>6</v>
      </c>
      <c r="E159" s="27">
        <f t="shared" si="13"/>
        <v>5</v>
      </c>
      <c r="F159" s="27">
        <f>VLOOKUP(E159,[2]t_calendarioPolitica!A:C,3,FALSE)</f>
        <v>1</v>
      </c>
      <c r="G159" s="1">
        <v>1</v>
      </c>
      <c r="H159" s="1">
        <v>1</v>
      </c>
      <c r="I159" s="1">
        <f t="shared" si="14"/>
        <v>1</v>
      </c>
    </row>
    <row r="160" spans="1:9" x14ac:dyDescent="0.25">
      <c r="A160" s="26">
        <v>45450</v>
      </c>
      <c r="B160" s="27">
        <f t="shared" si="10"/>
        <v>2024</v>
      </c>
      <c r="C160" s="27">
        <f t="shared" si="11"/>
        <v>6</v>
      </c>
      <c r="D160" s="27">
        <f t="shared" si="12"/>
        <v>7</v>
      </c>
      <c r="E160" s="27">
        <f t="shared" si="13"/>
        <v>6</v>
      </c>
      <c r="F160" s="27">
        <f>VLOOKUP(E160,[2]t_calendarioPolitica!A:C,3,FALSE)</f>
        <v>1</v>
      </c>
      <c r="G160" s="1">
        <v>1</v>
      </c>
      <c r="H160" s="1">
        <v>1</v>
      </c>
      <c r="I160" s="1">
        <f t="shared" si="14"/>
        <v>1</v>
      </c>
    </row>
    <row r="161" spans="1:9" x14ac:dyDescent="0.25">
      <c r="A161" s="26">
        <v>45451</v>
      </c>
      <c r="B161" s="27">
        <f t="shared" si="10"/>
        <v>2024</v>
      </c>
      <c r="C161" s="27">
        <f t="shared" si="11"/>
        <v>6</v>
      </c>
      <c r="D161" s="27">
        <f t="shared" si="12"/>
        <v>8</v>
      </c>
      <c r="E161" s="27">
        <f t="shared" si="13"/>
        <v>7</v>
      </c>
      <c r="F161" s="27">
        <f>VLOOKUP(E161,[2]t_calendarioPolitica!A:C,3,FALSE)</f>
        <v>2</v>
      </c>
      <c r="G161" s="1">
        <v>1</v>
      </c>
      <c r="H161" s="1">
        <v>1</v>
      </c>
      <c r="I161" s="1">
        <f t="shared" si="14"/>
        <v>1</v>
      </c>
    </row>
    <row r="162" spans="1:9" x14ac:dyDescent="0.25">
      <c r="A162" s="26">
        <v>45452</v>
      </c>
      <c r="B162" s="27">
        <f t="shared" si="10"/>
        <v>2024</v>
      </c>
      <c r="C162" s="27">
        <f t="shared" si="11"/>
        <v>6</v>
      </c>
      <c r="D162" s="27">
        <f t="shared" si="12"/>
        <v>9</v>
      </c>
      <c r="E162" s="27">
        <f t="shared" si="13"/>
        <v>1</v>
      </c>
      <c r="F162" s="27">
        <f>VLOOKUP(E162,[2]t_calendarioPolitica!A:C,3,FALSE)</f>
        <v>0</v>
      </c>
      <c r="G162" s="1">
        <v>1</v>
      </c>
      <c r="H162" s="1">
        <v>1</v>
      </c>
      <c r="I162" s="1">
        <f t="shared" si="14"/>
        <v>0</v>
      </c>
    </row>
    <row r="163" spans="1:9" x14ac:dyDescent="0.25">
      <c r="A163" s="26">
        <v>45453</v>
      </c>
      <c r="B163" s="27">
        <f t="shared" si="10"/>
        <v>2024</v>
      </c>
      <c r="C163" s="27">
        <f t="shared" si="11"/>
        <v>6</v>
      </c>
      <c r="D163" s="27">
        <f t="shared" si="12"/>
        <v>10</v>
      </c>
      <c r="E163" s="27">
        <f t="shared" si="13"/>
        <v>2</v>
      </c>
      <c r="F163" s="27">
        <f>VLOOKUP(E163,[2]t_calendarioPolitica!A:C,3,FALSE)</f>
        <v>1</v>
      </c>
      <c r="G163" s="1">
        <v>1</v>
      </c>
      <c r="H163" s="1">
        <v>1</v>
      </c>
      <c r="I163" s="1">
        <f t="shared" si="14"/>
        <v>1</v>
      </c>
    </row>
    <row r="164" spans="1:9" x14ac:dyDescent="0.25">
      <c r="A164" s="26">
        <v>45454</v>
      </c>
      <c r="B164" s="27">
        <f t="shared" si="10"/>
        <v>2024</v>
      </c>
      <c r="C164" s="27">
        <f t="shared" si="11"/>
        <v>6</v>
      </c>
      <c r="D164" s="27">
        <f t="shared" si="12"/>
        <v>11</v>
      </c>
      <c r="E164" s="27">
        <f t="shared" si="13"/>
        <v>3</v>
      </c>
      <c r="F164" s="27">
        <f>VLOOKUP(E164,[2]t_calendarioPolitica!A:C,3,FALSE)</f>
        <v>1</v>
      </c>
      <c r="G164" s="1">
        <v>1</v>
      </c>
      <c r="H164" s="1">
        <v>1</v>
      </c>
      <c r="I164" s="1">
        <f t="shared" si="14"/>
        <v>1</v>
      </c>
    </row>
    <row r="165" spans="1:9" x14ac:dyDescent="0.25">
      <c r="A165" s="26">
        <v>45455</v>
      </c>
      <c r="B165" s="27">
        <f t="shared" si="10"/>
        <v>2024</v>
      </c>
      <c r="C165" s="27">
        <f t="shared" si="11"/>
        <v>6</v>
      </c>
      <c r="D165" s="27">
        <f t="shared" si="12"/>
        <v>12</v>
      </c>
      <c r="E165" s="27">
        <f t="shared" si="13"/>
        <v>4</v>
      </c>
      <c r="F165" s="27">
        <f>VLOOKUP(E165,[2]t_calendarioPolitica!A:C,3,FALSE)</f>
        <v>1</v>
      </c>
      <c r="G165" s="1">
        <v>1</v>
      </c>
      <c r="H165" s="1">
        <v>1</v>
      </c>
      <c r="I165" s="1">
        <f t="shared" si="14"/>
        <v>1</v>
      </c>
    </row>
    <row r="166" spans="1:9" x14ac:dyDescent="0.25">
      <c r="A166" s="26">
        <v>45456</v>
      </c>
      <c r="B166" s="27">
        <f t="shared" si="10"/>
        <v>2024</v>
      </c>
      <c r="C166" s="27">
        <f t="shared" si="11"/>
        <v>6</v>
      </c>
      <c r="D166" s="27">
        <f t="shared" si="12"/>
        <v>13</v>
      </c>
      <c r="E166" s="27">
        <f t="shared" si="13"/>
        <v>5</v>
      </c>
      <c r="F166" s="27">
        <f>VLOOKUP(E166,[2]t_calendarioPolitica!A:C,3,FALSE)</f>
        <v>1</v>
      </c>
      <c r="G166" s="1">
        <v>1</v>
      </c>
      <c r="H166" s="1">
        <v>1</v>
      </c>
      <c r="I166" s="1">
        <f t="shared" si="14"/>
        <v>1</v>
      </c>
    </row>
    <row r="167" spans="1:9" x14ac:dyDescent="0.25">
      <c r="A167" s="26">
        <v>45457</v>
      </c>
      <c r="B167" s="27">
        <f t="shared" si="10"/>
        <v>2024</v>
      </c>
      <c r="C167" s="27">
        <f t="shared" si="11"/>
        <v>6</v>
      </c>
      <c r="D167" s="27">
        <f t="shared" si="12"/>
        <v>14</v>
      </c>
      <c r="E167" s="27">
        <f t="shared" si="13"/>
        <v>6</v>
      </c>
      <c r="F167" s="27">
        <f>VLOOKUP(E167,[2]t_calendarioPolitica!A:C,3,FALSE)</f>
        <v>1</v>
      </c>
      <c r="G167" s="1">
        <v>1</v>
      </c>
      <c r="H167" s="1">
        <v>1</v>
      </c>
      <c r="I167" s="1">
        <f t="shared" si="14"/>
        <v>1</v>
      </c>
    </row>
    <row r="168" spans="1:9" x14ac:dyDescent="0.25">
      <c r="A168" s="26">
        <v>45458</v>
      </c>
      <c r="B168" s="27">
        <f t="shared" si="10"/>
        <v>2024</v>
      </c>
      <c r="C168" s="27">
        <f t="shared" si="11"/>
        <v>6</v>
      </c>
      <c r="D168" s="27">
        <f t="shared" si="12"/>
        <v>15</v>
      </c>
      <c r="E168" s="27">
        <f t="shared" si="13"/>
        <v>7</v>
      </c>
      <c r="F168" s="27">
        <f>VLOOKUP(E168,[2]t_calendarioPolitica!A:C,3,FALSE)</f>
        <v>2</v>
      </c>
      <c r="G168" s="1">
        <v>1</v>
      </c>
      <c r="H168" s="1">
        <v>1</v>
      </c>
      <c r="I168" s="1">
        <f t="shared" si="14"/>
        <v>1</v>
      </c>
    </row>
    <row r="169" spans="1:9" x14ac:dyDescent="0.25">
      <c r="A169" s="26">
        <v>45459</v>
      </c>
      <c r="B169" s="27">
        <f t="shared" si="10"/>
        <v>2024</v>
      </c>
      <c r="C169" s="27">
        <f t="shared" si="11"/>
        <v>6</v>
      </c>
      <c r="D169" s="27">
        <f t="shared" si="12"/>
        <v>16</v>
      </c>
      <c r="E169" s="27">
        <f t="shared" si="13"/>
        <v>1</v>
      </c>
      <c r="F169" s="27">
        <f>VLOOKUP(E169,[2]t_calendarioPolitica!A:C,3,FALSE)</f>
        <v>0</v>
      </c>
      <c r="G169" s="1">
        <v>1</v>
      </c>
      <c r="H169" s="1">
        <v>1</v>
      </c>
      <c r="I169" s="1">
        <f t="shared" si="14"/>
        <v>0</v>
      </c>
    </row>
    <row r="170" spans="1:9" x14ac:dyDescent="0.25">
      <c r="A170" s="26">
        <v>45460</v>
      </c>
      <c r="B170" s="27">
        <f t="shared" si="10"/>
        <v>2024</v>
      </c>
      <c r="C170" s="27">
        <f t="shared" si="11"/>
        <v>6</v>
      </c>
      <c r="D170" s="27">
        <f t="shared" si="12"/>
        <v>17</v>
      </c>
      <c r="E170" s="27">
        <f t="shared" si="13"/>
        <v>2</v>
      </c>
      <c r="F170" s="27">
        <f>VLOOKUP(E170,[2]t_calendarioPolitica!A:C,3,FALSE)</f>
        <v>1</v>
      </c>
      <c r="G170" s="1">
        <v>1</v>
      </c>
      <c r="H170" s="1">
        <v>1</v>
      </c>
      <c r="I170" s="1">
        <f t="shared" si="14"/>
        <v>1</v>
      </c>
    </row>
    <row r="171" spans="1:9" x14ac:dyDescent="0.25">
      <c r="A171" s="26">
        <v>45461</v>
      </c>
      <c r="B171" s="27">
        <f t="shared" si="10"/>
        <v>2024</v>
      </c>
      <c r="C171" s="27">
        <f t="shared" si="11"/>
        <v>6</v>
      </c>
      <c r="D171" s="27">
        <f t="shared" si="12"/>
        <v>18</v>
      </c>
      <c r="E171" s="27">
        <f t="shared" si="13"/>
        <v>3</v>
      </c>
      <c r="F171" s="27">
        <f>VLOOKUP(E171,[2]t_calendarioPolitica!A:C,3,FALSE)</f>
        <v>1</v>
      </c>
      <c r="G171" s="1">
        <v>1</v>
      </c>
      <c r="H171" s="1">
        <v>1</v>
      </c>
      <c r="I171" s="1">
        <f t="shared" si="14"/>
        <v>1</v>
      </c>
    </row>
    <row r="172" spans="1:9" x14ac:dyDescent="0.25">
      <c r="A172" s="26">
        <v>45462</v>
      </c>
      <c r="B172" s="27">
        <f t="shared" si="10"/>
        <v>2024</v>
      </c>
      <c r="C172" s="27">
        <f t="shared" si="11"/>
        <v>6</v>
      </c>
      <c r="D172" s="27">
        <f t="shared" si="12"/>
        <v>19</v>
      </c>
      <c r="E172" s="27">
        <f t="shared" si="13"/>
        <v>4</v>
      </c>
      <c r="F172" s="27">
        <f>VLOOKUP(E172,[2]t_calendarioPolitica!A:C,3,FALSE)</f>
        <v>1</v>
      </c>
      <c r="G172" s="1">
        <v>1</v>
      </c>
      <c r="H172" s="1">
        <v>1</v>
      </c>
      <c r="I172" s="1">
        <f t="shared" si="14"/>
        <v>1</v>
      </c>
    </row>
    <row r="173" spans="1:9" x14ac:dyDescent="0.25">
      <c r="A173" s="26">
        <v>45463</v>
      </c>
      <c r="B173" s="27">
        <f t="shared" si="10"/>
        <v>2024</v>
      </c>
      <c r="C173" s="27">
        <f t="shared" si="11"/>
        <v>6</v>
      </c>
      <c r="D173" s="27">
        <f t="shared" si="12"/>
        <v>20</v>
      </c>
      <c r="E173" s="27">
        <f t="shared" si="13"/>
        <v>5</v>
      </c>
      <c r="F173" s="27">
        <f>VLOOKUP(E173,[2]t_calendarioPolitica!A:C,3,FALSE)</f>
        <v>1</v>
      </c>
      <c r="G173" s="1">
        <v>1</v>
      </c>
      <c r="H173" s="1">
        <v>1</v>
      </c>
      <c r="I173" s="1">
        <f t="shared" si="14"/>
        <v>1</v>
      </c>
    </row>
    <row r="174" spans="1:9" x14ac:dyDescent="0.25">
      <c r="A174" s="26">
        <v>45464</v>
      </c>
      <c r="B174" s="27">
        <f t="shared" si="10"/>
        <v>2024</v>
      </c>
      <c r="C174" s="27">
        <f t="shared" si="11"/>
        <v>6</v>
      </c>
      <c r="D174" s="27">
        <f t="shared" si="12"/>
        <v>21</v>
      </c>
      <c r="E174" s="27">
        <f t="shared" si="13"/>
        <v>6</v>
      </c>
      <c r="F174" s="27">
        <f>VLOOKUP(E174,[2]t_calendarioPolitica!A:C,3,FALSE)</f>
        <v>1</v>
      </c>
      <c r="G174" s="1">
        <v>1</v>
      </c>
      <c r="H174" s="1">
        <v>1</v>
      </c>
      <c r="I174" s="1">
        <f t="shared" si="14"/>
        <v>1</v>
      </c>
    </row>
    <row r="175" spans="1:9" x14ac:dyDescent="0.25">
      <c r="A175" s="26">
        <v>45465</v>
      </c>
      <c r="B175" s="27">
        <f t="shared" si="10"/>
        <v>2024</v>
      </c>
      <c r="C175" s="27">
        <f t="shared" si="11"/>
        <v>6</v>
      </c>
      <c r="D175" s="27">
        <f t="shared" si="12"/>
        <v>22</v>
      </c>
      <c r="E175" s="27">
        <f t="shared" si="13"/>
        <v>7</v>
      </c>
      <c r="F175" s="27">
        <f>VLOOKUP(E175,[2]t_calendarioPolitica!A:C,3,FALSE)</f>
        <v>2</v>
      </c>
      <c r="G175" s="1">
        <v>1</v>
      </c>
      <c r="H175" s="1">
        <v>1</v>
      </c>
      <c r="I175" s="1">
        <f t="shared" si="14"/>
        <v>1</v>
      </c>
    </row>
    <row r="176" spans="1:9" x14ac:dyDescent="0.25">
      <c r="A176" s="26">
        <v>45466</v>
      </c>
      <c r="B176" s="27">
        <f t="shared" si="10"/>
        <v>2024</v>
      </c>
      <c r="C176" s="27">
        <f t="shared" si="11"/>
        <v>6</v>
      </c>
      <c r="D176" s="27">
        <f t="shared" si="12"/>
        <v>23</v>
      </c>
      <c r="E176" s="27">
        <f t="shared" si="13"/>
        <v>1</v>
      </c>
      <c r="F176" s="27">
        <f>VLOOKUP(E176,[2]t_calendarioPolitica!A:C,3,FALSE)</f>
        <v>0</v>
      </c>
      <c r="G176" s="1">
        <v>1</v>
      </c>
      <c r="H176" s="1">
        <v>1</v>
      </c>
      <c r="I176" s="1">
        <f t="shared" si="14"/>
        <v>0</v>
      </c>
    </row>
    <row r="177" spans="1:9" x14ac:dyDescent="0.25">
      <c r="A177" s="26">
        <v>45467</v>
      </c>
      <c r="B177" s="27">
        <f t="shared" si="10"/>
        <v>2024</v>
      </c>
      <c r="C177" s="27">
        <f t="shared" si="11"/>
        <v>6</v>
      </c>
      <c r="D177" s="27">
        <f t="shared" si="12"/>
        <v>24</v>
      </c>
      <c r="E177" s="27">
        <f t="shared" si="13"/>
        <v>2</v>
      </c>
      <c r="F177" s="27">
        <f>VLOOKUP(E177,[2]t_calendarioPolitica!A:C,3,FALSE)</f>
        <v>1</v>
      </c>
      <c r="G177" s="1">
        <v>1</v>
      </c>
      <c r="H177" s="1">
        <v>1</v>
      </c>
      <c r="I177" s="1">
        <f t="shared" si="14"/>
        <v>1</v>
      </c>
    </row>
    <row r="178" spans="1:9" x14ac:dyDescent="0.25">
      <c r="A178" s="26">
        <v>45468</v>
      </c>
      <c r="B178" s="27">
        <f t="shared" si="10"/>
        <v>2024</v>
      </c>
      <c r="C178" s="27">
        <f t="shared" si="11"/>
        <v>6</v>
      </c>
      <c r="D178" s="27">
        <f t="shared" si="12"/>
        <v>25</v>
      </c>
      <c r="E178" s="27">
        <f t="shared" si="13"/>
        <v>3</v>
      </c>
      <c r="F178" s="27">
        <f>VLOOKUP(E178,[2]t_calendarioPolitica!A:C,3,FALSE)</f>
        <v>1</v>
      </c>
      <c r="G178" s="1">
        <v>1</v>
      </c>
      <c r="H178" s="1">
        <v>1</v>
      </c>
      <c r="I178" s="1">
        <f t="shared" si="14"/>
        <v>1</v>
      </c>
    </row>
    <row r="179" spans="1:9" x14ac:dyDescent="0.25">
      <c r="A179" s="26">
        <v>45469</v>
      </c>
      <c r="B179" s="27">
        <f t="shared" si="10"/>
        <v>2024</v>
      </c>
      <c r="C179" s="27">
        <f t="shared" si="11"/>
        <v>6</v>
      </c>
      <c r="D179" s="27">
        <f t="shared" si="12"/>
        <v>26</v>
      </c>
      <c r="E179" s="27">
        <f t="shared" si="13"/>
        <v>4</v>
      </c>
      <c r="F179" s="27">
        <f>VLOOKUP(E179,[2]t_calendarioPolitica!A:C,3,FALSE)</f>
        <v>1</v>
      </c>
      <c r="G179" s="1">
        <v>1</v>
      </c>
      <c r="H179" s="1">
        <v>1</v>
      </c>
      <c r="I179" s="1">
        <f t="shared" si="14"/>
        <v>1</v>
      </c>
    </row>
    <row r="180" spans="1:9" x14ac:dyDescent="0.25">
      <c r="A180" s="26">
        <v>45470</v>
      </c>
      <c r="B180" s="27">
        <f t="shared" si="10"/>
        <v>2024</v>
      </c>
      <c r="C180" s="27">
        <f t="shared" si="11"/>
        <v>6</v>
      </c>
      <c r="D180" s="27">
        <f t="shared" si="12"/>
        <v>27</v>
      </c>
      <c r="E180" s="27">
        <f t="shared" si="13"/>
        <v>5</v>
      </c>
      <c r="F180" s="27">
        <f>VLOOKUP(E180,[2]t_calendarioPolitica!A:C,3,FALSE)</f>
        <v>1</v>
      </c>
      <c r="G180" s="1">
        <v>1</v>
      </c>
      <c r="H180" s="1">
        <v>1</v>
      </c>
      <c r="I180" s="1">
        <f t="shared" si="14"/>
        <v>1</v>
      </c>
    </row>
    <row r="181" spans="1:9" x14ac:dyDescent="0.25">
      <c r="A181" s="26">
        <v>45471</v>
      </c>
      <c r="B181" s="27">
        <f t="shared" si="10"/>
        <v>2024</v>
      </c>
      <c r="C181" s="27">
        <f t="shared" si="11"/>
        <v>6</v>
      </c>
      <c r="D181" s="27">
        <f t="shared" si="12"/>
        <v>28</v>
      </c>
      <c r="E181" s="27">
        <f t="shared" si="13"/>
        <v>6</v>
      </c>
      <c r="F181" s="27">
        <f>VLOOKUP(E181,[2]t_calendarioPolitica!A:C,3,FALSE)</f>
        <v>1</v>
      </c>
      <c r="G181" s="1">
        <v>1</v>
      </c>
      <c r="H181" s="1">
        <v>1</v>
      </c>
      <c r="I181" s="1">
        <f t="shared" si="14"/>
        <v>1</v>
      </c>
    </row>
    <row r="182" spans="1:9" x14ac:dyDescent="0.25">
      <c r="A182" s="26">
        <v>45472</v>
      </c>
      <c r="B182" s="27">
        <f t="shared" si="10"/>
        <v>2024</v>
      </c>
      <c r="C182" s="27">
        <f t="shared" si="11"/>
        <v>6</v>
      </c>
      <c r="D182" s="27">
        <f t="shared" si="12"/>
        <v>29</v>
      </c>
      <c r="E182" s="27">
        <f t="shared" si="13"/>
        <v>7</v>
      </c>
      <c r="F182" s="27">
        <f>VLOOKUP(E182,[2]t_calendarioPolitica!A:C,3,FALSE)</f>
        <v>2</v>
      </c>
      <c r="G182" s="1">
        <v>1</v>
      </c>
      <c r="H182" s="1">
        <v>1</v>
      </c>
      <c r="I182" s="1">
        <f t="shared" si="14"/>
        <v>1</v>
      </c>
    </row>
    <row r="183" spans="1:9" x14ac:dyDescent="0.25">
      <c r="A183" s="26">
        <v>45473</v>
      </c>
      <c r="B183" s="27">
        <f t="shared" si="10"/>
        <v>2024</v>
      </c>
      <c r="C183" s="27">
        <f t="shared" si="11"/>
        <v>6</v>
      </c>
      <c r="D183" s="27">
        <f t="shared" si="12"/>
        <v>30</v>
      </c>
      <c r="E183" s="27">
        <f t="shared" si="13"/>
        <v>1</v>
      </c>
      <c r="F183" s="27">
        <f>VLOOKUP(E183,[2]t_calendarioPolitica!A:C,3,FALSE)</f>
        <v>0</v>
      </c>
      <c r="G183" s="1">
        <v>1</v>
      </c>
      <c r="H183" s="1">
        <v>1</v>
      </c>
      <c r="I183" s="1">
        <f t="shared" si="14"/>
        <v>0</v>
      </c>
    </row>
    <row r="184" spans="1:9" x14ac:dyDescent="0.25">
      <c r="A184" s="26">
        <v>45474</v>
      </c>
      <c r="B184" s="27">
        <f t="shared" si="10"/>
        <v>2024</v>
      </c>
      <c r="C184" s="27">
        <f t="shared" si="11"/>
        <v>7</v>
      </c>
      <c r="D184" s="27">
        <f t="shared" si="12"/>
        <v>1</v>
      </c>
      <c r="E184" s="27">
        <f t="shared" si="13"/>
        <v>2</v>
      </c>
      <c r="F184" s="27">
        <f>VLOOKUP(E184,[2]t_calendarioPolitica!A:C,3,FALSE)</f>
        <v>1</v>
      </c>
      <c r="G184" s="1">
        <v>1</v>
      </c>
      <c r="H184" s="1">
        <v>1</v>
      </c>
      <c r="I184" s="1">
        <f t="shared" si="14"/>
        <v>1</v>
      </c>
    </row>
    <row r="185" spans="1:9" x14ac:dyDescent="0.25">
      <c r="A185" s="26">
        <v>45475</v>
      </c>
      <c r="B185" s="27">
        <f t="shared" si="10"/>
        <v>2024</v>
      </c>
      <c r="C185" s="27">
        <f t="shared" si="11"/>
        <v>7</v>
      </c>
      <c r="D185" s="27">
        <f t="shared" si="12"/>
        <v>2</v>
      </c>
      <c r="E185" s="27">
        <f t="shared" si="13"/>
        <v>3</v>
      </c>
      <c r="F185" s="27">
        <f>VLOOKUP(E185,[2]t_calendarioPolitica!A:C,3,FALSE)</f>
        <v>1</v>
      </c>
      <c r="G185" s="1">
        <v>1</v>
      </c>
      <c r="H185" s="1">
        <v>1</v>
      </c>
      <c r="I185" s="1">
        <f t="shared" si="14"/>
        <v>1</v>
      </c>
    </row>
    <row r="186" spans="1:9" x14ac:dyDescent="0.25">
      <c r="A186" s="26">
        <v>45476</v>
      </c>
      <c r="B186" s="27">
        <f t="shared" si="10"/>
        <v>2024</v>
      </c>
      <c r="C186" s="27">
        <f t="shared" si="11"/>
        <v>7</v>
      </c>
      <c r="D186" s="27">
        <f t="shared" si="12"/>
        <v>3</v>
      </c>
      <c r="E186" s="27">
        <f t="shared" si="13"/>
        <v>4</v>
      </c>
      <c r="F186" s="27">
        <f>VLOOKUP(E186,[2]t_calendarioPolitica!A:C,3,FALSE)</f>
        <v>1</v>
      </c>
      <c r="G186" s="1">
        <v>1</v>
      </c>
      <c r="H186" s="1">
        <v>1</v>
      </c>
      <c r="I186" s="1">
        <f t="shared" si="14"/>
        <v>1</v>
      </c>
    </row>
    <row r="187" spans="1:9" x14ac:dyDescent="0.25">
      <c r="A187" s="26">
        <v>45477</v>
      </c>
      <c r="B187" s="27">
        <f t="shared" si="10"/>
        <v>2024</v>
      </c>
      <c r="C187" s="27">
        <f t="shared" si="11"/>
        <v>7</v>
      </c>
      <c r="D187" s="27">
        <f t="shared" si="12"/>
        <v>4</v>
      </c>
      <c r="E187" s="27">
        <f t="shared" si="13"/>
        <v>5</v>
      </c>
      <c r="F187" s="27">
        <f>VLOOKUP(E187,[2]t_calendarioPolitica!A:C,3,FALSE)</f>
        <v>1</v>
      </c>
      <c r="G187" s="1">
        <v>1</v>
      </c>
      <c r="H187" s="1">
        <v>1</v>
      </c>
      <c r="I187" s="1">
        <f t="shared" si="14"/>
        <v>1</v>
      </c>
    </row>
    <row r="188" spans="1:9" x14ac:dyDescent="0.25">
      <c r="A188" s="26">
        <v>45478</v>
      </c>
      <c r="B188" s="27">
        <f t="shared" si="10"/>
        <v>2024</v>
      </c>
      <c r="C188" s="27">
        <f t="shared" si="11"/>
        <v>7</v>
      </c>
      <c r="D188" s="27">
        <f t="shared" si="12"/>
        <v>5</v>
      </c>
      <c r="E188" s="27">
        <f t="shared" si="13"/>
        <v>6</v>
      </c>
      <c r="F188" s="27">
        <f>VLOOKUP(E188,[2]t_calendarioPolitica!A:C,3,FALSE)</f>
        <v>1</v>
      </c>
      <c r="G188" s="1">
        <v>1</v>
      </c>
      <c r="H188" s="1">
        <v>1</v>
      </c>
      <c r="I188" s="1">
        <f t="shared" si="14"/>
        <v>1</v>
      </c>
    </row>
    <row r="189" spans="1:9" x14ac:dyDescent="0.25">
      <c r="A189" s="26">
        <v>45479</v>
      </c>
      <c r="B189" s="27">
        <f t="shared" si="10"/>
        <v>2024</v>
      </c>
      <c r="C189" s="27">
        <f t="shared" si="11"/>
        <v>7</v>
      </c>
      <c r="D189" s="27">
        <f t="shared" si="12"/>
        <v>6</v>
      </c>
      <c r="E189" s="27">
        <f t="shared" si="13"/>
        <v>7</v>
      </c>
      <c r="F189" s="27">
        <f>VLOOKUP(E189,[2]t_calendarioPolitica!A:C,3,FALSE)</f>
        <v>2</v>
      </c>
      <c r="G189" s="1">
        <v>1</v>
      </c>
      <c r="H189" s="1">
        <v>1</v>
      </c>
      <c r="I189" s="1">
        <f t="shared" si="14"/>
        <v>1</v>
      </c>
    </row>
    <row r="190" spans="1:9" x14ac:dyDescent="0.25">
      <c r="A190" s="26">
        <v>45480</v>
      </c>
      <c r="B190" s="27">
        <f t="shared" si="10"/>
        <v>2024</v>
      </c>
      <c r="C190" s="27">
        <f t="shared" si="11"/>
        <v>7</v>
      </c>
      <c r="D190" s="27">
        <f t="shared" si="12"/>
        <v>7</v>
      </c>
      <c r="E190" s="27">
        <f t="shared" si="13"/>
        <v>1</v>
      </c>
      <c r="F190" s="27">
        <f>VLOOKUP(E190,[2]t_calendarioPolitica!A:C,3,FALSE)</f>
        <v>0</v>
      </c>
      <c r="G190" s="1">
        <v>1</v>
      </c>
      <c r="H190" s="1">
        <v>1</v>
      </c>
      <c r="I190" s="1">
        <f t="shared" si="14"/>
        <v>0</v>
      </c>
    </row>
    <row r="191" spans="1:9" x14ac:dyDescent="0.25">
      <c r="A191" s="26">
        <v>45481</v>
      </c>
      <c r="B191" s="27">
        <f t="shared" si="10"/>
        <v>2024</v>
      </c>
      <c r="C191" s="27">
        <f t="shared" si="11"/>
        <v>7</v>
      </c>
      <c r="D191" s="27">
        <f t="shared" si="12"/>
        <v>8</v>
      </c>
      <c r="E191" s="27">
        <f t="shared" si="13"/>
        <v>2</v>
      </c>
      <c r="F191" s="27">
        <f>VLOOKUP(E191,[2]t_calendarioPolitica!A:C,3,FALSE)</f>
        <v>1</v>
      </c>
      <c r="G191" s="1">
        <v>1</v>
      </c>
      <c r="H191" s="1">
        <v>1</v>
      </c>
      <c r="I191" s="1">
        <f t="shared" si="14"/>
        <v>1</v>
      </c>
    </row>
    <row r="192" spans="1:9" x14ac:dyDescent="0.25">
      <c r="A192" s="26">
        <v>45482</v>
      </c>
      <c r="B192" s="27">
        <f t="shared" si="10"/>
        <v>2024</v>
      </c>
      <c r="C192" s="27">
        <f t="shared" si="11"/>
        <v>7</v>
      </c>
      <c r="D192" s="27">
        <f t="shared" si="12"/>
        <v>9</v>
      </c>
      <c r="E192" s="27">
        <f t="shared" si="13"/>
        <v>3</v>
      </c>
      <c r="F192" s="27">
        <f>VLOOKUP(E192,[2]t_calendarioPolitica!A:C,3,FALSE)</f>
        <v>1</v>
      </c>
      <c r="G192" s="1">
        <v>1</v>
      </c>
      <c r="H192" s="1">
        <v>1</v>
      </c>
      <c r="I192" s="1">
        <f t="shared" si="14"/>
        <v>1</v>
      </c>
    </row>
    <row r="193" spans="1:9" x14ac:dyDescent="0.25">
      <c r="A193" s="26">
        <v>45483</v>
      </c>
      <c r="B193" s="27">
        <f t="shared" si="10"/>
        <v>2024</v>
      </c>
      <c r="C193" s="27">
        <f t="shared" si="11"/>
        <v>7</v>
      </c>
      <c r="D193" s="27">
        <f t="shared" si="12"/>
        <v>10</v>
      </c>
      <c r="E193" s="27">
        <f t="shared" si="13"/>
        <v>4</v>
      </c>
      <c r="F193" s="27">
        <f>VLOOKUP(E193,[2]t_calendarioPolitica!A:C,3,FALSE)</f>
        <v>1</v>
      </c>
      <c r="G193" s="1">
        <v>1</v>
      </c>
      <c r="H193" s="1">
        <v>1</v>
      </c>
      <c r="I193" s="1">
        <f t="shared" si="14"/>
        <v>1</v>
      </c>
    </row>
    <row r="194" spans="1:9" x14ac:dyDescent="0.25">
      <c r="A194" s="26">
        <v>45484</v>
      </c>
      <c r="B194" s="27">
        <f t="shared" si="10"/>
        <v>2024</v>
      </c>
      <c r="C194" s="27">
        <f t="shared" si="11"/>
        <v>7</v>
      </c>
      <c r="D194" s="27">
        <f t="shared" si="12"/>
        <v>11</v>
      </c>
      <c r="E194" s="27">
        <f t="shared" si="13"/>
        <v>5</v>
      </c>
      <c r="F194" s="27">
        <f>VLOOKUP(E194,[2]t_calendarioPolitica!A:C,3,FALSE)</f>
        <v>1</v>
      </c>
      <c r="G194" s="1">
        <v>1</v>
      </c>
      <c r="H194" s="1">
        <v>1</v>
      </c>
      <c r="I194" s="1">
        <f t="shared" si="14"/>
        <v>1</v>
      </c>
    </row>
    <row r="195" spans="1:9" x14ac:dyDescent="0.25">
      <c r="A195" s="26">
        <v>45485</v>
      </c>
      <c r="B195" s="27">
        <f t="shared" ref="B195:B258" si="15">YEAR(A195)</f>
        <v>2024</v>
      </c>
      <c r="C195" s="27">
        <f t="shared" ref="C195:C258" si="16">MONTH(A195)</f>
        <v>7</v>
      </c>
      <c r="D195" s="27">
        <f t="shared" ref="D195:D258" si="17">DAY(A195)</f>
        <v>12</v>
      </c>
      <c r="E195" s="27">
        <f t="shared" ref="E195:E258" si="18">WEEKDAY(A195)</f>
        <v>6</v>
      </c>
      <c r="F195" s="27">
        <f>VLOOKUP(E195,[2]t_calendarioPolitica!A:C,3,FALSE)</f>
        <v>1</v>
      </c>
      <c r="G195" s="1">
        <v>1</v>
      </c>
      <c r="H195" s="1">
        <v>1</v>
      </c>
      <c r="I195" s="1">
        <f t="shared" ref="I195:I258" si="19">IF(AND(F195&lt;&gt;0, H195&lt;&gt;0,G195&lt;&gt;0), 1, 0)</f>
        <v>1</v>
      </c>
    </row>
    <row r="196" spans="1:9" x14ac:dyDescent="0.25">
      <c r="A196" s="26">
        <v>45486</v>
      </c>
      <c r="B196" s="27">
        <f t="shared" si="15"/>
        <v>2024</v>
      </c>
      <c r="C196" s="27">
        <f t="shared" si="16"/>
        <v>7</v>
      </c>
      <c r="D196" s="27">
        <f t="shared" si="17"/>
        <v>13</v>
      </c>
      <c r="E196" s="27">
        <f t="shared" si="18"/>
        <v>7</v>
      </c>
      <c r="F196" s="27">
        <f>VLOOKUP(E196,[2]t_calendarioPolitica!A:C,3,FALSE)</f>
        <v>2</v>
      </c>
      <c r="G196" s="1">
        <v>1</v>
      </c>
      <c r="H196" s="1">
        <v>1</v>
      </c>
      <c r="I196" s="1">
        <f t="shared" si="19"/>
        <v>1</v>
      </c>
    </row>
    <row r="197" spans="1:9" x14ac:dyDescent="0.25">
      <c r="A197" s="26">
        <v>45487</v>
      </c>
      <c r="B197" s="27">
        <f t="shared" si="15"/>
        <v>2024</v>
      </c>
      <c r="C197" s="27">
        <f t="shared" si="16"/>
        <v>7</v>
      </c>
      <c r="D197" s="27">
        <f t="shared" si="17"/>
        <v>14</v>
      </c>
      <c r="E197" s="27">
        <f t="shared" si="18"/>
        <v>1</v>
      </c>
      <c r="F197" s="27">
        <f>VLOOKUP(E197,[2]t_calendarioPolitica!A:C,3,FALSE)</f>
        <v>0</v>
      </c>
      <c r="G197" s="1">
        <v>1</v>
      </c>
      <c r="H197" s="1">
        <v>1</v>
      </c>
      <c r="I197" s="1">
        <f t="shared" si="19"/>
        <v>0</v>
      </c>
    </row>
    <row r="198" spans="1:9" x14ac:dyDescent="0.25">
      <c r="A198" s="26">
        <v>45488</v>
      </c>
      <c r="B198" s="27">
        <f t="shared" si="15"/>
        <v>2024</v>
      </c>
      <c r="C198" s="27">
        <f t="shared" si="16"/>
        <v>7</v>
      </c>
      <c r="D198" s="27">
        <f t="shared" si="17"/>
        <v>15</v>
      </c>
      <c r="E198" s="27">
        <f t="shared" si="18"/>
        <v>2</v>
      </c>
      <c r="F198" s="27">
        <f>VLOOKUP(E198,[2]t_calendarioPolitica!A:C,3,FALSE)</f>
        <v>1</v>
      </c>
      <c r="G198" s="1">
        <v>1</v>
      </c>
      <c r="H198" s="1">
        <v>1</v>
      </c>
      <c r="I198" s="1">
        <f t="shared" si="19"/>
        <v>1</v>
      </c>
    </row>
    <row r="199" spans="1:9" x14ac:dyDescent="0.25">
      <c r="A199" s="26">
        <v>45489</v>
      </c>
      <c r="B199" s="27">
        <f t="shared" si="15"/>
        <v>2024</v>
      </c>
      <c r="C199" s="27">
        <f t="shared" si="16"/>
        <v>7</v>
      </c>
      <c r="D199" s="27">
        <f t="shared" si="17"/>
        <v>16</v>
      </c>
      <c r="E199" s="27">
        <f t="shared" si="18"/>
        <v>3</v>
      </c>
      <c r="F199" s="27">
        <f>VLOOKUP(E199,[2]t_calendarioPolitica!A:C,3,FALSE)</f>
        <v>1</v>
      </c>
      <c r="G199" s="1">
        <v>1</v>
      </c>
      <c r="H199" s="1">
        <v>1</v>
      </c>
      <c r="I199" s="1">
        <f t="shared" si="19"/>
        <v>1</v>
      </c>
    </row>
    <row r="200" spans="1:9" x14ac:dyDescent="0.25">
      <c r="A200" s="26">
        <v>45490</v>
      </c>
      <c r="B200" s="27">
        <f t="shared" si="15"/>
        <v>2024</v>
      </c>
      <c r="C200" s="27">
        <f t="shared" si="16"/>
        <v>7</v>
      </c>
      <c r="D200" s="27">
        <f t="shared" si="17"/>
        <v>17</v>
      </c>
      <c r="E200" s="27">
        <f t="shared" si="18"/>
        <v>4</v>
      </c>
      <c r="F200" s="27">
        <f>VLOOKUP(E200,[2]t_calendarioPolitica!A:C,3,FALSE)</f>
        <v>1</v>
      </c>
      <c r="G200" s="1">
        <v>1</v>
      </c>
      <c r="H200" s="1">
        <v>1</v>
      </c>
      <c r="I200" s="1">
        <f t="shared" si="19"/>
        <v>1</v>
      </c>
    </row>
    <row r="201" spans="1:9" x14ac:dyDescent="0.25">
      <c r="A201" s="26">
        <v>45491</v>
      </c>
      <c r="B201" s="27">
        <f t="shared" si="15"/>
        <v>2024</v>
      </c>
      <c r="C201" s="27">
        <f t="shared" si="16"/>
        <v>7</v>
      </c>
      <c r="D201" s="27">
        <f t="shared" si="17"/>
        <v>18</v>
      </c>
      <c r="E201" s="27">
        <f t="shared" si="18"/>
        <v>5</v>
      </c>
      <c r="F201" s="27">
        <f>VLOOKUP(E201,[2]t_calendarioPolitica!A:C,3,FALSE)</f>
        <v>1</v>
      </c>
      <c r="G201" s="1">
        <v>1</v>
      </c>
      <c r="H201" s="1">
        <v>1</v>
      </c>
      <c r="I201" s="1">
        <f t="shared" si="19"/>
        <v>1</v>
      </c>
    </row>
    <row r="202" spans="1:9" x14ac:dyDescent="0.25">
      <c r="A202" s="26">
        <v>45492</v>
      </c>
      <c r="B202" s="27">
        <f t="shared" si="15"/>
        <v>2024</v>
      </c>
      <c r="C202" s="27">
        <f t="shared" si="16"/>
        <v>7</v>
      </c>
      <c r="D202" s="27">
        <f t="shared" si="17"/>
        <v>19</v>
      </c>
      <c r="E202" s="27">
        <f t="shared" si="18"/>
        <v>6</v>
      </c>
      <c r="F202" s="27">
        <f>VLOOKUP(E202,[2]t_calendarioPolitica!A:C,3,FALSE)</f>
        <v>1</v>
      </c>
      <c r="G202" s="1">
        <v>1</v>
      </c>
      <c r="H202" s="1">
        <v>1</v>
      </c>
      <c r="I202" s="1">
        <f t="shared" si="19"/>
        <v>1</v>
      </c>
    </row>
    <row r="203" spans="1:9" x14ac:dyDescent="0.25">
      <c r="A203" s="26">
        <v>45493</v>
      </c>
      <c r="B203" s="27">
        <f t="shared" si="15"/>
        <v>2024</v>
      </c>
      <c r="C203" s="27">
        <f t="shared" si="16"/>
        <v>7</v>
      </c>
      <c r="D203" s="27">
        <f t="shared" si="17"/>
        <v>20</v>
      </c>
      <c r="E203" s="27">
        <f t="shared" si="18"/>
        <v>7</v>
      </c>
      <c r="F203" s="27">
        <f>VLOOKUP(E203,[2]t_calendarioPolitica!A:C,3,FALSE)</f>
        <v>2</v>
      </c>
      <c r="G203" s="1">
        <v>1</v>
      </c>
      <c r="H203" s="1">
        <v>1</v>
      </c>
      <c r="I203" s="1">
        <f t="shared" si="19"/>
        <v>1</v>
      </c>
    </row>
    <row r="204" spans="1:9" x14ac:dyDescent="0.25">
      <c r="A204" s="26">
        <v>45494</v>
      </c>
      <c r="B204" s="27">
        <f t="shared" si="15"/>
        <v>2024</v>
      </c>
      <c r="C204" s="27">
        <f t="shared" si="16"/>
        <v>7</v>
      </c>
      <c r="D204" s="27">
        <f t="shared" si="17"/>
        <v>21</v>
      </c>
      <c r="E204" s="27">
        <f t="shared" si="18"/>
        <v>1</v>
      </c>
      <c r="F204" s="27">
        <f>VLOOKUP(E204,[2]t_calendarioPolitica!A:C,3,FALSE)</f>
        <v>0</v>
      </c>
      <c r="G204" s="1">
        <v>1</v>
      </c>
      <c r="H204" s="1">
        <v>1</v>
      </c>
      <c r="I204" s="1">
        <f t="shared" si="19"/>
        <v>0</v>
      </c>
    </row>
    <row r="205" spans="1:9" x14ac:dyDescent="0.25">
      <c r="A205" s="26">
        <v>45495</v>
      </c>
      <c r="B205" s="27">
        <f t="shared" si="15"/>
        <v>2024</v>
      </c>
      <c r="C205" s="27">
        <f t="shared" si="16"/>
        <v>7</v>
      </c>
      <c r="D205" s="27">
        <f t="shared" si="17"/>
        <v>22</v>
      </c>
      <c r="E205" s="27">
        <f t="shared" si="18"/>
        <v>2</v>
      </c>
      <c r="F205" s="27">
        <f>VLOOKUP(E205,[2]t_calendarioPolitica!A:C,3,FALSE)</f>
        <v>1</v>
      </c>
      <c r="G205" s="1">
        <v>1</v>
      </c>
      <c r="H205" s="1">
        <v>1</v>
      </c>
      <c r="I205" s="1">
        <f t="shared" si="19"/>
        <v>1</v>
      </c>
    </row>
    <row r="206" spans="1:9" x14ac:dyDescent="0.25">
      <c r="A206" s="26">
        <v>45496</v>
      </c>
      <c r="B206" s="27">
        <f t="shared" si="15"/>
        <v>2024</v>
      </c>
      <c r="C206" s="27">
        <f t="shared" si="16"/>
        <v>7</v>
      </c>
      <c r="D206" s="27">
        <f t="shared" si="17"/>
        <v>23</v>
      </c>
      <c r="E206" s="27">
        <f t="shared" si="18"/>
        <v>3</v>
      </c>
      <c r="F206" s="27">
        <f>VLOOKUP(E206,[2]t_calendarioPolitica!A:C,3,FALSE)</f>
        <v>1</v>
      </c>
      <c r="G206" s="1">
        <v>1</v>
      </c>
      <c r="H206" s="1">
        <v>1</v>
      </c>
      <c r="I206" s="1">
        <f t="shared" si="19"/>
        <v>1</v>
      </c>
    </row>
    <row r="207" spans="1:9" x14ac:dyDescent="0.25">
      <c r="A207" s="26">
        <v>45497</v>
      </c>
      <c r="B207" s="27">
        <f t="shared" si="15"/>
        <v>2024</v>
      </c>
      <c r="C207" s="27">
        <f t="shared" si="16"/>
        <v>7</v>
      </c>
      <c r="D207" s="27">
        <f t="shared" si="17"/>
        <v>24</v>
      </c>
      <c r="E207" s="27">
        <f t="shared" si="18"/>
        <v>4</v>
      </c>
      <c r="F207" s="27">
        <f>VLOOKUP(E207,[2]t_calendarioPolitica!A:C,3,FALSE)</f>
        <v>1</v>
      </c>
      <c r="G207" s="1">
        <v>1</v>
      </c>
      <c r="H207" s="1">
        <v>1</v>
      </c>
      <c r="I207" s="1">
        <f t="shared" si="19"/>
        <v>1</v>
      </c>
    </row>
    <row r="208" spans="1:9" x14ac:dyDescent="0.25">
      <c r="A208" s="26">
        <v>45498</v>
      </c>
      <c r="B208" s="27">
        <f t="shared" si="15"/>
        <v>2024</v>
      </c>
      <c r="C208" s="27">
        <f t="shared" si="16"/>
        <v>7</v>
      </c>
      <c r="D208" s="27">
        <f t="shared" si="17"/>
        <v>25</v>
      </c>
      <c r="E208" s="27">
        <f t="shared" si="18"/>
        <v>5</v>
      </c>
      <c r="F208" s="27">
        <f>VLOOKUP(E208,[2]t_calendarioPolitica!A:C,3,FALSE)</f>
        <v>1</v>
      </c>
      <c r="G208" s="1">
        <v>1</v>
      </c>
      <c r="H208" s="1">
        <v>1</v>
      </c>
      <c r="I208" s="1">
        <f t="shared" si="19"/>
        <v>1</v>
      </c>
    </row>
    <row r="209" spans="1:9" x14ac:dyDescent="0.25">
      <c r="A209" s="26">
        <v>45499</v>
      </c>
      <c r="B209" s="27">
        <f t="shared" si="15"/>
        <v>2024</v>
      </c>
      <c r="C209" s="27">
        <f t="shared" si="16"/>
        <v>7</v>
      </c>
      <c r="D209" s="27">
        <f t="shared" si="17"/>
        <v>26</v>
      </c>
      <c r="E209" s="27">
        <f t="shared" si="18"/>
        <v>6</v>
      </c>
      <c r="F209" s="27">
        <f>VLOOKUP(E209,[2]t_calendarioPolitica!A:C,3,FALSE)</f>
        <v>1</v>
      </c>
      <c r="G209" s="1">
        <v>1</v>
      </c>
      <c r="H209" s="1">
        <v>1</v>
      </c>
      <c r="I209" s="1">
        <f t="shared" si="19"/>
        <v>1</v>
      </c>
    </row>
    <row r="210" spans="1:9" x14ac:dyDescent="0.25">
      <c r="A210" s="26">
        <v>45500</v>
      </c>
      <c r="B210" s="27">
        <f t="shared" si="15"/>
        <v>2024</v>
      </c>
      <c r="C210" s="27">
        <f t="shared" si="16"/>
        <v>7</v>
      </c>
      <c r="D210" s="27">
        <f t="shared" si="17"/>
        <v>27</v>
      </c>
      <c r="E210" s="27">
        <f t="shared" si="18"/>
        <v>7</v>
      </c>
      <c r="F210" s="27">
        <f>VLOOKUP(E210,[2]t_calendarioPolitica!A:C,3,FALSE)</f>
        <v>2</v>
      </c>
      <c r="G210" s="1">
        <v>1</v>
      </c>
      <c r="H210" s="1">
        <v>1</v>
      </c>
      <c r="I210" s="1">
        <f t="shared" si="19"/>
        <v>1</v>
      </c>
    </row>
    <row r="211" spans="1:9" x14ac:dyDescent="0.25">
      <c r="A211" s="26">
        <v>45501</v>
      </c>
      <c r="B211" s="27">
        <f t="shared" si="15"/>
        <v>2024</v>
      </c>
      <c r="C211" s="27">
        <f t="shared" si="16"/>
        <v>7</v>
      </c>
      <c r="D211" s="27">
        <f t="shared" si="17"/>
        <v>28</v>
      </c>
      <c r="E211" s="27">
        <f t="shared" si="18"/>
        <v>1</v>
      </c>
      <c r="F211" s="27">
        <f>VLOOKUP(E211,[2]t_calendarioPolitica!A:C,3,FALSE)</f>
        <v>0</v>
      </c>
      <c r="G211" s="1">
        <v>1</v>
      </c>
      <c r="H211" s="1">
        <v>1</v>
      </c>
      <c r="I211" s="1">
        <f t="shared" si="19"/>
        <v>0</v>
      </c>
    </row>
    <row r="212" spans="1:9" x14ac:dyDescent="0.25">
      <c r="A212" s="26">
        <v>45502</v>
      </c>
      <c r="B212" s="27">
        <f t="shared" si="15"/>
        <v>2024</v>
      </c>
      <c r="C212" s="27">
        <f t="shared" si="16"/>
        <v>7</v>
      </c>
      <c r="D212" s="27">
        <f t="shared" si="17"/>
        <v>29</v>
      </c>
      <c r="E212" s="27">
        <f t="shared" si="18"/>
        <v>2</v>
      </c>
      <c r="F212" s="27">
        <f>VLOOKUP(E212,[2]t_calendarioPolitica!A:C,3,FALSE)</f>
        <v>1</v>
      </c>
      <c r="G212" s="1">
        <v>1</v>
      </c>
      <c r="H212" s="1">
        <v>1</v>
      </c>
      <c r="I212" s="1">
        <f t="shared" si="19"/>
        <v>1</v>
      </c>
    </row>
    <row r="213" spans="1:9" x14ac:dyDescent="0.25">
      <c r="A213" s="26">
        <v>45503</v>
      </c>
      <c r="B213" s="27">
        <f t="shared" si="15"/>
        <v>2024</v>
      </c>
      <c r="C213" s="27">
        <f t="shared" si="16"/>
        <v>7</v>
      </c>
      <c r="D213" s="27">
        <f t="shared" si="17"/>
        <v>30</v>
      </c>
      <c r="E213" s="27">
        <f t="shared" si="18"/>
        <v>3</v>
      </c>
      <c r="F213" s="27">
        <f>VLOOKUP(E213,[2]t_calendarioPolitica!A:C,3,FALSE)</f>
        <v>1</v>
      </c>
      <c r="G213" s="1">
        <v>1</v>
      </c>
      <c r="H213" s="1">
        <v>1</v>
      </c>
      <c r="I213" s="1">
        <f t="shared" si="19"/>
        <v>1</v>
      </c>
    </row>
    <row r="214" spans="1:9" x14ac:dyDescent="0.25">
      <c r="A214" s="26">
        <v>45504</v>
      </c>
      <c r="B214" s="27">
        <f t="shared" si="15"/>
        <v>2024</v>
      </c>
      <c r="C214" s="27">
        <f t="shared" si="16"/>
        <v>7</v>
      </c>
      <c r="D214" s="27">
        <f t="shared" si="17"/>
        <v>31</v>
      </c>
      <c r="E214" s="27">
        <f t="shared" si="18"/>
        <v>4</v>
      </c>
      <c r="F214" s="27">
        <f>VLOOKUP(E214,[2]t_calendarioPolitica!A:C,3,FALSE)</f>
        <v>1</v>
      </c>
      <c r="G214" s="1">
        <v>1</v>
      </c>
      <c r="H214" s="1">
        <v>1</v>
      </c>
      <c r="I214" s="1">
        <f t="shared" si="19"/>
        <v>1</v>
      </c>
    </row>
    <row r="215" spans="1:9" x14ac:dyDescent="0.25">
      <c r="A215" s="26">
        <v>45505</v>
      </c>
      <c r="B215" s="27">
        <f t="shared" si="15"/>
        <v>2024</v>
      </c>
      <c r="C215" s="27">
        <f t="shared" si="16"/>
        <v>8</v>
      </c>
      <c r="D215" s="27">
        <f t="shared" si="17"/>
        <v>1</v>
      </c>
      <c r="E215" s="27">
        <f t="shared" si="18"/>
        <v>5</v>
      </c>
      <c r="F215" s="27">
        <f>VLOOKUP(E215,[2]t_calendarioPolitica!A:C,3,FALSE)</f>
        <v>1</v>
      </c>
      <c r="G215" s="1">
        <v>1</v>
      </c>
      <c r="H215" s="1">
        <v>1</v>
      </c>
      <c r="I215" s="1">
        <f t="shared" si="19"/>
        <v>1</v>
      </c>
    </row>
    <row r="216" spans="1:9" x14ac:dyDescent="0.25">
      <c r="A216" s="26">
        <v>45506</v>
      </c>
      <c r="B216" s="27">
        <f t="shared" si="15"/>
        <v>2024</v>
      </c>
      <c r="C216" s="27">
        <f t="shared" si="16"/>
        <v>8</v>
      </c>
      <c r="D216" s="27">
        <f t="shared" si="17"/>
        <v>2</v>
      </c>
      <c r="E216" s="27">
        <f t="shared" si="18"/>
        <v>6</v>
      </c>
      <c r="F216" s="27">
        <f>VLOOKUP(E216,[2]t_calendarioPolitica!A:C,3,FALSE)</f>
        <v>1</v>
      </c>
      <c r="G216" s="1">
        <v>1</v>
      </c>
      <c r="H216" s="1">
        <v>1</v>
      </c>
      <c r="I216" s="1">
        <f t="shared" si="19"/>
        <v>1</v>
      </c>
    </row>
    <row r="217" spans="1:9" x14ac:dyDescent="0.25">
      <c r="A217" s="26">
        <v>45507</v>
      </c>
      <c r="B217" s="27">
        <f t="shared" si="15"/>
        <v>2024</v>
      </c>
      <c r="C217" s="27">
        <f t="shared" si="16"/>
        <v>8</v>
      </c>
      <c r="D217" s="27">
        <f t="shared" si="17"/>
        <v>3</v>
      </c>
      <c r="E217" s="27">
        <f t="shared" si="18"/>
        <v>7</v>
      </c>
      <c r="F217" s="27">
        <f>VLOOKUP(E217,[2]t_calendarioPolitica!A:C,3,FALSE)</f>
        <v>2</v>
      </c>
      <c r="G217" s="1">
        <v>1</v>
      </c>
      <c r="H217" s="1">
        <v>1</v>
      </c>
      <c r="I217" s="1">
        <f t="shared" si="19"/>
        <v>1</v>
      </c>
    </row>
    <row r="218" spans="1:9" x14ac:dyDescent="0.25">
      <c r="A218" s="26">
        <v>45508</v>
      </c>
      <c r="B218" s="27">
        <f t="shared" si="15"/>
        <v>2024</v>
      </c>
      <c r="C218" s="27">
        <f t="shared" si="16"/>
        <v>8</v>
      </c>
      <c r="D218" s="27">
        <f t="shared" si="17"/>
        <v>4</v>
      </c>
      <c r="E218" s="27">
        <f t="shared" si="18"/>
        <v>1</v>
      </c>
      <c r="F218" s="27">
        <f>VLOOKUP(E218,[2]t_calendarioPolitica!A:C,3,FALSE)</f>
        <v>0</v>
      </c>
      <c r="G218" s="1">
        <v>1</v>
      </c>
      <c r="H218" s="1">
        <v>1</v>
      </c>
      <c r="I218" s="1">
        <f t="shared" si="19"/>
        <v>0</v>
      </c>
    </row>
    <row r="219" spans="1:9" x14ac:dyDescent="0.25">
      <c r="A219" s="26">
        <v>45509</v>
      </c>
      <c r="B219" s="27">
        <f t="shared" si="15"/>
        <v>2024</v>
      </c>
      <c r="C219" s="27">
        <f t="shared" si="16"/>
        <v>8</v>
      </c>
      <c r="D219" s="27">
        <f t="shared" si="17"/>
        <v>5</v>
      </c>
      <c r="E219" s="27">
        <f t="shared" si="18"/>
        <v>2</v>
      </c>
      <c r="F219" s="27">
        <f>VLOOKUP(E219,[2]t_calendarioPolitica!A:C,3,FALSE)</f>
        <v>1</v>
      </c>
      <c r="G219" s="1">
        <v>1</v>
      </c>
      <c r="H219" s="1">
        <v>1</v>
      </c>
      <c r="I219" s="1">
        <f t="shared" si="19"/>
        <v>1</v>
      </c>
    </row>
    <row r="220" spans="1:9" x14ac:dyDescent="0.25">
      <c r="A220" s="26">
        <v>45510</v>
      </c>
      <c r="B220" s="27">
        <f t="shared" si="15"/>
        <v>2024</v>
      </c>
      <c r="C220" s="27">
        <f t="shared" si="16"/>
        <v>8</v>
      </c>
      <c r="D220" s="27">
        <f t="shared" si="17"/>
        <v>6</v>
      </c>
      <c r="E220" s="27">
        <f t="shared" si="18"/>
        <v>3</v>
      </c>
      <c r="F220" s="27">
        <f>VLOOKUP(E220,[2]t_calendarioPolitica!A:C,3,FALSE)</f>
        <v>1</v>
      </c>
      <c r="G220" s="1">
        <v>1</v>
      </c>
      <c r="H220" s="1">
        <v>1</v>
      </c>
      <c r="I220" s="1">
        <f t="shared" si="19"/>
        <v>1</v>
      </c>
    </row>
    <row r="221" spans="1:9" x14ac:dyDescent="0.25">
      <c r="A221" s="26">
        <v>45511</v>
      </c>
      <c r="B221" s="27">
        <f t="shared" si="15"/>
        <v>2024</v>
      </c>
      <c r="C221" s="27">
        <f t="shared" si="16"/>
        <v>8</v>
      </c>
      <c r="D221" s="27">
        <f t="shared" si="17"/>
        <v>7</v>
      </c>
      <c r="E221" s="27">
        <f t="shared" si="18"/>
        <v>4</v>
      </c>
      <c r="F221" s="27">
        <f>VLOOKUP(E221,[2]t_calendarioPolitica!A:C,3,FALSE)</f>
        <v>1</v>
      </c>
      <c r="G221" s="1">
        <v>1</v>
      </c>
      <c r="H221" s="1">
        <v>1</v>
      </c>
      <c r="I221" s="1">
        <f t="shared" si="19"/>
        <v>1</v>
      </c>
    </row>
    <row r="222" spans="1:9" x14ac:dyDescent="0.25">
      <c r="A222" s="26">
        <v>45512</v>
      </c>
      <c r="B222" s="27">
        <f t="shared" si="15"/>
        <v>2024</v>
      </c>
      <c r="C222" s="27">
        <f t="shared" si="16"/>
        <v>8</v>
      </c>
      <c r="D222" s="27">
        <f t="shared" si="17"/>
        <v>8</v>
      </c>
      <c r="E222" s="27">
        <f t="shared" si="18"/>
        <v>5</v>
      </c>
      <c r="F222" s="27">
        <f>VLOOKUP(E222,[2]t_calendarioPolitica!A:C,3,FALSE)</f>
        <v>1</v>
      </c>
      <c r="G222" s="1">
        <v>1</v>
      </c>
      <c r="H222" s="1">
        <v>1</v>
      </c>
      <c r="I222" s="1">
        <f t="shared" si="19"/>
        <v>1</v>
      </c>
    </row>
    <row r="223" spans="1:9" x14ac:dyDescent="0.25">
      <c r="A223" s="26">
        <v>45513</v>
      </c>
      <c r="B223" s="27">
        <f t="shared" si="15"/>
        <v>2024</v>
      </c>
      <c r="C223" s="27">
        <f t="shared" si="16"/>
        <v>8</v>
      </c>
      <c r="D223" s="27">
        <f t="shared" si="17"/>
        <v>9</v>
      </c>
      <c r="E223" s="27">
        <f t="shared" si="18"/>
        <v>6</v>
      </c>
      <c r="F223" s="27">
        <f>VLOOKUP(E223,[2]t_calendarioPolitica!A:C,3,FALSE)</f>
        <v>1</v>
      </c>
      <c r="G223" s="1">
        <v>1</v>
      </c>
      <c r="H223" s="1">
        <v>1</v>
      </c>
      <c r="I223" s="1">
        <f t="shared" si="19"/>
        <v>1</v>
      </c>
    </row>
    <row r="224" spans="1:9" x14ac:dyDescent="0.25">
      <c r="A224" s="26">
        <v>45514</v>
      </c>
      <c r="B224" s="27">
        <f t="shared" si="15"/>
        <v>2024</v>
      </c>
      <c r="C224" s="27">
        <f t="shared" si="16"/>
        <v>8</v>
      </c>
      <c r="D224" s="27">
        <f t="shared" si="17"/>
        <v>10</v>
      </c>
      <c r="E224" s="27">
        <f t="shared" si="18"/>
        <v>7</v>
      </c>
      <c r="F224" s="27">
        <f>VLOOKUP(E224,[2]t_calendarioPolitica!A:C,3,FALSE)</f>
        <v>2</v>
      </c>
      <c r="G224" s="1">
        <v>1</v>
      </c>
      <c r="H224" s="1">
        <v>1</v>
      </c>
      <c r="I224" s="1">
        <f t="shared" si="19"/>
        <v>1</v>
      </c>
    </row>
    <row r="225" spans="1:9" x14ac:dyDescent="0.25">
      <c r="A225" s="26">
        <v>45515</v>
      </c>
      <c r="B225" s="27">
        <f t="shared" si="15"/>
        <v>2024</v>
      </c>
      <c r="C225" s="27">
        <f t="shared" si="16"/>
        <v>8</v>
      </c>
      <c r="D225" s="27">
        <f t="shared" si="17"/>
        <v>11</v>
      </c>
      <c r="E225" s="27">
        <f t="shared" si="18"/>
        <v>1</v>
      </c>
      <c r="F225" s="27">
        <f>VLOOKUP(E225,[2]t_calendarioPolitica!A:C,3,FALSE)</f>
        <v>0</v>
      </c>
      <c r="G225" s="1">
        <v>1</v>
      </c>
      <c r="H225" s="1">
        <v>1</v>
      </c>
      <c r="I225" s="1">
        <f t="shared" si="19"/>
        <v>0</v>
      </c>
    </row>
    <row r="226" spans="1:9" x14ac:dyDescent="0.25">
      <c r="A226" s="26">
        <v>45516</v>
      </c>
      <c r="B226" s="27">
        <f t="shared" si="15"/>
        <v>2024</v>
      </c>
      <c r="C226" s="27">
        <f t="shared" si="16"/>
        <v>8</v>
      </c>
      <c r="D226" s="27">
        <f t="shared" si="17"/>
        <v>12</v>
      </c>
      <c r="E226" s="27">
        <f t="shared" si="18"/>
        <v>2</v>
      </c>
      <c r="F226" s="27">
        <f>VLOOKUP(E226,[2]t_calendarioPolitica!A:C,3,FALSE)</f>
        <v>1</v>
      </c>
      <c r="G226" s="1">
        <v>1</v>
      </c>
      <c r="H226" s="1">
        <v>1</v>
      </c>
      <c r="I226" s="1">
        <f t="shared" si="19"/>
        <v>1</v>
      </c>
    </row>
    <row r="227" spans="1:9" x14ac:dyDescent="0.25">
      <c r="A227" s="26">
        <v>45517</v>
      </c>
      <c r="B227" s="27">
        <f t="shared" si="15"/>
        <v>2024</v>
      </c>
      <c r="C227" s="27">
        <f t="shared" si="16"/>
        <v>8</v>
      </c>
      <c r="D227" s="27">
        <f t="shared" si="17"/>
        <v>13</v>
      </c>
      <c r="E227" s="27">
        <f t="shared" si="18"/>
        <v>3</v>
      </c>
      <c r="F227" s="27">
        <f>VLOOKUP(E227,[2]t_calendarioPolitica!A:C,3,FALSE)</f>
        <v>1</v>
      </c>
      <c r="G227" s="1">
        <v>1</v>
      </c>
      <c r="H227" s="1">
        <v>1</v>
      </c>
      <c r="I227" s="1">
        <f t="shared" si="19"/>
        <v>1</v>
      </c>
    </row>
    <row r="228" spans="1:9" x14ac:dyDescent="0.25">
      <c r="A228" s="26">
        <v>45518</v>
      </c>
      <c r="B228" s="27">
        <f t="shared" si="15"/>
        <v>2024</v>
      </c>
      <c r="C228" s="27">
        <f t="shared" si="16"/>
        <v>8</v>
      </c>
      <c r="D228" s="27">
        <f t="shared" si="17"/>
        <v>14</v>
      </c>
      <c r="E228" s="27">
        <f t="shared" si="18"/>
        <v>4</v>
      </c>
      <c r="F228" s="27">
        <f>VLOOKUP(E228,[2]t_calendarioPolitica!A:C,3,FALSE)</f>
        <v>1</v>
      </c>
      <c r="G228" s="1">
        <v>1</v>
      </c>
      <c r="H228" s="1">
        <v>1</v>
      </c>
      <c r="I228" s="1">
        <f t="shared" si="19"/>
        <v>1</v>
      </c>
    </row>
    <row r="229" spans="1:9" x14ac:dyDescent="0.25">
      <c r="A229" s="26">
        <v>45519</v>
      </c>
      <c r="B229" s="27">
        <f t="shared" si="15"/>
        <v>2024</v>
      </c>
      <c r="C229" s="27">
        <f t="shared" si="16"/>
        <v>8</v>
      </c>
      <c r="D229" s="27">
        <f t="shared" si="17"/>
        <v>15</v>
      </c>
      <c r="E229" s="27">
        <f t="shared" si="18"/>
        <v>5</v>
      </c>
      <c r="F229" s="27">
        <f>VLOOKUP(E229,[2]t_calendarioPolitica!A:C,3,FALSE)</f>
        <v>1</v>
      </c>
      <c r="G229" s="1">
        <v>1</v>
      </c>
      <c r="H229" s="1">
        <v>1</v>
      </c>
      <c r="I229" s="1">
        <f t="shared" si="19"/>
        <v>1</v>
      </c>
    </row>
    <row r="230" spans="1:9" x14ac:dyDescent="0.25">
      <c r="A230" s="26">
        <v>45520</v>
      </c>
      <c r="B230" s="27">
        <f t="shared" si="15"/>
        <v>2024</v>
      </c>
      <c r="C230" s="27">
        <f t="shared" si="16"/>
        <v>8</v>
      </c>
      <c r="D230" s="27">
        <f t="shared" si="17"/>
        <v>16</v>
      </c>
      <c r="E230" s="27">
        <f t="shared" si="18"/>
        <v>6</v>
      </c>
      <c r="F230" s="27">
        <f>VLOOKUP(E230,[2]t_calendarioPolitica!A:C,3,FALSE)</f>
        <v>1</v>
      </c>
      <c r="G230" s="1">
        <v>1</v>
      </c>
      <c r="H230" s="1">
        <v>1</v>
      </c>
      <c r="I230" s="1">
        <f t="shared" si="19"/>
        <v>1</v>
      </c>
    </row>
    <row r="231" spans="1:9" x14ac:dyDescent="0.25">
      <c r="A231" s="26">
        <v>45521</v>
      </c>
      <c r="B231" s="27">
        <f t="shared" si="15"/>
        <v>2024</v>
      </c>
      <c r="C231" s="27">
        <f t="shared" si="16"/>
        <v>8</v>
      </c>
      <c r="D231" s="27">
        <f t="shared" si="17"/>
        <v>17</v>
      </c>
      <c r="E231" s="27">
        <f t="shared" si="18"/>
        <v>7</v>
      </c>
      <c r="F231" s="27">
        <f>VLOOKUP(E231,[2]t_calendarioPolitica!A:C,3,FALSE)</f>
        <v>2</v>
      </c>
      <c r="G231" s="1">
        <v>1</v>
      </c>
      <c r="H231" s="1">
        <v>1</v>
      </c>
      <c r="I231" s="1">
        <f t="shared" si="19"/>
        <v>1</v>
      </c>
    </row>
    <row r="232" spans="1:9" x14ac:dyDescent="0.25">
      <c r="A232" s="26">
        <v>45522</v>
      </c>
      <c r="B232" s="27">
        <f t="shared" si="15"/>
        <v>2024</v>
      </c>
      <c r="C232" s="27">
        <f t="shared" si="16"/>
        <v>8</v>
      </c>
      <c r="D232" s="27">
        <f t="shared" si="17"/>
        <v>18</v>
      </c>
      <c r="E232" s="27">
        <f t="shared" si="18"/>
        <v>1</v>
      </c>
      <c r="F232" s="27">
        <f>VLOOKUP(E232,[2]t_calendarioPolitica!A:C,3,FALSE)</f>
        <v>0</v>
      </c>
      <c r="G232" s="1">
        <v>1</v>
      </c>
      <c r="H232" s="1">
        <v>1</v>
      </c>
      <c r="I232" s="1">
        <f t="shared" si="19"/>
        <v>0</v>
      </c>
    </row>
    <row r="233" spans="1:9" x14ac:dyDescent="0.25">
      <c r="A233" s="26">
        <v>45523</v>
      </c>
      <c r="B233" s="27">
        <f t="shared" si="15"/>
        <v>2024</v>
      </c>
      <c r="C233" s="27">
        <f t="shared" si="16"/>
        <v>8</v>
      </c>
      <c r="D233" s="27">
        <f t="shared" si="17"/>
        <v>19</v>
      </c>
      <c r="E233" s="27">
        <f t="shared" si="18"/>
        <v>2</v>
      </c>
      <c r="F233" s="27">
        <f>VLOOKUP(E233,[2]t_calendarioPolitica!A:C,3,FALSE)</f>
        <v>1</v>
      </c>
      <c r="G233" s="1">
        <v>1</v>
      </c>
      <c r="H233" s="1">
        <v>1</v>
      </c>
      <c r="I233" s="1">
        <f t="shared" si="19"/>
        <v>1</v>
      </c>
    </row>
    <row r="234" spans="1:9" x14ac:dyDescent="0.25">
      <c r="A234" s="26">
        <v>45524</v>
      </c>
      <c r="B234" s="27">
        <f t="shared" si="15"/>
        <v>2024</v>
      </c>
      <c r="C234" s="27">
        <f t="shared" si="16"/>
        <v>8</v>
      </c>
      <c r="D234" s="27">
        <f t="shared" si="17"/>
        <v>20</v>
      </c>
      <c r="E234" s="27">
        <f t="shared" si="18"/>
        <v>3</v>
      </c>
      <c r="F234" s="27">
        <f>VLOOKUP(E234,[2]t_calendarioPolitica!A:C,3,FALSE)</f>
        <v>1</v>
      </c>
      <c r="G234" s="1">
        <v>1</v>
      </c>
      <c r="H234" s="1">
        <v>1</v>
      </c>
      <c r="I234" s="1">
        <f t="shared" si="19"/>
        <v>1</v>
      </c>
    </row>
    <row r="235" spans="1:9" x14ac:dyDescent="0.25">
      <c r="A235" s="26">
        <v>45525</v>
      </c>
      <c r="B235" s="27">
        <f t="shared" si="15"/>
        <v>2024</v>
      </c>
      <c r="C235" s="27">
        <f t="shared" si="16"/>
        <v>8</v>
      </c>
      <c r="D235" s="27">
        <f t="shared" si="17"/>
        <v>21</v>
      </c>
      <c r="E235" s="27">
        <f t="shared" si="18"/>
        <v>4</v>
      </c>
      <c r="F235" s="27">
        <f>VLOOKUP(E235,[2]t_calendarioPolitica!A:C,3,FALSE)</f>
        <v>1</v>
      </c>
      <c r="G235" s="1">
        <v>1</v>
      </c>
      <c r="H235" s="1">
        <v>1</v>
      </c>
      <c r="I235" s="1">
        <f t="shared" si="19"/>
        <v>1</v>
      </c>
    </row>
    <row r="236" spans="1:9" x14ac:dyDescent="0.25">
      <c r="A236" s="26">
        <v>45526</v>
      </c>
      <c r="B236" s="27">
        <f t="shared" si="15"/>
        <v>2024</v>
      </c>
      <c r="C236" s="27">
        <f t="shared" si="16"/>
        <v>8</v>
      </c>
      <c r="D236" s="27">
        <f t="shared" si="17"/>
        <v>22</v>
      </c>
      <c r="E236" s="27">
        <f t="shared" si="18"/>
        <v>5</v>
      </c>
      <c r="F236" s="27">
        <f>VLOOKUP(E236,[2]t_calendarioPolitica!A:C,3,FALSE)</f>
        <v>1</v>
      </c>
      <c r="G236" s="1">
        <v>1</v>
      </c>
      <c r="H236" s="1">
        <v>1</v>
      </c>
      <c r="I236" s="1">
        <f t="shared" si="19"/>
        <v>1</v>
      </c>
    </row>
    <row r="237" spans="1:9" x14ac:dyDescent="0.25">
      <c r="A237" s="26">
        <v>45527</v>
      </c>
      <c r="B237" s="27">
        <f t="shared" si="15"/>
        <v>2024</v>
      </c>
      <c r="C237" s="27">
        <f t="shared" si="16"/>
        <v>8</v>
      </c>
      <c r="D237" s="27">
        <f t="shared" si="17"/>
        <v>23</v>
      </c>
      <c r="E237" s="27">
        <f t="shared" si="18"/>
        <v>6</v>
      </c>
      <c r="F237" s="27">
        <f>VLOOKUP(E237,[2]t_calendarioPolitica!A:C,3,FALSE)</f>
        <v>1</v>
      </c>
      <c r="G237" s="1">
        <v>1</v>
      </c>
      <c r="H237" s="1">
        <v>1</v>
      </c>
      <c r="I237" s="1">
        <f t="shared" si="19"/>
        <v>1</v>
      </c>
    </row>
    <row r="238" spans="1:9" x14ac:dyDescent="0.25">
      <c r="A238" s="26">
        <v>45528</v>
      </c>
      <c r="B238" s="27">
        <f t="shared" si="15"/>
        <v>2024</v>
      </c>
      <c r="C238" s="27">
        <f t="shared" si="16"/>
        <v>8</v>
      </c>
      <c r="D238" s="27">
        <f t="shared" si="17"/>
        <v>24</v>
      </c>
      <c r="E238" s="27">
        <f t="shared" si="18"/>
        <v>7</v>
      </c>
      <c r="F238" s="27">
        <f>VLOOKUP(E238,[2]t_calendarioPolitica!A:C,3,FALSE)</f>
        <v>2</v>
      </c>
      <c r="G238" s="1">
        <v>1</v>
      </c>
      <c r="H238" s="1">
        <v>1</v>
      </c>
      <c r="I238" s="1">
        <f t="shared" si="19"/>
        <v>1</v>
      </c>
    </row>
    <row r="239" spans="1:9" x14ac:dyDescent="0.25">
      <c r="A239" s="26">
        <v>45529</v>
      </c>
      <c r="B239" s="27">
        <f t="shared" si="15"/>
        <v>2024</v>
      </c>
      <c r="C239" s="27">
        <f t="shared" si="16"/>
        <v>8</v>
      </c>
      <c r="D239" s="27">
        <f t="shared" si="17"/>
        <v>25</v>
      </c>
      <c r="E239" s="27">
        <f t="shared" si="18"/>
        <v>1</v>
      </c>
      <c r="F239" s="27">
        <f>VLOOKUP(E239,[2]t_calendarioPolitica!A:C,3,FALSE)</f>
        <v>0</v>
      </c>
      <c r="G239" s="1">
        <v>1</v>
      </c>
      <c r="H239" s="1">
        <v>1</v>
      </c>
      <c r="I239" s="1">
        <f t="shared" si="19"/>
        <v>0</v>
      </c>
    </row>
    <row r="240" spans="1:9" x14ac:dyDescent="0.25">
      <c r="A240" s="26">
        <v>45530</v>
      </c>
      <c r="B240" s="27">
        <f t="shared" si="15"/>
        <v>2024</v>
      </c>
      <c r="C240" s="27">
        <f t="shared" si="16"/>
        <v>8</v>
      </c>
      <c r="D240" s="27">
        <f t="shared" si="17"/>
        <v>26</v>
      </c>
      <c r="E240" s="27">
        <f t="shared" si="18"/>
        <v>2</v>
      </c>
      <c r="F240" s="27">
        <f>VLOOKUP(E240,[2]t_calendarioPolitica!A:C,3,FALSE)</f>
        <v>1</v>
      </c>
      <c r="G240" s="1">
        <v>1</v>
      </c>
      <c r="H240" s="1">
        <v>1</v>
      </c>
      <c r="I240" s="1">
        <f t="shared" si="19"/>
        <v>1</v>
      </c>
    </row>
    <row r="241" spans="1:9" x14ac:dyDescent="0.25">
      <c r="A241" s="26">
        <v>45531</v>
      </c>
      <c r="B241" s="27">
        <f t="shared" si="15"/>
        <v>2024</v>
      </c>
      <c r="C241" s="27">
        <f t="shared" si="16"/>
        <v>8</v>
      </c>
      <c r="D241" s="27">
        <f t="shared" si="17"/>
        <v>27</v>
      </c>
      <c r="E241" s="27">
        <f t="shared" si="18"/>
        <v>3</v>
      </c>
      <c r="F241" s="27">
        <f>VLOOKUP(E241,[2]t_calendarioPolitica!A:C,3,FALSE)</f>
        <v>1</v>
      </c>
      <c r="G241" s="1">
        <v>1</v>
      </c>
      <c r="H241" s="1">
        <v>1</v>
      </c>
      <c r="I241" s="1">
        <f t="shared" si="19"/>
        <v>1</v>
      </c>
    </row>
    <row r="242" spans="1:9" x14ac:dyDescent="0.25">
      <c r="A242" s="26">
        <v>45532</v>
      </c>
      <c r="B242" s="27">
        <f t="shared" si="15"/>
        <v>2024</v>
      </c>
      <c r="C242" s="27">
        <f t="shared" si="16"/>
        <v>8</v>
      </c>
      <c r="D242" s="27">
        <f t="shared" si="17"/>
        <v>28</v>
      </c>
      <c r="E242" s="27">
        <f t="shared" si="18"/>
        <v>4</v>
      </c>
      <c r="F242" s="27">
        <f>VLOOKUP(E242,[2]t_calendarioPolitica!A:C,3,FALSE)</f>
        <v>1</v>
      </c>
      <c r="G242" s="1">
        <v>1</v>
      </c>
      <c r="H242" s="1">
        <v>1</v>
      </c>
      <c r="I242" s="1">
        <f t="shared" si="19"/>
        <v>1</v>
      </c>
    </row>
    <row r="243" spans="1:9" x14ac:dyDescent="0.25">
      <c r="A243" s="26">
        <v>45533</v>
      </c>
      <c r="B243" s="27">
        <f t="shared" si="15"/>
        <v>2024</v>
      </c>
      <c r="C243" s="27">
        <f t="shared" si="16"/>
        <v>8</v>
      </c>
      <c r="D243" s="27">
        <f t="shared" si="17"/>
        <v>29</v>
      </c>
      <c r="E243" s="27">
        <f t="shared" si="18"/>
        <v>5</v>
      </c>
      <c r="F243" s="27">
        <f>VLOOKUP(E243,[2]t_calendarioPolitica!A:C,3,FALSE)</f>
        <v>1</v>
      </c>
      <c r="G243" s="1">
        <v>1</v>
      </c>
      <c r="H243" s="1">
        <v>1</v>
      </c>
      <c r="I243" s="1">
        <f t="shared" si="19"/>
        <v>1</v>
      </c>
    </row>
    <row r="244" spans="1:9" x14ac:dyDescent="0.25">
      <c r="A244" s="26">
        <v>45534</v>
      </c>
      <c r="B244" s="27">
        <f t="shared" si="15"/>
        <v>2024</v>
      </c>
      <c r="C244" s="27">
        <f t="shared" si="16"/>
        <v>8</v>
      </c>
      <c r="D244" s="27">
        <f t="shared" si="17"/>
        <v>30</v>
      </c>
      <c r="E244" s="27">
        <f t="shared" si="18"/>
        <v>6</v>
      </c>
      <c r="F244" s="27">
        <f>VLOOKUP(E244,[2]t_calendarioPolitica!A:C,3,FALSE)</f>
        <v>1</v>
      </c>
      <c r="G244" s="1">
        <v>1</v>
      </c>
      <c r="H244" s="1">
        <v>1</v>
      </c>
      <c r="I244" s="1">
        <f t="shared" si="19"/>
        <v>1</v>
      </c>
    </row>
    <row r="245" spans="1:9" x14ac:dyDescent="0.25">
      <c r="A245" s="26">
        <v>45535</v>
      </c>
      <c r="B245" s="27">
        <f t="shared" si="15"/>
        <v>2024</v>
      </c>
      <c r="C245" s="27">
        <f t="shared" si="16"/>
        <v>8</v>
      </c>
      <c r="D245" s="27">
        <f t="shared" si="17"/>
        <v>31</v>
      </c>
      <c r="E245" s="27">
        <f t="shared" si="18"/>
        <v>7</v>
      </c>
      <c r="F245" s="27">
        <f>VLOOKUP(E245,[2]t_calendarioPolitica!A:C,3,FALSE)</f>
        <v>2</v>
      </c>
      <c r="G245" s="1">
        <v>1</v>
      </c>
      <c r="H245" s="1">
        <v>1</v>
      </c>
      <c r="I245" s="1">
        <f t="shared" si="19"/>
        <v>1</v>
      </c>
    </row>
    <row r="246" spans="1:9" x14ac:dyDescent="0.25">
      <c r="A246" s="26">
        <v>45536</v>
      </c>
      <c r="B246" s="27">
        <f t="shared" si="15"/>
        <v>2024</v>
      </c>
      <c r="C246" s="27">
        <f t="shared" si="16"/>
        <v>9</v>
      </c>
      <c r="D246" s="27">
        <f t="shared" si="17"/>
        <v>1</v>
      </c>
      <c r="E246" s="27">
        <f t="shared" si="18"/>
        <v>1</v>
      </c>
      <c r="F246" s="27">
        <f>VLOOKUP(E246,[2]t_calendarioPolitica!A:C,3,FALSE)</f>
        <v>0</v>
      </c>
      <c r="G246" s="1">
        <v>1</v>
      </c>
      <c r="H246" s="1">
        <v>1</v>
      </c>
      <c r="I246" s="1">
        <f t="shared" si="19"/>
        <v>0</v>
      </c>
    </row>
    <row r="247" spans="1:9" x14ac:dyDescent="0.25">
      <c r="A247" s="26">
        <v>45537</v>
      </c>
      <c r="B247" s="27">
        <f t="shared" si="15"/>
        <v>2024</v>
      </c>
      <c r="C247" s="27">
        <f t="shared" si="16"/>
        <v>9</v>
      </c>
      <c r="D247" s="27">
        <f t="shared" si="17"/>
        <v>2</v>
      </c>
      <c r="E247" s="27">
        <f t="shared" si="18"/>
        <v>2</v>
      </c>
      <c r="F247" s="27">
        <f>VLOOKUP(E247,[2]t_calendarioPolitica!A:C,3,FALSE)</f>
        <v>1</v>
      </c>
      <c r="G247" s="1">
        <v>1</v>
      </c>
      <c r="H247" s="1">
        <v>1</v>
      </c>
      <c r="I247" s="1">
        <f t="shared" si="19"/>
        <v>1</v>
      </c>
    </row>
    <row r="248" spans="1:9" x14ac:dyDescent="0.25">
      <c r="A248" s="26">
        <v>45538</v>
      </c>
      <c r="B248" s="27">
        <f t="shared" si="15"/>
        <v>2024</v>
      </c>
      <c r="C248" s="27">
        <f t="shared" si="16"/>
        <v>9</v>
      </c>
      <c r="D248" s="27">
        <f t="shared" si="17"/>
        <v>3</v>
      </c>
      <c r="E248" s="27">
        <f t="shared" si="18"/>
        <v>3</v>
      </c>
      <c r="F248" s="27">
        <f>VLOOKUP(E248,[2]t_calendarioPolitica!A:C,3,FALSE)</f>
        <v>1</v>
      </c>
      <c r="G248" s="1">
        <v>1</v>
      </c>
      <c r="H248" s="1">
        <v>1</v>
      </c>
      <c r="I248" s="1">
        <f t="shared" si="19"/>
        <v>1</v>
      </c>
    </row>
    <row r="249" spans="1:9" x14ac:dyDescent="0.25">
      <c r="A249" s="26">
        <v>45539</v>
      </c>
      <c r="B249" s="27">
        <f t="shared" si="15"/>
        <v>2024</v>
      </c>
      <c r="C249" s="27">
        <f t="shared" si="16"/>
        <v>9</v>
      </c>
      <c r="D249" s="27">
        <f t="shared" si="17"/>
        <v>4</v>
      </c>
      <c r="E249" s="27">
        <f t="shared" si="18"/>
        <v>4</v>
      </c>
      <c r="F249" s="27">
        <f>VLOOKUP(E249,[2]t_calendarioPolitica!A:C,3,FALSE)</f>
        <v>1</v>
      </c>
      <c r="G249" s="1">
        <v>1</v>
      </c>
      <c r="H249" s="1">
        <v>1</v>
      </c>
      <c r="I249" s="1">
        <f t="shared" si="19"/>
        <v>1</v>
      </c>
    </row>
    <row r="250" spans="1:9" x14ac:dyDescent="0.25">
      <c r="A250" s="26">
        <v>45540</v>
      </c>
      <c r="B250" s="27">
        <f t="shared" si="15"/>
        <v>2024</v>
      </c>
      <c r="C250" s="27">
        <f t="shared" si="16"/>
        <v>9</v>
      </c>
      <c r="D250" s="27">
        <f t="shared" si="17"/>
        <v>5</v>
      </c>
      <c r="E250" s="27">
        <f t="shared" si="18"/>
        <v>5</v>
      </c>
      <c r="F250" s="27">
        <f>VLOOKUP(E250,[2]t_calendarioPolitica!A:C,3,FALSE)</f>
        <v>1</v>
      </c>
      <c r="G250" s="1">
        <v>1</v>
      </c>
      <c r="H250" s="1">
        <v>1</v>
      </c>
      <c r="I250" s="1">
        <f t="shared" si="19"/>
        <v>1</v>
      </c>
    </row>
    <row r="251" spans="1:9" x14ac:dyDescent="0.25">
      <c r="A251" s="26">
        <v>45541</v>
      </c>
      <c r="B251" s="27">
        <f t="shared" si="15"/>
        <v>2024</v>
      </c>
      <c r="C251" s="27">
        <f t="shared" si="16"/>
        <v>9</v>
      </c>
      <c r="D251" s="27">
        <f t="shared" si="17"/>
        <v>6</v>
      </c>
      <c r="E251" s="27">
        <f t="shared" si="18"/>
        <v>6</v>
      </c>
      <c r="F251" s="27">
        <f>VLOOKUP(E251,[2]t_calendarioPolitica!A:C,3,FALSE)</f>
        <v>1</v>
      </c>
      <c r="G251" s="1">
        <v>1</v>
      </c>
      <c r="H251" s="1">
        <v>1</v>
      </c>
      <c r="I251" s="1">
        <f t="shared" si="19"/>
        <v>1</v>
      </c>
    </row>
    <row r="252" spans="1:9" x14ac:dyDescent="0.25">
      <c r="A252" s="26">
        <v>45542</v>
      </c>
      <c r="B252" s="27">
        <f t="shared" si="15"/>
        <v>2024</v>
      </c>
      <c r="C252" s="27">
        <f t="shared" si="16"/>
        <v>9</v>
      </c>
      <c r="D252" s="27">
        <f t="shared" si="17"/>
        <v>7</v>
      </c>
      <c r="E252" s="27">
        <f t="shared" si="18"/>
        <v>7</v>
      </c>
      <c r="F252" s="27">
        <f>VLOOKUP(E252,[2]t_calendarioPolitica!A:C,3,FALSE)</f>
        <v>2</v>
      </c>
      <c r="G252" s="1">
        <v>1</v>
      </c>
      <c r="H252" s="1">
        <v>1</v>
      </c>
      <c r="I252" s="1">
        <f t="shared" si="19"/>
        <v>1</v>
      </c>
    </row>
    <row r="253" spans="1:9" x14ac:dyDescent="0.25">
      <c r="A253" s="26">
        <v>45543</v>
      </c>
      <c r="B253" s="27">
        <f t="shared" si="15"/>
        <v>2024</v>
      </c>
      <c r="C253" s="27">
        <f t="shared" si="16"/>
        <v>9</v>
      </c>
      <c r="D253" s="27">
        <f t="shared" si="17"/>
        <v>8</v>
      </c>
      <c r="E253" s="27">
        <f t="shared" si="18"/>
        <v>1</v>
      </c>
      <c r="F253" s="27">
        <f>VLOOKUP(E253,[2]t_calendarioPolitica!A:C,3,FALSE)</f>
        <v>0</v>
      </c>
      <c r="G253" s="1">
        <v>1</v>
      </c>
      <c r="H253" s="1">
        <v>1</v>
      </c>
      <c r="I253" s="1">
        <f t="shared" si="19"/>
        <v>0</v>
      </c>
    </row>
    <row r="254" spans="1:9" x14ac:dyDescent="0.25">
      <c r="A254" s="26">
        <v>45544</v>
      </c>
      <c r="B254" s="27">
        <f t="shared" si="15"/>
        <v>2024</v>
      </c>
      <c r="C254" s="27">
        <f t="shared" si="16"/>
        <v>9</v>
      </c>
      <c r="D254" s="27">
        <f t="shared" si="17"/>
        <v>9</v>
      </c>
      <c r="E254" s="27">
        <f t="shared" si="18"/>
        <v>2</v>
      </c>
      <c r="F254" s="27">
        <f>VLOOKUP(E254,[2]t_calendarioPolitica!A:C,3,FALSE)</f>
        <v>1</v>
      </c>
      <c r="G254" s="1">
        <v>1</v>
      </c>
      <c r="H254" s="1">
        <v>1</v>
      </c>
      <c r="I254" s="1">
        <f t="shared" si="19"/>
        <v>1</v>
      </c>
    </row>
    <row r="255" spans="1:9" x14ac:dyDescent="0.25">
      <c r="A255" s="26">
        <v>45545</v>
      </c>
      <c r="B255" s="27">
        <f t="shared" si="15"/>
        <v>2024</v>
      </c>
      <c r="C255" s="27">
        <f t="shared" si="16"/>
        <v>9</v>
      </c>
      <c r="D255" s="27">
        <f t="shared" si="17"/>
        <v>10</v>
      </c>
      <c r="E255" s="27">
        <f t="shared" si="18"/>
        <v>3</v>
      </c>
      <c r="F255" s="27">
        <f>VLOOKUP(E255,[2]t_calendarioPolitica!A:C,3,FALSE)</f>
        <v>1</v>
      </c>
      <c r="G255" s="1">
        <v>1</v>
      </c>
      <c r="H255" s="1">
        <v>1</v>
      </c>
      <c r="I255" s="1">
        <f t="shared" si="19"/>
        <v>1</v>
      </c>
    </row>
    <row r="256" spans="1:9" x14ac:dyDescent="0.25">
      <c r="A256" s="26">
        <v>45546</v>
      </c>
      <c r="B256" s="27">
        <f t="shared" si="15"/>
        <v>2024</v>
      </c>
      <c r="C256" s="27">
        <f t="shared" si="16"/>
        <v>9</v>
      </c>
      <c r="D256" s="27">
        <f t="shared" si="17"/>
        <v>11</v>
      </c>
      <c r="E256" s="27">
        <f t="shared" si="18"/>
        <v>4</v>
      </c>
      <c r="F256" s="27">
        <f>VLOOKUP(E256,[2]t_calendarioPolitica!A:C,3,FALSE)</f>
        <v>1</v>
      </c>
      <c r="G256" s="1">
        <v>1</v>
      </c>
      <c r="H256" s="1">
        <v>1</v>
      </c>
      <c r="I256" s="1">
        <f t="shared" si="19"/>
        <v>1</v>
      </c>
    </row>
    <row r="257" spans="1:9" x14ac:dyDescent="0.25">
      <c r="A257" s="26">
        <v>45547</v>
      </c>
      <c r="B257" s="27">
        <f t="shared" si="15"/>
        <v>2024</v>
      </c>
      <c r="C257" s="27">
        <f t="shared" si="16"/>
        <v>9</v>
      </c>
      <c r="D257" s="27">
        <f t="shared" si="17"/>
        <v>12</v>
      </c>
      <c r="E257" s="27">
        <f t="shared" si="18"/>
        <v>5</v>
      </c>
      <c r="F257" s="27">
        <f>VLOOKUP(E257,[2]t_calendarioPolitica!A:C,3,FALSE)</f>
        <v>1</v>
      </c>
      <c r="G257" s="1">
        <v>1</v>
      </c>
      <c r="H257" s="1">
        <v>1</v>
      </c>
      <c r="I257" s="1">
        <f t="shared" si="19"/>
        <v>1</v>
      </c>
    </row>
    <row r="258" spans="1:9" x14ac:dyDescent="0.25">
      <c r="A258" s="26">
        <v>45548</v>
      </c>
      <c r="B258" s="27">
        <f t="shared" si="15"/>
        <v>2024</v>
      </c>
      <c r="C258" s="27">
        <f t="shared" si="16"/>
        <v>9</v>
      </c>
      <c r="D258" s="27">
        <f t="shared" si="17"/>
        <v>13</v>
      </c>
      <c r="E258" s="27">
        <f t="shared" si="18"/>
        <v>6</v>
      </c>
      <c r="F258" s="27">
        <f>VLOOKUP(E258,[2]t_calendarioPolitica!A:C,3,FALSE)</f>
        <v>1</v>
      </c>
      <c r="G258" s="1">
        <v>1</v>
      </c>
      <c r="H258" s="1">
        <v>1</v>
      </c>
      <c r="I258" s="1">
        <f t="shared" si="19"/>
        <v>1</v>
      </c>
    </row>
    <row r="259" spans="1:9" x14ac:dyDescent="0.25">
      <c r="A259" s="26">
        <v>45549</v>
      </c>
      <c r="B259" s="27">
        <f t="shared" ref="B259:B322" si="20">YEAR(A259)</f>
        <v>2024</v>
      </c>
      <c r="C259" s="27">
        <f t="shared" ref="C259:C322" si="21">MONTH(A259)</f>
        <v>9</v>
      </c>
      <c r="D259" s="27">
        <f t="shared" ref="D259:D322" si="22">DAY(A259)</f>
        <v>14</v>
      </c>
      <c r="E259" s="27">
        <f t="shared" ref="E259:E322" si="23">WEEKDAY(A259)</f>
        <v>7</v>
      </c>
      <c r="F259" s="27">
        <f>VLOOKUP(E259,[2]t_calendarioPolitica!A:C,3,FALSE)</f>
        <v>2</v>
      </c>
      <c r="G259" s="1">
        <v>1</v>
      </c>
      <c r="H259" s="1">
        <v>1</v>
      </c>
      <c r="I259" s="1">
        <f t="shared" ref="I259:I322" si="24">IF(AND(F259&lt;&gt;0, H259&lt;&gt;0,G259&lt;&gt;0), 1, 0)</f>
        <v>1</v>
      </c>
    </row>
    <row r="260" spans="1:9" x14ac:dyDescent="0.25">
      <c r="A260" s="26">
        <v>45550</v>
      </c>
      <c r="B260" s="27">
        <f t="shared" si="20"/>
        <v>2024</v>
      </c>
      <c r="C260" s="27">
        <f t="shared" si="21"/>
        <v>9</v>
      </c>
      <c r="D260" s="27">
        <f t="shared" si="22"/>
        <v>15</v>
      </c>
      <c r="E260" s="27">
        <f t="shared" si="23"/>
        <v>1</v>
      </c>
      <c r="F260" s="27">
        <f>VLOOKUP(E260,[2]t_calendarioPolitica!A:C,3,FALSE)</f>
        <v>0</v>
      </c>
      <c r="G260" s="1">
        <v>1</v>
      </c>
      <c r="H260" s="1">
        <v>0</v>
      </c>
      <c r="I260" s="1">
        <f t="shared" si="24"/>
        <v>0</v>
      </c>
    </row>
    <row r="261" spans="1:9" x14ac:dyDescent="0.25">
      <c r="A261" s="26">
        <v>45551</v>
      </c>
      <c r="B261" s="27">
        <f t="shared" si="20"/>
        <v>2024</v>
      </c>
      <c r="C261" s="27">
        <f t="shared" si="21"/>
        <v>9</v>
      </c>
      <c r="D261" s="27">
        <f t="shared" si="22"/>
        <v>16</v>
      </c>
      <c r="E261" s="27">
        <f t="shared" si="23"/>
        <v>2</v>
      </c>
      <c r="F261" s="27">
        <f>VLOOKUP(E261,[2]t_calendarioPolitica!A:C,3,FALSE)</f>
        <v>1</v>
      </c>
      <c r="G261" s="1">
        <v>0</v>
      </c>
      <c r="H261" s="1">
        <v>1</v>
      </c>
      <c r="I261" s="1">
        <f t="shared" si="24"/>
        <v>0</v>
      </c>
    </row>
    <row r="262" spans="1:9" x14ac:dyDescent="0.25">
      <c r="A262" s="26">
        <v>45552</v>
      </c>
      <c r="B262" s="27">
        <f t="shared" si="20"/>
        <v>2024</v>
      </c>
      <c r="C262" s="27">
        <f t="shared" si="21"/>
        <v>9</v>
      </c>
      <c r="D262" s="27">
        <f t="shared" si="22"/>
        <v>17</v>
      </c>
      <c r="E262" s="27">
        <f t="shared" si="23"/>
        <v>3</v>
      </c>
      <c r="F262" s="27">
        <f>VLOOKUP(E262,[2]t_calendarioPolitica!A:C,3,FALSE)</f>
        <v>1</v>
      </c>
      <c r="G262" s="1">
        <v>1</v>
      </c>
      <c r="H262" s="1">
        <v>1</v>
      </c>
      <c r="I262" s="1">
        <f t="shared" si="24"/>
        <v>1</v>
      </c>
    </row>
    <row r="263" spans="1:9" x14ac:dyDescent="0.25">
      <c r="A263" s="26">
        <v>45553</v>
      </c>
      <c r="B263" s="27">
        <f t="shared" si="20"/>
        <v>2024</v>
      </c>
      <c r="C263" s="27">
        <f t="shared" si="21"/>
        <v>9</v>
      </c>
      <c r="D263" s="27">
        <f t="shared" si="22"/>
        <v>18</v>
      </c>
      <c r="E263" s="27">
        <f t="shared" si="23"/>
        <v>4</v>
      </c>
      <c r="F263" s="27">
        <f>VLOOKUP(E263,[2]t_calendarioPolitica!A:C,3,FALSE)</f>
        <v>1</v>
      </c>
      <c r="G263" s="1">
        <v>1</v>
      </c>
      <c r="H263" s="1">
        <v>1</v>
      </c>
      <c r="I263" s="1">
        <f t="shared" si="24"/>
        <v>1</v>
      </c>
    </row>
    <row r="264" spans="1:9" x14ac:dyDescent="0.25">
      <c r="A264" s="26">
        <v>45554</v>
      </c>
      <c r="B264" s="27">
        <f t="shared" si="20"/>
        <v>2024</v>
      </c>
      <c r="C264" s="27">
        <f t="shared" si="21"/>
        <v>9</v>
      </c>
      <c r="D264" s="27">
        <f t="shared" si="22"/>
        <v>19</v>
      </c>
      <c r="E264" s="27">
        <f t="shared" si="23"/>
        <v>5</v>
      </c>
      <c r="F264" s="27">
        <f>VLOOKUP(E264,[2]t_calendarioPolitica!A:C,3,FALSE)</f>
        <v>1</v>
      </c>
      <c r="G264" s="1">
        <v>1</v>
      </c>
      <c r="H264" s="1">
        <v>1</v>
      </c>
      <c r="I264" s="1">
        <f t="shared" si="24"/>
        <v>1</v>
      </c>
    </row>
    <row r="265" spans="1:9" x14ac:dyDescent="0.25">
      <c r="A265" s="26">
        <v>45555</v>
      </c>
      <c r="B265" s="27">
        <f t="shared" si="20"/>
        <v>2024</v>
      </c>
      <c r="C265" s="27">
        <f t="shared" si="21"/>
        <v>9</v>
      </c>
      <c r="D265" s="27">
        <f t="shared" si="22"/>
        <v>20</v>
      </c>
      <c r="E265" s="27">
        <f t="shared" si="23"/>
        <v>6</v>
      </c>
      <c r="F265" s="27">
        <f>VLOOKUP(E265,[2]t_calendarioPolitica!A:C,3,FALSE)</f>
        <v>1</v>
      </c>
      <c r="G265" s="1">
        <v>1</v>
      </c>
      <c r="H265" s="1">
        <v>1</v>
      </c>
      <c r="I265" s="1">
        <f t="shared" si="24"/>
        <v>1</v>
      </c>
    </row>
    <row r="266" spans="1:9" x14ac:dyDescent="0.25">
      <c r="A266" s="26">
        <v>45556</v>
      </c>
      <c r="B266" s="27">
        <f t="shared" si="20"/>
        <v>2024</v>
      </c>
      <c r="C266" s="27">
        <f t="shared" si="21"/>
        <v>9</v>
      </c>
      <c r="D266" s="27">
        <f t="shared" si="22"/>
        <v>21</v>
      </c>
      <c r="E266" s="27">
        <f t="shared" si="23"/>
        <v>7</v>
      </c>
      <c r="F266" s="27">
        <f>VLOOKUP(E266,[2]t_calendarioPolitica!A:C,3,FALSE)</f>
        <v>2</v>
      </c>
      <c r="G266" s="1">
        <v>1</v>
      </c>
      <c r="H266" s="1">
        <v>1</v>
      </c>
      <c r="I266" s="1">
        <f t="shared" si="24"/>
        <v>1</v>
      </c>
    </row>
    <row r="267" spans="1:9" x14ac:dyDescent="0.25">
      <c r="A267" s="26">
        <v>45557</v>
      </c>
      <c r="B267" s="27">
        <f t="shared" si="20"/>
        <v>2024</v>
      </c>
      <c r="C267" s="27">
        <f t="shared" si="21"/>
        <v>9</v>
      </c>
      <c r="D267" s="27">
        <f t="shared" si="22"/>
        <v>22</v>
      </c>
      <c r="E267" s="27">
        <f t="shared" si="23"/>
        <v>1</v>
      </c>
      <c r="F267" s="27">
        <f>VLOOKUP(E267,[2]t_calendarioPolitica!A:C,3,FALSE)</f>
        <v>0</v>
      </c>
      <c r="G267" s="1">
        <v>1</v>
      </c>
      <c r="H267" s="1">
        <v>1</v>
      </c>
      <c r="I267" s="1">
        <f t="shared" si="24"/>
        <v>0</v>
      </c>
    </row>
    <row r="268" spans="1:9" x14ac:dyDescent="0.25">
      <c r="A268" s="26">
        <v>45558</v>
      </c>
      <c r="B268" s="27">
        <f t="shared" si="20"/>
        <v>2024</v>
      </c>
      <c r="C268" s="27">
        <f t="shared" si="21"/>
        <v>9</v>
      </c>
      <c r="D268" s="27">
        <f t="shared" si="22"/>
        <v>23</v>
      </c>
      <c r="E268" s="27">
        <f t="shared" si="23"/>
        <v>2</v>
      </c>
      <c r="F268" s="27">
        <f>VLOOKUP(E268,[2]t_calendarioPolitica!A:C,3,FALSE)</f>
        <v>1</v>
      </c>
      <c r="G268" s="1">
        <v>1</v>
      </c>
      <c r="H268" s="1">
        <v>1</v>
      </c>
      <c r="I268" s="1">
        <f t="shared" si="24"/>
        <v>1</v>
      </c>
    </row>
    <row r="269" spans="1:9" x14ac:dyDescent="0.25">
      <c r="A269" s="26">
        <v>45559</v>
      </c>
      <c r="B269" s="27">
        <f t="shared" si="20"/>
        <v>2024</v>
      </c>
      <c r="C269" s="27">
        <f t="shared" si="21"/>
        <v>9</v>
      </c>
      <c r="D269" s="27">
        <f t="shared" si="22"/>
        <v>24</v>
      </c>
      <c r="E269" s="27">
        <f t="shared" si="23"/>
        <v>3</v>
      </c>
      <c r="F269" s="27">
        <f>VLOOKUP(E269,[2]t_calendarioPolitica!A:C,3,FALSE)</f>
        <v>1</v>
      </c>
      <c r="G269" s="1">
        <v>1</v>
      </c>
      <c r="H269" s="1">
        <v>1</v>
      </c>
      <c r="I269" s="1">
        <f t="shared" si="24"/>
        <v>1</v>
      </c>
    </row>
    <row r="270" spans="1:9" x14ac:dyDescent="0.25">
      <c r="A270" s="26">
        <v>45560</v>
      </c>
      <c r="B270" s="27">
        <f t="shared" si="20"/>
        <v>2024</v>
      </c>
      <c r="C270" s="27">
        <f t="shared" si="21"/>
        <v>9</v>
      </c>
      <c r="D270" s="27">
        <f t="shared" si="22"/>
        <v>25</v>
      </c>
      <c r="E270" s="27">
        <f t="shared" si="23"/>
        <v>4</v>
      </c>
      <c r="F270" s="27">
        <f>VLOOKUP(E270,[2]t_calendarioPolitica!A:C,3,FALSE)</f>
        <v>1</v>
      </c>
      <c r="G270" s="1">
        <v>1</v>
      </c>
      <c r="H270" s="1">
        <v>1</v>
      </c>
      <c r="I270" s="1">
        <f t="shared" si="24"/>
        <v>1</v>
      </c>
    </row>
    <row r="271" spans="1:9" x14ac:dyDescent="0.25">
      <c r="A271" s="26">
        <v>45561</v>
      </c>
      <c r="B271" s="27">
        <f t="shared" si="20"/>
        <v>2024</v>
      </c>
      <c r="C271" s="27">
        <f t="shared" si="21"/>
        <v>9</v>
      </c>
      <c r="D271" s="27">
        <f t="shared" si="22"/>
        <v>26</v>
      </c>
      <c r="E271" s="27">
        <f t="shared" si="23"/>
        <v>5</v>
      </c>
      <c r="F271" s="27">
        <f>VLOOKUP(E271,[2]t_calendarioPolitica!A:C,3,FALSE)</f>
        <v>1</v>
      </c>
      <c r="G271" s="1">
        <v>1</v>
      </c>
      <c r="H271" s="1">
        <v>1</v>
      </c>
      <c r="I271" s="1">
        <f t="shared" si="24"/>
        <v>1</v>
      </c>
    </row>
    <row r="272" spans="1:9" x14ac:dyDescent="0.25">
      <c r="A272" s="26">
        <v>45562</v>
      </c>
      <c r="B272" s="27">
        <f t="shared" si="20"/>
        <v>2024</v>
      </c>
      <c r="C272" s="27">
        <f t="shared" si="21"/>
        <v>9</v>
      </c>
      <c r="D272" s="27">
        <f t="shared" si="22"/>
        <v>27</v>
      </c>
      <c r="E272" s="27">
        <f t="shared" si="23"/>
        <v>6</v>
      </c>
      <c r="F272" s="27">
        <f>VLOOKUP(E272,[2]t_calendarioPolitica!A:C,3,FALSE)</f>
        <v>1</v>
      </c>
      <c r="G272" s="1">
        <v>1</v>
      </c>
      <c r="H272" s="1">
        <v>1</v>
      </c>
      <c r="I272" s="1">
        <f t="shared" si="24"/>
        <v>1</v>
      </c>
    </row>
    <row r="273" spans="1:9" x14ac:dyDescent="0.25">
      <c r="A273" s="26">
        <v>45563</v>
      </c>
      <c r="B273" s="27">
        <f t="shared" si="20"/>
        <v>2024</v>
      </c>
      <c r="C273" s="27">
        <f t="shared" si="21"/>
        <v>9</v>
      </c>
      <c r="D273" s="27">
        <f t="shared" si="22"/>
        <v>28</v>
      </c>
      <c r="E273" s="27">
        <f t="shared" si="23"/>
        <v>7</v>
      </c>
      <c r="F273" s="27">
        <f>VLOOKUP(E273,[2]t_calendarioPolitica!A:C,3,FALSE)</f>
        <v>2</v>
      </c>
      <c r="G273" s="1">
        <v>1</v>
      </c>
      <c r="H273" s="1">
        <v>1</v>
      </c>
      <c r="I273" s="1">
        <f t="shared" si="24"/>
        <v>1</v>
      </c>
    </row>
    <row r="274" spans="1:9" x14ac:dyDescent="0.25">
      <c r="A274" s="26">
        <v>45564</v>
      </c>
      <c r="B274" s="27">
        <f t="shared" si="20"/>
        <v>2024</v>
      </c>
      <c r="C274" s="27">
        <f t="shared" si="21"/>
        <v>9</v>
      </c>
      <c r="D274" s="27">
        <f t="shared" si="22"/>
        <v>29</v>
      </c>
      <c r="E274" s="27">
        <f t="shared" si="23"/>
        <v>1</v>
      </c>
      <c r="F274" s="27">
        <f>VLOOKUP(E274,[2]t_calendarioPolitica!A:C,3,FALSE)</f>
        <v>0</v>
      </c>
      <c r="G274" s="1">
        <v>1</v>
      </c>
      <c r="H274" s="1">
        <v>1</v>
      </c>
      <c r="I274" s="1">
        <f t="shared" si="24"/>
        <v>0</v>
      </c>
    </row>
    <row r="275" spans="1:9" x14ac:dyDescent="0.25">
      <c r="A275" s="26">
        <v>45565</v>
      </c>
      <c r="B275" s="27">
        <f t="shared" si="20"/>
        <v>2024</v>
      </c>
      <c r="C275" s="27">
        <f t="shared" si="21"/>
        <v>9</v>
      </c>
      <c r="D275" s="27">
        <f t="shared" si="22"/>
        <v>30</v>
      </c>
      <c r="E275" s="27">
        <f t="shared" si="23"/>
        <v>2</v>
      </c>
      <c r="F275" s="27">
        <f>VLOOKUP(E275,[2]t_calendarioPolitica!A:C,3,FALSE)</f>
        <v>1</v>
      </c>
      <c r="G275" s="1">
        <v>1</v>
      </c>
      <c r="H275" s="1">
        <v>1</v>
      </c>
      <c r="I275" s="1">
        <f t="shared" si="24"/>
        <v>1</v>
      </c>
    </row>
    <row r="276" spans="1:9" x14ac:dyDescent="0.25">
      <c r="A276" s="26">
        <v>45566</v>
      </c>
      <c r="B276" s="27">
        <f t="shared" si="20"/>
        <v>2024</v>
      </c>
      <c r="C276" s="27">
        <f t="shared" si="21"/>
        <v>10</v>
      </c>
      <c r="D276" s="27">
        <f t="shared" si="22"/>
        <v>1</v>
      </c>
      <c r="E276" s="27">
        <f t="shared" si="23"/>
        <v>3</v>
      </c>
      <c r="F276" s="27">
        <f>VLOOKUP(E276,[2]t_calendarioPolitica!A:C,3,FALSE)</f>
        <v>1</v>
      </c>
      <c r="G276" s="1">
        <v>0</v>
      </c>
      <c r="H276" s="1">
        <v>1</v>
      </c>
      <c r="I276" s="1">
        <f t="shared" si="24"/>
        <v>0</v>
      </c>
    </row>
    <row r="277" spans="1:9" x14ac:dyDescent="0.25">
      <c r="A277" s="26">
        <v>45567</v>
      </c>
      <c r="B277" s="27">
        <f t="shared" si="20"/>
        <v>2024</v>
      </c>
      <c r="C277" s="27">
        <f t="shared" si="21"/>
        <v>10</v>
      </c>
      <c r="D277" s="27">
        <f t="shared" si="22"/>
        <v>2</v>
      </c>
      <c r="E277" s="27">
        <f t="shared" si="23"/>
        <v>4</v>
      </c>
      <c r="F277" s="27">
        <f>VLOOKUP(E277,[2]t_calendarioPolitica!A:C,3,FALSE)</f>
        <v>1</v>
      </c>
      <c r="G277" s="1">
        <v>1</v>
      </c>
      <c r="H277" s="1">
        <v>1</v>
      </c>
      <c r="I277" s="1">
        <f t="shared" si="24"/>
        <v>1</v>
      </c>
    </row>
    <row r="278" spans="1:9" x14ac:dyDescent="0.25">
      <c r="A278" s="26">
        <v>45568</v>
      </c>
      <c r="B278" s="27">
        <f t="shared" si="20"/>
        <v>2024</v>
      </c>
      <c r="C278" s="27">
        <f t="shared" si="21"/>
        <v>10</v>
      </c>
      <c r="D278" s="27">
        <f t="shared" si="22"/>
        <v>3</v>
      </c>
      <c r="E278" s="27">
        <f t="shared" si="23"/>
        <v>5</v>
      </c>
      <c r="F278" s="27">
        <f>VLOOKUP(E278,[2]t_calendarioPolitica!A:C,3,FALSE)</f>
        <v>1</v>
      </c>
      <c r="G278" s="1">
        <v>1</v>
      </c>
      <c r="H278" s="1">
        <v>1</v>
      </c>
      <c r="I278" s="1">
        <f t="shared" si="24"/>
        <v>1</v>
      </c>
    </row>
    <row r="279" spans="1:9" x14ac:dyDescent="0.25">
      <c r="A279" s="26">
        <v>45569</v>
      </c>
      <c r="B279" s="27">
        <f t="shared" si="20"/>
        <v>2024</v>
      </c>
      <c r="C279" s="27">
        <f t="shared" si="21"/>
        <v>10</v>
      </c>
      <c r="D279" s="27">
        <f t="shared" si="22"/>
        <v>4</v>
      </c>
      <c r="E279" s="27">
        <f t="shared" si="23"/>
        <v>6</v>
      </c>
      <c r="F279" s="27">
        <f>VLOOKUP(E279,[2]t_calendarioPolitica!A:C,3,FALSE)</f>
        <v>1</v>
      </c>
      <c r="G279" s="1">
        <v>1</v>
      </c>
      <c r="H279" s="1">
        <v>1</v>
      </c>
      <c r="I279" s="1">
        <f t="shared" si="24"/>
        <v>1</v>
      </c>
    </row>
    <row r="280" spans="1:9" x14ac:dyDescent="0.25">
      <c r="A280" s="26">
        <v>45570</v>
      </c>
      <c r="B280" s="27">
        <f t="shared" si="20"/>
        <v>2024</v>
      </c>
      <c r="C280" s="27">
        <f t="shared" si="21"/>
        <v>10</v>
      </c>
      <c r="D280" s="27">
        <f t="shared" si="22"/>
        <v>5</v>
      </c>
      <c r="E280" s="27">
        <f t="shared" si="23"/>
        <v>7</v>
      </c>
      <c r="F280" s="27">
        <f>VLOOKUP(E280,[2]t_calendarioPolitica!A:C,3,FALSE)</f>
        <v>2</v>
      </c>
      <c r="G280" s="1">
        <v>1</v>
      </c>
      <c r="H280" s="1">
        <v>1</v>
      </c>
      <c r="I280" s="1">
        <f t="shared" si="24"/>
        <v>1</v>
      </c>
    </row>
    <row r="281" spans="1:9" x14ac:dyDescent="0.25">
      <c r="A281" s="26">
        <v>45571</v>
      </c>
      <c r="B281" s="27">
        <f t="shared" si="20"/>
        <v>2024</v>
      </c>
      <c r="C281" s="27">
        <f t="shared" si="21"/>
        <v>10</v>
      </c>
      <c r="D281" s="27">
        <f t="shared" si="22"/>
        <v>6</v>
      </c>
      <c r="E281" s="27">
        <f t="shared" si="23"/>
        <v>1</v>
      </c>
      <c r="F281" s="27">
        <f>VLOOKUP(E281,[2]t_calendarioPolitica!A:C,3,FALSE)</f>
        <v>0</v>
      </c>
      <c r="G281" s="1">
        <v>1</v>
      </c>
      <c r="H281" s="1">
        <v>1</v>
      </c>
      <c r="I281" s="1">
        <f t="shared" si="24"/>
        <v>0</v>
      </c>
    </row>
    <row r="282" spans="1:9" x14ac:dyDescent="0.25">
      <c r="A282" s="26">
        <v>45572</v>
      </c>
      <c r="B282" s="27">
        <f t="shared" si="20"/>
        <v>2024</v>
      </c>
      <c r="C282" s="27">
        <f t="shared" si="21"/>
        <v>10</v>
      </c>
      <c r="D282" s="27">
        <f t="shared" si="22"/>
        <v>7</v>
      </c>
      <c r="E282" s="27">
        <f t="shared" si="23"/>
        <v>2</v>
      </c>
      <c r="F282" s="27">
        <f>VLOOKUP(E282,[2]t_calendarioPolitica!A:C,3,FALSE)</f>
        <v>1</v>
      </c>
      <c r="G282" s="1">
        <v>1</v>
      </c>
      <c r="H282" s="1">
        <v>1</v>
      </c>
      <c r="I282" s="1">
        <f t="shared" si="24"/>
        <v>1</v>
      </c>
    </row>
    <row r="283" spans="1:9" x14ac:dyDescent="0.25">
      <c r="A283" s="26">
        <v>45573</v>
      </c>
      <c r="B283" s="27">
        <f t="shared" si="20"/>
        <v>2024</v>
      </c>
      <c r="C283" s="27">
        <f t="shared" si="21"/>
        <v>10</v>
      </c>
      <c r="D283" s="27">
        <f t="shared" si="22"/>
        <v>8</v>
      </c>
      <c r="E283" s="27">
        <f t="shared" si="23"/>
        <v>3</v>
      </c>
      <c r="F283" s="27">
        <f>VLOOKUP(E283,[2]t_calendarioPolitica!A:C,3,FALSE)</f>
        <v>1</v>
      </c>
      <c r="G283" s="1">
        <v>1</v>
      </c>
      <c r="H283" s="1">
        <v>1</v>
      </c>
      <c r="I283" s="1">
        <f t="shared" si="24"/>
        <v>1</v>
      </c>
    </row>
    <row r="284" spans="1:9" x14ac:dyDescent="0.25">
      <c r="A284" s="26">
        <v>45574</v>
      </c>
      <c r="B284" s="27">
        <f t="shared" si="20"/>
        <v>2024</v>
      </c>
      <c r="C284" s="27">
        <f t="shared" si="21"/>
        <v>10</v>
      </c>
      <c r="D284" s="27">
        <f t="shared" si="22"/>
        <v>9</v>
      </c>
      <c r="E284" s="27">
        <f t="shared" si="23"/>
        <v>4</v>
      </c>
      <c r="F284" s="27">
        <f>VLOOKUP(E284,[2]t_calendarioPolitica!A:C,3,FALSE)</f>
        <v>1</v>
      </c>
      <c r="G284" s="1">
        <v>1</v>
      </c>
      <c r="H284" s="1">
        <v>1</v>
      </c>
      <c r="I284" s="1">
        <f t="shared" si="24"/>
        <v>1</v>
      </c>
    </row>
    <row r="285" spans="1:9" x14ac:dyDescent="0.25">
      <c r="A285" s="26">
        <v>45575</v>
      </c>
      <c r="B285" s="27">
        <f t="shared" si="20"/>
        <v>2024</v>
      </c>
      <c r="C285" s="27">
        <f t="shared" si="21"/>
        <v>10</v>
      </c>
      <c r="D285" s="27">
        <f t="shared" si="22"/>
        <v>10</v>
      </c>
      <c r="E285" s="27">
        <f t="shared" si="23"/>
        <v>5</v>
      </c>
      <c r="F285" s="27">
        <f>VLOOKUP(E285,[2]t_calendarioPolitica!A:C,3,FALSE)</f>
        <v>1</v>
      </c>
      <c r="G285" s="1">
        <v>1</v>
      </c>
      <c r="H285" s="1">
        <v>1</v>
      </c>
      <c r="I285" s="1">
        <f t="shared" si="24"/>
        <v>1</v>
      </c>
    </row>
    <row r="286" spans="1:9" x14ac:dyDescent="0.25">
      <c r="A286" s="26">
        <v>45576</v>
      </c>
      <c r="B286" s="27">
        <f t="shared" si="20"/>
        <v>2024</v>
      </c>
      <c r="C286" s="27">
        <f t="shared" si="21"/>
        <v>10</v>
      </c>
      <c r="D286" s="27">
        <f t="shared" si="22"/>
        <v>11</v>
      </c>
      <c r="E286" s="27">
        <f t="shared" si="23"/>
        <v>6</v>
      </c>
      <c r="F286" s="27">
        <f>VLOOKUP(E286,[2]t_calendarioPolitica!A:C,3,FALSE)</f>
        <v>1</v>
      </c>
      <c r="G286" s="1">
        <v>1</v>
      </c>
      <c r="H286" s="1">
        <v>1</v>
      </c>
      <c r="I286" s="1">
        <f t="shared" si="24"/>
        <v>1</v>
      </c>
    </row>
    <row r="287" spans="1:9" x14ac:dyDescent="0.25">
      <c r="A287" s="26">
        <v>45577</v>
      </c>
      <c r="B287" s="27">
        <f t="shared" si="20"/>
        <v>2024</v>
      </c>
      <c r="C287" s="27">
        <f t="shared" si="21"/>
        <v>10</v>
      </c>
      <c r="D287" s="27">
        <f t="shared" si="22"/>
        <v>12</v>
      </c>
      <c r="E287" s="27">
        <f t="shared" si="23"/>
        <v>7</v>
      </c>
      <c r="F287" s="27">
        <f>VLOOKUP(E287,[2]t_calendarioPolitica!A:C,3,FALSE)</f>
        <v>2</v>
      </c>
      <c r="G287" s="1">
        <v>1</v>
      </c>
      <c r="H287" s="1">
        <v>1</v>
      </c>
      <c r="I287" s="1">
        <f t="shared" si="24"/>
        <v>1</v>
      </c>
    </row>
    <row r="288" spans="1:9" x14ac:dyDescent="0.25">
      <c r="A288" s="26">
        <v>45578</v>
      </c>
      <c r="B288" s="27">
        <f t="shared" si="20"/>
        <v>2024</v>
      </c>
      <c r="C288" s="27">
        <f t="shared" si="21"/>
        <v>10</v>
      </c>
      <c r="D288" s="27">
        <f t="shared" si="22"/>
        <v>13</v>
      </c>
      <c r="E288" s="27">
        <f t="shared" si="23"/>
        <v>1</v>
      </c>
      <c r="F288" s="27">
        <f>VLOOKUP(E288,[2]t_calendarioPolitica!A:C,3,FALSE)</f>
        <v>0</v>
      </c>
      <c r="G288" s="1">
        <v>1</v>
      </c>
      <c r="H288" s="1">
        <v>1</v>
      </c>
      <c r="I288" s="1">
        <f t="shared" si="24"/>
        <v>0</v>
      </c>
    </row>
    <row r="289" spans="1:9" x14ac:dyDescent="0.25">
      <c r="A289" s="26">
        <v>45579</v>
      </c>
      <c r="B289" s="27">
        <f t="shared" si="20"/>
        <v>2024</v>
      </c>
      <c r="C289" s="27">
        <f t="shared" si="21"/>
        <v>10</v>
      </c>
      <c r="D289" s="27">
        <f t="shared" si="22"/>
        <v>14</v>
      </c>
      <c r="E289" s="27">
        <f t="shared" si="23"/>
        <v>2</v>
      </c>
      <c r="F289" s="27">
        <f>VLOOKUP(E289,[2]t_calendarioPolitica!A:C,3,FALSE)</f>
        <v>1</v>
      </c>
      <c r="G289" s="1">
        <v>1</v>
      </c>
      <c r="H289" s="1">
        <v>1</v>
      </c>
      <c r="I289" s="1">
        <f t="shared" si="24"/>
        <v>1</v>
      </c>
    </row>
    <row r="290" spans="1:9" x14ac:dyDescent="0.25">
      <c r="A290" s="26">
        <v>45580</v>
      </c>
      <c r="B290" s="27">
        <f t="shared" si="20"/>
        <v>2024</v>
      </c>
      <c r="C290" s="27">
        <f t="shared" si="21"/>
        <v>10</v>
      </c>
      <c r="D290" s="27">
        <f t="shared" si="22"/>
        <v>15</v>
      </c>
      <c r="E290" s="27">
        <f t="shared" si="23"/>
        <v>3</v>
      </c>
      <c r="F290" s="27">
        <f>VLOOKUP(E290,[2]t_calendarioPolitica!A:C,3,FALSE)</f>
        <v>1</v>
      </c>
      <c r="G290" s="1">
        <v>1</v>
      </c>
      <c r="H290" s="1">
        <v>1</v>
      </c>
      <c r="I290" s="1">
        <f t="shared" si="24"/>
        <v>1</v>
      </c>
    </row>
    <row r="291" spans="1:9" x14ac:dyDescent="0.25">
      <c r="A291" s="26">
        <v>45581</v>
      </c>
      <c r="B291" s="27">
        <f t="shared" si="20"/>
        <v>2024</v>
      </c>
      <c r="C291" s="27">
        <f t="shared" si="21"/>
        <v>10</v>
      </c>
      <c r="D291" s="27">
        <f t="shared" si="22"/>
        <v>16</v>
      </c>
      <c r="E291" s="27">
        <f t="shared" si="23"/>
        <v>4</v>
      </c>
      <c r="F291" s="27">
        <f>VLOOKUP(E291,[2]t_calendarioPolitica!A:C,3,FALSE)</f>
        <v>1</v>
      </c>
      <c r="G291" s="1">
        <v>1</v>
      </c>
      <c r="H291" s="1">
        <v>1</v>
      </c>
      <c r="I291" s="1">
        <f t="shared" si="24"/>
        <v>1</v>
      </c>
    </row>
    <row r="292" spans="1:9" x14ac:dyDescent="0.25">
      <c r="A292" s="26">
        <v>45582</v>
      </c>
      <c r="B292" s="27">
        <f t="shared" si="20"/>
        <v>2024</v>
      </c>
      <c r="C292" s="27">
        <f t="shared" si="21"/>
        <v>10</v>
      </c>
      <c r="D292" s="27">
        <f t="shared" si="22"/>
        <v>17</v>
      </c>
      <c r="E292" s="27">
        <f t="shared" si="23"/>
        <v>5</v>
      </c>
      <c r="F292" s="27">
        <f>VLOOKUP(E292,[2]t_calendarioPolitica!A:C,3,FALSE)</f>
        <v>1</v>
      </c>
      <c r="G292" s="1">
        <v>1</v>
      </c>
      <c r="H292" s="1">
        <v>1</v>
      </c>
      <c r="I292" s="1">
        <f t="shared" si="24"/>
        <v>1</v>
      </c>
    </row>
    <row r="293" spans="1:9" x14ac:dyDescent="0.25">
      <c r="A293" s="26">
        <v>45583</v>
      </c>
      <c r="B293" s="27">
        <f t="shared" si="20"/>
        <v>2024</v>
      </c>
      <c r="C293" s="27">
        <f t="shared" si="21"/>
        <v>10</v>
      </c>
      <c r="D293" s="27">
        <f t="shared" si="22"/>
        <v>18</v>
      </c>
      <c r="E293" s="27">
        <f t="shared" si="23"/>
        <v>6</v>
      </c>
      <c r="F293" s="27">
        <f>VLOOKUP(E293,[2]t_calendarioPolitica!A:C,3,FALSE)</f>
        <v>1</v>
      </c>
      <c r="G293" s="1">
        <v>1</v>
      </c>
      <c r="H293" s="1">
        <v>1</v>
      </c>
      <c r="I293" s="1">
        <f t="shared" si="24"/>
        <v>1</v>
      </c>
    </row>
    <row r="294" spans="1:9" x14ac:dyDescent="0.25">
      <c r="A294" s="26">
        <v>45584</v>
      </c>
      <c r="B294" s="27">
        <f t="shared" si="20"/>
        <v>2024</v>
      </c>
      <c r="C294" s="27">
        <f t="shared" si="21"/>
        <v>10</v>
      </c>
      <c r="D294" s="27">
        <f t="shared" si="22"/>
        <v>19</v>
      </c>
      <c r="E294" s="27">
        <f t="shared" si="23"/>
        <v>7</v>
      </c>
      <c r="F294" s="27">
        <f>VLOOKUP(E294,[2]t_calendarioPolitica!A:C,3,FALSE)</f>
        <v>2</v>
      </c>
      <c r="G294" s="1">
        <v>1</v>
      </c>
      <c r="H294" s="1">
        <v>1</v>
      </c>
      <c r="I294" s="1">
        <f t="shared" si="24"/>
        <v>1</v>
      </c>
    </row>
    <row r="295" spans="1:9" x14ac:dyDescent="0.25">
      <c r="A295" s="26">
        <v>45585</v>
      </c>
      <c r="B295" s="27">
        <f t="shared" si="20"/>
        <v>2024</v>
      </c>
      <c r="C295" s="27">
        <f t="shared" si="21"/>
        <v>10</v>
      </c>
      <c r="D295" s="27">
        <f t="shared" si="22"/>
        <v>20</v>
      </c>
      <c r="E295" s="27">
        <f t="shared" si="23"/>
        <v>1</v>
      </c>
      <c r="F295" s="27">
        <f>VLOOKUP(E295,[2]t_calendarioPolitica!A:C,3,FALSE)</f>
        <v>0</v>
      </c>
      <c r="G295" s="1">
        <v>1</v>
      </c>
      <c r="H295" s="1">
        <v>1</v>
      </c>
      <c r="I295" s="1">
        <f t="shared" si="24"/>
        <v>0</v>
      </c>
    </row>
    <row r="296" spans="1:9" x14ac:dyDescent="0.25">
      <c r="A296" s="26">
        <v>45586</v>
      </c>
      <c r="B296" s="27">
        <f t="shared" si="20"/>
        <v>2024</v>
      </c>
      <c r="C296" s="27">
        <f t="shared" si="21"/>
        <v>10</v>
      </c>
      <c r="D296" s="27">
        <f t="shared" si="22"/>
        <v>21</v>
      </c>
      <c r="E296" s="27">
        <f t="shared" si="23"/>
        <v>2</v>
      </c>
      <c r="F296" s="27">
        <f>VLOOKUP(E296,[2]t_calendarioPolitica!A:C,3,FALSE)</f>
        <v>1</v>
      </c>
      <c r="G296" s="1">
        <v>1</v>
      </c>
      <c r="H296" s="1">
        <v>1</v>
      </c>
      <c r="I296" s="1">
        <f t="shared" si="24"/>
        <v>1</v>
      </c>
    </row>
    <row r="297" spans="1:9" x14ac:dyDescent="0.25">
      <c r="A297" s="26">
        <v>45587</v>
      </c>
      <c r="B297" s="27">
        <f t="shared" si="20"/>
        <v>2024</v>
      </c>
      <c r="C297" s="27">
        <f t="shared" si="21"/>
        <v>10</v>
      </c>
      <c r="D297" s="27">
        <f t="shared" si="22"/>
        <v>22</v>
      </c>
      <c r="E297" s="27">
        <f t="shared" si="23"/>
        <v>3</v>
      </c>
      <c r="F297" s="27">
        <f>VLOOKUP(E297,[2]t_calendarioPolitica!A:C,3,FALSE)</f>
        <v>1</v>
      </c>
      <c r="G297" s="1">
        <v>1</v>
      </c>
      <c r="H297" s="1">
        <v>1</v>
      </c>
      <c r="I297" s="1">
        <f t="shared" si="24"/>
        <v>1</v>
      </c>
    </row>
    <row r="298" spans="1:9" x14ac:dyDescent="0.25">
      <c r="A298" s="26">
        <v>45588</v>
      </c>
      <c r="B298" s="27">
        <f t="shared" si="20"/>
        <v>2024</v>
      </c>
      <c r="C298" s="27">
        <f t="shared" si="21"/>
        <v>10</v>
      </c>
      <c r="D298" s="27">
        <f t="shared" si="22"/>
        <v>23</v>
      </c>
      <c r="E298" s="27">
        <f t="shared" si="23"/>
        <v>4</v>
      </c>
      <c r="F298" s="27">
        <f>VLOOKUP(E298,[2]t_calendarioPolitica!A:C,3,FALSE)</f>
        <v>1</v>
      </c>
      <c r="G298" s="1">
        <v>1</v>
      </c>
      <c r="H298" s="1">
        <v>1</v>
      </c>
      <c r="I298" s="1">
        <f t="shared" si="24"/>
        <v>1</v>
      </c>
    </row>
    <row r="299" spans="1:9" x14ac:dyDescent="0.25">
      <c r="A299" s="26">
        <v>45589</v>
      </c>
      <c r="B299" s="27">
        <f t="shared" si="20"/>
        <v>2024</v>
      </c>
      <c r="C299" s="27">
        <f t="shared" si="21"/>
        <v>10</v>
      </c>
      <c r="D299" s="27">
        <f t="shared" si="22"/>
        <v>24</v>
      </c>
      <c r="E299" s="27">
        <f t="shared" si="23"/>
        <v>5</v>
      </c>
      <c r="F299" s="27">
        <f>VLOOKUP(E299,[2]t_calendarioPolitica!A:C,3,FALSE)</f>
        <v>1</v>
      </c>
      <c r="G299" s="1">
        <v>1</v>
      </c>
      <c r="H299" s="1">
        <v>1</v>
      </c>
      <c r="I299" s="1">
        <f t="shared" si="24"/>
        <v>1</v>
      </c>
    </row>
    <row r="300" spans="1:9" x14ac:dyDescent="0.25">
      <c r="A300" s="26">
        <v>45590</v>
      </c>
      <c r="B300" s="27">
        <f t="shared" si="20"/>
        <v>2024</v>
      </c>
      <c r="C300" s="27">
        <f t="shared" si="21"/>
        <v>10</v>
      </c>
      <c r="D300" s="27">
        <f t="shared" si="22"/>
        <v>25</v>
      </c>
      <c r="E300" s="27">
        <f t="shared" si="23"/>
        <v>6</v>
      </c>
      <c r="F300" s="27">
        <f>VLOOKUP(E300,[2]t_calendarioPolitica!A:C,3,FALSE)</f>
        <v>1</v>
      </c>
      <c r="G300" s="1">
        <v>1</v>
      </c>
      <c r="H300" s="1">
        <v>1</v>
      </c>
      <c r="I300" s="1">
        <f t="shared" si="24"/>
        <v>1</v>
      </c>
    </row>
    <row r="301" spans="1:9" x14ac:dyDescent="0.25">
      <c r="A301" s="26">
        <v>45591</v>
      </c>
      <c r="B301" s="27">
        <f t="shared" si="20"/>
        <v>2024</v>
      </c>
      <c r="C301" s="27">
        <f t="shared" si="21"/>
        <v>10</v>
      </c>
      <c r="D301" s="27">
        <f t="shared" si="22"/>
        <v>26</v>
      </c>
      <c r="E301" s="27">
        <f t="shared" si="23"/>
        <v>7</v>
      </c>
      <c r="F301" s="27">
        <f>VLOOKUP(E301,[2]t_calendarioPolitica!A:C,3,FALSE)</f>
        <v>2</v>
      </c>
      <c r="G301" s="1">
        <v>1</v>
      </c>
      <c r="H301" s="1">
        <v>1</v>
      </c>
      <c r="I301" s="1">
        <f t="shared" si="24"/>
        <v>1</v>
      </c>
    </row>
    <row r="302" spans="1:9" x14ac:dyDescent="0.25">
      <c r="A302" s="26">
        <v>45592</v>
      </c>
      <c r="B302" s="27">
        <f t="shared" si="20"/>
        <v>2024</v>
      </c>
      <c r="C302" s="27">
        <f t="shared" si="21"/>
        <v>10</v>
      </c>
      <c r="D302" s="27">
        <f t="shared" si="22"/>
        <v>27</v>
      </c>
      <c r="E302" s="27">
        <f t="shared" si="23"/>
        <v>1</v>
      </c>
      <c r="F302" s="27">
        <f>VLOOKUP(E302,[2]t_calendarioPolitica!A:C,3,FALSE)</f>
        <v>0</v>
      </c>
      <c r="G302" s="1">
        <v>1</v>
      </c>
      <c r="H302" s="1">
        <v>1</v>
      </c>
      <c r="I302" s="1">
        <f t="shared" si="24"/>
        <v>0</v>
      </c>
    </row>
    <row r="303" spans="1:9" x14ac:dyDescent="0.25">
      <c r="A303" s="26">
        <v>45593</v>
      </c>
      <c r="B303" s="27">
        <f t="shared" si="20"/>
        <v>2024</v>
      </c>
      <c r="C303" s="27">
        <f t="shared" si="21"/>
        <v>10</v>
      </c>
      <c r="D303" s="27">
        <f t="shared" si="22"/>
        <v>28</v>
      </c>
      <c r="E303" s="27">
        <f t="shared" si="23"/>
        <v>2</v>
      </c>
      <c r="F303" s="27">
        <f>VLOOKUP(E303,[2]t_calendarioPolitica!A:C,3,FALSE)</f>
        <v>1</v>
      </c>
      <c r="G303" s="1">
        <v>1</v>
      </c>
      <c r="H303" s="1">
        <v>1</v>
      </c>
      <c r="I303" s="1">
        <f t="shared" si="24"/>
        <v>1</v>
      </c>
    </row>
    <row r="304" spans="1:9" x14ac:dyDescent="0.25">
      <c r="A304" s="26">
        <v>45594</v>
      </c>
      <c r="B304" s="27">
        <f t="shared" si="20"/>
        <v>2024</v>
      </c>
      <c r="C304" s="27">
        <f t="shared" si="21"/>
        <v>10</v>
      </c>
      <c r="D304" s="27">
        <f t="shared" si="22"/>
        <v>29</v>
      </c>
      <c r="E304" s="27">
        <f t="shared" si="23"/>
        <v>3</v>
      </c>
      <c r="F304" s="27">
        <f>VLOOKUP(E304,[2]t_calendarioPolitica!A:C,3,FALSE)</f>
        <v>1</v>
      </c>
      <c r="G304" s="1">
        <v>1</v>
      </c>
      <c r="H304" s="1">
        <v>1</v>
      </c>
      <c r="I304" s="1">
        <f t="shared" si="24"/>
        <v>1</v>
      </c>
    </row>
    <row r="305" spans="1:9" x14ac:dyDescent="0.25">
      <c r="A305" s="26">
        <v>45595</v>
      </c>
      <c r="B305" s="27">
        <f t="shared" si="20"/>
        <v>2024</v>
      </c>
      <c r="C305" s="27">
        <f t="shared" si="21"/>
        <v>10</v>
      </c>
      <c r="D305" s="27">
        <f t="shared" si="22"/>
        <v>30</v>
      </c>
      <c r="E305" s="27">
        <f t="shared" si="23"/>
        <v>4</v>
      </c>
      <c r="F305" s="27">
        <f>VLOOKUP(E305,[2]t_calendarioPolitica!A:C,3,FALSE)</f>
        <v>1</v>
      </c>
      <c r="G305" s="1">
        <v>1</v>
      </c>
      <c r="H305" s="1">
        <v>1</v>
      </c>
      <c r="I305" s="1">
        <f t="shared" si="24"/>
        <v>1</v>
      </c>
    </row>
    <row r="306" spans="1:9" x14ac:dyDescent="0.25">
      <c r="A306" s="26">
        <v>45596</v>
      </c>
      <c r="B306" s="27">
        <f t="shared" si="20"/>
        <v>2024</v>
      </c>
      <c r="C306" s="27">
        <f t="shared" si="21"/>
        <v>10</v>
      </c>
      <c r="D306" s="27">
        <f t="shared" si="22"/>
        <v>31</v>
      </c>
      <c r="E306" s="27">
        <f t="shared" si="23"/>
        <v>5</v>
      </c>
      <c r="F306" s="27">
        <f>VLOOKUP(E306,[2]t_calendarioPolitica!A:C,3,FALSE)</f>
        <v>1</v>
      </c>
      <c r="G306" s="1">
        <v>1</v>
      </c>
      <c r="H306" s="1">
        <v>1</v>
      </c>
      <c r="I306" s="1">
        <f t="shared" si="24"/>
        <v>1</v>
      </c>
    </row>
    <row r="307" spans="1:9" x14ac:dyDescent="0.25">
      <c r="A307" s="26">
        <v>45597</v>
      </c>
      <c r="B307" s="27">
        <f t="shared" si="20"/>
        <v>2024</v>
      </c>
      <c r="C307" s="27">
        <f t="shared" si="21"/>
        <v>11</v>
      </c>
      <c r="D307" s="27">
        <f t="shared" si="22"/>
        <v>1</v>
      </c>
      <c r="E307" s="27">
        <f t="shared" si="23"/>
        <v>6</v>
      </c>
      <c r="F307" s="27">
        <f>VLOOKUP(E307,[2]t_calendarioPolitica!A:C,3,FALSE)</f>
        <v>1</v>
      </c>
      <c r="G307" s="1">
        <v>1</v>
      </c>
      <c r="H307" s="1">
        <v>1</v>
      </c>
      <c r="I307" s="1">
        <f t="shared" si="24"/>
        <v>1</v>
      </c>
    </row>
    <row r="308" spans="1:9" x14ac:dyDescent="0.25">
      <c r="A308" s="26">
        <v>45598</v>
      </c>
      <c r="B308" s="27">
        <f t="shared" si="20"/>
        <v>2024</v>
      </c>
      <c r="C308" s="27">
        <f t="shared" si="21"/>
        <v>11</v>
      </c>
      <c r="D308" s="27">
        <f t="shared" si="22"/>
        <v>2</v>
      </c>
      <c r="E308" s="27">
        <f t="shared" si="23"/>
        <v>7</v>
      </c>
      <c r="F308" s="27">
        <f>VLOOKUP(E308,[2]t_calendarioPolitica!A:C,3,FALSE)</f>
        <v>2</v>
      </c>
      <c r="G308" s="1">
        <v>1</v>
      </c>
      <c r="H308" s="1">
        <v>0</v>
      </c>
      <c r="I308" s="1">
        <f t="shared" si="24"/>
        <v>0</v>
      </c>
    </row>
    <row r="309" spans="1:9" x14ac:dyDescent="0.25">
      <c r="A309" s="26">
        <v>45599</v>
      </c>
      <c r="B309" s="27">
        <f t="shared" si="20"/>
        <v>2024</v>
      </c>
      <c r="C309" s="27">
        <f t="shared" si="21"/>
        <v>11</v>
      </c>
      <c r="D309" s="27">
        <f t="shared" si="22"/>
        <v>3</v>
      </c>
      <c r="E309" s="27">
        <f t="shared" si="23"/>
        <v>1</v>
      </c>
      <c r="F309" s="27">
        <f>VLOOKUP(E309,[2]t_calendarioPolitica!A:C,3,FALSE)</f>
        <v>0</v>
      </c>
      <c r="G309" s="1">
        <v>1</v>
      </c>
      <c r="H309" s="1">
        <v>1</v>
      </c>
      <c r="I309" s="1">
        <f t="shared" si="24"/>
        <v>0</v>
      </c>
    </row>
    <row r="310" spans="1:9" x14ac:dyDescent="0.25">
      <c r="A310" s="26">
        <v>45600</v>
      </c>
      <c r="B310" s="27">
        <f t="shared" si="20"/>
        <v>2024</v>
      </c>
      <c r="C310" s="27">
        <f t="shared" si="21"/>
        <v>11</v>
      </c>
      <c r="D310" s="27">
        <f t="shared" si="22"/>
        <v>4</v>
      </c>
      <c r="E310" s="27">
        <f t="shared" si="23"/>
        <v>2</v>
      </c>
      <c r="F310" s="27">
        <f>VLOOKUP(E310,[2]t_calendarioPolitica!A:C,3,FALSE)</f>
        <v>1</v>
      </c>
      <c r="G310" s="1">
        <v>1</v>
      </c>
      <c r="H310" s="1">
        <v>1</v>
      </c>
      <c r="I310" s="1">
        <f t="shared" si="24"/>
        <v>1</v>
      </c>
    </row>
    <row r="311" spans="1:9" x14ac:dyDescent="0.25">
      <c r="A311" s="26">
        <v>45601</v>
      </c>
      <c r="B311" s="27">
        <f t="shared" si="20"/>
        <v>2024</v>
      </c>
      <c r="C311" s="27">
        <f t="shared" si="21"/>
        <v>11</v>
      </c>
      <c r="D311" s="27">
        <f t="shared" si="22"/>
        <v>5</v>
      </c>
      <c r="E311" s="27">
        <f t="shared" si="23"/>
        <v>3</v>
      </c>
      <c r="F311" s="27">
        <f>VLOOKUP(E311,[2]t_calendarioPolitica!A:C,3,FALSE)</f>
        <v>1</v>
      </c>
      <c r="G311" s="1">
        <v>1</v>
      </c>
      <c r="H311" s="1">
        <v>1</v>
      </c>
      <c r="I311" s="1">
        <f t="shared" si="24"/>
        <v>1</v>
      </c>
    </row>
    <row r="312" spans="1:9" x14ac:dyDescent="0.25">
      <c r="A312" s="26">
        <v>45602</v>
      </c>
      <c r="B312" s="27">
        <f t="shared" si="20"/>
        <v>2024</v>
      </c>
      <c r="C312" s="27">
        <f t="shared" si="21"/>
        <v>11</v>
      </c>
      <c r="D312" s="27">
        <f t="shared" si="22"/>
        <v>6</v>
      </c>
      <c r="E312" s="27">
        <f t="shared" si="23"/>
        <v>4</v>
      </c>
      <c r="F312" s="27">
        <f>VLOOKUP(E312,[2]t_calendarioPolitica!A:C,3,FALSE)</f>
        <v>1</v>
      </c>
      <c r="G312" s="1">
        <v>1</v>
      </c>
      <c r="H312" s="1">
        <v>1</v>
      </c>
      <c r="I312" s="1">
        <f t="shared" si="24"/>
        <v>1</v>
      </c>
    </row>
    <row r="313" spans="1:9" x14ac:dyDescent="0.25">
      <c r="A313" s="26">
        <v>45603</v>
      </c>
      <c r="B313" s="27">
        <f t="shared" si="20"/>
        <v>2024</v>
      </c>
      <c r="C313" s="27">
        <f t="shared" si="21"/>
        <v>11</v>
      </c>
      <c r="D313" s="27">
        <f t="shared" si="22"/>
        <v>7</v>
      </c>
      <c r="E313" s="27">
        <f t="shared" si="23"/>
        <v>5</v>
      </c>
      <c r="F313" s="27">
        <f>VLOOKUP(E313,[2]t_calendarioPolitica!A:C,3,FALSE)</f>
        <v>1</v>
      </c>
      <c r="G313" s="1">
        <v>1</v>
      </c>
      <c r="H313" s="1">
        <v>1</v>
      </c>
      <c r="I313" s="1">
        <f t="shared" si="24"/>
        <v>1</v>
      </c>
    </row>
    <row r="314" spans="1:9" x14ac:dyDescent="0.25">
      <c r="A314" s="26">
        <v>45604</v>
      </c>
      <c r="B314" s="27">
        <f t="shared" si="20"/>
        <v>2024</v>
      </c>
      <c r="C314" s="27">
        <f t="shared" si="21"/>
        <v>11</v>
      </c>
      <c r="D314" s="27">
        <f t="shared" si="22"/>
        <v>8</v>
      </c>
      <c r="E314" s="27">
        <f t="shared" si="23"/>
        <v>6</v>
      </c>
      <c r="F314" s="27">
        <f>VLOOKUP(E314,[2]t_calendarioPolitica!A:C,3,FALSE)</f>
        <v>1</v>
      </c>
      <c r="G314" s="1">
        <v>1</v>
      </c>
      <c r="H314" s="1">
        <v>1</v>
      </c>
      <c r="I314" s="1">
        <f t="shared" si="24"/>
        <v>1</v>
      </c>
    </row>
    <row r="315" spans="1:9" x14ac:dyDescent="0.25">
      <c r="A315" s="26">
        <v>45605</v>
      </c>
      <c r="B315" s="27">
        <f t="shared" si="20"/>
        <v>2024</v>
      </c>
      <c r="C315" s="27">
        <f t="shared" si="21"/>
        <v>11</v>
      </c>
      <c r="D315" s="27">
        <f t="shared" si="22"/>
        <v>9</v>
      </c>
      <c r="E315" s="27">
        <f t="shared" si="23"/>
        <v>7</v>
      </c>
      <c r="F315" s="27">
        <f>VLOOKUP(E315,[2]t_calendarioPolitica!A:C,3,FALSE)</f>
        <v>2</v>
      </c>
      <c r="G315" s="1">
        <v>1</v>
      </c>
      <c r="H315" s="1">
        <v>1</v>
      </c>
      <c r="I315" s="1">
        <f t="shared" si="24"/>
        <v>1</v>
      </c>
    </row>
    <row r="316" spans="1:9" x14ac:dyDescent="0.25">
      <c r="A316" s="26">
        <v>45606</v>
      </c>
      <c r="B316" s="27">
        <f t="shared" si="20"/>
        <v>2024</v>
      </c>
      <c r="C316" s="27">
        <f t="shared" si="21"/>
        <v>11</v>
      </c>
      <c r="D316" s="27">
        <f t="shared" si="22"/>
        <v>10</v>
      </c>
      <c r="E316" s="27">
        <f t="shared" si="23"/>
        <v>1</v>
      </c>
      <c r="F316" s="27">
        <f>VLOOKUP(E316,[2]t_calendarioPolitica!A:C,3,FALSE)</f>
        <v>0</v>
      </c>
      <c r="G316" s="1">
        <v>1</v>
      </c>
      <c r="H316" s="1">
        <v>1</v>
      </c>
      <c r="I316" s="1">
        <f t="shared" si="24"/>
        <v>0</v>
      </c>
    </row>
    <row r="317" spans="1:9" x14ac:dyDescent="0.25">
      <c r="A317" s="26">
        <v>45607</v>
      </c>
      <c r="B317" s="27">
        <f t="shared" si="20"/>
        <v>2024</v>
      </c>
      <c r="C317" s="27">
        <f t="shared" si="21"/>
        <v>11</v>
      </c>
      <c r="D317" s="27">
        <f t="shared" si="22"/>
        <v>11</v>
      </c>
      <c r="E317" s="27">
        <f t="shared" si="23"/>
        <v>2</v>
      </c>
      <c r="F317" s="27">
        <f>VLOOKUP(E317,[2]t_calendarioPolitica!A:C,3,FALSE)</f>
        <v>1</v>
      </c>
      <c r="G317" s="1">
        <v>1</v>
      </c>
      <c r="H317" s="1">
        <v>1</v>
      </c>
      <c r="I317" s="1">
        <f t="shared" si="24"/>
        <v>1</v>
      </c>
    </row>
    <row r="318" spans="1:9" x14ac:dyDescent="0.25">
      <c r="A318" s="26">
        <v>45608</v>
      </c>
      <c r="B318" s="27">
        <f t="shared" si="20"/>
        <v>2024</v>
      </c>
      <c r="C318" s="27">
        <f t="shared" si="21"/>
        <v>11</v>
      </c>
      <c r="D318" s="27">
        <f t="shared" si="22"/>
        <v>12</v>
      </c>
      <c r="E318" s="27">
        <f t="shared" si="23"/>
        <v>3</v>
      </c>
      <c r="F318" s="27">
        <f>VLOOKUP(E318,[2]t_calendarioPolitica!A:C,3,FALSE)</f>
        <v>1</v>
      </c>
      <c r="G318" s="1">
        <v>1</v>
      </c>
      <c r="H318" s="1">
        <v>1</v>
      </c>
      <c r="I318" s="1">
        <f t="shared" si="24"/>
        <v>1</v>
      </c>
    </row>
    <row r="319" spans="1:9" x14ac:dyDescent="0.25">
      <c r="A319" s="26">
        <v>45609</v>
      </c>
      <c r="B319" s="27">
        <f t="shared" si="20"/>
        <v>2024</v>
      </c>
      <c r="C319" s="27">
        <f t="shared" si="21"/>
        <v>11</v>
      </c>
      <c r="D319" s="27">
        <f t="shared" si="22"/>
        <v>13</v>
      </c>
      <c r="E319" s="27">
        <f t="shared" si="23"/>
        <v>4</v>
      </c>
      <c r="F319" s="27">
        <f>VLOOKUP(E319,[2]t_calendarioPolitica!A:C,3,FALSE)</f>
        <v>1</v>
      </c>
      <c r="G319" s="1">
        <v>1</v>
      </c>
      <c r="H319" s="1">
        <v>1</v>
      </c>
      <c r="I319" s="1">
        <f t="shared" si="24"/>
        <v>1</v>
      </c>
    </row>
    <row r="320" spans="1:9" x14ac:dyDescent="0.25">
      <c r="A320" s="26">
        <v>45610</v>
      </c>
      <c r="B320" s="27">
        <f t="shared" si="20"/>
        <v>2024</v>
      </c>
      <c r="C320" s="27">
        <f t="shared" si="21"/>
        <v>11</v>
      </c>
      <c r="D320" s="27">
        <f t="shared" si="22"/>
        <v>14</v>
      </c>
      <c r="E320" s="27">
        <f t="shared" si="23"/>
        <v>5</v>
      </c>
      <c r="F320" s="27">
        <f>VLOOKUP(E320,[2]t_calendarioPolitica!A:C,3,FALSE)</f>
        <v>1</v>
      </c>
      <c r="G320" s="1">
        <v>1</v>
      </c>
      <c r="H320" s="1">
        <v>1</v>
      </c>
      <c r="I320" s="1">
        <f t="shared" si="24"/>
        <v>1</v>
      </c>
    </row>
    <row r="321" spans="1:9" x14ac:dyDescent="0.25">
      <c r="A321" s="26">
        <v>45611</v>
      </c>
      <c r="B321" s="27">
        <f t="shared" si="20"/>
        <v>2024</v>
      </c>
      <c r="C321" s="27">
        <f t="shared" si="21"/>
        <v>11</v>
      </c>
      <c r="D321" s="27">
        <f t="shared" si="22"/>
        <v>15</v>
      </c>
      <c r="E321" s="27">
        <f t="shared" si="23"/>
        <v>6</v>
      </c>
      <c r="F321" s="27">
        <f>VLOOKUP(E321,[2]t_calendarioPolitica!A:C,3,FALSE)</f>
        <v>1</v>
      </c>
      <c r="G321" s="1">
        <v>1</v>
      </c>
      <c r="H321" s="1">
        <v>1</v>
      </c>
      <c r="I321" s="1">
        <f t="shared" si="24"/>
        <v>1</v>
      </c>
    </row>
    <row r="322" spans="1:9" x14ac:dyDescent="0.25">
      <c r="A322" s="26">
        <v>45612</v>
      </c>
      <c r="B322" s="27">
        <f t="shared" si="20"/>
        <v>2024</v>
      </c>
      <c r="C322" s="27">
        <f t="shared" si="21"/>
        <v>11</v>
      </c>
      <c r="D322" s="27">
        <f t="shared" si="22"/>
        <v>16</v>
      </c>
      <c r="E322" s="27">
        <f t="shared" si="23"/>
        <v>7</v>
      </c>
      <c r="F322" s="27">
        <f>VLOOKUP(E322,[2]t_calendarioPolitica!A:C,3,FALSE)</f>
        <v>2</v>
      </c>
      <c r="G322" s="1">
        <v>1</v>
      </c>
      <c r="H322" s="1">
        <v>1</v>
      </c>
      <c r="I322" s="1">
        <f t="shared" si="24"/>
        <v>1</v>
      </c>
    </row>
    <row r="323" spans="1:9" x14ac:dyDescent="0.25">
      <c r="A323" s="26">
        <v>45613</v>
      </c>
      <c r="B323" s="27">
        <f t="shared" ref="B323:B386" si="25">YEAR(A323)</f>
        <v>2024</v>
      </c>
      <c r="C323" s="27">
        <f t="shared" ref="C323:C386" si="26">MONTH(A323)</f>
        <v>11</v>
      </c>
      <c r="D323" s="27">
        <f t="shared" ref="D323:D386" si="27">DAY(A323)</f>
        <v>17</v>
      </c>
      <c r="E323" s="27">
        <f t="shared" ref="E323:E386" si="28">WEEKDAY(A323)</f>
        <v>1</v>
      </c>
      <c r="F323" s="27">
        <f>VLOOKUP(E323,[2]t_calendarioPolitica!A:C,3,FALSE)</f>
        <v>0</v>
      </c>
      <c r="G323" s="1">
        <v>1</v>
      </c>
      <c r="H323" s="1">
        <v>1</v>
      </c>
      <c r="I323" s="1">
        <f t="shared" ref="I323:I386" si="29">IF(AND(F323&lt;&gt;0, H323&lt;&gt;0,G323&lt;&gt;0), 1, 0)</f>
        <v>0</v>
      </c>
    </row>
    <row r="324" spans="1:9" x14ac:dyDescent="0.25">
      <c r="A324" s="26">
        <v>45614</v>
      </c>
      <c r="B324" s="27">
        <f t="shared" si="25"/>
        <v>2024</v>
      </c>
      <c r="C324" s="27">
        <f t="shared" si="26"/>
        <v>11</v>
      </c>
      <c r="D324" s="27">
        <f t="shared" si="27"/>
        <v>18</v>
      </c>
      <c r="E324" s="27">
        <f t="shared" si="28"/>
        <v>2</v>
      </c>
      <c r="F324" s="27">
        <f>VLOOKUP(E324,[2]t_calendarioPolitica!A:C,3,FALSE)</f>
        <v>1</v>
      </c>
      <c r="G324" s="1">
        <v>1</v>
      </c>
      <c r="H324" s="1">
        <v>1</v>
      </c>
      <c r="I324" s="1">
        <f t="shared" si="29"/>
        <v>1</v>
      </c>
    </row>
    <row r="325" spans="1:9" x14ac:dyDescent="0.25">
      <c r="A325" s="26">
        <v>45615</v>
      </c>
      <c r="B325" s="27">
        <f t="shared" si="25"/>
        <v>2024</v>
      </c>
      <c r="C325" s="27">
        <f t="shared" si="26"/>
        <v>11</v>
      </c>
      <c r="D325" s="27">
        <f t="shared" si="27"/>
        <v>19</v>
      </c>
      <c r="E325" s="27">
        <f t="shared" si="28"/>
        <v>3</v>
      </c>
      <c r="F325" s="27">
        <f>VLOOKUP(E325,[2]t_calendarioPolitica!A:C,3,FALSE)</f>
        <v>1</v>
      </c>
      <c r="G325" s="1">
        <v>1</v>
      </c>
      <c r="H325" s="1">
        <v>1</v>
      </c>
      <c r="I325" s="1">
        <f t="shared" si="29"/>
        <v>1</v>
      </c>
    </row>
    <row r="326" spans="1:9" x14ac:dyDescent="0.25">
      <c r="A326" s="26">
        <v>45616</v>
      </c>
      <c r="B326" s="27">
        <f t="shared" si="25"/>
        <v>2024</v>
      </c>
      <c r="C326" s="27">
        <f t="shared" si="26"/>
        <v>11</v>
      </c>
      <c r="D326" s="27">
        <f t="shared" si="27"/>
        <v>20</v>
      </c>
      <c r="E326" s="27">
        <f t="shared" si="28"/>
        <v>4</v>
      </c>
      <c r="F326" s="27">
        <f>VLOOKUP(E326,[2]t_calendarioPolitica!A:C,3,FALSE)</f>
        <v>1</v>
      </c>
      <c r="G326" s="1">
        <v>1</v>
      </c>
      <c r="H326" s="1">
        <v>1</v>
      </c>
      <c r="I326" s="1">
        <f t="shared" si="29"/>
        <v>1</v>
      </c>
    </row>
    <row r="327" spans="1:9" x14ac:dyDescent="0.25">
      <c r="A327" s="26">
        <v>45617</v>
      </c>
      <c r="B327" s="27">
        <f t="shared" si="25"/>
        <v>2024</v>
      </c>
      <c r="C327" s="27">
        <f t="shared" si="26"/>
        <v>11</v>
      </c>
      <c r="D327" s="27">
        <f t="shared" si="27"/>
        <v>21</v>
      </c>
      <c r="E327" s="27">
        <f t="shared" si="28"/>
        <v>5</v>
      </c>
      <c r="F327" s="27">
        <f>VLOOKUP(E327,[2]t_calendarioPolitica!A:C,3,FALSE)</f>
        <v>1</v>
      </c>
      <c r="G327" s="1">
        <v>1</v>
      </c>
      <c r="H327" s="1">
        <v>1</v>
      </c>
      <c r="I327" s="1">
        <f t="shared" si="29"/>
        <v>1</v>
      </c>
    </row>
    <row r="328" spans="1:9" x14ac:dyDescent="0.25">
      <c r="A328" s="26">
        <v>45618</v>
      </c>
      <c r="B328" s="27">
        <f t="shared" si="25"/>
        <v>2024</v>
      </c>
      <c r="C328" s="27">
        <f t="shared" si="26"/>
        <v>11</v>
      </c>
      <c r="D328" s="27">
        <f t="shared" si="27"/>
        <v>22</v>
      </c>
      <c r="E328" s="27">
        <f t="shared" si="28"/>
        <v>6</v>
      </c>
      <c r="F328" s="27">
        <f>VLOOKUP(E328,[2]t_calendarioPolitica!A:C,3,FALSE)</f>
        <v>1</v>
      </c>
      <c r="G328" s="1">
        <v>1</v>
      </c>
      <c r="H328" s="1">
        <v>1</v>
      </c>
      <c r="I328" s="1">
        <f t="shared" si="29"/>
        <v>1</v>
      </c>
    </row>
    <row r="329" spans="1:9" x14ac:dyDescent="0.25">
      <c r="A329" s="26">
        <v>45619</v>
      </c>
      <c r="B329" s="27">
        <f t="shared" si="25"/>
        <v>2024</v>
      </c>
      <c r="C329" s="27">
        <f t="shared" si="26"/>
        <v>11</v>
      </c>
      <c r="D329" s="27">
        <f t="shared" si="27"/>
        <v>23</v>
      </c>
      <c r="E329" s="27">
        <f t="shared" si="28"/>
        <v>7</v>
      </c>
      <c r="F329" s="27">
        <f>VLOOKUP(E329,[2]t_calendarioPolitica!A:C,3,FALSE)</f>
        <v>2</v>
      </c>
      <c r="G329" s="1">
        <v>1</v>
      </c>
      <c r="H329" s="1">
        <v>1</v>
      </c>
      <c r="I329" s="1">
        <f t="shared" si="29"/>
        <v>1</v>
      </c>
    </row>
    <row r="330" spans="1:9" x14ac:dyDescent="0.25">
      <c r="A330" s="26">
        <v>45620</v>
      </c>
      <c r="B330" s="27">
        <f t="shared" si="25"/>
        <v>2024</v>
      </c>
      <c r="C330" s="27">
        <f t="shared" si="26"/>
        <v>11</v>
      </c>
      <c r="D330" s="27">
        <f t="shared" si="27"/>
        <v>24</v>
      </c>
      <c r="E330" s="27">
        <f t="shared" si="28"/>
        <v>1</v>
      </c>
      <c r="F330" s="27">
        <f>VLOOKUP(E330,[2]t_calendarioPolitica!A:C,3,FALSE)</f>
        <v>0</v>
      </c>
      <c r="G330" s="1">
        <v>1</v>
      </c>
      <c r="H330" s="1">
        <v>1</v>
      </c>
      <c r="I330" s="1">
        <f t="shared" si="29"/>
        <v>0</v>
      </c>
    </row>
    <row r="331" spans="1:9" x14ac:dyDescent="0.25">
      <c r="A331" s="26">
        <v>45621</v>
      </c>
      <c r="B331" s="27">
        <f t="shared" si="25"/>
        <v>2024</v>
      </c>
      <c r="C331" s="27">
        <f t="shared" si="26"/>
        <v>11</v>
      </c>
      <c r="D331" s="27">
        <f t="shared" si="27"/>
        <v>25</v>
      </c>
      <c r="E331" s="27">
        <f t="shared" si="28"/>
        <v>2</v>
      </c>
      <c r="F331" s="27">
        <f>VLOOKUP(E331,[2]t_calendarioPolitica!A:C,3,FALSE)</f>
        <v>1</v>
      </c>
      <c r="G331" s="1">
        <v>1</v>
      </c>
      <c r="H331" s="1">
        <v>1</v>
      </c>
      <c r="I331" s="1">
        <f t="shared" si="29"/>
        <v>1</v>
      </c>
    </row>
    <row r="332" spans="1:9" x14ac:dyDescent="0.25">
      <c r="A332" s="26">
        <v>45622</v>
      </c>
      <c r="B332" s="27">
        <f t="shared" si="25"/>
        <v>2024</v>
      </c>
      <c r="C332" s="27">
        <f t="shared" si="26"/>
        <v>11</v>
      </c>
      <c r="D332" s="27">
        <f t="shared" si="27"/>
        <v>26</v>
      </c>
      <c r="E332" s="27">
        <f t="shared" si="28"/>
        <v>3</v>
      </c>
      <c r="F332" s="27">
        <f>VLOOKUP(E332,[2]t_calendarioPolitica!A:C,3,FALSE)</f>
        <v>1</v>
      </c>
      <c r="G332" s="1">
        <v>1</v>
      </c>
      <c r="H332" s="1">
        <v>1</v>
      </c>
      <c r="I332" s="1">
        <f t="shared" si="29"/>
        <v>1</v>
      </c>
    </row>
    <row r="333" spans="1:9" x14ac:dyDescent="0.25">
      <c r="A333" s="26">
        <v>45623</v>
      </c>
      <c r="B333" s="27">
        <f t="shared" si="25"/>
        <v>2024</v>
      </c>
      <c r="C333" s="27">
        <f t="shared" si="26"/>
        <v>11</v>
      </c>
      <c r="D333" s="27">
        <f t="shared" si="27"/>
        <v>27</v>
      </c>
      <c r="E333" s="27">
        <f t="shared" si="28"/>
        <v>4</v>
      </c>
      <c r="F333" s="27">
        <f>VLOOKUP(E333,[2]t_calendarioPolitica!A:C,3,FALSE)</f>
        <v>1</v>
      </c>
      <c r="G333" s="1">
        <v>1</v>
      </c>
      <c r="H333" s="1">
        <v>1</v>
      </c>
      <c r="I333" s="1">
        <f t="shared" si="29"/>
        <v>1</v>
      </c>
    </row>
    <row r="334" spans="1:9" x14ac:dyDescent="0.25">
      <c r="A334" s="26">
        <v>45624</v>
      </c>
      <c r="B334" s="27">
        <f t="shared" si="25"/>
        <v>2024</v>
      </c>
      <c r="C334" s="27">
        <f t="shared" si="26"/>
        <v>11</v>
      </c>
      <c r="D334" s="27">
        <f t="shared" si="27"/>
        <v>28</v>
      </c>
      <c r="E334" s="27">
        <f t="shared" si="28"/>
        <v>5</v>
      </c>
      <c r="F334" s="27">
        <f>VLOOKUP(E334,[2]t_calendarioPolitica!A:C,3,FALSE)</f>
        <v>1</v>
      </c>
      <c r="G334" s="1">
        <v>1</v>
      </c>
      <c r="H334" s="1">
        <v>1</v>
      </c>
      <c r="I334" s="1">
        <f t="shared" si="29"/>
        <v>1</v>
      </c>
    </row>
    <row r="335" spans="1:9" x14ac:dyDescent="0.25">
      <c r="A335" s="26">
        <v>45625</v>
      </c>
      <c r="B335" s="27">
        <f t="shared" si="25"/>
        <v>2024</v>
      </c>
      <c r="C335" s="27">
        <f t="shared" si="26"/>
        <v>11</v>
      </c>
      <c r="D335" s="27">
        <f t="shared" si="27"/>
        <v>29</v>
      </c>
      <c r="E335" s="27">
        <f t="shared" si="28"/>
        <v>6</v>
      </c>
      <c r="F335" s="27">
        <f>VLOOKUP(E335,[2]t_calendarioPolitica!A:C,3,FALSE)</f>
        <v>1</v>
      </c>
      <c r="G335" s="1">
        <v>1</v>
      </c>
      <c r="H335" s="1">
        <v>1</v>
      </c>
      <c r="I335" s="1">
        <f t="shared" si="29"/>
        <v>1</v>
      </c>
    </row>
    <row r="336" spans="1:9" x14ac:dyDescent="0.25">
      <c r="A336" s="26">
        <v>45626</v>
      </c>
      <c r="B336" s="27">
        <f t="shared" si="25"/>
        <v>2024</v>
      </c>
      <c r="C336" s="27">
        <f t="shared" si="26"/>
        <v>11</v>
      </c>
      <c r="D336" s="27">
        <f t="shared" si="27"/>
        <v>30</v>
      </c>
      <c r="E336" s="27">
        <f t="shared" si="28"/>
        <v>7</v>
      </c>
      <c r="F336" s="27">
        <f>VLOOKUP(E336,[2]t_calendarioPolitica!A:C,3,FALSE)</f>
        <v>2</v>
      </c>
      <c r="G336" s="1">
        <v>1</v>
      </c>
      <c r="H336" s="1">
        <v>1</v>
      </c>
      <c r="I336" s="1">
        <f t="shared" si="29"/>
        <v>1</v>
      </c>
    </row>
    <row r="337" spans="1:9" x14ac:dyDescent="0.25">
      <c r="A337" s="26">
        <v>45627</v>
      </c>
      <c r="B337" s="27">
        <f t="shared" si="25"/>
        <v>2024</v>
      </c>
      <c r="C337" s="27">
        <f t="shared" si="26"/>
        <v>12</v>
      </c>
      <c r="D337" s="27">
        <f t="shared" si="27"/>
        <v>1</v>
      </c>
      <c r="E337" s="27">
        <f t="shared" si="28"/>
        <v>1</v>
      </c>
      <c r="F337" s="27">
        <f>VLOOKUP(E337,[2]t_calendarioPolitica!A:C,3,FALSE)</f>
        <v>0</v>
      </c>
      <c r="G337" s="1">
        <v>1</v>
      </c>
      <c r="H337" s="1">
        <v>1</v>
      </c>
      <c r="I337" s="1">
        <f t="shared" si="29"/>
        <v>0</v>
      </c>
    </row>
    <row r="338" spans="1:9" x14ac:dyDescent="0.25">
      <c r="A338" s="26">
        <v>45628</v>
      </c>
      <c r="B338" s="27">
        <f t="shared" si="25"/>
        <v>2024</v>
      </c>
      <c r="C338" s="27">
        <f t="shared" si="26"/>
        <v>12</v>
      </c>
      <c r="D338" s="27">
        <f t="shared" si="27"/>
        <v>2</v>
      </c>
      <c r="E338" s="27">
        <f t="shared" si="28"/>
        <v>2</v>
      </c>
      <c r="F338" s="27">
        <f>VLOOKUP(E338,[2]t_calendarioPolitica!A:C,3,FALSE)</f>
        <v>1</v>
      </c>
      <c r="G338" s="1">
        <v>1</v>
      </c>
      <c r="H338" s="1">
        <v>1</v>
      </c>
      <c r="I338" s="1">
        <f t="shared" si="29"/>
        <v>1</v>
      </c>
    </row>
    <row r="339" spans="1:9" x14ac:dyDescent="0.25">
      <c r="A339" s="26">
        <v>45629</v>
      </c>
      <c r="B339" s="27">
        <f t="shared" si="25"/>
        <v>2024</v>
      </c>
      <c r="C339" s="27">
        <f t="shared" si="26"/>
        <v>12</v>
      </c>
      <c r="D339" s="27">
        <f t="shared" si="27"/>
        <v>3</v>
      </c>
      <c r="E339" s="27">
        <f t="shared" si="28"/>
        <v>3</v>
      </c>
      <c r="F339" s="27">
        <f>VLOOKUP(E339,[2]t_calendarioPolitica!A:C,3,FALSE)</f>
        <v>1</v>
      </c>
      <c r="G339" s="1">
        <v>1</v>
      </c>
      <c r="H339" s="1">
        <v>1</v>
      </c>
      <c r="I339" s="1">
        <f t="shared" si="29"/>
        <v>1</v>
      </c>
    </row>
    <row r="340" spans="1:9" x14ac:dyDescent="0.25">
      <c r="A340" s="26">
        <v>45630</v>
      </c>
      <c r="B340" s="27">
        <f t="shared" si="25"/>
        <v>2024</v>
      </c>
      <c r="C340" s="27">
        <f t="shared" si="26"/>
        <v>12</v>
      </c>
      <c r="D340" s="27">
        <f t="shared" si="27"/>
        <v>4</v>
      </c>
      <c r="E340" s="27">
        <f t="shared" si="28"/>
        <v>4</v>
      </c>
      <c r="F340" s="27">
        <f>VLOOKUP(E340,[2]t_calendarioPolitica!A:C,3,FALSE)</f>
        <v>1</v>
      </c>
      <c r="G340" s="1">
        <v>1</v>
      </c>
      <c r="H340" s="1">
        <v>1</v>
      </c>
      <c r="I340" s="1">
        <f t="shared" si="29"/>
        <v>1</v>
      </c>
    </row>
    <row r="341" spans="1:9" x14ac:dyDescent="0.25">
      <c r="A341" s="26">
        <v>45631</v>
      </c>
      <c r="B341" s="27">
        <f t="shared" si="25"/>
        <v>2024</v>
      </c>
      <c r="C341" s="27">
        <f t="shared" si="26"/>
        <v>12</v>
      </c>
      <c r="D341" s="27">
        <f t="shared" si="27"/>
        <v>5</v>
      </c>
      <c r="E341" s="27">
        <f t="shared" si="28"/>
        <v>5</v>
      </c>
      <c r="F341" s="27">
        <f>VLOOKUP(E341,[2]t_calendarioPolitica!A:C,3,FALSE)</f>
        <v>1</v>
      </c>
      <c r="G341" s="1">
        <v>1</v>
      </c>
      <c r="H341" s="1">
        <v>1</v>
      </c>
      <c r="I341" s="1">
        <f t="shared" si="29"/>
        <v>1</v>
      </c>
    </row>
    <row r="342" spans="1:9" x14ac:dyDescent="0.25">
      <c r="A342" s="26">
        <v>45632</v>
      </c>
      <c r="B342" s="27">
        <f t="shared" si="25"/>
        <v>2024</v>
      </c>
      <c r="C342" s="27">
        <f t="shared" si="26"/>
        <v>12</v>
      </c>
      <c r="D342" s="27">
        <f t="shared" si="27"/>
        <v>6</v>
      </c>
      <c r="E342" s="27">
        <f t="shared" si="28"/>
        <v>6</v>
      </c>
      <c r="F342" s="27">
        <f>VLOOKUP(E342,[2]t_calendarioPolitica!A:C,3,FALSE)</f>
        <v>1</v>
      </c>
      <c r="G342" s="1">
        <v>1</v>
      </c>
      <c r="H342" s="1">
        <v>1</v>
      </c>
      <c r="I342" s="1">
        <f t="shared" si="29"/>
        <v>1</v>
      </c>
    </row>
    <row r="343" spans="1:9" x14ac:dyDescent="0.25">
      <c r="A343" s="26">
        <v>45633</v>
      </c>
      <c r="B343" s="27">
        <f t="shared" si="25"/>
        <v>2024</v>
      </c>
      <c r="C343" s="27">
        <f t="shared" si="26"/>
        <v>12</v>
      </c>
      <c r="D343" s="27">
        <f t="shared" si="27"/>
        <v>7</v>
      </c>
      <c r="E343" s="27">
        <f t="shared" si="28"/>
        <v>7</v>
      </c>
      <c r="F343" s="27">
        <f>VLOOKUP(E343,[2]t_calendarioPolitica!A:C,3,FALSE)</f>
        <v>2</v>
      </c>
      <c r="G343" s="1">
        <v>1</v>
      </c>
      <c r="H343" s="1">
        <v>1</v>
      </c>
      <c r="I343" s="1">
        <f t="shared" si="29"/>
        <v>1</v>
      </c>
    </row>
    <row r="344" spans="1:9" x14ac:dyDescent="0.25">
      <c r="A344" s="26">
        <v>45634</v>
      </c>
      <c r="B344" s="27">
        <f t="shared" si="25"/>
        <v>2024</v>
      </c>
      <c r="C344" s="27">
        <f t="shared" si="26"/>
        <v>12</v>
      </c>
      <c r="D344" s="27">
        <f t="shared" si="27"/>
        <v>8</v>
      </c>
      <c r="E344" s="27">
        <f t="shared" si="28"/>
        <v>1</v>
      </c>
      <c r="F344" s="27">
        <f>VLOOKUP(E344,[2]t_calendarioPolitica!A:C,3,FALSE)</f>
        <v>0</v>
      </c>
      <c r="G344" s="1">
        <v>1</v>
      </c>
      <c r="H344" s="1">
        <v>1</v>
      </c>
      <c r="I344" s="1">
        <f t="shared" si="29"/>
        <v>0</v>
      </c>
    </row>
    <row r="345" spans="1:9" x14ac:dyDescent="0.25">
      <c r="A345" s="26">
        <v>45635</v>
      </c>
      <c r="B345" s="27">
        <f t="shared" si="25"/>
        <v>2024</v>
      </c>
      <c r="C345" s="27">
        <f t="shared" si="26"/>
        <v>12</v>
      </c>
      <c r="D345" s="27">
        <f t="shared" si="27"/>
        <v>9</v>
      </c>
      <c r="E345" s="27">
        <f t="shared" si="28"/>
        <v>2</v>
      </c>
      <c r="F345" s="27">
        <f>VLOOKUP(E345,[2]t_calendarioPolitica!A:C,3,FALSE)</f>
        <v>1</v>
      </c>
      <c r="G345" s="1">
        <v>1</v>
      </c>
      <c r="H345" s="1">
        <v>1</v>
      </c>
      <c r="I345" s="1">
        <f t="shared" si="29"/>
        <v>1</v>
      </c>
    </row>
    <row r="346" spans="1:9" x14ac:dyDescent="0.25">
      <c r="A346" s="26">
        <v>45636</v>
      </c>
      <c r="B346" s="27">
        <f t="shared" si="25"/>
        <v>2024</v>
      </c>
      <c r="C346" s="27">
        <f t="shared" si="26"/>
        <v>12</v>
      </c>
      <c r="D346" s="27">
        <f t="shared" si="27"/>
        <v>10</v>
      </c>
      <c r="E346" s="27">
        <f t="shared" si="28"/>
        <v>3</v>
      </c>
      <c r="F346" s="27">
        <f>VLOOKUP(E346,[2]t_calendarioPolitica!A:C,3,FALSE)</f>
        <v>1</v>
      </c>
      <c r="G346" s="1">
        <v>1</v>
      </c>
      <c r="H346" s="1">
        <v>1</v>
      </c>
      <c r="I346" s="1">
        <f t="shared" si="29"/>
        <v>1</v>
      </c>
    </row>
    <row r="347" spans="1:9" x14ac:dyDescent="0.25">
      <c r="A347" s="26">
        <v>45637</v>
      </c>
      <c r="B347" s="27">
        <f t="shared" si="25"/>
        <v>2024</v>
      </c>
      <c r="C347" s="27">
        <f t="shared" si="26"/>
        <v>12</v>
      </c>
      <c r="D347" s="27">
        <f t="shared" si="27"/>
        <v>11</v>
      </c>
      <c r="E347" s="27">
        <f t="shared" si="28"/>
        <v>4</v>
      </c>
      <c r="F347" s="27">
        <f>VLOOKUP(E347,[2]t_calendarioPolitica!A:C,3,FALSE)</f>
        <v>1</v>
      </c>
      <c r="G347" s="1">
        <v>1</v>
      </c>
      <c r="H347" s="1">
        <v>1</v>
      </c>
      <c r="I347" s="1">
        <f t="shared" si="29"/>
        <v>1</v>
      </c>
    </row>
    <row r="348" spans="1:9" x14ac:dyDescent="0.25">
      <c r="A348" s="26">
        <v>45638</v>
      </c>
      <c r="B348" s="27">
        <f t="shared" si="25"/>
        <v>2024</v>
      </c>
      <c r="C348" s="27">
        <f t="shared" si="26"/>
        <v>12</v>
      </c>
      <c r="D348" s="27">
        <f t="shared" si="27"/>
        <v>12</v>
      </c>
      <c r="E348" s="27">
        <f t="shared" si="28"/>
        <v>5</v>
      </c>
      <c r="F348" s="27">
        <f>VLOOKUP(E348,[2]t_calendarioPolitica!A:C,3,FALSE)</f>
        <v>1</v>
      </c>
      <c r="G348" s="1">
        <v>1</v>
      </c>
      <c r="H348" s="1">
        <v>0</v>
      </c>
      <c r="I348" s="1">
        <f t="shared" si="29"/>
        <v>0</v>
      </c>
    </row>
    <row r="349" spans="1:9" x14ac:dyDescent="0.25">
      <c r="A349" s="26">
        <v>45639</v>
      </c>
      <c r="B349" s="27">
        <f t="shared" si="25"/>
        <v>2024</v>
      </c>
      <c r="C349" s="27">
        <f t="shared" si="26"/>
        <v>12</v>
      </c>
      <c r="D349" s="27">
        <f t="shared" si="27"/>
        <v>13</v>
      </c>
      <c r="E349" s="27">
        <f t="shared" si="28"/>
        <v>6</v>
      </c>
      <c r="F349" s="27">
        <f>VLOOKUP(E349,[2]t_calendarioPolitica!A:C,3,FALSE)</f>
        <v>1</v>
      </c>
      <c r="G349" s="1">
        <v>1</v>
      </c>
      <c r="H349" s="1">
        <v>1</v>
      </c>
      <c r="I349" s="1">
        <f t="shared" si="29"/>
        <v>1</v>
      </c>
    </row>
    <row r="350" spans="1:9" x14ac:dyDescent="0.25">
      <c r="A350" s="26">
        <v>45640</v>
      </c>
      <c r="B350" s="27">
        <f t="shared" si="25"/>
        <v>2024</v>
      </c>
      <c r="C350" s="27">
        <f t="shared" si="26"/>
        <v>12</v>
      </c>
      <c r="D350" s="27">
        <f t="shared" si="27"/>
        <v>14</v>
      </c>
      <c r="E350" s="27">
        <f t="shared" si="28"/>
        <v>7</v>
      </c>
      <c r="F350" s="27">
        <f>VLOOKUP(E350,[2]t_calendarioPolitica!A:C,3,FALSE)</f>
        <v>2</v>
      </c>
      <c r="G350" s="1">
        <v>1</v>
      </c>
      <c r="H350" s="1">
        <v>1</v>
      </c>
      <c r="I350" s="1">
        <f t="shared" si="29"/>
        <v>1</v>
      </c>
    </row>
    <row r="351" spans="1:9" x14ac:dyDescent="0.25">
      <c r="A351" s="26">
        <v>45641</v>
      </c>
      <c r="B351" s="27">
        <f t="shared" si="25"/>
        <v>2024</v>
      </c>
      <c r="C351" s="27">
        <f t="shared" si="26"/>
        <v>12</v>
      </c>
      <c r="D351" s="27">
        <f t="shared" si="27"/>
        <v>15</v>
      </c>
      <c r="E351" s="27">
        <f t="shared" si="28"/>
        <v>1</v>
      </c>
      <c r="F351" s="27">
        <f>VLOOKUP(E351,[2]t_calendarioPolitica!A:C,3,FALSE)</f>
        <v>0</v>
      </c>
      <c r="G351" s="1">
        <v>1</v>
      </c>
      <c r="H351" s="1">
        <v>1</v>
      </c>
      <c r="I351" s="1">
        <f t="shared" si="29"/>
        <v>0</v>
      </c>
    </row>
    <row r="352" spans="1:9" x14ac:dyDescent="0.25">
      <c r="A352" s="26">
        <v>45642</v>
      </c>
      <c r="B352" s="27">
        <f t="shared" si="25"/>
        <v>2024</v>
      </c>
      <c r="C352" s="27">
        <f t="shared" si="26"/>
        <v>12</v>
      </c>
      <c r="D352" s="27">
        <f t="shared" si="27"/>
        <v>16</v>
      </c>
      <c r="E352" s="27">
        <f t="shared" si="28"/>
        <v>2</v>
      </c>
      <c r="F352" s="27">
        <f>VLOOKUP(E352,[2]t_calendarioPolitica!A:C,3,FALSE)</f>
        <v>1</v>
      </c>
      <c r="G352" s="1">
        <v>1</v>
      </c>
      <c r="H352" s="1">
        <v>1</v>
      </c>
      <c r="I352" s="1">
        <f t="shared" si="29"/>
        <v>1</v>
      </c>
    </row>
    <row r="353" spans="1:9" x14ac:dyDescent="0.25">
      <c r="A353" s="26">
        <v>45643</v>
      </c>
      <c r="B353" s="27">
        <f t="shared" si="25"/>
        <v>2024</v>
      </c>
      <c r="C353" s="27">
        <f t="shared" si="26"/>
        <v>12</v>
      </c>
      <c r="D353" s="27">
        <f t="shared" si="27"/>
        <v>17</v>
      </c>
      <c r="E353" s="27">
        <f t="shared" si="28"/>
        <v>3</v>
      </c>
      <c r="F353" s="27">
        <f>VLOOKUP(E353,[2]t_calendarioPolitica!A:C,3,FALSE)</f>
        <v>1</v>
      </c>
      <c r="G353" s="1">
        <v>1</v>
      </c>
      <c r="H353" s="1">
        <v>1</v>
      </c>
      <c r="I353" s="1">
        <f t="shared" si="29"/>
        <v>1</v>
      </c>
    </row>
    <row r="354" spans="1:9" x14ac:dyDescent="0.25">
      <c r="A354" s="26">
        <v>45644</v>
      </c>
      <c r="B354" s="27">
        <f t="shared" si="25"/>
        <v>2024</v>
      </c>
      <c r="C354" s="27">
        <f t="shared" si="26"/>
        <v>12</v>
      </c>
      <c r="D354" s="27">
        <f t="shared" si="27"/>
        <v>18</v>
      </c>
      <c r="E354" s="27">
        <f t="shared" si="28"/>
        <v>4</v>
      </c>
      <c r="F354" s="27">
        <f>VLOOKUP(E354,[2]t_calendarioPolitica!A:C,3,FALSE)</f>
        <v>1</v>
      </c>
      <c r="G354" s="1">
        <v>1</v>
      </c>
      <c r="H354" s="1">
        <v>1</v>
      </c>
      <c r="I354" s="1">
        <f t="shared" si="29"/>
        <v>1</v>
      </c>
    </row>
    <row r="355" spans="1:9" x14ac:dyDescent="0.25">
      <c r="A355" s="26">
        <v>45645</v>
      </c>
      <c r="B355" s="27">
        <f t="shared" si="25"/>
        <v>2024</v>
      </c>
      <c r="C355" s="27">
        <f t="shared" si="26"/>
        <v>12</v>
      </c>
      <c r="D355" s="27">
        <f t="shared" si="27"/>
        <v>19</v>
      </c>
      <c r="E355" s="27">
        <f t="shared" si="28"/>
        <v>5</v>
      </c>
      <c r="F355" s="27">
        <f>VLOOKUP(E355,[2]t_calendarioPolitica!A:C,3,FALSE)</f>
        <v>1</v>
      </c>
      <c r="G355" s="1">
        <v>1</v>
      </c>
      <c r="H355" s="1">
        <v>1</v>
      </c>
      <c r="I355" s="1">
        <f t="shared" si="29"/>
        <v>1</v>
      </c>
    </row>
    <row r="356" spans="1:9" x14ac:dyDescent="0.25">
      <c r="A356" s="26">
        <v>45646</v>
      </c>
      <c r="B356" s="27">
        <f t="shared" si="25"/>
        <v>2024</v>
      </c>
      <c r="C356" s="27">
        <f t="shared" si="26"/>
        <v>12</v>
      </c>
      <c r="D356" s="27">
        <f t="shared" si="27"/>
        <v>20</v>
      </c>
      <c r="E356" s="27">
        <f t="shared" si="28"/>
        <v>6</v>
      </c>
      <c r="F356" s="27">
        <f>VLOOKUP(E356,[2]t_calendarioPolitica!A:C,3,FALSE)</f>
        <v>1</v>
      </c>
      <c r="G356" s="1">
        <v>1</v>
      </c>
      <c r="H356" s="1">
        <v>1</v>
      </c>
      <c r="I356" s="1">
        <f t="shared" si="29"/>
        <v>1</v>
      </c>
    </row>
    <row r="357" spans="1:9" x14ac:dyDescent="0.25">
      <c r="A357" s="26">
        <v>45647</v>
      </c>
      <c r="B357" s="27">
        <f t="shared" si="25"/>
        <v>2024</v>
      </c>
      <c r="C357" s="27">
        <f t="shared" si="26"/>
        <v>12</v>
      </c>
      <c r="D357" s="27">
        <f t="shared" si="27"/>
        <v>21</v>
      </c>
      <c r="E357" s="27">
        <f t="shared" si="28"/>
        <v>7</v>
      </c>
      <c r="F357" s="27">
        <f>VLOOKUP(E357,[2]t_calendarioPolitica!A:C,3,FALSE)</f>
        <v>2</v>
      </c>
      <c r="G357" s="1">
        <v>1</v>
      </c>
      <c r="H357" s="1">
        <v>1</v>
      </c>
      <c r="I357" s="1">
        <f t="shared" si="29"/>
        <v>1</v>
      </c>
    </row>
    <row r="358" spans="1:9" x14ac:dyDescent="0.25">
      <c r="A358" s="26">
        <v>45648</v>
      </c>
      <c r="B358" s="27">
        <f t="shared" si="25"/>
        <v>2024</v>
      </c>
      <c r="C358" s="27">
        <f t="shared" si="26"/>
        <v>12</v>
      </c>
      <c r="D358" s="27">
        <f t="shared" si="27"/>
        <v>22</v>
      </c>
      <c r="E358" s="27">
        <f t="shared" si="28"/>
        <v>1</v>
      </c>
      <c r="F358" s="27">
        <f>VLOOKUP(E358,[2]t_calendarioPolitica!A:C,3,FALSE)</f>
        <v>0</v>
      </c>
      <c r="G358" s="1">
        <v>1</v>
      </c>
      <c r="H358" s="1">
        <v>1</v>
      </c>
      <c r="I358" s="1">
        <f t="shared" si="29"/>
        <v>0</v>
      </c>
    </row>
    <row r="359" spans="1:9" x14ac:dyDescent="0.25">
      <c r="A359" s="26">
        <v>45649</v>
      </c>
      <c r="B359" s="27">
        <f t="shared" si="25"/>
        <v>2024</v>
      </c>
      <c r="C359" s="27">
        <f t="shared" si="26"/>
        <v>12</v>
      </c>
      <c r="D359" s="27">
        <f t="shared" si="27"/>
        <v>23</v>
      </c>
      <c r="E359" s="27">
        <f t="shared" si="28"/>
        <v>2</v>
      </c>
      <c r="F359" s="27">
        <f>VLOOKUP(E359,[2]t_calendarioPolitica!A:C,3,FALSE)</f>
        <v>1</v>
      </c>
      <c r="G359" s="1">
        <v>1</v>
      </c>
      <c r="H359" s="1">
        <v>1</v>
      </c>
      <c r="I359" s="1">
        <f t="shared" si="29"/>
        <v>1</v>
      </c>
    </row>
    <row r="360" spans="1:9" x14ac:dyDescent="0.25">
      <c r="A360" s="26">
        <v>45650</v>
      </c>
      <c r="B360" s="27">
        <f t="shared" si="25"/>
        <v>2024</v>
      </c>
      <c r="C360" s="27">
        <f t="shared" si="26"/>
        <v>12</v>
      </c>
      <c r="D360" s="27">
        <f t="shared" si="27"/>
        <v>24</v>
      </c>
      <c r="E360" s="27">
        <f t="shared" si="28"/>
        <v>3</v>
      </c>
      <c r="F360" s="27">
        <f>VLOOKUP(E360,[2]t_calendarioPolitica!A:C,3,FALSE)</f>
        <v>1</v>
      </c>
      <c r="G360" s="1">
        <v>1</v>
      </c>
      <c r="H360" s="1">
        <v>0</v>
      </c>
      <c r="I360" s="1">
        <f t="shared" si="29"/>
        <v>0</v>
      </c>
    </row>
    <row r="361" spans="1:9" x14ac:dyDescent="0.25">
      <c r="A361" s="26">
        <v>45651</v>
      </c>
      <c r="B361" s="27">
        <f t="shared" si="25"/>
        <v>2024</v>
      </c>
      <c r="C361" s="27">
        <f t="shared" si="26"/>
        <v>12</v>
      </c>
      <c r="D361" s="27">
        <f t="shared" si="27"/>
        <v>25</v>
      </c>
      <c r="E361" s="27">
        <f t="shared" si="28"/>
        <v>4</v>
      </c>
      <c r="F361" s="27">
        <f>VLOOKUP(E361,[2]t_calendarioPolitica!A:C,3,FALSE)</f>
        <v>1</v>
      </c>
      <c r="G361" s="1">
        <v>0</v>
      </c>
      <c r="H361" s="1">
        <v>0</v>
      </c>
      <c r="I361" s="1">
        <f t="shared" si="29"/>
        <v>0</v>
      </c>
    </row>
    <row r="362" spans="1:9" x14ac:dyDescent="0.25">
      <c r="A362" s="26">
        <v>45652</v>
      </c>
      <c r="B362" s="27">
        <f t="shared" si="25"/>
        <v>2024</v>
      </c>
      <c r="C362" s="27">
        <f t="shared" si="26"/>
        <v>12</v>
      </c>
      <c r="D362" s="27">
        <f t="shared" si="27"/>
        <v>26</v>
      </c>
      <c r="E362" s="27">
        <f t="shared" si="28"/>
        <v>5</v>
      </c>
      <c r="F362" s="27">
        <f>VLOOKUP(E362,[2]t_calendarioPolitica!A:C,3,FALSE)</f>
        <v>1</v>
      </c>
      <c r="G362" s="1">
        <v>1</v>
      </c>
      <c r="H362" s="1">
        <v>1</v>
      </c>
      <c r="I362" s="1">
        <f t="shared" si="29"/>
        <v>1</v>
      </c>
    </row>
    <row r="363" spans="1:9" x14ac:dyDescent="0.25">
      <c r="A363" s="26">
        <v>45653</v>
      </c>
      <c r="B363" s="27">
        <f t="shared" si="25"/>
        <v>2024</v>
      </c>
      <c r="C363" s="27">
        <f t="shared" si="26"/>
        <v>12</v>
      </c>
      <c r="D363" s="27">
        <f t="shared" si="27"/>
        <v>27</v>
      </c>
      <c r="E363" s="27">
        <f t="shared" si="28"/>
        <v>6</v>
      </c>
      <c r="F363" s="27">
        <f>VLOOKUP(E363,[2]t_calendarioPolitica!A:C,3,FALSE)</f>
        <v>1</v>
      </c>
      <c r="G363" s="1">
        <v>1</v>
      </c>
      <c r="H363" s="1">
        <v>1</v>
      </c>
      <c r="I363" s="1">
        <f t="shared" si="29"/>
        <v>1</v>
      </c>
    </row>
    <row r="364" spans="1:9" x14ac:dyDescent="0.25">
      <c r="A364" s="26">
        <v>45654</v>
      </c>
      <c r="B364" s="27">
        <f t="shared" si="25"/>
        <v>2024</v>
      </c>
      <c r="C364" s="27">
        <f t="shared" si="26"/>
        <v>12</v>
      </c>
      <c r="D364" s="27">
        <f t="shared" si="27"/>
        <v>28</v>
      </c>
      <c r="E364" s="27">
        <f t="shared" si="28"/>
        <v>7</v>
      </c>
      <c r="F364" s="27">
        <f>VLOOKUP(E364,[2]t_calendarioPolitica!A:C,3,FALSE)</f>
        <v>2</v>
      </c>
      <c r="G364" s="1">
        <v>1</v>
      </c>
      <c r="H364" s="1">
        <v>1</v>
      </c>
      <c r="I364" s="1">
        <f t="shared" si="29"/>
        <v>1</v>
      </c>
    </row>
    <row r="365" spans="1:9" x14ac:dyDescent="0.25">
      <c r="A365" s="26">
        <v>45655</v>
      </c>
      <c r="B365" s="27">
        <f t="shared" si="25"/>
        <v>2024</v>
      </c>
      <c r="C365" s="27">
        <f t="shared" si="26"/>
        <v>12</v>
      </c>
      <c r="D365" s="27">
        <f t="shared" si="27"/>
        <v>29</v>
      </c>
      <c r="E365" s="27">
        <f t="shared" si="28"/>
        <v>1</v>
      </c>
      <c r="F365" s="27">
        <f>VLOOKUP(E365,[2]t_calendarioPolitica!A:C,3,FALSE)</f>
        <v>0</v>
      </c>
      <c r="G365" s="1">
        <v>1</v>
      </c>
      <c r="H365" s="1">
        <v>1</v>
      </c>
      <c r="I365" s="1">
        <f t="shared" si="29"/>
        <v>0</v>
      </c>
    </row>
    <row r="366" spans="1:9" x14ac:dyDescent="0.25">
      <c r="A366" s="26">
        <v>45656</v>
      </c>
      <c r="B366" s="27">
        <f t="shared" si="25"/>
        <v>2024</v>
      </c>
      <c r="C366" s="27">
        <f t="shared" si="26"/>
        <v>12</v>
      </c>
      <c r="D366" s="27">
        <f t="shared" si="27"/>
        <v>30</v>
      </c>
      <c r="E366" s="27">
        <f t="shared" si="28"/>
        <v>2</v>
      </c>
      <c r="F366" s="27">
        <f>VLOOKUP(E366,[2]t_calendarioPolitica!A:C,3,FALSE)</f>
        <v>1</v>
      </c>
      <c r="G366" s="1">
        <v>1</v>
      </c>
      <c r="H366" s="1">
        <v>1</v>
      </c>
      <c r="I366" s="1">
        <f t="shared" si="29"/>
        <v>1</v>
      </c>
    </row>
    <row r="367" spans="1:9" x14ac:dyDescent="0.25">
      <c r="A367" s="26">
        <v>45657</v>
      </c>
      <c r="B367" s="27">
        <f t="shared" si="25"/>
        <v>2024</v>
      </c>
      <c r="C367" s="27">
        <f t="shared" si="26"/>
        <v>12</v>
      </c>
      <c r="D367" s="27">
        <f t="shared" si="27"/>
        <v>31</v>
      </c>
      <c r="E367" s="27">
        <f t="shared" si="28"/>
        <v>3</v>
      </c>
      <c r="F367" s="27">
        <f>VLOOKUP(E367,[2]t_calendarioPolitica!A:C,3,FALSE)</f>
        <v>1</v>
      </c>
      <c r="G367" s="1">
        <v>1</v>
      </c>
      <c r="H367" s="1">
        <v>0</v>
      </c>
      <c r="I367" s="1">
        <f t="shared" si="29"/>
        <v>0</v>
      </c>
    </row>
    <row r="368" spans="1:9" x14ac:dyDescent="0.25">
      <c r="A368" s="26">
        <v>45658</v>
      </c>
      <c r="B368" s="27">
        <f t="shared" si="25"/>
        <v>2025</v>
      </c>
      <c r="C368" s="27">
        <f t="shared" si="26"/>
        <v>1</v>
      </c>
      <c r="D368" s="27">
        <f t="shared" si="27"/>
        <v>1</v>
      </c>
      <c r="E368" s="27">
        <f t="shared" si="28"/>
        <v>4</v>
      </c>
      <c r="F368" s="27">
        <f>VLOOKUP(E368,[2]t_calendarioPolitica!A:C,3,FALSE)</f>
        <v>1</v>
      </c>
      <c r="G368" s="1">
        <v>0</v>
      </c>
      <c r="H368" s="1">
        <v>1</v>
      </c>
      <c r="I368" s="1">
        <f t="shared" si="29"/>
        <v>0</v>
      </c>
    </row>
    <row r="369" spans="1:9" x14ac:dyDescent="0.25">
      <c r="A369" s="26">
        <v>45659</v>
      </c>
      <c r="B369" s="27">
        <f t="shared" si="25"/>
        <v>2025</v>
      </c>
      <c r="C369" s="27">
        <f t="shared" si="26"/>
        <v>1</v>
      </c>
      <c r="D369" s="27">
        <f t="shared" si="27"/>
        <v>2</v>
      </c>
      <c r="E369" s="27">
        <f t="shared" si="28"/>
        <v>5</v>
      </c>
      <c r="F369" s="27">
        <f>VLOOKUP(E369,[2]t_calendarioPolitica!A:C,3,FALSE)</f>
        <v>1</v>
      </c>
      <c r="G369" s="1">
        <v>1</v>
      </c>
      <c r="H369" s="1">
        <v>1</v>
      </c>
      <c r="I369" s="1">
        <f t="shared" si="29"/>
        <v>1</v>
      </c>
    </row>
    <row r="370" spans="1:9" x14ac:dyDescent="0.25">
      <c r="A370" s="26">
        <v>45660</v>
      </c>
      <c r="B370" s="27">
        <f t="shared" si="25"/>
        <v>2025</v>
      </c>
      <c r="C370" s="27">
        <f t="shared" si="26"/>
        <v>1</v>
      </c>
      <c r="D370" s="27">
        <f t="shared" si="27"/>
        <v>3</v>
      </c>
      <c r="E370" s="27">
        <f t="shared" si="28"/>
        <v>6</v>
      </c>
      <c r="F370" s="27">
        <f>VLOOKUP(E370,[2]t_calendarioPolitica!A:C,3,FALSE)</f>
        <v>1</v>
      </c>
      <c r="G370" s="1">
        <v>1</v>
      </c>
      <c r="H370" s="1">
        <v>1</v>
      </c>
      <c r="I370" s="1">
        <f t="shared" si="29"/>
        <v>1</v>
      </c>
    </row>
    <row r="371" spans="1:9" x14ac:dyDescent="0.25">
      <c r="A371" s="26">
        <v>45661</v>
      </c>
      <c r="B371" s="27">
        <f t="shared" si="25"/>
        <v>2025</v>
      </c>
      <c r="C371" s="27">
        <f t="shared" si="26"/>
        <v>1</v>
      </c>
      <c r="D371" s="27">
        <f t="shared" si="27"/>
        <v>4</v>
      </c>
      <c r="E371" s="27">
        <f t="shared" si="28"/>
        <v>7</v>
      </c>
      <c r="F371" s="27">
        <f>VLOOKUP(E371,[2]t_calendarioPolitica!A:C,3,FALSE)</f>
        <v>2</v>
      </c>
      <c r="G371" s="1">
        <v>1</v>
      </c>
      <c r="H371" s="1">
        <v>1</v>
      </c>
      <c r="I371" s="1">
        <f t="shared" si="29"/>
        <v>1</v>
      </c>
    </row>
    <row r="372" spans="1:9" x14ac:dyDescent="0.25">
      <c r="A372" s="26">
        <v>45662</v>
      </c>
      <c r="B372" s="27">
        <f t="shared" si="25"/>
        <v>2025</v>
      </c>
      <c r="C372" s="27">
        <f t="shared" si="26"/>
        <v>1</v>
      </c>
      <c r="D372" s="27">
        <f t="shared" si="27"/>
        <v>5</v>
      </c>
      <c r="E372" s="27">
        <f t="shared" si="28"/>
        <v>1</v>
      </c>
      <c r="F372" s="27">
        <f>VLOOKUP(E372,[2]t_calendarioPolitica!A:C,3,FALSE)</f>
        <v>0</v>
      </c>
      <c r="G372" s="1">
        <v>1</v>
      </c>
      <c r="H372" s="1">
        <v>1</v>
      </c>
      <c r="I372" s="1">
        <f t="shared" si="29"/>
        <v>0</v>
      </c>
    </row>
    <row r="373" spans="1:9" x14ac:dyDescent="0.25">
      <c r="A373" s="26">
        <v>45663</v>
      </c>
      <c r="B373" s="27">
        <f t="shared" si="25"/>
        <v>2025</v>
      </c>
      <c r="C373" s="27">
        <f t="shared" si="26"/>
        <v>1</v>
      </c>
      <c r="D373" s="27">
        <f t="shared" si="27"/>
        <v>6</v>
      </c>
      <c r="E373" s="27">
        <f t="shared" si="28"/>
        <v>2</v>
      </c>
      <c r="F373" s="27">
        <f>VLOOKUP(E373,[2]t_calendarioPolitica!A:C,3,FALSE)</f>
        <v>1</v>
      </c>
      <c r="G373" s="1">
        <v>1</v>
      </c>
      <c r="H373" s="1">
        <v>1</v>
      </c>
      <c r="I373" s="1">
        <f t="shared" si="29"/>
        <v>1</v>
      </c>
    </row>
    <row r="374" spans="1:9" x14ac:dyDescent="0.25">
      <c r="A374" s="26">
        <v>45664</v>
      </c>
      <c r="B374" s="27">
        <f t="shared" si="25"/>
        <v>2025</v>
      </c>
      <c r="C374" s="27">
        <f t="shared" si="26"/>
        <v>1</v>
      </c>
      <c r="D374" s="27">
        <f t="shared" si="27"/>
        <v>7</v>
      </c>
      <c r="E374" s="27">
        <f t="shared" si="28"/>
        <v>3</v>
      </c>
      <c r="F374" s="27">
        <f>VLOOKUP(E374,[2]t_calendarioPolitica!A:C,3,FALSE)</f>
        <v>1</v>
      </c>
      <c r="G374" s="1">
        <v>1</v>
      </c>
      <c r="H374" s="1">
        <v>1</v>
      </c>
      <c r="I374" s="1">
        <f t="shared" si="29"/>
        <v>1</v>
      </c>
    </row>
    <row r="375" spans="1:9" x14ac:dyDescent="0.25">
      <c r="A375" s="26">
        <v>45665</v>
      </c>
      <c r="B375" s="27">
        <f t="shared" si="25"/>
        <v>2025</v>
      </c>
      <c r="C375" s="27">
        <f t="shared" si="26"/>
        <v>1</v>
      </c>
      <c r="D375" s="27">
        <f t="shared" si="27"/>
        <v>8</v>
      </c>
      <c r="E375" s="27">
        <f t="shared" si="28"/>
        <v>4</v>
      </c>
      <c r="F375" s="27">
        <f>VLOOKUP(E375,[2]t_calendarioPolitica!A:C,3,FALSE)</f>
        <v>1</v>
      </c>
      <c r="G375" s="1">
        <v>1</v>
      </c>
      <c r="H375" s="1">
        <v>1</v>
      </c>
      <c r="I375" s="1">
        <f t="shared" si="29"/>
        <v>1</v>
      </c>
    </row>
    <row r="376" spans="1:9" x14ac:dyDescent="0.25">
      <c r="A376" s="26">
        <v>45666</v>
      </c>
      <c r="B376" s="27">
        <f t="shared" si="25"/>
        <v>2025</v>
      </c>
      <c r="C376" s="27">
        <f t="shared" si="26"/>
        <v>1</v>
      </c>
      <c r="D376" s="27">
        <f t="shared" si="27"/>
        <v>9</v>
      </c>
      <c r="E376" s="27">
        <f t="shared" si="28"/>
        <v>5</v>
      </c>
      <c r="F376" s="27">
        <f>VLOOKUP(E376,[2]t_calendarioPolitica!A:C,3,FALSE)</f>
        <v>1</v>
      </c>
      <c r="G376" s="1">
        <v>1</v>
      </c>
      <c r="H376" s="1">
        <v>1</v>
      </c>
      <c r="I376" s="1">
        <f t="shared" si="29"/>
        <v>1</v>
      </c>
    </row>
    <row r="377" spans="1:9" x14ac:dyDescent="0.25">
      <c r="A377" s="26">
        <v>45667</v>
      </c>
      <c r="B377" s="27">
        <f t="shared" si="25"/>
        <v>2025</v>
      </c>
      <c r="C377" s="27">
        <f t="shared" si="26"/>
        <v>1</v>
      </c>
      <c r="D377" s="27">
        <f t="shared" si="27"/>
        <v>10</v>
      </c>
      <c r="E377" s="27">
        <f t="shared" si="28"/>
        <v>6</v>
      </c>
      <c r="F377" s="27">
        <f>VLOOKUP(E377,[2]t_calendarioPolitica!A:C,3,FALSE)</f>
        <v>1</v>
      </c>
      <c r="G377" s="1">
        <v>1</v>
      </c>
      <c r="H377" s="1">
        <v>1</v>
      </c>
      <c r="I377" s="1">
        <f t="shared" si="29"/>
        <v>1</v>
      </c>
    </row>
    <row r="378" spans="1:9" x14ac:dyDescent="0.25">
      <c r="A378" s="26">
        <v>45668</v>
      </c>
      <c r="B378" s="27">
        <f t="shared" si="25"/>
        <v>2025</v>
      </c>
      <c r="C378" s="27">
        <f t="shared" si="26"/>
        <v>1</v>
      </c>
      <c r="D378" s="27">
        <f t="shared" si="27"/>
        <v>11</v>
      </c>
      <c r="E378" s="27">
        <f t="shared" si="28"/>
        <v>7</v>
      </c>
      <c r="F378" s="27">
        <f>VLOOKUP(E378,[2]t_calendarioPolitica!A:C,3,FALSE)</f>
        <v>2</v>
      </c>
      <c r="G378" s="1">
        <v>1</v>
      </c>
      <c r="H378" s="1">
        <v>1</v>
      </c>
      <c r="I378" s="1">
        <f t="shared" si="29"/>
        <v>1</v>
      </c>
    </row>
    <row r="379" spans="1:9" x14ac:dyDescent="0.25">
      <c r="A379" s="26">
        <v>45669</v>
      </c>
      <c r="B379" s="27">
        <f t="shared" si="25"/>
        <v>2025</v>
      </c>
      <c r="C379" s="27">
        <f t="shared" si="26"/>
        <v>1</v>
      </c>
      <c r="D379" s="27">
        <f t="shared" si="27"/>
        <v>12</v>
      </c>
      <c r="E379" s="27">
        <f t="shared" si="28"/>
        <v>1</v>
      </c>
      <c r="F379" s="27">
        <f>VLOOKUP(E379,[2]t_calendarioPolitica!A:C,3,FALSE)</f>
        <v>0</v>
      </c>
      <c r="G379" s="1">
        <v>1</v>
      </c>
      <c r="H379" s="1">
        <v>1</v>
      </c>
      <c r="I379" s="1">
        <f t="shared" si="29"/>
        <v>0</v>
      </c>
    </row>
    <row r="380" spans="1:9" x14ac:dyDescent="0.25">
      <c r="A380" s="26">
        <v>45670</v>
      </c>
      <c r="B380" s="27">
        <f t="shared" si="25"/>
        <v>2025</v>
      </c>
      <c r="C380" s="27">
        <f t="shared" si="26"/>
        <v>1</v>
      </c>
      <c r="D380" s="27">
        <f t="shared" si="27"/>
        <v>13</v>
      </c>
      <c r="E380" s="27">
        <f t="shared" si="28"/>
        <v>2</v>
      </c>
      <c r="F380" s="27">
        <f>VLOOKUP(E380,[2]t_calendarioPolitica!A:C,3,FALSE)</f>
        <v>1</v>
      </c>
      <c r="G380" s="1">
        <v>1</v>
      </c>
      <c r="H380" s="1">
        <v>1</v>
      </c>
      <c r="I380" s="1">
        <f t="shared" si="29"/>
        <v>1</v>
      </c>
    </row>
    <row r="381" spans="1:9" x14ac:dyDescent="0.25">
      <c r="A381" s="26">
        <v>45671</v>
      </c>
      <c r="B381" s="27">
        <f t="shared" si="25"/>
        <v>2025</v>
      </c>
      <c r="C381" s="27">
        <f t="shared" si="26"/>
        <v>1</v>
      </c>
      <c r="D381" s="27">
        <f t="shared" si="27"/>
        <v>14</v>
      </c>
      <c r="E381" s="27">
        <f t="shared" si="28"/>
        <v>3</v>
      </c>
      <c r="F381" s="27">
        <f>VLOOKUP(E381,[2]t_calendarioPolitica!A:C,3,FALSE)</f>
        <v>1</v>
      </c>
      <c r="G381" s="1">
        <v>1</v>
      </c>
      <c r="H381" s="1">
        <v>1</v>
      </c>
      <c r="I381" s="1">
        <f t="shared" si="29"/>
        <v>1</v>
      </c>
    </row>
    <row r="382" spans="1:9" x14ac:dyDescent="0.25">
      <c r="A382" s="26">
        <v>45672</v>
      </c>
      <c r="B382" s="27">
        <f t="shared" si="25"/>
        <v>2025</v>
      </c>
      <c r="C382" s="27">
        <f t="shared" si="26"/>
        <v>1</v>
      </c>
      <c r="D382" s="27">
        <f t="shared" si="27"/>
        <v>15</v>
      </c>
      <c r="E382" s="27">
        <f t="shared" si="28"/>
        <v>4</v>
      </c>
      <c r="F382" s="27">
        <f>VLOOKUP(E382,[2]t_calendarioPolitica!A:C,3,FALSE)</f>
        <v>1</v>
      </c>
      <c r="G382" s="1">
        <v>1</v>
      </c>
      <c r="H382" s="1">
        <v>1</v>
      </c>
      <c r="I382" s="1">
        <f t="shared" si="29"/>
        <v>1</v>
      </c>
    </row>
    <row r="383" spans="1:9" x14ac:dyDescent="0.25">
      <c r="A383" s="26">
        <v>45673</v>
      </c>
      <c r="B383" s="27">
        <f t="shared" si="25"/>
        <v>2025</v>
      </c>
      <c r="C383" s="27">
        <f t="shared" si="26"/>
        <v>1</v>
      </c>
      <c r="D383" s="27">
        <f t="shared" si="27"/>
        <v>16</v>
      </c>
      <c r="E383" s="27">
        <f t="shared" si="28"/>
        <v>5</v>
      </c>
      <c r="F383" s="27">
        <f>VLOOKUP(E383,[2]t_calendarioPolitica!A:C,3,FALSE)</f>
        <v>1</v>
      </c>
      <c r="G383" s="1">
        <v>1</v>
      </c>
      <c r="H383" s="1">
        <v>1</v>
      </c>
      <c r="I383" s="1">
        <f t="shared" si="29"/>
        <v>1</v>
      </c>
    </row>
    <row r="384" spans="1:9" x14ac:dyDescent="0.25">
      <c r="A384" s="26">
        <v>45674</v>
      </c>
      <c r="B384" s="27">
        <f t="shared" si="25"/>
        <v>2025</v>
      </c>
      <c r="C384" s="27">
        <f t="shared" si="26"/>
        <v>1</v>
      </c>
      <c r="D384" s="27">
        <f t="shared" si="27"/>
        <v>17</v>
      </c>
      <c r="E384" s="27">
        <f t="shared" si="28"/>
        <v>6</v>
      </c>
      <c r="F384" s="27">
        <f>VLOOKUP(E384,[2]t_calendarioPolitica!A:C,3,FALSE)</f>
        <v>1</v>
      </c>
      <c r="G384" s="1">
        <v>1</v>
      </c>
      <c r="H384" s="1">
        <v>1</v>
      </c>
      <c r="I384" s="1">
        <f t="shared" si="29"/>
        <v>1</v>
      </c>
    </row>
    <row r="385" spans="1:9" x14ac:dyDescent="0.25">
      <c r="A385" s="26">
        <v>45675</v>
      </c>
      <c r="B385" s="27">
        <f t="shared" si="25"/>
        <v>2025</v>
      </c>
      <c r="C385" s="27">
        <f t="shared" si="26"/>
        <v>1</v>
      </c>
      <c r="D385" s="27">
        <f t="shared" si="27"/>
        <v>18</v>
      </c>
      <c r="E385" s="27">
        <f t="shared" si="28"/>
        <v>7</v>
      </c>
      <c r="F385" s="27">
        <f>VLOOKUP(E385,[2]t_calendarioPolitica!A:C,3,FALSE)</f>
        <v>2</v>
      </c>
      <c r="G385" s="1">
        <v>1</v>
      </c>
      <c r="H385" s="1">
        <v>1</v>
      </c>
      <c r="I385" s="1">
        <f t="shared" si="29"/>
        <v>1</v>
      </c>
    </row>
    <row r="386" spans="1:9" x14ac:dyDescent="0.25">
      <c r="A386" s="26">
        <v>45676</v>
      </c>
      <c r="B386" s="27">
        <f t="shared" si="25"/>
        <v>2025</v>
      </c>
      <c r="C386" s="27">
        <f t="shared" si="26"/>
        <v>1</v>
      </c>
      <c r="D386" s="27">
        <f t="shared" si="27"/>
        <v>19</v>
      </c>
      <c r="E386" s="27">
        <f t="shared" si="28"/>
        <v>1</v>
      </c>
      <c r="F386" s="27">
        <f>VLOOKUP(E386,[2]t_calendarioPolitica!A:C,3,FALSE)</f>
        <v>0</v>
      </c>
      <c r="G386" s="1">
        <v>1</v>
      </c>
      <c r="H386" s="1">
        <v>1</v>
      </c>
      <c r="I386" s="1">
        <f t="shared" si="29"/>
        <v>0</v>
      </c>
    </row>
    <row r="387" spans="1:9" x14ac:dyDescent="0.25">
      <c r="A387" s="26">
        <v>45677</v>
      </c>
      <c r="B387" s="27">
        <f t="shared" ref="B387:B450" si="30">YEAR(A387)</f>
        <v>2025</v>
      </c>
      <c r="C387" s="27">
        <f t="shared" ref="C387:C450" si="31">MONTH(A387)</f>
        <v>1</v>
      </c>
      <c r="D387" s="27">
        <f t="shared" ref="D387:D450" si="32">DAY(A387)</f>
        <v>20</v>
      </c>
      <c r="E387" s="27">
        <f t="shared" ref="E387:E450" si="33">WEEKDAY(A387)</f>
        <v>2</v>
      </c>
      <c r="F387" s="27">
        <f>VLOOKUP(E387,[2]t_calendarioPolitica!A:C,3,FALSE)</f>
        <v>1</v>
      </c>
      <c r="G387" s="1">
        <v>1</v>
      </c>
      <c r="H387" s="1">
        <v>1</v>
      </c>
      <c r="I387" s="1">
        <f t="shared" ref="I387:I450" si="34">IF(AND(F387&lt;&gt;0, H387&lt;&gt;0,G387&lt;&gt;0), 1, 0)</f>
        <v>1</v>
      </c>
    </row>
    <row r="388" spans="1:9" x14ac:dyDescent="0.25">
      <c r="A388" s="26">
        <v>45678</v>
      </c>
      <c r="B388" s="27">
        <f t="shared" si="30"/>
        <v>2025</v>
      </c>
      <c r="C388" s="27">
        <f t="shared" si="31"/>
        <v>1</v>
      </c>
      <c r="D388" s="27">
        <f t="shared" si="32"/>
        <v>21</v>
      </c>
      <c r="E388" s="27">
        <f t="shared" si="33"/>
        <v>3</v>
      </c>
      <c r="F388" s="27">
        <f>VLOOKUP(E388,[2]t_calendarioPolitica!A:C,3,FALSE)</f>
        <v>1</v>
      </c>
      <c r="G388" s="1">
        <v>1</v>
      </c>
      <c r="H388" s="1">
        <v>1</v>
      </c>
      <c r="I388" s="1">
        <f t="shared" si="34"/>
        <v>1</v>
      </c>
    </row>
    <row r="389" spans="1:9" x14ac:dyDescent="0.25">
      <c r="A389" s="26">
        <v>45679</v>
      </c>
      <c r="B389" s="27">
        <f t="shared" si="30"/>
        <v>2025</v>
      </c>
      <c r="C389" s="27">
        <f t="shared" si="31"/>
        <v>1</v>
      </c>
      <c r="D389" s="27">
        <f t="shared" si="32"/>
        <v>22</v>
      </c>
      <c r="E389" s="27">
        <f t="shared" si="33"/>
        <v>4</v>
      </c>
      <c r="F389" s="27">
        <f>VLOOKUP(E389,[2]t_calendarioPolitica!A:C,3,FALSE)</f>
        <v>1</v>
      </c>
      <c r="G389" s="1">
        <v>1</v>
      </c>
      <c r="H389" s="1">
        <v>1</v>
      </c>
      <c r="I389" s="1">
        <f t="shared" si="34"/>
        <v>1</v>
      </c>
    </row>
    <row r="390" spans="1:9" x14ac:dyDescent="0.25">
      <c r="A390" s="26">
        <v>45680</v>
      </c>
      <c r="B390" s="27">
        <f t="shared" si="30"/>
        <v>2025</v>
      </c>
      <c r="C390" s="27">
        <f t="shared" si="31"/>
        <v>1</v>
      </c>
      <c r="D390" s="27">
        <f t="shared" si="32"/>
        <v>23</v>
      </c>
      <c r="E390" s="27">
        <f t="shared" si="33"/>
        <v>5</v>
      </c>
      <c r="F390" s="27">
        <f>VLOOKUP(E390,[2]t_calendarioPolitica!A:C,3,FALSE)</f>
        <v>1</v>
      </c>
      <c r="G390" s="1">
        <v>1</v>
      </c>
      <c r="H390" s="1">
        <v>1</v>
      </c>
      <c r="I390" s="1">
        <f t="shared" si="34"/>
        <v>1</v>
      </c>
    </row>
    <row r="391" spans="1:9" x14ac:dyDescent="0.25">
      <c r="A391" s="26">
        <v>45681</v>
      </c>
      <c r="B391" s="27">
        <f t="shared" si="30"/>
        <v>2025</v>
      </c>
      <c r="C391" s="27">
        <f t="shared" si="31"/>
        <v>1</v>
      </c>
      <c r="D391" s="27">
        <f t="shared" si="32"/>
        <v>24</v>
      </c>
      <c r="E391" s="27">
        <f t="shared" si="33"/>
        <v>6</v>
      </c>
      <c r="F391" s="27">
        <f>VLOOKUP(E391,[2]t_calendarioPolitica!A:C,3,FALSE)</f>
        <v>1</v>
      </c>
      <c r="G391" s="1">
        <v>1</v>
      </c>
      <c r="H391" s="1">
        <v>1</v>
      </c>
      <c r="I391" s="1">
        <f t="shared" si="34"/>
        <v>1</v>
      </c>
    </row>
    <row r="392" spans="1:9" x14ac:dyDescent="0.25">
      <c r="A392" s="26">
        <v>45682</v>
      </c>
      <c r="B392" s="27">
        <f t="shared" si="30"/>
        <v>2025</v>
      </c>
      <c r="C392" s="27">
        <f t="shared" si="31"/>
        <v>1</v>
      </c>
      <c r="D392" s="27">
        <f t="shared" si="32"/>
        <v>25</v>
      </c>
      <c r="E392" s="27">
        <f t="shared" si="33"/>
        <v>7</v>
      </c>
      <c r="F392" s="27">
        <f>VLOOKUP(E392,[2]t_calendarioPolitica!A:C,3,FALSE)</f>
        <v>2</v>
      </c>
      <c r="G392" s="1">
        <v>1</v>
      </c>
      <c r="H392" s="1">
        <v>1</v>
      </c>
      <c r="I392" s="1">
        <f t="shared" si="34"/>
        <v>1</v>
      </c>
    </row>
    <row r="393" spans="1:9" x14ac:dyDescent="0.25">
      <c r="A393" s="26">
        <v>45683</v>
      </c>
      <c r="B393" s="27">
        <f t="shared" si="30"/>
        <v>2025</v>
      </c>
      <c r="C393" s="27">
        <f t="shared" si="31"/>
        <v>1</v>
      </c>
      <c r="D393" s="27">
        <f t="shared" si="32"/>
        <v>26</v>
      </c>
      <c r="E393" s="27">
        <f t="shared" si="33"/>
        <v>1</v>
      </c>
      <c r="F393" s="27">
        <f>VLOOKUP(E393,[2]t_calendarioPolitica!A:C,3,FALSE)</f>
        <v>0</v>
      </c>
      <c r="G393" s="1">
        <v>1</v>
      </c>
      <c r="H393" s="1">
        <v>1</v>
      </c>
      <c r="I393" s="1">
        <f t="shared" si="34"/>
        <v>0</v>
      </c>
    </row>
    <row r="394" spans="1:9" x14ac:dyDescent="0.25">
      <c r="A394" s="26">
        <v>45684</v>
      </c>
      <c r="B394" s="27">
        <f t="shared" si="30"/>
        <v>2025</v>
      </c>
      <c r="C394" s="27">
        <f t="shared" si="31"/>
        <v>1</v>
      </c>
      <c r="D394" s="27">
        <f t="shared" si="32"/>
        <v>27</v>
      </c>
      <c r="E394" s="27">
        <f t="shared" si="33"/>
        <v>2</v>
      </c>
      <c r="F394" s="27">
        <f>VLOOKUP(E394,[2]t_calendarioPolitica!A:C,3,FALSE)</f>
        <v>1</v>
      </c>
      <c r="G394" s="1">
        <v>1</v>
      </c>
      <c r="H394" s="1">
        <v>1</v>
      </c>
      <c r="I394" s="1">
        <f t="shared" si="34"/>
        <v>1</v>
      </c>
    </row>
    <row r="395" spans="1:9" x14ac:dyDescent="0.25">
      <c r="A395" s="26">
        <v>45685</v>
      </c>
      <c r="B395" s="27">
        <f t="shared" si="30"/>
        <v>2025</v>
      </c>
      <c r="C395" s="27">
        <f t="shared" si="31"/>
        <v>1</v>
      </c>
      <c r="D395" s="27">
        <f t="shared" si="32"/>
        <v>28</v>
      </c>
      <c r="E395" s="27">
        <f t="shared" si="33"/>
        <v>3</v>
      </c>
      <c r="F395" s="27">
        <f>VLOOKUP(E395,[2]t_calendarioPolitica!A:C,3,FALSE)</f>
        <v>1</v>
      </c>
      <c r="G395" s="1">
        <v>1</v>
      </c>
      <c r="H395" s="1">
        <v>1</v>
      </c>
      <c r="I395" s="1">
        <f t="shared" si="34"/>
        <v>1</v>
      </c>
    </row>
    <row r="396" spans="1:9" x14ac:dyDescent="0.25">
      <c r="A396" s="26">
        <v>45686</v>
      </c>
      <c r="B396" s="27">
        <f t="shared" si="30"/>
        <v>2025</v>
      </c>
      <c r="C396" s="27">
        <f t="shared" si="31"/>
        <v>1</v>
      </c>
      <c r="D396" s="27">
        <f t="shared" si="32"/>
        <v>29</v>
      </c>
      <c r="E396" s="27">
        <f t="shared" si="33"/>
        <v>4</v>
      </c>
      <c r="F396" s="27">
        <f>VLOOKUP(E396,[2]t_calendarioPolitica!A:C,3,FALSE)</f>
        <v>1</v>
      </c>
      <c r="G396" s="1">
        <v>1</v>
      </c>
      <c r="H396" s="1">
        <v>1</v>
      </c>
      <c r="I396" s="1">
        <f t="shared" si="34"/>
        <v>1</v>
      </c>
    </row>
    <row r="397" spans="1:9" x14ac:dyDescent="0.25">
      <c r="A397" s="26">
        <v>45687</v>
      </c>
      <c r="B397" s="27">
        <f t="shared" si="30"/>
        <v>2025</v>
      </c>
      <c r="C397" s="27">
        <f t="shared" si="31"/>
        <v>1</v>
      </c>
      <c r="D397" s="27">
        <f t="shared" si="32"/>
        <v>30</v>
      </c>
      <c r="E397" s="27">
        <f t="shared" si="33"/>
        <v>5</v>
      </c>
      <c r="F397" s="27">
        <f>VLOOKUP(E397,[2]t_calendarioPolitica!A:C,3,FALSE)</f>
        <v>1</v>
      </c>
      <c r="G397" s="1">
        <v>1</v>
      </c>
      <c r="H397" s="1">
        <v>1</v>
      </c>
      <c r="I397" s="1">
        <f t="shared" si="34"/>
        <v>1</v>
      </c>
    </row>
    <row r="398" spans="1:9" x14ac:dyDescent="0.25">
      <c r="A398" s="26">
        <v>45688</v>
      </c>
      <c r="B398" s="27">
        <f t="shared" si="30"/>
        <v>2025</v>
      </c>
      <c r="C398" s="27">
        <f t="shared" si="31"/>
        <v>1</v>
      </c>
      <c r="D398" s="27">
        <f t="shared" si="32"/>
        <v>31</v>
      </c>
      <c r="E398" s="27">
        <f t="shared" si="33"/>
        <v>6</v>
      </c>
      <c r="F398" s="27">
        <f>VLOOKUP(E398,[2]t_calendarioPolitica!A:C,3,FALSE)</f>
        <v>1</v>
      </c>
      <c r="G398" s="1">
        <v>1</v>
      </c>
      <c r="H398" s="1">
        <v>1</v>
      </c>
      <c r="I398" s="1">
        <f t="shared" si="34"/>
        <v>1</v>
      </c>
    </row>
    <row r="399" spans="1:9" x14ac:dyDescent="0.25">
      <c r="A399" s="26">
        <v>45689</v>
      </c>
      <c r="B399" s="27">
        <f t="shared" si="30"/>
        <v>2025</v>
      </c>
      <c r="C399" s="27">
        <f t="shared" si="31"/>
        <v>2</v>
      </c>
      <c r="D399" s="27">
        <f t="shared" si="32"/>
        <v>1</v>
      </c>
      <c r="E399" s="27">
        <f t="shared" si="33"/>
        <v>7</v>
      </c>
      <c r="F399" s="27">
        <f>VLOOKUP(E399,[2]t_calendarioPolitica!A:C,3,FALSE)</f>
        <v>2</v>
      </c>
      <c r="G399" s="1">
        <v>1</v>
      </c>
      <c r="H399" s="1">
        <v>1</v>
      </c>
      <c r="I399" s="1">
        <f t="shared" si="34"/>
        <v>1</v>
      </c>
    </row>
    <row r="400" spans="1:9" x14ac:dyDescent="0.25">
      <c r="A400" s="26">
        <v>45690</v>
      </c>
      <c r="B400" s="27">
        <f t="shared" si="30"/>
        <v>2025</v>
      </c>
      <c r="C400" s="27">
        <f t="shared" si="31"/>
        <v>2</v>
      </c>
      <c r="D400" s="27">
        <f t="shared" si="32"/>
        <v>2</v>
      </c>
      <c r="E400" s="27">
        <f t="shared" si="33"/>
        <v>1</v>
      </c>
      <c r="F400" s="27">
        <f>VLOOKUP(E400,[2]t_calendarioPolitica!A:C,3,FALSE)</f>
        <v>0</v>
      </c>
      <c r="G400" s="1">
        <v>1</v>
      </c>
      <c r="H400" s="1">
        <v>1</v>
      </c>
      <c r="I400" s="1">
        <f t="shared" si="34"/>
        <v>0</v>
      </c>
    </row>
    <row r="401" spans="1:9" x14ac:dyDescent="0.25">
      <c r="A401" s="26">
        <v>45691</v>
      </c>
      <c r="B401" s="27">
        <f t="shared" si="30"/>
        <v>2025</v>
      </c>
      <c r="C401" s="27">
        <f t="shared" si="31"/>
        <v>2</v>
      </c>
      <c r="D401" s="27">
        <f t="shared" si="32"/>
        <v>3</v>
      </c>
      <c r="E401" s="27">
        <f t="shared" si="33"/>
        <v>2</v>
      </c>
      <c r="F401" s="27">
        <f>VLOOKUP(E401,[2]t_calendarioPolitica!A:C,3,FALSE)</f>
        <v>1</v>
      </c>
      <c r="G401" s="1">
        <v>1</v>
      </c>
      <c r="H401" s="1">
        <v>1</v>
      </c>
      <c r="I401" s="1">
        <f t="shared" si="34"/>
        <v>1</v>
      </c>
    </row>
    <row r="402" spans="1:9" x14ac:dyDescent="0.25">
      <c r="A402" s="26">
        <v>45692</v>
      </c>
      <c r="B402" s="27">
        <f t="shared" si="30"/>
        <v>2025</v>
      </c>
      <c r="C402" s="27">
        <f t="shared" si="31"/>
        <v>2</v>
      </c>
      <c r="D402" s="27">
        <f t="shared" si="32"/>
        <v>4</v>
      </c>
      <c r="E402" s="27">
        <f t="shared" si="33"/>
        <v>3</v>
      </c>
      <c r="F402" s="27">
        <f>VLOOKUP(E402,[2]t_calendarioPolitica!A:C,3,FALSE)</f>
        <v>1</v>
      </c>
      <c r="G402" s="1">
        <v>1</v>
      </c>
      <c r="H402" s="1">
        <v>1</v>
      </c>
      <c r="I402" s="1">
        <f t="shared" si="34"/>
        <v>1</v>
      </c>
    </row>
    <row r="403" spans="1:9" x14ac:dyDescent="0.25">
      <c r="A403" s="26">
        <v>45693</v>
      </c>
      <c r="B403" s="27">
        <f t="shared" si="30"/>
        <v>2025</v>
      </c>
      <c r="C403" s="27">
        <f t="shared" si="31"/>
        <v>2</v>
      </c>
      <c r="D403" s="27">
        <f t="shared" si="32"/>
        <v>5</v>
      </c>
      <c r="E403" s="27">
        <f t="shared" si="33"/>
        <v>4</v>
      </c>
      <c r="F403" s="27">
        <f>VLOOKUP(E403,[2]t_calendarioPolitica!A:C,3,FALSE)</f>
        <v>1</v>
      </c>
      <c r="G403" s="1">
        <v>1</v>
      </c>
      <c r="H403" s="1">
        <v>1</v>
      </c>
      <c r="I403" s="1">
        <f t="shared" si="34"/>
        <v>1</v>
      </c>
    </row>
    <row r="404" spans="1:9" x14ac:dyDescent="0.25">
      <c r="A404" s="26">
        <v>45694</v>
      </c>
      <c r="B404" s="27">
        <f t="shared" si="30"/>
        <v>2025</v>
      </c>
      <c r="C404" s="27">
        <f t="shared" si="31"/>
        <v>2</v>
      </c>
      <c r="D404" s="27">
        <f t="shared" si="32"/>
        <v>6</v>
      </c>
      <c r="E404" s="27">
        <f t="shared" si="33"/>
        <v>5</v>
      </c>
      <c r="F404" s="27">
        <f>VLOOKUP(E404,[2]t_calendarioPolitica!A:C,3,FALSE)</f>
        <v>1</v>
      </c>
      <c r="G404" s="1">
        <v>1</v>
      </c>
      <c r="H404" s="1">
        <v>1</v>
      </c>
      <c r="I404" s="1">
        <f t="shared" si="34"/>
        <v>1</v>
      </c>
    </row>
    <row r="405" spans="1:9" x14ac:dyDescent="0.25">
      <c r="A405" s="26">
        <v>45695</v>
      </c>
      <c r="B405" s="27">
        <f t="shared" si="30"/>
        <v>2025</v>
      </c>
      <c r="C405" s="27">
        <f t="shared" si="31"/>
        <v>2</v>
      </c>
      <c r="D405" s="27">
        <f t="shared" si="32"/>
        <v>7</v>
      </c>
      <c r="E405" s="27">
        <f t="shared" si="33"/>
        <v>6</v>
      </c>
      <c r="F405" s="27">
        <f>VLOOKUP(E405,[2]t_calendarioPolitica!A:C,3,FALSE)</f>
        <v>1</v>
      </c>
      <c r="G405" s="1">
        <v>1</v>
      </c>
      <c r="H405" s="1">
        <v>1</v>
      </c>
      <c r="I405" s="1">
        <f t="shared" si="34"/>
        <v>1</v>
      </c>
    </row>
    <row r="406" spans="1:9" x14ac:dyDescent="0.25">
      <c r="A406" s="26">
        <v>45696</v>
      </c>
      <c r="B406" s="27">
        <f t="shared" si="30"/>
        <v>2025</v>
      </c>
      <c r="C406" s="27">
        <f t="shared" si="31"/>
        <v>2</v>
      </c>
      <c r="D406" s="27">
        <f t="shared" si="32"/>
        <v>8</v>
      </c>
      <c r="E406" s="27">
        <f t="shared" si="33"/>
        <v>7</v>
      </c>
      <c r="F406" s="27">
        <f>VLOOKUP(E406,[2]t_calendarioPolitica!A:C,3,FALSE)</f>
        <v>2</v>
      </c>
      <c r="G406" s="1">
        <v>1</v>
      </c>
      <c r="H406" s="1">
        <v>1</v>
      </c>
      <c r="I406" s="1">
        <f t="shared" si="34"/>
        <v>1</v>
      </c>
    </row>
    <row r="407" spans="1:9" x14ac:dyDescent="0.25">
      <c r="A407" s="26">
        <v>45697</v>
      </c>
      <c r="B407" s="27">
        <f t="shared" si="30"/>
        <v>2025</v>
      </c>
      <c r="C407" s="27">
        <f t="shared" si="31"/>
        <v>2</v>
      </c>
      <c r="D407" s="27">
        <f t="shared" si="32"/>
        <v>9</v>
      </c>
      <c r="E407" s="27">
        <f t="shared" si="33"/>
        <v>1</v>
      </c>
      <c r="F407" s="27">
        <f>VLOOKUP(E407,[2]t_calendarioPolitica!A:C,3,FALSE)</f>
        <v>0</v>
      </c>
      <c r="G407" s="1">
        <v>1</v>
      </c>
      <c r="H407" s="1">
        <v>1</v>
      </c>
      <c r="I407" s="1">
        <f t="shared" si="34"/>
        <v>0</v>
      </c>
    </row>
    <row r="408" spans="1:9" x14ac:dyDescent="0.25">
      <c r="A408" s="26">
        <v>45698</v>
      </c>
      <c r="B408" s="27">
        <f t="shared" si="30"/>
        <v>2025</v>
      </c>
      <c r="C408" s="27">
        <f t="shared" si="31"/>
        <v>2</v>
      </c>
      <c r="D408" s="27">
        <f t="shared" si="32"/>
        <v>10</v>
      </c>
      <c r="E408" s="27">
        <f t="shared" si="33"/>
        <v>2</v>
      </c>
      <c r="F408" s="27">
        <f>VLOOKUP(E408,[2]t_calendarioPolitica!A:C,3,FALSE)</f>
        <v>1</v>
      </c>
      <c r="G408" s="1">
        <v>1</v>
      </c>
      <c r="H408" s="1">
        <v>1</v>
      </c>
      <c r="I408" s="1">
        <f t="shared" si="34"/>
        <v>1</v>
      </c>
    </row>
    <row r="409" spans="1:9" x14ac:dyDescent="0.25">
      <c r="A409" s="26">
        <v>45699</v>
      </c>
      <c r="B409" s="27">
        <f t="shared" si="30"/>
        <v>2025</v>
      </c>
      <c r="C409" s="27">
        <f t="shared" si="31"/>
        <v>2</v>
      </c>
      <c r="D409" s="27">
        <f t="shared" si="32"/>
        <v>11</v>
      </c>
      <c r="E409" s="27">
        <f t="shared" si="33"/>
        <v>3</v>
      </c>
      <c r="F409" s="27">
        <f>VLOOKUP(E409,[2]t_calendarioPolitica!A:C,3,FALSE)</f>
        <v>1</v>
      </c>
      <c r="G409" s="1">
        <v>1</v>
      </c>
      <c r="H409" s="1">
        <v>1</v>
      </c>
      <c r="I409" s="1">
        <f t="shared" si="34"/>
        <v>1</v>
      </c>
    </row>
    <row r="410" spans="1:9" x14ac:dyDescent="0.25">
      <c r="A410" s="26">
        <v>45700</v>
      </c>
      <c r="B410" s="27">
        <f t="shared" si="30"/>
        <v>2025</v>
      </c>
      <c r="C410" s="27">
        <f t="shared" si="31"/>
        <v>2</v>
      </c>
      <c r="D410" s="27">
        <f t="shared" si="32"/>
        <v>12</v>
      </c>
      <c r="E410" s="27">
        <f t="shared" si="33"/>
        <v>4</v>
      </c>
      <c r="F410" s="27">
        <f>VLOOKUP(E410,[2]t_calendarioPolitica!A:C,3,FALSE)</f>
        <v>1</v>
      </c>
      <c r="G410" s="1">
        <v>1</v>
      </c>
      <c r="H410" s="1">
        <v>1</v>
      </c>
      <c r="I410" s="1">
        <f t="shared" si="34"/>
        <v>1</v>
      </c>
    </row>
    <row r="411" spans="1:9" x14ac:dyDescent="0.25">
      <c r="A411" s="26">
        <v>45701</v>
      </c>
      <c r="B411" s="27">
        <f t="shared" si="30"/>
        <v>2025</v>
      </c>
      <c r="C411" s="27">
        <f t="shared" si="31"/>
        <v>2</v>
      </c>
      <c r="D411" s="27">
        <f t="shared" si="32"/>
        <v>13</v>
      </c>
      <c r="E411" s="27">
        <f t="shared" si="33"/>
        <v>5</v>
      </c>
      <c r="F411" s="27">
        <f>VLOOKUP(E411,[2]t_calendarioPolitica!A:C,3,FALSE)</f>
        <v>1</v>
      </c>
      <c r="G411" s="1">
        <v>1</v>
      </c>
      <c r="H411" s="1">
        <v>1</v>
      </c>
      <c r="I411" s="1">
        <f t="shared" si="34"/>
        <v>1</v>
      </c>
    </row>
    <row r="412" spans="1:9" x14ac:dyDescent="0.25">
      <c r="A412" s="26">
        <v>45702</v>
      </c>
      <c r="B412" s="27">
        <f t="shared" si="30"/>
        <v>2025</v>
      </c>
      <c r="C412" s="27">
        <f t="shared" si="31"/>
        <v>2</v>
      </c>
      <c r="D412" s="27">
        <f t="shared" si="32"/>
        <v>14</v>
      </c>
      <c r="E412" s="27">
        <f t="shared" si="33"/>
        <v>6</v>
      </c>
      <c r="F412" s="27">
        <f>VLOOKUP(E412,[2]t_calendarioPolitica!A:C,3,FALSE)</f>
        <v>1</v>
      </c>
      <c r="G412" s="1">
        <v>1</v>
      </c>
      <c r="H412" s="1">
        <v>1</v>
      </c>
      <c r="I412" s="1">
        <f t="shared" si="34"/>
        <v>1</v>
      </c>
    </row>
    <row r="413" spans="1:9" x14ac:dyDescent="0.25">
      <c r="A413" s="26">
        <v>45703</v>
      </c>
      <c r="B413" s="27">
        <f t="shared" si="30"/>
        <v>2025</v>
      </c>
      <c r="C413" s="27">
        <f t="shared" si="31"/>
        <v>2</v>
      </c>
      <c r="D413" s="27">
        <f t="shared" si="32"/>
        <v>15</v>
      </c>
      <c r="E413" s="27">
        <f t="shared" si="33"/>
        <v>7</v>
      </c>
      <c r="F413" s="27">
        <f>VLOOKUP(E413,[2]t_calendarioPolitica!A:C,3,FALSE)</f>
        <v>2</v>
      </c>
      <c r="G413" s="1">
        <v>1</v>
      </c>
      <c r="H413" s="1">
        <v>1</v>
      </c>
      <c r="I413" s="1">
        <f t="shared" si="34"/>
        <v>1</v>
      </c>
    </row>
    <row r="414" spans="1:9" x14ac:dyDescent="0.25">
      <c r="A414" s="26">
        <v>45704</v>
      </c>
      <c r="B414" s="27">
        <f t="shared" si="30"/>
        <v>2025</v>
      </c>
      <c r="C414" s="27">
        <f t="shared" si="31"/>
        <v>2</v>
      </c>
      <c r="D414" s="27">
        <f t="shared" si="32"/>
        <v>16</v>
      </c>
      <c r="E414" s="27">
        <f t="shared" si="33"/>
        <v>1</v>
      </c>
      <c r="F414" s="27">
        <f>VLOOKUP(E414,[2]t_calendarioPolitica!A:C,3,FALSE)</f>
        <v>0</v>
      </c>
      <c r="G414" s="1">
        <v>1</v>
      </c>
      <c r="H414" s="1">
        <v>1</v>
      </c>
      <c r="I414" s="1">
        <f t="shared" si="34"/>
        <v>0</v>
      </c>
    </row>
    <row r="415" spans="1:9" x14ac:dyDescent="0.25">
      <c r="A415" s="26">
        <v>45705</v>
      </c>
      <c r="B415" s="27">
        <f t="shared" si="30"/>
        <v>2025</v>
      </c>
      <c r="C415" s="27">
        <f t="shared" si="31"/>
        <v>2</v>
      </c>
      <c r="D415" s="27">
        <f t="shared" si="32"/>
        <v>17</v>
      </c>
      <c r="E415" s="27">
        <f t="shared" si="33"/>
        <v>2</v>
      </c>
      <c r="F415" s="27">
        <f>VLOOKUP(E415,[2]t_calendarioPolitica!A:C,3,FALSE)</f>
        <v>1</v>
      </c>
      <c r="G415" s="1">
        <v>1</v>
      </c>
      <c r="H415" s="1">
        <v>1</v>
      </c>
      <c r="I415" s="1">
        <f t="shared" si="34"/>
        <v>1</v>
      </c>
    </row>
    <row r="416" spans="1:9" x14ac:dyDescent="0.25">
      <c r="A416" s="26">
        <v>45706</v>
      </c>
      <c r="B416" s="27">
        <f t="shared" si="30"/>
        <v>2025</v>
      </c>
      <c r="C416" s="27">
        <f t="shared" si="31"/>
        <v>2</v>
      </c>
      <c r="D416" s="27">
        <f t="shared" si="32"/>
        <v>18</v>
      </c>
      <c r="E416" s="27">
        <f t="shared" si="33"/>
        <v>3</v>
      </c>
      <c r="F416" s="27">
        <f>VLOOKUP(E416,[2]t_calendarioPolitica!A:C,3,FALSE)</f>
        <v>1</v>
      </c>
      <c r="G416" s="1">
        <v>1</v>
      </c>
      <c r="H416" s="1">
        <v>1</v>
      </c>
      <c r="I416" s="1">
        <f t="shared" si="34"/>
        <v>1</v>
      </c>
    </row>
    <row r="417" spans="1:9" x14ac:dyDescent="0.25">
      <c r="A417" s="26">
        <v>45707</v>
      </c>
      <c r="B417" s="27">
        <f t="shared" si="30"/>
        <v>2025</v>
      </c>
      <c r="C417" s="27">
        <f t="shared" si="31"/>
        <v>2</v>
      </c>
      <c r="D417" s="27">
        <f t="shared" si="32"/>
        <v>19</v>
      </c>
      <c r="E417" s="27">
        <f t="shared" si="33"/>
        <v>4</v>
      </c>
      <c r="F417" s="27">
        <f>VLOOKUP(E417,[2]t_calendarioPolitica!A:C,3,FALSE)</f>
        <v>1</v>
      </c>
      <c r="G417" s="1">
        <v>1</v>
      </c>
      <c r="H417" s="1">
        <v>1</v>
      </c>
      <c r="I417" s="1">
        <f t="shared" si="34"/>
        <v>1</v>
      </c>
    </row>
    <row r="418" spans="1:9" x14ac:dyDescent="0.25">
      <c r="A418" s="26">
        <v>45708</v>
      </c>
      <c r="B418" s="27">
        <f t="shared" si="30"/>
        <v>2025</v>
      </c>
      <c r="C418" s="27">
        <f t="shared" si="31"/>
        <v>2</v>
      </c>
      <c r="D418" s="27">
        <f t="shared" si="32"/>
        <v>20</v>
      </c>
      <c r="E418" s="27">
        <f t="shared" si="33"/>
        <v>5</v>
      </c>
      <c r="F418" s="27">
        <f>VLOOKUP(E418,[2]t_calendarioPolitica!A:C,3,FALSE)</f>
        <v>1</v>
      </c>
      <c r="G418" s="1">
        <v>1</v>
      </c>
      <c r="H418" s="1">
        <v>1</v>
      </c>
      <c r="I418" s="1">
        <f t="shared" si="34"/>
        <v>1</v>
      </c>
    </row>
    <row r="419" spans="1:9" x14ac:dyDescent="0.25">
      <c r="A419" s="26">
        <v>45709</v>
      </c>
      <c r="B419" s="27">
        <f t="shared" si="30"/>
        <v>2025</v>
      </c>
      <c r="C419" s="27">
        <f t="shared" si="31"/>
        <v>2</v>
      </c>
      <c r="D419" s="27">
        <f t="shared" si="32"/>
        <v>21</v>
      </c>
      <c r="E419" s="27">
        <f t="shared" si="33"/>
        <v>6</v>
      </c>
      <c r="F419" s="27">
        <f>VLOOKUP(E419,[2]t_calendarioPolitica!A:C,3,FALSE)</f>
        <v>1</v>
      </c>
      <c r="G419" s="1">
        <v>1</v>
      </c>
      <c r="H419" s="1">
        <v>1</v>
      </c>
      <c r="I419" s="1">
        <f t="shared" si="34"/>
        <v>1</v>
      </c>
    </row>
    <row r="420" spans="1:9" x14ac:dyDescent="0.25">
      <c r="A420" s="26">
        <v>45710</v>
      </c>
      <c r="B420" s="27">
        <f t="shared" si="30"/>
        <v>2025</v>
      </c>
      <c r="C420" s="27">
        <f t="shared" si="31"/>
        <v>2</v>
      </c>
      <c r="D420" s="27">
        <f t="shared" si="32"/>
        <v>22</v>
      </c>
      <c r="E420" s="27">
        <f t="shared" si="33"/>
        <v>7</v>
      </c>
      <c r="F420" s="27">
        <f>VLOOKUP(E420,[2]t_calendarioPolitica!A:C,3,FALSE)</f>
        <v>2</v>
      </c>
      <c r="G420" s="1">
        <v>1</v>
      </c>
      <c r="H420" s="1">
        <v>1</v>
      </c>
      <c r="I420" s="1">
        <f t="shared" si="34"/>
        <v>1</v>
      </c>
    </row>
    <row r="421" spans="1:9" x14ac:dyDescent="0.25">
      <c r="A421" s="26">
        <v>45711</v>
      </c>
      <c r="B421" s="27">
        <f t="shared" si="30"/>
        <v>2025</v>
      </c>
      <c r="C421" s="27">
        <f t="shared" si="31"/>
        <v>2</v>
      </c>
      <c r="D421" s="27">
        <f t="shared" si="32"/>
        <v>23</v>
      </c>
      <c r="E421" s="27">
        <f t="shared" si="33"/>
        <v>1</v>
      </c>
      <c r="F421" s="27">
        <f>VLOOKUP(E421,[2]t_calendarioPolitica!A:C,3,FALSE)</f>
        <v>0</v>
      </c>
      <c r="G421" s="1">
        <v>1</v>
      </c>
      <c r="H421" s="1">
        <v>1</v>
      </c>
      <c r="I421" s="1">
        <f t="shared" si="34"/>
        <v>0</v>
      </c>
    </row>
    <row r="422" spans="1:9" x14ac:dyDescent="0.25">
      <c r="A422" s="26">
        <v>45712</v>
      </c>
      <c r="B422" s="27">
        <f t="shared" si="30"/>
        <v>2025</v>
      </c>
      <c r="C422" s="27">
        <f t="shared" si="31"/>
        <v>2</v>
      </c>
      <c r="D422" s="27">
        <f t="shared" si="32"/>
        <v>24</v>
      </c>
      <c r="E422" s="27">
        <f t="shared" si="33"/>
        <v>2</v>
      </c>
      <c r="F422" s="27">
        <f>VLOOKUP(E422,[2]t_calendarioPolitica!A:C,3,FALSE)</f>
        <v>1</v>
      </c>
      <c r="G422" s="1">
        <v>1</v>
      </c>
      <c r="H422" s="1">
        <v>1</v>
      </c>
      <c r="I422" s="1">
        <f t="shared" si="34"/>
        <v>1</v>
      </c>
    </row>
    <row r="423" spans="1:9" x14ac:dyDescent="0.25">
      <c r="A423" s="26">
        <v>45713</v>
      </c>
      <c r="B423" s="27">
        <f t="shared" si="30"/>
        <v>2025</v>
      </c>
      <c r="C423" s="27">
        <f t="shared" si="31"/>
        <v>2</v>
      </c>
      <c r="D423" s="27">
        <f t="shared" si="32"/>
        <v>25</v>
      </c>
      <c r="E423" s="27">
        <f t="shared" si="33"/>
        <v>3</v>
      </c>
      <c r="F423" s="27">
        <f>VLOOKUP(E423,[2]t_calendarioPolitica!A:C,3,FALSE)</f>
        <v>1</v>
      </c>
      <c r="G423" s="1">
        <v>1</v>
      </c>
      <c r="H423" s="1">
        <v>1</v>
      </c>
      <c r="I423" s="1">
        <f t="shared" si="34"/>
        <v>1</v>
      </c>
    </row>
    <row r="424" spans="1:9" x14ac:dyDescent="0.25">
      <c r="A424" s="26">
        <v>45714</v>
      </c>
      <c r="B424" s="27">
        <f t="shared" si="30"/>
        <v>2025</v>
      </c>
      <c r="C424" s="27">
        <f t="shared" si="31"/>
        <v>2</v>
      </c>
      <c r="D424" s="27">
        <f t="shared" si="32"/>
        <v>26</v>
      </c>
      <c r="E424" s="27">
        <f t="shared" si="33"/>
        <v>4</v>
      </c>
      <c r="F424" s="27">
        <f>VLOOKUP(E424,[2]t_calendarioPolitica!A:C,3,FALSE)</f>
        <v>1</v>
      </c>
      <c r="G424" s="1">
        <v>1</v>
      </c>
      <c r="H424" s="1">
        <v>1</v>
      </c>
      <c r="I424" s="1">
        <f t="shared" si="34"/>
        <v>1</v>
      </c>
    </row>
    <row r="425" spans="1:9" x14ac:dyDescent="0.25">
      <c r="A425" s="26">
        <v>45715</v>
      </c>
      <c r="B425" s="27">
        <f t="shared" si="30"/>
        <v>2025</v>
      </c>
      <c r="C425" s="27">
        <f t="shared" si="31"/>
        <v>2</v>
      </c>
      <c r="D425" s="27">
        <f t="shared" si="32"/>
        <v>27</v>
      </c>
      <c r="E425" s="27">
        <f t="shared" si="33"/>
        <v>5</v>
      </c>
      <c r="F425" s="27">
        <f>VLOOKUP(E425,[2]t_calendarioPolitica!A:C,3,FALSE)</f>
        <v>1</v>
      </c>
      <c r="G425" s="1">
        <v>1</v>
      </c>
      <c r="H425" s="1">
        <v>1</v>
      </c>
      <c r="I425" s="1">
        <f t="shared" si="34"/>
        <v>1</v>
      </c>
    </row>
    <row r="426" spans="1:9" x14ac:dyDescent="0.25">
      <c r="A426" s="26">
        <v>45716</v>
      </c>
      <c r="B426" s="27">
        <f t="shared" si="30"/>
        <v>2025</v>
      </c>
      <c r="C426" s="27">
        <f t="shared" si="31"/>
        <v>2</v>
      </c>
      <c r="D426" s="27">
        <f t="shared" si="32"/>
        <v>28</v>
      </c>
      <c r="E426" s="27">
        <f t="shared" si="33"/>
        <v>6</v>
      </c>
      <c r="F426" s="27">
        <f>VLOOKUP(E426,[2]t_calendarioPolitica!A:C,3,FALSE)</f>
        <v>1</v>
      </c>
      <c r="G426" s="1">
        <v>1</v>
      </c>
      <c r="H426" s="1">
        <v>1</v>
      </c>
      <c r="I426" s="1">
        <f t="shared" si="34"/>
        <v>1</v>
      </c>
    </row>
    <row r="427" spans="1:9" x14ac:dyDescent="0.25">
      <c r="A427" s="26">
        <v>45717</v>
      </c>
      <c r="B427" s="27">
        <f t="shared" si="30"/>
        <v>2025</v>
      </c>
      <c r="C427" s="27">
        <f t="shared" si="31"/>
        <v>3</v>
      </c>
      <c r="D427" s="27">
        <f t="shared" si="32"/>
        <v>1</v>
      </c>
      <c r="E427" s="27">
        <f t="shared" si="33"/>
        <v>7</v>
      </c>
      <c r="F427" s="27">
        <f>VLOOKUP(E427,[2]t_calendarioPolitica!A:C,3,FALSE)</f>
        <v>2</v>
      </c>
      <c r="G427" s="1">
        <v>1</v>
      </c>
      <c r="H427" s="1">
        <v>1</v>
      </c>
      <c r="I427" s="1">
        <f t="shared" si="34"/>
        <v>1</v>
      </c>
    </row>
    <row r="428" spans="1:9" x14ac:dyDescent="0.25">
      <c r="A428" s="26">
        <v>45718</v>
      </c>
      <c r="B428" s="27">
        <f t="shared" si="30"/>
        <v>2025</v>
      </c>
      <c r="C428" s="27">
        <f t="shared" si="31"/>
        <v>3</v>
      </c>
      <c r="D428" s="27">
        <f t="shared" si="32"/>
        <v>2</v>
      </c>
      <c r="E428" s="27">
        <f t="shared" si="33"/>
        <v>1</v>
      </c>
      <c r="F428" s="27">
        <f>VLOOKUP(E428,[2]t_calendarioPolitica!A:C,3,FALSE)</f>
        <v>0</v>
      </c>
      <c r="G428" s="1">
        <v>1</v>
      </c>
      <c r="H428" s="1">
        <v>1</v>
      </c>
      <c r="I428" s="1">
        <f t="shared" si="34"/>
        <v>0</v>
      </c>
    </row>
    <row r="429" spans="1:9" x14ac:dyDescent="0.25">
      <c r="A429" s="26">
        <v>45719</v>
      </c>
      <c r="B429" s="27">
        <f t="shared" si="30"/>
        <v>2025</v>
      </c>
      <c r="C429" s="27">
        <f t="shared" si="31"/>
        <v>3</v>
      </c>
      <c r="D429" s="27">
        <f t="shared" si="32"/>
        <v>3</v>
      </c>
      <c r="E429" s="27">
        <f t="shared" si="33"/>
        <v>2</v>
      </c>
      <c r="F429" s="27">
        <f>VLOOKUP(E429,[2]t_calendarioPolitica!A:C,3,FALSE)</f>
        <v>1</v>
      </c>
      <c r="G429" s="1">
        <v>1</v>
      </c>
      <c r="H429" s="1">
        <v>1</v>
      </c>
      <c r="I429" s="1">
        <f t="shared" si="34"/>
        <v>1</v>
      </c>
    </row>
    <row r="430" spans="1:9" x14ac:dyDescent="0.25">
      <c r="A430" s="26">
        <v>45720</v>
      </c>
      <c r="B430" s="27">
        <f t="shared" si="30"/>
        <v>2025</v>
      </c>
      <c r="C430" s="27">
        <f t="shared" si="31"/>
        <v>3</v>
      </c>
      <c r="D430" s="27">
        <f t="shared" si="32"/>
        <v>4</v>
      </c>
      <c r="E430" s="27">
        <f t="shared" si="33"/>
        <v>3</v>
      </c>
      <c r="F430" s="27">
        <f>VLOOKUP(E430,[2]t_calendarioPolitica!A:C,3,FALSE)</f>
        <v>1</v>
      </c>
      <c r="G430" s="1">
        <v>1</v>
      </c>
      <c r="H430" s="1">
        <v>1</v>
      </c>
      <c r="I430" s="1">
        <f t="shared" si="34"/>
        <v>1</v>
      </c>
    </row>
    <row r="431" spans="1:9" x14ac:dyDescent="0.25">
      <c r="A431" s="26">
        <v>45721</v>
      </c>
      <c r="B431" s="27">
        <f t="shared" si="30"/>
        <v>2025</v>
      </c>
      <c r="C431" s="27">
        <f t="shared" si="31"/>
        <v>3</v>
      </c>
      <c r="D431" s="27">
        <f t="shared" si="32"/>
        <v>5</v>
      </c>
      <c r="E431" s="27">
        <f t="shared" si="33"/>
        <v>4</v>
      </c>
      <c r="F431" s="27">
        <f>VLOOKUP(E431,[2]t_calendarioPolitica!A:C,3,FALSE)</f>
        <v>1</v>
      </c>
      <c r="G431" s="1">
        <v>1</v>
      </c>
      <c r="H431" s="1">
        <v>1</v>
      </c>
      <c r="I431" s="1">
        <f t="shared" si="34"/>
        <v>1</v>
      </c>
    </row>
    <row r="432" spans="1:9" x14ac:dyDescent="0.25">
      <c r="A432" s="26">
        <v>45722</v>
      </c>
      <c r="B432" s="27">
        <f t="shared" si="30"/>
        <v>2025</v>
      </c>
      <c r="C432" s="27">
        <f t="shared" si="31"/>
        <v>3</v>
      </c>
      <c r="D432" s="27">
        <f t="shared" si="32"/>
        <v>6</v>
      </c>
      <c r="E432" s="27">
        <f t="shared" si="33"/>
        <v>5</v>
      </c>
      <c r="F432" s="27">
        <f>VLOOKUP(E432,[2]t_calendarioPolitica!A:C,3,FALSE)</f>
        <v>1</v>
      </c>
      <c r="G432" s="1">
        <v>1</v>
      </c>
      <c r="H432" s="1">
        <v>1</v>
      </c>
      <c r="I432" s="1">
        <f t="shared" si="34"/>
        <v>1</v>
      </c>
    </row>
    <row r="433" spans="1:9" x14ac:dyDescent="0.25">
      <c r="A433" s="26">
        <v>45723</v>
      </c>
      <c r="B433" s="27">
        <f t="shared" si="30"/>
        <v>2025</v>
      </c>
      <c r="C433" s="27">
        <f t="shared" si="31"/>
        <v>3</v>
      </c>
      <c r="D433" s="27">
        <f t="shared" si="32"/>
        <v>7</v>
      </c>
      <c r="E433" s="27">
        <f t="shared" si="33"/>
        <v>6</v>
      </c>
      <c r="F433" s="27">
        <f>VLOOKUP(E433,[2]t_calendarioPolitica!A:C,3,FALSE)</f>
        <v>1</v>
      </c>
      <c r="G433" s="1">
        <v>1</v>
      </c>
      <c r="H433" s="1">
        <v>1</v>
      </c>
      <c r="I433" s="1">
        <f t="shared" si="34"/>
        <v>1</v>
      </c>
    </row>
    <row r="434" spans="1:9" x14ac:dyDescent="0.25">
      <c r="A434" s="26">
        <v>45724</v>
      </c>
      <c r="B434" s="27">
        <f t="shared" si="30"/>
        <v>2025</v>
      </c>
      <c r="C434" s="27">
        <f t="shared" si="31"/>
        <v>3</v>
      </c>
      <c r="D434" s="27">
        <f t="shared" si="32"/>
        <v>8</v>
      </c>
      <c r="E434" s="27">
        <f t="shared" si="33"/>
        <v>7</v>
      </c>
      <c r="F434" s="27">
        <f>VLOOKUP(E434,[2]t_calendarioPolitica!A:C,3,FALSE)</f>
        <v>2</v>
      </c>
      <c r="G434" s="1">
        <v>1</v>
      </c>
      <c r="H434" s="1">
        <v>1</v>
      </c>
      <c r="I434" s="1">
        <f t="shared" si="34"/>
        <v>1</v>
      </c>
    </row>
    <row r="435" spans="1:9" x14ac:dyDescent="0.25">
      <c r="A435" s="26">
        <v>45725</v>
      </c>
      <c r="B435" s="27">
        <f t="shared" si="30"/>
        <v>2025</v>
      </c>
      <c r="C435" s="27">
        <f t="shared" si="31"/>
        <v>3</v>
      </c>
      <c r="D435" s="27">
        <f t="shared" si="32"/>
        <v>9</v>
      </c>
      <c r="E435" s="27">
        <f t="shared" si="33"/>
        <v>1</v>
      </c>
      <c r="F435" s="27">
        <f>VLOOKUP(E435,[2]t_calendarioPolitica!A:C,3,FALSE)</f>
        <v>0</v>
      </c>
      <c r="G435" s="1">
        <v>1</v>
      </c>
      <c r="H435" s="1">
        <v>1</v>
      </c>
      <c r="I435" s="1">
        <f t="shared" si="34"/>
        <v>0</v>
      </c>
    </row>
    <row r="436" spans="1:9" x14ac:dyDescent="0.25">
      <c r="A436" s="26">
        <v>45726</v>
      </c>
      <c r="B436" s="27">
        <f t="shared" si="30"/>
        <v>2025</v>
      </c>
      <c r="C436" s="27">
        <f t="shared" si="31"/>
        <v>3</v>
      </c>
      <c r="D436" s="27">
        <f t="shared" si="32"/>
        <v>10</v>
      </c>
      <c r="E436" s="27">
        <f t="shared" si="33"/>
        <v>2</v>
      </c>
      <c r="F436" s="27">
        <f>VLOOKUP(E436,[2]t_calendarioPolitica!A:C,3,FALSE)</f>
        <v>1</v>
      </c>
      <c r="G436" s="1">
        <v>1</v>
      </c>
      <c r="H436" s="1">
        <v>1</v>
      </c>
      <c r="I436" s="1">
        <f t="shared" si="34"/>
        <v>1</v>
      </c>
    </row>
    <row r="437" spans="1:9" x14ac:dyDescent="0.25">
      <c r="A437" s="26">
        <v>45727</v>
      </c>
      <c r="B437" s="27">
        <f t="shared" si="30"/>
        <v>2025</v>
      </c>
      <c r="C437" s="27">
        <f t="shared" si="31"/>
        <v>3</v>
      </c>
      <c r="D437" s="27">
        <f t="shared" si="32"/>
        <v>11</v>
      </c>
      <c r="E437" s="27">
        <f t="shared" si="33"/>
        <v>3</v>
      </c>
      <c r="F437" s="27">
        <f>VLOOKUP(E437,[2]t_calendarioPolitica!A:C,3,FALSE)</f>
        <v>1</v>
      </c>
      <c r="G437" s="1">
        <v>1</v>
      </c>
      <c r="H437" s="1">
        <v>1</v>
      </c>
      <c r="I437" s="1">
        <f t="shared" si="34"/>
        <v>1</v>
      </c>
    </row>
    <row r="438" spans="1:9" x14ac:dyDescent="0.25">
      <c r="A438" s="26">
        <v>45728</v>
      </c>
      <c r="B438" s="27">
        <f t="shared" si="30"/>
        <v>2025</v>
      </c>
      <c r="C438" s="27">
        <f t="shared" si="31"/>
        <v>3</v>
      </c>
      <c r="D438" s="27">
        <f t="shared" si="32"/>
        <v>12</v>
      </c>
      <c r="E438" s="27">
        <f t="shared" si="33"/>
        <v>4</v>
      </c>
      <c r="F438" s="27">
        <f>VLOOKUP(E438,[2]t_calendarioPolitica!A:C,3,FALSE)</f>
        <v>1</v>
      </c>
      <c r="G438" s="1">
        <v>1</v>
      </c>
      <c r="H438" s="1">
        <v>1</v>
      </c>
      <c r="I438" s="1">
        <f t="shared" si="34"/>
        <v>1</v>
      </c>
    </row>
    <row r="439" spans="1:9" x14ac:dyDescent="0.25">
      <c r="A439" s="26">
        <v>45729</v>
      </c>
      <c r="B439" s="27">
        <f t="shared" si="30"/>
        <v>2025</v>
      </c>
      <c r="C439" s="27">
        <f t="shared" si="31"/>
        <v>3</v>
      </c>
      <c r="D439" s="27">
        <f t="shared" si="32"/>
        <v>13</v>
      </c>
      <c r="E439" s="27">
        <f t="shared" si="33"/>
        <v>5</v>
      </c>
      <c r="F439" s="27">
        <f>VLOOKUP(E439,[2]t_calendarioPolitica!A:C,3,FALSE)</f>
        <v>1</v>
      </c>
      <c r="G439" s="1">
        <v>1</v>
      </c>
      <c r="H439" s="1">
        <v>1</v>
      </c>
      <c r="I439" s="1">
        <f t="shared" si="34"/>
        <v>1</v>
      </c>
    </row>
    <row r="440" spans="1:9" x14ac:dyDescent="0.25">
      <c r="A440" s="26">
        <v>45730</v>
      </c>
      <c r="B440" s="27">
        <f t="shared" si="30"/>
        <v>2025</v>
      </c>
      <c r="C440" s="27">
        <f t="shared" si="31"/>
        <v>3</v>
      </c>
      <c r="D440" s="27">
        <f t="shared" si="32"/>
        <v>14</v>
      </c>
      <c r="E440" s="27">
        <f t="shared" si="33"/>
        <v>6</v>
      </c>
      <c r="F440" s="27">
        <f>VLOOKUP(E440,[2]t_calendarioPolitica!A:C,3,FALSE)</f>
        <v>1</v>
      </c>
      <c r="G440" s="1">
        <v>1</v>
      </c>
      <c r="H440" s="1">
        <v>1</v>
      </c>
      <c r="I440" s="1">
        <f t="shared" si="34"/>
        <v>1</v>
      </c>
    </row>
    <row r="441" spans="1:9" x14ac:dyDescent="0.25">
      <c r="A441" s="26">
        <v>45731</v>
      </c>
      <c r="B441" s="27">
        <f t="shared" si="30"/>
        <v>2025</v>
      </c>
      <c r="C441" s="27">
        <f t="shared" si="31"/>
        <v>3</v>
      </c>
      <c r="D441" s="27">
        <f t="shared" si="32"/>
        <v>15</v>
      </c>
      <c r="E441" s="27">
        <f t="shared" si="33"/>
        <v>7</v>
      </c>
      <c r="F441" s="27">
        <f>VLOOKUP(E441,[2]t_calendarioPolitica!A:C,3,FALSE)</f>
        <v>2</v>
      </c>
      <c r="G441" s="1">
        <v>1</v>
      </c>
      <c r="H441" s="1">
        <v>1</v>
      </c>
      <c r="I441" s="1">
        <f t="shared" si="34"/>
        <v>1</v>
      </c>
    </row>
    <row r="442" spans="1:9" x14ac:dyDescent="0.25">
      <c r="A442" s="26">
        <v>45732</v>
      </c>
      <c r="B442" s="27">
        <f t="shared" si="30"/>
        <v>2025</v>
      </c>
      <c r="C442" s="27">
        <f t="shared" si="31"/>
        <v>3</v>
      </c>
      <c r="D442" s="27">
        <f t="shared" si="32"/>
        <v>16</v>
      </c>
      <c r="E442" s="27">
        <f t="shared" si="33"/>
        <v>1</v>
      </c>
      <c r="F442" s="27">
        <f>VLOOKUP(E442,[2]t_calendarioPolitica!A:C,3,FALSE)</f>
        <v>0</v>
      </c>
      <c r="G442" s="1">
        <v>1</v>
      </c>
      <c r="H442" s="1">
        <v>1</v>
      </c>
      <c r="I442" s="1">
        <f t="shared" si="34"/>
        <v>0</v>
      </c>
    </row>
    <row r="443" spans="1:9" x14ac:dyDescent="0.25">
      <c r="A443" s="26">
        <v>45733</v>
      </c>
      <c r="B443" s="27">
        <f t="shared" si="30"/>
        <v>2025</v>
      </c>
      <c r="C443" s="27">
        <f t="shared" si="31"/>
        <v>3</v>
      </c>
      <c r="D443" s="27">
        <f t="shared" si="32"/>
        <v>17</v>
      </c>
      <c r="E443" s="27">
        <f t="shared" si="33"/>
        <v>2</v>
      </c>
      <c r="F443" s="27">
        <f>VLOOKUP(E443,[2]t_calendarioPolitica!A:C,3,FALSE)</f>
        <v>1</v>
      </c>
      <c r="G443" s="1">
        <v>1</v>
      </c>
      <c r="H443" s="1">
        <v>1</v>
      </c>
      <c r="I443" s="1">
        <f t="shared" si="34"/>
        <v>1</v>
      </c>
    </row>
    <row r="444" spans="1:9" x14ac:dyDescent="0.25">
      <c r="A444" s="26">
        <v>45734</v>
      </c>
      <c r="B444" s="27">
        <f t="shared" si="30"/>
        <v>2025</v>
      </c>
      <c r="C444" s="27">
        <f t="shared" si="31"/>
        <v>3</v>
      </c>
      <c r="D444" s="27">
        <f t="shared" si="32"/>
        <v>18</v>
      </c>
      <c r="E444" s="27">
        <f t="shared" si="33"/>
        <v>3</v>
      </c>
      <c r="F444" s="27">
        <f>VLOOKUP(E444,[2]t_calendarioPolitica!A:C,3,FALSE)</f>
        <v>1</v>
      </c>
      <c r="G444" s="1">
        <v>1</v>
      </c>
      <c r="H444" s="1">
        <v>1</v>
      </c>
      <c r="I444" s="1">
        <f t="shared" si="34"/>
        <v>1</v>
      </c>
    </row>
    <row r="445" spans="1:9" x14ac:dyDescent="0.25">
      <c r="A445" s="26">
        <v>45735</v>
      </c>
      <c r="B445" s="27">
        <f t="shared" si="30"/>
        <v>2025</v>
      </c>
      <c r="C445" s="27">
        <f t="shared" si="31"/>
        <v>3</v>
      </c>
      <c r="D445" s="27">
        <f t="shared" si="32"/>
        <v>19</v>
      </c>
      <c r="E445" s="27">
        <f t="shared" si="33"/>
        <v>4</v>
      </c>
      <c r="F445" s="27">
        <f>VLOOKUP(E445,[2]t_calendarioPolitica!A:C,3,FALSE)</f>
        <v>1</v>
      </c>
      <c r="G445" s="1">
        <v>1</v>
      </c>
      <c r="H445" s="1">
        <v>1</v>
      </c>
      <c r="I445" s="1">
        <f t="shared" si="34"/>
        <v>1</v>
      </c>
    </row>
    <row r="446" spans="1:9" x14ac:dyDescent="0.25">
      <c r="A446" s="26">
        <v>45736</v>
      </c>
      <c r="B446" s="27">
        <f t="shared" si="30"/>
        <v>2025</v>
      </c>
      <c r="C446" s="27">
        <f t="shared" si="31"/>
        <v>3</v>
      </c>
      <c r="D446" s="27">
        <f t="shared" si="32"/>
        <v>20</v>
      </c>
      <c r="E446" s="27">
        <f t="shared" si="33"/>
        <v>5</v>
      </c>
      <c r="F446" s="27">
        <f>VLOOKUP(E446,[2]t_calendarioPolitica!A:C,3,FALSE)</f>
        <v>1</v>
      </c>
      <c r="G446" s="1">
        <v>1</v>
      </c>
      <c r="H446" s="1">
        <v>1</v>
      </c>
      <c r="I446" s="1">
        <f t="shared" si="34"/>
        <v>1</v>
      </c>
    </row>
    <row r="447" spans="1:9" x14ac:dyDescent="0.25">
      <c r="A447" s="26">
        <v>45737</v>
      </c>
      <c r="B447" s="27">
        <f t="shared" si="30"/>
        <v>2025</v>
      </c>
      <c r="C447" s="27">
        <f t="shared" si="31"/>
        <v>3</v>
      </c>
      <c r="D447" s="27">
        <f t="shared" si="32"/>
        <v>21</v>
      </c>
      <c r="E447" s="27">
        <f t="shared" si="33"/>
        <v>6</v>
      </c>
      <c r="F447" s="27">
        <f>VLOOKUP(E447,[2]t_calendarioPolitica!A:C,3,FALSE)</f>
        <v>1</v>
      </c>
      <c r="G447" s="1">
        <v>1</v>
      </c>
      <c r="H447" s="1">
        <v>1</v>
      </c>
      <c r="I447" s="1">
        <f t="shared" si="34"/>
        <v>1</v>
      </c>
    </row>
    <row r="448" spans="1:9" x14ac:dyDescent="0.25">
      <c r="A448" s="26">
        <v>45738</v>
      </c>
      <c r="B448" s="27">
        <f t="shared" si="30"/>
        <v>2025</v>
      </c>
      <c r="C448" s="27">
        <f t="shared" si="31"/>
        <v>3</v>
      </c>
      <c r="D448" s="27">
        <f t="shared" si="32"/>
        <v>22</v>
      </c>
      <c r="E448" s="27">
        <f t="shared" si="33"/>
        <v>7</v>
      </c>
      <c r="F448" s="27">
        <f>VLOOKUP(E448,[2]t_calendarioPolitica!A:C,3,FALSE)</f>
        <v>2</v>
      </c>
      <c r="G448" s="1">
        <v>1</v>
      </c>
      <c r="H448" s="1">
        <v>1</v>
      </c>
      <c r="I448" s="1">
        <f t="shared" si="34"/>
        <v>1</v>
      </c>
    </row>
    <row r="449" spans="1:9" x14ac:dyDescent="0.25">
      <c r="A449" s="26">
        <v>45739</v>
      </c>
      <c r="B449" s="27">
        <f t="shared" si="30"/>
        <v>2025</v>
      </c>
      <c r="C449" s="27">
        <f t="shared" si="31"/>
        <v>3</v>
      </c>
      <c r="D449" s="27">
        <f t="shared" si="32"/>
        <v>23</v>
      </c>
      <c r="E449" s="27">
        <f t="shared" si="33"/>
        <v>1</v>
      </c>
      <c r="F449" s="27">
        <f>VLOOKUP(E449,[2]t_calendarioPolitica!A:C,3,FALSE)</f>
        <v>0</v>
      </c>
      <c r="G449" s="1">
        <v>1</v>
      </c>
      <c r="H449" s="1">
        <v>1</v>
      </c>
      <c r="I449" s="1">
        <f t="shared" si="34"/>
        <v>0</v>
      </c>
    </row>
    <row r="450" spans="1:9" x14ac:dyDescent="0.25">
      <c r="A450" s="26">
        <v>45740</v>
      </c>
      <c r="B450" s="27">
        <f t="shared" si="30"/>
        <v>2025</v>
      </c>
      <c r="C450" s="27">
        <f t="shared" si="31"/>
        <v>3</v>
      </c>
      <c r="D450" s="27">
        <f t="shared" si="32"/>
        <v>24</v>
      </c>
      <c r="E450" s="27">
        <f t="shared" si="33"/>
        <v>2</v>
      </c>
      <c r="F450" s="27">
        <f>VLOOKUP(E450,[2]t_calendarioPolitica!A:C,3,FALSE)</f>
        <v>1</v>
      </c>
      <c r="G450" s="1">
        <v>1</v>
      </c>
      <c r="H450" s="1">
        <v>1</v>
      </c>
      <c r="I450" s="1">
        <f t="shared" si="34"/>
        <v>1</v>
      </c>
    </row>
    <row r="451" spans="1:9" x14ac:dyDescent="0.25">
      <c r="A451" s="26">
        <v>45741</v>
      </c>
      <c r="B451" s="27">
        <f t="shared" ref="B451:B514" si="35">YEAR(A451)</f>
        <v>2025</v>
      </c>
      <c r="C451" s="27">
        <f t="shared" ref="C451:C514" si="36">MONTH(A451)</f>
        <v>3</v>
      </c>
      <c r="D451" s="27">
        <f t="shared" ref="D451:D514" si="37">DAY(A451)</f>
        <v>25</v>
      </c>
      <c r="E451" s="27">
        <f t="shared" ref="E451:E514" si="38">WEEKDAY(A451)</f>
        <v>3</v>
      </c>
      <c r="F451" s="27">
        <f>VLOOKUP(E451,[2]t_calendarioPolitica!A:C,3,FALSE)</f>
        <v>1</v>
      </c>
      <c r="G451" s="1">
        <v>1</v>
      </c>
      <c r="H451" s="1">
        <v>1</v>
      </c>
      <c r="I451" s="1">
        <f t="shared" ref="I451:I514" si="39">IF(AND(F451&lt;&gt;0, H451&lt;&gt;0,G451&lt;&gt;0), 1, 0)</f>
        <v>1</v>
      </c>
    </row>
    <row r="452" spans="1:9" x14ac:dyDescent="0.25">
      <c r="A452" s="26">
        <v>45742</v>
      </c>
      <c r="B452" s="27">
        <f t="shared" si="35"/>
        <v>2025</v>
      </c>
      <c r="C452" s="27">
        <f t="shared" si="36"/>
        <v>3</v>
      </c>
      <c r="D452" s="27">
        <f t="shared" si="37"/>
        <v>26</v>
      </c>
      <c r="E452" s="27">
        <f t="shared" si="38"/>
        <v>4</v>
      </c>
      <c r="F452" s="27">
        <f>VLOOKUP(E452,[2]t_calendarioPolitica!A:C,3,FALSE)</f>
        <v>1</v>
      </c>
      <c r="G452" s="1">
        <v>1</v>
      </c>
      <c r="H452" s="1">
        <v>1</v>
      </c>
      <c r="I452" s="1">
        <f t="shared" si="39"/>
        <v>1</v>
      </c>
    </row>
    <row r="453" spans="1:9" x14ac:dyDescent="0.25">
      <c r="A453" s="26">
        <v>45743</v>
      </c>
      <c r="B453" s="27">
        <f t="shared" si="35"/>
        <v>2025</v>
      </c>
      <c r="C453" s="27">
        <f t="shared" si="36"/>
        <v>3</v>
      </c>
      <c r="D453" s="27">
        <f t="shared" si="37"/>
        <v>27</v>
      </c>
      <c r="E453" s="27">
        <f t="shared" si="38"/>
        <v>5</v>
      </c>
      <c r="F453" s="27">
        <f>VLOOKUP(E453,[2]t_calendarioPolitica!A:C,3,FALSE)</f>
        <v>1</v>
      </c>
      <c r="G453" s="1">
        <v>1</v>
      </c>
      <c r="H453" s="1">
        <v>1</v>
      </c>
      <c r="I453" s="1">
        <f t="shared" si="39"/>
        <v>1</v>
      </c>
    </row>
    <row r="454" spans="1:9" x14ac:dyDescent="0.25">
      <c r="A454" s="26">
        <v>45744</v>
      </c>
      <c r="B454" s="27">
        <f t="shared" si="35"/>
        <v>2025</v>
      </c>
      <c r="C454" s="27">
        <f t="shared" si="36"/>
        <v>3</v>
      </c>
      <c r="D454" s="27">
        <f t="shared" si="37"/>
        <v>28</v>
      </c>
      <c r="E454" s="27">
        <f t="shared" si="38"/>
        <v>6</v>
      </c>
      <c r="F454" s="27">
        <f>VLOOKUP(E454,[2]t_calendarioPolitica!A:C,3,FALSE)</f>
        <v>1</v>
      </c>
      <c r="G454" s="1">
        <v>1</v>
      </c>
      <c r="H454" s="1">
        <v>1</v>
      </c>
      <c r="I454" s="1">
        <f t="shared" si="39"/>
        <v>1</v>
      </c>
    </row>
    <row r="455" spans="1:9" x14ac:dyDescent="0.25">
      <c r="A455" s="26">
        <v>45745</v>
      </c>
      <c r="B455" s="27">
        <f t="shared" si="35"/>
        <v>2025</v>
      </c>
      <c r="C455" s="27">
        <f t="shared" si="36"/>
        <v>3</v>
      </c>
      <c r="D455" s="27">
        <f t="shared" si="37"/>
        <v>29</v>
      </c>
      <c r="E455" s="27">
        <f t="shared" si="38"/>
        <v>7</v>
      </c>
      <c r="F455" s="27">
        <f>VLOOKUP(E455,[2]t_calendarioPolitica!A:C,3,FALSE)</f>
        <v>2</v>
      </c>
      <c r="G455" s="1">
        <v>1</v>
      </c>
      <c r="H455" s="1">
        <v>1</v>
      </c>
      <c r="I455" s="1">
        <f t="shared" si="39"/>
        <v>1</v>
      </c>
    </row>
    <row r="456" spans="1:9" x14ac:dyDescent="0.25">
      <c r="A456" s="26">
        <v>45746</v>
      </c>
      <c r="B456" s="27">
        <f t="shared" si="35"/>
        <v>2025</v>
      </c>
      <c r="C456" s="27">
        <f t="shared" si="36"/>
        <v>3</v>
      </c>
      <c r="D456" s="27">
        <f t="shared" si="37"/>
        <v>30</v>
      </c>
      <c r="E456" s="27">
        <f t="shared" si="38"/>
        <v>1</v>
      </c>
      <c r="F456" s="27">
        <f>VLOOKUP(E456,[2]t_calendarioPolitica!A:C,3,FALSE)</f>
        <v>0</v>
      </c>
      <c r="G456" s="1">
        <v>1</v>
      </c>
      <c r="H456" s="1">
        <v>1</v>
      </c>
      <c r="I456" s="1">
        <f t="shared" si="39"/>
        <v>0</v>
      </c>
    </row>
    <row r="457" spans="1:9" x14ac:dyDescent="0.25">
      <c r="A457" s="26">
        <v>45747</v>
      </c>
      <c r="B457" s="27">
        <f t="shared" si="35"/>
        <v>2025</v>
      </c>
      <c r="C457" s="27">
        <f t="shared" si="36"/>
        <v>3</v>
      </c>
      <c r="D457" s="27">
        <f t="shared" si="37"/>
        <v>31</v>
      </c>
      <c r="E457" s="27">
        <f t="shared" si="38"/>
        <v>2</v>
      </c>
      <c r="F457" s="27">
        <f>VLOOKUP(E457,[2]t_calendarioPolitica!A:C,3,FALSE)</f>
        <v>1</v>
      </c>
      <c r="G457" s="1">
        <v>1</v>
      </c>
      <c r="H457" s="1">
        <v>1</v>
      </c>
      <c r="I457" s="1">
        <f t="shared" si="39"/>
        <v>1</v>
      </c>
    </row>
    <row r="458" spans="1:9" x14ac:dyDescent="0.25">
      <c r="A458" s="26">
        <v>45748</v>
      </c>
      <c r="B458" s="27">
        <f t="shared" si="35"/>
        <v>2025</v>
      </c>
      <c r="C458" s="27">
        <f t="shared" si="36"/>
        <v>4</v>
      </c>
      <c r="D458" s="27">
        <f t="shared" si="37"/>
        <v>1</v>
      </c>
      <c r="E458" s="27">
        <f t="shared" si="38"/>
        <v>3</v>
      </c>
      <c r="F458" s="27">
        <f>VLOOKUP(E458,[2]t_calendarioPolitica!A:C,3,FALSE)</f>
        <v>1</v>
      </c>
      <c r="G458" s="1">
        <v>1</v>
      </c>
      <c r="H458" s="1">
        <v>1</v>
      </c>
      <c r="I458" s="1">
        <f t="shared" si="39"/>
        <v>1</v>
      </c>
    </row>
    <row r="459" spans="1:9" x14ac:dyDescent="0.25">
      <c r="A459" s="26">
        <v>45749</v>
      </c>
      <c r="B459" s="27">
        <f t="shared" si="35"/>
        <v>2025</v>
      </c>
      <c r="C459" s="27">
        <f t="shared" si="36"/>
        <v>4</v>
      </c>
      <c r="D459" s="27">
        <f t="shared" si="37"/>
        <v>2</v>
      </c>
      <c r="E459" s="27">
        <f t="shared" si="38"/>
        <v>4</v>
      </c>
      <c r="F459" s="27">
        <f>VLOOKUP(E459,[2]t_calendarioPolitica!A:C,3,FALSE)</f>
        <v>1</v>
      </c>
      <c r="G459" s="1">
        <v>1</v>
      </c>
      <c r="H459" s="1">
        <v>1</v>
      </c>
      <c r="I459" s="1">
        <f t="shared" si="39"/>
        <v>1</v>
      </c>
    </row>
    <row r="460" spans="1:9" x14ac:dyDescent="0.25">
      <c r="A460" s="26">
        <v>45750</v>
      </c>
      <c r="B460" s="27">
        <f t="shared" si="35"/>
        <v>2025</v>
      </c>
      <c r="C460" s="27">
        <f t="shared" si="36"/>
        <v>4</v>
      </c>
      <c r="D460" s="27">
        <f t="shared" si="37"/>
        <v>3</v>
      </c>
      <c r="E460" s="27">
        <f t="shared" si="38"/>
        <v>5</v>
      </c>
      <c r="F460" s="27">
        <f>VLOOKUP(E460,[2]t_calendarioPolitica!A:C,3,FALSE)</f>
        <v>1</v>
      </c>
      <c r="G460" s="1">
        <v>1</v>
      </c>
      <c r="H460" s="1">
        <v>1</v>
      </c>
      <c r="I460" s="1">
        <f t="shared" si="39"/>
        <v>1</v>
      </c>
    </row>
    <row r="461" spans="1:9" x14ac:dyDescent="0.25">
      <c r="A461" s="26">
        <v>45751</v>
      </c>
      <c r="B461" s="27">
        <f t="shared" si="35"/>
        <v>2025</v>
      </c>
      <c r="C461" s="27">
        <f t="shared" si="36"/>
        <v>4</v>
      </c>
      <c r="D461" s="27">
        <f t="shared" si="37"/>
        <v>4</v>
      </c>
      <c r="E461" s="27">
        <f t="shared" si="38"/>
        <v>6</v>
      </c>
      <c r="F461" s="27">
        <f>VLOOKUP(E461,[2]t_calendarioPolitica!A:C,3,FALSE)</f>
        <v>1</v>
      </c>
      <c r="G461" s="1">
        <v>1</v>
      </c>
      <c r="H461" s="1">
        <v>1</v>
      </c>
      <c r="I461" s="1">
        <f t="shared" si="39"/>
        <v>1</v>
      </c>
    </row>
    <row r="462" spans="1:9" x14ac:dyDescent="0.25">
      <c r="A462" s="26">
        <v>45752</v>
      </c>
      <c r="B462" s="27">
        <f t="shared" si="35"/>
        <v>2025</v>
      </c>
      <c r="C462" s="27">
        <f t="shared" si="36"/>
        <v>4</v>
      </c>
      <c r="D462" s="27">
        <f t="shared" si="37"/>
        <v>5</v>
      </c>
      <c r="E462" s="27">
        <f t="shared" si="38"/>
        <v>7</v>
      </c>
      <c r="F462" s="27">
        <f>VLOOKUP(E462,[2]t_calendarioPolitica!A:C,3,FALSE)</f>
        <v>2</v>
      </c>
      <c r="G462" s="1">
        <v>1</v>
      </c>
      <c r="H462" s="1">
        <v>1</v>
      </c>
      <c r="I462" s="1">
        <f t="shared" si="39"/>
        <v>1</v>
      </c>
    </row>
    <row r="463" spans="1:9" x14ac:dyDescent="0.25">
      <c r="A463" s="26">
        <v>45753</v>
      </c>
      <c r="B463" s="27">
        <f t="shared" si="35"/>
        <v>2025</v>
      </c>
      <c r="C463" s="27">
        <f t="shared" si="36"/>
        <v>4</v>
      </c>
      <c r="D463" s="27">
        <f t="shared" si="37"/>
        <v>6</v>
      </c>
      <c r="E463" s="27">
        <f t="shared" si="38"/>
        <v>1</v>
      </c>
      <c r="F463" s="27">
        <f>VLOOKUP(E463,[2]t_calendarioPolitica!A:C,3,FALSE)</f>
        <v>0</v>
      </c>
      <c r="G463" s="1">
        <v>1</v>
      </c>
      <c r="H463" s="1">
        <v>1</v>
      </c>
      <c r="I463" s="1">
        <f t="shared" si="39"/>
        <v>0</v>
      </c>
    </row>
    <row r="464" spans="1:9" x14ac:dyDescent="0.25">
      <c r="A464" s="26">
        <v>45754</v>
      </c>
      <c r="B464" s="27">
        <f t="shared" si="35"/>
        <v>2025</v>
      </c>
      <c r="C464" s="27">
        <f t="shared" si="36"/>
        <v>4</v>
      </c>
      <c r="D464" s="27">
        <f t="shared" si="37"/>
        <v>7</v>
      </c>
      <c r="E464" s="27">
        <f t="shared" si="38"/>
        <v>2</v>
      </c>
      <c r="F464" s="27">
        <f>VLOOKUP(E464,[2]t_calendarioPolitica!A:C,3,FALSE)</f>
        <v>1</v>
      </c>
      <c r="G464" s="1">
        <v>1</v>
      </c>
      <c r="H464" s="1">
        <v>1</v>
      </c>
      <c r="I464" s="1">
        <f t="shared" si="39"/>
        <v>1</v>
      </c>
    </row>
    <row r="465" spans="1:9" x14ac:dyDescent="0.25">
      <c r="A465" s="26">
        <v>45755</v>
      </c>
      <c r="B465" s="27">
        <f t="shared" si="35"/>
        <v>2025</v>
      </c>
      <c r="C465" s="27">
        <f t="shared" si="36"/>
        <v>4</v>
      </c>
      <c r="D465" s="27">
        <f t="shared" si="37"/>
        <v>8</v>
      </c>
      <c r="E465" s="27">
        <f t="shared" si="38"/>
        <v>3</v>
      </c>
      <c r="F465" s="27">
        <f>VLOOKUP(E465,[2]t_calendarioPolitica!A:C,3,FALSE)</f>
        <v>1</v>
      </c>
      <c r="G465" s="1">
        <v>1</v>
      </c>
      <c r="H465" s="1">
        <v>1</v>
      </c>
      <c r="I465" s="1">
        <f t="shared" si="39"/>
        <v>1</v>
      </c>
    </row>
    <row r="466" spans="1:9" x14ac:dyDescent="0.25">
      <c r="A466" s="26">
        <v>45756</v>
      </c>
      <c r="B466" s="27">
        <f t="shared" si="35"/>
        <v>2025</v>
      </c>
      <c r="C466" s="27">
        <f t="shared" si="36"/>
        <v>4</v>
      </c>
      <c r="D466" s="27">
        <f t="shared" si="37"/>
        <v>9</v>
      </c>
      <c r="E466" s="27">
        <f t="shared" si="38"/>
        <v>4</v>
      </c>
      <c r="F466" s="27">
        <f>VLOOKUP(E466,[2]t_calendarioPolitica!A:C,3,FALSE)</f>
        <v>1</v>
      </c>
      <c r="G466" s="1">
        <v>1</v>
      </c>
      <c r="H466" s="1">
        <v>1</v>
      </c>
      <c r="I466" s="1">
        <f t="shared" si="39"/>
        <v>1</v>
      </c>
    </row>
    <row r="467" spans="1:9" x14ac:dyDescent="0.25">
      <c r="A467" s="26">
        <v>45757</v>
      </c>
      <c r="B467" s="27">
        <f t="shared" si="35"/>
        <v>2025</v>
      </c>
      <c r="C467" s="27">
        <f t="shared" si="36"/>
        <v>4</v>
      </c>
      <c r="D467" s="27">
        <f t="shared" si="37"/>
        <v>10</v>
      </c>
      <c r="E467" s="27">
        <f t="shared" si="38"/>
        <v>5</v>
      </c>
      <c r="F467" s="27">
        <f>VLOOKUP(E467,[2]t_calendarioPolitica!A:C,3,FALSE)</f>
        <v>1</v>
      </c>
      <c r="G467" s="1">
        <v>1</v>
      </c>
      <c r="H467" s="1">
        <v>1</v>
      </c>
      <c r="I467" s="1">
        <f t="shared" si="39"/>
        <v>1</v>
      </c>
    </row>
    <row r="468" spans="1:9" x14ac:dyDescent="0.25">
      <c r="A468" s="26">
        <v>45758</v>
      </c>
      <c r="B468" s="27">
        <f t="shared" si="35"/>
        <v>2025</v>
      </c>
      <c r="C468" s="27">
        <f t="shared" si="36"/>
        <v>4</v>
      </c>
      <c r="D468" s="27">
        <f t="shared" si="37"/>
        <v>11</v>
      </c>
      <c r="E468" s="27">
        <f t="shared" si="38"/>
        <v>6</v>
      </c>
      <c r="F468" s="27">
        <f>VLOOKUP(E468,[2]t_calendarioPolitica!A:C,3,FALSE)</f>
        <v>1</v>
      </c>
      <c r="G468" s="1">
        <v>1</v>
      </c>
      <c r="H468" s="1">
        <v>1</v>
      </c>
      <c r="I468" s="1">
        <f t="shared" si="39"/>
        <v>1</v>
      </c>
    </row>
    <row r="469" spans="1:9" x14ac:dyDescent="0.25">
      <c r="A469" s="26">
        <v>45759</v>
      </c>
      <c r="B469" s="27">
        <f t="shared" si="35"/>
        <v>2025</v>
      </c>
      <c r="C469" s="27">
        <f t="shared" si="36"/>
        <v>4</v>
      </c>
      <c r="D469" s="27">
        <f t="shared" si="37"/>
        <v>12</v>
      </c>
      <c r="E469" s="27">
        <f t="shared" si="38"/>
        <v>7</v>
      </c>
      <c r="F469" s="27">
        <f>VLOOKUP(E469,[2]t_calendarioPolitica!A:C,3,FALSE)</f>
        <v>2</v>
      </c>
      <c r="G469" s="1">
        <v>1</v>
      </c>
      <c r="H469" s="1">
        <v>1</v>
      </c>
      <c r="I469" s="1">
        <f t="shared" si="39"/>
        <v>1</v>
      </c>
    </row>
    <row r="470" spans="1:9" x14ac:dyDescent="0.25">
      <c r="A470" s="26">
        <v>45760</v>
      </c>
      <c r="B470" s="27">
        <f t="shared" si="35"/>
        <v>2025</v>
      </c>
      <c r="C470" s="27">
        <f t="shared" si="36"/>
        <v>4</v>
      </c>
      <c r="D470" s="27">
        <f t="shared" si="37"/>
        <v>13</v>
      </c>
      <c r="E470" s="27">
        <f t="shared" si="38"/>
        <v>1</v>
      </c>
      <c r="F470" s="27">
        <f>VLOOKUP(E470,[2]t_calendarioPolitica!A:C,3,FALSE)</f>
        <v>0</v>
      </c>
      <c r="G470" s="1">
        <v>1</v>
      </c>
      <c r="H470" s="1">
        <v>1</v>
      </c>
      <c r="I470" s="1">
        <f t="shared" si="39"/>
        <v>0</v>
      </c>
    </row>
    <row r="471" spans="1:9" x14ac:dyDescent="0.25">
      <c r="A471" s="26">
        <v>45761</v>
      </c>
      <c r="B471" s="27">
        <f t="shared" si="35"/>
        <v>2025</v>
      </c>
      <c r="C471" s="27">
        <f t="shared" si="36"/>
        <v>4</v>
      </c>
      <c r="D471" s="27">
        <f t="shared" si="37"/>
        <v>14</v>
      </c>
      <c r="E471" s="27">
        <f t="shared" si="38"/>
        <v>2</v>
      </c>
      <c r="F471" s="27">
        <f>VLOOKUP(E471,[2]t_calendarioPolitica!A:C,3,FALSE)</f>
        <v>1</v>
      </c>
      <c r="G471" s="1">
        <v>1</v>
      </c>
      <c r="H471" s="1">
        <v>1</v>
      </c>
      <c r="I471" s="1">
        <f t="shared" si="39"/>
        <v>1</v>
      </c>
    </row>
    <row r="472" spans="1:9" x14ac:dyDescent="0.25">
      <c r="A472" s="26">
        <v>45762</v>
      </c>
      <c r="B472" s="27">
        <f t="shared" si="35"/>
        <v>2025</v>
      </c>
      <c r="C472" s="27">
        <f t="shared" si="36"/>
        <v>4</v>
      </c>
      <c r="D472" s="27">
        <f t="shared" si="37"/>
        <v>15</v>
      </c>
      <c r="E472" s="27">
        <f t="shared" si="38"/>
        <v>3</v>
      </c>
      <c r="F472" s="27">
        <f>VLOOKUP(E472,[2]t_calendarioPolitica!A:C,3,FALSE)</f>
        <v>1</v>
      </c>
      <c r="G472" s="1">
        <v>1</v>
      </c>
      <c r="H472" s="1">
        <v>1</v>
      </c>
      <c r="I472" s="1">
        <f t="shared" si="39"/>
        <v>1</v>
      </c>
    </row>
    <row r="473" spans="1:9" x14ac:dyDescent="0.25">
      <c r="A473" s="26">
        <v>45763</v>
      </c>
      <c r="B473" s="27">
        <f t="shared" si="35"/>
        <v>2025</v>
      </c>
      <c r="C473" s="27">
        <f t="shared" si="36"/>
        <v>4</v>
      </c>
      <c r="D473" s="27">
        <f t="shared" si="37"/>
        <v>16</v>
      </c>
      <c r="E473" s="27">
        <f t="shared" si="38"/>
        <v>4</v>
      </c>
      <c r="F473" s="27">
        <f>VLOOKUP(E473,[2]t_calendarioPolitica!A:C,3,FALSE)</f>
        <v>1</v>
      </c>
      <c r="G473" s="1">
        <v>1</v>
      </c>
      <c r="H473" s="1">
        <v>1</v>
      </c>
      <c r="I473" s="1">
        <f t="shared" si="39"/>
        <v>1</v>
      </c>
    </row>
    <row r="474" spans="1:9" x14ac:dyDescent="0.25">
      <c r="A474" s="26">
        <v>45764</v>
      </c>
      <c r="B474" s="27">
        <f t="shared" si="35"/>
        <v>2025</v>
      </c>
      <c r="C474" s="27">
        <f t="shared" si="36"/>
        <v>4</v>
      </c>
      <c r="D474" s="27">
        <f t="shared" si="37"/>
        <v>17</v>
      </c>
      <c r="E474" s="27">
        <f t="shared" si="38"/>
        <v>5</v>
      </c>
      <c r="F474" s="27">
        <f>VLOOKUP(E474,[2]t_calendarioPolitica!A:C,3,FALSE)</f>
        <v>1</v>
      </c>
      <c r="G474" s="1">
        <v>1</v>
      </c>
      <c r="H474" s="1">
        <v>0</v>
      </c>
      <c r="I474" s="1">
        <f t="shared" si="39"/>
        <v>0</v>
      </c>
    </row>
    <row r="475" spans="1:9" x14ac:dyDescent="0.25">
      <c r="A475" s="26">
        <v>45765</v>
      </c>
      <c r="B475" s="27">
        <f t="shared" si="35"/>
        <v>2025</v>
      </c>
      <c r="C475" s="27">
        <f t="shared" si="36"/>
        <v>4</v>
      </c>
      <c r="D475" s="27">
        <f t="shared" si="37"/>
        <v>18</v>
      </c>
      <c r="E475" s="27">
        <f t="shared" si="38"/>
        <v>6</v>
      </c>
      <c r="F475" s="27">
        <f>VLOOKUP(E475,[2]t_calendarioPolitica!A:C,3,FALSE)</f>
        <v>1</v>
      </c>
      <c r="G475" s="1">
        <v>1</v>
      </c>
      <c r="H475" s="1">
        <v>0</v>
      </c>
      <c r="I475" s="1">
        <f t="shared" si="39"/>
        <v>0</v>
      </c>
    </row>
    <row r="476" spans="1:9" x14ac:dyDescent="0.25">
      <c r="A476" s="26">
        <v>45766</v>
      </c>
      <c r="B476" s="27">
        <f t="shared" si="35"/>
        <v>2025</v>
      </c>
      <c r="C476" s="27">
        <f t="shared" si="36"/>
        <v>4</v>
      </c>
      <c r="D476" s="27">
        <f t="shared" si="37"/>
        <v>19</v>
      </c>
      <c r="E476" s="27">
        <f t="shared" si="38"/>
        <v>7</v>
      </c>
      <c r="F476" s="27">
        <f>VLOOKUP(E476,[2]t_calendarioPolitica!A:C,3,FALSE)</f>
        <v>2</v>
      </c>
      <c r="G476" s="1">
        <v>1</v>
      </c>
      <c r="H476" s="1">
        <v>0</v>
      </c>
      <c r="I476" s="1">
        <f t="shared" si="39"/>
        <v>0</v>
      </c>
    </row>
    <row r="477" spans="1:9" x14ac:dyDescent="0.25">
      <c r="A477" s="26">
        <v>45767</v>
      </c>
      <c r="B477" s="27">
        <f t="shared" si="35"/>
        <v>2025</v>
      </c>
      <c r="C477" s="27">
        <f t="shared" si="36"/>
        <v>4</v>
      </c>
      <c r="D477" s="27">
        <f t="shared" si="37"/>
        <v>20</v>
      </c>
      <c r="E477" s="27">
        <f t="shared" si="38"/>
        <v>1</v>
      </c>
      <c r="F477" s="27">
        <f>VLOOKUP(E477,[2]t_calendarioPolitica!A:C,3,FALSE)</f>
        <v>0</v>
      </c>
      <c r="G477" s="1">
        <v>1</v>
      </c>
      <c r="H477" s="1">
        <v>0</v>
      </c>
      <c r="I477" s="1">
        <f t="shared" si="39"/>
        <v>0</v>
      </c>
    </row>
    <row r="478" spans="1:9" x14ac:dyDescent="0.25">
      <c r="A478" s="26">
        <v>45768</v>
      </c>
      <c r="B478" s="27">
        <f t="shared" si="35"/>
        <v>2025</v>
      </c>
      <c r="C478" s="27">
        <f t="shared" si="36"/>
        <v>4</v>
      </c>
      <c r="D478" s="27">
        <f t="shared" si="37"/>
        <v>21</v>
      </c>
      <c r="E478" s="27">
        <f t="shared" si="38"/>
        <v>2</v>
      </c>
      <c r="F478" s="27">
        <f>VLOOKUP(E478,[2]t_calendarioPolitica!A:C,3,FALSE)</f>
        <v>1</v>
      </c>
      <c r="G478" s="1">
        <v>1</v>
      </c>
      <c r="H478" s="1">
        <v>1</v>
      </c>
      <c r="I478" s="1">
        <f t="shared" si="39"/>
        <v>1</v>
      </c>
    </row>
    <row r="479" spans="1:9" x14ac:dyDescent="0.25">
      <c r="A479" s="26">
        <v>45769</v>
      </c>
      <c r="B479" s="27">
        <f t="shared" si="35"/>
        <v>2025</v>
      </c>
      <c r="C479" s="27">
        <f t="shared" si="36"/>
        <v>4</v>
      </c>
      <c r="D479" s="27">
        <f t="shared" si="37"/>
        <v>22</v>
      </c>
      <c r="E479" s="27">
        <f t="shared" si="38"/>
        <v>3</v>
      </c>
      <c r="F479" s="27">
        <f>VLOOKUP(E479,[2]t_calendarioPolitica!A:C,3,FALSE)</f>
        <v>1</v>
      </c>
      <c r="G479" s="1">
        <v>1</v>
      </c>
      <c r="H479" s="1">
        <v>1</v>
      </c>
      <c r="I479" s="1">
        <f t="shared" si="39"/>
        <v>1</v>
      </c>
    </row>
    <row r="480" spans="1:9" x14ac:dyDescent="0.25">
      <c r="A480" s="26">
        <v>45770</v>
      </c>
      <c r="B480" s="27">
        <f t="shared" si="35"/>
        <v>2025</v>
      </c>
      <c r="C480" s="27">
        <f t="shared" si="36"/>
        <v>4</v>
      </c>
      <c r="D480" s="27">
        <f t="shared" si="37"/>
        <v>23</v>
      </c>
      <c r="E480" s="27">
        <f t="shared" si="38"/>
        <v>4</v>
      </c>
      <c r="F480" s="27">
        <f>VLOOKUP(E480,[2]t_calendarioPolitica!A:C,3,FALSE)</f>
        <v>1</v>
      </c>
      <c r="G480" s="1">
        <v>1</v>
      </c>
      <c r="H480" s="1">
        <v>1</v>
      </c>
      <c r="I480" s="1">
        <f t="shared" si="39"/>
        <v>1</v>
      </c>
    </row>
    <row r="481" spans="1:9" x14ac:dyDescent="0.25">
      <c r="A481" s="26">
        <v>45771</v>
      </c>
      <c r="B481" s="27">
        <f t="shared" si="35"/>
        <v>2025</v>
      </c>
      <c r="C481" s="27">
        <f t="shared" si="36"/>
        <v>4</v>
      </c>
      <c r="D481" s="27">
        <f t="shared" si="37"/>
        <v>24</v>
      </c>
      <c r="E481" s="27">
        <f t="shared" si="38"/>
        <v>5</v>
      </c>
      <c r="F481" s="27">
        <f>VLOOKUP(E481,[2]t_calendarioPolitica!A:C,3,FALSE)</f>
        <v>1</v>
      </c>
      <c r="G481" s="1">
        <v>1</v>
      </c>
      <c r="H481" s="1">
        <v>1</v>
      </c>
      <c r="I481" s="1">
        <f t="shared" si="39"/>
        <v>1</v>
      </c>
    </row>
    <row r="482" spans="1:9" x14ac:dyDescent="0.25">
      <c r="A482" s="26">
        <v>45772</v>
      </c>
      <c r="B482" s="27">
        <f t="shared" si="35"/>
        <v>2025</v>
      </c>
      <c r="C482" s="27">
        <f t="shared" si="36"/>
        <v>4</v>
      </c>
      <c r="D482" s="27">
        <f t="shared" si="37"/>
        <v>25</v>
      </c>
      <c r="E482" s="27">
        <f t="shared" si="38"/>
        <v>6</v>
      </c>
      <c r="F482" s="27">
        <f>VLOOKUP(E482,[2]t_calendarioPolitica!A:C,3,FALSE)</f>
        <v>1</v>
      </c>
      <c r="G482" s="1">
        <v>1</v>
      </c>
      <c r="H482" s="1">
        <v>1</v>
      </c>
      <c r="I482" s="1">
        <f t="shared" si="39"/>
        <v>1</v>
      </c>
    </row>
    <row r="483" spans="1:9" x14ac:dyDescent="0.25">
      <c r="A483" s="26">
        <v>45773</v>
      </c>
      <c r="B483" s="27">
        <f t="shared" si="35"/>
        <v>2025</v>
      </c>
      <c r="C483" s="27">
        <f t="shared" si="36"/>
        <v>4</v>
      </c>
      <c r="D483" s="27">
        <f t="shared" si="37"/>
        <v>26</v>
      </c>
      <c r="E483" s="27">
        <f t="shared" si="38"/>
        <v>7</v>
      </c>
      <c r="F483" s="27">
        <f>VLOOKUP(E483,[2]t_calendarioPolitica!A:C,3,FALSE)</f>
        <v>2</v>
      </c>
      <c r="G483" s="1">
        <v>1</v>
      </c>
      <c r="H483" s="1">
        <v>1</v>
      </c>
      <c r="I483" s="1">
        <f t="shared" si="39"/>
        <v>1</v>
      </c>
    </row>
    <row r="484" spans="1:9" x14ac:dyDescent="0.25">
      <c r="A484" s="26">
        <v>45774</v>
      </c>
      <c r="B484" s="27">
        <f t="shared" si="35"/>
        <v>2025</v>
      </c>
      <c r="C484" s="27">
        <f t="shared" si="36"/>
        <v>4</v>
      </c>
      <c r="D484" s="27">
        <f t="shared" si="37"/>
        <v>27</v>
      </c>
      <c r="E484" s="27">
        <f t="shared" si="38"/>
        <v>1</v>
      </c>
      <c r="F484" s="27">
        <f>VLOOKUP(E484,[2]t_calendarioPolitica!A:C,3,FALSE)</f>
        <v>0</v>
      </c>
      <c r="G484" s="1">
        <v>1</v>
      </c>
      <c r="H484" s="1">
        <v>1</v>
      </c>
      <c r="I484" s="1">
        <f t="shared" si="39"/>
        <v>0</v>
      </c>
    </row>
    <row r="485" spans="1:9" x14ac:dyDescent="0.25">
      <c r="A485" s="26">
        <v>45775</v>
      </c>
      <c r="B485" s="27">
        <f t="shared" si="35"/>
        <v>2025</v>
      </c>
      <c r="C485" s="27">
        <f t="shared" si="36"/>
        <v>4</v>
      </c>
      <c r="D485" s="27">
        <f t="shared" si="37"/>
        <v>28</v>
      </c>
      <c r="E485" s="27">
        <f t="shared" si="38"/>
        <v>2</v>
      </c>
      <c r="F485" s="27">
        <f>VLOOKUP(E485,[2]t_calendarioPolitica!A:C,3,FALSE)</f>
        <v>1</v>
      </c>
      <c r="G485" s="1">
        <v>1</v>
      </c>
      <c r="H485" s="1">
        <v>1</v>
      </c>
      <c r="I485" s="1">
        <f t="shared" si="39"/>
        <v>1</v>
      </c>
    </row>
    <row r="486" spans="1:9" x14ac:dyDescent="0.25">
      <c r="A486" s="26">
        <v>45776</v>
      </c>
      <c r="B486" s="27">
        <f t="shared" si="35"/>
        <v>2025</v>
      </c>
      <c r="C486" s="27">
        <f t="shared" si="36"/>
        <v>4</v>
      </c>
      <c r="D486" s="27">
        <f t="shared" si="37"/>
        <v>29</v>
      </c>
      <c r="E486" s="27">
        <f t="shared" si="38"/>
        <v>3</v>
      </c>
      <c r="F486" s="27">
        <f>VLOOKUP(E486,[2]t_calendarioPolitica!A:C,3,FALSE)</f>
        <v>1</v>
      </c>
      <c r="G486" s="1">
        <v>1</v>
      </c>
      <c r="H486" s="1">
        <v>1</v>
      </c>
      <c r="I486" s="1">
        <f t="shared" si="39"/>
        <v>1</v>
      </c>
    </row>
    <row r="487" spans="1:9" x14ac:dyDescent="0.25">
      <c r="A487" s="26">
        <v>45777</v>
      </c>
      <c r="B487" s="27">
        <f t="shared" si="35"/>
        <v>2025</v>
      </c>
      <c r="C487" s="27">
        <f t="shared" si="36"/>
        <v>4</v>
      </c>
      <c r="D487" s="27">
        <f t="shared" si="37"/>
        <v>30</v>
      </c>
      <c r="E487" s="27">
        <f t="shared" si="38"/>
        <v>4</v>
      </c>
      <c r="F487" s="27">
        <f>VLOOKUP(E487,[2]t_calendarioPolitica!A:C,3,FALSE)</f>
        <v>1</v>
      </c>
      <c r="G487" s="1">
        <v>1</v>
      </c>
      <c r="H487" s="1">
        <v>1</v>
      </c>
      <c r="I487" s="1">
        <f t="shared" si="39"/>
        <v>1</v>
      </c>
    </row>
    <row r="488" spans="1:9" x14ac:dyDescent="0.25">
      <c r="A488" s="26">
        <v>45778</v>
      </c>
      <c r="B488" s="27">
        <f t="shared" si="35"/>
        <v>2025</v>
      </c>
      <c r="C488" s="27">
        <f t="shared" si="36"/>
        <v>5</v>
      </c>
      <c r="D488" s="27">
        <f t="shared" si="37"/>
        <v>1</v>
      </c>
      <c r="E488" s="27">
        <f t="shared" si="38"/>
        <v>5</v>
      </c>
      <c r="F488" s="27">
        <f>VLOOKUP(E488,[2]t_calendarioPolitica!A:C,3,FALSE)</f>
        <v>1</v>
      </c>
      <c r="G488" s="1">
        <v>1</v>
      </c>
      <c r="H488" s="1">
        <v>1</v>
      </c>
      <c r="I488" s="1">
        <f t="shared" si="39"/>
        <v>1</v>
      </c>
    </row>
    <row r="489" spans="1:9" x14ac:dyDescent="0.25">
      <c r="A489" s="26">
        <v>45779</v>
      </c>
      <c r="B489" s="27">
        <f t="shared" si="35"/>
        <v>2025</v>
      </c>
      <c r="C489" s="27">
        <f t="shared" si="36"/>
        <v>5</v>
      </c>
      <c r="D489" s="27">
        <f t="shared" si="37"/>
        <v>2</v>
      </c>
      <c r="E489" s="27">
        <f t="shared" si="38"/>
        <v>6</v>
      </c>
      <c r="F489" s="27">
        <f>VLOOKUP(E489,[2]t_calendarioPolitica!A:C,3,FALSE)</f>
        <v>1</v>
      </c>
      <c r="G489" s="1">
        <v>1</v>
      </c>
      <c r="H489" s="1">
        <v>1</v>
      </c>
      <c r="I489" s="1">
        <f t="shared" si="39"/>
        <v>1</v>
      </c>
    </row>
    <row r="490" spans="1:9" x14ac:dyDescent="0.25">
      <c r="A490" s="26">
        <v>45780</v>
      </c>
      <c r="B490" s="27">
        <f t="shared" si="35"/>
        <v>2025</v>
      </c>
      <c r="C490" s="27">
        <f t="shared" si="36"/>
        <v>5</v>
      </c>
      <c r="D490" s="27">
        <f t="shared" si="37"/>
        <v>3</v>
      </c>
      <c r="E490" s="27">
        <f t="shared" si="38"/>
        <v>7</v>
      </c>
      <c r="F490" s="27">
        <f>VLOOKUP(E490,[2]t_calendarioPolitica!A:C,3,FALSE)</f>
        <v>2</v>
      </c>
      <c r="G490" s="1">
        <v>1</v>
      </c>
      <c r="H490" s="1">
        <v>1</v>
      </c>
      <c r="I490" s="1">
        <f t="shared" si="39"/>
        <v>1</v>
      </c>
    </row>
    <row r="491" spans="1:9" x14ac:dyDescent="0.25">
      <c r="A491" s="26">
        <v>45781</v>
      </c>
      <c r="B491" s="27">
        <f t="shared" si="35"/>
        <v>2025</v>
      </c>
      <c r="C491" s="27">
        <f t="shared" si="36"/>
        <v>5</v>
      </c>
      <c r="D491" s="27">
        <f t="shared" si="37"/>
        <v>4</v>
      </c>
      <c r="E491" s="27">
        <f t="shared" si="38"/>
        <v>1</v>
      </c>
      <c r="F491" s="27">
        <f>VLOOKUP(E491,[2]t_calendarioPolitica!A:C,3,FALSE)</f>
        <v>0</v>
      </c>
      <c r="G491" s="1">
        <v>1</v>
      </c>
      <c r="H491" s="1">
        <v>1</v>
      </c>
      <c r="I491" s="1">
        <f t="shared" si="39"/>
        <v>0</v>
      </c>
    </row>
    <row r="492" spans="1:9" x14ac:dyDescent="0.25">
      <c r="A492" s="26">
        <v>45782</v>
      </c>
      <c r="B492" s="27">
        <f t="shared" si="35"/>
        <v>2025</v>
      </c>
      <c r="C492" s="27">
        <f t="shared" si="36"/>
        <v>5</v>
      </c>
      <c r="D492" s="27">
        <f t="shared" si="37"/>
        <v>5</v>
      </c>
      <c r="E492" s="27">
        <f t="shared" si="38"/>
        <v>2</v>
      </c>
      <c r="F492" s="27">
        <f>VLOOKUP(E492,[2]t_calendarioPolitica!A:C,3,FALSE)</f>
        <v>1</v>
      </c>
      <c r="G492" s="1">
        <v>1</v>
      </c>
      <c r="H492" s="1">
        <v>1</v>
      </c>
      <c r="I492" s="1">
        <f t="shared" si="39"/>
        <v>1</v>
      </c>
    </row>
    <row r="493" spans="1:9" x14ac:dyDescent="0.25">
      <c r="A493" s="26">
        <v>45783</v>
      </c>
      <c r="B493" s="27">
        <f t="shared" si="35"/>
        <v>2025</v>
      </c>
      <c r="C493" s="27">
        <f t="shared" si="36"/>
        <v>5</v>
      </c>
      <c r="D493" s="27">
        <f t="shared" si="37"/>
        <v>6</v>
      </c>
      <c r="E493" s="27">
        <f t="shared" si="38"/>
        <v>3</v>
      </c>
      <c r="F493" s="27">
        <f>VLOOKUP(E493,[2]t_calendarioPolitica!A:C,3,FALSE)</f>
        <v>1</v>
      </c>
      <c r="G493" s="1">
        <v>1</v>
      </c>
      <c r="H493" s="1">
        <v>1</v>
      </c>
      <c r="I493" s="1">
        <f t="shared" si="39"/>
        <v>1</v>
      </c>
    </row>
    <row r="494" spans="1:9" x14ac:dyDescent="0.25">
      <c r="A494" s="26">
        <v>45784</v>
      </c>
      <c r="B494" s="27">
        <f t="shared" si="35"/>
        <v>2025</v>
      </c>
      <c r="C494" s="27">
        <f t="shared" si="36"/>
        <v>5</v>
      </c>
      <c r="D494" s="27">
        <f t="shared" si="37"/>
        <v>7</v>
      </c>
      <c r="E494" s="27">
        <f t="shared" si="38"/>
        <v>4</v>
      </c>
      <c r="F494" s="27">
        <f>VLOOKUP(E494,[2]t_calendarioPolitica!A:C,3,FALSE)</f>
        <v>1</v>
      </c>
      <c r="G494" s="1">
        <v>1</v>
      </c>
      <c r="H494" s="1">
        <v>1</v>
      </c>
      <c r="I494" s="1">
        <f t="shared" si="39"/>
        <v>1</v>
      </c>
    </row>
    <row r="495" spans="1:9" x14ac:dyDescent="0.25">
      <c r="A495" s="26">
        <v>45785</v>
      </c>
      <c r="B495" s="27">
        <f t="shared" si="35"/>
        <v>2025</v>
      </c>
      <c r="C495" s="27">
        <f t="shared" si="36"/>
        <v>5</v>
      </c>
      <c r="D495" s="27">
        <f t="shared" si="37"/>
        <v>8</v>
      </c>
      <c r="E495" s="27">
        <f t="shared" si="38"/>
        <v>5</v>
      </c>
      <c r="F495" s="27">
        <f>VLOOKUP(E495,[2]t_calendarioPolitica!A:C,3,FALSE)</f>
        <v>1</v>
      </c>
      <c r="G495" s="1">
        <v>1</v>
      </c>
      <c r="H495" s="1">
        <v>1</v>
      </c>
      <c r="I495" s="1">
        <f t="shared" si="39"/>
        <v>1</v>
      </c>
    </row>
    <row r="496" spans="1:9" x14ac:dyDescent="0.25">
      <c r="A496" s="26">
        <v>45786</v>
      </c>
      <c r="B496" s="27">
        <f t="shared" si="35"/>
        <v>2025</v>
      </c>
      <c r="C496" s="27">
        <f t="shared" si="36"/>
        <v>5</v>
      </c>
      <c r="D496" s="27">
        <f t="shared" si="37"/>
        <v>9</v>
      </c>
      <c r="E496" s="27">
        <f t="shared" si="38"/>
        <v>6</v>
      </c>
      <c r="F496" s="27">
        <f>VLOOKUP(E496,[2]t_calendarioPolitica!A:C,3,FALSE)</f>
        <v>1</v>
      </c>
      <c r="G496" s="1">
        <v>1</v>
      </c>
      <c r="H496" s="1">
        <v>1</v>
      </c>
      <c r="I496" s="1">
        <f t="shared" si="39"/>
        <v>1</v>
      </c>
    </row>
    <row r="497" spans="1:9" x14ac:dyDescent="0.25">
      <c r="A497" s="26">
        <v>45787</v>
      </c>
      <c r="B497" s="27">
        <f t="shared" si="35"/>
        <v>2025</v>
      </c>
      <c r="C497" s="27">
        <f t="shared" si="36"/>
        <v>5</v>
      </c>
      <c r="D497" s="27">
        <f t="shared" si="37"/>
        <v>10</v>
      </c>
      <c r="E497" s="27">
        <f t="shared" si="38"/>
        <v>7</v>
      </c>
      <c r="F497" s="27">
        <f>VLOOKUP(E497,[2]t_calendarioPolitica!A:C,3,FALSE)</f>
        <v>2</v>
      </c>
      <c r="G497" s="1">
        <v>1</v>
      </c>
      <c r="H497" s="1">
        <v>0</v>
      </c>
      <c r="I497" s="1">
        <f t="shared" si="39"/>
        <v>0</v>
      </c>
    </row>
    <row r="498" spans="1:9" x14ac:dyDescent="0.25">
      <c r="A498" s="26">
        <v>45788</v>
      </c>
      <c r="B498" s="27">
        <f t="shared" si="35"/>
        <v>2025</v>
      </c>
      <c r="C498" s="27">
        <f t="shared" si="36"/>
        <v>5</v>
      </c>
      <c r="D498" s="27">
        <f t="shared" si="37"/>
        <v>11</v>
      </c>
      <c r="E498" s="27">
        <f t="shared" si="38"/>
        <v>1</v>
      </c>
      <c r="F498" s="27">
        <f>VLOOKUP(E498,[2]t_calendarioPolitica!A:C,3,FALSE)</f>
        <v>0</v>
      </c>
      <c r="G498" s="1">
        <v>1</v>
      </c>
      <c r="H498" s="1">
        <v>1</v>
      </c>
      <c r="I498" s="1">
        <f t="shared" si="39"/>
        <v>0</v>
      </c>
    </row>
    <row r="499" spans="1:9" x14ac:dyDescent="0.25">
      <c r="A499" s="26">
        <v>45789</v>
      </c>
      <c r="B499" s="27">
        <f t="shared" si="35"/>
        <v>2025</v>
      </c>
      <c r="C499" s="27">
        <f t="shared" si="36"/>
        <v>5</v>
      </c>
      <c r="D499" s="27">
        <f t="shared" si="37"/>
        <v>12</v>
      </c>
      <c r="E499" s="27">
        <f t="shared" si="38"/>
        <v>2</v>
      </c>
      <c r="F499" s="27">
        <f>VLOOKUP(E499,[2]t_calendarioPolitica!A:C,3,FALSE)</f>
        <v>1</v>
      </c>
      <c r="G499" s="1">
        <v>1</v>
      </c>
      <c r="H499" s="1">
        <v>1</v>
      </c>
      <c r="I499" s="1">
        <f t="shared" si="39"/>
        <v>1</v>
      </c>
    </row>
    <row r="500" spans="1:9" x14ac:dyDescent="0.25">
      <c r="A500" s="26">
        <v>45790</v>
      </c>
      <c r="B500" s="27">
        <f t="shared" si="35"/>
        <v>2025</v>
      </c>
      <c r="C500" s="27">
        <f t="shared" si="36"/>
        <v>5</v>
      </c>
      <c r="D500" s="27">
        <f t="shared" si="37"/>
        <v>13</v>
      </c>
      <c r="E500" s="27">
        <f t="shared" si="38"/>
        <v>3</v>
      </c>
      <c r="F500" s="27">
        <f>VLOOKUP(E500,[2]t_calendarioPolitica!A:C,3,FALSE)</f>
        <v>1</v>
      </c>
      <c r="G500" s="1">
        <v>1</v>
      </c>
      <c r="H500" s="1">
        <v>1</v>
      </c>
      <c r="I500" s="1">
        <f t="shared" si="39"/>
        <v>1</v>
      </c>
    </row>
    <row r="501" spans="1:9" x14ac:dyDescent="0.25">
      <c r="A501" s="26">
        <v>45791</v>
      </c>
      <c r="B501" s="27">
        <f t="shared" si="35"/>
        <v>2025</v>
      </c>
      <c r="C501" s="27">
        <f t="shared" si="36"/>
        <v>5</v>
      </c>
      <c r="D501" s="27">
        <f t="shared" si="37"/>
        <v>14</v>
      </c>
      <c r="E501" s="27">
        <f t="shared" si="38"/>
        <v>4</v>
      </c>
      <c r="F501" s="27">
        <f>VLOOKUP(E501,[2]t_calendarioPolitica!A:C,3,FALSE)</f>
        <v>1</v>
      </c>
      <c r="G501" s="1">
        <v>1</v>
      </c>
      <c r="H501" s="1">
        <v>1</v>
      </c>
      <c r="I501" s="1">
        <f t="shared" si="39"/>
        <v>1</v>
      </c>
    </row>
    <row r="502" spans="1:9" x14ac:dyDescent="0.25">
      <c r="A502" s="26">
        <v>45792</v>
      </c>
      <c r="B502" s="27">
        <f t="shared" si="35"/>
        <v>2025</v>
      </c>
      <c r="C502" s="27">
        <f t="shared" si="36"/>
        <v>5</v>
      </c>
      <c r="D502" s="27">
        <f t="shared" si="37"/>
        <v>15</v>
      </c>
      <c r="E502" s="27">
        <f t="shared" si="38"/>
        <v>5</v>
      </c>
      <c r="F502" s="27">
        <f>VLOOKUP(E502,[2]t_calendarioPolitica!A:C,3,FALSE)</f>
        <v>1</v>
      </c>
      <c r="G502" s="1">
        <v>1</v>
      </c>
      <c r="H502" s="1">
        <v>1</v>
      </c>
      <c r="I502" s="1">
        <f t="shared" si="39"/>
        <v>1</v>
      </c>
    </row>
    <row r="503" spans="1:9" x14ac:dyDescent="0.25">
      <c r="A503" s="26">
        <v>45793</v>
      </c>
      <c r="B503" s="27">
        <f t="shared" si="35"/>
        <v>2025</v>
      </c>
      <c r="C503" s="27">
        <f t="shared" si="36"/>
        <v>5</v>
      </c>
      <c r="D503" s="27">
        <f t="shared" si="37"/>
        <v>16</v>
      </c>
      <c r="E503" s="27">
        <f t="shared" si="38"/>
        <v>6</v>
      </c>
      <c r="F503" s="27">
        <f>VLOOKUP(E503,[2]t_calendarioPolitica!A:C,3,FALSE)</f>
        <v>1</v>
      </c>
      <c r="G503" s="1">
        <v>1</v>
      </c>
      <c r="H503" s="1">
        <v>1</v>
      </c>
      <c r="I503" s="1">
        <f t="shared" si="39"/>
        <v>1</v>
      </c>
    </row>
    <row r="504" spans="1:9" x14ac:dyDescent="0.25">
      <c r="A504" s="26">
        <v>45794</v>
      </c>
      <c r="B504" s="27">
        <f t="shared" si="35"/>
        <v>2025</v>
      </c>
      <c r="C504" s="27">
        <f t="shared" si="36"/>
        <v>5</v>
      </c>
      <c r="D504" s="27">
        <f t="shared" si="37"/>
        <v>17</v>
      </c>
      <c r="E504" s="27">
        <f t="shared" si="38"/>
        <v>7</v>
      </c>
      <c r="F504" s="27">
        <f>VLOOKUP(E504,[2]t_calendarioPolitica!A:C,3,FALSE)</f>
        <v>2</v>
      </c>
      <c r="G504" s="1">
        <v>1</v>
      </c>
      <c r="H504" s="1">
        <v>1</v>
      </c>
      <c r="I504" s="1">
        <f t="shared" si="39"/>
        <v>1</v>
      </c>
    </row>
    <row r="505" spans="1:9" x14ac:dyDescent="0.25">
      <c r="A505" s="26">
        <v>45795</v>
      </c>
      <c r="B505" s="27">
        <f t="shared" si="35"/>
        <v>2025</v>
      </c>
      <c r="C505" s="27">
        <f t="shared" si="36"/>
        <v>5</v>
      </c>
      <c r="D505" s="27">
        <f t="shared" si="37"/>
        <v>18</v>
      </c>
      <c r="E505" s="27">
        <f t="shared" si="38"/>
        <v>1</v>
      </c>
      <c r="F505" s="27">
        <f>VLOOKUP(E505,[2]t_calendarioPolitica!A:C,3,FALSE)</f>
        <v>0</v>
      </c>
      <c r="G505" s="1">
        <v>1</v>
      </c>
      <c r="H505" s="1">
        <v>1</v>
      </c>
      <c r="I505" s="1">
        <f t="shared" si="39"/>
        <v>0</v>
      </c>
    </row>
    <row r="506" spans="1:9" x14ac:dyDescent="0.25">
      <c r="A506" s="26">
        <v>45796</v>
      </c>
      <c r="B506" s="27">
        <f t="shared" si="35"/>
        <v>2025</v>
      </c>
      <c r="C506" s="27">
        <f t="shared" si="36"/>
        <v>5</v>
      </c>
      <c r="D506" s="27">
        <f t="shared" si="37"/>
        <v>19</v>
      </c>
      <c r="E506" s="27">
        <f t="shared" si="38"/>
        <v>2</v>
      </c>
      <c r="F506" s="27">
        <f>VLOOKUP(E506,[2]t_calendarioPolitica!A:C,3,FALSE)</f>
        <v>1</v>
      </c>
      <c r="G506" s="1">
        <v>1</v>
      </c>
      <c r="H506" s="1">
        <v>1</v>
      </c>
      <c r="I506" s="1">
        <f t="shared" si="39"/>
        <v>1</v>
      </c>
    </row>
    <row r="507" spans="1:9" x14ac:dyDescent="0.25">
      <c r="A507" s="26">
        <v>45797</v>
      </c>
      <c r="B507" s="27">
        <f t="shared" si="35"/>
        <v>2025</v>
      </c>
      <c r="C507" s="27">
        <f t="shared" si="36"/>
        <v>5</v>
      </c>
      <c r="D507" s="27">
        <f t="shared" si="37"/>
        <v>20</v>
      </c>
      <c r="E507" s="27">
        <f t="shared" si="38"/>
        <v>3</v>
      </c>
      <c r="F507" s="27">
        <f>VLOOKUP(E507,[2]t_calendarioPolitica!A:C,3,FALSE)</f>
        <v>1</v>
      </c>
      <c r="G507" s="1">
        <v>1</v>
      </c>
      <c r="H507" s="1">
        <v>1</v>
      </c>
      <c r="I507" s="1">
        <f t="shared" si="39"/>
        <v>1</v>
      </c>
    </row>
    <row r="508" spans="1:9" x14ac:dyDescent="0.25">
      <c r="A508" s="26">
        <v>45798</v>
      </c>
      <c r="B508" s="27">
        <f t="shared" si="35"/>
        <v>2025</v>
      </c>
      <c r="C508" s="27">
        <f t="shared" si="36"/>
        <v>5</v>
      </c>
      <c r="D508" s="27">
        <f t="shared" si="37"/>
        <v>21</v>
      </c>
      <c r="E508" s="27">
        <f t="shared" si="38"/>
        <v>4</v>
      </c>
      <c r="F508" s="27">
        <f>VLOOKUP(E508,[2]t_calendarioPolitica!A:C,3,FALSE)</f>
        <v>1</v>
      </c>
      <c r="G508" s="1">
        <v>1</v>
      </c>
      <c r="H508" s="1">
        <v>1</v>
      </c>
      <c r="I508" s="1">
        <f t="shared" si="39"/>
        <v>1</v>
      </c>
    </row>
    <row r="509" spans="1:9" x14ac:dyDescent="0.25">
      <c r="A509" s="26">
        <v>45799</v>
      </c>
      <c r="B509" s="27">
        <f t="shared" si="35"/>
        <v>2025</v>
      </c>
      <c r="C509" s="27">
        <f t="shared" si="36"/>
        <v>5</v>
      </c>
      <c r="D509" s="27">
        <f t="shared" si="37"/>
        <v>22</v>
      </c>
      <c r="E509" s="27">
        <f t="shared" si="38"/>
        <v>5</v>
      </c>
      <c r="F509" s="27">
        <f>VLOOKUP(E509,[2]t_calendarioPolitica!A:C,3,FALSE)</f>
        <v>1</v>
      </c>
      <c r="G509" s="1">
        <v>1</v>
      </c>
      <c r="H509" s="1">
        <v>1</v>
      </c>
      <c r="I509" s="1">
        <f t="shared" si="39"/>
        <v>1</v>
      </c>
    </row>
    <row r="510" spans="1:9" x14ac:dyDescent="0.25">
      <c r="A510" s="26">
        <v>45800</v>
      </c>
      <c r="B510" s="27">
        <f t="shared" si="35"/>
        <v>2025</v>
      </c>
      <c r="C510" s="27">
        <f t="shared" si="36"/>
        <v>5</v>
      </c>
      <c r="D510" s="27">
        <f t="shared" si="37"/>
        <v>23</v>
      </c>
      <c r="E510" s="27">
        <f t="shared" si="38"/>
        <v>6</v>
      </c>
      <c r="F510" s="27">
        <f>VLOOKUP(E510,[2]t_calendarioPolitica!A:C,3,FALSE)</f>
        <v>1</v>
      </c>
      <c r="G510" s="1">
        <v>1</v>
      </c>
      <c r="H510" s="1">
        <v>1</v>
      </c>
      <c r="I510" s="1">
        <f t="shared" si="39"/>
        <v>1</v>
      </c>
    </row>
    <row r="511" spans="1:9" x14ac:dyDescent="0.25">
      <c r="A511" s="26">
        <v>45801</v>
      </c>
      <c r="B511" s="27">
        <f t="shared" si="35"/>
        <v>2025</v>
      </c>
      <c r="C511" s="27">
        <f t="shared" si="36"/>
        <v>5</v>
      </c>
      <c r="D511" s="27">
        <f t="shared" si="37"/>
        <v>24</v>
      </c>
      <c r="E511" s="27">
        <f t="shared" si="38"/>
        <v>7</v>
      </c>
      <c r="F511" s="27">
        <f>VLOOKUP(E511,[2]t_calendarioPolitica!A:C,3,FALSE)</f>
        <v>2</v>
      </c>
      <c r="G511" s="1">
        <v>1</v>
      </c>
      <c r="H511" s="1">
        <v>1</v>
      </c>
      <c r="I511" s="1">
        <f t="shared" si="39"/>
        <v>1</v>
      </c>
    </row>
    <row r="512" spans="1:9" x14ac:dyDescent="0.25">
      <c r="A512" s="26">
        <v>45802</v>
      </c>
      <c r="B512" s="27">
        <f t="shared" si="35"/>
        <v>2025</v>
      </c>
      <c r="C512" s="27">
        <f t="shared" si="36"/>
        <v>5</v>
      </c>
      <c r="D512" s="27">
        <f t="shared" si="37"/>
        <v>25</v>
      </c>
      <c r="E512" s="27">
        <f t="shared" si="38"/>
        <v>1</v>
      </c>
      <c r="F512" s="27">
        <f>VLOOKUP(E512,[2]t_calendarioPolitica!A:C,3,FALSE)</f>
        <v>0</v>
      </c>
      <c r="G512" s="1">
        <v>1</v>
      </c>
      <c r="H512" s="1">
        <v>1</v>
      </c>
      <c r="I512" s="1">
        <f t="shared" si="39"/>
        <v>0</v>
      </c>
    </row>
    <row r="513" spans="1:9" x14ac:dyDescent="0.25">
      <c r="A513" s="26">
        <v>45803</v>
      </c>
      <c r="B513" s="27">
        <f t="shared" si="35"/>
        <v>2025</v>
      </c>
      <c r="C513" s="27">
        <f t="shared" si="36"/>
        <v>5</v>
      </c>
      <c r="D513" s="27">
        <f t="shared" si="37"/>
        <v>26</v>
      </c>
      <c r="E513" s="27">
        <f t="shared" si="38"/>
        <v>2</v>
      </c>
      <c r="F513" s="27">
        <f>VLOOKUP(E513,[2]t_calendarioPolitica!A:C,3,FALSE)</f>
        <v>1</v>
      </c>
      <c r="G513" s="1">
        <v>1</v>
      </c>
      <c r="H513" s="1">
        <v>1</v>
      </c>
      <c r="I513" s="1">
        <f t="shared" si="39"/>
        <v>1</v>
      </c>
    </row>
    <row r="514" spans="1:9" x14ac:dyDescent="0.25">
      <c r="A514" s="26">
        <v>45804</v>
      </c>
      <c r="B514" s="27">
        <f t="shared" si="35"/>
        <v>2025</v>
      </c>
      <c r="C514" s="27">
        <f t="shared" si="36"/>
        <v>5</v>
      </c>
      <c r="D514" s="27">
        <f t="shared" si="37"/>
        <v>27</v>
      </c>
      <c r="E514" s="27">
        <f t="shared" si="38"/>
        <v>3</v>
      </c>
      <c r="F514" s="27">
        <f>VLOOKUP(E514,[2]t_calendarioPolitica!A:C,3,FALSE)</f>
        <v>1</v>
      </c>
      <c r="G514" s="1">
        <v>1</v>
      </c>
      <c r="H514" s="1">
        <v>1</v>
      </c>
      <c r="I514" s="1">
        <f t="shared" si="39"/>
        <v>1</v>
      </c>
    </row>
    <row r="515" spans="1:9" x14ac:dyDescent="0.25">
      <c r="A515" s="26">
        <v>45805</v>
      </c>
      <c r="B515" s="27">
        <f t="shared" ref="B515:B578" si="40">YEAR(A515)</f>
        <v>2025</v>
      </c>
      <c r="C515" s="27">
        <f t="shared" ref="C515:C578" si="41">MONTH(A515)</f>
        <v>5</v>
      </c>
      <c r="D515" s="27">
        <f t="shared" ref="D515:D578" si="42">DAY(A515)</f>
        <v>28</v>
      </c>
      <c r="E515" s="27">
        <f t="shared" ref="E515:E578" si="43">WEEKDAY(A515)</f>
        <v>4</v>
      </c>
      <c r="F515" s="27">
        <f>VLOOKUP(E515,[2]t_calendarioPolitica!A:C,3,FALSE)</f>
        <v>1</v>
      </c>
      <c r="G515" s="1">
        <v>1</v>
      </c>
      <c r="H515" s="1">
        <v>1</v>
      </c>
      <c r="I515" s="1">
        <f t="shared" ref="I515:I578" si="44">IF(AND(F515&lt;&gt;0, H515&lt;&gt;0,G515&lt;&gt;0), 1, 0)</f>
        <v>1</v>
      </c>
    </row>
    <row r="516" spans="1:9" x14ac:dyDescent="0.25">
      <c r="A516" s="26">
        <v>45806</v>
      </c>
      <c r="B516" s="27">
        <f t="shared" si="40"/>
        <v>2025</v>
      </c>
      <c r="C516" s="27">
        <f t="shared" si="41"/>
        <v>5</v>
      </c>
      <c r="D516" s="27">
        <f t="shared" si="42"/>
        <v>29</v>
      </c>
      <c r="E516" s="27">
        <f t="shared" si="43"/>
        <v>5</v>
      </c>
      <c r="F516" s="27">
        <f>VLOOKUP(E516,[2]t_calendarioPolitica!A:C,3,FALSE)</f>
        <v>1</v>
      </c>
      <c r="G516" s="1">
        <v>1</v>
      </c>
      <c r="H516" s="1">
        <v>1</v>
      </c>
      <c r="I516" s="1">
        <f t="shared" si="44"/>
        <v>1</v>
      </c>
    </row>
    <row r="517" spans="1:9" x14ac:dyDescent="0.25">
      <c r="A517" s="26">
        <v>45807</v>
      </c>
      <c r="B517" s="27">
        <f t="shared" si="40"/>
        <v>2025</v>
      </c>
      <c r="C517" s="27">
        <f t="shared" si="41"/>
        <v>5</v>
      </c>
      <c r="D517" s="27">
        <f t="shared" si="42"/>
        <v>30</v>
      </c>
      <c r="E517" s="27">
        <f t="shared" si="43"/>
        <v>6</v>
      </c>
      <c r="F517" s="27">
        <f>VLOOKUP(E517,[2]t_calendarioPolitica!A:C,3,FALSE)</f>
        <v>1</v>
      </c>
      <c r="G517" s="1">
        <v>1</v>
      </c>
      <c r="H517" s="1">
        <v>1</v>
      </c>
      <c r="I517" s="1">
        <f t="shared" si="44"/>
        <v>1</v>
      </c>
    </row>
    <row r="518" spans="1:9" x14ac:dyDescent="0.25">
      <c r="A518" s="26">
        <v>45808</v>
      </c>
      <c r="B518" s="27">
        <f t="shared" si="40"/>
        <v>2025</v>
      </c>
      <c r="C518" s="27">
        <f t="shared" si="41"/>
        <v>5</v>
      </c>
      <c r="D518" s="27">
        <f t="shared" si="42"/>
        <v>31</v>
      </c>
      <c r="E518" s="27">
        <f t="shared" si="43"/>
        <v>7</v>
      </c>
      <c r="F518" s="27">
        <f>VLOOKUP(E518,[2]t_calendarioPolitica!A:C,3,FALSE)</f>
        <v>2</v>
      </c>
      <c r="G518" s="1">
        <v>1</v>
      </c>
      <c r="H518" s="1">
        <v>1</v>
      </c>
      <c r="I518" s="1">
        <f t="shared" si="44"/>
        <v>1</v>
      </c>
    </row>
    <row r="519" spans="1:9" x14ac:dyDescent="0.25">
      <c r="A519" s="26">
        <v>45809</v>
      </c>
      <c r="B519" s="27">
        <f t="shared" si="40"/>
        <v>2025</v>
      </c>
      <c r="C519" s="27">
        <f t="shared" si="41"/>
        <v>6</v>
      </c>
      <c r="D519" s="27">
        <f t="shared" si="42"/>
        <v>1</v>
      </c>
      <c r="E519" s="27">
        <f t="shared" si="43"/>
        <v>1</v>
      </c>
      <c r="F519" s="27">
        <f>VLOOKUP(E519,[2]t_calendarioPolitica!A:C,3,FALSE)</f>
        <v>0</v>
      </c>
      <c r="G519" s="1">
        <v>1</v>
      </c>
      <c r="H519" s="1">
        <v>1</v>
      </c>
      <c r="I519" s="1">
        <f t="shared" si="44"/>
        <v>0</v>
      </c>
    </row>
    <row r="520" spans="1:9" x14ac:dyDescent="0.25">
      <c r="A520" s="26">
        <v>45810</v>
      </c>
      <c r="B520" s="27">
        <f t="shared" si="40"/>
        <v>2025</v>
      </c>
      <c r="C520" s="27">
        <f t="shared" si="41"/>
        <v>6</v>
      </c>
      <c r="D520" s="27">
        <f t="shared" si="42"/>
        <v>2</v>
      </c>
      <c r="E520" s="27">
        <f t="shared" si="43"/>
        <v>2</v>
      </c>
      <c r="F520" s="27">
        <f>VLOOKUP(E520,[2]t_calendarioPolitica!A:C,3,FALSE)</f>
        <v>1</v>
      </c>
      <c r="G520" s="1">
        <v>1</v>
      </c>
      <c r="H520" s="1">
        <v>1</v>
      </c>
      <c r="I520" s="1">
        <f t="shared" si="44"/>
        <v>1</v>
      </c>
    </row>
    <row r="521" spans="1:9" x14ac:dyDescent="0.25">
      <c r="A521" s="26">
        <v>45811</v>
      </c>
      <c r="B521" s="27">
        <f t="shared" si="40"/>
        <v>2025</v>
      </c>
      <c r="C521" s="27">
        <f t="shared" si="41"/>
        <v>6</v>
      </c>
      <c r="D521" s="27">
        <f t="shared" si="42"/>
        <v>3</v>
      </c>
      <c r="E521" s="27">
        <f t="shared" si="43"/>
        <v>3</v>
      </c>
      <c r="F521" s="27">
        <f>VLOOKUP(E521,[2]t_calendarioPolitica!A:C,3,FALSE)</f>
        <v>1</v>
      </c>
      <c r="G521" s="1">
        <v>1</v>
      </c>
      <c r="H521" s="1">
        <v>1</v>
      </c>
      <c r="I521" s="1">
        <f t="shared" si="44"/>
        <v>1</v>
      </c>
    </row>
    <row r="522" spans="1:9" x14ac:dyDescent="0.25">
      <c r="A522" s="26">
        <v>45812</v>
      </c>
      <c r="B522" s="27">
        <f t="shared" si="40"/>
        <v>2025</v>
      </c>
      <c r="C522" s="27">
        <f t="shared" si="41"/>
        <v>6</v>
      </c>
      <c r="D522" s="27">
        <f t="shared" si="42"/>
        <v>4</v>
      </c>
      <c r="E522" s="27">
        <f t="shared" si="43"/>
        <v>4</v>
      </c>
      <c r="F522" s="27">
        <f>VLOOKUP(E522,[2]t_calendarioPolitica!A:C,3,FALSE)</f>
        <v>1</v>
      </c>
      <c r="G522" s="1">
        <v>1</v>
      </c>
      <c r="H522" s="1">
        <v>1</v>
      </c>
      <c r="I522" s="1">
        <f t="shared" si="44"/>
        <v>1</v>
      </c>
    </row>
    <row r="523" spans="1:9" x14ac:dyDescent="0.25">
      <c r="A523" s="26">
        <v>45813</v>
      </c>
      <c r="B523" s="27">
        <f t="shared" si="40"/>
        <v>2025</v>
      </c>
      <c r="C523" s="27">
        <f t="shared" si="41"/>
        <v>6</v>
      </c>
      <c r="D523" s="27">
        <f t="shared" si="42"/>
        <v>5</v>
      </c>
      <c r="E523" s="27">
        <f t="shared" si="43"/>
        <v>5</v>
      </c>
      <c r="F523" s="27">
        <f>VLOOKUP(E523,[2]t_calendarioPolitica!A:C,3,FALSE)</f>
        <v>1</v>
      </c>
      <c r="G523" s="1">
        <v>1</v>
      </c>
      <c r="H523" s="1">
        <v>1</v>
      </c>
      <c r="I523" s="1">
        <f t="shared" si="44"/>
        <v>1</v>
      </c>
    </row>
    <row r="524" spans="1:9" x14ac:dyDescent="0.25">
      <c r="A524" s="26">
        <v>45814</v>
      </c>
      <c r="B524" s="27">
        <f t="shared" si="40"/>
        <v>2025</v>
      </c>
      <c r="C524" s="27">
        <f t="shared" si="41"/>
        <v>6</v>
      </c>
      <c r="D524" s="27">
        <f t="shared" si="42"/>
        <v>6</v>
      </c>
      <c r="E524" s="27">
        <f t="shared" si="43"/>
        <v>6</v>
      </c>
      <c r="F524" s="27">
        <f>VLOOKUP(E524,[2]t_calendarioPolitica!A:C,3,FALSE)</f>
        <v>1</v>
      </c>
      <c r="G524" s="1">
        <v>1</v>
      </c>
      <c r="H524" s="1">
        <v>1</v>
      </c>
      <c r="I524" s="1">
        <f t="shared" si="44"/>
        <v>1</v>
      </c>
    </row>
    <row r="525" spans="1:9" x14ac:dyDescent="0.25">
      <c r="A525" s="26">
        <v>45815</v>
      </c>
      <c r="B525" s="27">
        <f t="shared" si="40"/>
        <v>2025</v>
      </c>
      <c r="C525" s="27">
        <f t="shared" si="41"/>
        <v>6</v>
      </c>
      <c r="D525" s="27">
        <f t="shared" si="42"/>
        <v>7</v>
      </c>
      <c r="E525" s="27">
        <f t="shared" si="43"/>
        <v>7</v>
      </c>
      <c r="F525" s="27">
        <f>VLOOKUP(E525,[2]t_calendarioPolitica!A:C,3,FALSE)</f>
        <v>2</v>
      </c>
      <c r="G525" s="1">
        <v>1</v>
      </c>
      <c r="H525" s="1">
        <v>1</v>
      </c>
      <c r="I525" s="1">
        <f t="shared" si="44"/>
        <v>1</v>
      </c>
    </row>
    <row r="526" spans="1:9" x14ac:dyDescent="0.25">
      <c r="A526" s="26">
        <v>45816</v>
      </c>
      <c r="B526" s="27">
        <f t="shared" si="40"/>
        <v>2025</v>
      </c>
      <c r="C526" s="27">
        <f t="shared" si="41"/>
        <v>6</v>
      </c>
      <c r="D526" s="27">
        <f t="shared" si="42"/>
        <v>8</v>
      </c>
      <c r="E526" s="27">
        <f t="shared" si="43"/>
        <v>1</v>
      </c>
      <c r="F526" s="27">
        <f>VLOOKUP(E526,[2]t_calendarioPolitica!A:C,3,FALSE)</f>
        <v>0</v>
      </c>
      <c r="G526" s="1">
        <v>1</v>
      </c>
      <c r="H526" s="1">
        <v>1</v>
      </c>
      <c r="I526" s="1">
        <f t="shared" si="44"/>
        <v>0</v>
      </c>
    </row>
    <row r="527" spans="1:9" x14ac:dyDescent="0.25">
      <c r="A527" s="26">
        <v>45817</v>
      </c>
      <c r="B527" s="27">
        <f t="shared" si="40"/>
        <v>2025</v>
      </c>
      <c r="C527" s="27">
        <f t="shared" si="41"/>
        <v>6</v>
      </c>
      <c r="D527" s="27">
        <f t="shared" si="42"/>
        <v>9</v>
      </c>
      <c r="E527" s="27">
        <f t="shared" si="43"/>
        <v>2</v>
      </c>
      <c r="F527" s="27">
        <f>VLOOKUP(E527,[2]t_calendarioPolitica!A:C,3,FALSE)</f>
        <v>1</v>
      </c>
      <c r="G527" s="1">
        <v>1</v>
      </c>
      <c r="H527" s="1">
        <v>1</v>
      </c>
      <c r="I527" s="1">
        <f t="shared" si="44"/>
        <v>1</v>
      </c>
    </row>
    <row r="528" spans="1:9" x14ac:dyDescent="0.25">
      <c r="A528" s="26">
        <v>45818</v>
      </c>
      <c r="B528" s="27">
        <f t="shared" si="40"/>
        <v>2025</v>
      </c>
      <c r="C528" s="27">
        <f t="shared" si="41"/>
        <v>6</v>
      </c>
      <c r="D528" s="27">
        <f t="shared" si="42"/>
        <v>10</v>
      </c>
      <c r="E528" s="27">
        <f t="shared" si="43"/>
        <v>3</v>
      </c>
      <c r="F528" s="27">
        <f>VLOOKUP(E528,[2]t_calendarioPolitica!A:C,3,FALSE)</f>
        <v>1</v>
      </c>
      <c r="G528" s="1">
        <v>1</v>
      </c>
      <c r="H528" s="1">
        <v>1</v>
      </c>
      <c r="I528" s="1">
        <f t="shared" si="44"/>
        <v>1</v>
      </c>
    </row>
    <row r="529" spans="1:9" x14ac:dyDescent="0.25">
      <c r="A529" s="26">
        <v>45819</v>
      </c>
      <c r="B529" s="27">
        <f t="shared" si="40"/>
        <v>2025</v>
      </c>
      <c r="C529" s="27">
        <f t="shared" si="41"/>
        <v>6</v>
      </c>
      <c r="D529" s="27">
        <f t="shared" si="42"/>
        <v>11</v>
      </c>
      <c r="E529" s="27">
        <f t="shared" si="43"/>
        <v>4</v>
      </c>
      <c r="F529" s="27">
        <f>VLOOKUP(E529,[2]t_calendarioPolitica!A:C,3,FALSE)</f>
        <v>1</v>
      </c>
      <c r="G529" s="1">
        <v>1</v>
      </c>
      <c r="H529" s="1">
        <v>1</v>
      </c>
      <c r="I529" s="1">
        <f t="shared" si="44"/>
        <v>1</v>
      </c>
    </row>
    <row r="530" spans="1:9" x14ac:dyDescent="0.25">
      <c r="A530" s="26">
        <v>45820</v>
      </c>
      <c r="B530" s="27">
        <f t="shared" si="40"/>
        <v>2025</v>
      </c>
      <c r="C530" s="27">
        <f t="shared" si="41"/>
        <v>6</v>
      </c>
      <c r="D530" s="27">
        <f t="shared" si="42"/>
        <v>12</v>
      </c>
      <c r="E530" s="27">
        <f t="shared" si="43"/>
        <v>5</v>
      </c>
      <c r="F530" s="27">
        <f>VLOOKUP(E530,[2]t_calendarioPolitica!A:C,3,FALSE)</f>
        <v>1</v>
      </c>
      <c r="G530" s="1">
        <v>1</v>
      </c>
      <c r="H530" s="1">
        <v>1</v>
      </c>
      <c r="I530" s="1">
        <f t="shared" si="44"/>
        <v>1</v>
      </c>
    </row>
    <row r="531" spans="1:9" x14ac:dyDescent="0.25">
      <c r="A531" s="26">
        <v>45821</v>
      </c>
      <c r="B531" s="27">
        <f t="shared" si="40"/>
        <v>2025</v>
      </c>
      <c r="C531" s="27">
        <f t="shared" si="41"/>
        <v>6</v>
      </c>
      <c r="D531" s="27">
        <f t="shared" si="42"/>
        <v>13</v>
      </c>
      <c r="E531" s="27">
        <f t="shared" si="43"/>
        <v>6</v>
      </c>
      <c r="F531" s="27">
        <f>VLOOKUP(E531,[2]t_calendarioPolitica!A:C,3,FALSE)</f>
        <v>1</v>
      </c>
      <c r="G531" s="1">
        <v>1</v>
      </c>
      <c r="H531" s="1">
        <v>1</v>
      </c>
      <c r="I531" s="1">
        <f t="shared" si="44"/>
        <v>1</v>
      </c>
    </row>
    <row r="532" spans="1:9" x14ac:dyDescent="0.25">
      <c r="A532" s="26">
        <v>45822</v>
      </c>
      <c r="B532" s="27">
        <f t="shared" si="40"/>
        <v>2025</v>
      </c>
      <c r="C532" s="27">
        <f t="shared" si="41"/>
        <v>6</v>
      </c>
      <c r="D532" s="27">
        <f t="shared" si="42"/>
        <v>14</v>
      </c>
      <c r="E532" s="27">
        <f t="shared" si="43"/>
        <v>7</v>
      </c>
      <c r="F532" s="27">
        <f>VLOOKUP(E532,[2]t_calendarioPolitica!A:C,3,FALSE)</f>
        <v>2</v>
      </c>
      <c r="G532" s="1">
        <v>1</v>
      </c>
      <c r="H532" s="1">
        <v>1</v>
      </c>
      <c r="I532" s="1">
        <f t="shared" si="44"/>
        <v>1</v>
      </c>
    </row>
    <row r="533" spans="1:9" x14ac:dyDescent="0.25">
      <c r="A533" s="26">
        <v>45823</v>
      </c>
      <c r="B533" s="27">
        <f t="shared" si="40"/>
        <v>2025</v>
      </c>
      <c r="C533" s="27">
        <f t="shared" si="41"/>
        <v>6</v>
      </c>
      <c r="D533" s="27">
        <f t="shared" si="42"/>
        <v>15</v>
      </c>
      <c r="E533" s="27">
        <f t="shared" si="43"/>
        <v>1</v>
      </c>
      <c r="F533" s="27">
        <f>VLOOKUP(E533,[2]t_calendarioPolitica!A:C,3,FALSE)</f>
        <v>0</v>
      </c>
      <c r="G533" s="1">
        <v>1</v>
      </c>
      <c r="H533" s="1">
        <v>1</v>
      </c>
      <c r="I533" s="1">
        <f t="shared" si="44"/>
        <v>0</v>
      </c>
    </row>
    <row r="534" spans="1:9" x14ac:dyDescent="0.25">
      <c r="A534" s="26">
        <v>45824</v>
      </c>
      <c r="B534" s="27">
        <f t="shared" si="40"/>
        <v>2025</v>
      </c>
      <c r="C534" s="27">
        <f t="shared" si="41"/>
        <v>6</v>
      </c>
      <c r="D534" s="27">
        <f t="shared" si="42"/>
        <v>16</v>
      </c>
      <c r="E534" s="27">
        <f t="shared" si="43"/>
        <v>2</v>
      </c>
      <c r="F534" s="27">
        <f>VLOOKUP(E534,[2]t_calendarioPolitica!A:C,3,FALSE)</f>
        <v>1</v>
      </c>
      <c r="G534" s="1">
        <v>1</v>
      </c>
      <c r="H534" s="1">
        <v>1</v>
      </c>
      <c r="I534" s="1">
        <f t="shared" si="44"/>
        <v>1</v>
      </c>
    </row>
    <row r="535" spans="1:9" x14ac:dyDescent="0.25">
      <c r="A535" s="26">
        <v>45825</v>
      </c>
      <c r="B535" s="27">
        <f t="shared" si="40"/>
        <v>2025</v>
      </c>
      <c r="C535" s="27">
        <f t="shared" si="41"/>
        <v>6</v>
      </c>
      <c r="D535" s="27">
        <f t="shared" si="42"/>
        <v>17</v>
      </c>
      <c r="E535" s="27">
        <f t="shared" si="43"/>
        <v>3</v>
      </c>
      <c r="F535" s="27">
        <f>VLOOKUP(E535,[2]t_calendarioPolitica!A:C,3,FALSE)</f>
        <v>1</v>
      </c>
      <c r="G535" s="1">
        <v>1</v>
      </c>
      <c r="H535" s="1">
        <v>1</v>
      </c>
      <c r="I535" s="1">
        <f t="shared" si="44"/>
        <v>1</v>
      </c>
    </row>
    <row r="536" spans="1:9" x14ac:dyDescent="0.25">
      <c r="A536" s="26">
        <v>45826</v>
      </c>
      <c r="B536" s="27">
        <f t="shared" si="40"/>
        <v>2025</v>
      </c>
      <c r="C536" s="27">
        <f t="shared" si="41"/>
        <v>6</v>
      </c>
      <c r="D536" s="27">
        <f t="shared" si="42"/>
        <v>18</v>
      </c>
      <c r="E536" s="27">
        <f t="shared" si="43"/>
        <v>4</v>
      </c>
      <c r="F536" s="27">
        <f>VLOOKUP(E536,[2]t_calendarioPolitica!A:C,3,FALSE)</f>
        <v>1</v>
      </c>
      <c r="G536" s="1">
        <v>1</v>
      </c>
      <c r="H536" s="1">
        <v>1</v>
      </c>
      <c r="I536" s="1">
        <f t="shared" si="44"/>
        <v>1</v>
      </c>
    </row>
    <row r="537" spans="1:9" x14ac:dyDescent="0.25">
      <c r="A537" s="26">
        <v>45827</v>
      </c>
      <c r="B537" s="27">
        <f t="shared" si="40"/>
        <v>2025</v>
      </c>
      <c r="C537" s="27">
        <f t="shared" si="41"/>
        <v>6</v>
      </c>
      <c r="D537" s="27">
        <f t="shared" si="42"/>
        <v>19</v>
      </c>
      <c r="E537" s="27">
        <f t="shared" si="43"/>
        <v>5</v>
      </c>
      <c r="F537" s="27">
        <f>VLOOKUP(E537,[2]t_calendarioPolitica!A:C,3,FALSE)</f>
        <v>1</v>
      </c>
      <c r="G537" s="1">
        <v>1</v>
      </c>
      <c r="H537" s="1">
        <v>1</v>
      </c>
      <c r="I537" s="1">
        <f t="shared" si="44"/>
        <v>1</v>
      </c>
    </row>
    <row r="538" spans="1:9" x14ac:dyDescent="0.25">
      <c r="A538" s="26">
        <v>45828</v>
      </c>
      <c r="B538" s="27">
        <f t="shared" si="40"/>
        <v>2025</v>
      </c>
      <c r="C538" s="27">
        <f t="shared" si="41"/>
        <v>6</v>
      </c>
      <c r="D538" s="27">
        <f t="shared" si="42"/>
        <v>20</v>
      </c>
      <c r="E538" s="27">
        <f t="shared" si="43"/>
        <v>6</v>
      </c>
      <c r="F538" s="27">
        <f>VLOOKUP(E538,[2]t_calendarioPolitica!A:C,3,FALSE)</f>
        <v>1</v>
      </c>
      <c r="G538" s="1">
        <v>1</v>
      </c>
      <c r="H538" s="1">
        <v>1</v>
      </c>
      <c r="I538" s="1">
        <f t="shared" si="44"/>
        <v>1</v>
      </c>
    </row>
    <row r="539" spans="1:9" x14ac:dyDescent="0.25">
      <c r="A539" s="26">
        <v>45829</v>
      </c>
      <c r="B539" s="27">
        <f t="shared" si="40"/>
        <v>2025</v>
      </c>
      <c r="C539" s="27">
        <f t="shared" si="41"/>
        <v>6</v>
      </c>
      <c r="D539" s="27">
        <f t="shared" si="42"/>
        <v>21</v>
      </c>
      <c r="E539" s="27">
        <f t="shared" si="43"/>
        <v>7</v>
      </c>
      <c r="F539" s="27">
        <f>VLOOKUP(E539,[2]t_calendarioPolitica!A:C,3,FALSE)</f>
        <v>2</v>
      </c>
      <c r="G539" s="1">
        <v>1</v>
      </c>
      <c r="H539" s="1">
        <v>1</v>
      </c>
      <c r="I539" s="1">
        <f t="shared" si="44"/>
        <v>1</v>
      </c>
    </row>
    <row r="540" spans="1:9" x14ac:dyDescent="0.25">
      <c r="A540" s="26">
        <v>45830</v>
      </c>
      <c r="B540" s="27">
        <f t="shared" si="40"/>
        <v>2025</v>
      </c>
      <c r="C540" s="27">
        <f t="shared" si="41"/>
        <v>6</v>
      </c>
      <c r="D540" s="27">
        <f t="shared" si="42"/>
        <v>22</v>
      </c>
      <c r="E540" s="27">
        <f t="shared" si="43"/>
        <v>1</v>
      </c>
      <c r="F540" s="27">
        <f>VLOOKUP(E540,[2]t_calendarioPolitica!A:C,3,FALSE)</f>
        <v>0</v>
      </c>
      <c r="G540" s="1">
        <v>1</v>
      </c>
      <c r="H540" s="1">
        <v>1</v>
      </c>
      <c r="I540" s="1">
        <f t="shared" si="44"/>
        <v>0</v>
      </c>
    </row>
    <row r="541" spans="1:9" x14ac:dyDescent="0.25">
      <c r="A541" s="26">
        <v>45831</v>
      </c>
      <c r="B541" s="27">
        <f t="shared" si="40"/>
        <v>2025</v>
      </c>
      <c r="C541" s="27">
        <f t="shared" si="41"/>
        <v>6</v>
      </c>
      <c r="D541" s="27">
        <f t="shared" si="42"/>
        <v>23</v>
      </c>
      <c r="E541" s="27">
        <f t="shared" si="43"/>
        <v>2</v>
      </c>
      <c r="F541" s="27">
        <f>VLOOKUP(E541,[2]t_calendarioPolitica!A:C,3,FALSE)</f>
        <v>1</v>
      </c>
      <c r="G541" s="1">
        <v>1</v>
      </c>
      <c r="H541" s="1">
        <v>1</v>
      </c>
      <c r="I541" s="1">
        <f t="shared" si="44"/>
        <v>1</v>
      </c>
    </row>
    <row r="542" spans="1:9" x14ac:dyDescent="0.25">
      <c r="A542" s="26">
        <v>45832</v>
      </c>
      <c r="B542" s="27">
        <f t="shared" si="40"/>
        <v>2025</v>
      </c>
      <c r="C542" s="27">
        <f t="shared" si="41"/>
        <v>6</v>
      </c>
      <c r="D542" s="27">
        <f t="shared" si="42"/>
        <v>24</v>
      </c>
      <c r="E542" s="27">
        <f t="shared" si="43"/>
        <v>3</v>
      </c>
      <c r="F542" s="27">
        <f>VLOOKUP(E542,[2]t_calendarioPolitica!A:C,3,FALSE)</f>
        <v>1</v>
      </c>
      <c r="G542" s="1">
        <v>1</v>
      </c>
      <c r="H542" s="1">
        <v>1</v>
      </c>
      <c r="I542" s="1">
        <f t="shared" si="44"/>
        <v>1</v>
      </c>
    </row>
    <row r="543" spans="1:9" x14ac:dyDescent="0.25">
      <c r="A543" s="26">
        <v>45833</v>
      </c>
      <c r="B543" s="27">
        <f t="shared" si="40"/>
        <v>2025</v>
      </c>
      <c r="C543" s="27">
        <f t="shared" si="41"/>
        <v>6</v>
      </c>
      <c r="D543" s="27">
        <f t="shared" si="42"/>
        <v>25</v>
      </c>
      <c r="E543" s="27">
        <f t="shared" si="43"/>
        <v>4</v>
      </c>
      <c r="F543" s="27">
        <f>VLOOKUP(E543,[2]t_calendarioPolitica!A:C,3,FALSE)</f>
        <v>1</v>
      </c>
      <c r="G543" s="1">
        <v>1</v>
      </c>
      <c r="H543" s="1">
        <v>1</v>
      </c>
      <c r="I543" s="1">
        <f t="shared" si="44"/>
        <v>1</v>
      </c>
    </row>
    <row r="544" spans="1:9" x14ac:dyDescent="0.25">
      <c r="A544" s="26">
        <v>45834</v>
      </c>
      <c r="B544" s="27">
        <f t="shared" si="40"/>
        <v>2025</v>
      </c>
      <c r="C544" s="27">
        <f t="shared" si="41"/>
        <v>6</v>
      </c>
      <c r="D544" s="27">
        <f t="shared" si="42"/>
        <v>26</v>
      </c>
      <c r="E544" s="27">
        <f t="shared" si="43"/>
        <v>5</v>
      </c>
      <c r="F544" s="27">
        <f>VLOOKUP(E544,[2]t_calendarioPolitica!A:C,3,FALSE)</f>
        <v>1</v>
      </c>
      <c r="G544" s="1">
        <v>1</v>
      </c>
      <c r="H544" s="1">
        <v>1</v>
      </c>
      <c r="I544" s="1">
        <f t="shared" si="44"/>
        <v>1</v>
      </c>
    </row>
    <row r="545" spans="1:9" x14ac:dyDescent="0.25">
      <c r="A545" s="26">
        <v>45835</v>
      </c>
      <c r="B545" s="27">
        <f t="shared" si="40"/>
        <v>2025</v>
      </c>
      <c r="C545" s="27">
        <f t="shared" si="41"/>
        <v>6</v>
      </c>
      <c r="D545" s="27">
        <f t="shared" si="42"/>
        <v>27</v>
      </c>
      <c r="E545" s="27">
        <f t="shared" si="43"/>
        <v>6</v>
      </c>
      <c r="F545" s="27">
        <f>VLOOKUP(E545,[2]t_calendarioPolitica!A:C,3,FALSE)</f>
        <v>1</v>
      </c>
      <c r="G545" s="1">
        <v>1</v>
      </c>
      <c r="H545" s="1">
        <v>1</v>
      </c>
      <c r="I545" s="1">
        <f t="shared" si="44"/>
        <v>1</v>
      </c>
    </row>
    <row r="546" spans="1:9" x14ac:dyDescent="0.25">
      <c r="A546" s="26">
        <v>45836</v>
      </c>
      <c r="B546" s="27">
        <f t="shared" si="40"/>
        <v>2025</v>
      </c>
      <c r="C546" s="27">
        <f t="shared" si="41"/>
        <v>6</v>
      </c>
      <c r="D546" s="27">
        <f t="shared" si="42"/>
        <v>28</v>
      </c>
      <c r="E546" s="27">
        <f t="shared" si="43"/>
        <v>7</v>
      </c>
      <c r="F546" s="27">
        <f>VLOOKUP(E546,[2]t_calendarioPolitica!A:C,3,FALSE)</f>
        <v>2</v>
      </c>
      <c r="G546" s="1">
        <v>1</v>
      </c>
      <c r="H546" s="1">
        <v>1</v>
      </c>
      <c r="I546" s="1">
        <f t="shared" si="44"/>
        <v>1</v>
      </c>
    </row>
    <row r="547" spans="1:9" x14ac:dyDescent="0.25">
      <c r="A547" s="26">
        <v>45837</v>
      </c>
      <c r="B547" s="27">
        <f t="shared" si="40"/>
        <v>2025</v>
      </c>
      <c r="C547" s="27">
        <f t="shared" si="41"/>
        <v>6</v>
      </c>
      <c r="D547" s="27">
        <f t="shared" si="42"/>
        <v>29</v>
      </c>
      <c r="E547" s="27">
        <f t="shared" si="43"/>
        <v>1</v>
      </c>
      <c r="F547" s="27">
        <f>VLOOKUP(E547,[2]t_calendarioPolitica!A:C,3,FALSE)</f>
        <v>0</v>
      </c>
      <c r="G547" s="1">
        <v>1</v>
      </c>
      <c r="H547" s="1">
        <v>1</v>
      </c>
      <c r="I547" s="1">
        <f t="shared" si="44"/>
        <v>0</v>
      </c>
    </row>
    <row r="548" spans="1:9" x14ac:dyDescent="0.25">
      <c r="A548" s="26">
        <v>45838</v>
      </c>
      <c r="B548" s="27">
        <f t="shared" si="40"/>
        <v>2025</v>
      </c>
      <c r="C548" s="27">
        <f t="shared" si="41"/>
        <v>6</v>
      </c>
      <c r="D548" s="27">
        <f t="shared" si="42"/>
        <v>30</v>
      </c>
      <c r="E548" s="27">
        <f t="shared" si="43"/>
        <v>2</v>
      </c>
      <c r="F548" s="27">
        <f>VLOOKUP(E548,[2]t_calendarioPolitica!A:C,3,FALSE)</f>
        <v>1</v>
      </c>
      <c r="G548" s="1">
        <v>1</v>
      </c>
      <c r="H548" s="1">
        <v>1</v>
      </c>
      <c r="I548" s="1">
        <f t="shared" si="44"/>
        <v>1</v>
      </c>
    </row>
    <row r="549" spans="1:9" x14ac:dyDescent="0.25">
      <c r="A549" s="26">
        <v>45839</v>
      </c>
      <c r="B549" s="27">
        <f t="shared" si="40"/>
        <v>2025</v>
      </c>
      <c r="C549" s="27">
        <f t="shared" si="41"/>
        <v>7</v>
      </c>
      <c r="D549" s="27">
        <f t="shared" si="42"/>
        <v>1</v>
      </c>
      <c r="E549" s="27">
        <f t="shared" si="43"/>
        <v>3</v>
      </c>
      <c r="F549" s="27">
        <f>VLOOKUP(E549,[2]t_calendarioPolitica!A:C,3,FALSE)</f>
        <v>1</v>
      </c>
      <c r="G549" s="1">
        <v>1</v>
      </c>
      <c r="H549" s="1">
        <v>1</v>
      </c>
      <c r="I549" s="1">
        <f t="shared" si="44"/>
        <v>1</v>
      </c>
    </row>
    <row r="550" spans="1:9" x14ac:dyDescent="0.25">
      <c r="A550" s="26">
        <v>45840</v>
      </c>
      <c r="B550" s="27">
        <f t="shared" si="40"/>
        <v>2025</v>
      </c>
      <c r="C550" s="27">
        <f t="shared" si="41"/>
        <v>7</v>
      </c>
      <c r="D550" s="27">
        <f t="shared" si="42"/>
        <v>2</v>
      </c>
      <c r="E550" s="27">
        <f t="shared" si="43"/>
        <v>4</v>
      </c>
      <c r="F550" s="27">
        <f>VLOOKUP(E550,[2]t_calendarioPolitica!A:C,3,FALSE)</f>
        <v>1</v>
      </c>
      <c r="G550" s="1">
        <v>1</v>
      </c>
      <c r="H550" s="1">
        <v>1</v>
      </c>
      <c r="I550" s="1">
        <f t="shared" si="44"/>
        <v>1</v>
      </c>
    </row>
    <row r="551" spans="1:9" x14ac:dyDescent="0.25">
      <c r="A551" s="26">
        <v>45841</v>
      </c>
      <c r="B551" s="27">
        <f t="shared" si="40"/>
        <v>2025</v>
      </c>
      <c r="C551" s="27">
        <f t="shared" si="41"/>
        <v>7</v>
      </c>
      <c r="D551" s="27">
        <f t="shared" si="42"/>
        <v>3</v>
      </c>
      <c r="E551" s="27">
        <f t="shared" si="43"/>
        <v>5</v>
      </c>
      <c r="F551" s="27">
        <f>VLOOKUP(E551,[2]t_calendarioPolitica!A:C,3,FALSE)</f>
        <v>1</v>
      </c>
      <c r="G551" s="1">
        <v>1</v>
      </c>
      <c r="H551" s="1">
        <v>1</v>
      </c>
      <c r="I551" s="1">
        <f t="shared" si="44"/>
        <v>1</v>
      </c>
    </row>
    <row r="552" spans="1:9" x14ac:dyDescent="0.25">
      <c r="A552" s="26">
        <v>45842</v>
      </c>
      <c r="B552" s="27">
        <f t="shared" si="40"/>
        <v>2025</v>
      </c>
      <c r="C552" s="27">
        <f t="shared" si="41"/>
        <v>7</v>
      </c>
      <c r="D552" s="27">
        <f t="shared" si="42"/>
        <v>4</v>
      </c>
      <c r="E552" s="27">
        <f t="shared" si="43"/>
        <v>6</v>
      </c>
      <c r="F552" s="27">
        <f>VLOOKUP(E552,[2]t_calendarioPolitica!A:C,3,FALSE)</f>
        <v>1</v>
      </c>
      <c r="G552" s="1">
        <v>1</v>
      </c>
      <c r="H552" s="1">
        <v>1</v>
      </c>
      <c r="I552" s="1">
        <f t="shared" si="44"/>
        <v>1</v>
      </c>
    </row>
    <row r="553" spans="1:9" x14ac:dyDescent="0.25">
      <c r="A553" s="26">
        <v>45843</v>
      </c>
      <c r="B553" s="27">
        <f t="shared" si="40"/>
        <v>2025</v>
      </c>
      <c r="C553" s="27">
        <f t="shared" si="41"/>
        <v>7</v>
      </c>
      <c r="D553" s="27">
        <f t="shared" si="42"/>
        <v>5</v>
      </c>
      <c r="E553" s="27">
        <f t="shared" si="43"/>
        <v>7</v>
      </c>
      <c r="F553" s="27">
        <f>VLOOKUP(E553,[2]t_calendarioPolitica!A:C,3,FALSE)</f>
        <v>2</v>
      </c>
      <c r="G553" s="1">
        <v>1</v>
      </c>
      <c r="H553" s="1">
        <v>1</v>
      </c>
      <c r="I553" s="1">
        <f t="shared" si="44"/>
        <v>1</v>
      </c>
    </row>
    <row r="554" spans="1:9" x14ac:dyDescent="0.25">
      <c r="A554" s="26">
        <v>45844</v>
      </c>
      <c r="B554" s="27">
        <f t="shared" si="40"/>
        <v>2025</v>
      </c>
      <c r="C554" s="27">
        <f t="shared" si="41"/>
        <v>7</v>
      </c>
      <c r="D554" s="27">
        <f t="shared" si="42"/>
        <v>6</v>
      </c>
      <c r="E554" s="27">
        <f t="shared" si="43"/>
        <v>1</v>
      </c>
      <c r="F554" s="27">
        <f>VLOOKUP(E554,[2]t_calendarioPolitica!A:C,3,FALSE)</f>
        <v>0</v>
      </c>
      <c r="G554" s="1">
        <v>1</v>
      </c>
      <c r="H554" s="1">
        <v>1</v>
      </c>
      <c r="I554" s="1">
        <f t="shared" si="44"/>
        <v>0</v>
      </c>
    </row>
    <row r="555" spans="1:9" x14ac:dyDescent="0.25">
      <c r="A555" s="26">
        <v>45845</v>
      </c>
      <c r="B555" s="27">
        <f t="shared" si="40"/>
        <v>2025</v>
      </c>
      <c r="C555" s="27">
        <f t="shared" si="41"/>
        <v>7</v>
      </c>
      <c r="D555" s="27">
        <f t="shared" si="42"/>
        <v>7</v>
      </c>
      <c r="E555" s="27">
        <f t="shared" si="43"/>
        <v>2</v>
      </c>
      <c r="F555" s="27">
        <f>VLOOKUP(E555,[2]t_calendarioPolitica!A:C,3,FALSE)</f>
        <v>1</v>
      </c>
      <c r="G555" s="1">
        <v>1</v>
      </c>
      <c r="H555" s="1">
        <v>1</v>
      </c>
      <c r="I555" s="1">
        <f t="shared" si="44"/>
        <v>1</v>
      </c>
    </row>
    <row r="556" spans="1:9" x14ac:dyDescent="0.25">
      <c r="A556" s="26">
        <v>45846</v>
      </c>
      <c r="B556" s="27">
        <f t="shared" si="40"/>
        <v>2025</v>
      </c>
      <c r="C556" s="27">
        <f t="shared" si="41"/>
        <v>7</v>
      </c>
      <c r="D556" s="27">
        <f t="shared" si="42"/>
        <v>8</v>
      </c>
      <c r="E556" s="27">
        <f t="shared" si="43"/>
        <v>3</v>
      </c>
      <c r="F556" s="27">
        <f>VLOOKUP(E556,[2]t_calendarioPolitica!A:C,3,FALSE)</f>
        <v>1</v>
      </c>
      <c r="G556" s="1">
        <v>1</v>
      </c>
      <c r="H556" s="1">
        <v>1</v>
      </c>
      <c r="I556" s="1">
        <f t="shared" si="44"/>
        <v>1</v>
      </c>
    </row>
    <row r="557" spans="1:9" x14ac:dyDescent="0.25">
      <c r="A557" s="26">
        <v>45847</v>
      </c>
      <c r="B557" s="27">
        <f t="shared" si="40"/>
        <v>2025</v>
      </c>
      <c r="C557" s="27">
        <f t="shared" si="41"/>
        <v>7</v>
      </c>
      <c r="D557" s="27">
        <f t="shared" si="42"/>
        <v>9</v>
      </c>
      <c r="E557" s="27">
        <f t="shared" si="43"/>
        <v>4</v>
      </c>
      <c r="F557" s="27">
        <f>VLOOKUP(E557,[2]t_calendarioPolitica!A:C,3,FALSE)</f>
        <v>1</v>
      </c>
      <c r="G557" s="1">
        <v>1</v>
      </c>
      <c r="H557" s="1">
        <v>1</v>
      </c>
      <c r="I557" s="1">
        <f t="shared" si="44"/>
        <v>1</v>
      </c>
    </row>
    <row r="558" spans="1:9" x14ac:dyDescent="0.25">
      <c r="A558" s="26">
        <v>45848</v>
      </c>
      <c r="B558" s="27">
        <f t="shared" si="40"/>
        <v>2025</v>
      </c>
      <c r="C558" s="27">
        <f t="shared" si="41"/>
        <v>7</v>
      </c>
      <c r="D558" s="27">
        <f t="shared" si="42"/>
        <v>10</v>
      </c>
      <c r="E558" s="27">
        <f t="shared" si="43"/>
        <v>5</v>
      </c>
      <c r="F558" s="27">
        <f>VLOOKUP(E558,[2]t_calendarioPolitica!A:C,3,FALSE)</f>
        <v>1</v>
      </c>
      <c r="G558" s="1">
        <v>1</v>
      </c>
      <c r="H558" s="1">
        <v>1</v>
      </c>
      <c r="I558" s="1">
        <f t="shared" si="44"/>
        <v>1</v>
      </c>
    </row>
    <row r="559" spans="1:9" x14ac:dyDescent="0.25">
      <c r="A559" s="26">
        <v>45849</v>
      </c>
      <c r="B559" s="27">
        <f t="shared" si="40"/>
        <v>2025</v>
      </c>
      <c r="C559" s="27">
        <f t="shared" si="41"/>
        <v>7</v>
      </c>
      <c r="D559" s="27">
        <f t="shared" si="42"/>
        <v>11</v>
      </c>
      <c r="E559" s="27">
        <f t="shared" si="43"/>
        <v>6</v>
      </c>
      <c r="F559" s="27">
        <f>VLOOKUP(E559,[2]t_calendarioPolitica!A:C,3,FALSE)</f>
        <v>1</v>
      </c>
      <c r="G559" s="1">
        <v>1</v>
      </c>
      <c r="H559" s="1">
        <v>1</v>
      </c>
      <c r="I559" s="1">
        <f t="shared" si="44"/>
        <v>1</v>
      </c>
    </row>
    <row r="560" spans="1:9" x14ac:dyDescent="0.25">
      <c r="A560" s="26">
        <v>45850</v>
      </c>
      <c r="B560" s="27">
        <f t="shared" si="40"/>
        <v>2025</v>
      </c>
      <c r="C560" s="27">
        <f t="shared" si="41"/>
        <v>7</v>
      </c>
      <c r="D560" s="27">
        <f t="shared" si="42"/>
        <v>12</v>
      </c>
      <c r="E560" s="27">
        <f t="shared" si="43"/>
        <v>7</v>
      </c>
      <c r="F560" s="27">
        <f>VLOOKUP(E560,[2]t_calendarioPolitica!A:C,3,FALSE)</f>
        <v>2</v>
      </c>
      <c r="G560" s="1">
        <v>1</v>
      </c>
      <c r="H560" s="1">
        <v>1</v>
      </c>
      <c r="I560" s="1">
        <f t="shared" si="44"/>
        <v>1</v>
      </c>
    </row>
    <row r="561" spans="1:9" x14ac:dyDescent="0.25">
      <c r="A561" s="26">
        <v>45851</v>
      </c>
      <c r="B561" s="27">
        <f t="shared" si="40"/>
        <v>2025</v>
      </c>
      <c r="C561" s="27">
        <f t="shared" si="41"/>
        <v>7</v>
      </c>
      <c r="D561" s="27">
        <f t="shared" si="42"/>
        <v>13</v>
      </c>
      <c r="E561" s="27">
        <f t="shared" si="43"/>
        <v>1</v>
      </c>
      <c r="F561" s="27">
        <f>VLOOKUP(E561,[2]t_calendarioPolitica!A:C,3,FALSE)</f>
        <v>0</v>
      </c>
      <c r="G561" s="1">
        <v>1</v>
      </c>
      <c r="H561" s="1">
        <v>1</v>
      </c>
      <c r="I561" s="1">
        <f t="shared" si="44"/>
        <v>0</v>
      </c>
    </row>
    <row r="562" spans="1:9" x14ac:dyDescent="0.25">
      <c r="A562" s="26">
        <v>45852</v>
      </c>
      <c r="B562" s="27">
        <f t="shared" si="40"/>
        <v>2025</v>
      </c>
      <c r="C562" s="27">
        <f t="shared" si="41"/>
        <v>7</v>
      </c>
      <c r="D562" s="27">
        <f t="shared" si="42"/>
        <v>14</v>
      </c>
      <c r="E562" s="27">
        <f t="shared" si="43"/>
        <v>2</v>
      </c>
      <c r="F562" s="27">
        <f>VLOOKUP(E562,[2]t_calendarioPolitica!A:C,3,FALSE)</f>
        <v>1</v>
      </c>
      <c r="G562" s="1">
        <v>1</v>
      </c>
      <c r="H562" s="1">
        <v>1</v>
      </c>
      <c r="I562" s="1">
        <f t="shared" si="44"/>
        <v>1</v>
      </c>
    </row>
    <row r="563" spans="1:9" x14ac:dyDescent="0.25">
      <c r="A563" s="26">
        <v>45853</v>
      </c>
      <c r="B563" s="27">
        <f t="shared" si="40"/>
        <v>2025</v>
      </c>
      <c r="C563" s="27">
        <f t="shared" si="41"/>
        <v>7</v>
      </c>
      <c r="D563" s="27">
        <f t="shared" si="42"/>
        <v>15</v>
      </c>
      <c r="E563" s="27">
        <f t="shared" si="43"/>
        <v>3</v>
      </c>
      <c r="F563" s="27">
        <f>VLOOKUP(E563,[2]t_calendarioPolitica!A:C,3,FALSE)</f>
        <v>1</v>
      </c>
      <c r="G563" s="1">
        <v>1</v>
      </c>
      <c r="H563" s="1">
        <v>1</v>
      </c>
      <c r="I563" s="1">
        <f t="shared" si="44"/>
        <v>1</v>
      </c>
    </row>
    <row r="564" spans="1:9" x14ac:dyDescent="0.25">
      <c r="A564" s="26">
        <v>45854</v>
      </c>
      <c r="B564" s="27">
        <f t="shared" si="40"/>
        <v>2025</v>
      </c>
      <c r="C564" s="27">
        <f t="shared" si="41"/>
        <v>7</v>
      </c>
      <c r="D564" s="27">
        <f t="shared" si="42"/>
        <v>16</v>
      </c>
      <c r="E564" s="27">
        <f t="shared" si="43"/>
        <v>4</v>
      </c>
      <c r="F564" s="27">
        <f>VLOOKUP(E564,[2]t_calendarioPolitica!A:C,3,FALSE)</f>
        <v>1</v>
      </c>
      <c r="G564" s="1">
        <v>1</v>
      </c>
      <c r="H564" s="1">
        <v>1</v>
      </c>
      <c r="I564" s="1">
        <f t="shared" si="44"/>
        <v>1</v>
      </c>
    </row>
    <row r="565" spans="1:9" x14ac:dyDescent="0.25">
      <c r="A565" s="26">
        <v>45855</v>
      </c>
      <c r="B565" s="27">
        <f t="shared" si="40"/>
        <v>2025</v>
      </c>
      <c r="C565" s="27">
        <f t="shared" si="41"/>
        <v>7</v>
      </c>
      <c r="D565" s="27">
        <f t="shared" si="42"/>
        <v>17</v>
      </c>
      <c r="E565" s="27">
        <f t="shared" si="43"/>
        <v>5</v>
      </c>
      <c r="F565" s="27">
        <f>VLOOKUP(E565,[2]t_calendarioPolitica!A:C,3,FALSE)</f>
        <v>1</v>
      </c>
      <c r="G565" s="1">
        <v>1</v>
      </c>
      <c r="H565" s="1">
        <v>1</v>
      </c>
      <c r="I565" s="1">
        <f t="shared" si="44"/>
        <v>1</v>
      </c>
    </row>
    <row r="566" spans="1:9" x14ac:dyDescent="0.25">
      <c r="A566" s="26">
        <v>45856</v>
      </c>
      <c r="B566" s="27">
        <f t="shared" si="40"/>
        <v>2025</v>
      </c>
      <c r="C566" s="27">
        <f t="shared" si="41"/>
        <v>7</v>
      </c>
      <c r="D566" s="27">
        <f t="shared" si="42"/>
        <v>18</v>
      </c>
      <c r="E566" s="27">
        <f t="shared" si="43"/>
        <v>6</v>
      </c>
      <c r="F566" s="27">
        <f>VLOOKUP(E566,[2]t_calendarioPolitica!A:C,3,FALSE)</f>
        <v>1</v>
      </c>
      <c r="G566" s="1">
        <v>1</v>
      </c>
      <c r="H566" s="1">
        <v>1</v>
      </c>
      <c r="I566" s="1">
        <f t="shared" si="44"/>
        <v>1</v>
      </c>
    </row>
    <row r="567" spans="1:9" x14ac:dyDescent="0.25">
      <c r="A567" s="26">
        <v>45857</v>
      </c>
      <c r="B567" s="27">
        <f t="shared" si="40"/>
        <v>2025</v>
      </c>
      <c r="C567" s="27">
        <f t="shared" si="41"/>
        <v>7</v>
      </c>
      <c r="D567" s="27">
        <f t="shared" si="42"/>
        <v>19</v>
      </c>
      <c r="E567" s="27">
        <f t="shared" si="43"/>
        <v>7</v>
      </c>
      <c r="F567" s="27">
        <f>VLOOKUP(E567,[2]t_calendarioPolitica!A:C,3,FALSE)</f>
        <v>2</v>
      </c>
      <c r="G567" s="1">
        <v>1</v>
      </c>
      <c r="H567" s="1">
        <v>1</v>
      </c>
      <c r="I567" s="1">
        <f t="shared" si="44"/>
        <v>1</v>
      </c>
    </row>
    <row r="568" spans="1:9" x14ac:dyDescent="0.25">
      <c r="A568" s="26">
        <v>45858</v>
      </c>
      <c r="B568" s="27">
        <f t="shared" si="40"/>
        <v>2025</v>
      </c>
      <c r="C568" s="27">
        <f t="shared" si="41"/>
        <v>7</v>
      </c>
      <c r="D568" s="27">
        <f t="shared" si="42"/>
        <v>20</v>
      </c>
      <c r="E568" s="27">
        <f t="shared" si="43"/>
        <v>1</v>
      </c>
      <c r="F568" s="27">
        <f>VLOOKUP(E568,[2]t_calendarioPolitica!A:C,3,FALSE)</f>
        <v>0</v>
      </c>
      <c r="G568" s="1">
        <v>1</v>
      </c>
      <c r="H568" s="1">
        <v>1</v>
      </c>
      <c r="I568" s="1">
        <f t="shared" si="44"/>
        <v>0</v>
      </c>
    </row>
    <row r="569" spans="1:9" x14ac:dyDescent="0.25">
      <c r="A569" s="26">
        <v>45859</v>
      </c>
      <c r="B569" s="27">
        <f t="shared" si="40"/>
        <v>2025</v>
      </c>
      <c r="C569" s="27">
        <f t="shared" si="41"/>
        <v>7</v>
      </c>
      <c r="D569" s="27">
        <f t="shared" si="42"/>
        <v>21</v>
      </c>
      <c r="E569" s="27">
        <f t="shared" si="43"/>
        <v>2</v>
      </c>
      <c r="F569" s="27">
        <f>VLOOKUP(E569,[2]t_calendarioPolitica!A:C,3,FALSE)</f>
        <v>1</v>
      </c>
      <c r="G569" s="1">
        <v>1</v>
      </c>
      <c r="H569" s="1">
        <v>1</v>
      </c>
      <c r="I569" s="1">
        <f t="shared" si="44"/>
        <v>1</v>
      </c>
    </row>
    <row r="570" spans="1:9" x14ac:dyDescent="0.25">
      <c r="A570" s="26">
        <v>45860</v>
      </c>
      <c r="B570" s="27">
        <f t="shared" si="40"/>
        <v>2025</v>
      </c>
      <c r="C570" s="27">
        <f t="shared" si="41"/>
        <v>7</v>
      </c>
      <c r="D570" s="27">
        <f t="shared" si="42"/>
        <v>22</v>
      </c>
      <c r="E570" s="27">
        <f t="shared" si="43"/>
        <v>3</v>
      </c>
      <c r="F570" s="27">
        <f>VLOOKUP(E570,[2]t_calendarioPolitica!A:C,3,FALSE)</f>
        <v>1</v>
      </c>
      <c r="G570" s="1">
        <v>1</v>
      </c>
      <c r="H570" s="1">
        <v>1</v>
      </c>
      <c r="I570" s="1">
        <f t="shared" si="44"/>
        <v>1</v>
      </c>
    </row>
    <row r="571" spans="1:9" x14ac:dyDescent="0.25">
      <c r="A571" s="26">
        <v>45861</v>
      </c>
      <c r="B571" s="27">
        <f t="shared" si="40"/>
        <v>2025</v>
      </c>
      <c r="C571" s="27">
        <f t="shared" si="41"/>
        <v>7</v>
      </c>
      <c r="D571" s="27">
        <f t="shared" si="42"/>
        <v>23</v>
      </c>
      <c r="E571" s="27">
        <f t="shared" si="43"/>
        <v>4</v>
      </c>
      <c r="F571" s="27">
        <f>VLOOKUP(E571,[2]t_calendarioPolitica!A:C,3,FALSE)</f>
        <v>1</v>
      </c>
      <c r="G571" s="1">
        <v>1</v>
      </c>
      <c r="H571" s="1">
        <v>1</v>
      </c>
      <c r="I571" s="1">
        <f t="shared" si="44"/>
        <v>1</v>
      </c>
    </row>
    <row r="572" spans="1:9" x14ac:dyDescent="0.25">
      <c r="A572" s="26">
        <v>45862</v>
      </c>
      <c r="B572" s="27">
        <f t="shared" si="40"/>
        <v>2025</v>
      </c>
      <c r="C572" s="27">
        <f t="shared" si="41"/>
        <v>7</v>
      </c>
      <c r="D572" s="27">
        <f t="shared" si="42"/>
        <v>24</v>
      </c>
      <c r="E572" s="27">
        <f t="shared" si="43"/>
        <v>5</v>
      </c>
      <c r="F572" s="27">
        <f>VLOOKUP(E572,[2]t_calendarioPolitica!A:C,3,FALSE)</f>
        <v>1</v>
      </c>
      <c r="G572" s="1">
        <v>1</v>
      </c>
      <c r="H572" s="1">
        <v>1</v>
      </c>
      <c r="I572" s="1">
        <f t="shared" si="44"/>
        <v>1</v>
      </c>
    </row>
    <row r="573" spans="1:9" x14ac:dyDescent="0.25">
      <c r="A573" s="26">
        <v>45863</v>
      </c>
      <c r="B573" s="27">
        <f t="shared" si="40"/>
        <v>2025</v>
      </c>
      <c r="C573" s="27">
        <f t="shared" si="41"/>
        <v>7</v>
      </c>
      <c r="D573" s="27">
        <f t="shared" si="42"/>
        <v>25</v>
      </c>
      <c r="E573" s="27">
        <f t="shared" si="43"/>
        <v>6</v>
      </c>
      <c r="F573" s="27">
        <f>VLOOKUP(E573,[2]t_calendarioPolitica!A:C,3,FALSE)</f>
        <v>1</v>
      </c>
      <c r="G573" s="1">
        <v>1</v>
      </c>
      <c r="H573" s="1">
        <v>1</v>
      </c>
      <c r="I573" s="1">
        <f t="shared" si="44"/>
        <v>1</v>
      </c>
    </row>
    <row r="574" spans="1:9" x14ac:dyDescent="0.25">
      <c r="A574" s="26">
        <v>45864</v>
      </c>
      <c r="B574" s="27">
        <f t="shared" si="40"/>
        <v>2025</v>
      </c>
      <c r="C574" s="27">
        <f t="shared" si="41"/>
        <v>7</v>
      </c>
      <c r="D574" s="27">
        <f t="shared" si="42"/>
        <v>26</v>
      </c>
      <c r="E574" s="27">
        <f t="shared" si="43"/>
        <v>7</v>
      </c>
      <c r="F574" s="27">
        <f>VLOOKUP(E574,[2]t_calendarioPolitica!A:C,3,FALSE)</f>
        <v>2</v>
      </c>
      <c r="G574" s="1">
        <v>1</v>
      </c>
      <c r="H574" s="1">
        <v>1</v>
      </c>
      <c r="I574" s="1">
        <f t="shared" si="44"/>
        <v>1</v>
      </c>
    </row>
    <row r="575" spans="1:9" x14ac:dyDescent="0.25">
      <c r="A575" s="26">
        <v>45865</v>
      </c>
      <c r="B575" s="27">
        <f t="shared" si="40"/>
        <v>2025</v>
      </c>
      <c r="C575" s="27">
        <f t="shared" si="41"/>
        <v>7</v>
      </c>
      <c r="D575" s="27">
        <f t="shared" si="42"/>
        <v>27</v>
      </c>
      <c r="E575" s="27">
        <f t="shared" si="43"/>
        <v>1</v>
      </c>
      <c r="F575" s="27">
        <f>VLOOKUP(E575,[2]t_calendarioPolitica!A:C,3,FALSE)</f>
        <v>0</v>
      </c>
      <c r="G575" s="1">
        <v>1</v>
      </c>
      <c r="H575" s="1">
        <v>1</v>
      </c>
      <c r="I575" s="1">
        <f t="shared" si="44"/>
        <v>0</v>
      </c>
    </row>
    <row r="576" spans="1:9" x14ac:dyDescent="0.25">
      <c r="A576" s="26">
        <v>45866</v>
      </c>
      <c r="B576" s="27">
        <f t="shared" si="40"/>
        <v>2025</v>
      </c>
      <c r="C576" s="27">
        <f t="shared" si="41"/>
        <v>7</v>
      </c>
      <c r="D576" s="27">
        <f t="shared" si="42"/>
        <v>28</v>
      </c>
      <c r="E576" s="27">
        <f t="shared" si="43"/>
        <v>2</v>
      </c>
      <c r="F576" s="27">
        <f>VLOOKUP(E576,[2]t_calendarioPolitica!A:C,3,FALSE)</f>
        <v>1</v>
      </c>
      <c r="G576" s="1">
        <v>1</v>
      </c>
      <c r="H576" s="1">
        <v>1</v>
      </c>
      <c r="I576" s="1">
        <f t="shared" si="44"/>
        <v>1</v>
      </c>
    </row>
    <row r="577" spans="1:9" x14ac:dyDescent="0.25">
      <c r="A577" s="26">
        <v>45867</v>
      </c>
      <c r="B577" s="27">
        <f t="shared" si="40"/>
        <v>2025</v>
      </c>
      <c r="C577" s="27">
        <f t="shared" si="41"/>
        <v>7</v>
      </c>
      <c r="D577" s="27">
        <f t="shared" si="42"/>
        <v>29</v>
      </c>
      <c r="E577" s="27">
        <f t="shared" si="43"/>
        <v>3</v>
      </c>
      <c r="F577" s="27">
        <f>VLOOKUP(E577,[2]t_calendarioPolitica!A:C,3,FALSE)</f>
        <v>1</v>
      </c>
      <c r="G577" s="1">
        <v>1</v>
      </c>
      <c r="H577" s="1">
        <v>1</v>
      </c>
      <c r="I577" s="1">
        <f t="shared" si="44"/>
        <v>1</v>
      </c>
    </row>
    <row r="578" spans="1:9" x14ac:dyDescent="0.25">
      <c r="A578" s="26">
        <v>45868</v>
      </c>
      <c r="B578" s="27">
        <f t="shared" si="40"/>
        <v>2025</v>
      </c>
      <c r="C578" s="27">
        <f t="shared" si="41"/>
        <v>7</v>
      </c>
      <c r="D578" s="27">
        <f t="shared" si="42"/>
        <v>30</v>
      </c>
      <c r="E578" s="27">
        <f t="shared" si="43"/>
        <v>4</v>
      </c>
      <c r="F578" s="27">
        <f>VLOOKUP(E578,[2]t_calendarioPolitica!A:C,3,FALSE)</f>
        <v>1</v>
      </c>
      <c r="G578" s="1">
        <v>1</v>
      </c>
      <c r="H578" s="1">
        <v>1</v>
      </c>
      <c r="I578" s="1">
        <f t="shared" si="44"/>
        <v>1</v>
      </c>
    </row>
    <row r="579" spans="1:9" x14ac:dyDescent="0.25">
      <c r="A579" s="26">
        <v>45869</v>
      </c>
      <c r="B579" s="27">
        <f t="shared" ref="B579:B642" si="45">YEAR(A579)</f>
        <v>2025</v>
      </c>
      <c r="C579" s="27">
        <f t="shared" ref="C579:C642" si="46">MONTH(A579)</f>
        <v>7</v>
      </c>
      <c r="D579" s="27">
        <f t="shared" ref="D579:D642" si="47">DAY(A579)</f>
        <v>31</v>
      </c>
      <c r="E579" s="27">
        <f t="shared" ref="E579:E642" si="48">WEEKDAY(A579)</f>
        <v>5</v>
      </c>
      <c r="F579" s="27">
        <f>VLOOKUP(E579,[2]t_calendarioPolitica!A:C,3,FALSE)</f>
        <v>1</v>
      </c>
      <c r="G579" s="1">
        <v>1</v>
      </c>
      <c r="H579" s="1">
        <v>1</v>
      </c>
      <c r="I579" s="1">
        <f t="shared" ref="I579:I642" si="49">IF(AND(F579&lt;&gt;0, H579&lt;&gt;0,G579&lt;&gt;0), 1, 0)</f>
        <v>1</v>
      </c>
    </row>
    <row r="580" spans="1:9" x14ac:dyDescent="0.25">
      <c r="A580" s="26">
        <v>45870</v>
      </c>
      <c r="B580" s="27">
        <f t="shared" si="45"/>
        <v>2025</v>
      </c>
      <c r="C580" s="27">
        <f t="shared" si="46"/>
        <v>8</v>
      </c>
      <c r="D580" s="27">
        <f t="shared" si="47"/>
        <v>1</v>
      </c>
      <c r="E580" s="27">
        <f t="shared" si="48"/>
        <v>6</v>
      </c>
      <c r="F580" s="27">
        <f>VLOOKUP(E580,[2]t_calendarioPolitica!A:C,3,FALSE)</f>
        <v>1</v>
      </c>
      <c r="G580" s="1">
        <v>1</v>
      </c>
      <c r="H580" s="1">
        <v>1</v>
      </c>
      <c r="I580" s="1">
        <f t="shared" si="49"/>
        <v>1</v>
      </c>
    </row>
    <row r="581" spans="1:9" x14ac:dyDescent="0.25">
      <c r="A581" s="26">
        <v>45871</v>
      </c>
      <c r="B581" s="27">
        <f t="shared" si="45"/>
        <v>2025</v>
      </c>
      <c r="C581" s="27">
        <f t="shared" si="46"/>
        <v>8</v>
      </c>
      <c r="D581" s="27">
        <f t="shared" si="47"/>
        <v>2</v>
      </c>
      <c r="E581" s="27">
        <f t="shared" si="48"/>
        <v>7</v>
      </c>
      <c r="F581" s="27">
        <f>VLOOKUP(E581,[2]t_calendarioPolitica!A:C,3,FALSE)</f>
        <v>2</v>
      </c>
      <c r="G581" s="1">
        <v>1</v>
      </c>
      <c r="H581" s="1">
        <v>1</v>
      </c>
      <c r="I581" s="1">
        <f t="shared" si="49"/>
        <v>1</v>
      </c>
    </row>
    <row r="582" spans="1:9" x14ac:dyDescent="0.25">
      <c r="A582" s="26">
        <v>45872</v>
      </c>
      <c r="B582" s="27">
        <f t="shared" si="45"/>
        <v>2025</v>
      </c>
      <c r="C582" s="27">
        <f t="shared" si="46"/>
        <v>8</v>
      </c>
      <c r="D582" s="27">
        <f t="shared" si="47"/>
        <v>3</v>
      </c>
      <c r="E582" s="27">
        <f t="shared" si="48"/>
        <v>1</v>
      </c>
      <c r="F582" s="27">
        <f>VLOOKUP(E582,[2]t_calendarioPolitica!A:C,3,FALSE)</f>
        <v>0</v>
      </c>
      <c r="G582" s="1">
        <v>1</v>
      </c>
      <c r="H582" s="1">
        <v>1</v>
      </c>
      <c r="I582" s="1">
        <f t="shared" si="49"/>
        <v>0</v>
      </c>
    </row>
    <row r="583" spans="1:9" x14ac:dyDescent="0.25">
      <c r="A583" s="26">
        <v>45873</v>
      </c>
      <c r="B583" s="27">
        <f t="shared" si="45"/>
        <v>2025</v>
      </c>
      <c r="C583" s="27">
        <f t="shared" si="46"/>
        <v>8</v>
      </c>
      <c r="D583" s="27">
        <f t="shared" si="47"/>
        <v>4</v>
      </c>
      <c r="E583" s="27">
        <f t="shared" si="48"/>
        <v>2</v>
      </c>
      <c r="F583" s="27">
        <f>VLOOKUP(E583,[2]t_calendarioPolitica!A:C,3,FALSE)</f>
        <v>1</v>
      </c>
      <c r="G583" s="1">
        <v>1</v>
      </c>
      <c r="H583" s="1">
        <v>1</v>
      </c>
      <c r="I583" s="1">
        <f t="shared" si="49"/>
        <v>1</v>
      </c>
    </row>
    <row r="584" spans="1:9" x14ac:dyDescent="0.25">
      <c r="A584" s="26">
        <v>45874</v>
      </c>
      <c r="B584" s="27">
        <f t="shared" si="45"/>
        <v>2025</v>
      </c>
      <c r="C584" s="27">
        <f t="shared" si="46"/>
        <v>8</v>
      </c>
      <c r="D584" s="27">
        <f t="shared" si="47"/>
        <v>5</v>
      </c>
      <c r="E584" s="27">
        <f t="shared" si="48"/>
        <v>3</v>
      </c>
      <c r="F584" s="27">
        <f>VLOOKUP(E584,[2]t_calendarioPolitica!A:C,3,FALSE)</f>
        <v>1</v>
      </c>
      <c r="G584" s="1">
        <v>1</v>
      </c>
      <c r="H584" s="1">
        <v>1</v>
      </c>
      <c r="I584" s="1">
        <f t="shared" si="49"/>
        <v>1</v>
      </c>
    </row>
    <row r="585" spans="1:9" x14ac:dyDescent="0.25">
      <c r="A585" s="26">
        <v>45875</v>
      </c>
      <c r="B585" s="27">
        <f t="shared" si="45"/>
        <v>2025</v>
      </c>
      <c r="C585" s="27">
        <f t="shared" si="46"/>
        <v>8</v>
      </c>
      <c r="D585" s="27">
        <f t="shared" si="47"/>
        <v>6</v>
      </c>
      <c r="E585" s="27">
        <f t="shared" si="48"/>
        <v>4</v>
      </c>
      <c r="F585" s="27">
        <f>VLOOKUP(E585,[2]t_calendarioPolitica!A:C,3,FALSE)</f>
        <v>1</v>
      </c>
      <c r="G585" s="1">
        <v>1</v>
      </c>
      <c r="H585" s="1">
        <v>1</v>
      </c>
      <c r="I585" s="1">
        <f t="shared" si="49"/>
        <v>1</v>
      </c>
    </row>
    <row r="586" spans="1:9" x14ac:dyDescent="0.25">
      <c r="A586" s="26">
        <v>45876</v>
      </c>
      <c r="B586" s="27">
        <f t="shared" si="45"/>
        <v>2025</v>
      </c>
      <c r="C586" s="27">
        <f t="shared" si="46"/>
        <v>8</v>
      </c>
      <c r="D586" s="27">
        <f t="shared" si="47"/>
        <v>7</v>
      </c>
      <c r="E586" s="27">
        <f t="shared" si="48"/>
        <v>5</v>
      </c>
      <c r="F586" s="27">
        <f>VLOOKUP(E586,[2]t_calendarioPolitica!A:C,3,FALSE)</f>
        <v>1</v>
      </c>
      <c r="G586" s="1">
        <v>1</v>
      </c>
      <c r="H586" s="1">
        <v>1</v>
      </c>
      <c r="I586" s="1">
        <f t="shared" si="49"/>
        <v>1</v>
      </c>
    </row>
    <row r="587" spans="1:9" x14ac:dyDescent="0.25">
      <c r="A587" s="26">
        <v>45877</v>
      </c>
      <c r="B587" s="27">
        <f t="shared" si="45"/>
        <v>2025</v>
      </c>
      <c r="C587" s="27">
        <f t="shared" si="46"/>
        <v>8</v>
      </c>
      <c r="D587" s="27">
        <f t="shared" si="47"/>
        <v>8</v>
      </c>
      <c r="E587" s="27">
        <f t="shared" si="48"/>
        <v>6</v>
      </c>
      <c r="F587" s="27">
        <f>VLOOKUP(E587,[2]t_calendarioPolitica!A:C,3,FALSE)</f>
        <v>1</v>
      </c>
      <c r="G587" s="1">
        <v>1</v>
      </c>
      <c r="H587" s="1">
        <v>1</v>
      </c>
      <c r="I587" s="1">
        <f t="shared" si="49"/>
        <v>1</v>
      </c>
    </row>
    <row r="588" spans="1:9" x14ac:dyDescent="0.25">
      <c r="A588" s="26">
        <v>45878</v>
      </c>
      <c r="B588" s="27">
        <f t="shared" si="45"/>
        <v>2025</v>
      </c>
      <c r="C588" s="27">
        <f t="shared" si="46"/>
        <v>8</v>
      </c>
      <c r="D588" s="27">
        <f t="shared" si="47"/>
        <v>9</v>
      </c>
      <c r="E588" s="27">
        <f t="shared" si="48"/>
        <v>7</v>
      </c>
      <c r="F588" s="27">
        <f>VLOOKUP(E588,[2]t_calendarioPolitica!A:C,3,FALSE)</f>
        <v>2</v>
      </c>
      <c r="G588" s="1">
        <v>1</v>
      </c>
      <c r="H588" s="1">
        <v>1</v>
      </c>
      <c r="I588" s="1">
        <f t="shared" si="49"/>
        <v>1</v>
      </c>
    </row>
    <row r="589" spans="1:9" x14ac:dyDescent="0.25">
      <c r="A589" s="26">
        <v>45879</v>
      </c>
      <c r="B589" s="27">
        <f t="shared" si="45"/>
        <v>2025</v>
      </c>
      <c r="C589" s="27">
        <f t="shared" si="46"/>
        <v>8</v>
      </c>
      <c r="D589" s="27">
        <f t="shared" si="47"/>
        <v>10</v>
      </c>
      <c r="E589" s="27">
        <f t="shared" si="48"/>
        <v>1</v>
      </c>
      <c r="F589" s="27">
        <f>VLOOKUP(E589,[2]t_calendarioPolitica!A:C,3,FALSE)</f>
        <v>0</v>
      </c>
      <c r="G589" s="1">
        <v>1</v>
      </c>
      <c r="H589" s="1">
        <v>1</v>
      </c>
      <c r="I589" s="1">
        <f t="shared" si="49"/>
        <v>0</v>
      </c>
    </row>
    <row r="590" spans="1:9" x14ac:dyDescent="0.25">
      <c r="A590" s="26">
        <v>45880</v>
      </c>
      <c r="B590" s="27">
        <f t="shared" si="45"/>
        <v>2025</v>
      </c>
      <c r="C590" s="27">
        <f t="shared" si="46"/>
        <v>8</v>
      </c>
      <c r="D590" s="27">
        <f t="shared" si="47"/>
        <v>11</v>
      </c>
      <c r="E590" s="27">
        <f t="shared" si="48"/>
        <v>2</v>
      </c>
      <c r="F590" s="27">
        <f>VLOOKUP(E590,[2]t_calendarioPolitica!A:C,3,FALSE)</f>
        <v>1</v>
      </c>
      <c r="G590" s="1">
        <v>1</v>
      </c>
      <c r="H590" s="1">
        <v>1</v>
      </c>
      <c r="I590" s="1">
        <f t="shared" si="49"/>
        <v>1</v>
      </c>
    </row>
    <row r="591" spans="1:9" x14ac:dyDescent="0.25">
      <c r="A591" s="26">
        <v>45881</v>
      </c>
      <c r="B591" s="27">
        <f t="shared" si="45"/>
        <v>2025</v>
      </c>
      <c r="C591" s="27">
        <f t="shared" si="46"/>
        <v>8</v>
      </c>
      <c r="D591" s="27">
        <f t="shared" si="47"/>
        <v>12</v>
      </c>
      <c r="E591" s="27">
        <f t="shared" si="48"/>
        <v>3</v>
      </c>
      <c r="F591" s="27">
        <f>VLOOKUP(E591,[2]t_calendarioPolitica!A:C,3,FALSE)</f>
        <v>1</v>
      </c>
      <c r="G591" s="1">
        <v>1</v>
      </c>
      <c r="H591" s="1">
        <v>1</v>
      </c>
      <c r="I591" s="1">
        <f t="shared" si="49"/>
        <v>1</v>
      </c>
    </row>
    <row r="592" spans="1:9" x14ac:dyDescent="0.25">
      <c r="A592" s="26">
        <v>45882</v>
      </c>
      <c r="B592" s="27">
        <f t="shared" si="45"/>
        <v>2025</v>
      </c>
      <c r="C592" s="27">
        <f t="shared" si="46"/>
        <v>8</v>
      </c>
      <c r="D592" s="27">
        <f t="shared" si="47"/>
        <v>13</v>
      </c>
      <c r="E592" s="27">
        <f t="shared" si="48"/>
        <v>4</v>
      </c>
      <c r="F592" s="27">
        <f>VLOOKUP(E592,[2]t_calendarioPolitica!A:C,3,FALSE)</f>
        <v>1</v>
      </c>
      <c r="G592" s="1">
        <v>1</v>
      </c>
      <c r="H592" s="1">
        <v>1</v>
      </c>
      <c r="I592" s="1">
        <f t="shared" si="49"/>
        <v>1</v>
      </c>
    </row>
    <row r="593" spans="1:9" x14ac:dyDescent="0.25">
      <c r="A593" s="26">
        <v>45883</v>
      </c>
      <c r="B593" s="27">
        <f t="shared" si="45"/>
        <v>2025</v>
      </c>
      <c r="C593" s="27">
        <f t="shared" si="46"/>
        <v>8</v>
      </c>
      <c r="D593" s="27">
        <f t="shared" si="47"/>
        <v>14</v>
      </c>
      <c r="E593" s="27">
        <f t="shared" si="48"/>
        <v>5</v>
      </c>
      <c r="F593" s="27">
        <f>VLOOKUP(E593,[2]t_calendarioPolitica!A:C,3,FALSE)</f>
        <v>1</v>
      </c>
      <c r="G593" s="1">
        <v>1</v>
      </c>
      <c r="H593" s="1">
        <v>1</v>
      </c>
      <c r="I593" s="1">
        <f t="shared" si="49"/>
        <v>1</v>
      </c>
    </row>
    <row r="594" spans="1:9" x14ac:dyDescent="0.25">
      <c r="A594" s="26">
        <v>45884</v>
      </c>
      <c r="B594" s="27">
        <f t="shared" si="45"/>
        <v>2025</v>
      </c>
      <c r="C594" s="27">
        <f t="shared" si="46"/>
        <v>8</v>
      </c>
      <c r="D594" s="27">
        <f t="shared" si="47"/>
        <v>15</v>
      </c>
      <c r="E594" s="27">
        <f t="shared" si="48"/>
        <v>6</v>
      </c>
      <c r="F594" s="27">
        <f>VLOOKUP(E594,[2]t_calendarioPolitica!A:C,3,FALSE)</f>
        <v>1</v>
      </c>
      <c r="G594" s="1">
        <v>1</v>
      </c>
      <c r="H594" s="1">
        <v>1</v>
      </c>
      <c r="I594" s="1">
        <f t="shared" si="49"/>
        <v>1</v>
      </c>
    </row>
    <row r="595" spans="1:9" x14ac:dyDescent="0.25">
      <c r="A595" s="26">
        <v>45885</v>
      </c>
      <c r="B595" s="27">
        <f t="shared" si="45"/>
        <v>2025</v>
      </c>
      <c r="C595" s="27">
        <f t="shared" si="46"/>
        <v>8</v>
      </c>
      <c r="D595" s="27">
        <f t="shared" si="47"/>
        <v>16</v>
      </c>
      <c r="E595" s="27">
        <f t="shared" si="48"/>
        <v>7</v>
      </c>
      <c r="F595" s="27">
        <f>VLOOKUP(E595,[2]t_calendarioPolitica!A:C,3,FALSE)</f>
        <v>2</v>
      </c>
      <c r="G595" s="1">
        <v>1</v>
      </c>
      <c r="H595" s="1">
        <v>1</v>
      </c>
      <c r="I595" s="1">
        <f t="shared" si="49"/>
        <v>1</v>
      </c>
    </row>
    <row r="596" spans="1:9" x14ac:dyDescent="0.25">
      <c r="A596" s="26">
        <v>45886</v>
      </c>
      <c r="B596" s="27">
        <f t="shared" si="45"/>
        <v>2025</v>
      </c>
      <c r="C596" s="27">
        <f t="shared" si="46"/>
        <v>8</v>
      </c>
      <c r="D596" s="27">
        <f t="shared" si="47"/>
        <v>17</v>
      </c>
      <c r="E596" s="27">
        <f t="shared" si="48"/>
        <v>1</v>
      </c>
      <c r="F596" s="27">
        <f>VLOOKUP(E596,[2]t_calendarioPolitica!A:C,3,FALSE)</f>
        <v>0</v>
      </c>
      <c r="G596" s="1">
        <v>1</v>
      </c>
      <c r="H596" s="1">
        <v>1</v>
      </c>
      <c r="I596" s="1">
        <f t="shared" si="49"/>
        <v>0</v>
      </c>
    </row>
    <row r="597" spans="1:9" x14ac:dyDescent="0.25">
      <c r="A597" s="26">
        <v>45887</v>
      </c>
      <c r="B597" s="27">
        <f t="shared" si="45"/>
        <v>2025</v>
      </c>
      <c r="C597" s="27">
        <f t="shared" si="46"/>
        <v>8</v>
      </c>
      <c r="D597" s="27">
        <f t="shared" si="47"/>
        <v>18</v>
      </c>
      <c r="E597" s="27">
        <f t="shared" si="48"/>
        <v>2</v>
      </c>
      <c r="F597" s="27">
        <f>VLOOKUP(E597,[2]t_calendarioPolitica!A:C,3,FALSE)</f>
        <v>1</v>
      </c>
      <c r="G597" s="1">
        <v>1</v>
      </c>
      <c r="H597" s="1">
        <v>1</v>
      </c>
      <c r="I597" s="1">
        <f t="shared" si="49"/>
        <v>1</v>
      </c>
    </row>
    <row r="598" spans="1:9" x14ac:dyDescent="0.25">
      <c r="A598" s="26">
        <v>45888</v>
      </c>
      <c r="B598" s="27">
        <f t="shared" si="45"/>
        <v>2025</v>
      </c>
      <c r="C598" s="27">
        <f t="shared" si="46"/>
        <v>8</v>
      </c>
      <c r="D598" s="27">
        <f t="shared" si="47"/>
        <v>19</v>
      </c>
      <c r="E598" s="27">
        <f t="shared" si="48"/>
        <v>3</v>
      </c>
      <c r="F598" s="27">
        <f>VLOOKUP(E598,[2]t_calendarioPolitica!A:C,3,FALSE)</f>
        <v>1</v>
      </c>
      <c r="G598" s="1">
        <v>1</v>
      </c>
      <c r="H598" s="1">
        <v>1</v>
      </c>
      <c r="I598" s="1">
        <f t="shared" si="49"/>
        <v>1</v>
      </c>
    </row>
    <row r="599" spans="1:9" x14ac:dyDescent="0.25">
      <c r="A599" s="26">
        <v>45889</v>
      </c>
      <c r="B599" s="27">
        <f t="shared" si="45"/>
        <v>2025</v>
      </c>
      <c r="C599" s="27">
        <f t="shared" si="46"/>
        <v>8</v>
      </c>
      <c r="D599" s="27">
        <f t="shared" si="47"/>
        <v>20</v>
      </c>
      <c r="E599" s="27">
        <f t="shared" si="48"/>
        <v>4</v>
      </c>
      <c r="F599" s="27">
        <f>VLOOKUP(E599,[2]t_calendarioPolitica!A:C,3,FALSE)</f>
        <v>1</v>
      </c>
      <c r="G599" s="1">
        <v>1</v>
      </c>
      <c r="H599" s="1">
        <v>1</v>
      </c>
      <c r="I599" s="1">
        <f t="shared" si="49"/>
        <v>1</v>
      </c>
    </row>
    <row r="600" spans="1:9" x14ac:dyDescent="0.25">
      <c r="A600" s="26">
        <v>45890</v>
      </c>
      <c r="B600" s="27">
        <f t="shared" si="45"/>
        <v>2025</v>
      </c>
      <c r="C600" s="27">
        <f t="shared" si="46"/>
        <v>8</v>
      </c>
      <c r="D600" s="27">
        <f t="shared" si="47"/>
        <v>21</v>
      </c>
      <c r="E600" s="27">
        <f t="shared" si="48"/>
        <v>5</v>
      </c>
      <c r="F600" s="27">
        <f>VLOOKUP(E600,[2]t_calendarioPolitica!A:C,3,FALSE)</f>
        <v>1</v>
      </c>
      <c r="G600" s="1">
        <v>1</v>
      </c>
      <c r="H600" s="1">
        <v>1</v>
      </c>
      <c r="I600" s="1">
        <f t="shared" si="49"/>
        <v>1</v>
      </c>
    </row>
    <row r="601" spans="1:9" x14ac:dyDescent="0.25">
      <c r="A601" s="26">
        <v>45891</v>
      </c>
      <c r="B601" s="27">
        <f t="shared" si="45"/>
        <v>2025</v>
      </c>
      <c r="C601" s="27">
        <f t="shared" si="46"/>
        <v>8</v>
      </c>
      <c r="D601" s="27">
        <f t="shared" si="47"/>
        <v>22</v>
      </c>
      <c r="E601" s="27">
        <f t="shared" si="48"/>
        <v>6</v>
      </c>
      <c r="F601" s="27">
        <f>VLOOKUP(E601,[2]t_calendarioPolitica!A:C,3,FALSE)</f>
        <v>1</v>
      </c>
      <c r="G601" s="1">
        <v>1</v>
      </c>
      <c r="H601" s="1">
        <v>1</v>
      </c>
      <c r="I601" s="1">
        <f t="shared" si="49"/>
        <v>1</v>
      </c>
    </row>
    <row r="602" spans="1:9" x14ac:dyDescent="0.25">
      <c r="A602" s="26">
        <v>45892</v>
      </c>
      <c r="B602" s="27">
        <f t="shared" si="45"/>
        <v>2025</v>
      </c>
      <c r="C602" s="27">
        <f t="shared" si="46"/>
        <v>8</v>
      </c>
      <c r="D602" s="27">
        <f t="shared" si="47"/>
        <v>23</v>
      </c>
      <c r="E602" s="27">
        <f t="shared" si="48"/>
        <v>7</v>
      </c>
      <c r="F602" s="27">
        <f>VLOOKUP(E602,[2]t_calendarioPolitica!A:C,3,FALSE)</f>
        <v>2</v>
      </c>
      <c r="G602" s="1">
        <v>1</v>
      </c>
      <c r="H602" s="1">
        <v>1</v>
      </c>
      <c r="I602" s="1">
        <f t="shared" si="49"/>
        <v>1</v>
      </c>
    </row>
    <row r="603" spans="1:9" x14ac:dyDescent="0.25">
      <c r="A603" s="26">
        <v>45893</v>
      </c>
      <c r="B603" s="27">
        <f t="shared" si="45"/>
        <v>2025</v>
      </c>
      <c r="C603" s="27">
        <f t="shared" si="46"/>
        <v>8</v>
      </c>
      <c r="D603" s="27">
        <f t="shared" si="47"/>
        <v>24</v>
      </c>
      <c r="E603" s="27">
        <f t="shared" si="48"/>
        <v>1</v>
      </c>
      <c r="F603" s="27">
        <f>VLOOKUP(E603,[2]t_calendarioPolitica!A:C,3,FALSE)</f>
        <v>0</v>
      </c>
      <c r="G603" s="1">
        <v>1</v>
      </c>
      <c r="H603" s="1">
        <v>1</v>
      </c>
      <c r="I603" s="1">
        <f t="shared" si="49"/>
        <v>0</v>
      </c>
    </row>
    <row r="604" spans="1:9" x14ac:dyDescent="0.25">
      <c r="A604" s="26">
        <v>45894</v>
      </c>
      <c r="B604" s="27">
        <f t="shared" si="45"/>
        <v>2025</v>
      </c>
      <c r="C604" s="27">
        <f t="shared" si="46"/>
        <v>8</v>
      </c>
      <c r="D604" s="27">
        <f t="shared" si="47"/>
        <v>25</v>
      </c>
      <c r="E604" s="27">
        <f t="shared" si="48"/>
        <v>2</v>
      </c>
      <c r="F604" s="27">
        <f>VLOOKUP(E604,[2]t_calendarioPolitica!A:C,3,FALSE)</f>
        <v>1</v>
      </c>
      <c r="G604" s="1">
        <v>1</v>
      </c>
      <c r="H604" s="1">
        <v>1</v>
      </c>
      <c r="I604" s="1">
        <f t="shared" si="49"/>
        <v>1</v>
      </c>
    </row>
    <row r="605" spans="1:9" x14ac:dyDescent="0.25">
      <c r="A605" s="26">
        <v>45895</v>
      </c>
      <c r="B605" s="27">
        <f t="shared" si="45"/>
        <v>2025</v>
      </c>
      <c r="C605" s="27">
        <f t="shared" si="46"/>
        <v>8</v>
      </c>
      <c r="D605" s="27">
        <f t="shared" si="47"/>
        <v>26</v>
      </c>
      <c r="E605" s="27">
        <f t="shared" si="48"/>
        <v>3</v>
      </c>
      <c r="F605" s="27">
        <f>VLOOKUP(E605,[2]t_calendarioPolitica!A:C,3,FALSE)</f>
        <v>1</v>
      </c>
      <c r="G605" s="1">
        <v>1</v>
      </c>
      <c r="H605" s="1">
        <v>1</v>
      </c>
      <c r="I605" s="1">
        <f t="shared" si="49"/>
        <v>1</v>
      </c>
    </row>
    <row r="606" spans="1:9" x14ac:dyDescent="0.25">
      <c r="A606" s="26">
        <v>45896</v>
      </c>
      <c r="B606" s="27">
        <f t="shared" si="45"/>
        <v>2025</v>
      </c>
      <c r="C606" s="27">
        <f t="shared" si="46"/>
        <v>8</v>
      </c>
      <c r="D606" s="27">
        <f t="shared" si="47"/>
        <v>27</v>
      </c>
      <c r="E606" s="27">
        <f t="shared" si="48"/>
        <v>4</v>
      </c>
      <c r="F606" s="27">
        <f>VLOOKUP(E606,[2]t_calendarioPolitica!A:C,3,FALSE)</f>
        <v>1</v>
      </c>
      <c r="G606" s="1">
        <v>1</v>
      </c>
      <c r="H606" s="1">
        <v>1</v>
      </c>
      <c r="I606" s="1">
        <f t="shared" si="49"/>
        <v>1</v>
      </c>
    </row>
    <row r="607" spans="1:9" x14ac:dyDescent="0.25">
      <c r="A607" s="26">
        <v>45897</v>
      </c>
      <c r="B607" s="27">
        <f t="shared" si="45"/>
        <v>2025</v>
      </c>
      <c r="C607" s="27">
        <f t="shared" si="46"/>
        <v>8</v>
      </c>
      <c r="D607" s="27">
        <f t="shared" si="47"/>
        <v>28</v>
      </c>
      <c r="E607" s="27">
        <f t="shared" si="48"/>
        <v>5</v>
      </c>
      <c r="F607" s="27">
        <f>VLOOKUP(E607,[2]t_calendarioPolitica!A:C,3,FALSE)</f>
        <v>1</v>
      </c>
      <c r="G607" s="1">
        <v>1</v>
      </c>
      <c r="H607" s="1">
        <v>1</v>
      </c>
      <c r="I607" s="1">
        <f t="shared" si="49"/>
        <v>1</v>
      </c>
    </row>
    <row r="608" spans="1:9" x14ac:dyDescent="0.25">
      <c r="A608" s="26">
        <v>45898</v>
      </c>
      <c r="B608" s="27">
        <f t="shared" si="45"/>
        <v>2025</v>
      </c>
      <c r="C608" s="27">
        <f t="shared" si="46"/>
        <v>8</v>
      </c>
      <c r="D608" s="27">
        <f t="shared" si="47"/>
        <v>29</v>
      </c>
      <c r="E608" s="27">
        <f t="shared" si="48"/>
        <v>6</v>
      </c>
      <c r="F608" s="27">
        <f>VLOOKUP(E608,[2]t_calendarioPolitica!A:C,3,FALSE)</f>
        <v>1</v>
      </c>
      <c r="G608" s="1">
        <v>1</v>
      </c>
      <c r="H608" s="1">
        <v>1</v>
      </c>
      <c r="I608" s="1">
        <f t="shared" si="49"/>
        <v>1</v>
      </c>
    </row>
    <row r="609" spans="1:9" x14ac:dyDescent="0.25">
      <c r="A609" s="26">
        <v>45899</v>
      </c>
      <c r="B609" s="27">
        <f t="shared" si="45"/>
        <v>2025</v>
      </c>
      <c r="C609" s="27">
        <f t="shared" si="46"/>
        <v>8</v>
      </c>
      <c r="D609" s="27">
        <f t="shared" si="47"/>
        <v>30</v>
      </c>
      <c r="E609" s="27">
        <f t="shared" si="48"/>
        <v>7</v>
      </c>
      <c r="F609" s="27">
        <f>VLOOKUP(E609,[2]t_calendarioPolitica!A:C,3,FALSE)</f>
        <v>2</v>
      </c>
      <c r="G609" s="1">
        <v>1</v>
      </c>
      <c r="H609" s="1">
        <v>1</v>
      </c>
      <c r="I609" s="1">
        <f t="shared" si="49"/>
        <v>1</v>
      </c>
    </row>
    <row r="610" spans="1:9" x14ac:dyDescent="0.25">
      <c r="A610" s="26">
        <v>45900</v>
      </c>
      <c r="B610" s="27">
        <f t="shared" si="45"/>
        <v>2025</v>
      </c>
      <c r="C610" s="27">
        <f t="shared" si="46"/>
        <v>8</v>
      </c>
      <c r="D610" s="27">
        <f t="shared" si="47"/>
        <v>31</v>
      </c>
      <c r="E610" s="27">
        <f t="shared" si="48"/>
        <v>1</v>
      </c>
      <c r="F610" s="27">
        <f>VLOOKUP(E610,[2]t_calendarioPolitica!A:C,3,FALSE)</f>
        <v>0</v>
      </c>
      <c r="G610" s="1">
        <v>1</v>
      </c>
      <c r="H610" s="1">
        <v>1</v>
      </c>
      <c r="I610" s="1">
        <f t="shared" si="49"/>
        <v>0</v>
      </c>
    </row>
    <row r="611" spans="1:9" x14ac:dyDescent="0.25">
      <c r="A611" s="26">
        <v>45901</v>
      </c>
      <c r="B611" s="27">
        <f t="shared" si="45"/>
        <v>2025</v>
      </c>
      <c r="C611" s="27">
        <f t="shared" si="46"/>
        <v>9</v>
      </c>
      <c r="D611" s="27">
        <f t="shared" si="47"/>
        <v>1</v>
      </c>
      <c r="E611" s="27">
        <f t="shared" si="48"/>
        <v>2</v>
      </c>
      <c r="F611" s="27">
        <f>VLOOKUP(E611,[2]t_calendarioPolitica!A:C,3,FALSE)</f>
        <v>1</v>
      </c>
      <c r="G611" s="1">
        <v>1</v>
      </c>
      <c r="H611" s="1">
        <v>1</v>
      </c>
      <c r="I611" s="1">
        <f t="shared" si="49"/>
        <v>1</v>
      </c>
    </row>
    <row r="612" spans="1:9" x14ac:dyDescent="0.25">
      <c r="A612" s="26">
        <v>45902</v>
      </c>
      <c r="B612" s="27">
        <f t="shared" si="45"/>
        <v>2025</v>
      </c>
      <c r="C612" s="27">
        <f t="shared" si="46"/>
        <v>9</v>
      </c>
      <c r="D612" s="27">
        <f t="shared" si="47"/>
        <v>2</v>
      </c>
      <c r="E612" s="27">
        <f t="shared" si="48"/>
        <v>3</v>
      </c>
      <c r="F612" s="27">
        <f>VLOOKUP(E612,[2]t_calendarioPolitica!A:C,3,FALSE)</f>
        <v>1</v>
      </c>
      <c r="G612" s="1">
        <v>1</v>
      </c>
      <c r="H612" s="1">
        <v>1</v>
      </c>
      <c r="I612" s="1">
        <f t="shared" si="49"/>
        <v>1</v>
      </c>
    </row>
    <row r="613" spans="1:9" x14ac:dyDescent="0.25">
      <c r="A613" s="26">
        <v>45903</v>
      </c>
      <c r="B613" s="27">
        <f t="shared" si="45"/>
        <v>2025</v>
      </c>
      <c r="C613" s="27">
        <f t="shared" si="46"/>
        <v>9</v>
      </c>
      <c r="D613" s="27">
        <f t="shared" si="47"/>
        <v>3</v>
      </c>
      <c r="E613" s="27">
        <f t="shared" si="48"/>
        <v>4</v>
      </c>
      <c r="F613" s="27">
        <f>VLOOKUP(E613,[2]t_calendarioPolitica!A:C,3,FALSE)</f>
        <v>1</v>
      </c>
      <c r="G613" s="1">
        <v>1</v>
      </c>
      <c r="H613" s="1">
        <v>1</v>
      </c>
      <c r="I613" s="1">
        <f t="shared" si="49"/>
        <v>1</v>
      </c>
    </row>
    <row r="614" spans="1:9" x14ac:dyDescent="0.25">
      <c r="A614" s="26">
        <v>45904</v>
      </c>
      <c r="B614" s="27">
        <f t="shared" si="45"/>
        <v>2025</v>
      </c>
      <c r="C614" s="27">
        <f t="shared" si="46"/>
        <v>9</v>
      </c>
      <c r="D614" s="27">
        <f t="shared" si="47"/>
        <v>4</v>
      </c>
      <c r="E614" s="27">
        <f t="shared" si="48"/>
        <v>5</v>
      </c>
      <c r="F614" s="27">
        <f>VLOOKUP(E614,[2]t_calendarioPolitica!A:C,3,FALSE)</f>
        <v>1</v>
      </c>
      <c r="G614" s="1">
        <v>1</v>
      </c>
      <c r="H614" s="1">
        <v>1</v>
      </c>
      <c r="I614" s="1">
        <f t="shared" si="49"/>
        <v>1</v>
      </c>
    </row>
    <row r="615" spans="1:9" x14ac:dyDescent="0.25">
      <c r="A615" s="26">
        <v>45905</v>
      </c>
      <c r="B615" s="27">
        <f t="shared" si="45"/>
        <v>2025</v>
      </c>
      <c r="C615" s="27">
        <f t="shared" si="46"/>
        <v>9</v>
      </c>
      <c r="D615" s="27">
        <f t="shared" si="47"/>
        <v>5</v>
      </c>
      <c r="E615" s="27">
        <f t="shared" si="48"/>
        <v>6</v>
      </c>
      <c r="F615" s="27">
        <f>VLOOKUP(E615,[2]t_calendarioPolitica!A:C,3,FALSE)</f>
        <v>1</v>
      </c>
      <c r="G615" s="1">
        <v>1</v>
      </c>
      <c r="H615" s="1">
        <v>1</v>
      </c>
      <c r="I615" s="1">
        <f t="shared" si="49"/>
        <v>1</v>
      </c>
    </row>
    <row r="616" spans="1:9" x14ac:dyDescent="0.25">
      <c r="A616" s="26">
        <v>45906</v>
      </c>
      <c r="B616" s="27">
        <f t="shared" si="45"/>
        <v>2025</v>
      </c>
      <c r="C616" s="27">
        <f t="shared" si="46"/>
        <v>9</v>
      </c>
      <c r="D616" s="27">
        <f t="shared" si="47"/>
        <v>6</v>
      </c>
      <c r="E616" s="27">
        <f t="shared" si="48"/>
        <v>7</v>
      </c>
      <c r="F616" s="27">
        <f>VLOOKUP(E616,[2]t_calendarioPolitica!A:C,3,FALSE)</f>
        <v>2</v>
      </c>
      <c r="G616" s="1">
        <v>1</v>
      </c>
      <c r="H616" s="1">
        <v>1</v>
      </c>
      <c r="I616" s="1">
        <f t="shared" si="49"/>
        <v>1</v>
      </c>
    </row>
    <row r="617" spans="1:9" x14ac:dyDescent="0.25">
      <c r="A617" s="26">
        <v>45907</v>
      </c>
      <c r="B617" s="27">
        <f t="shared" si="45"/>
        <v>2025</v>
      </c>
      <c r="C617" s="27">
        <f t="shared" si="46"/>
        <v>9</v>
      </c>
      <c r="D617" s="27">
        <f t="shared" si="47"/>
        <v>7</v>
      </c>
      <c r="E617" s="27">
        <f t="shared" si="48"/>
        <v>1</v>
      </c>
      <c r="F617" s="27">
        <f>VLOOKUP(E617,[2]t_calendarioPolitica!A:C,3,FALSE)</f>
        <v>0</v>
      </c>
      <c r="G617" s="1">
        <v>1</v>
      </c>
      <c r="H617" s="1">
        <v>1</v>
      </c>
      <c r="I617" s="1">
        <f t="shared" si="49"/>
        <v>0</v>
      </c>
    </row>
    <row r="618" spans="1:9" x14ac:dyDescent="0.25">
      <c r="A618" s="26">
        <v>45908</v>
      </c>
      <c r="B618" s="27">
        <f t="shared" si="45"/>
        <v>2025</v>
      </c>
      <c r="C618" s="27">
        <f t="shared" si="46"/>
        <v>9</v>
      </c>
      <c r="D618" s="27">
        <f t="shared" si="47"/>
        <v>8</v>
      </c>
      <c r="E618" s="27">
        <f t="shared" si="48"/>
        <v>2</v>
      </c>
      <c r="F618" s="27">
        <f>VLOOKUP(E618,[2]t_calendarioPolitica!A:C,3,FALSE)</f>
        <v>1</v>
      </c>
      <c r="G618" s="1">
        <v>1</v>
      </c>
      <c r="H618" s="1">
        <v>1</v>
      </c>
      <c r="I618" s="1">
        <f t="shared" si="49"/>
        <v>1</v>
      </c>
    </row>
    <row r="619" spans="1:9" x14ac:dyDescent="0.25">
      <c r="A619" s="26">
        <v>45909</v>
      </c>
      <c r="B619" s="27">
        <f t="shared" si="45"/>
        <v>2025</v>
      </c>
      <c r="C619" s="27">
        <f t="shared" si="46"/>
        <v>9</v>
      </c>
      <c r="D619" s="27">
        <f t="shared" si="47"/>
        <v>9</v>
      </c>
      <c r="E619" s="27">
        <f t="shared" si="48"/>
        <v>3</v>
      </c>
      <c r="F619" s="27">
        <f>VLOOKUP(E619,[2]t_calendarioPolitica!A:C,3,FALSE)</f>
        <v>1</v>
      </c>
      <c r="G619" s="1">
        <v>1</v>
      </c>
      <c r="H619" s="1">
        <v>1</v>
      </c>
      <c r="I619" s="1">
        <f t="shared" si="49"/>
        <v>1</v>
      </c>
    </row>
    <row r="620" spans="1:9" x14ac:dyDescent="0.25">
      <c r="A620" s="26">
        <v>45910</v>
      </c>
      <c r="B620" s="27">
        <f t="shared" si="45"/>
        <v>2025</v>
      </c>
      <c r="C620" s="27">
        <f t="shared" si="46"/>
        <v>9</v>
      </c>
      <c r="D620" s="27">
        <f t="shared" si="47"/>
        <v>10</v>
      </c>
      <c r="E620" s="27">
        <f t="shared" si="48"/>
        <v>4</v>
      </c>
      <c r="F620" s="27">
        <f>VLOOKUP(E620,[2]t_calendarioPolitica!A:C,3,FALSE)</f>
        <v>1</v>
      </c>
      <c r="G620" s="1">
        <v>1</v>
      </c>
      <c r="H620" s="1">
        <v>1</v>
      </c>
      <c r="I620" s="1">
        <f t="shared" si="49"/>
        <v>1</v>
      </c>
    </row>
    <row r="621" spans="1:9" x14ac:dyDescent="0.25">
      <c r="A621" s="26">
        <v>45911</v>
      </c>
      <c r="B621" s="27">
        <f t="shared" si="45"/>
        <v>2025</v>
      </c>
      <c r="C621" s="27">
        <f t="shared" si="46"/>
        <v>9</v>
      </c>
      <c r="D621" s="27">
        <f t="shared" si="47"/>
        <v>11</v>
      </c>
      <c r="E621" s="27">
        <f t="shared" si="48"/>
        <v>5</v>
      </c>
      <c r="F621" s="27">
        <f>VLOOKUP(E621,[2]t_calendarioPolitica!A:C,3,FALSE)</f>
        <v>1</v>
      </c>
      <c r="G621" s="1">
        <v>1</v>
      </c>
      <c r="H621" s="1">
        <v>1</v>
      </c>
      <c r="I621" s="1">
        <f t="shared" si="49"/>
        <v>1</v>
      </c>
    </row>
    <row r="622" spans="1:9" x14ac:dyDescent="0.25">
      <c r="A622" s="26">
        <v>45912</v>
      </c>
      <c r="B622" s="27">
        <f t="shared" si="45"/>
        <v>2025</v>
      </c>
      <c r="C622" s="27">
        <f t="shared" si="46"/>
        <v>9</v>
      </c>
      <c r="D622" s="27">
        <f t="shared" si="47"/>
        <v>12</v>
      </c>
      <c r="E622" s="27">
        <f t="shared" si="48"/>
        <v>6</v>
      </c>
      <c r="F622" s="27">
        <f>VLOOKUP(E622,[2]t_calendarioPolitica!A:C,3,FALSE)</f>
        <v>1</v>
      </c>
      <c r="G622" s="1">
        <v>1</v>
      </c>
      <c r="H622" s="1">
        <v>1</v>
      </c>
      <c r="I622" s="1">
        <f t="shared" si="49"/>
        <v>1</v>
      </c>
    </row>
    <row r="623" spans="1:9" x14ac:dyDescent="0.25">
      <c r="A623" s="26">
        <v>45913</v>
      </c>
      <c r="B623" s="27">
        <f t="shared" si="45"/>
        <v>2025</v>
      </c>
      <c r="C623" s="27">
        <f t="shared" si="46"/>
        <v>9</v>
      </c>
      <c r="D623" s="27">
        <f t="shared" si="47"/>
        <v>13</v>
      </c>
      <c r="E623" s="27">
        <f t="shared" si="48"/>
        <v>7</v>
      </c>
      <c r="F623" s="27">
        <f>VLOOKUP(E623,[2]t_calendarioPolitica!A:C,3,FALSE)</f>
        <v>2</v>
      </c>
      <c r="G623" s="1">
        <v>1</v>
      </c>
      <c r="H623" s="1">
        <v>1</v>
      </c>
      <c r="I623" s="1">
        <f t="shared" si="49"/>
        <v>1</v>
      </c>
    </row>
    <row r="624" spans="1:9" x14ac:dyDescent="0.25">
      <c r="A624" s="26">
        <v>45914</v>
      </c>
      <c r="B624" s="27">
        <f t="shared" si="45"/>
        <v>2025</v>
      </c>
      <c r="C624" s="27">
        <f t="shared" si="46"/>
        <v>9</v>
      </c>
      <c r="D624" s="27">
        <f t="shared" si="47"/>
        <v>14</v>
      </c>
      <c r="E624" s="27">
        <f t="shared" si="48"/>
        <v>1</v>
      </c>
      <c r="F624" s="27">
        <f>VLOOKUP(E624,[2]t_calendarioPolitica!A:C,3,FALSE)</f>
        <v>0</v>
      </c>
      <c r="G624" s="1">
        <v>1</v>
      </c>
      <c r="H624" s="1">
        <v>1</v>
      </c>
      <c r="I624" s="1">
        <f t="shared" si="49"/>
        <v>0</v>
      </c>
    </row>
    <row r="625" spans="1:9" x14ac:dyDescent="0.25">
      <c r="A625" s="26">
        <v>45915</v>
      </c>
      <c r="B625" s="27">
        <f t="shared" si="45"/>
        <v>2025</v>
      </c>
      <c r="C625" s="27">
        <f t="shared" si="46"/>
        <v>9</v>
      </c>
      <c r="D625" s="27">
        <f t="shared" si="47"/>
        <v>15</v>
      </c>
      <c r="E625" s="27">
        <f t="shared" si="48"/>
        <v>2</v>
      </c>
      <c r="F625" s="27">
        <f>VLOOKUP(E625,[2]t_calendarioPolitica!A:C,3,FALSE)</f>
        <v>1</v>
      </c>
      <c r="G625" s="1">
        <v>1</v>
      </c>
      <c r="H625" s="1">
        <v>0</v>
      </c>
      <c r="I625" s="1">
        <f t="shared" si="49"/>
        <v>0</v>
      </c>
    </row>
    <row r="626" spans="1:9" x14ac:dyDescent="0.25">
      <c r="A626" s="26">
        <v>45916</v>
      </c>
      <c r="B626" s="27">
        <f t="shared" si="45"/>
        <v>2025</v>
      </c>
      <c r="C626" s="27">
        <f t="shared" si="46"/>
        <v>9</v>
      </c>
      <c r="D626" s="27">
        <f t="shared" si="47"/>
        <v>16</v>
      </c>
      <c r="E626" s="27">
        <f t="shared" si="48"/>
        <v>3</v>
      </c>
      <c r="F626" s="27">
        <f>VLOOKUP(E626,[2]t_calendarioPolitica!A:C,3,FALSE)</f>
        <v>1</v>
      </c>
      <c r="G626" s="1">
        <v>0</v>
      </c>
      <c r="H626" s="1">
        <v>1</v>
      </c>
      <c r="I626" s="1">
        <f t="shared" si="49"/>
        <v>0</v>
      </c>
    </row>
    <row r="627" spans="1:9" x14ac:dyDescent="0.25">
      <c r="A627" s="26">
        <v>45917</v>
      </c>
      <c r="B627" s="27">
        <f t="shared" si="45"/>
        <v>2025</v>
      </c>
      <c r="C627" s="27">
        <f t="shared" si="46"/>
        <v>9</v>
      </c>
      <c r="D627" s="27">
        <f t="shared" si="47"/>
        <v>17</v>
      </c>
      <c r="E627" s="27">
        <f t="shared" si="48"/>
        <v>4</v>
      </c>
      <c r="F627" s="27">
        <f>VLOOKUP(E627,[2]t_calendarioPolitica!A:C,3,FALSE)</f>
        <v>1</v>
      </c>
      <c r="G627" s="1">
        <v>1</v>
      </c>
      <c r="H627" s="1">
        <v>1</v>
      </c>
      <c r="I627" s="1">
        <f t="shared" si="49"/>
        <v>1</v>
      </c>
    </row>
    <row r="628" spans="1:9" x14ac:dyDescent="0.25">
      <c r="A628" s="26">
        <v>45918</v>
      </c>
      <c r="B628" s="27">
        <f t="shared" si="45"/>
        <v>2025</v>
      </c>
      <c r="C628" s="27">
        <f t="shared" si="46"/>
        <v>9</v>
      </c>
      <c r="D628" s="27">
        <f t="shared" si="47"/>
        <v>18</v>
      </c>
      <c r="E628" s="27">
        <f t="shared" si="48"/>
        <v>5</v>
      </c>
      <c r="F628" s="27">
        <f>VLOOKUP(E628,[2]t_calendarioPolitica!A:C,3,FALSE)</f>
        <v>1</v>
      </c>
      <c r="G628" s="1">
        <v>1</v>
      </c>
      <c r="H628" s="1">
        <v>1</v>
      </c>
      <c r="I628" s="1">
        <f t="shared" si="49"/>
        <v>1</v>
      </c>
    </row>
    <row r="629" spans="1:9" x14ac:dyDescent="0.25">
      <c r="A629" s="26">
        <v>45919</v>
      </c>
      <c r="B629" s="27">
        <f t="shared" si="45"/>
        <v>2025</v>
      </c>
      <c r="C629" s="27">
        <f t="shared" si="46"/>
        <v>9</v>
      </c>
      <c r="D629" s="27">
        <f t="shared" si="47"/>
        <v>19</v>
      </c>
      <c r="E629" s="27">
        <f t="shared" si="48"/>
        <v>6</v>
      </c>
      <c r="F629" s="27">
        <f>VLOOKUP(E629,[2]t_calendarioPolitica!A:C,3,FALSE)</f>
        <v>1</v>
      </c>
      <c r="G629" s="1">
        <v>1</v>
      </c>
      <c r="H629" s="1">
        <v>1</v>
      </c>
      <c r="I629" s="1">
        <f t="shared" si="49"/>
        <v>1</v>
      </c>
    </row>
    <row r="630" spans="1:9" x14ac:dyDescent="0.25">
      <c r="A630" s="26">
        <v>45920</v>
      </c>
      <c r="B630" s="27">
        <f t="shared" si="45"/>
        <v>2025</v>
      </c>
      <c r="C630" s="27">
        <f t="shared" si="46"/>
        <v>9</v>
      </c>
      <c r="D630" s="27">
        <f t="shared" si="47"/>
        <v>20</v>
      </c>
      <c r="E630" s="27">
        <f t="shared" si="48"/>
        <v>7</v>
      </c>
      <c r="F630" s="27">
        <f>VLOOKUP(E630,[2]t_calendarioPolitica!A:C,3,FALSE)</f>
        <v>2</v>
      </c>
      <c r="G630" s="1">
        <v>1</v>
      </c>
      <c r="H630" s="1">
        <v>1</v>
      </c>
      <c r="I630" s="1">
        <f t="shared" si="49"/>
        <v>1</v>
      </c>
    </row>
    <row r="631" spans="1:9" x14ac:dyDescent="0.25">
      <c r="A631" s="26">
        <v>45921</v>
      </c>
      <c r="B631" s="27">
        <f t="shared" si="45"/>
        <v>2025</v>
      </c>
      <c r="C631" s="27">
        <f t="shared" si="46"/>
        <v>9</v>
      </c>
      <c r="D631" s="27">
        <f t="shared" si="47"/>
        <v>21</v>
      </c>
      <c r="E631" s="27">
        <f t="shared" si="48"/>
        <v>1</v>
      </c>
      <c r="F631" s="27">
        <f>VLOOKUP(E631,[2]t_calendarioPolitica!A:C,3,FALSE)</f>
        <v>0</v>
      </c>
      <c r="G631" s="1">
        <v>1</v>
      </c>
      <c r="H631" s="1">
        <v>1</v>
      </c>
      <c r="I631" s="1">
        <f t="shared" si="49"/>
        <v>0</v>
      </c>
    </row>
    <row r="632" spans="1:9" x14ac:dyDescent="0.25">
      <c r="A632" s="26">
        <v>45922</v>
      </c>
      <c r="B632" s="27">
        <f t="shared" si="45"/>
        <v>2025</v>
      </c>
      <c r="C632" s="27">
        <f t="shared" si="46"/>
        <v>9</v>
      </c>
      <c r="D632" s="27">
        <f t="shared" si="47"/>
        <v>22</v>
      </c>
      <c r="E632" s="27">
        <f t="shared" si="48"/>
        <v>2</v>
      </c>
      <c r="F632" s="27">
        <f>VLOOKUP(E632,[2]t_calendarioPolitica!A:C,3,FALSE)</f>
        <v>1</v>
      </c>
      <c r="G632" s="1">
        <v>1</v>
      </c>
      <c r="H632" s="1">
        <v>1</v>
      </c>
      <c r="I632" s="1">
        <f t="shared" si="49"/>
        <v>1</v>
      </c>
    </row>
    <row r="633" spans="1:9" x14ac:dyDescent="0.25">
      <c r="A633" s="26">
        <v>45923</v>
      </c>
      <c r="B633" s="27">
        <f t="shared" si="45"/>
        <v>2025</v>
      </c>
      <c r="C633" s="27">
        <f t="shared" si="46"/>
        <v>9</v>
      </c>
      <c r="D633" s="27">
        <f t="shared" si="47"/>
        <v>23</v>
      </c>
      <c r="E633" s="27">
        <f t="shared" si="48"/>
        <v>3</v>
      </c>
      <c r="F633" s="27">
        <f>VLOOKUP(E633,[2]t_calendarioPolitica!A:C,3,FALSE)</f>
        <v>1</v>
      </c>
      <c r="G633" s="1">
        <v>1</v>
      </c>
      <c r="H633" s="1">
        <v>1</v>
      </c>
      <c r="I633" s="1">
        <f t="shared" si="49"/>
        <v>1</v>
      </c>
    </row>
    <row r="634" spans="1:9" x14ac:dyDescent="0.25">
      <c r="A634" s="26">
        <v>45924</v>
      </c>
      <c r="B634" s="27">
        <f t="shared" si="45"/>
        <v>2025</v>
      </c>
      <c r="C634" s="27">
        <f t="shared" si="46"/>
        <v>9</v>
      </c>
      <c r="D634" s="27">
        <f t="shared" si="47"/>
        <v>24</v>
      </c>
      <c r="E634" s="27">
        <f t="shared" si="48"/>
        <v>4</v>
      </c>
      <c r="F634" s="27">
        <f>VLOOKUP(E634,[2]t_calendarioPolitica!A:C,3,FALSE)</f>
        <v>1</v>
      </c>
      <c r="G634" s="1">
        <v>1</v>
      </c>
      <c r="H634" s="1">
        <v>1</v>
      </c>
      <c r="I634" s="1">
        <f t="shared" si="49"/>
        <v>1</v>
      </c>
    </row>
    <row r="635" spans="1:9" x14ac:dyDescent="0.25">
      <c r="A635" s="26">
        <v>45925</v>
      </c>
      <c r="B635" s="27">
        <f t="shared" si="45"/>
        <v>2025</v>
      </c>
      <c r="C635" s="27">
        <f t="shared" si="46"/>
        <v>9</v>
      </c>
      <c r="D635" s="27">
        <f t="shared" si="47"/>
        <v>25</v>
      </c>
      <c r="E635" s="27">
        <f t="shared" si="48"/>
        <v>5</v>
      </c>
      <c r="F635" s="27">
        <f>VLOOKUP(E635,[2]t_calendarioPolitica!A:C,3,FALSE)</f>
        <v>1</v>
      </c>
      <c r="G635" s="1">
        <v>1</v>
      </c>
      <c r="H635" s="1">
        <v>1</v>
      </c>
      <c r="I635" s="1">
        <f t="shared" si="49"/>
        <v>1</v>
      </c>
    </row>
    <row r="636" spans="1:9" x14ac:dyDescent="0.25">
      <c r="A636" s="26">
        <v>45926</v>
      </c>
      <c r="B636" s="27">
        <f t="shared" si="45"/>
        <v>2025</v>
      </c>
      <c r="C636" s="27">
        <f t="shared" si="46"/>
        <v>9</v>
      </c>
      <c r="D636" s="27">
        <f t="shared" si="47"/>
        <v>26</v>
      </c>
      <c r="E636" s="27">
        <f t="shared" si="48"/>
        <v>6</v>
      </c>
      <c r="F636" s="27">
        <f>VLOOKUP(E636,[2]t_calendarioPolitica!A:C,3,FALSE)</f>
        <v>1</v>
      </c>
      <c r="G636" s="1">
        <v>1</v>
      </c>
      <c r="H636" s="1">
        <v>1</v>
      </c>
      <c r="I636" s="1">
        <f t="shared" si="49"/>
        <v>1</v>
      </c>
    </row>
    <row r="637" spans="1:9" x14ac:dyDescent="0.25">
      <c r="A637" s="26">
        <v>45927</v>
      </c>
      <c r="B637" s="27">
        <f t="shared" si="45"/>
        <v>2025</v>
      </c>
      <c r="C637" s="27">
        <f t="shared" si="46"/>
        <v>9</v>
      </c>
      <c r="D637" s="27">
        <f t="shared" si="47"/>
        <v>27</v>
      </c>
      <c r="E637" s="27">
        <f t="shared" si="48"/>
        <v>7</v>
      </c>
      <c r="F637" s="27">
        <f>VLOOKUP(E637,[2]t_calendarioPolitica!A:C,3,FALSE)</f>
        <v>2</v>
      </c>
      <c r="G637" s="1">
        <v>1</v>
      </c>
      <c r="H637" s="1">
        <v>1</v>
      </c>
      <c r="I637" s="1">
        <f t="shared" si="49"/>
        <v>1</v>
      </c>
    </row>
    <row r="638" spans="1:9" x14ac:dyDescent="0.25">
      <c r="A638" s="26">
        <v>45928</v>
      </c>
      <c r="B638" s="27">
        <f t="shared" si="45"/>
        <v>2025</v>
      </c>
      <c r="C638" s="27">
        <f t="shared" si="46"/>
        <v>9</v>
      </c>
      <c r="D638" s="27">
        <f t="shared" si="47"/>
        <v>28</v>
      </c>
      <c r="E638" s="27">
        <f t="shared" si="48"/>
        <v>1</v>
      </c>
      <c r="F638" s="27">
        <f>VLOOKUP(E638,[2]t_calendarioPolitica!A:C,3,FALSE)</f>
        <v>0</v>
      </c>
      <c r="G638" s="1">
        <v>1</v>
      </c>
      <c r="H638" s="1">
        <v>1</v>
      </c>
      <c r="I638" s="1">
        <f t="shared" si="49"/>
        <v>0</v>
      </c>
    </row>
    <row r="639" spans="1:9" x14ac:dyDescent="0.25">
      <c r="A639" s="26">
        <v>45929</v>
      </c>
      <c r="B639" s="27">
        <f t="shared" si="45"/>
        <v>2025</v>
      </c>
      <c r="C639" s="27">
        <f t="shared" si="46"/>
        <v>9</v>
      </c>
      <c r="D639" s="27">
        <f t="shared" si="47"/>
        <v>29</v>
      </c>
      <c r="E639" s="27">
        <f t="shared" si="48"/>
        <v>2</v>
      </c>
      <c r="F639" s="27">
        <f>VLOOKUP(E639,[2]t_calendarioPolitica!A:C,3,FALSE)</f>
        <v>1</v>
      </c>
      <c r="G639" s="1">
        <v>1</v>
      </c>
      <c r="H639" s="1">
        <v>1</v>
      </c>
      <c r="I639" s="1">
        <f t="shared" si="49"/>
        <v>1</v>
      </c>
    </row>
    <row r="640" spans="1:9" x14ac:dyDescent="0.25">
      <c r="A640" s="26">
        <v>45930</v>
      </c>
      <c r="B640" s="27">
        <f t="shared" si="45"/>
        <v>2025</v>
      </c>
      <c r="C640" s="27">
        <f t="shared" si="46"/>
        <v>9</v>
      </c>
      <c r="D640" s="27">
        <f t="shared" si="47"/>
        <v>30</v>
      </c>
      <c r="E640" s="27">
        <f t="shared" si="48"/>
        <v>3</v>
      </c>
      <c r="F640" s="27">
        <f>VLOOKUP(E640,[2]t_calendarioPolitica!A:C,3,FALSE)</f>
        <v>1</v>
      </c>
      <c r="G640" s="1">
        <v>1</v>
      </c>
      <c r="H640" s="1">
        <v>1</v>
      </c>
      <c r="I640" s="1">
        <f t="shared" si="49"/>
        <v>1</v>
      </c>
    </row>
    <row r="641" spans="1:9" x14ac:dyDescent="0.25">
      <c r="A641" s="26">
        <v>45931</v>
      </c>
      <c r="B641" s="27">
        <f t="shared" si="45"/>
        <v>2025</v>
      </c>
      <c r="C641" s="27">
        <f t="shared" si="46"/>
        <v>10</v>
      </c>
      <c r="D641" s="27">
        <f t="shared" si="47"/>
        <v>1</v>
      </c>
      <c r="E641" s="27">
        <f t="shared" si="48"/>
        <v>4</v>
      </c>
      <c r="F641" s="27">
        <f>VLOOKUP(E641,[2]t_calendarioPolitica!A:C,3,FALSE)</f>
        <v>1</v>
      </c>
      <c r="G641" s="1">
        <v>1</v>
      </c>
      <c r="H641" s="1">
        <v>1</v>
      </c>
      <c r="I641" s="1">
        <f t="shared" si="49"/>
        <v>1</v>
      </c>
    </row>
    <row r="642" spans="1:9" x14ac:dyDescent="0.25">
      <c r="A642" s="26">
        <v>45932</v>
      </c>
      <c r="B642" s="27">
        <f t="shared" si="45"/>
        <v>2025</v>
      </c>
      <c r="C642" s="27">
        <f t="shared" si="46"/>
        <v>10</v>
      </c>
      <c r="D642" s="27">
        <f t="shared" si="47"/>
        <v>2</v>
      </c>
      <c r="E642" s="27">
        <f t="shared" si="48"/>
        <v>5</v>
      </c>
      <c r="F642" s="27">
        <f>VLOOKUP(E642,[2]t_calendarioPolitica!A:C,3,FALSE)</f>
        <v>1</v>
      </c>
      <c r="G642" s="1">
        <v>1</v>
      </c>
      <c r="H642" s="1">
        <v>1</v>
      </c>
      <c r="I642" s="1">
        <f t="shared" si="49"/>
        <v>1</v>
      </c>
    </row>
    <row r="643" spans="1:9" x14ac:dyDescent="0.25">
      <c r="A643" s="26">
        <v>45933</v>
      </c>
      <c r="B643" s="27">
        <f t="shared" ref="B643:B706" si="50">YEAR(A643)</f>
        <v>2025</v>
      </c>
      <c r="C643" s="27">
        <f t="shared" ref="C643:C706" si="51">MONTH(A643)</f>
        <v>10</v>
      </c>
      <c r="D643" s="27">
        <f t="shared" ref="D643:D706" si="52">DAY(A643)</f>
        <v>3</v>
      </c>
      <c r="E643" s="27">
        <f t="shared" ref="E643:E706" si="53">WEEKDAY(A643)</f>
        <v>6</v>
      </c>
      <c r="F643" s="27">
        <f>VLOOKUP(E643,[2]t_calendarioPolitica!A:C,3,FALSE)</f>
        <v>1</v>
      </c>
      <c r="G643" s="1">
        <v>1</v>
      </c>
      <c r="H643" s="1">
        <v>1</v>
      </c>
      <c r="I643" s="1">
        <f t="shared" ref="I643:I706" si="54">IF(AND(F643&lt;&gt;0, H643&lt;&gt;0,G643&lt;&gt;0), 1, 0)</f>
        <v>1</v>
      </c>
    </row>
    <row r="644" spans="1:9" x14ac:dyDescent="0.25">
      <c r="A644" s="26">
        <v>45934</v>
      </c>
      <c r="B644" s="27">
        <f t="shared" si="50"/>
        <v>2025</v>
      </c>
      <c r="C644" s="27">
        <f t="shared" si="51"/>
        <v>10</v>
      </c>
      <c r="D644" s="27">
        <f t="shared" si="52"/>
        <v>4</v>
      </c>
      <c r="E644" s="27">
        <f t="shared" si="53"/>
        <v>7</v>
      </c>
      <c r="F644" s="27">
        <f>VLOOKUP(E644,[2]t_calendarioPolitica!A:C,3,FALSE)</f>
        <v>2</v>
      </c>
      <c r="G644" s="1">
        <v>1</v>
      </c>
      <c r="H644" s="1">
        <v>1</v>
      </c>
      <c r="I644" s="1">
        <f t="shared" si="54"/>
        <v>1</v>
      </c>
    </row>
    <row r="645" spans="1:9" x14ac:dyDescent="0.25">
      <c r="A645" s="26">
        <v>45935</v>
      </c>
      <c r="B645" s="27">
        <f t="shared" si="50"/>
        <v>2025</v>
      </c>
      <c r="C645" s="27">
        <f t="shared" si="51"/>
        <v>10</v>
      </c>
      <c r="D645" s="27">
        <f t="shared" si="52"/>
        <v>5</v>
      </c>
      <c r="E645" s="27">
        <f t="shared" si="53"/>
        <v>1</v>
      </c>
      <c r="F645" s="27">
        <f>VLOOKUP(E645,[2]t_calendarioPolitica!A:C,3,FALSE)</f>
        <v>0</v>
      </c>
      <c r="G645" s="1">
        <v>1</v>
      </c>
      <c r="H645" s="1">
        <v>1</v>
      </c>
      <c r="I645" s="1">
        <f t="shared" si="54"/>
        <v>0</v>
      </c>
    </row>
    <row r="646" spans="1:9" x14ac:dyDescent="0.25">
      <c r="A646" s="26">
        <v>45936</v>
      </c>
      <c r="B646" s="27">
        <f t="shared" si="50"/>
        <v>2025</v>
      </c>
      <c r="C646" s="27">
        <f t="shared" si="51"/>
        <v>10</v>
      </c>
      <c r="D646" s="27">
        <f t="shared" si="52"/>
        <v>6</v>
      </c>
      <c r="E646" s="27">
        <f t="shared" si="53"/>
        <v>2</v>
      </c>
      <c r="F646" s="27">
        <f>VLOOKUP(E646,[2]t_calendarioPolitica!A:C,3,FALSE)</f>
        <v>1</v>
      </c>
      <c r="G646" s="1">
        <v>1</v>
      </c>
      <c r="H646" s="1">
        <v>1</v>
      </c>
      <c r="I646" s="1">
        <f t="shared" si="54"/>
        <v>1</v>
      </c>
    </row>
    <row r="647" spans="1:9" x14ac:dyDescent="0.25">
      <c r="A647" s="26">
        <v>45937</v>
      </c>
      <c r="B647" s="27">
        <f t="shared" si="50"/>
        <v>2025</v>
      </c>
      <c r="C647" s="27">
        <f t="shared" si="51"/>
        <v>10</v>
      </c>
      <c r="D647" s="27">
        <f t="shared" si="52"/>
        <v>7</v>
      </c>
      <c r="E647" s="27">
        <f t="shared" si="53"/>
        <v>3</v>
      </c>
      <c r="F647" s="27">
        <f>VLOOKUP(E647,[2]t_calendarioPolitica!A:C,3,FALSE)</f>
        <v>1</v>
      </c>
      <c r="G647" s="1">
        <v>1</v>
      </c>
      <c r="H647" s="1">
        <v>1</v>
      </c>
      <c r="I647" s="1">
        <f t="shared" si="54"/>
        <v>1</v>
      </c>
    </row>
    <row r="648" spans="1:9" x14ac:dyDescent="0.25">
      <c r="A648" s="26">
        <v>45938</v>
      </c>
      <c r="B648" s="27">
        <f t="shared" si="50"/>
        <v>2025</v>
      </c>
      <c r="C648" s="27">
        <f t="shared" si="51"/>
        <v>10</v>
      </c>
      <c r="D648" s="27">
        <f t="shared" si="52"/>
        <v>8</v>
      </c>
      <c r="E648" s="27">
        <f t="shared" si="53"/>
        <v>4</v>
      </c>
      <c r="F648" s="27">
        <f>VLOOKUP(E648,[2]t_calendarioPolitica!A:C,3,FALSE)</f>
        <v>1</v>
      </c>
      <c r="G648" s="1">
        <v>1</v>
      </c>
      <c r="H648" s="1">
        <v>1</v>
      </c>
      <c r="I648" s="1">
        <f t="shared" si="54"/>
        <v>1</v>
      </c>
    </row>
    <row r="649" spans="1:9" x14ac:dyDescent="0.25">
      <c r="A649" s="26">
        <v>45939</v>
      </c>
      <c r="B649" s="27">
        <f t="shared" si="50"/>
        <v>2025</v>
      </c>
      <c r="C649" s="27">
        <f t="shared" si="51"/>
        <v>10</v>
      </c>
      <c r="D649" s="27">
        <f t="shared" si="52"/>
        <v>9</v>
      </c>
      <c r="E649" s="27">
        <f t="shared" si="53"/>
        <v>5</v>
      </c>
      <c r="F649" s="27">
        <f>VLOOKUP(E649,[2]t_calendarioPolitica!A:C,3,FALSE)</f>
        <v>1</v>
      </c>
      <c r="G649" s="1">
        <v>1</v>
      </c>
      <c r="H649" s="1">
        <v>1</v>
      </c>
      <c r="I649" s="1">
        <f t="shared" si="54"/>
        <v>1</v>
      </c>
    </row>
    <row r="650" spans="1:9" x14ac:dyDescent="0.25">
      <c r="A650" s="26">
        <v>45940</v>
      </c>
      <c r="B650" s="27">
        <f t="shared" si="50"/>
        <v>2025</v>
      </c>
      <c r="C650" s="27">
        <f t="shared" si="51"/>
        <v>10</v>
      </c>
      <c r="D650" s="27">
        <f t="shared" si="52"/>
        <v>10</v>
      </c>
      <c r="E650" s="27">
        <f t="shared" si="53"/>
        <v>6</v>
      </c>
      <c r="F650" s="27">
        <f>VLOOKUP(E650,[2]t_calendarioPolitica!A:C,3,FALSE)</f>
        <v>1</v>
      </c>
      <c r="G650" s="1">
        <v>1</v>
      </c>
      <c r="H650" s="1">
        <v>1</v>
      </c>
      <c r="I650" s="1">
        <f t="shared" si="54"/>
        <v>1</v>
      </c>
    </row>
    <row r="651" spans="1:9" x14ac:dyDescent="0.25">
      <c r="A651" s="26">
        <v>45941</v>
      </c>
      <c r="B651" s="27">
        <f t="shared" si="50"/>
        <v>2025</v>
      </c>
      <c r="C651" s="27">
        <f t="shared" si="51"/>
        <v>10</v>
      </c>
      <c r="D651" s="27">
        <f t="shared" si="52"/>
        <v>11</v>
      </c>
      <c r="E651" s="27">
        <f t="shared" si="53"/>
        <v>7</v>
      </c>
      <c r="F651" s="27">
        <f>VLOOKUP(E651,[2]t_calendarioPolitica!A:C,3,FALSE)</f>
        <v>2</v>
      </c>
      <c r="G651" s="1">
        <v>1</v>
      </c>
      <c r="H651" s="1">
        <v>1</v>
      </c>
      <c r="I651" s="1">
        <f t="shared" si="54"/>
        <v>1</v>
      </c>
    </row>
    <row r="652" spans="1:9" x14ac:dyDescent="0.25">
      <c r="A652" s="26">
        <v>45942</v>
      </c>
      <c r="B652" s="27">
        <f t="shared" si="50"/>
        <v>2025</v>
      </c>
      <c r="C652" s="27">
        <f t="shared" si="51"/>
        <v>10</v>
      </c>
      <c r="D652" s="27">
        <f t="shared" si="52"/>
        <v>12</v>
      </c>
      <c r="E652" s="27">
        <f t="shared" si="53"/>
        <v>1</v>
      </c>
      <c r="F652" s="27">
        <f>VLOOKUP(E652,[2]t_calendarioPolitica!A:C,3,FALSE)</f>
        <v>0</v>
      </c>
      <c r="G652" s="1">
        <v>1</v>
      </c>
      <c r="H652" s="1">
        <v>1</v>
      </c>
      <c r="I652" s="1">
        <f t="shared" si="54"/>
        <v>0</v>
      </c>
    </row>
    <row r="653" spans="1:9" x14ac:dyDescent="0.25">
      <c r="A653" s="26">
        <v>45943</v>
      </c>
      <c r="B653" s="27">
        <f t="shared" si="50"/>
        <v>2025</v>
      </c>
      <c r="C653" s="27">
        <f t="shared" si="51"/>
        <v>10</v>
      </c>
      <c r="D653" s="27">
        <f t="shared" si="52"/>
        <v>13</v>
      </c>
      <c r="E653" s="27">
        <f t="shared" si="53"/>
        <v>2</v>
      </c>
      <c r="F653" s="27">
        <f>VLOOKUP(E653,[2]t_calendarioPolitica!A:C,3,FALSE)</f>
        <v>1</v>
      </c>
      <c r="G653" s="1">
        <v>1</v>
      </c>
      <c r="H653" s="1">
        <v>1</v>
      </c>
      <c r="I653" s="1">
        <f t="shared" si="54"/>
        <v>1</v>
      </c>
    </row>
    <row r="654" spans="1:9" x14ac:dyDescent="0.25">
      <c r="A654" s="26">
        <v>45944</v>
      </c>
      <c r="B654" s="27">
        <f t="shared" si="50"/>
        <v>2025</v>
      </c>
      <c r="C654" s="27">
        <f t="shared" si="51"/>
        <v>10</v>
      </c>
      <c r="D654" s="27">
        <f t="shared" si="52"/>
        <v>14</v>
      </c>
      <c r="E654" s="27">
        <f t="shared" si="53"/>
        <v>3</v>
      </c>
      <c r="F654" s="27">
        <f>VLOOKUP(E654,[2]t_calendarioPolitica!A:C,3,FALSE)</f>
        <v>1</v>
      </c>
      <c r="G654" s="1">
        <v>1</v>
      </c>
      <c r="H654" s="1">
        <v>1</v>
      </c>
      <c r="I654" s="1">
        <f t="shared" si="54"/>
        <v>1</v>
      </c>
    </row>
    <row r="655" spans="1:9" x14ac:dyDescent="0.25">
      <c r="A655" s="26">
        <v>45945</v>
      </c>
      <c r="B655" s="27">
        <f t="shared" si="50"/>
        <v>2025</v>
      </c>
      <c r="C655" s="27">
        <f t="shared" si="51"/>
        <v>10</v>
      </c>
      <c r="D655" s="27">
        <f t="shared" si="52"/>
        <v>15</v>
      </c>
      <c r="E655" s="27">
        <f t="shared" si="53"/>
        <v>4</v>
      </c>
      <c r="F655" s="27">
        <f>VLOOKUP(E655,[2]t_calendarioPolitica!A:C,3,FALSE)</f>
        <v>1</v>
      </c>
      <c r="G655" s="1">
        <v>1</v>
      </c>
      <c r="H655" s="1">
        <v>1</v>
      </c>
      <c r="I655" s="1">
        <f t="shared" si="54"/>
        <v>1</v>
      </c>
    </row>
    <row r="656" spans="1:9" x14ac:dyDescent="0.25">
      <c r="A656" s="26">
        <v>45946</v>
      </c>
      <c r="B656" s="27">
        <f t="shared" si="50"/>
        <v>2025</v>
      </c>
      <c r="C656" s="27">
        <f t="shared" si="51"/>
        <v>10</v>
      </c>
      <c r="D656" s="27">
        <f t="shared" si="52"/>
        <v>16</v>
      </c>
      <c r="E656" s="27">
        <f t="shared" si="53"/>
        <v>5</v>
      </c>
      <c r="F656" s="27">
        <f>VLOOKUP(E656,[2]t_calendarioPolitica!A:C,3,FALSE)</f>
        <v>1</v>
      </c>
      <c r="G656" s="1">
        <v>1</v>
      </c>
      <c r="H656" s="1">
        <v>1</v>
      </c>
      <c r="I656" s="1">
        <f t="shared" si="54"/>
        <v>1</v>
      </c>
    </row>
    <row r="657" spans="1:9" x14ac:dyDescent="0.25">
      <c r="A657" s="26">
        <v>45947</v>
      </c>
      <c r="B657" s="27">
        <f t="shared" si="50"/>
        <v>2025</v>
      </c>
      <c r="C657" s="27">
        <f t="shared" si="51"/>
        <v>10</v>
      </c>
      <c r="D657" s="27">
        <f t="shared" si="52"/>
        <v>17</v>
      </c>
      <c r="E657" s="27">
        <f t="shared" si="53"/>
        <v>6</v>
      </c>
      <c r="F657" s="27">
        <f>VLOOKUP(E657,[2]t_calendarioPolitica!A:C,3,FALSE)</f>
        <v>1</v>
      </c>
      <c r="G657" s="1">
        <v>1</v>
      </c>
      <c r="H657" s="1">
        <v>1</v>
      </c>
      <c r="I657" s="1">
        <f t="shared" si="54"/>
        <v>1</v>
      </c>
    </row>
    <row r="658" spans="1:9" x14ac:dyDescent="0.25">
      <c r="A658" s="26">
        <v>45948</v>
      </c>
      <c r="B658" s="27">
        <f t="shared" si="50"/>
        <v>2025</v>
      </c>
      <c r="C658" s="27">
        <f t="shared" si="51"/>
        <v>10</v>
      </c>
      <c r="D658" s="27">
        <f t="shared" si="52"/>
        <v>18</v>
      </c>
      <c r="E658" s="27">
        <f t="shared" si="53"/>
        <v>7</v>
      </c>
      <c r="F658" s="27">
        <f>VLOOKUP(E658,[2]t_calendarioPolitica!A:C,3,FALSE)</f>
        <v>2</v>
      </c>
      <c r="G658" s="1">
        <v>1</v>
      </c>
      <c r="H658" s="1">
        <v>1</v>
      </c>
      <c r="I658" s="1">
        <f t="shared" si="54"/>
        <v>1</v>
      </c>
    </row>
    <row r="659" spans="1:9" x14ac:dyDescent="0.25">
      <c r="A659" s="26">
        <v>45949</v>
      </c>
      <c r="B659" s="27">
        <f t="shared" si="50"/>
        <v>2025</v>
      </c>
      <c r="C659" s="27">
        <f t="shared" si="51"/>
        <v>10</v>
      </c>
      <c r="D659" s="27">
        <f t="shared" si="52"/>
        <v>19</v>
      </c>
      <c r="E659" s="27">
        <f t="shared" si="53"/>
        <v>1</v>
      </c>
      <c r="F659" s="27">
        <f>VLOOKUP(E659,[2]t_calendarioPolitica!A:C,3,FALSE)</f>
        <v>0</v>
      </c>
      <c r="G659" s="1">
        <v>1</v>
      </c>
      <c r="H659" s="1">
        <v>1</v>
      </c>
      <c r="I659" s="1">
        <f t="shared" si="54"/>
        <v>0</v>
      </c>
    </row>
    <row r="660" spans="1:9" x14ac:dyDescent="0.25">
      <c r="A660" s="26">
        <v>45950</v>
      </c>
      <c r="B660" s="27">
        <f t="shared" si="50"/>
        <v>2025</v>
      </c>
      <c r="C660" s="27">
        <f t="shared" si="51"/>
        <v>10</v>
      </c>
      <c r="D660" s="27">
        <f t="shared" si="52"/>
        <v>20</v>
      </c>
      <c r="E660" s="27">
        <f t="shared" si="53"/>
        <v>2</v>
      </c>
      <c r="F660" s="27">
        <f>VLOOKUP(E660,[2]t_calendarioPolitica!A:C,3,FALSE)</f>
        <v>1</v>
      </c>
      <c r="G660" s="1">
        <v>1</v>
      </c>
      <c r="H660" s="1">
        <v>1</v>
      </c>
      <c r="I660" s="1">
        <f t="shared" si="54"/>
        <v>1</v>
      </c>
    </row>
    <row r="661" spans="1:9" x14ac:dyDescent="0.25">
      <c r="A661" s="26">
        <v>45951</v>
      </c>
      <c r="B661" s="27">
        <f t="shared" si="50"/>
        <v>2025</v>
      </c>
      <c r="C661" s="27">
        <f t="shared" si="51"/>
        <v>10</v>
      </c>
      <c r="D661" s="27">
        <f t="shared" si="52"/>
        <v>21</v>
      </c>
      <c r="E661" s="27">
        <f t="shared" si="53"/>
        <v>3</v>
      </c>
      <c r="F661" s="27">
        <f>VLOOKUP(E661,[2]t_calendarioPolitica!A:C,3,FALSE)</f>
        <v>1</v>
      </c>
      <c r="G661" s="1">
        <v>1</v>
      </c>
      <c r="H661" s="1">
        <v>1</v>
      </c>
      <c r="I661" s="1">
        <f t="shared" si="54"/>
        <v>1</v>
      </c>
    </row>
    <row r="662" spans="1:9" x14ac:dyDescent="0.25">
      <c r="A662" s="26">
        <v>45952</v>
      </c>
      <c r="B662" s="27">
        <f t="shared" si="50"/>
        <v>2025</v>
      </c>
      <c r="C662" s="27">
        <f t="shared" si="51"/>
        <v>10</v>
      </c>
      <c r="D662" s="27">
        <f t="shared" si="52"/>
        <v>22</v>
      </c>
      <c r="E662" s="27">
        <f t="shared" si="53"/>
        <v>4</v>
      </c>
      <c r="F662" s="27">
        <f>VLOOKUP(E662,[2]t_calendarioPolitica!A:C,3,FALSE)</f>
        <v>1</v>
      </c>
      <c r="G662" s="1">
        <v>1</v>
      </c>
      <c r="H662" s="1">
        <v>1</v>
      </c>
      <c r="I662" s="1">
        <f t="shared" si="54"/>
        <v>1</v>
      </c>
    </row>
    <row r="663" spans="1:9" x14ac:dyDescent="0.25">
      <c r="A663" s="26">
        <v>45953</v>
      </c>
      <c r="B663" s="27">
        <f t="shared" si="50"/>
        <v>2025</v>
      </c>
      <c r="C663" s="27">
        <f t="shared" si="51"/>
        <v>10</v>
      </c>
      <c r="D663" s="27">
        <f t="shared" si="52"/>
        <v>23</v>
      </c>
      <c r="E663" s="27">
        <f t="shared" si="53"/>
        <v>5</v>
      </c>
      <c r="F663" s="27">
        <f>VLOOKUP(E663,[2]t_calendarioPolitica!A:C,3,FALSE)</f>
        <v>1</v>
      </c>
      <c r="G663" s="1">
        <v>1</v>
      </c>
      <c r="H663" s="1">
        <v>1</v>
      </c>
      <c r="I663" s="1">
        <f t="shared" si="54"/>
        <v>1</v>
      </c>
    </row>
    <row r="664" spans="1:9" x14ac:dyDescent="0.25">
      <c r="A664" s="26">
        <v>45954</v>
      </c>
      <c r="B664" s="27">
        <f t="shared" si="50"/>
        <v>2025</v>
      </c>
      <c r="C664" s="27">
        <f t="shared" si="51"/>
        <v>10</v>
      </c>
      <c r="D664" s="27">
        <f t="shared" si="52"/>
        <v>24</v>
      </c>
      <c r="E664" s="27">
        <f t="shared" si="53"/>
        <v>6</v>
      </c>
      <c r="F664" s="27">
        <f>VLOOKUP(E664,[2]t_calendarioPolitica!A:C,3,FALSE)</f>
        <v>1</v>
      </c>
      <c r="G664" s="1">
        <v>1</v>
      </c>
      <c r="H664" s="1">
        <v>1</v>
      </c>
      <c r="I664" s="1">
        <f t="shared" si="54"/>
        <v>1</v>
      </c>
    </row>
    <row r="665" spans="1:9" x14ac:dyDescent="0.25">
      <c r="A665" s="26">
        <v>45955</v>
      </c>
      <c r="B665" s="27">
        <f t="shared" si="50"/>
        <v>2025</v>
      </c>
      <c r="C665" s="27">
        <f t="shared" si="51"/>
        <v>10</v>
      </c>
      <c r="D665" s="27">
        <f t="shared" si="52"/>
        <v>25</v>
      </c>
      <c r="E665" s="27">
        <f t="shared" si="53"/>
        <v>7</v>
      </c>
      <c r="F665" s="27">
        <f>VLOOKUP(E665,[2]t_calendarioPolitica!A:C,3,FALSE)</f>
        <v>2</v>
      </c>
      <c r="G665" s="1">
        <v>1</v>
      </c>
      <c r="H665" s="1">
        <v>1</v>
      </c>
      <c r="I665" s="1">
        <f t="shared" si="54"/>
        <v>1</v>
      </c>
    </row>
    <row r="666" spans="1:9" x14ac:dyDescent="0.25">
      <c r="A666" s="26">
        <v>45956</v>
      </c>
      <c r="B666" s="27">
        <f t="shared" si="50"/>
        <v>2025</v>
      </c>
      <c r="C666" s="27">
        <f t="shared" si="51"/>
        <v>10</v>
      </c>
      <c r="D666" s="27">
        <f t="shared" si="52"/>
        <v>26</v>
      </c>
      <c r="E666" s="27">
        <f t="shared" si="53"/>
        <v>1</v>
      </c>
      <c r="F666" s="27">
        <f>VLOOKUP(E666,[2]t_calendarioPolitica!A:C,3,FALSE)</f>
        <v>0</v>
      </c>
      <c r="G666" s="1">
        <v>1</v>
      </c>
      <c r="H666" s="1">
        <v>1</v>
      </c>
      <c r="I666" s="1">
        <f t="shared" si="54"/>
        <v>0</v>
      </c>
    </row>
    <row r="667" spans="1:9" x14ac:dyDescent="0.25">
      <c r="A667" s="26">
        <v>45957</v>
      </c>
      <c r="B667" s="27">
        <f t="shared" si="50"/>
        <v>2025</v>
      </c>
      <c r="C667" s="27">
        <f t="shared" si="51"/>
        <v>10</v>
      </c>
      <c r="D667" s="27">
        <f t="shared" si="52"/>
        <v>27</v>
      </c>
      <c r="E667" s="27">
        <f t="shared" si="53"/>
        <v>2</v>
      </c>
      <c r="F667" s="27">
        <f>VLOOKUP(E667,[2]t_calendarioPolitica!A:C,3,FALSE)</f>
        <v>1</v>
      </c>
      <c r="G667" s="1">
        <v>1</v>
      </c>
      <c r="H667" s="1">
        <v>1</v>
      </c>
      <c r="I667" s="1">
        <f t="shared" si="54"/>
        <v>1</v>
      </c>
    </row>
    <row r="668" spans="1:9" x14ac:dyDescent="0.25">
      <c r="A668" s="26">
        <v>45958</v>
      </c>
      <c r="B668" s="27">
        <f t="shared" si="50"/>
        <v>2025</v>
      </c>
      <c r="C668" s="27">
        <f t="shared" si="51"/>
        <v>10</v>
      </c>
      <c r="D668" s="27">
        <f t="shared" si="52"/>
        <v>28</v>
      </c>
      <c r="E668" s="27">
        <f t="shared" si="53"/>
        <v>3</v>
      </c>
      <c r="F668" s="27">
        <f>VLOOKUP(E668,[2]t_calendarioPolitica!A:C,3,FALSE)</f>
        <v>1</v>
      </c>
      <c r="G668" s="1">
        <v>1</v>
      </c>
      <c r="H668" s="1">
        <v>1</v>
      </c>
      <c r="I668" s="1">
        <f t="shared" si="54"/>
        <v>1</v>
      </c>
    </row>
    <row r="669" spans="1:9" x14ac:dyDescent="0.25">
      <c r="A669" s="26">
        <v>45959</v>
      </c>
      <c r="B669" s="27">
        <f t="shared" si="50"/>
        <v>2025</v>
      </c>
      <c r="C669" s="27">
        <f t="shared" si="51"/>
        <v>10</v>
      </c>
      <c r="D669" s="27">
        <f t="shared" si="52"/>
        <v>29</v>
      </c>
      <c r="E669" s="27">
        <f t="shared" si="53"/>
        <v>4</v>
      </c>
      <c r="F669" s="27">
        <f>VLOOKUP(E669,[2]t_calendarioPolitica!A:C,3,FALSE)</f>
        <v>1</v>
      </c>
      <c r="G669" s="1">
        <v>1</v>
      </c>
      <c r="H669" s="1">
        <v>1</v>
      </c>
      <c r="I669" s="1">
        <f t="shared" si="54"/>
        <v>1</v>
      </c>
    </row>
    <row r="670" spans="1:9" x14ac:dyDescent="0.25">
      <c r="A670" s="26">
        <v>45960</v>
      </c>
      <c r="B670" s="27">
        <f t="shared" si="50"/>
        <v>2025</v>
      </c>
      <c r="C670" s="27">
        <f t="shared" si="51"/>
        <v>10</v>
      </c>
      <c r="D670" s="27">
        <f t="shared" si="52"/>
        <v>30</v>
      </c>
      <c r="E670" s="27">
        <f t="shared" si="53"/>
        <v>5</v>
      </c>
      <c r="F670" s="27">
        <f>VLOOKUP(E670,[2]t_calendarioPolitica!A:C,3,FALSE)</f>
        <v>1</v>
      </c>
      <c r="G670" s="1">
        <v>1</v>
      </c>
      <c r="H670" s="1">
        <v>1</v>
      </c>
      <c r="I670" s="1">
        <f t="shared" si="54"/>
        <v>1</v>
      </c>
    </row>
    <row r="671" spans="1:9" x14ac:dyDescent="0.25">
      <c r="A671" s="26">
        <v>45961</v>
      </c>
      <c r="B671" s="27">
        <f t="shared" si="50"/>
        <v>2025</v>
      </c>
      <c r="C671" s="27">
        <f t="shared" si="51"/>
        <v>10</v>
      </c>
      <c r="D671" s="27">
        <f t="shared" si="52"/>
        <v>31</v>
      </c>
      <c r="E671" s="27">
        <f t="shared" si="53"/>
        <v>6</v>
      </c>
      <c r="F671" s="27">
        <f>VLOOKUP(E671,[2]t_calendarioPolitica!A:C,3,FALSE)</f>
        <v>1</v>
      </c>
      <c r="G671" s="1">
        <v>1</v>
      </c>
      <c r="H671" s="1">
        <v>1</v>
      </c>
      <c r="I671" s="1">
        <f t="shared" si="54"/>
        <v>1</v>
      </c>
    </row>
    <row r="672" spans="1:9" x14ac:dyDescent="0.25">
      <c r="A672" s="26">
        <v>45962</v>
      </c>
      <c r="B672" s="27">
        <f t="shared" si="50"/>
        <v>2025</v>
      </c>
      <c r="C672" s="27">
        <f t="shared" si="51"/>
        <v>11</v>
      </c>
      <c r="D672" s="27">
        <f t="shared" si="52"/>
        <v>1</v>
      </c>
      <c r="E672" s="27">
        <f t="shared" si="53"/>
        <v>7</v>
      </c>
      <c r="F672" s="27">
        <f>VLOOKUP(E672,[2]t_calendarioPolitica!A:C,3,FALSE)</f>
        <v>2</v>
      </c>
      <c r="G672" s="1">
        <v>1</v>
      </c>
      <c r="H672" s="1">
        <v>1</v>
      </c>
      <c r="I672" s="1">
        <f t="shared" si="54"/>
        <v>1</v>
      </c>
    </row>
    <row r="673" spans="1:9" x14ac:dyDescent="0.25">
      <c r="A673" s="26">
        <v>45963</v>
      </c>
      <c r="B673" s="27">
        <f t="shared" si="50"/>
        <v>2025</v>
      </c>
      <c r="C673" s="27">
        <f t="shared" si="51"/>
        <v>11</v>
      </c>
      <c r="D673" s="27">
        <f t="shared" si="52"/>
        <v>2</v>
      </c>
      <c r="E673" s="27">
        <f t="shared" si="53"/>
        <v>1</v>
      </c>
      <c r="F673" s="27">
        <f>VLOOKUP(E673,[2]t_calendarioPolitica!A:C,3,FALSE)</f>
        <v>0</v>
      </c>
      <c r="G673" s="1">
        <v>1</v>
      </c>
      <c r="H673" s="1">
        <v>0</v>
      </c>
      <c r="I673" s="1">
        <f t="shared" si="54"/>
        <v>0</v>
      </c>
    </row>
    <row r="674" spans="1:9" x14ac:dyDescent="0.25">
      <c r="A674" s="26">
        <v>45964</v>
      </c>
      <c r="B674" s="27">
        <f t="shared" si="50"/>
        <v>2025</v>
      </c>
      <c r="C674" s="27">
        <f t="shared" si="51"/>
        <v>11</v>
      </c>
      <c r="D674" s="27">
        <f t="shared" si="52"/>
        <v>3</v>
      </c>
      <c r="E674" s="27">
        <f t="shared" si="53"/>
        <v>2</v>
      </c>
      <c r="F674" s="27">
        <f>VLOOKUP(E674,[2]t_calendarioPolitica!A:C,3,FALSE)</f>
        <v>1</v>
      </c>
      <c r="G674" s="1">
        <v>1</v>
      </c>
      <c r="H674" s="1">
        <v>1</v>
      </c>
      <c r="I674" s="1">
        <f t="shared" si="54"/>
        <v>1</v>
      </c>
    </row>
    <row r="675" spans="1:9" x14ac:dyDescent="0.25">
      <c r="A675" s="26">
        <v>45965</v>
      </c>
      <c r="B675" s="27">
        <f t="shared" si="50"/>
        <v>2025</v>
      </c>
      <c r="C675" s="27">
        <f t="shared" si="51"/>
        <v>11</v>
      </c>
      <c r="D675" s="27">
        <f t="shared" si="52"/>
        <v>4</v>
      </c>
      <c r="E675" s="27">
        <f t="shared" si="53"/>
        <v>3</v>
      </c>
      <c r="F675" s="27">
        <f>VLOOKUP(E675,[2]t_calendarioPolitica!A:C,3,FALSE)</f>
        <v>1</v>
      </c>
      <c r="G675" s="1">
        <v>1</v>
      </c>
      <c r="H675" s="1">
        <v>1</v>
      </c>
      <c r="I675" s="1">
        <f t="shared" si="54"/>
        <v>1</v>
      </c>
    </row>
    <row r="676" spans="1:9" x14ac:dyDescent="0.25">
      <c r="A676" s="26">
        <v>45966</v>
      </c>
      <c r="B676" s="27">
        <f t="shared" si="50"/>
        <v>2025</v>
      </c>
      <c r="C676" s="27">
        <f t="shared" si="51"/>
        <v>11</v>
      </c>
      <c r="D676" s="27">
        <f t="shared" si="52"/>
        <v>5</v>
      </c>
      <c r="E676" s="27">
        <f t="shared" si="53"/>
        <v>4</v>
      </c>
      <c r="F676" s="27">
        <f>VLOOKUP(E676,[2]t_calendarioPolitica!A:C,3,FALSE)</f>
        <v>1</v>
      </c>
      <c r="G676" s="1">
        <v>1</v>
      </c>
      <c r="H676" s="1">
        <v>1</v>
      </c>
      <c r="I676" s="1">
        <f t="shared" si="54"/>
        <v>1</v>
      </c>
    </row>
    <row r="677" spans="1:9" x14ac:dyDescent="0.25">
      <c r="A677" s="26">
        <v>45967</v>
      </c>
      <c r="B677" s="27">
        <f t="shared" si="50"/>
        <v>2025</v>
      </c>
      <c r="C677" s="27">
        <f t="shared" si="51"/>
        <v>11</v>
      </c>
      <c r="D677" s="27">
        <f t="shared" si="52"/>
        <v>6</v>
      </c>
      <c r="E677" s="27">
        <f t="shared" si="53"/>
        <v>5</v>
      </c>
      <c r="F677" s="27">
        <f>VLOOKUP(E677,[2]t_calendarioPolitica!A:C,3,FALSE)</f>
        <v>1</v>
      </c>
      <c r="G677" s="1">
        <v>1</v>
      </c>
      <c r="H677" s="1">
        <v>1</v>
      </c>
      <c r="I677" s="1">
        <f t="shared" si="54"/>
        <v>1</v>
      </c>
    </row>
    <row r="678" spans="1:9" x14ac:dyDescent="0.25">
      <c r="A678" s="26">
        <v>45968</v>
      </c>
      <c r="B678" s="27">
        <f t="shared" si="50"/>
        <v>2025</v>
      </c>
      <c r="C678" s="27">
        <f t="shared" si="51"/>
        <v>11</v>
      </c>
      <c r="D678" s="27">
        <f t="shared" si="52"/>
        <v>7</v>
      </c>
      <c r="E678" s="27">
        <f t="shared" si="53"/>
        <v>6</v>
      </c>
      <c r="F678" s="27">
        <f>VLOOKUP(E678,[2]t_calendarioPolitica!A:C,3,FALSE)</f>
        <v>1</v>
      </c>
      <c r="G678" s="1">
        <v>1</v>
      </c>
      <c r="H678" s="1">
        <v>1</v>
      </c>
      <c r="I678" s="1">
        <f t="shared" si="54"/>
        <v>1</v>
      </c>
    </row>
    <row r="679" spans="1:9" x14ac:dyDescent="0.25">
      <c r="A679" s="26">
        <v>45969</v>
      </c>
      <c r="B679" s="27">
        <f t="shared" si="50"/>
        <v>2025</v>
      </c>
      <c r="C679" s="27">
        <f t="shared" si="51"/>
        <v>11</v>
      </c>
      <c r="D679" s="27">
        <f t="shared" si="52"/>
        <v>8</v>
      </c>
      <c r="E679" s="27">
        <f t="shared" si="53"/>
        <v>7</v>
      </c>
      <c r="F679" s="27">
        <f>VLOOKUP(E679,[2]t_calendarioPolitica!A:C,3,FALSE)</f>
        <v>2</v>
      </c>
      <c r="G679" s="1">
        <v>1</v>
      </c>
      <c r="H679" s="1">
        <v>1</v>
      </c>
      <c r="I679" s="1">
        <f t="shared" si="54"/>
        <v>1</v>
      </c>
    </row>
    <row r="680" spans="1:9" x14ac:dyDescent="0.25">
      <c r="A680" s="26">
        <v>45970</v>
      </c>
      <c r="B680" s="27">
        <f t="shared" si="50"/>
        <v>2025</v>
      </c>
      <c r="C680" s="27">
        <f t="shared" si="51"/>
        <v>11</v>
      </c>
      <c r="D680" s="27">
        <f t="shared" si="52"/>
        <v>9</v>
      </c>
      <c r="E680" s="27">
        <f t="shared" si="53"/>
        <v>1</v>
      </c>
      <c r="F680" s="27">
        <f>VLOOKUP(E680,[2]t_calendarioPolitica!A:C,3,FALSE)</f>
        <v>0</v>
      </c>
      <c r="G680" s="1">
        <v>1</v>
      </c>
      <c r="H680" s="1">
        <v>1</v>
      </c>
      <c r="I680" s="1">
        <f t="shared" si="54"/>
        <v>0</v>
      </c>
    </row>
    <row r="681" spans="1:9" x14ac:dyDescent="0.25">
      <c r="A681" s="26">
        <v>45971</v>
      </c>
      <c r="B681" s="27">
        <f t="shared" si="50"/>
        <v>2025</v>
      </c>
      <c r="C681" s="27">
        <f t="shared" si="51"/>
        <v>11</v>
      </c>
      <c r="D681" s="27">
        <f t="shared" si="52"/>
        <v>10</v>
      </c>
      <c r="E681" s="27">
        <f t="shared" si="53"/>
        <v>2</v>
      </c>
      <c r="F681" s="27">
        <f>VLOOKUP(E681,[2]t_calendarioPolitica!A:C,3,FALSE)</f>
        <v>1</v>
      </c>
      <c r="G681" s="1">
        <v>1</v>
      </c>
      <c r="H681" s="1">
        <v>1</v>
      </c>
      <c r="I681" s="1">
        <f t="shared" si="54"/>
        <v>1</v>
      </c>
    </row>
    <row r="682" spans="1:9" x14ac:dyDescent="0.25">
      <c r="A682" s="26">
        <v>45972</v>
      </c>
      <c r="B682" s="27">
        <f t="shared" si="50"/>
        <v>2025</v>
      </c>
      <c r="C682" s="27">
        <f t="shared" si="51"/>
        <v>11</v>
      </c>
      <c r="D682" s="27">
        <f t="shared" si="52"/>
        <v>11</v>
      </c>
      <c r="E682" s="27">
        <f t="shared" si="53"/>
        <v>3</v>
      </c>
      <c r="F682" s="27">
        <f>VLOOKUP(E682,[2]t_calendarioPolitica!A:C,3,FALSE)</f>
        <v>1</v>
      </c>
      <c r="G682" s="1">
        <v>1</v>
      </c>
      <c r="H682" s="1">
        <v>1</v>
      </c>
      <c r="I682" s="1">
        <f t="shared" si="54"/>
        <v>1</v>
      </c>
    </row>
    <row r="683" spans="1:9" x14ac:dyDescent="0.25">
      <c r="A683" s="26">
        <v>45973</v>
      </c>
      <c r="B683" s="27">
        <f t="shared" si="50"/>
        <v>2025</v>
      </c>
      <c r="C683" s="27">
        <f t="shared" si="51"/>
        <v>11</v>
      </c>
      <c r="D683" s="27">
        <f t="shared" si="52"/>
        <v>12</v>
      </c>
      <c r="E683" s="27">
        <f t="shared" si="53"/>
        <v>4</v>
      </c>
      <c r="F683" s="27">
        <f>VLOOKUP(E683,[2]t_calendarioPolitica!A:C,3,FALSE)</f>
        <v>1</v>
      </c>
      <c r="G683" s="1">
        <v>1</v>
      </c>
      <c r="H683" s="1">
        <v>1</v>
      </c>
      <c r="I683" s="1">
        <f t="shared" si="54"/>
        <v>1</v>
      </c>
    </row>
    <row r="684" spans="1:9" x14ac:dyDescent="0.25">
      <c r="A684" s="26">
        <v>45974</v>
      </c>
      <c r="B684" s="27">
        <f t="shared" si="50"/>
        <v>2025</v>
      </c>
      <c r="C684" s="27">
        <f t="shared" si="51"/>
        <v>11</v>
      </c>
      <c r="D684" s="27">
        <f t="shared" si="52"/>
        <v>13</v>
      </c>
      <c r="E684" s="27">
        <f t="shared" si="53"/>
        <v>5</v>
      </c>
      <c r="F684" s="27">
        <f>VLOOKUP(E684,[2]t_calendarioPolitica!A:C,3,FALSE)</f>
        <v>1</v>
      </c>
      <c r="G684" s="1">
        <v>1</v>
      </c>
      <c r="H684" s="1">
        <v>1</v>
      </c>
      <c r="I684" s="1">
        <f t="shared" si="54"/>
        <v>1</v>
      </c>
    </row>
    <row r="685" spans="1:9" x14ac:dyDescent="0.25">
      <c r="A685" s="26">
        <v>45975</v>
      </c>
      <c r="B685" s="27">
        <f t="shared" si="50"/>
        <v>2025</v>
      </c>
      <c r="C685" s="27">
        <f t="shared" si="51"/>
        <v>11</v>
      </c>
      <c r="D685" s="27">
        <f t="shared" si="52"/>
        <v>14</v>
      </c>
      <c r="E685" s="27">
        <f t="shared" si="53"/>
        <v>6</v>
      </c>
      <c r="F685" s="27">
        <f>VLOOKUP(E685,[2]t_calendarioPolitica!A:C,3,FALSE)</f>
        <v>1</v>
      </c>
      <c r="G685" s="1">
        <v>1</v>
      </c>
      <c r="H685" s="1">
        <v>1</v>
      </c>
      <c r="I685" s="1">
        <f t="shared" si="54"/>
        <v>1</v>
      </c>
    </row>
    <row r="686" spans="1:9" x14ac:dyDescent="0.25">
      <c r="A686" s="26">
        <v>45976</v>
      </c>
      <c r="B686" s="27">
        <f t="shared" si="50"/>
        <v>2025</v>
      </c>
      <c r="C686" s="27">
        <f t="shared" si="51"/>
        <v>11</v>
      </c>
      <c r="D686" s="27">
        <f t="shared" si="52"/>
        <v>15</v>
      </c>
      <c r="E686" s="27">
        <f t="shared" si="53"/>
        <v>7</v>
      </c>
      <c r="F686" s="27">
        <f>VLOOKUP(E686,[2]t_calendarioPolitica!A:C,3,FALSE)</f>
        <v>2</v>
      </c>
      <c r="G686" s="1">
        <v>1</v>
      </c>
      <c r="H686" s="1">
        <v>1</v>
      </c>
      <c r="I686" s="1">
        <f t="shared" si="54"/>
        <v>1</v>
      </c>
    </row>
    <row r="687" spans="1:9" x14ac:dyDescent="0.25">
      <c r="A687" s="26">
        <v>45977</v>
      </c>
      <c r="B687" s="27">
        <f t="shared" si="50"/>
        <v>2025</v>
      </c>
      <c r="C687" s="27">
        <f t="shared" si="51"/>
        <v>11</v>
      </c>
      <c r="D687" s="27">
        <f t="shared" si="52"/>
        <v>16</v>
      </c>
      <c r="E687" s="27">
        <f t="shared" si="53"/>
        <v>1</v>
      </c>
      <c r="F687" s="27">
        <f>VLOOKUP(E687,[2]t_calendarioPolitica!A:C,3,FALSE)</f>
        <v>0</v>
      </c>
      <c r="G687" s="1">
        <v>1</v>
      </c>
      <c r="H687" s="1">
        <v>1</v>
      </c>
      <c r="I687" s="1">
        <f t="shared" si="54"/>
        <v>0</v>
      </c>
    </row>
    <row r="688" spans="1:9" x14ac:dyDescent="0.25">
      <c r="A688" s="26">
        <v>45978</v>
      </c>
      <c r="B688" s="27">
        <f t="shared" si="50"/>
        <v>2025</v>
      </c>
      <c r="C688" s="27">
        <f t="shared" si="51"/>
        <v>11</v>
      </c>
      <c r="D688" s="27">
        <f t="shared" si="52"/>
        <v>17</v>
      </c>
      <c r="E688" s="27">
        <f t="shared" si="53"/>
        <v>2</v>
      </c>
      <c r="F688" s="27">
        <f>VLOOKUP(E688,[2]t_calendarioPolitica!A:C,3,FALSE)</f>
        <v>1</v>
      </c>
      <c r="G688" s="1">
        <v>1</v>
      </c>
      <c r="H688" s="1">
        <v>1</v>
      </c>
      <c r="I688" s="1">
        <f t="shared" si="54"/>
        <v>1</v>
      </c>
    </row>
    <row r="689" spans="1:9" x14ac:dyDescent="0.25">
      <c r="A689" s="26">
        <v>45979</v>
      </c>
      <c r="B689" s="27">
        <f t="shared" si="50"/>
        <v>2025</v>
      </c>
      <c r="C689" s="27">
        <f t="shared" si="51"/>
        <v>11</v>
      </c>
      <c r="D689" s="27">
        <f t="shared" si="52"/>
        <v>18</v>
      </c>
      <c r="E689" s="27">
        <f t="shared" si="53"/>
        <v>3</v>
      </c>
      <c r="F689" s="27">
        <f>VLOOKUP(E689,[2]t_calendarioPolitica!A:C,3,FALSE)</f>
        <v>1</v>
      </c>
      <c r="G689" s="1">
        <v>1</v>
      </c>
      <c r="H689" s="1">
        <v>1</v>
      </c>
      <c r="I689" s="1">
        <f t="shared" si="54"/>
        <v>1</v>
      </c>
    </row>
    <row r="690" spans="1:9" x14ac:dyDescent="0.25">
      <c r="A690" s="26">
        <v>45980</v>
      </c>
      <c r="B690" s="27">
        <f t="shared" si="50"/>
        <v>2025</v>
      </c>
      <c r="C690" s="27">
        <f t="shared" si="51"/>
        <v>11</v>
      </c>
      <c r="D690" s="27">
        <f t="shared" si="52"/>
        <v>19</v>
      </c>
      <c r="E690" s="27">
        <f t="shared" si="53"/>
        <v>4</v>
      </c>
      <c r="F690" s="27">
        <f>VLOOKUP(E690,[2]t_calendarioPolitica!A:C,3,FALSE)</f>
        <v>1</v>
      </c>
      <c r="G690" s="1">
        <v>1</v>
      </c>
      <c r="H690" s="1">
        <v>1</v>
      </c>
      <c r="I690" s="1">
        <f t="shared" si="54"/>
        <v>1</v>
      </c>
    </row>
    <row r="691" spans="1:9" x14ac:dyDescent="0.25">
      <c r="A691" s="26">
        <v>45981</v>
      </c>
      <c r="B691" s="27">
        <f t="shared" si="50"/>
        <v>2025</v>
      </c>
      <c r="C691" s="27">
        <f t="shared" si="51"/>
        <v>11</v>
      </c>
      <c r="D691" s="27">
        <f t="shared" si="52"/>
        <v>20</v>
      </c>
      <c r="E691" s="27">
        <f t="shared" si="53"/>
        <v>5</v>
      </c>
      <c r="F691" s="27">
        <f>VLOOKUP(E691,[2]t_calendarioPolitica!A:C,3,FALSE)</f>
        <v>1</v>
      </c>
      <c r="G691" s="1">
        <v>1</v>
      </c>
      <c r="H691" s="1">
        <v>1</v>
      </c>
      <c r="I691" s="1">
        <f t="shared" si="54"/>
        <v>1</v>
      </c>
    </row>
    <row r="692" spans="1:9" x14ac:dyDescent="0.25">
      <c r="A692" s="26">
        <v>45982</v>
      </c>
      <c r="B692" s="27">
        <f t="shared" si="50"/>
        <v>2025</v>
      </c>
      <c r="C692" s="27">
        <f t="shared" si="51"/>
        <v>11</v>
      </c>
      <c r="D692" s="27">
        <f t="shared" si="52"/>
        <v>21</v>
      </c>
      <c r="E692" s="27">
        <f t="shared" si="53"/>
        <v>6</v>
      </c>
      <c r="F692" s="27">
        <f>VLOOKUP(E692,[2]t_calendarioPolitica!A:C,3,FALSE)</f>
        <v>1</v>
      </c>
      <c r="G692" s="1">
        <v>1</v>
      </c>
      <c r="H692" s="1">
        <v>1</v>
      </c>
      <c r="I692" s="1">
        <f t="shared" si="54"/>
        <v>1</v>
      </c>
    </row>
    <row r="693" spans="1:9" x14ac:dyDescent="0.25">
      <c r="A693" s="26">
        <v>45983</v>
      </c>
      <c r="B693" s="27">
        <f t="shared" si="50"/>
        <v>2025</v>
      </c>
      <c r="C693" s="27">
        <f t="shared" si="51"/>
        <v>11</v>
      </c>
      <c r="D693" s="27">
        <f t="shared" si="52"/>
        <v>22</v>
      </c>
      <c r="E693" s="27">
        <f t="shared" si="53"/>
        <v>7</v>
      </c>
      <c r="F693" s="27">
        <f>VLOOKUP(E693,[2]t_calendarioPolitica!A:C,3,FALSE)</f>
        <v>2</v>
      </c>
      <c r="G693" s="1">
        <v>1</v>
      </c>
      <c r="H693" s="1">
        <v>1</v>
      </c>
      <c r="I693" s="1">
        <f t="shared" si="54"/>
        <v>1</v>
      </c>
    </row>
    <row r="694" spans="1:9" x14ac:dyDescent="0.25">
      <c r="A694" s="26">
        <v>45984</v>
      </c>
      <c r="B694" s="27">
        <f t="shared" si="50"/>
        <v>2025</v>
      </c>
      <c r="C694" s="27">
        <f t="shared" si="51"/>
        <v>11</v>
      </c>
      <c r="D694" s="27">
        <f t="shared" si="52"/>
        <v>23</v>
      </c>
      <c r="E694" s="27">
        <f t="shared" si="53"/>
        <v>1</v>
      </c>
      <c r="F694" s="27">
        <f>VLOOKUP(E694,[2]t_calendarioPolitica!A:C,3,FALSE)</f>
        <v>0</v>
      </c>
      <c r="G694" s="1">
        <v>1</v>
      </c>
      <c r="H694" s="1">
        <v>1</v>
      </c>
      <c r="I694" s="1">
        <f t="shared" si="54"/>
        <v>0</v>
      </c>
    </row>
    <row r="695" spans="1:9" x14ac:dyDescent="0.25">
      <c r="A695" s="26">
        <v>45985</v>
      </c>
      <c r="B695" s="27">
        <f t="shared" si="50"/>
        <v>2025</v>
      </c>
      <c r="C695" s="27">
        <f t="shared" si="51"/>
        <v>11</v>
      </c>
      <c r="D695" s="27">
        <f t="shared" si="52"/>
        <v>24</v>
      </c>
      <c r="E695" s="27">
        <f t="shared" si="53"/>
        <v>2</v>
      </c>
      <c r="F695" s="27">
        <f>VLOOKUP(E695,[2]t_calendarioPolitica!A:C,3,FALSE)</f>
        <v>1</v>
      </c>
      <c r="G695" s="1">
        <v>1</v>
      </c>
      <c r="H695" s="1">
        <v>1</v>
      </c>
      <c r="I695" s="1">
        <f t="shared" si="54"/>
        <v>1</v>
      </c>
    </row>
    <row r="696" spans="1:9" x14ac:dyDescent="0.25">
      <c r="A696" s="26">
        <v>45986</v>
      </c>
      <c r="B696" s="27">
        <f t="shared" si="50"/>
        <v>2025</v>
      </c>
      <c r="C696" s="27">
        <f t="shared" si="51"/>
        <v>11</v>
      </c>
      <c r="D696" s="27">
        <f t="shared" si="52"/>
        <v>25</v>
      </c>
      <c r="E696" s="27">
        <f t="shared" si="53"/>
        <v>3</v>
      </c>
      <c r="F696" s="27">
        <f>VLOOKUP(E696,[2]t_calendarioPolitica!A:C,3,FALSE)</f>
        <v>1</v>
      </c>
      <c r="G696" s="1">
        <v>1</v>
      </c>
      <c r="H696" s="1">
        <v>1</v>
      </c>
      <c r="I696" s="1">
        <f t="shared" si="54"/>
        <v>1</v>
      </c>
    </row>
    <row r="697" spans="1:9" x14ac:dyDescent="0.25">
      <c r="A697" s="26">
        <v>45987</v>
      </c>
      <c r="B697" s="27">
        <f t="shared" si="50"/>
        <v>2025</v>
      </c>
      <c r="C697" s="27">
        <f t="shared" si="51"/>
        <v>11</v>
      </c>
      <c r="D697" s="27">
        <f t="shared" si="52"/>
        <v>26</v>
      </c>
      <c r="E697" s="27">
        <f t="shared" si="53"/>
        <v>4</v>
      </c>
      <c r="F697" s="27">
        <f>VLOOKUP(E697,[2]t_calendarioPolitica!A:C,3,FALSE)</f>
        <v>1</v>
      </c>
      <c r="G697" s="1">
        <v>1</v>
      </c>
      <c r="H697" s="1">
        <v>1</v>
      </c>
      <c r="I697" s="1">
        <f t="shared" si="54"/>
        <v>1</v>
      </c>
    </row>
    <row r="698" spans="1:9" x14ac:dyDescent="0.25">
      <c r="A698" s="26">
        <v>45988</v>
      </c>
      <c r="B698" s="27">
        <f t="shared" si="50"/>
        <v>2025</v>
      </c>
      <c r="C698" s="27">
        <f t="shared" si="51"/>
        <v>11</v>
      </c>
      <c r="D698" s="27">
        <f t="shared" si="52"/>
        <v>27</v>
      </c>
      <c r="E698" s="27">
        <f t="shared" si="53"/>
        <v>5</v>
      </c>
      <c r="F698" s="27">
        <f>VLOOKUP(E698,[2]t_calendarioPolitica!A:C,3,FALSE)</f>
        <v>1</v>
      </c>
      <c r="G698" s="1">
        <v>1</v>
      </c>
      <c r="H698" s="1">
        <v>1</v>
      </c>
      <c r="I698" s="1">
        <f t="shared" si="54"/>
        <v>1</v>
      </c>
    </row>
    <row r="699" spans="1:9" x14ac:dyDescent="0.25">
      <c r="A699" s="26">
        <v>45989</v>
      </c>
      <c r="B699" s="27">
        <f t="shared" si="50"/>
        <v>2025</v>
      </c>
      <c r="C699" s="27">
        <f t="shared" si="51"/>
        <v>11</v>
      </c>
      <c r="D699" s="27">
        <f t="shared" si="52"/>
        <v>28</v>
      </c>
      <c r="E699" s="27">
        <f t="shared" si="53"/>
        <v>6</v>
      </c>
      <c r="F699" s="27">
        <f>VLOOKUP(E699,[2]t_calendarioPolitica!A:C,3,FALSE)</f>
        <v>1</v>
      </c>
      <c r="G699" s="1">
        <v>1</v>
      </c>
      <c r="H699" s="1">
        <v>1</v>
      </c>
      <c r="I699" s="1">
        <f t="shared" si="54"/>
        <v>1</v>
      </c>
    </row>
    <row r="700" spans="1:9" x14ac:dyDescent="0.25">
      <c r="A700" s="26">
        <v>45990</v>
      </c>
      <c r="B700" s="27">
        <f t="shared" si="50"/>
        <v>2025</v>
      </c>
      <c r="C700" s="27">
        <f t="shared" si="51"/>
        <v>11</v>
      </c>
      <c r="D700" s="27">
        <f t="shared" si="52"/>
        <v>29</v>
      </c>
      <c r="E700" s="27">
        <f t="shared" si="53"/>
        <v>7</v>
      </c>
      <c r="F700" s="27">
        <f>VLOOKUP(E700,[2]t_calendarioPolitica!A:C,3,FALSE)</f>
        <v>2</v>
      </c>
      <c r="G700" s="1">
        <v>1</v>
      </c>
      <c r="H700" s="1">
        <v>1</v>
      </c>
      <c r="I700" s="1">
        <f t="shared" si="54"/>
        <v>1</v>
      </c>
    </row>
    <row r="701" spans="1:9" x14ac:dyDescent="0.25">
      <c r="A701" s="26">
        <v>45991</v>
      </c>
      <c r="B701" s="27">
        <f t="shared" si="50"/>
        <v>2025</v>
      </c>
      <c r="C701" s="27">
        <f t="shared" si="51"/>
        <v>11</v>
      </c>
      <c r="D701" s="27">
        <f t="shared" si="52"/>
        <v>30</v>
      </c>
      <c r="E701" s="27">
        <f t="shared" si="53"/>
        <v>1</v>
      </c>
      <c r="F701" s="27">
        <f>VLOOKUP(E701,[2]t_calendarioPolitica!A:C,3,FALSE)</f>
        <v>0</v>
      </c>
      <c r="G701" s="1">
        <v>1</v>
      </c>
      <c r="H701" s="1">
        <v>1</v>
      </c>
      <c r="I701" s="1">
        <f t="shared" si="54"/>
        <v>0</v>
      </c>
    </row>
    <row r="702" spans="1:9" x14ac:dyDescent="0.25">
      <c r="A702" s="26">
        <v>45992</v>
      </c>
      <c r="B702" s="27">
        <f t="shared" si="50"/>
        <v>2025</v>
      </c>
      <c r="C702" s="27">
        <f t="shared" si="51"/>
        <v>12</v>
      </c>
      <c r="D702" s="27">
        <f t="shared" si="52"/>
        <v>1</v>
      </c>
      <c r="E702" s="27">
        <f t="shared" si="53"/>
        <v>2</v>
      </c>
      <c r="F702" s="27">
        <f>VLOOKUP(E702,[2]t_calendarioPolitica!A:C,3,FALSE)</f>
        <v>1</v>
      </c>
      <c r="G702" s="1">
        <v>1</v>
      </c>
      <c r="H702" s="1">
        <v>1</v>
      </c>
      <c r="I702" s="1">
        <f t="shared" si="54"/>
        <v>1</v>
      </c>
    </row>
    <row r="703" spans="1:9" x14ac:dyDescent="0.25">
      <c r="A703" s="26">
        <v>45993</v>
      </c>
      <c r="B703" s="27">
        <f t="shared" si="50"/>
        <v>2025</v>
      </c>
      <c r="C703" s="27">
        <f t="shared" si="51"/>
        <v>12</v>
      </c>
      <c r="D703" s="27">
        <f t="shared" si="52"/>
        <v>2</v>
      </c>
      <c r="E703" s="27">
        <f t="shared" si="53"/>
        <v>3</v>
      </c>
      <c r="F703" s="27">
        <f>VLOOKUP(E703,[2]t_calendarioPolitica!A:C,3,FALSE)</f>
        <v>1</v>
      </c>
      <c r="G703" s="1">
        <v>1</v>
      </c>
      <c r="H703" s="1">
        <v>1</v>
      </c>
      <c r="I703" s="1">
        <f t="shared" si="54"/>
        <v>1</v>
      </c>
    </row>
    <row r="704" spans="1:9" x14ac:dyDescent="0.25">
      <c r="A704" s="26">
        <v>45994</v>
      </c>
      <c r="B704" s="27">
        <f t="shared" si="50"/>
        <v>2025</v>
      </c>
      <c r="C704" s="27">
        <f t="shared" si="51"/>
        <v>12</v>
      </c>
      <c r="D704" s="27">
        <f t="shared" si="52"/>
        <v>3</v>
      </c>
      <c r="E704" s="27">
        <f t="shared" si="53"/>
        <v>4</v>
      </c>
      <c r="F704" s="27">
        <f>VLOOKUP(E704,[2]t_calendarioPolitica!A:C,3,FALSE)</f>
        <v>1</v>
      </c>
      <c r="G704" s="1">
        <v>1</v>
      </c>
      <c r="H704" s="1">
        <v>1</v>
      </c>
      <c r="I704" s="1">
        <f t="shared" si="54"/>
        <v>1</v>
      </c>
    </row>
    <row r="705" spans="1:9" x14ac:dyDescent="0.25">
      <c r="A705" s="26">
        <v>45995</v>
      </c>
      <c r="B705" s="27">
        <f t="shared" si="50"/>
        <v>2025</v>
      </c>
      <c r="C705" s="27">
        <f t="shared" si="51"/>
        <v>12</v>
      </c>
      <c r="D705" s="27">
        <f t="shared" si="52"/>
        <v>4</v>
      </c>
      <c r="E705" s="27">
        <f t="shared" si="53"/>
        <v>5</v>
      </c>
      <c r="F705" s="27">
        <f>VLOOKUP(E705,[2]t_calendarioPolitica!A:C,3,FALSE)</f>
        <v>1</v>
      </c>
      <c r="G705" s="1">
        <v>1</v>
      </c>
      <c r="H705" s="1">
        <v>1</v>
      </c>
      <c r="I705" s="1">
        <f t="shared" si="54"/>
        <v>1</v>
      </c>
    </row>
    <row r="706" spans="1:9" x14ac:dyDescent="0.25">
      <c r="A706" s="26">
        <v>45996</v>
      </c>
      <c r="B706" s="27">
        <f t="shared" si="50"/>
        <v>2025</v>
      </c>
      <c r="C706" s="27">
        <f t="shared" si="51"/>
        <v>12</v>
      </c>
      <c r="D706" s="27">
        <f t="shared" si="52"/>
        <v>5</v>
      </c>
      <c r="E706" s="27">
        <f t="shared" si="53"/>
        <v>6</v>
      </c>
      <c r="F706" s="27">
        <f>VLOOKUP(E706,[2]t_calendarioPolitica!A:C,3,FALSE)</f>
        <v>1</v>
      </c>
      <c r="G706" s="1">
        <v>1</v>
      </c>
      <c r="H706" s="1">
        <v>1</v>
      </c>
      <c r="I706" s="1">
        <f t="shared" si="54"/>
        <v>1</v>
      </c>
    </row>
    <row r="707" spans="1:9" x14ac:dyDescent="0.25">
      <c r="A707" s="26">
        <v>45997</v>
      </c>
      <c r="B707" s="27">
        <f t="shared" ref="B707:B770" si="55">YEAR(A707)</f>
        <v>2025</v>
      </c>
      <c r="C707" s="27">
        <f t="shared" ref="C707:C770" si="56">MONTH(A707)</f>
        <v>12</v>
      </c>
      <c r="D707" s="27">
        <f t="shared" ref="D707:D770" si="57">DAY(A707)</f>
        <v>6</v>
      </c>
      <c r="E707" s="27">
        <f t="shared" ref="E707:E770" si="58">WEEKDAY(A707)</f>
        <v>7</v>
      </c>
      <c r="F707" s="27">
        <f>VLOOKUP(E707,[2]t_calendarioPolitica!A:C,3,FALSE)</f>
        <v>2</v>
      </c>
      <c r="G707" s="1">
        <v>1</v>
      </c>
      <c r="H707" s="1">
        <v>1</v>
      </c>
      <c r="I707" s="1">
        <f t="shared" ref="I707:I770" si="59">IF(AND(F707&lt;&gt;0, H707&lt;&gt;0,G707&lt;&gt;0), 1, 0)</f>
        <v>1</v>
      </c>
    </row>
    <row r="708" spans="1:9" x14ac:dyDescent="0.25">
      <c r="A708" s="26">
        <v>45998</v>
      </c>
      <c r="B708" s="27">
        <f t="shared" si="55"/>
        <v>2025</v>
      </c>
      <c r="C708" s="27">
        <f t="shared" si="56"/>
        <v>12</v>
      </c>
      <c r="D708" s="27">
        <f t="shared" si="57"/>
        <v>7</v>
      </c>
      <c r="E708" s="27">
        <f t="shared" si="58"/>
        <v>1</v>
      </c>
      <c r="F708" s="27">
        <f>VLOOKUP(E708,[2]t_calendarioPolitica!A:C,3,FALSE)</f>
        <v>0</v>
      </c>
      <c r="G708" s="1">
        <v>1</v>
      </c>
      <c r="H708" s="1">
        <v>1</v>
      </c>
      <c r="I708" s="1">
        <f t="shared" si="59"/>
        <v>0</v>
      </c>
    </row>
    <row r="709" spans="1:9" x14ac:dyDescent="0.25">
      <c r="A709" s="26">
        <v>45999</v>
      </c>
      <c r="B709" s="27">
        <f t="shared" si="55"/>
        <v>2025</v>
      </c>
      <c r="C709" s="27">
        <f t="shared" si="56"/>
        <v>12</v>
      </c>
      <c r="D709" s="27">
        <f t="shared" si="57"/>
        <v>8</v>
      </c>
      <c r="E709" s="27">
        <f t="shared" si="58"/>
        <v>2</v>
      </c>
      <c r="F709" s="27">
        <f>VLOOKUP(E709,[2]t_calendarioPolitica!A:C,3,FALSE)</f>
        <v>1</v>
      </c>
      <c r="G709" s="1">
        <v>1</v>
      </c>
      <c r="H709" s="1">
        <v>1</v>
      </c>
      <c r="I709" s="1">
        <f t="shared" si="59"/>
        <v>1</v>
      </c>
    </row>
    <row r="710" spans="1:9" x14ac:dyDescent="0.25">
      <c r="A710" s="26">
        <v>46000</v>
      </c>
      <c r="B710" s="27">
        <f t="shared" si="55"/>
        <v>2025</v>
      </c>
      <c r="C710" s="27">
        <f t="shared" si="56"/>
        <v>12</v>
      </c>
      <c r="D710" s="27">
        <f t="shared" si="57"/>
        <v>9</v>
      </c>
      <c r="E710" s="27">
        <f t="shared" si="58"/>
        <v>3</v>
      </c>
      <c r="F710" s="27">
        <f>VLOOKUP(E710,[2]t_calendarioPolitica!A:C,3,FALSE)</f>
        <v>1</v>
      </c>
      <c r="G710" s="1">
        <v>1</v>
      </c>
      <c r="H710" s="1">
        <v>1</v>
      </c>
      <c r="I710" s="1">
        <f t="shared" si="59"/>
        <v>1</v>
      </c>
    </row>
    <row r="711" spans="1:9" x14ac:dyDescent="0.25">
      <c r="A711" s="26">
        <v>46001</v>
      </c>
      <c r="B711" s="27">
        <f t="shared" si="55"/>
        <v>2025</v>
      </c>
      <c r="C711" s="27">
        <f t="shared" si="56"/>
        <v>12</v>
      </c>
      <c r="D711" s="27">
        <f t="shared" si="57"/>
        <v>10</v>
      </c>
      <c r="E711" s="27">
        <f t="shared" si="58"/>
        <v>4</v>
      </c>
      <c r="F711" s="27">
        <f>VLOOKUP(E711,[2]t_calendarioPolitica!A:C,3,FALSE)</f>
        <v>1</v>
      </c>
      <c r="G711" s="1">
        <v>1</v>
      </c>
      <c r="H711" s="1">
        <v>1</v>
      </c>
      <c r="I711" s="1">
        <f t="shared" si="59"/>
        <v>1</v>
      </c>
    </row>
    <row r="712" spans="1:9" x14ac:dyDescent="0.25">
      <c r="A712" s="26">
        <v>46002</v>
      </c>
      <c r="B712" s="27">
        <f t="shared" si="55"/>
        <v>2025</v>
      </c>
      <c r="C712" s="27">
        <f t="shared" si="56"/>
        <v>12</v>
      </c>
      <c r="D712" s="27">
        <f t="shared" si="57"/>
        <v>11</v>
      </c>
      <c r="E712" s="27">
        <f t="shared" si="58"/>
        <v>5</v>
      </c>
      <c r="F712" s="27">
        <f>VLOOKUP(E712,[2]t_calendarioPolitica!A:C,3,FALSE)</f>
        <v>1</v>
      </c>
      <c r="G712" s="1">
        <v>1</v>
      </c>
      <c r="H712" s="1">
        <v>1</v>
      </c>
      <c r="I712" s="1">
        <f t="shared" si="59"/>
        <v>1</v>
      </c>
    </row>
    <row r="713" spans="1:9" x14ac:dyDescent="0.25">
      <c r="A713" s="26">
        <v>46003</v>
      </c>
      <c r="B713" s="27">
        <f t="shared" si="55"/>
        <v>2025</v>
      </c>
      <c r="C713" s="27">
        <f t="shared" si="56"/>
        <v>12</v>
      </c>
      <c r="D713" s="27">
        <f t="shared" si="57"/>
        <v>12</v>
      </c>
      <c r="E713" s="27">
        <f t="shared" si="58"/>
        <v>6</v>
      </c>
      <c r="F713" s="27">
        <f>VLOOKUP(E713,[2]t_calendarioPolitica!A:C,3,FALSE)</f>
        <v>1</v>
      </c>
      <c r="G713" s="1">
        <v>1</v>
      </c>
      <c r="H713" s="1">
        <v>0</v>
      </c>
      <c r="I713" s="1">
        <f t="shared" si="59"/>
        <v>0</v>
      </c>
    </row>
    <row r="714" spans="1:9" x14ac:dyDescent="0.25">
      <c r="A714" s="26">
        <v>46004</v>
      </c>
      <c r="B714" s="27">
        <f t="shared" si="55"/>
        <v>2025</v>
      </c>
      <c r="C714" s="27">
        <f t="shared" si="56"/>
        <v>12</v>
      </c>
      <c r="D714" s="27">
        <f t="shared" si="57"/>
        <v>13</v>
      </c>
      <c r="E714" s="27">
        <f t="shared" si="58"/>
        <v>7</v>
      </c>
      <c r="F714" s="27">
        <f>VLOOKUP(E714,[2]t_calendarioPolitica!A:C,3,FALSE)</f>
        <v>2</v>
      </c>
      <c r="G714" s="1">
        <v>1</v>
      </c>
      <c r="H714" s="1">
        <v>1</v>
      </c>
      <c r="I714" s="1">
        <f t="shared" si="59"/>
        <v>1</v>
      </c>
    </row>
    <row r="715" spans="1:9" x14ac:dyDescent="0.25">
      <c r="A715" s="26">
        <v>46005</v>
      </c>
      <c r="B715" s="27">
        <f t="shared" si="55"/>
        <v>2025</v>
      </c>
      <c r="C715" s="27">
        <f t="shared" si="56"/>
        <v>12</v>
      </c>
      <c r="D715" s="27">
        <f t="shared" si="57"/>
        <v>14</v>
      </c>
      <c r="E715" s="27">
        <f t="shared" si="58"/>
        <v>1</v>
      </c>
      <c r="F715" s="27">
        <f>VLOOKUP(E715,[2]t_calendarioPolitica!A:C,3,FALSE)</f>
        <v>0</v>
      </c>
      <c r="G715" s="1">
        <v>1</v>
      </c>
      <c r="H715" s="1">
        <v>1</v>
      </c>
      <c r="I715" s="1">
        <f t="shared" si="59"/>
        <v>0</v>
      </c>
    </row>
    <row r="716" spans="1:9" x14ac:dyDescent="0.25">
      <c r="A716" s="26">
        <v>46006</v>
      </c>
      <c r="B716" s="27">
        <f t="shared" si="55"/>
        <v>2025</v>
      </c>
      <c r="C716" s="27">
        <f t="shared" si="56"/>
        <v>12</v>
      </c>
      <c r="D716" s="27">
        <f t="shared" si="57"/>
        <v>15</v>
      </c>
      <c r="E716" s="27">
        <f t="shared" si="58"/>
        <v>2</v>
      </c>
      <c r="F716" s="27">
        <f>VLOOKUP(E716,[2]t_calendarioPolitica!A:C,3,FALSE)</f>
        <v>1</v>
      </c>
      <c r="G716" s="1">
        <v>1</v>
      </c>
      <c r="H716" s="1">
        <v>1</v>
      </c>
      <c r="I716" s="1">
        <f t="shared" si="59"/>
        <v>1</v>
      </c>
    </row>
    <row r="717" spans="1:9" x14ac:dyDescent="0.25">
      <c r="A717" s="26">
        <v>46007</v>
      </c>
      <c r="B717" s="27">
        <f t="shared" si="55"/>
        <v>2025</v>
      </c>
      <c r="C717" s="27">
        <f t="shared" si="56"/>
        <v>12</v>
      </c>
      <c r="D717" s="27">
        <f t="shared" si="57"/>
        <v>16</v>
      </c>
      <c r="E717" s="27">
        <f t="shared" si="58"/>
        <v>3</v>
      </c>
      <c r="F717" s="27">
        <f>VLOOKUP(E717,[2]t_calendarioPolitica!A:C,3,FALSE)</f>
        <v>1</v>
      </c>
      <c r="G717" s="1">
        <v>1</v>
      </c>
      <c r="H717" s="1">
        <v>1</v>
      </c>
      <c r="I717" s="1">
        <f t="shared" si="59"/>
        <v>1</v>
      </c>
    </row>
    <row r="718" spans="1:9" x14ac:dyDescent="0.25">
      <c r="A718" s="26">
        <v>46008</v>
      </c>
      <c r="B718" s="27">
        <f t="shared" si="55"/>
        <v>2025</v>
      </c>
      <c r="C718" s="27">
        <f t="shared" si="56"/>
        <v>12</v>
      </c>
      <c r="D718" s="27">
        <f t="shared" si="57"/>
        <v>17</v>
      </c>
      <c r="E718" s="27">
        <f t="shared" si="58"/>
        <v>4</v>
      </c>
      <c r="F718" s="27">
        <f>VLOOKUP(E718,[2]t_calendarioPolitica!A:C,3,FALSE)</f>
        <v>1</v>
      </c>
      <c r="G718" s="1">
        <v>1</v>
      </c>
      <c r="H718" s="1">
        <v>1</v>
      </c>
      <c r="I718" s="1">
        <f t="shared" si="59"/>
        <v>1</v>
      </c>
    </row>
    <row r="719" spans="1:9" x14ac:dyDescent="0.25">
      <c r="A719" s="26">
        <v>46009</v>
      </c>
      <c r="B719" s="27">
        <f t="shared" si="55"/>
        <v>2025</v>
      </c>
      <c r="C719" s="27">
        <f t="shared" si="56"/>
        <v>12</v>
      </c>
      <c r="D719" s="27">
        <f t="shared" si="57"/>
        <v>18</v>
      </c>
      <c r="E719" s="27">
        <f t="shared" si="58"/>
        <v>5</v>
      </c>
      <c r="F719" s="27">
        <f>VLOOKUP(E719,[2]t_calendarioPolitica!A:C,3,FALSE)</f>
        <v>1</v>
      </c>
      <c r="G719" s="1">
        <v>1</v>
      </c>
      <c r="H719" s="1">
        <v>1</v>
      </c>
      <c r="I719" s="1">
        <f t="shared" si="59"/>
        <v>1</v>
      </c>
    </row>
    <row r="720" spans="1:9" x14ac:dyDescent="0.25">
      <c r="A720" s="26">
        <v>46010</v>
      </c>
      <c r="B720" s="27">
        <f t="shared" si="55"/>
        <v>2025</v>
      </c>
      <c r="C720" s="27">
        <f t="shared" si="56"/>
        <v>12</v>
      </c>
      <c r="D720" s="27">
        <f t="shared" si="57"/>
        <v>19</v>
      </c>
      <c r="E720" s="27">
        <f t="shared" si="58"/>
        <v>6</v>
      </c>
      <c r="F720" s="27">
        <f>VLOOKUP(E720,[2]t_calendarioPolitica!A:C,3,FALSE)</f>
        <v>1</v>
      </c>
      <c r="G720" s="1">
        <v>1</v>
      </c>
      <c r="H720" s="1">
        <v>1</v>
      </c>
      <c r="I720" s="1">
        <f t="shared" si="59"/>
        <v>1</v>
      </c>
    </row>
    <row r="721" spans="1:9" x14ac:dyDescent="0.25">
      <c r="A721" s="26">
        <v>46011</v>
      </c>
      <c r="B721" s="27">
        <f t="shared" si="55"/>
        <v>2025</v>
      </c>
      <c r="C721" s="27">
        <f t="shared" si="56"/>
        <v>12</v>
      </c>
      <c r="D721" s="27">
        <f t="shared" si="57"/>
        <v>20</v>
      </c>
      <c r="E721" s="27">
        <f t="shared" si="58"/>
        <v>7</v>
      </c>
      <c r="F721" s="27">
        <f>VLOOKUP(E721,[2]t_calendarioPolitica!A:C,3,FALSE)</f>
        <v>2</v>
      </c>
      <c r="G721" s="1">
        <v>1</v>
      </c>
      <c r="H721" s="1">
        <v>1</v>
      </c>
      <c r="I721" s="1">
        <f t="shared" si="59"/>
        <v>1</v>
      </c>
    </row>
    <row r="722" spans="1:9" x14ac:dyDescent="0.25">
      <c r="A722" s="26">
        <v>46012</v>
      </c>
      <c r="B722" s="27">
        <f t="shared" si="55"/>
        <v>2025</v>
      </c>
      <c r="C722" s="27">
        <f t="shared" si="56"/>
        <v>12</v>
      </c>
      <c r="D722" s="27">
        <f t="shared" si="57"/>
        <v>21</v>
      </c>
      <c r="E722" s="27">
        <f t="shared" si="58"/>
        <v>1</v>
      </c>
      <c r="F722" s="27">
        <f>VLOOKUP(E722,[2]t_calendarioPolitica!A:C,3,FALSE)</f>
        <v>0</v>
      </c>
      <c r="G722" s="1">
        <v>1</v>
      </c>
      <c r="H722" s="1">
        <v>1</v>
      </c>
      <c r="I722" s="1">
        <f t="shared" si="59"/>
        <v>0</v>
      </c>
    </row>
    <row r="723" spans="1:9" x14ac:dyDescent="0.25">
      <c r="A723" s="26">
        <v>46013</v>
      </c>
      <c r="B723" s="27">
        <f t="shared" si="55"/>
        <v>2025</v>
      </c>
      <c r="C723" s="27">
        <f t="shared" si="56"/>
        <v>12</v>
      </c>
      <c r="D723" s="27">
        <f t="shared" si="57"/>
        <v>22</v>
      </c>
      <c r="E723" s="27">
        <f t="shared" si="58"/>
        <v>2</v>
      </c>
      <c r="F723" s="27">
        <f>VLOOKUP(E723,[2]t_calendarioPolitica!A:C,3,FALSE)</f>
        <v>1</v>
      </c>
      <c r="G723" s="1">
        <v>1</v>
      </c>
      <c r="H723" s="1">
        <v>1</v>
      </c>
      <c r="I723" s="1">
        <f t="shared" si="59"/>
        <v>1</v>
      </c>
    </row>
    <row r="724" spans="1:9" x14ac:dyDescent="0.25">
      <c r="A724" s="26">
        <v>46014</v>
      </c>
      <c r="B724" s="27">
        <f t="shared" si="55"/>
        <v>2025</v>
      </c>
      <c r="C724" s="27">
        <f t="shared" si="56"/>
        <v>12</v>
      </c>
      <c r="D724" s="27">
        <f t="shared" si="57"/>
        <v>23</v>
      </c>
      <c r="E724" s="27">
        <f t="shared" si="58"/>
        <v>3</v>
      </c>
      <c r="F724" s="27">
        <f>VLOOKUP(E724,[2]t_calendarioPolitica!A:C,3,FALSE)</f>
        <v>1</v>
      </c>
      <c r="G724" s="1">
        <v>1</v>
      </c>
      <c r="H724" s="1">
        <v>1</v>
      </c>
      <c r="I724" s="1">
        <f t="shared" si="59"/>
        <v>1</v>
      </c>
    </row>
    <row r="725" spans="1:9" x14ac:dyDescent="0.25">
      <c r="A725" s="26">
        <v>46015</v>
      </c>
      <c r="B725" s="27">
        <f t="shared" si="55"/>
        <v>2025</v>
      </c>
      <c r="C725" s="27">
        <f t="shared" si="56"/>
        <v>12</v>
      </c>
      <c r="D725" s="27">
        <f t="shared" si="57"/>
        <v>24</v>
      </c>
      <c r="E725" s="27">
        <f t="shared" si="58"/>
        <v>4</v>
      </c>
      <c r="F725" s="27">
        <f>VLOOKUP(E725,[2]t_calendarioPolitica!A:C,3,FALSE)</f>
        <v>1</v>
      </c>
      <c r="G725" s="1">
        <v>1</v>
      </c>
      <c r="H725" s="1">
        <v>0</v>
      </c>
      <c r="I725" s="1">
        <f t="shared" si="59"/>
        <v>0</v>
      </c>
    </row>
    <row r="726" spans="1:9" x14ac:dyDescent="0.25">
      <c r="A726" s="26">
        <v>46016</v>
      </c>
      <c r="B726" s="27">
        <f t="shared" si="55"/>
        <v>2025</v>
      </c>
      <c r="C726" s="27">
        <f t="shared" si="56"/>
        <v>12</v>
      </c>
      <c r="D726" s="27">
        <f t="shared" si="57"/>
        <v>25</v>
      </c>
      <c r="E726" s="27">
        <f t="shared" si="58"/>
        <v>5</v>
      </c>
      <c r="F726" s="27">
        <f>VLOOKUP(E726,[2]t_calendarioPolitica!A:C,3,FALSE)</f>
        <v>1</v>
      </c>
      <c r="G726" s="1">
        <v>0</v>
      </c>
      <c r="H726" s="1">
        <v>0</v>
      </c>
      <c r="I726" s="1">
        <f t="shared" si="59"/>
        <v>0</v>
      </c>
    </row>
    <row r="727" spans="1:9" x14ac:dyDescent="0.25">
      <c r="A727" s="26">
        <v>46017</v>
      </c>
      <c r="B727" s="27">
        <f t="shared" si="55"/>
        <v>2025</v>
      </c>
      <c r="C727" s="27">
        <f t="shared" si="56"/>
        <v>12</v>
      </c>
      <c r="D727" s="27">
        <f t="shared" si="57"/>
        <v>26</v>
      </c>
      <c r="E727" s="27">
        <f t="shared" si="58"/>
        <v>6</v>
      </c>
      <c r="F727" s="27">
        <f>VLOOKUP(E727,[2]t_calendarioPolitica!A:C,3,FALSE)</f>
        <v>1</v>
      </c>
      <c r="G727" s="1">
        <v>1</v>
      </c>
      <c r="H727" s="1">
        <v>1</v>
      </c>
      <c r="I727" s="1">
        <f t="shared" si="59"/>
        <v>1</v>
      </c>
    </row>
    <row r="728" spans="1:9" x14ac:dyDescent="0.25">
      <c r="A728" s="26">
        <v>46018</v>
      </c>
      <c r="B728" s="27">
        <f t="shared" si="55"/>
        <v>2025</v>
      </c>
      <c r="C728" s="27">
        <f t="shared" si="56"/>
        <v>12</v>
      </c>
      <c r="D728" s="27">
        <f t="shared" si="57"/>
        <v>27</v>
      </c>
      <c r="E728" s="27">
        <f t="shared" si="58"/>
        <v>7</v>
      </c>
      <c r="F728" s="27">
        <f>VLOOKUP(E728,[2]t_calendarioPolitica!A:C,3,FALSE)</f>
        <v>2</v>
      </c>
      <c r="G728" s="1">
        <v>1</v>
      </c>
      <c r="H728" s="1">
        <v>1</v>
      </c>
      <c r="I728" s="1">
        <f t="shared" si="59"/>
        <v>1</v>
      </c>
    </row>
    <row r="729" spans="1:9" x14ac:dyDescent="0.25">
      <c r="A729" s="26">
        <v>46019</v>
      </c>
      <c r="B729" s="27">
        <f t="shared" si="55"/>
        <v>2025</v>
      </c>
      <c r="C729" s="27">
        <f t="shared" si="56"/>
        <v>12</v>
      </c>
      <c r="D729" s="27">
        <f t="shared" si="57"/>
        <v>28</v>
      </c>
      <c r="E729" s="27">
        <f t="shared" si="58"/>
        <v>1</v>
      </c>
      <c r="F729" s="27">
        <f>VLOOKUP(E729,[2]t_calendarioPolitica!A:C,3,FALSE)</f>
        <v>0</v>
      </c>
      <c r="G729" s="1">
        <v>1</v>
      </c>
      <c r="H729" s="1">
        <v>1</v>
      </c>
      <c r="I729" s="1">
        <f t="shared" si="59"/>
        <v>0</v>
      </c>
    </row>
    <row r="730" spans="1:9" x14ac:dyDescent="0.25">
      <c r="A730" s="26">
        <v>46020</v>
      </c>
      <c r="B730" s="27">
        <f t="shared" si="55"/>
        <v>2025</v>
      </c>
      <c r="C730" s="27">
        <f t="shared" si="56"/>
        <v>12</v>
      </c>
      <c r="D730" s="27">
        <f t="shared" si="57"/>
        <v>29</v>
      </c>
      <c r="E730" s="27">
        <f t="shared" si="58"/>
        <v>2</v>
      </c>
      <c r="F730" s="27">
        <f>VLOOKUP(E730,[2]t_calendarioPolitica!A:C,3,FALSE)</f>
        <v>1</v>
      </c>
      <c r="G730" s="1">
        <v>1</v>
      </c>
      <c r="H730" s="1">
        <v>1</v>
      </c>
      <c r="I730" s="1">
        <f t="shared" si="59"/>
        <v>1</v>
      </c>
    </row>
    <row r="731" spans="1:9" x14ac:dyDescent="0.25">
      <c r="A731" s="26">
        <v>46021</v>
      </c>
      <c r="B731" s="27">
        <f t="shared" si="55"/>
        <v>2025</v>
      </c>
      <c r="C731" s="27">
        <f t="shared" si="56"/>
        <v>12</v>
      </c>
      <c r="D731" s="27">
        <f t="shared" si="57"/>
        <v>30</v>
      </c>
      <c r="E731" s="27">
        <f t="shared" si="58"/>
        <v>3</v>
      </c>
      <c r="F731" s="27">
        <f>VLOOKUP(E731,[2]t_calendarioPolitica!A:C,3,FALSE)</f>
        <v>1</v>
      </c>
      <c r="G731" s="1">
        <v>1</v>
      </c>
      <c r="H731" s="1">
        <v>1</v>
      </c>
      <c r="I731" s="1">
        <f t="shared" si="59"/>
        <v>1</v>
      </c>
    </row>
    <row r="732" spans="1:9" x14ac:dyDescent="0.25">
      <c r="A732" s="26">
        <v>46022</v>
      </c>
      <c r="B732" s="27">
        <f t="shared" si="55"/>
        <v>2025</v>
      </c>
      <c r="C732" s="27">
        <f t="shared" si="56"/>
        <v>12</v>
      </c>
      <c r="D732" s="27">
        <f t="shared" si="57"/>
        <v>31</v>
      </c>
      <c r="E732" s="27">
        <f t="shared" si="58"/>
        <v>4</v>
      </c>
      <c r="F732" s="27">
        <f>VLOOKUP(E732,[2]t_calendarioPolitica!A:C,3,FALSE)</f>
        <v>1</v>
      </c>
      <c r="G732" s="1">
        <v>1</v>
      </c>
      <c r="H732" s="1">
        <v>0</v>
      </c>
      <c r="I732" s="1">
        <f t="shared" si="59"/>
        <v>0</v>
      </c>
    </row>
    <row r="733" spans="1:9" x14ac:dyDescent="0.25">
      <c r="A733" s="26">
        <v>46023</v>
      </c>
      <c r="B733" s="27">
        <f t="shared" si="55"/>
        <v>2026</v>
      </c>
      <c r="C733" s="27">
        <f t="shared" si="56"/>
        <v>1</v>
      </c>
      <c r="D733" s="27">
        <f t="shared" si="57"/>
        <v>1</v>
      </c>
      <c r="E733" s="27">
        <f t="shared" si="58"/>
        <v>5</v>
      </c>
      <c r="F733" s="27">
        <f>VLOOKUP(E733,[2]t_calendarioPolitica!A:C,3,FALSE)</f>
        <v>1</v>
      </c>
      <c r="G733" s="1">
        <v>0</v>
      </c>
      <c r="H733" s="1">
        <v>1</v>
      </c>
      <c r="I733" s="1">
        <f t="shared" si="59"/>
        <v>0</v>
      </c>
    </row>
    <row r="734" spans="1:9" x14ac:dyDescent="0.25">
      <c r="A734" s="26">
        <v>46024</v>
      </c>
      <c r="B734" s="27">
        <f t="shared" si="55"/>
        <v>2026</v>
      </c>
      <c r="C734" s="27">
        <f t="shared" si="56"/>
        <v>1</v>
      </c>
      <c r="D734" s="27">
        <f t="shared" si="57"/>
        <v>2</v>
      </c>
      <c r="E734" s="27">
        <f t="shared" si="58"/>
        <v>6</v>
      </c>
      <c r="F734" s="27">
        <f>VLOOKUP(E734,[2]t_calendarioPolitica!A:C,3,FALSE)</f>
        <v>1</v>
      </c>
      <c r="G734" s="1">
        <v>1</v>
      </c>
      <c r="H734" s="1">
        <v>1</v>
      </c>
      <c r="I734" s="1">
        <f t="shared" si="59"/>
        <v>1</v>
      </c>
    </row>
    <row r="735" spans="1:9" x14ac:dyDescent="0.25">
      <c r="A735" s="26">
        <v>46025</v>
      </c>
      <c r="B735" s="27">
        <f t="shared" si="55"/>
        <v>2026</v>
      </c>
      <c r="C735" s="27">
        <f t="shared" si="56"/>
        <v>1</v>
      </c>
      <c r="D735" s="27">
        <f t="shared" si="57"/>
        <v>3</v>
      </c>
      <c r="E735" s="27">
        <f t="shared" si="58"/>
        <v>7</v>
      </c>
      <c r="F735" s="27">
        <f>VLOOKUP(E735,[2]t_calendarioPolitica!A:C,3,FALSE)</f>
        <v>2</v>
      </c>
      <c r="G735" s="1">
        <v>1</v>
      </c>
      <c r="H735" s="1">
        <v>1</v>
      </c>
      <c r="I735" s="1">
        <f t="shared" si="59"/>
        <v>1</v>
      </c>
    </row>
    <row r="736" spans="1:9" x14ac:dyDescent="0.25">
      <c r="A736" s="26">
        <v>46026</v>
      </c>
      <c r="B736" s="27">
        <f t="shared" si="55"/>
        <v>2026</v>
      </c>
      <c r="C736" s="27">
        <f t="shared" si="56"/>
        <v>1</v>
      </c>
      <c r="D736" s="27">
        <f t="shared" si="57"/>
        <v>4</v>
      </c>
      <c r="E736" s="27">
        <f t="shared" si="58"/>
        <v>1</v>
      </c>
      <c r="F736" s="27">
        <f>VLOOKUP(E736,[2]t_calendarioPolitica!A:C,3,FALSE)</f>
        <v>0</v>
      </c>
      <c r="G736" s="1">
        <v>1</v>
      </c>
      <c r="H736" s="1">
        <v>1</v>
      </c>
      <c r="I736" s="1">
        <f t="shared" si="59"/>
        <v>0</v>
      </c>
    </row>
    <row r="737" spans="1:9" x14ac:dyDescent="0.25">
      <c r="A737" s="26">
        <v>46027</v>
      </c>
      <c r="B737" s="27">
        <f t="shared" si="55"/>
        <v>2026</v>
      </c>
      <c r="C737" s="27">
        <f t="shared" si="56"/>
        <v>1</v>
      </c>
      <c r="D737" s="27">
        <f t="shared" si="57"/>
        <v>5</v>
      </c>
      <c r="E737" s="27">
        <f t="shared" si="58"/>
        <v>2</v>
      </c>
      <c r="F737" s="27">
        <f>VLOOKUP(E737,[2]t_calendarioPolitica!A:C,3,FALSE)</f>
        <v>1</v>
      </c>
      <c r="G737" s="1">
        <v>1</v>
      </c>
      <c r="H737" s="1">
        <v>1</v>
      </c>
      <c r="I737" s="1">
        <f t="shared" si="59"/>
        <v>1</v>
      </c>
    </row>
    <row r="738" spans="1:9" x14ac:dyDescent="0.25">
      <c r="A738" s="26">
        <v>46028</v>
      </c>
      <c r="B738" s="27">
        <f t="shared" si="55"/>
        <v>2026</v>
      </c>
      <c r="C738" s="27">
        <f t="shared" si="56"/>
        <v>1</v>
      </c>
      <c r="D738" s="27">
        <f t="shared" si="57"/>
        <v>6</v>
      </c>
      <c r="E738" s="27">
        <f t="shared" si="58"/>
        <v>3</v>
      </c>
      <c r="F738" s="27">
        <f>VLOOKUP(E738,[2]t_calendarioPolitica!A:C,3,FALSE)</f>
        <v>1</v>
      </c>
      <c r="G738" s="1">
        <v>1</v>
      </c>
      <c r="H738" s="1">
        <v>1</v>
      </c>
      <c r="I738" s="1">
        <f t="shared" si="59"/>
        <v>1</v>
      </c>
    </row>
    <row r="739" spans="1:9" x14ac:dyDescent="0.25">
      <c r="A739" s="26">
        <v>46029</v>
      </c>
      <c r="B739" s="27">
        <f t="shared" si="55"/>
        <v>2026</v>
      </c>
      <c r="C739" s="27">
        <f t="shared" si="56"/>
        <v>1</v>
      </c>
      <c r="D739" s="27">
        <f t="shared" si="57"/>
        <v>7</v>
      </c>
      <c r="E739" s="27">
        <f t="shared" si="58"/>
        <v>4</v>
      </c>
      <c r="F739" s="27">
        <f>VLOOKUP(E739,[2]t_calendarioPolitica!A:C,3,FALSE)</f>
        <v>1</v>
      </c>
      <c r="G739" s="1">
        <v>1</v>
      </c>
      <c r="H739" s="1">
        <v>1</v>
      </c>
      <c r="I739" s="1">
        <f t="shared" si="59"/>
        <v>1</v>
      </c>
    </row>
    <row r="740" spans="1:9" x14ac:dyDescent="0.25">
      <c r="A740" s="26">
        <v>46030</v>
      </c>
      <c r="B740" s="27">
        <f t="shared" si="55"/>
        <v>2026</v>
      </c>
      <c r="C740" s="27">
        <f t="shared" si="56"/>
        <v>1</v>
      </c>
      <c r="D740" s="27">
        <f t="shared" si="57"/>
        <v>8</v>
      </c>
      <c r="E740" s="27">
        <f t="shared" si="58"/>
        <v>5</v>
      </c>
      <c r="F740" s="27">
        <f>VLOOKUP(E740,[2]t_calendarioPolitica!A:C,3,FALSE)</f>
        <v>1</v>
      </c>
      <c r="G740" s="1">
        <v>1</v>
      </c>
      <c r="H740" s="1">
        <v>1</v>
      </c>
      <c r="I740" s="1">
        <f t="shared" si="59"/>
        <v>1</v>
      </c>
    </row>
    <row r="741" spans="1:9" x14ac:dyDescent="0.25">
      <c r="A741" s="26">
        <v>46031</v>
      </c>
      <c r="B741" s="27">
        <f t="shared" si="55"/>
        <v>2026</v>
      </c>
      <c r="C741" s="27">
        <f t="shared" si="56"/>
        <v>1</v>
      </c>
      <c r="D741" s="27">
        <f t="shared" si="57"/>
        <v>9</v>
      </c>
      <c r="E741" s="27">
        <f t="shared" si="58"/>
        <v>6</v>
      </c>
      <c r="F741" s="27">
        <f>VLOOKUP(E741,[2]t_calendarioPolitica!A:C,3,FALSE)</f>
        <v>1</v>
      </c>
      <c r="G741" s="1">
        <v>1</v>
      </c>
      <c r="H741" s="1">
        <v>1</v>
      </c>
      <c r="I741" s="1">
        <f t="shared" si="59"/>
        <v>1</v>
      </c>
    </row>
    <row r="742" spans="1:9" x14ac:dyDescent="0.25">
      <c r="A742" s="26">
        <v>46032</v>
      </c>
      <c r="B742" s="27">
        <f t="shared" si="55"/>
        <v>2026</v>
      </c>
      <c r="C742" s="27">
        <f t="shared" si="56"/>
        <v>1</v>
      </c>
      <c r="D742" s="27">
        <f t="shared" si="57"/>
        <v>10</v>
      </c>
      <c r="E742" s="27">
        <f t="shared" si="58"/>
        <v>7</v>
      </c>
      <c r="F742" s="27">
        <f>VLOOKUP(E742,[2]t_calendarioPolitica!A:C,3,FALSE)</f>
        <v>2</v>
      </c>
      <c r="G742" s="1">
        <v>1</v>
      </c>
      <c r="H742" s="1">
        <v>1</v>
      </c>
      <c r="I742" s="1">
        <f t="shared" si="59"/>
        <v>1</v>
      </c>
    </row>
    <row r="743" spans="1:9" x14ac:dyDescent="0.25">
      <c r="A743" s="26">
        <v>46033</v>
      </c>
      <c r="B743" s="27">
        <f t="shared" si="55"/>
        <v>2026</v>
      </c>
      <c r="C743" s="27">
        <f t="shared" si="56"/>
        <v>1</v>
      </c>
      <c r="D743" s="27">
        <f t="shared" si="57"/>
        <v>11</v>
      </c>
      <c r="E743" s="27">
        <f t="shared" si="58"/>
        <v>1</v>
      </c>
      <c r="F743" s="27">
        <f>VLOOKUP(E743,[2]t_calendarioPolitica!A:C,3,FALSE)</f>
        <v>0</v>
      </c>
      <c r="G743" s="1">
        <v>1</v>
      </c>
      <c r="H743" s="1">
        <v>1</v>
      </c>
      <c r="I743" s="1">
        <f t="shared" si="59"/>
        <v>0</v>
      </c>
    </row>
    <row r="744" spans="1:9" x14ac:dyDescent="0.25">
      <c r="A744" s="26">
        <v>46034</v>
      </c>
      <c r="B744" s="27">
        <f t="shared" si="55"/>
        <v>2026</v>
      </c>
      <c r="C744" s="27">
        <f t="shared" si="56"/>
        <v>1</v>
      </c>
      <c r="D744" s="27">
        <f t="shared" si="57"/>
        <v>12</v>
      </c>
      <c r="E744" s="27">
        <f t="shared" si="58"/>
        <v>2</v>
      </c>
      <c r="F744" s="27">
        <f>VLOOKUP(E744,[2]t_calendarioPolitica!A:C,3,FALSE)</f>
        <v>1</v>
      </c>
      <c r="G744" s="1">
        <v>1</v>
      </c>
      <c r="H744" s="1">
        <v>1</v>
      </c>
      <c r="I744" s="1">
        <f t="shared" si="59"/>
        <v>1</v>
      </c>
    </row>
    <row r="745" spans="1:9" x14ac:dyDescent="0.25">
      <c r="A745" s="26">
        <v>46035</v>
      </c>
      <c r="B745" s="27">
        <f t="shared" si="55"/>
        <v>2026</v>
      </c>
      <c r="C745" s="27">
        <f t="shared" si="56"/>
        <v>1</v>
      </c>
      <c r="D745" s="27">
        <f t="shared" si="57"/>
        <v>13</v>
      </c>
      <c r="E745" s="27">
        <f t="shared" si="58"/>
        <v>3</v>
      </c>
      <c r="F745" s="27">
        <f>VLOOKUP(E745,[2]t_calendarioPolitica!A:C,3,FALSE)</f>
        <v>1</v>
      </c>
      <c r="G745" s="1">
        <v>1</v>
      </c>
      <c r="H745" s="1">
        <v>1</v>
      </c>
      <c r="I745" s="1">
        <f t="shared" si="59"/>
        <v>1</v>
      </c>
    </row>
    <row r="746" spans="1:9" x14ac:dyDescent="0.25">
      <c r="A746" s="26">
        <v>46036</v>
      </c>
      <c r="B746" s="27">
        <f t="shared" si="55"/>
        <v>2026</v>
      </c>
      <c r="C746" s="27">
        <f t="shared" si="56"/>
        <v>1</v>
      </c>
      <c r="D746" s="27">
        <f t="shared" si="57"/>
        <v>14</v>
      </c>
      <c r="E746" s="27">
        <f t="shared" si="58"/>
        <v>4</v>
      </c>
      <c r="F746" s="27">
        <f>VLOOKUP(E746,[2]t_calendarioPolitica!A:C,3,FALSE)</f>
        <v>1</v>
      </c>
      <c r="G746" s="1">
        <v>1</v>
      </c>
      <c r="H746" s="1">
        <v>1</v>
      </c>
      <c r="I746" s="1">
        <f t="shared" si="59"/>
        <v>1</v>
      </c>
    </row>
    <row r="747" spans="1:9" x14ac:dyDescent="0.25">
      <c r="A747" s="26">
        <v>46037</v>
      </c>
      <c r="B747" s="27">
        <f t="shared" si="55"/>
        <v>2026</v>
      </c>
      <c r="C747" s="27">
        <f t="shared" si="56"/>
        <v>1</v>
      </c>
      <c r="D747" s="27">
        <f t="shared" si="57"/>
        <v>15</v>
      </c>
      <c r="E747" s="27">
        <f t="shared" si="58"/>
        <v>5</v>
      </c>
      <c r="F747" s="27">
        <f>VLOOKUP(E747,[2]t_calendarioPolitica!A:C,3,FALSE)</f>
        <v>1</v>
      </c>
      <c r="G747" s="1">
        <v>1</v>
      </c>
      <c r="H747" s="1">
        <v>1</v>
      </c>
      <c r="I747" s="1">
        <f t="shared" si="59"/>
        <v>1</v>
      </c>
    </row>
    <row r="748" spans="1:9" x14ac:dyDescent="0.25">
      <c r="A748" s="26">
        <v>46038</v>
      </c>
      <c r="B748" s="27">
        <f t="shared" si="55"/>
        <v>2026</v>
      </c>
      <c r="C748" s="27">
        <f t="shared" si="56"/>
        <v>1</v>
      </c>
      <c r="D748" s="27">
        <f t="shared" si="57"/>
        <v>16</v>
      </c>
      <c r="E748" s="27">
        <f t="shared" si="58"/>
        <v>6</v>
      </c>
      <c r="F748" s="27">
        <f>VLOOKUP(E748,[2]t_calendarioPolitica!A:C,3,FALSE)</f>
        <v>1</v>
      </c>
      <c r="G748" s="1">
        <v>1</v>
      </c>
      <c r="H748" s="1">
        <v>1</v>
      </c>
      <c r="I748" s="1">
        <f t="shared" si="59"/>
        <v>1</v>
      </c>
    </row>
    <row r="749" spans="1:9" x14ac:dyDescent="0.25">
      <c r="A749" s="26">
        <v>46039</v>
      </c>
      <c r="B749" s="27">
        <f t="shared" si="55"/>
        <v>2026</v>
      </c>
      <c r="C749" s="27">
        <f t="shared" si="56"/>
        <v>1</v>
      </c>
      <c r="D749" s="27">
        <f t="shared" si="57"/>
        <v>17</v>
      </c>
      <c r="E749" s="27">
        <f t="shared" si="58"/>
        <v>7</v>
      </c>
      <c r="F749" s="27">
        <f>VLOOKUP(E749,[2]t_calendarioPolitica!A:C,3,FALSE)</f>
        <v>2</v>
      </c>
      <c r="G749" s="1">
        <v>1</v>
      </c>
      <c r="H749" s="1">
        <v>1</v>
      </c>
      <c r="I749" s="1">
        <f t="shared" si="59"/>
        <v>1</v>
      </c>
    </row>
    <row r="750" spans="1:9" x14ac:dyDescent="0.25">
      <c r="A750" s="26">
        <v>46040</v>
      </c>
      <c r="B750" s="27">
        <f t="shared" si="55"/>
        <v>2026</v>
      </c>
      <c r="C750" s="27">
        <f t="shared" si="56"/>
        <v>1</v>
      </c>
      <c r="D750" s="27">
        <f t="shared" si="57"/>
        <v>18</v>
      </c>
      <c r="E750" s="27">
        <f t="shared" si="58"/>
        <v>1</v>
      </c>
      <c r="F750" s="27">
        <f>VLOOKUP(E750,[2]t_calendarioPolitica!A:C,3,FALSE)</f>
        <v>0</v>
      </c>
      <c r="G750" s="1">
        <v>1</v>
      </c>
      <c r="H750" s="1">
        <v>1</v>
      </c>
      <c r="I750" s="1">
        <f t="shared" si="59"/>
        <v>0</v>
      </c>
    </row>
    <row r="751" spans="1:9" x14ac:dyDescent="0.25">
      <c r="A751" s="26">
        <v>46041</v>
      </c>
      <c r="B751" s="27">
        <f t="shared" si="55"/>
        <v>2026</v>
      </c>
      <c r="C751" s="27">
        <f t="shared" si="56"/>
        <v>1</v>
      </c>
      <c r="D751" s="27">
        <f t="shared" si="57"/>
        <v>19</v>
      </c>
      <c r="E751" s="27">
        <f t="shared" si="58"/>
        <v>2</v>
      </c>
      <c r="F751" s="27">
        <f>VLOOKUP(E751,[2]t_calendarioPolitica!A:C,3,FALSE)</f>
        <v>1</v>
      </c>
      <c r="G751" s="1">
        <v>1</v>
      </c>
      <c r="H751" s="1">
        <v>1</v>
      </c>
      <c r="I751" s="1">
        <f t="shared" si="59"/>
        <v>1</v>
      </c>
    </row>
    <row r="752" spans="1:9" x14ac:dyDescent="0.25">
      <c r="A752" s="26">
        <v>46042</v>
      </c>
      <c r="B752" s="27">
        <f t="shared" si="55"/>
        <v>2026</v>
      </c>
      <c r="C752" s="27">
        <f t="shared" si="56"/>
        <v>1</v>
      </c>
      <c r="D752" s="27">
        <f t="shared" si="57"/>
        <v>20</v>
      </c>
      <c r="E752" s="27">
        <f t="shared" si="58"/>
        <v>3</v>
      </c>
      <c r="F752" s="27">
        <f>VLOOKUP(E752,[2]t_calendarioPolitica!A:C,3,FALSE)</f>
        <v>1</v>
      </c>
      <c r="G752" s="1">
        <v>1</v>
      </c>
      <c r="H752" s="1">
        <v>1</v>
      </c>
      <c r="I752" s="1">
        <f t="shared" si="59"/>
        <v>1</v>
      </c>
    </row>
    <row r="753" spans="1:9" x14ac:dyDescent="0.25">
      <c r="A753" s="26">
        <v>46043</v>
      </c>
      <c r="B753" s="27">
        <f t="shared" si="55"/>
        <v>2026</v>
      </c>
      <c r="C753" s="27">
        <f t="shared" si="56"/>
        <v>1</v>
      </c>
      <c r="D753" s="27">
        <f t="shared" si="57"/>
        <v>21</v>
      </c>
      <c r="E753" s="27">
        <f t="shared" si="58"/>
        <v>4</v>
      </c>
      <c r="F753" s="27">
        <f>VLOOKUP(E753,[2]t_calendarioPolitica!A:C,3,FALSE)</f>
        <v>1</v>
      </c>
      <c r="G753" s="1">
        <v>1</v>
      </c>
      <c r="H753" s="1">
        <v>1</v>
      </c>
      <c r="I753" s="1">
        <f t="shared" si="59"/>
        <v>1</v>
      </c>
    </row>
    <row r="754" spans="1:9" x14ac:dyDescent="0.25">
      <c r="A754" s="26">
        <v>46044</v>
      </c>
      <c r="B754" s="27">
        <f t="shared" si="55"/>
        <v>2026</v>
      </c>
      <c r="C754" s="27">
        <f t="shared" si="56"/>
        <v>1</v>
      </c>
      <c r="D754" s="27">
        <f t="shared" si="57"/>
        <v>22</v>
      </c>
      <c r="E754" s="27">
        <f t="shared" si="58"/>
        <v>5</v>
      </c>
      <c r="F754" s="27">
        <f>VLOOKUP(E754,[2]t_calendarioPolitica!A:C,3,FALSE)</f>
        <v>1</v>
      </c>
      <c r="G754" s="1">
        <v>1</v>
      </c>
      <c r="H754" s="1">
        <v>1</v>
      </c>
      <c r="I754" s="1">
        <f t="shared" si="59"/>
        <v>1</v>
      </c>
    </row>
    <row r="755" spans="1:9" x14ac:dyDescent="0.25">
      <c r="A755" s="26">
        <v>46045</v>
      </c>
      <c r="B755" s="27">
        <f t="shared" si="55"/>
        <v>2026</v>
      </c>
      <c r="C755" s="27">
        <f t="shared" si="56"/>
        <v>1</v>
      </c>
      <c r="D755" s="27">
        <f t="shared" si="57"/>
        <v>23</v>
      </c>
      <c r="E755" s="27">
        <f t="shared" si="58"/>
        <v>6</v>
      </c>
      <c r="F755" s="27">
        <f>VLOOKUP(E755,[2]t_calendarioPolitica!A:C,3,FALSE)</f>
        <v>1</v>
      </c>
      <c r="G755" s="1">
        <v>1</v>
      </c>
      <c r="H755" s="1">
        <v>1</v>
      </c>
      <c r="I755" s="1">
        <f t="shared" si="59"/>
        <v>1</v>
      </c>
    </row>
    <row r="756" spans="1:9" x14ac:dyDescent="0.25">
      <c r="A756" s="26">
        <v>46046</v>
      </c>
      <c r="B756" s="27">
        <f t="shared" si="55"/>
        <v>2026</v>
      </c>
      <c r="C756" s="27">
        <f t="shared" si="56"/>
        <v>1</v>
      </c>
      <c r="D756" s="27">
        <f t="shared" si="57"/>
        <v>24</v>
      </c>
      <c r="E756" s="27">
        <f t="shared" si="58"/>
        <v>7</v>
      </c>
      <c r="F756" s="27">
        <f>VLOOKUP(E756,[2]t_calendarioPolitica!A:C,3,FALSE)</f>
        <v>2</v>
      </c>
      <c r="G756" s="1">
        <v>1</v>
      </c>
      <c r="H756" s="1">
        <v>1</v>
      </c>
      <c r="I756" s="1">
        <f t="shared" si="59"/>
        <v>1</v>
      </c>
    </row>
    <row r="757" spans="1:9" x14ac:dyDescent="0.25">
      <c r="A757" s="26">
        <v>46047</v>
      </c>
      <c r="B757" s="27">
        <f t="shared" si="55"/>
        <v>2026</v>
      </c>
      <c r="C757" s="27">
        <f t="shared" si="56"/>
        <v>1</v>
      </c>
      <c r="D757" s="27">
        <f t="shared" si="57"/>
        <v>25</v>
      </c>
      <c r="E757" s="27">
        <f t="shared" si="58"/>
        <v>1</v>
      </c>
      <c r="F757" s="27">
        <f>VLOOKUP(E757,[2]t_calendarioPolitica!A:C,3,FALSE)</f>
        <v>0</v>
      </c>
      <c r="G757" s="1">
        <v>1</v>
      </c>
      <c r="H757" s="1">
        <v>1</v>
      </c>
      <c r="I757" s="1">
        <f t="shared" si="59"/>
        <v>0</v>
      </c>
    </row>
    <row r="758" spans="1:9" x14ac:dyDescent="0.25">
      <c r="A758" s="26">
        <v>46048</v>
      </c>
      <c r="B758" s="27">
        <f t="shared" si="55"/>
        <v>2026</v>
      </c>
      <c r="C758" s="27">
        <f t="shared" si="56"/>
        <v>1</v>
      </c>
      <c r="D758" s="27">
        <f t="shared" si="57"/>
        <v>26</v>
      </c>
      <c r="E758" s="27">
        <f t="shared" si="58"/>
        <v>2</v>
      </c>
      <c r="F758" s="27">
        <f>VLOOKUP(E758,[2]t_calendarioPolitica!A:C,3,FALSE)</f>
        <v>1</v>
      </c>
      <c r="G758" s="1">
        <v>1</v>
      </c>
      <c r="H758" s="1">
        <v>1</v>
      </c>
      <c r="I758" s="1">
        <f t="shared" si="59"/>
        <v>1</v>
      </c>
    </row>
    <row r="759" spans="1:9" x14ac:dyDescent="0.25">
      <c r="A759" s="26">
        <v>46049</v>
      </c>
      <c r="B759" s="27">
        <f t="shared" si="55"/>
        <v>2026</v>
      </c>
      <c r="C759" s="27">
        <f t="shared" si="56"/>
        <v>1</v>
      </c>
      <c r="D759" s="27">
        <f t="shared" si="57"/>
        <v>27</v>
      </c>
      <c r="E759" s="27">
        <f t="shared" si="58"/>
        <v>3</v>
      </c>
      <c r="F759" s="27">
        <f>VLOOKUP(E759,[2]t_calendarioPolitica!A:C,3,FALSE)</f>
        <v>1</v>
      </c>
      <c r="G759" s="1">
        <v>1</v>
      </c>
      <c r="H759" s="1">
        <v>1</v>
      </c>
      <c r="I759" s="1">
        <f t="shared" si="59"/>
        <v>1</v>
      </c>
    </row>
    <row r="760" spans="1:9" x14ac:dyDescent="0.25">
      <c r="A760" s="26">
        <v>46050</v>
      </c>
      <c r="B760" s="27">
        <f t="shared" si="55"/>
        <v>2026</v>
      </c>
      <c r="C760" s="27">
        <f t="shared" si="56"/>
        <v>1</v>
      </c>
      <c r="D760" s="27">
        <f t="shared" si="57"/>
        <v>28</v>
      </c>
      <c r="E760" s="27">
        <f t="shared" si="58"/>
        <v>4</v>
      </c>
      <c r="F760" s="27">
        <f>VLOOKUP(E760,[2]t_calendarioPolitica!A:C,3,FALSE)</f>
        <v>1</v>
      </c>
      <c r="G760" s="1">
        <v>1</v>
      </c>
      <c r="H760" s="1">
        <v>1</v>
      </c>
      <c r="I760" s="1">
        <f t="shared" si="59"/>
        <v>1</v>
      </c>
    </row>
    <row r="761" spans="1:9" x14ac:dyDescent="0.25">
      <c r="A761" s="26">
        <v>46051</v>
      </c>
      <c r="B761" s="27">
        <f t="shared" si="55"/>
        <v>2026</v>
      </c>
      <c r="C761" s="27">
        <f t="shared" si="56"/>
        <v>1</v>
      </c>
      <c r="D761" s="27">
        <f t="shared" si="57"/>
        <v>29</v>
      </c>
      <c r="E761" s="27">
        <f t="shared" si="58"/>
        <v>5</v>
      </c>
      <c r="F761" s="27">
        <f>VLOOKUP(E761,[2]t_calendarioPolitica!A:C,3,FALSE)</f>
        <v>1</v>
      </c>
      <c r="G761" s="1">
        <v>1</v>
      </c>
      <c r="H761" s="1">
        <v>1</v>
      </c>
      <c r="I761" s="1">
        <f t="shared" si="59"/>
        <v>1</v>
      </c>
    </row>
    <row r="762" spans="1:9" x14ac:dyDescent="0.25">
      <c r="A762" s="26">
        <v>46052</v>
      </c>
      <c r="B762" s="27">
        <f t="shared" si="55"/>
        <v>2026</v>
      </c>
      <c r="C762" s="27">
        <f t="shared" si="56"/>
        <v>1</v>
      </c>
      <c r="D762" s="27">
        <f t="shared" si="57"/>
        <v>30</v>
      </c>
      <c r="E762" s="27">
        <f t="shared" si="58"/>
        <v>6</v>
      </c>
      <c r="F762" s="27">
        <f>VLOOKUP(E762,[2]t_calendarioPolitica!A:C,3,FALSE)</f>
        <v>1</v>
      </c>
      <c r="G762" s="1">
        <v>1</v>
      </c>
      <c r="H762" s="1">
        <v>1</v>
      </c>
      <c r="I762" s="1">
        <f t="shared" si="59"/>
        <v>1</v>
      </c>
    </row>
    <row r="763" spans="1:9" x14ac:dyDescent="0.25">
      <c r="A763" s="26">
        <v>46053</v>
      </c>
      <c r="B763" s="27">
        <f t="shared" si="55"/>
        <v>2026</v>
      </c>
      <c r="C763" s="27">
        <f t="shared" si="56"/>
        <v>1</v>
      </c>
      <c r="D763" s="27">
        <f t="shared" si="57"/>
        <v>31</v>
      </c>
      <c r="E763" s="27">
        <f t="shared" si="58"/>
        <v>7</v>
      </c>
      <c r="F763" s="27">
        <f>VLOOKUP(E763,[2]t_calendarioPolitica!A:C,3,FALSE)</f>
        <v>2</v>
      </c>
      <c r="G763" s="1">
        <v>1</v>
      </c>
      <c r="H763" s="1">
        <v>1</v>
      </c>
      <c r="I763" s="1">
        <f t="shared" si="59"/>
        <v>1</v>
      </c>
    </row>
    <row r="764" spans="1:9" x14ac:dyDescent="0.25">
      <c r="A764" s="26">
        <v>46054</v>
      </c>
      <c r="B764" s="27">
        <f t="shared" si="55"/>
        <v>2026</v>
      </c>
      <c r="C764" s="27">
        <f t="shared" si="56"/>
        <v>2</v>
      </c>
      <c r="D764" s="27">
        <f t="shared" si="57"/>
        <v>1</v>
      </c>
      <c r="E764" s="27">
        <f t="shared" si="58"/>
        <v>1</v>
      </c>
      <c r="F764" s="27">
        <f>VLOOKUP(E764,[2]t_calendarioPolitica!A:C,3,FALSE)</f>
        <v>0</v>
      </c>
      <c r="G764" s="1">
        <v>1</v>
      </c>
      <c r="H764" s="1">
        <v>1</v>
      </c>
      <c r="I764" s="1">
        <f t="shared" si="59"/>
        <v>0</v>
      </c>
    </row>
    <row r="765" spans="1:9" x14ac:dyDescent="0.25">
      <c r="A765" s="26">
        <v>46055</v>
      </c>
      <c r="B765" s="27">
        <f t="shared" si="55"/>
        <v>2026</v>
      </c>
      <c r="C765" s="27">
        <f t="shared" si="56"/>
        <v>2</v>
      </c>
      <c r="D765" s="27">
        <f t="shared" si="57"/>
        <v>2</v>
      </c>
      <c r="E765" s="27">
        <f t="shared" si="58"/>
        <v>2</v>
      </c>
      <c r="F765" s="27">
        <f>VLOOKUP(E765,[2]t_calendarioPolitica!A:C,3,FALSE)</f>
        <v>1</v>
      </c>
      <c r="G765" s="1">
        <v>1</v>
      </c>
      <c r="H765" s="1">
        <v>1</v>
      </c>
      <c r="I765" s="1">
        <f t="shared" si="59"/>
        <v>1</v>
      </c>
    </row>
    <row r="766" spans="1:9" x14ac:dyDescent="0.25">
      <c r="A766" s="26">
        <v>46056</v>
      </c>
      <c r="B766" s="27">
        <f t="shared" si="55"/>
        <v>2026</v>
      </c>
      <c r="C766" s="27">
        <f t="shared" si="56"/>
        <v>2</v>
      </c>
      <c r="D766" s="27">
        <f t="shared" si="57"/>
        <v>3</v>
      </c>
      <c r="E766" s="27">
        <f t="shared" si="58"/>
        <v>3</v>
      </c>
      <c r="F766" s="27">
        <f>VLOOKUP(E766,[2]t_calendarioPolitica!A:C,3,FALSE)</f>
        <v>1</v>
      </c>
      <c r="G766" s="1">
        <v>1</v>
      </c>
      <c r="H766" s="1">
        <v>1</v>
      </c>
      <c r="I766" s="1">
        <f t="shared" si="59"/>
        <v>1</v>
      </c>
    </row>
    <row r="767" spans="1:9" x14ac:dyDescent="0.25">
      <c r="A767" s="26">
        <v>46057</v>
      </c>
      <c r="B767" s="27">
        <f t="shared" si="55"/>
        <v>2026</v>
      </c>
      <c r="C767" s="27">
        <f t="shared" si="56"/>
        <v>2</v>
      </c>
      <c r="D767" s="27">
        <f t="shared" si="57"/>
        <v>4</v>
      </c>
      <c r="E767" s="27">
        <f t="shared" si="58"/>
        <v>4</v>
      </c>
      <c r="F767" s="27">
        <f>VLOOKUP(E767,[2]t_calendarioPolitica!A:C,3,FALSE)</f>
        <v>1</v>
      </c>
      <c r="G767" s="1">
        <v>1</v>
      </c>
      <c r="H767" s="1">
        <v>1</v>
      </c>
      <c r="I767" s="1">
        <f t="shared" si="59"/>
        <v>1</v>
      </c>
    </row>
    <row r="768" spans="1:9" x14ac:dyDescent="0.25">
      <c r="A768" s="26">
        <v>46058</v>
      </c>
      <c r="B768" s="27">
        <f t="shared" si="55"/>
        <v>2026</v>
      </c>
      <c r="C768" s="27">
        <f t="shared" si="56"/>
        <v>2</v>
      </c>
      <c r="D768" s="27">
        <f t="shared" si="57"/>
        <v>5</v>
      </c>
      <c r="E768" s="27">
        <f t="shared" si="58"/>
        <v>5</v>
      </c>
      <c r="F768" s="27">
        <f>VLOOKUP(E768,[2]t_calendarioPolitica!A:C,3,FALSE)</f>
        <v>1</v>
      </c>
      <c r="G768" s="1">
        <v>1</v>
      </c>
      <c r="H768" s="1">
        <v>1</v>
      </c>
      <c r="I768" s="1">
        <f t="shared" si="59"/>
        <v>1</v>
      </c>
    </row>
    <row r="769" spans="1:9" x14ac:dyDescent="0.25">
      <c r="A769" s="26">
        <v>46059</v>
      </c>
      <c r="B769" s="27">
        <f t="shared" si="55"/>
        <v>2026</v>
      </c>
      <c r="C769" s="27">
        <f t="shared" si="56"/>
        <v>2</v>
      </c>
      <c r="D769" s="27">
        <f t="shared" si="57"/>
        <v>6</v>
      </c>
      <c r="E769" s="27">
        <f t="shared" si="58"/>
        <v>6</v>
      </c>
      <c r="F769" s="27">
        <f>VLOOKUP(E769,[2]t_calendarioPolitica!A:C,3,FALSE)</f>
        <v>1</v>
      </c>
      <c r="G769" s="1">
        <v>1</v>
      </c>
      <c r="H769" s="1">
        <v>1</v>
      </c>
      <c r="I769" s="1">
        <f t="shared" si="59"/>
        <v>1</v>
      </c>
    </row>
    <row r="770" spans="1:9" x14ac:dyDescent="0.25">
      <c r="A770" s="26">
        <v>46060</v>
      </c>
      <c r="B770" s="27">
        <f t="shared" si="55"/>
        <v>2026</v>
      </c>
      <c r="C770" s="27">
        <f t="shared" si="56"/>
        <v>2</v>
      </c>
      <c r="D770" s="27">
        <f t="shared" si="57"/>
        <v>7</v>
      </c>
      <c r="E770" s="27">
        <f t="shared" si="58"/>
        <v>7</v>
      </c>
      <c r="F770" s="27">
        <f>VLOOKUP(E770,[2]t_calendarioPolitica!A:C,3,FALSE)</f>
        <v>2</v>
      </c>
      <c r="G770" s="1">
        <v>1</v>
      </c>
      <c r="H770" s="1">
        <v>1</v>
      </c>
      <c r="I770" s="1">
        <f t="shared" si="59"/>
        <v>1</v>
      </c>
    </row>
    <row r="771" spans="1:9" x14ac:dyDescent="0.25">
      <c r="A771" s="26">
        <v>46061</v>
      </c>
      <c r="B771" s="27">
        <f t="shared" ref="B771:B834" si="60">YEAR(A771)</f>
        <v>2026</v>
      </c>
      <c r="C771" s="27">
        <f t="shared" ref="C771:C834" si="61">MONTH(A771)</f>
        <v>2</v>
      </c>
      <c r="D771" s="27">
        <f t="shared" ref="D771:D834" si="62">DAY(A771)</f>
        <v>8</v>
      </c>
      <c r="E771" s="27">
        <f t="shared" ref="E771:E834" si="63">WEEKDAY(A771)</f>
        <v>1</v>
      </c>
      <c r="F771" s="27">
        <f>VLOOKUP(E771,[2]t_calendarioPolitica!A:C,3,FALSE)</f>
        <v>0</v>
      </c>
      <c r="G771" s="1">
        <v>1</v>
      </c>
      <c r="H771" s="1">
        <v>1</v>
      </c>
      <c r="I771" s="1">
        <f t="shared" ref="I771:I834" si="64">IF(AND(F771&lt;&gt;0, H771&lt;&gt;0,G771&lt;&gt;0), 1, 0)</f>
        <v>0</v>
      </c>
    </row>
    <row r="772" spans="1:9" x14ac:dyDescent="0.25">
      <c r="A772" s="26">
        <v>46062</v>
      </c>
      <c r="B772" s="27">
        <f t="shared" si="60"/>
        <v>2026</v>
      </c>
      <c r="C772" s="27">
        <f t="shared" si="61"/>
        <v>2</v>
      </c>
      <c r="D772" s="27">
        <f t="shared" si="62"/>
        <v>9</v>
      </c>
      <c r="E772" s="27">
        <f t="shared" si="63"/>
        <v>2</v>
      </c>
      <c r="F772" s="27">
        <f>VLOOKUP(E772,[2]t_calendarioPolitica!A:C,3,FALSE)</f>
        <v>1</v>
      </c>
      <c r="G772" s="1">
        <v>1</v>
      </c>
      <c r="H772" s="1">
        <v>1</v>
      </c>
      <c r="I772" s="1">
        <f t="shared" si="64"/>
        <v>1</v>
      </c>
    </row>
    <row r="773" spans="1:9" x14ac:dyDescent="0.25">
      <c r="A773" s="26">
        <v>46063</v>
      </c>
      <c r="B773" s="27">
        <f t="shared" si="60"/>
        <v>2026</v>
      </c>
      <c r="C773" s="27">
        <f t="shared" si="61"/>
        <v>2</v>
      </c>
      <c r="D773" s="27">
        <f t="shared" si="62"/>
        <v>10</v>
      </c>
      <c r="E773" s="27">
        <f t="shared" si="63"/>
        <v>3</v>
      </c>
      <c r="F773" s="27">
        <f>VLOOKUP(E773,[2]t_calendarioPolitica!A:C,3,FALSE)</f>
        <v>1</v>
      </c>
      <c r="G773" s="1">
        <v>1</v>
      </c>
      <c r="H773" s="1">
        <v>1</v>
      </c>
      <c r="I773" s="1">
        <f t="shared" si="64"/>
        <v>1</v>
      </c>
    </row>
    <row r="774" spans="1:9" x14ac:dyDescent="0.25">
      <c r="A774" s="26">
        <v>46064</v>
      </c>
      <c r="B774" s="27">
        <f t="shared" si="60"/>
        <v>2026</v>
      </c>
      <c r="C774" s="27">
        <f t="shared" si="61"/>
        <v>2</v>
      </c>
      <c r="D774" s="27">
        <f t="shared" si="62"/>
        <v>11</v>
      </c>
      <c r="E774" s="27">
        <f t="shared" si="63"/>
        <v>4</v>
      </c>
      <c r="F774" s="27">
        <f>VLOOKUP(E774,[2]t_calendarioPolitica!A:C,3,FALSE)</f>
        <v>1</v>
      </c>
      <c r="G774" s="1">
        <v>1</v>
      </c>
      <c r="H774" s="1">
        <v>1</v>
      </c>
      <c r="I774" s="1">
        <f t="shared" si="64"/>
        <v>1</v>
      </c>
    </row>
    <row r="775" spans="1:9" x14ac:dyDescent="0.25">
      <c r="A775" s="26">
        <v>46065</v>
      </c>
      <c r="B775" s="27">
        <f t="shared" si="60"/>
        <v>2026</v>
      </c>
      <c r="C775" s="27">
        <f t="shared" si="61"/>
        <v>2</v>
      </c>
      <c r="D775" s="27">
        <f t="shared" si="62"/>
        <v>12</v>
      </c>
      <c r="E775" s="27">
        <f t="shared" si="63"/>
        <v>5</v>
      </c>
      <c r="F775" s="27">
        <f>VLOOKUP(E775,[2]t_calendarioPolitica!A:C,3,FALSE)</f>
        <v>1</v>
      </c>
      <c r="G775" s="1">
        <v>1</v>
      </c>
      <c r="H775" s="1">
        <v>1</v>
      </c>
      <c r="I775" s="1">
        <f t="shared" si="64"/>
        <v>1</v>
      </c>
    </row>
    <row r="776" spans="1:9" x14ac:dyDescent="0.25">
      <c r="A776" s="26">
        <v>46066</v>
      </c>
      <c r="B776" s="27">
        <f t="shared" si="60"/>
        <v>2026</v>
      </c>
      <c r="C776" s="27">
        <f t="shared" si="61"/>
        <v>2</v>
      </c>
      <c r="D776" s="27">
        <f t="shared" si="62"/>
        <v>13</v>
      </c>
      <c r="E776" s="27">
        <f t="shared" si="63"/>
        <v>6</v>
      </c>
      <c r="F776" s="27">
        <f>VLOOKUP(E776,[2]t_calendarioPolitica!A:C,3,FALSE)</f>
        <v>1</v>
      </c>
      <c r="G776" s="1">
        <v>1</v>
      </c>
      <c r="H776" s="1">
        <v>1</v>
      </c>
      <c r="I776" s="1">
        <f t="shared" si="64"/>
        <v>1</v>
      </c>
    </row>
    <row r="777" spans="1:9" x14ac:dyDescent="0.25">
      <c r="A777" s="26">
        <v>46067</v>
      </c>
      <c r="B777" s="27">
        <f t="shared" si="60"/>
        <v>2026</v>
      </c>
      <c r="C777" s="27">
        <f t="shared" si="61"/>
        <v>2</v>
      </c>
      <c r="D777" s="27">
        <f t="shared" si="62"/>
        <v>14</v>
      </c>
      <c r="E777" s="27">
        <f t="shared" si="63"/>
        <v>7</v>
      </c>
      <c r="F777" s="27">
        <f>VLOOKUP(E777,[2]t_calendarioPolitica!A:C,3,FALSE)</f>
        <v>2</v>
      </c>
      <c r="G777" s="1">
        <v>1</v>
      </c>
      <c r="H777" s="1">
        <v>1</v>
      </c>
      <c r="I777" s="1">
        <f t="shared" si="64"/>
        <v>1</v>
      </c>
    </row>
    <row r="778" spans="1:9" x14ac:dyDescent="0.25">
      <c r="A778" s="26">
        <v>46068</v>
      </c>
      <c r="B778" s="27">
        <f t="shared" si="60"/>
        <v>2026</v>
      </c>
      <c r="C778" s="27">
        <f t="shared" si="61"/>
        <v>2</v>
      </c>
      <c r="D778" s="27">
        <f t="shared" si="62"/>
        <v>15</v>
      </c>
      <c r="E778" s="27">
        <f t="shared" si="63"/>
        <v>1</v>
      </c>
      <c r="F778" s="27">
        <f>VLOOKUP(E778,[2]t_calendarioPolitica!A:C,3,FALSE)</f>
        <v>0</v>
      </c>
      <c r="G778" s="1">
        <v>1</v>
      </c>
      <c r="H778" s="1">
        <v>1</v>
      </c>
      <c r="I778" s="1">
        <f t="shared" si="64"/>
        <v>0</v>
      </c>
    </row>
    <row r="779" spans="1:9" x14ac:dyDescent="0.25">
      <c r="A779" s="26">
        <v>46069</v>
      </c>
      <c r="B779" s="27">
        <f t="shared" si="60"/>
        <v>2026</v>
      </c>
      <c r="C779" s="27">
        <f t="shared" si="61"/>
        <v>2</v>
      </c>
      <c r="D779" s="27">
        <f t="shared" si="62"/>
        <v>16</v>
      </c>
      <c r="E779" s="27">
        <f t="shared" si="63"/>
        <v>2</v>
      </c>
      <c r="F779" s="27">
        <f>VLOOKUP(E779,[2]t_calendarioPolitica!A:C,3,FALSE)</f>
        <v>1</v>
      </c>
      <c r="G779" s="1">
        <v>1</v>
      </c>
      <c r="H779" s="1">
        <v>1</v>
      </c>
      <c r="I779" s="1">
        <f t="shared" si="64"/>
        <v>1</v>
      </c>
    </row>
    <row r="780" spans="1:9" x14ac:dyDescent="0.25">
      <c r="A780" s="26">
        <v>46070</v>
      </c>
      <c r="B780" s="27">
        <f t="shared" si="60"/>
        <v>2026</v>
      </c>
      <c r="C780" s="27">
        <f t="shared" si="61"/>
        <v>2</v>
      </c>
      <c r="D780" s="27">
        <f t="shared" si="62"/>
        <v>17</v>
      </c>
      <c r="E780" s="27">
        <f t="shared" si="63"/>
        <v>3</v>
      </c>
      <c r="F780" s="27">
        <f>VLOOKUP(E780,[2]t_calendarioPolitica!A:C,3,FALSE)</f>
        <v>1</v>
      </c>
      <c r="G780" s="1">
        <v>1</v>
      </c>
      <c r="H780" s="1">
        <v>1</v>
      </c>
      <c r="I780" s="1">
        <f t="shared" si="64"/>
        <v>1</v>
      </c>
    </row>
    <row r="781" spans="1:9" x14ac:dyDescent="0.25">
      <c r="A781" s="26">
        <v>46071</v>
      </c>
      <c r="B781" s="27">
        <f t="shared" si="60"/>
        <v>2026</v>
      </c>
      <c r="C781" s="27">
        <f t="shared" si="61"/>
        <v>2</v>
      </c>
      <c r="D781" s="27">
        <f t="shared" si="62"/>
        <v>18</v>
      </c>
      <c r="E781" s="27">
        <f t="shared" si="63"/>
        <v>4</v>
      </c>
      <c r="F781" s="27">
        <f>VLOOKUP(E781,[2]t_calendarioPolitica!A:C,3,FALSE)</f>
        <v>1</v>
      </c>
      <c r="G781" s="1">
        <v>1</v>
      </c>
      <c r="H781" s="1">
        <v>1</v>
      </c>
      <c r="I781" s="1">
        <f t="shared" si="64"/>
        <v>1</v>
      </c>
    </row>
    <row r="782" spans="1:9" x14ac:dyDescent="0.25">
      <c r="A782" s="26">
        <v>46072</v>
      </c>
      <c r="B782" s="27">
        <f t="shared" si="60"/>
        <v>2026</v>
      </c>
      <c r="C782" s="27">
        <f t="shared" si="61"/>
        <v>2</v>
      </c>
      <c r="D782" s="27">
        <f t="shared" si="62"/>
        <v>19</v>
      </c>
      <c r="E782" s="27">
        <f t="shared" si="63"/>
        <v>5</v>
      </c>
      <c r="F782" s="27">
        <f>VLOOKUP(E782,[2]t_calendarioPolitica!A:C,3,FALSE)</f>
        <v>1</v>
      </c>
      <c r="G782" s="1">
        <v>1</v>
      </c>
      <c r="H782" s="1">
        <v>1</v>
      </c>
      <c r="I782" s="1">
        <f t="shared" si="64"/>
        <v>1</v>
      </c>
    </row>
    <row r="783" spans="1:9" x14ac:dyDescent="0.25">
      <c r="A783" s="26">
        <v>46073</v>
      </c>
      <c r="B783" s="27">
        <f t="shared" si="60"/>
        <v>2026</v>
      </c>
      <c r="C783" s="27">
        <f t="shared" si="61"/>
        <v>2</v>
      </c>
      <c r="D783" s="27">
        <f t="shared" si="62"/>
        <v>20</v>
      </c>
      <c r="E783" s="27">
        <f t="shared" si="63"/>
        <v>6</v>
      </c>
      <c r="F783" s="27">
        <f>VLOOKUP(E783,[2]t_calendarioPolitica!A:C,3,FALSE)</f>
        <v>1</v>
      </c>
      <c r="G783" s="1">
        <v>1</v>
      </c>
      <c r="H783" s="1">
        <v>1</v>
      </c>
      <c r="I783" s="1">
        <f t="shared" si="64"/>
        <v>1</v>
      </c>
    </row>
    <row r="784" spans="1:9" x14ac:dyDescent="0.25">
      <c r="A784" s="26">
        <v>46074</v>
      </c>
      <c r="B784" s="27">
        <f t="shared" si="60"/>
        <v>2026</v>
      </c>
      <c r="C784" s="27">
        <f t="shared" si="61"/>
        <v>2</v>
      </c>
      <c r="D784" s="27">
        <f t="shared" si="62"/>
        <v>21</v>
      </c>
      <c r="E784" s="27">
        <f t="shared" si="63"/>
        <v>7</v>
      </c>
      <c r="F784" s="27">
        <f>VLOOKUP(E784,[2]t_calendarioPolitica!A:C,3,FALSE)</f>
        <v>2</v>
      </c>
      <c r="G784" s="1">
        <v>1</v>
      </c>
      <c r="H784" s="1">
        <v>1</v>
      </c>
      <c r="I784" s="1">
        <f t="shared" si="64"/>
        <v>1</v>
      </c>
    </row>
    <row r="785" spans="1:9" x14ac:dyDescent="0.25">
      <c r="A785" s="26">
        <v>46075</v>
      </c>
      <c r="B785" s="27">
        <f t="shared" si="60"/>
        <v>2026</v>
      </c>
      <c r="C785" s="27">
        <f t="shared" si="61"/>
        <v>2</v>
      </c>
      <c r="D785" s="27">
        <f t="shared" si="62"/>
        <v>22</v>
      </c>
      <c r="E785" s="27">
        <f t="shared" si="63"/>
        <v>1</v>
      </c>
      <c r="F785" s="27">
        <f>VLOOKUP(E785,[2]t_calendarioPolitica!A:C,3,FALSE)</f>
        <v>0</v>
      </c>
      <c r="G785" s="1">
        <v>1</v>
      </c>
      <c r="H785" s="1">
        <v>1</v>
      </c>
      <c r="I785" s="1">
        <f t="shared" si="64"/>
        <v>0</v>
      </c>
    </row>
    <row r="786" spans="1:9" x14ac:dyDescent="0.25">
      <c r="A786" s="26">
        <v>46076</v>
      </c>
      <c r="B786" s="27">
        <f t="shared" si="60"/>
        <v>2026</v>
      </c>
      <c r="C786" s="27">
        <f t="shared" si="61"/>
        <v>2</v>
      </c>
      <c r="D786" s="27">
        <f t="shared" si="62"/>
        <v>23</v>
      </c>
      <c r="E786" s="27">
        <f t="shared" si="63"/>
        <v>2</v>
      </c>
      <c r="F786" s="27">
        <f>VLOOKUP(E786,[2]t_calendarioPolitica!A:C,3,FALSE)</f>
        <v>1</v>
      </c>
      <c r="G786" s="1">
        <v>1</v>
      </c>
      <c r="H786" s="1">
        <v>1</v>
      </c>
      <c r="I786" s="1">
        <f t="shared" si="64"/>
        <v>1</v>
      </c>
    </row>
    <row r="787" spans="1:9" x14ac:dyDescent="0.25">
      <c r="A787" s="26">
        <v>46077</v>
      </c>
      <c r="B787" s="27">
        <f t="shared" si="60"/>
        <v>2026</v>
      </c>
      <c r="C787" s="27">
        <f t="shared" si="61"/>
        <v>2</v>
      </c>
      <c r="D787" s="27">
        <f t="shared" si="62"/>
        <v>24</v>
      </c>
      <c r="E787" s="27">
        <f t="shared" si="63"/>
        <v>3</v>
      </c>
      <c r="F787" s="27">
        <f>VLOOKUP(E787,[2]t_calendarioPolitica!A:C,3,FALSE)</f>
        <v>1</v>
      </c>
      <c r="G787" s="1">
        <v>1</v>
      </c>
      <c r="H787" s="1">
        <v>1</v>
      </c>
      <c r="I787" s="1">
        <f t="shared" si="64"/>
        <v>1</v>
      </c>
    </row>
    <row r="788" spans="1:9" x14ac:dyDescent="0.25">
      <c r="A788" s="26">
        <v>46078</v>
      </c>
      <c r="B788" s="27">
        <f t="shared" si="60"/>
        <v>2026</v>
      </c>
      <c r="C788" s="27">
        <f t="shared" si="61"/>
        <v>2</v>
      </c>
      <c r="D788" s="27">
        <f t="shared" si="62"/>
        <v>25</v>
      </c>
      <c r="E788" s="27">
        <f t="shared" si="63"/>
        <v>4</v>
      </c>
      <c r="F788" s="27">
        <f>VLOOKUP(E788,[2]t_calendarioPolitica!A:C,3,FALSE)</f>
        <v>1</v>
      </c>
      <c r="G788" s="1">
        <v>1</v>
      </c>
      <c r="H788" s="1">
        <v>1</v>
      </c>
      <c r="I788" s="1">
        <f t="shared" si="64"/>
        <v>1</v>
      </c>
    </row>
    <row r="789" spans="1:9" x14ac:dyDescent="0.25">
      <c r="A789" s="26">
        <v>46079</v>
      </c>
      <c r="B789" s="27">
        <f t="shared" si="60"/>
        <v>2026</v>
      </c>
      <c r="C789" s="27">
        <f t="shared" si="61"/>
        <v>2</v>
      </c>
      <c r="D789" s="27">
        <f t="shared" si="62"/>
        <v>26</v>
      </c>
      <c r="E789" s="27">
        <f t="shared" si="63"/>
        <v>5</v>
      </c>
      <c r="F789" s="27">
        <f>VLOOKUP(E789,[2]t_calendarioPolitica!A:C,3,FALSE)</f>
        <v>1</v>
      </c>
      <c r="G789" s="1">
        <v>1</v>
      </c>
      <c r="H789" s="1">
        <v>1</v>
      </c>
      <c r="I789" s="1">
        <f t="shared" si="64"/>
        <v>1</v>
      </c>
    </row>
    <row r="790" spans="1:9" x14ac:dyDescent="0.25">
      <c r="A790" s="26">
        <v>46080</v>
      </c>
      <c r="B790" s="27">
        <f t="shared" si="60"/>
        <v>2026</v>
      </c>
      <c r="C790" s="27">
        <f t="shared" si="61"/>
        <v>2</v>
      </c>
      <c r="D790" s="27">
        <f t="shared" si="62"/>
        <v>27</v>
      </c>
      <c r="E790" s="27">
        <f t="shared" si="63"/>
        <v>6</v>
      </c>
      <c r="F790" s="27">
        <f>VLOOKUP(E790,[2]t_calendarioPolitica!A:C,3,FALSE)</f>
        <v>1</v>
      </c>
      <c r="G790" s="1">
        <v>1</v>
      </c>
      <c r="H790" s="1">
        <v>1</v>
      </c>
      <c r="I790" s="1">
        <f t="shared" si="64"/>
        <v>1</v>
      </c>
    </row>
    <row r="791" spans="1:9" x14ac:dyDescent="0.25">
      <c r="A791" s="26">
        <v>46081</v>
      </c>
      <c r="B791" s="27">
        <f t="shared" si="60"/>
        <v>2026</v>
      </c>
      <c r="C791" s="27">
        <f t="shared" si="61"/>
        <v>2</v>
      </c>
      <c r="D791" s="27">
        <f t="shared" si="62"/>
        <v>28</v>
      </c>
      <c r="E791" s="27">
        <f t="shared" si="63"/>
        <v>7</v>
      </c>
      <c r="F791" s="27">
        <f>VLOOKUP(E791,[2]t_calendarioPolitica!A:C,3,FALSE)</f>
        <v>2</v>
      </c>
      <c r="G791" s="1">
        <v>1</v>
      </c>
      <c r="H791" s="1">
        <v>1</v>
      </c>
      <c r="I791" s="1">
        <f t="shared" si="64"/>
        <v>1</v>
      </c>
    </row>
    <row r="792" spans="1:9" x14ac:dyDescent="0.25">
      <c r="A792" s="26">
        <v>46082</v>
      </c>
      <c r="B792" s="27">
        <f t="shared" si="60"/>
        <v>2026</v>
      </c>
      <c r="C792" s="27">
        <f t="shared" si="61"/>
        <v>3</v>
      </c>
      <c r="D792" s="27">
        <f t="shared" si="62"/>
        <v>1</v>
      </c>
      <c r="E792" s="27">
        <f t="shared" si="63"/>
        <v>1</v>
      </c>
      <c r="F792" s="27">
        <f>VLOOKUP(E792,[2]t_calendarioPolitica!A:C,3,FALSE)</f>
        <v>0</v>
      </c>
      <c r="G792" s="1">
        <v>1</v>
      </c>
      <c r="H792" s="1">
        <v>1</v>
      </c>
      <c r="I792" s="1">
        <f t="shared" si="64"/>
        <v>0</v>
      </c>
    </row>
    <row r="793" spans="1:9" x14ac:dyDescent="0.25">
      <c r="A793" s="26">
        <v>46083</v>
      </c>
      <c r="B793" s="27">
        <f t="shared" si="60"/>
        <v>2026</v>
      </c>
      <c r="C793" s="27">
        <f t="shared" si="61"/>
        <v>3</v>
      </c>
      <c r="D793" s="27">
        <f t="shared" si="62"/>
        <v>2</v>
      </c>
      <c r="E793" s="27">
        <f t="shared" si="63"/>
        <v>2</v>
      </c>
      <c r="F793" s="27">
        <f>VLOOKUP(E793,[2]t_calendarioPolitica!A:C,3,FALSE)</f>
        <v>1</v>
      </c>
      <c r="G793" s="1">
        <v>1</v>
      </c>
      <c r="H793" s="1">
        <v>1</v>
      </c>
      <c r="I793" s="1">
        <f t="shared" si="64"/>
        <v>1</v>
      </c>
    </row>
    <row r="794" spans="1:9" x14ac:dyDescent="0.25">
      <c r="A794" s="26">
        <v>46084</v>
      </c>
      <c r="B794" s="27">
        <f t="shared" si="60"/>
        <v>2026</v>
      </c>
      <c r="C794" s="27">
        <f t="shared" si="61"/>
        <v>3</v>
      </c>
      <c r="D794" s="27">
        <f t="shared" si="62"/>
        <v>3</v>
      </c>
      <c r="E794" s="27">
        <f t="shared" si="63"/>
        <v>3</v>
      </c>
      <c r="F794" s="27">
        <f>VLOOKUP(E794,[2]t_calendarioPolitica!A:C,3,FALSE)</f>
        <v>1</v>
      </c>
      <c r="G794" s="1">
        <v>1</v>
      </c>
      <c r="H794" s="1">
        <v>1</v>
      </c>
      <c r="I794" s="1">
        <f t="shared" si="64"/>
        <v>1</v>
      </c>
    </row>
    <row r="795" spans="1:9" x14ac:dyDescent="0.25">
      <c r="A795" s="26">
        <v>46085</v>
      </c>
      <c r="B795" s="27">
        <f t="shared" si="60"/>
        <v>2026</v>
      </c>
      <c r="C795" s="27">
        <f t="shared" si="61"/>
        <v>3</v>
      </c>
      <c r="D795" s="27">
        <f t="shared" si="62"/>
        <v>4</v>
      </c>
      <c r="E795" s="27">
        <f t="shared" si="63"/>
        <v>4</v>
      </c>
      <c r="F795" s="27">
        <f>VLOOKUP(E795,[2]t_calendarioPolitica!A:C,3,FALSE)</f>
        <v>1</v>
      </c>
      <c r="G795" s="1">
        <v>1</v>
      </c>
      <c r="H795" s="1">
        <v>1</v>
      </c>
      <c r="I795" s="1">
        <f t="shared" si="64"/>
        <v>1</v>
      </c>
    </row>
    <row r="796" spans="1:9" x14ac:dyDescent="0.25">
      <c r="A796" s="26">
        <v>46086</v>
      </c>
      <c r="B796" s="27">
        <f t="shared" si="60"/>
        <v>2026</v>
      </c>
      <c r="C796" s="27">
        <f t="shared" si="61"/>
        <v>3</v>
      </c>
      <c r="D796" s="27">
        <f t="shared" si="62"/>
        <v>5</v>
      </c>
      <c r="E796" s="27">
        <f t="shared" si="63"/>
        <v>5</v>
      </c>
      <c r="F796" s="27">
        <f>VLOOKUP(E796,[2]t_calendarioPolitica!A:C,3,FALSE)</f>
        <v>1</v>
      </c>
      <c r="G796" s="1">
        <v>1</v>
      </c>
      <c r="H796" s="1">
        <v>1</v>
      </c>
      <c r="I796" s="1">
        <f t="shared" si="64"/>
        <v>1</v>
      </c>
    </row>
    <row r="797" spans="1:9" x14ac:dyDescent="0.25">
      <c r="A797" s="26">
        <v>46087</v>
      </c>
      <c r="B797" s="27">
        <f t="shared" si="60"/>
        <v>2026</v>
      </c>
      <c r="C797" s="27">
        <f t="shared" si="61"/>
        <v>3</v>
      </c>
      <c r="D797" s="27">
        <f t="shared" si="62"/>
        <v>6</v>
      </c>
      <c r="E797" s="27">
        <f t="shared" si="63"/>
        <v>6</v>
      </c>
      <c r="F797" s="27">
        <f>VLOOKUP(E797,[2]t_calendarioPolitica!A:C,3,FALSE)</f>
        <v>1</v>
      </c>
      <c r="G797" s="1">
        <v>1</v>
      </c>
      <c r="H797" s="1">
        <v>1</v>
      </c>
      <c r="I797" s="1">
        <f t="shared" si="64"/>
        <v>1</v>
      </c>
    </row>
    <row r="798" spans="1:9" x14ac:dyDescent="0.25">
      <c r="A798" s="26">
        <v>46088</v>
      </c>
      <c r="B798" s="27">
        <f t="shared" si="60"/>
        <v>2026</v>
      </c>
      <c r="C798" s="27">
        <f t="shared" si="61"/>
        <v>3</v>
      </c>
      <c r="D798" s="27">
        <f t="shared" si="62"/>
        <v>7</v>
      </c>
      <c r="E798" s="27">
        <f t="shared" si="63"/>
        <v>7</v>
      </c>
      <c r="F798" s="27">
        <f>VLOOKUP(E798,[2]t_calendarioPolitica!A:C,3,FALSE)</f>
        <v>2</v>
      </c>
      <c r="G798" s="1">
        <v>1</v>
      </c>
      <c r="H798" s="1">
        <v>1</v>
      </c>
      <c r="I798" s="1">
        <f t="shared" si="64"/>
        <v>1</v>
      </c>
    </row>
    <row r="799" spans="1:9" x14ac:dyDescent="0.25">
      <c r="A799" s="26">
        <v>46089</v>
      </c>
      <c r="B799" s="27">
        <f t="shared" si="60"/>
        <v>2026</v>
      </c>
      <c r="C799" s="27">
        <f t="shared" si="61"/>
        <v>3</v>
      </c>
      <c r="D799" s="27">
        <f t="shared" si="62"/>
        <v>8</v>
      </c>
      <c r="E799" s="27">
        <f t="shared" si="63"/>
        <v>1</v>
      </c>
      <c r="F799" s="27">
        <f>VLOOKUP(E799,[2]t_calendarioPolitica!A:C,3,FALSE)</f>
        <v>0</v>
      </c>
      <c r="G799" s="1">
        <v>1</v>
      </c>
      <c r="H799" s="1">
        <v>1</v>
      </c>
      <c r="I799" s="1">
        <f t="shared" si="64"/>
        <v>0</v>
      </c>
    </row>
    <row r="800" spans="1:9" x14ac:dyDescent="0.25">
      <c r="A800" s="26">
        <v>46090</v>
      </c>
      <c r="B800" s="27">
        <f t="shared" si="60"/>
        <v>2026</v>
      </c>
      <c r="C800" s="27">
        <f t="shared" si="61"/>
        <v>3</v>
      </c>
      <c r="D800" s="27">
        <f t="shared" si="62"/>
        <v>9</v>
      </c>
      <c r="E800" s="27">
        <f t="shared" si="63"/>
        <v>2</v>
      </c>
      <c r="F800" s="27">
        <f>VLOOKUP(E800,[2]t_calendarioPolitica!A:C,3,FALSE)</f>
        <v>1</v>
      </c>
      <c r="G800" s="1">
        <v>1</v>
      </c>
      <c r="H800" s="1">
        <v>1</v>
      </c>
      <c r="I800" s="1">
        <f t="shared" si="64"/>
        <v>1</v>
      </c>
    </row>
    <row r="801" spans="1:9" x14ac:dyDescent="0.25">
      <c r="A801" s="26">
        <v>46091</v>
      </c>
      <c r="B801" s="27">
        <f t="shared" si="60"/>
        <v>2026</v>
      </c>
      <c r="C801" s="27">
        <f t="shared" si="61"/>
        <v>3</v>
      </c>
      <c r="D801" s="27">
        <f t="shared" si="62"/>
        <v>10</v>
      </c>
      <c r="E801" s="27">
        <f t="shared" si="63"/>
        <v>3</v>
      </c>
      <c r="F801" s="27">
        <f>VLOOKUP(E801,[2]t_calendarioPolitica!A:C,3,FALSE)</f>
        <v>1</v>
      </c>
      <c r="G801" s="1">
        <v>1</v>
      </c>
      <c r="H801" s="1">
        <v>1</v>
      </c>
      <c r="I801" s="1">
        <f t="shared" si="64"/>
        <v>1</v>
      </c>
    </row>
    <row r="802" spans="1:9" x14ac:dyDescent="0.25">
      <c r="A802" s="26">
        <v>46092</v>
      </c>
      <c r="B802" s="27">
        <f t="shared" si="60"/>
        <v>2026</v>
      </c>
      <c r="C802" s="27">
        <f t="shared" si="61"/>
        <v>3</v>
      </c>
      <c r="D802" s="27">
        <f t="shared" si="62"/>
        <v>11</v>
      </c>
      <c r="E802" s="27">
        <f t="shared" si="63"/>
        <v>4</v>
      </c>
      <c r="F802" s="27">
        <f>VLOOKUP(E802,[2]t_calendarioPolitica!A:C,3,FALSE)</f>
        <v>1</v>
      </c>
      <c r="G802" s="1">
        <v>1</v>
      </c>
      <c r="H802" s="1">
        <v>1</v>
      </c>
      <c r="I802" s="1">
        <f t="shared" si="64"/>
        <v>1</v>
      </c>
    </row>
    <row r="803" spans="1:9" x14ac:dyDescent="0.25">
      <c r="A803" s="26">
        <v>46093</v>
      </c>
      <c r="B803" s="27">
        <f t="shared" si="60"/>
        <v>2026</v>
      </c>
      <c r="C803" s="27">
        <f t="shared" si="61"/>
        <v>3</v>
      </c>
      <c r="D803" s="27">
        <f t="shared" si="62"/>
        <v>12</v>
      </c>
      <c r="E803" s="27">
        <f t="shared" si="63"/>
        <v>5</v>
      </c>
      <c r="F803" s="27">
        <f>VLOOKUP(E803,[2]t_calendarioPolitica!A:C,3,FALSE)</f>
        <v>1</v>
      </c>
      <c r="G803" s="1">
        <v>1</v>
      </c>
      <c r="H803" s="1">
        <v>1</v>
      </c>
      <c r="I803" s="1">
        <f t="shared" si="64"/>
        <v>1</v>
      </c>
    </row>
    <row r="804" spans="1:9" x14ac:dyDescent="0.25">
      <c r="A804" s="26">
        <v>46094</v>
      </c>
      <c r="B804" s="27">
        <f t="shared" si="60"/>
        <v>2026</v>
      </c>
      <c r="C804" s="27">
        <f t="shared" si="61"/>
        <v>3</v>
      </c>
      <c r="D804" s="27">
        <f t="shared" si="62"/>
        <v>13</v>
      </c>
      <c r="E804" s="27">
        <f t="shared" si="63"/>
        <v>6</v>
      </c>
      <c r="F804" s="27">
        <f>VLOOKUP(E804,[2]t_calendarioPolitica!A:C,3,FALSE)</f>
        <v>1</v>
      </c>
      <c r="G804" s="1">
        <v>1</v>
      </c>
      <c r="H804" s="1">
        <v>1</v>
      </c>
      <c r="I804" s="1">
        <f t="shared" si="64"/>
        <v>1</v>
      </c>
    </row>
    <row r="805" spans="1:9" x14ac:dyDescent="0.25">
      <c r="A805" s="26">
        <v>46095</v>
      </c>
      <c r="B805" s="27">
        <f t="shared" si="60"/>
        <v>2026</v>
      </c>
      <c r="C805" s="27">
        <f t="shared" si="61"/>
        <v>3</v>
      </c>
      <c r="D805" s="27">
        <f t="shared" si="62"/>
        <v>14</v>
      </c>
      <c r="E805" s="27">
        <f t="shared" si="63"/>
        <v>7</v>
      </c>
      <c r="F805" s="27">
        <f>VLOOKUP(E805,[2]t_calendarioPolitica!A:C,3,FALSE)</f>
        <v>2</v>
      </c>
      <c r="G805" s="1">
        <v>1</v>
      </c>
      <c r="H805" s="1">
        <v>1</v>
      </c>
      <c r="I805" s="1">
        <f t="shared" si="64"/>
        <v>1</v>
      </c>
    </row>
    <row r="806" spans="1:9" x14ac:dyDescent="0.25">
      <c r="A806" s="26">
        <v>46096</v>
      </c>
      <c r="B806" s="27">
        <f t="shared" si="60"/>
        <v>2026</v>
      </c>
      <c r="C806" s="27">
        <f t="shared" si="61"/>
        <v>3</v>
      </c>
      <c r="D806" s="27">
        <f t="shared" si="62"/>
        <v>15</v>
      </c>
      <c r="E806" s="27">
        <f t="shared" si="63"/>
        <v>1</v>
      </c>
      <c r="F806" s="27">
        <f>VLOOKUP(E806,[2]t_calendarioPolitica!A:C,3,FALSE)</f>
        <v>0</v>
      </c>
      <c r="G806" s="1">
        <v>1</v>
      </c>
      <c r="H806" s="1">
        <v>1</v>
      </c>
      <c r="I806" s="1">
        <f t="shared" si="64"/>
        <v>0</v>
      </c>
    </row>
    <row r="807" spans="1:9" x14ac:dyDescent="0.25">
      <c r="A807" s="26">
        <v>46097</v>
      </c>
      <c r="B807" s="27">
        <f t="shared" si="60"/>
        <v>2026</v>
      </c>
      <c r="C807" s="27">
        <f t="shared" si="61"/>
        <v>3</v>
      </c>
      <c r="D807" s="27">
        <f t="shared" si="62"/>
        <v>16</v>
      </c>
      <c r="E807" s="27">
        <f t="shared" si="63"/>
        <v>2</v>
      </c>
      <c r="F807" s="27">
        <f>VLOOKUP(E807,[2]t_calendarioPolitica!A:C,3,FALSE)</f>
        <v>1</v>
      </c>
      <c r="G807" s="1">
        <v>1</v>
      </c>
      <c r="H807" s="1">
        <v>1</v>
      </c>
      <c r="I807" s="1">
        <f t="shared" si="64"/>
        <v>1</v>
      </c>
    </row>
    <row r="808" spans="1:9" x14ac:dyDescent="0.25">
      <c r="A808" s="26">
        <v>46098</v>
      </c>
      <c r="B808" s="27">
        <f t="shared" si="60"/>
        <v>2026</v>
      </c>
      <c r="C808" s="27">
        <f t="shared" si="61"/>
        <v>3</v>
      </c>
      <c r="D808" s="27">
        <f t="shared" si="62"/>
        <v>17</v>
      </c>
      <c r="E808" s="27">
        <f t="shared" si="63"/>
        <v>3</v>
      </c>
      <c r="F808" s="27">
        <f>VLOOKUP(E808,[2]t_calendarioPolitica!A:C,3,FALSE)</f>
        <v>1</v>
      </c>
      <c r="G808" s="1">
        <v>1</v>
      </c>
      <c r="H808" s="1">
        <v>1</v>
      </c>
      <c r="I808" s="1">
        <f t="shared" si="64"/>
        <v>1</v>
      </c>
    </row>
    <row r="809" spans="1:9" x14ac:dyDescent="0.25">
      <c r="A809" s="26">
        <v>46099</v>
      </c>
      <c r="B809" s="27">
        <f t="shared" si="60"/>
        <v>2026</v>
      </c>
      <c r="C809" s="27">
        <f t="shared" si="61"/>
        <v>3</v>
      </c>
      <c r="D809" s="27">
        <f t="shared" si="62"/>
        <v>18</v>
      </c>
      <c r="E809" s="27">
        <f t="shared" si="63"/>
        <v>4</v>
      </c>
      <c r="F809" s="27">
        <f>VLOOKUP(E809,[2]t_calendarioPolitica!A:C,3,FALSE)</f>
        <v>1</v>
      </c>
      <c r="G809" s="1">
        <v>1</v>
      </c>
      <c r="H809" s="1">
        <v>1</v>
      </c>
      <c r="I809" s="1">
        <f t="shared" si="64"/>
        <v>1</v>
      </c>
    </row>
    <row r="810" spans="1:9" x14ac:dyDescent="0.25">
      <c r="A810" s="26">
        <v>46100</v>
      </c>
      <c r="B810" s="27">
        <f t="shared" si="60"/>
        <v>2026</v>
      </c>
      <c r="C810" s="27">
        <f t="shared" si="61"/>
        <v>3</v>
      </c>
      <c r="D810" s="27">
        <f t="shared" si="62"/>
        <v>19</v>
      </c>
      <c r="E810" s="27">
        <f t="shared" si="63"/>
        <v>5</v>
      </c>
      <c r="F810" s="27">
        <f>VLOOKUP(E810,[2]t_calendarioPolitica!A:C,3,FALSE)</f>
        <v>1</v>
      </c>
      <c r="G810" s="1">
        <v>1</v>
      </c>
      <c r="H810" s="1">
        <v>1</v>
      </c>
      <c r="I810" s="1">
        <f t="shared" si="64"/>
        <v>1</v>
      </c>
    </row>
    <row r="811" spans="1:9" x14ac:dyDescent="0.25">
      <c r="A811" s="26">
        <v>46101</v>
      </c>
      <c r="B811" s="27">
        <f t="shared" si="60"/>
        <v>2026</v>
      </c>
      <c r="C811" s="27">
        <f t="shared" si="61"/>
        <v>3</v>
      </c>
      <c r="D811" s="27">
        <f t="shared" si="62"/>
        <v>20</v>
      </c>
      <c r="E811" s="27">
        <f t="shared" si="63"/>
        <v>6</v>
      </c>
      <c r="F811" s="27">
        <f>VLOOKUP(E811,[2]t_calendarioPolitica!A:C,3,FALSE)</f>
        <v>1</v>
      </c>
      <c r="G811" s="1">
        <v>1</v>
      </c>
      <c r="H811" s="1">
        <v>1</v>
      </c>
      <c r="I811" s="1">
        <f t="shared" si="64"/>
        <v>1</v>
      </c>
    </row>
    <row r="812" spans="1:9" x14ac:dyDescent="0.25">
      <c r="A812" s="26">
        <v>46102</v>
      </c>
      <c r="B812" s="27">
        <f t="shared" si="60"/>
        <v>2026</v>
      </c>
      <c r="C812" s="27">
        <f t="shared" si="61"/>
        <v>3</v>
      </c>
      <c r="D812" s="27">
        <f t="shared" si="62"/>
        <v>21</v>
      </c>
      <c r="E812" s="27">
        <f t="shared" si="63"/>
        <v>7</v>
      </c>
      <c r="F812" s="27">
        <f>VLOOKUP(E812,[2]t_calendarioPolitica!A:C,3,FALSE)</f>
        <v>2</v>
      </c>
      <c r="G812" s="1">
        <v>1</v>
      </c>
      <c r="H812" s="1">
        <v>1</v>
      </c>
      <c r="I812" s="1">
        <f t="shared" si="64"/>
        <v>1</v>
      </c>
    </row>
    <row r="813" spans="1:9" x14ac:dyDescent="0.25">
      <c r="A813" s="26">
        <v>46103</v>
      </c>
      <c r="B813" s="27">
        <f t="shared" si="60"/>
        <v>2026</v>
      </c>
      <c r="C813" s="27">
        <f t="shared" si="61"/>
        <v>3</v>
      </c>
      <c r="D813" s="27">
        <f t="shared" si="62"/>
        <v>22</v>
      </c>
      <c r="E813" s="27">
        <f t="shared" si="63"/>
        <v>1</v>
      </c>
      <c r="F813" s="27">
        <f>VLOOKUP(E813,[2]t_calendarioPolitica!A:C,3,FALSE)</f>
        <v>0</v>
      </c>
      <c r="G813" s="1">
        <v>1</v>
      </c>
      <c r="H813" s="1">
        <v>1</v>
      </c>
      <c r="I813" s="1">
        <f t="shared" si="64"/>
        <v>0</v>
      </c>
    </row>
    <row r="814" spans="1:9" x14ac:dyDescent="0.25">
      <c r="A814" s="26">
        <v>46104</v>
      </c>
      <c r="B814" s="27">
        <f t="shared" si="60"/>
        <v>2026</v>
      </c>
      <c r="C814" s="27">
        <f t="shared" si="61"/>
        <v>3</v>
      </c>
      <c r="D814" s="27">
        <f t="shared" si="62"/>
        <v>23</v>
      </c>
      <c r="E814" s="27">
        <f t="shared" si="63"/>
        <v>2</v>
      </c>
      <c r="F814" s="27">
        <f>VLOOKUP(E814,[2]t_calendarioPolitica!A:C,3,FALSE)</f>
        <v>1</v>
      </c>
      <c r="G814" s="1">
        <v>1</v>
      </c>
      <c r="H814" s="1">
        <v>1</v>
      </c>
      <c r="I814" s="1">
        <f t="shared" si="64"/>
        <v>1</v>
      </c>
    </row>
    <row r="815" spans="1:9" x14ac:dyDescent="0.25">
      <c r="A815" s="26">
        <v>46105</v>
      </c>
      <c r="B815" s="27">
        <f t="shared" si="60"/>
        <v>2026</v>
      </c>
      <c r="C815" s="27">
        <f t="shared" si="61"/>
        <v>3</v>
      </c>
      <c r="D815" s="27">
        <f t="shared" si="62"/>
        <v>24</v>
      </c>
      <c r="E815" s="27">
        <f t="shared" si="63"/>
        <v>3</v>
      </c>
      <c r="F815" s="27">
        <f>VLOOKUP(E815,[2]t_calendarioPolitica!A:C,3,FALSE)</f>
        <v>1</v>
      </c>
      <c r="G815" s="1">
        <v>1</v>
      </c>
      <c r="H815" s="1">
        <v>1</v>
      </c>
      <c r="I815" s="1">
        <f t="shared" si="64"/>
        <v>1</v>
      </c>
    </row>
    <row r="816" spans="1:9" x14ac:dyDescent="0.25">
      <c r="A816" s="26">
        <v>46106</v>
      </c>
      <c r="B816" s="27">
        <f t="shared" si="60"/>
        <v>2026</v>
      </c>
      <c r="C816" s="27">
        <f t="shared" si="61"/>
        <v>3</v>
      </c>
      <c r="D816" s="27">
        <f t="shared" si="62"/>
        <v>25</v>
      </c>
      <c r="E816" s="27">
        <f t="shared" si="63"/>
        <v>4</v>
      </c>
      <c r="F816" s="27">
        <f>VLOOKUP(E816,[2]t_calendarioPolitica!A:C,3,FALSE)</f>
        <v>1</v>
      </c>
      <c r="G816" s="1">
        <v>1</v>
      </c>
      <c r="H816" s="1">
        <v>1</v>
      </c>
      <c r="I816" s="1">
        <f t="shared" si="64"/>
        <v>1</v>
      </c>
    </row>
    <row r="817" spans="1:9" x14ac:dyDescent="0.25">
      <c r="A817" s="26">
        <v>46107</v>
      </c>
      <c r="B817" s="27">
        <f t="shared" si="60"/>
        <v>2026</v>
      </c>
      <c r="C817" s="27">
        <f t="shared" si="61"/>
        <v>3</v>
      </c>
      <c r="D817" s="27">
        <f t="shared" si="62"/>
        <v>26</v>
      </c>
      <c r="E817" s="27">
        <f t="shared" si="63"/>
        <v>5</v>
      </c>
      <c r="F817" s="27">
        <f>VLOOKUP(E817,[2]t_calendarioPolitica!A:C,3,FALSE)</f>
        <v>1</v>
      </c>
      <c r="G817" s="1">
        <v>1</v>
      </c>
      <c r="H817" s="1">
        <v>1</v>
      </c>
      <c r="I817" s="1">
        <f t="shared" si="64"/>
        <v>1</v>
      </c>
    </row>
    <row r="818" spans="1:9" x14ac:dyDescent="0.25">
      <c r="A818" s="26">
        <v>46108</v>
      </c>
      <c r="B818" s="27">
        <f t="shared" si="60"/>
        <v>2026</v>
      </c>
      <c r="C818" s="27">
        <f t="shared" si="61"/>
        <v>3</v>
      </c>
      <c r="D818" s="27">
        <f t="shared" si="62"/>
        <v>27</v>
      </c>
      <c r="E818" s="27">
        <f t="shared" si="63"/>
        <v>6</v>
      </c>
      <c r="F818" s="27">
        <f>VLOOKUP(E818,[2]t_calendarioPolitica!A:C,3,FALSE)</f>
        <v>1</v>
      </c>
      <c r="G818" s="1">
        <v>1</v>
      </c>
      <c r="H818" s="1">
        <v>1</v>
      </c>
      <c r="I818" s="1">
        <f t="shared" si="64"/>
        <v>1</v>
      </c>
    </row>
    <row r="819" spans="1:9" x14ac:dyDescent="0.25">
      <c r="A819" s="26">
        <v>46109</v>
      </c>
      <c r="B819" s="27">
        <f t="shared" si="60"/>
        <v>2026</v>
      </c>
      <c r="C819" s="27">
        <f t="shared" si="61"/>
        <v>3</v>
      </c>
      <c r="D819" s="27">
        <f t="shared" si="62"/>
        <v>28</v>
      </c>
      <c r="E819" s="27">
        <f t="shared" si="63"/>
        <v>7</v>
      </c>
      <c r="F819" s="27">
        <f>VLOOKUP(E819,[2]t_calendarioPolitica!A:C,3,FALSE)</f>
        <v>2</v>
      </c>
      <c r="G819" s="1">
        <v>1</v>
      </c>
      <c r="H819" s="1">
        <v>1</v>
      </c>
      <c r="I819" s="1">
        <f t="shared" si="64"/>
        <v>1</v>
      </c>
    </row>
    <row r="820" spans="1:9" x14ac:dyDescent="0.25">
      <c r="A820" s="26">
        <v>46110</v>
      </c>
      <c r="B820" s="27">
        <f t="shared" si="60"/>
        <v>2026</v>
      </c>
      <c r="C820" s="27">
        <f t="shared" si="61"/>
        <v>3</v>
      </c>
      <c r="D820" s="27">
        <f t="shared" si="62"/>
        <v>29</v>
      </c>
      <c r="E820" s="27">
        <f t="shared" si="63"/>
        <v>1</v>
      </c>
      <c r="F820" s="27">
        <f>VLOOKUP(E820,[2]t_calendarioPolitica!A:C,3,FALSE)</f>
        <v>0</v>
      </c>
      <c r="G820" s="1">
        <v>1</v>
      </c>
      <c r="H820" s="1">
        <v>1</v>
      </c>
      <c r="I820" s="1">
        <f t="shared" si="64"/>
        <v>0</v>
      </c>
    </row>
    <row r="821" spans="1:9" x14ac:dyDescent="0.25">
      <c r="A821" s="26">
        <v>46111</v>
      </c>
      <c r="B821" s="27">
        <f t="shared" si="60"/>
        <v>2026</v>
      </c>
      <c r="C821" s="27">
        <f t="shared" si="61"/>
        <v>3</v>
      </c>
      <c r="D821" s="27">
        <f t="shared" si="62"/>
        <v>30</v>
      </c>
      <c r="E821" s="27">
        <f t="shared" si="63"/>
        <v>2</v>
      </c>
      <c r="F821" s="27">
        <f>VLOOKUP(E821,[2]t_calendarioPolitica!A:C,3,FALSE)</f>
        <v>1</v>
      </c>
      <c r="G821" s="1">
        <v>1</v>
      </c>
      <c r="H821" s="1">
        <v>1</v>
      </c>
      <c r="I821" s="1">
        <f t="shared" si="64"/>
        <v>1</v>
      </c>
    </row>
    <row r="822" spans="1:9" x14ac:dyDescent="0.25">
      <c r="A822" s="26">
        <v>46112</v>
      </c>
      <c r="B822" s="27">
        <f t="shared" si="60"/>
        <v>2026</v>
      </c>
      <c r="C822" s="27">
        <f t="shared" si="61"/>
        <v>3</v>
      </c>
      <c r="D822" s="27">
        <f t="shared" si="62"/>
        <v>31</v>
      </c>
      <c r="E822" s="27">
        <f t="shared" si="63"/>
        <v>3</v>
      </c>
      <c r="F822" s="27">
        <f>VLOOKUP(E822,[2]t_calendarioPolitica!A:C,3,FALSE)</f>
        <v>1</v>
      </c>
      <c r="G822" s="1">
        <v>1</v>
      </c>
      <c r="H822" s="1">
        <v>1</v>
      </c>
      <c r="I822" s="1">
        <f t="shared" si="64"/>
        <v>1</v>
      </c>
    </row>
    <row r="823" spans="1:9" x14ac:dyDescent="0.25">
      <c r="A823" s="26">
        <v>46113</v>
      </c>
      <c r="B823" s="27">
        <f t="shared" si="60"/>
        <v>2026</v>
      </c>
      <c r="C823" s="27">
        <f t="shared" si="61"/>
        <v>4</v>
      </c>
      <c r="D823" s="27">
        <f t="shared" si="62"/>
        <v>1</v>
      </c>
      <c r="E823" s="27">
        <f t="shared" si="63"/>
        <v>4</v>
      </c>
      <c r="F823" s="27">
        <f>VLOOKUP(E823,[2]t_calendarioPolitica!A:C,3,FALSE)</f>
        <v>1</v>
      </c>
      <c r="G823" s="1">
        <v>1</v>
      </c>
      <c r="H823" s="1">
        <v>1</v>
      </c>
      <c r="I823" s="1">
        <f t="shared" si="64"/>
        <v>1</v>
      </c>
    </row>
    <row r="824" spans="1:9" x14ac:dyDescent="0.25">
      <c r="A824" s="26">
        <v>46114</v>
      </c>
      <c r="B824" s="27">
        <f t="shared" si="60"/>
        <v>2026</v>
      </c>
      <c r="C824" s="27">
        <f t="shared" si="61"/>
        <v>4</v>
      </c>
      <c r="D824" s="27">
        <f t="shared" si="62"/>
        <v>2</v>
      </c>
      <c r="E824" s="27">
        <f t="shared" si="63"/>
        <v>5</v>
      </c>
      <c r="F824" s="27">
        <f>VLOOKUP(E824,[2]t_calendarioPolitica!A:C,3,FALSE)</f>
        <v>1</v>
      </c>
      <c r="G824" s="1">
        <v>1</v>
      </c>
      <c r="H824" s="1">
        <v>0</v>
      </c>
      <c r="I824" s="1">
        <f t="shared" si="64"/>
        <v>0</v>
      </c>
    </row>
    <row r="825" spans="1:9" x14ac:dyDescent="0.25">
      <c r="A825" s="26">
        <v>46115</v>
      </c>
      <c r="B825" s="27">
        <f t="shared" si="60"/>
        <v>2026</v>
      </c>
      <c r="C825" s="27">
        <f t="shared" si="61"/>
        <v>4</v>
      </c>
      <c r="D825" s="27">
        <f t="shared" si="62"/>
        <v>3</v>
      </c>
      <c r="E825" s="27">
        <f t="shared" si="63"/>
        <v>6</v>
      </c>
      <c r="F825" s="27">
        <f>VLOOKUP(E825,[2]t_calendarioPolitica!A:C,3,FALSE)</f>
        <v>1</v>
      </c>
      <c r="G825" s="1">
        <v>1</v>
      </c>
      <c r="H825" s="1">
        <v>0</v>
      </c>
      <c r="I825" s="1">
        <f t="shared" si="64"/>
        <v>0</v>
      </c>
    </row>
    <row r="826" spans="1:9" x14ac:dyDescent="0.25">
      <c r="A826" s="26">
        <v>46116</v>
      </c>
      <c r="B826" s="27">
        <f t="shared" si="60"/>
        <v>2026</v>
      </c>
      <c r="C826" s="27">
        <f t="shared" si="61"/>
        <v>4</v>
      </c>
      <c r="D826" s="27">
        <f t="shared" si="62"/>
        <v>4</v>
      </c>
      <c r="E826" s="27">
        <f t="shared" si="63"/>
        <v>7</v>
      </c>
      <c r="F826" s="27">
        <f>VLOOKUP(E826,[2]t_calendarioPolitica!A:C,3,FALSE)</f>
        <v>2</v>
      </c>
      <c r="G826" s="1">
        <v>1</v>
      </c>
      <c r="H826" s="1">
        <v>0</v>
      </c>
      <c r="I826" s="1">
        <f t="shared" si="64"/>
        <v>0</v>
      </c>
    </row>
    <row r="827" spans="1:9" x14ac:dyDescent="0.25">
      <c r="A827" s="26">
        <v>46117</v>
      </c>
      <c r="B827" s="27">
        <f t="shared" si="60"/>
        <v>2026</v>
      </c>
      <c r="C827" s="27">
        <f t="shared" si="61"/>
        <v>4</v>
      </c>
      <c r="D827" s="27">
        <f t="shared" si="62"/>
        <v>5</v>
      </c>
      <c r="E827" s="27">
        <f t="shared" si="63"/>
        <v>1</v>
      </c>
      <c r="F827" s="27">
        <f>VLOOKUP(E827,[2]t_calendarioPolitica!A:C,3,FALSE)</f>
        <v>0</v>
      </c>
      <c r="G827" s="1">
        <v>1</v>
      </c>
      <c r="H827" s="1">
        <v>0</v>
      </c>
      <c r="I827" s="1">
        <f t="shared" si="64"/>
        <v>0</v>
      </c>
    </row>
    <row r="828" spans="1:9" x14ac:dyDescent="0.25">
      <c r="A828" s="26">
        <v>46118</v>
      </c>
      <c r="B828" s="27">
        <f t="shared" si="60"/>
        <v>2026</v>
      </c>
      <c r="C828" s="27">
        <f t="shared" si="61"/>
        <v>4</v>
      </c>
      <c r="D828" s="27">
        <f t="shared" si="62"/>
        <v>6</v>
      </c>
      <c r="E828" s="27">
        <f t="shared" si="63"/>
        <v>2</v>
      </c>
      <c r="F828" s="27">
        <f>VLOOKUP(E828,[2]t_calendarioPolitica!A:C,3,FALSE)</f>
        <v>1</v>
      </c>
      <c r="G828" s="1">
        <v>1</v>
      </c>
      <c r="H828" s="1">
        <v>1</v>
      </c>
      <c r="I828" s="1">
        <f t="shared" si="64"/>
        <v>1</v>
      </c>
    </row>
    <row r="829" spans="1:9" x14ac:dyDescent="0.25">
      <c r="A829" s="26">
        <v>46119</v>
      </c>
      <c r="B829" s="27">
        <f t="shared" si="60"/>
        <v>2026</v>
      </c>
      <c r="C829" s="27">
        <f t="shared" si="61"/>
        <v>4</v>
      </c>
      <c r="D829" s="27">
        <f t="shared" si="62"/>
        <v>7</v>
      </c>
      <c r="E829" s="27">
        <f t="shared" si="63"/>
        <v>3</v>
      </c>
      <c r="F829" s="27">
        <f>VLOOKUP(E829,[2]t_calendarioPolitica!A:C,3,FALSE)</f>
        <v>1</v>
      </c>
      <c r="G829" s="1">
        <v>1</v>
      </c>
      <c r="H829" s="1">
        <v>1</v>
      </c>
      <c r="I829" s="1">
        <f t="shared" si="64"/>
        <v>1</v>
      </c>
    </row>
    <row r="830" spans="1:9" x14ac:dyDescent="0.25">
      <c r="A830" s="26">
        <v>46120</v>
      </c>
      <c r="B830" s="27">
        <f t="shared" si="60"/>
        <v>2026</v>
      </c>
      <c r="C830" s="27">
        <f t="shared" si="61"/>
        <v>4</v>
      </c>
      <c r="D830" s="27">
        <f t="shared" si="62"/>
        <v>8</v>
      </c>
      <c r="E830" s="27">
        <f t="shared" si="63"/>
        <v>4</v>
      </c>
      <c r="F830" s="27">
        <f>VLOOKUP(E830,[2]t_calendarioPolitica!A:C,3,FALSE)</f>
        <v>1</v>
      </c>
      <c r="G830" s="1">
        <v>1</v>
      </c>
      <c r="H830" s="1">
        <v>1</v>
      </c>
      <c r="I830" s="1">
        <f t="shared" si="64"/>
        <v>1</v>
      </c>
    </row>
    <row r="831" spans="1:9" x14ac:dyDescent="0.25">
      <c r="A831" s="26">
        <v>46121</v>
      </c>
      <c r="B831" s="27">
        <f t="shared" si="60"/>
        <v>2026</v>
      </c>
      <c r="C831" s="27">
        <f t="shared" si="61"/>
        <v>4</v>
      </c>
      <c r="D831" s="27">
        <f t="shared" si="62"/>
        <v>9</v>
      </c>
      <c r="E831" s="27">
        <f t="shared" si="63"/>
        <v>5</v>
      </c>
      <c r="F831" s="27">
        <f>VLOOKUP(E831,[2]t_calendarioPolitica!A:C,3,FALSE)</f>
        <v>1</v>
      </c>
      <c r="G831" s="1">
        <v>1</v>
      </c>
      <c r="H831" s="1">
        <v>1</v>
      </c>
      <c r="I831" s="1">
        <f t="shared" si="64"/>
        <v>1</v>
      </c>
    </row>
    <row r="832" spans="1:9" x14ac:dyDescent="0.25">
      <c r="A832" s="26">
        <v>46122</v>
      </c>
      <c r="B832" s="27">
        <f t="shared" si="60"/>
        <v>2026</v>
      </c>
      <c r="C832" s="27">
        <f t="shared" si="61"/>
        <v>4</v>
      </c>
      <c r="D832" s="27">
        <f t="shared" si="62"/>
        <v>10</v>
      </c>
      <c r="E832" s="27">
        <f t="shared" si="63"/>
        <v>6</v>
      </c>
      <c r="F832" s="27">
        <f>VLOOKUP(E832,[2]t_calendarioPolitica!A:C,3,FALSE)</f>
        <v>1</v>
      </c>
      <c r="G832" s="1">
        <v>1</v>
      </c>
      <c r="H832" s="1">
        <v>1</v>
      </c>
      <c r="I832" s="1">
        <f t="shared" si="64"/>
        <v>1</v>
      </c>
    </row>
    <row r="833" spans="1:9" x14ac:dyDescent="0.25">
      <c r="A833" s="26">
        <v>46123</v>
      </c>
      <c r="B833" s="27">
        <f t="shared" si="60"/>
        <v>2026</v>
      </c>
      <c r="C833" s="27">
        <f t="shared" si="61"/>
        <v>4</v>
      </c>
      <c r="D833" s="27">
        <f t="shared" si="62"/>
        <v>11</v>
      </c>
      <c r="E833" s="27">
        <f t="shared" si="63"/>
        <v>7</v>
      </c>
      <c r="F833" s="27">
        <f>VLOOKUP(E833,[2]t_calendarioPolitica!A:C,3,FALSE)</f>
        <v>2</v>
      </c>
      <c r="G833" s="1">
        <v>1</v>
      </c>
      <c r="H833" s="1">
        <v>1</v>
      </c>
      <c r="I833" s="1">
        <f t="shared" si="64"/>
        <v>1</v>
      </c>
    </row>
    <row r="834" spans="1:9" x14ac:dyDescent="0.25">
      <c r="A834" s="26">
        <v>46124</v>
      </c>
      <c r="B834" s="27">
        <f t="shared" si="60"/>
        <v>2026</v>
      </c>
      <c r="C834" s="27">
        <f t="shared" si="61"/>
        <v>4</v>
      </c>
      <c r="D834" s="27">
        <f t="shared" si="62"/>
        <v>12</v>
      </c>
      <c r="E834" s="27">
        <f t="shared" si="63"/>
        <v>1</v>
      </c>
      <c r="F834" s="27">
        <f>VLOOKUP(E834,[2]t_calendarioPolitica!A:C,3,FALSE)</f>
        <v>0</v>
      </c>
      <c r="G834" s="1">
        <v>1</v>
      </c>
      <c r="H834" s="1">
        <v>1</v>
      </c>
      <c r="I834" s="1">
        <f t="shared" si="64"/>
        <v>0</v>
      </c>
    </row>
    <row r="835" spans="1:9" x14ac:dyDescent="0.25">
      <c r="A835" s="26">
        <v>46125</v>
      </c>
      <c r="B835" s="27">
        <f t="shared" ref="B835:B898" si="65">YEAR(A835)</f>
        <v>2026</v>
      </c>
      <c r="C835" s="27">
        <f t="shared" ref="C835:C898" si="66">MONTH(A835)</f>
        <v>4</v>
      </c>
      <c r="D835" s="27">
        <f t="shared" ref="D835:D898" si="67">DAY(A835)</f>
        <v>13</v>
      </c>
      <c r="E835" s="27">
        <f t="shared" ref="E835:E898" si="68">WEEKDAY(A835)</f>
        <v>2</v>
      </c>
      <c r="F835" s="27">
        <f>VLOOKUP(E835,[2]t_calendarioPolitica!A:C,3,FALSE)</f>
        <v>1</v>
      </c>
      <c r="G835" s="1">
        <v>1</v>
      </c>
      <c r="H835" s="1">
        <v>1</v>
      </c>
      <c r="I835" s="1">
        <f t="shared" ref="I835:I898" si="69">IF(AND(F835&lt;&gt;0, H835&lt;&gt;0,G835&lt;&gt;0), 1, 0)</f>
        <v>1</v>
      </c>
    </row>
    <row r="836" spans="1:9" x14ac:dyDescent="0.25">
      <c r="A836" s="26">
        <v>46126</v>
      </c>
      <c r="B836" s="27">
        <f t="shared" si="65"/>
        <v>2026</v>
      </c>
      <c r="C836" s="27">
        <f t="shared" si="66"/>
        <v>4</v>
      </c>
      <c r="D836" s="27">
        <f t="shared" si="67"/>
        <v>14</v>
      </c>
      <c r="E836" s="27">
        <f t="shared" si="68"/>
        <v>3</v>
      </c>
      <c r="F836" s="27">
        <f>VLOOKUP(E836,[2]t_calendarioPolitica!A:C,3,FALSE)</f>
        <v>1</v>
      </c>
      <c r="G836" s="1">
        <v>1</v>
      </c>
      <c r="H836" s="1">
        <v>1</v>
      </c>
      <c r="I836" s="1">
        <f t="shared" si="69"/>
        <v>1</v>
      </c>
    </row>
    <row r="837" spans="1:9" x14ac:dyDescent="0.25">
      <c r="A837" s="26">
        <v>46127</v>
      </c>
      <c r="B837" s="27">
        <f t="shared" si="65"/>
        <v>2026</v>
      </c>
      <c r="C837" s="27">
        <f t="shared" si="66"/>
        <v>4</v>
      </c>
      <c r="D837" s="27">
        <f t="shared" si="67"/>
        <v>15</v>
      </c>
      <c r="E837" s="27">
        <f t="shared" si="68"/>
        <v>4</v>
      </c>
      <c r="F837" s="27">
        <f>VLOOKUP(E837,[2]t_calendarioPolitica!A:C,3,FALSE)</f>
        <v>1</v>
      </c>
      <c r="G837" s="1">
        <v>1</v>
      </c>
      <c r="H837" s="1">
        <v>1</v>
      </c>
      <c r="I837" s="1">
        <f t="shared" si="69"/>
        <v>1</v>
      </c>
    </row>
    <row r="838" spans="1:9" x14ac:dyDescent="0.25">
      <c r="A838" s="26">
        <v>46128</v>
      </c>
      <c r="B838" s="27">
        <f t="shared" si="65"/>
        <v>2026</v>
      </c>
      <c r="C838" s="27">
        <f t="shared" si="66"/>
        <v>4</v>
      </c>
      <c r="D838" s="27">
        <f t="shared" si="67"/>
        <v>16</v>
      </c>
      <c r="E838" s="27">
        <f t="shared" si="68"/>
        <v>5</v>
      </c>
      <c r="F838" s="27">
        <f>VLOOKUP(E838,[2]t_calendarioPolitica!A:C,3,FALSE)</f>
        <v>1</v>
      </c>
      <c r="G838" s="1">
        <v>1</v>
      </c>
      <c r="H838" s="1">
        <v>1</v>
      </c>
      <c r="I838" s="1">
        <f t="shared" si="69"/>
        <v>1</v>
      </c>
    </row>
    <row r="839" spans="1:9" x14ac:dyDescent="0.25">
      <c r="A839" s="26">
        <v>46129</v>
      </c>
      <c r="B839" s="27">
        <f t="shared" si="65"/>
        <v>2026</v>
      </c>
      <c r="C839" s="27">
        <f t="shared" si="66"/>
        <v>4</v>
      </c>
      <c r="D839" s="27">
        <f t="shared" si="67"/>
        <v>17</v>
      </c>
      <c r="E839" s="27">
        <f t="shared" si="68"/>
        <v>6</v>
      </c>
      <c r="F839" s="27">
        <f>VLOOKUP(E839,[2]t_calendarioPolitica!A:C,3,FALSE)</f>
        <v>1</v>
      </c>
      <c r="G839" s="1">
        <v>1</v>
      </c>
      <c r="H839" s="1">
        <v>1</v>
      </c>
      <c r="I839" s="1">
        <f t="shared" si="69"/>
        <v>1</v>
      </c>
    </row>
    <row r="840" spans="1:9" x14ac:dyDescent="0.25">
      <c r="A840" s="26">
        <v>46130</v>
      </c>
      <c r="B840" s="27">
        <f t="shared" si="65"/>
        <v>2026</v>
      </c>
      <c r="C840" s="27">
        <f t="shared" si="66"/>
        <v>4</v>
      </c>
      <c r="D840" s="27">
        <f t="shared" si="67"/>
        <v>18</v>
      </c>
      <c r="E840" s="27">
        <f t="shared" si="68"/>
        <v>7</v>
      </c>
      <c r="F840" s="27">
        <f>VLOOKUP(E840,[2]t_calendarioPolitica!A:C,3,FALSE)</f>
        <v>2</v>
      </c>
      <c r="G840" s="1">
        <v>1</v>
      </c>
      <c r="H840" s="1">
        <v>1</v>
      </c>
      <c r="I840" s="1">
        <f t="shared" si="69"/>
        <v>1</v>
      </c>
    </row>
    <row r="841" spans="1:9" x14ac:dyDescent="0.25">
      <c r="A841" s="26">
        <v>46131</v>
      </c>
      <c r="B841" s="27">
        <f t="shared" si="65"/>
        <v>2026</v>
      </c>
      <c r="C841" s="27">
        <f t="shared" si="66"/>
        <v>4</v>
      </c>
      <c r="D841" s="27">
        <f t="shared" si="67"/>
        <v>19</v>
      </c>
      <c r="E841" s="27">
        <f t="shared" si="68"/>
        <v>1</v>
      </c>
      <c r="F841" s="27">
        <f>VLOOKUP(E841,[2]t_calendarioPolitica!A:C,3,FALSE)</f>
        <v>0</v>
      </c>
      <c r="G841" s="1">
        <v>1</v>
      </c>
      <c r="H841" s="1">
        <v>1</v>
      </c>
      <c r="I841" s="1">
        <f t="shared" si="69"/>
        <v>0</v>
      </c>
    </row>
    <row r="842" spans="1:9" x14ac:dyDescent="0.25">
      <c r="A842" s="26">
        <v>46132</v>
      </c>
      <c r="B842" s="27">
        <f t="shared" si="65"/>
        <v>2026</v>
      </c>
      <c r="C842" s="27">
        <f t="shared" si="66"/>
        <v>4</v>
      </c>
      <c r="D842" s="27">
        <f t="shared" si="67"/>
        <v>20</v>
      </c>
      <c r="E842" s="27">
        <f t="shared" si="68"/>
        <v>2</v>
      </c>
      <c r="F842" s="27">
        <f>VLOOKUP(E842,[2]t_calendarioPolitica!A:C,3,FALSE)</f>
        <v>1</v>
      </c>
      <c r="G842" s="1">
        <v>1</v>
      </c>
      <c r="H842" s="1">
        <v>1</v>
      </c>
      <c r="I842" s="1">
        <f t="shared" si="69"/>
        <v>1</v>
      </c>
    </row>
    <row r="843" spans="1:9" x14ac:dyDescent="0.25">
      <c r="A843" s="26">
        <v>46133</v>
      </c>
      <c r="B843" s="27">
        <f t="shared" si="65"/>
        <v>2026</v>
      </c>
      <c r="C843" s="27">
        <f t="shared" si="66"/>
        <v>4</v>
      </c>
      <c r="D843" s="27">
        <f t="shared" si="67"/>
        <v>21</v>
      </c>
      <c r="E843" s="27">
        <f t="shared" si="68"/>
        <v>3</v>
      </c>
      <c r="F843" s="27">
        <f>VLOOKUP(E843,[2]t_calendarioPolitica!A:C,3,FALSE)</f>
        <v>1</v>
      </c>
      <c r="G843" s="1">
        <v>1</v>
      </c>
      <c r="H843" s="1">
        <v>1</v>
      </c>
      <c r="I843" s="1">
        <f t="shared" si="69"/>
        <v>1</v>
      </c>
    </row>
    <row r="844" spans="1:9" x14ac:dyDescent="0.25">
      <c r="A844" s="26">
        <v>46134</v>
      </c>
      <c r="B844" s="27">
        <f t="shared" si="65"/>
        <v>2026</v>
      </c>
      <c r="C844" s="27">
        <f t="shared" si="66"/>
        <v>4</v>
      </c>
      <c r="D844" s="27">
        <f t="shared" si="67"/>
        <v>22</v>
      </c>
      <c r="E844" s="27">
        <f t="shared" si="68"/>
        <v>4</v>
      </c>
      <c r="F844" s="27">
        <f>VLOOKUP(E844,[2]t_calendarioPolitica!A:C,3,FALSE)</f>
        <v>1</v>
      </c>
      <c r="G844" s="1">
        <v>1</v>
      </c>
      <c r="H844" s="1">
        <v>1</v>
      </c>
      <c r="I844" s="1">
        <f t="shared" si="69"/>
        <v>1</v>
      </c>
    </row>
    <row r="845" spans="1:9" x14ac:dyDescent="0.25">
      <c r="A845" s="26">
        <v>46135</v>
      </c>
      <c r="B845" s="27">
        <f t="shared" si="65"/>
        <v>2026</v>
      </c>
      <c r="C845" s="27">
        <f t="shared" si="66"/>
        <v>4</v>
      </c>
      <c r="D845" s="27">
        <f t="shared" si="67"/>
        <v>23</v>
      </c>
      <c r="E845" s="27">
        <f t="shared" si="68"/>
        <v>5</v>
      </c>
      <c r="F845" s="27">
        <f>VLOOKUP(E845,[2]t_calendarioPolitica!A:C,3,FALSE)</f>
        <v>1</v>
      </c>
      <c r="G845" s="1">
        <v>1</v>
      </c>
      <c r="H845" s="1">
        <v>1</v>
      </c>
      <c r="I845" s="1">
        <f t="shared" si="69"/>
        <v>1</v>
      </c>
    </row>
    <row r="846" spans="1:9" x14ac:dyDescent="0.25">
      <c r="A846" s="26">
        <v>46136</v>
      </c>
      <c r="B846" s="27">
        <f t="shared" si="65"/>
        <v>2026</v>
      </c>
      <c r="C846" s="27">
        <f t="shared" si="66"/>
        <v>4</v>
      </c>
      <c r="D846" s="27">
        <f t="shared" si="67"/>
        <v>24</v>
      </c>
      <c r="E846" s="27">
        <f t="shared" si="68"/>
        <v>6</v>
      </c>
      <c r="F846" s="27">
        <f>VLOOKUP(E846,[2]t_calendarioPolitica!A:C,3,FALSE)</f>
        <v>1</v>
      </c>
      <c r="G846" s="1">
        <v>1</v>
      </c>
      <c r="H846" s="1">
        <v>1</v>
      </c>
      <c r="I846" s="1">
        <f t="shared" si="69"/>
        <v>1</v>
      </c>
    </row>
    <row r="847" spans="1:9" x14ac:dyDescent="0.25">
      <c r="A847" s="26">
        <v>46137</v>
      </c>
      <c r="B847" s="27">
        <f t="shared" si="65"/>
        <v>2026</v>
      </c>
      <c r="C847" s="27">
        <f t="shared" si="66"/>
        <v>4</v>
      </c>
      <c r="D847" s="27">
        <f t="shared" si="67"/>
        <v>25</v>
      </c>
      <c r="E847" s="27">
        <f t="shared" si="68"/>
        <v>7</v>
      </c>
      <c r="F847" s="27">
        <f>VLOOKUP(E847,[2]t_calendarioPolitica!A:C,3,FALSE)</f>
        <v>2</v>
      </c>
      <c r="G847" s="1">
        <v>1</v>
      </c>
      <c r="H847" s="1">
        <v>1</v>
      </c>
      <c r="I847" s="1">
        <f t="shared" si="69"/>
        <v>1</v>
      </c>
    </row>
    <row r="848" spans="1:9" x14ac:dyDescent="0.25">
      <c r="A848" s="26">
        <v>46138</v>
      </c>
      <c r="B848" s="27">
        <f t="shared" si="65"/>
        <v>2026</v>
      </c>
      <c r="C848" s="27">
        <f t="shared" si="66"/>
        <v>4</v>
      </c>
      <c r="D848" s="27">
        <f t="shared" si="67"/>
        <v>26</v>
      </c>
      <c r="E848" s="27">
        <f t="shared" si="68"/>
        <v>1</v>
      </c>
      <c r="F848" s="27">
        <f>VLOOKUP(E848,[2]t_calendarioPolitica!A:C,3,FALSE)</f>
        <v>0</v>
      </c>
      <c r="G848" s="1">
        <v>1</v>
      </c>
      <c r="H848" s="1">
        <v>1</v>
      </c>
      <c r="I848" s="1">
        <f t="shared" si="69"/>
        <v>0</v>
      </c>
    </row>
    <row r="849" spans="1:9" x14ac:dyDescent="0.25">
      <c r="A849" s="26">
        <v>46139</v>
      </c>
      <c r="B849" s="27">
        <f t="shared" si="65"/>
        <v>2026</v>
      </c>
      <c r="C849" s="27">
        <f t="shared" si="66"/>
        <v>4</v>
      </c>
      <c r="D849" s="27">
        <f t="shared" si="67"/>
        <v>27</v>
      </c>
      <c r="E849" s="27">
        <f t="shared" si="68"/>
        <v>2</v>
      </c>
      <c r="F849" s="27">
        <f>VLOOKUP(E849,[2]t_calendarioPolitica!A:C,3,FALSE)</f>
        <v>1</v>
      </c>
      <c r="G849" s="1">
        <v>1</v>
      </c>
      <c r="H849" s="1">
        <v>1</v>
      </c>
      <c r="I849" s="1">
        <f t="shared" si="69"/>
        <v>1</v>
      </c>
    </row>
    <row r="850" spans="1:9" x14ac:dyDescent="0.25">
      <c r="A850" s="26">
        <v>46140</v>
      </c>
      <c r="B850" s="27">
        <f t="shared" si="65"/>
        <v>2026</v>
      </c>
      <c r="C850" s="27">
        <f t="shared" si="66"/>
        <v>4</v>
      </c>
      <c r="D850" s="27">
        <f t="shared" si="67"/>
        <v>28</v>
      </c>
      <c r="E850" s="27">
        <f t="shared" si="68"/>
        <v>3</v>
      </c>
      <c r="F850" s="27">
        <f>VLOOKUP(E850,[2]t_calendarioPolitica!A:C,3,FALSE)</f>
        <v>1</v>
      </c>
      <c r="G850" s="1">
        <v>1</v>
      </c>
      <c r="H850" s="1">
        <v>1</v>
      </c>
      <c r="I850" s="1">
        <f t="shared" si="69"/>
        <v>1</v>
      </c>
    </row>
    <row r="851" spans="1:9" x14ac:dyDescent="0.25">
      <c r="A851" s="26">
        <v>46141</v>
      </c>
      <c r="B851" s="27">
        <f t="shared" si="65"/>
        <v>2026</v>
      </c>
      <c r="C851" s="27">
        <f t="shared" si="66"/>
        <v>4</v>
      </c>
      <c r="D851" s="27">
        <f t="shared" si="67"/>
        <v>29</v>
      </c>
      <c r="E851" s="27">
        <f t="shared" si="68"/>
        <v>4</v>
      </c>
      <c r="F851" s="27">
        <f>VLOOKUP(E851,[2]t_calendarioPolitica!A:C,3,FALSE)</f>
        <v>1</v>
      </c>
      <c r="G851" s="1">
        <v>1</v>
      </c>
      <c r="H851" s="1">
        <v>1</v>
      </c>
      <c r="I851" s="1">
        <f t="shared" si="69"/>
        <v>1</v>
      </c>
    </row>
    <row r="852" spans="1:9" x14ac:dyDescent="0.25">
      <c r="A852" s="26">
        <v>46142</v>
      </c>
      <c r="B852" s="27">
        <f t="shared" si="65"/>
        <v>2026</v>
      </c>
      <c r="C852" s="27">
        <f t="shared" si="66"/>
        <v>4</v>
      </c>
      <c r="D852" s="27">
        <f t="shared" si="67"/>
        <v>30</v>
      </c>
      <c r="E852" s="27">
        <f t="shared" si="68"/>
        <v>5</v>
      </c>
      <c r="F852" s="27">
        <f>VLOOKUP(E852,[2]t_calendarioPolitica!A:C,3,FALSE)</f>
        <v>1</v>
      </c>
      <c r="G852" s="1">
        <v>1</v>
      </c>
      <c r="H852" s="1">
        <v>1</v>
      </c>
      <c r="I852" s="1">
        <f t="shared" si="69"/>
        <v>1</v>
      </c>
    </row>
    <row r="853" spans="1:9" x14ac:dyDescent="0.25">
      <c r="A853" s="26">
        <v>46143</v>
      </c>
      <c r="B853" s="27">
        <f t="shared" si="65"/>
        <v>2026</v>
      </c>
      <c r="C853" s="27">
        <f t="shared" si="66"/>
        <v>5</v>
      </c>
      <c r="D853" s="27">
        <f t="shared" si="67"/>
        <v>1</v>
      </c>
      <c r="E853" s="27">
        <f t="shared" si="68"/>
        <v>6</v>
      </c>
      <c r="F853" s="27">
        <f>VLOOKUP(E853,[2]t_calendarioPolitica!A:C,3,FALSE)</f>
        <v>1</v>
      </c>
      <c r="G853" s="1">
        <v>1</v>
      </c>
      <c r="H853" s="1">
        <v>1</v>
      </c>
      <c r="I853" s="1">
        <f t="shared" si="69"/>
        <v>1</v>
      </c>
    </row>
    <row r="854" spans="1:9" x14ac:dyDescent="0.25">
      <c r="A854" s="26">
        <v>46144</v>
      </c>
      <c r="B854" s="27">
        <f t="shared" si="65"/>
        <v>2026</v>
      </c>
      <c r="C854" s="27">
        <f t="shared" si="66"/>
        <v>5</v>
      </c>
      <c r="D854" s="27">
        <f t="shared" si="67"/>
        <v>2</v>
      </c>
      <c r="E854" s="27">
        <f t="shared" si="68"/>
        <v>7</v>
      </c>
      <c r="F854" s="27">
        <f>VLOOKUP(E854,[2]t_calendarioPolitica!A:C,3,FALSE)</f>
        <v>2</v>
      </c>
      <c r="G854" s="1">
        <v>1</v>
      </c>
      <c r="H854" s="1">
        <v>1</v>
      </c>
      <c r="I854" s="1">
        <f t="shared" si="69"/>
        <v>1</v>
      </c>
    </row>
    <row r="855" spans="1:9" x14ac:dyDescent="0.25">
      <c r="A855" s="26">
        <v>46145</v>
      </c>
      <c r="B855" s="27">
        <f t="shared" si="65"/>
        <v>2026</v>
      </c>
      <c r="C855" s="27">
        <f t="shared" si="66"/>
        <v>5</v>
      </c>
      <c r="D855" s="27">
        <f t="shared" si="67"/>
        <v>3</v>
      </c>
      <c r="E855" s="27">
        <f t="shared" si="68"/>
        <v>1</v>
      </c>
      <c r="F855" s="27">
        <f>VLOOKUP(E855,[2]t_calendarioPolitica!A:C,3,FALSE)</f>
        <v>0</v>
      </c>
      <c r="G855" s="1">
        <v>1</v>
      </c>
      <c r="H855" s="1">
        <v>1</v>
      </c>
      <c r="I855" s="1">
        <f t="shared" si="69"/>
        <v>0</v>
      </c>
    </row>
    <row r="856" spans="1:9" x14ac:dyDescent="0.25">
      <c r="A856" s="26">
        <v>46146</v>
      </c>
      <c r="B856" s="27">
        <f t="shared" si="65"/>
        <v>2026</v>
      </c>
      <c r="C856" s="27">
        <f t="shared" si="66"/>
        <v>5</v>
      </c>
      <c r="D856" s="27">
        <f t="shared" si="67"/>
        <v>4</v>
      </c>
      <c r="E856" s="27">
        <f t="shared" si="68"/>
        <v>2</v>
      </c>
      <c r="F856" s="27">
        <f>VLOOKUP(E856,[2]t_calendarioPolitica!A:C,3,FALSE)</f>
        <v>1</v>
      </c>
      <c r="G856" s="1">
        <v>1</v>
      </c>
      <c r="H856" s="1">
        <v>1</v>
      </c>
      <c r="I856" s="1">
        <f t="shared" si="69"/>
        <v>1</v>
      </c>
    </row>
    <row r="857" spans="1:9" x14ac:dyDescent="0.25">
      <c r="A857" s="26">
        <v>46147</v>
      </c>
      <c r="B857" s="27">
        <f t="shared" si="65"/>
        <v>2026</v>
      </c>
      <c r="C857" s="27">
        <f t="shared" si="66"/>
        <v>5</v>
      </c>
      <c r="D857" s="27">
        <f t="shared" si="67"/>
        <v>5</v>
      </c>
      <c r="E857" s="27">
        <f t="shared" si="68"/>
        <v>3</v>
      </c>
      <c r="F857" s="27">
        <f>VLOOKUP(E857,[2]t_calendarioPolitica!A:C,3,FALSE)</f>
        <v>1</v>
      </c>
      <c r="G857" s="1">
        <v>1</v>
      </c>
      <c r="H857" s="1">
        <v>1</v>
      </c>
      <c r="I857" s="1">
        <f t="shared" si="69"/>
        <v>1</v>
      </c>
    </row>
    <row r="858" spans="1:9" x14ac:dyDescent="0.25">
      <c r="A858" s="26">
        <v>46148</v>
      </c>
      <c r="B858" s="27">
        <f t="shared" si="65"/>
        <v>2026</v>
      </c>
      <c r="C858" s="27">
        <f t="shared" si="66"/>
        <v>5</v>
      </c>
      <c r="D858" s="27">
        <f t="shared" si="67"/>
        <v>6</v>
      </c>
      <c r="E858" s="27">
        <f t="shared" si="68"/>
        <v>4</v>
      </c>
      <c r="F858" s="27">
        <f>VLOOKUP(E858,[2]t_calendarioPolitica!A:C,3,FALSE)</f>
        <v>1</v>
      </c>
      <c r="G858" s="1">
        <v>1</v>
      </c>
      <c r="H858" s="1">
        <v>1</v>
      </c>
      <c r="I858" s="1">
        <f t="shared" si="69"/>
        <v>1</v>
      </c>
    </row>
    <row r="859" spans="1:9" x14ac:dyDescent="0.25">
      <c r="A859" s="26">
        <v>46149</v>
      </c>
      <c r="B859" s="27">
        <f t="shared" si="65"/>
        <v>2026</v>
      </c>
      <c r="C859" s="27">
        <f t="shared" si="66"/>
        <v>5</v>
      </c>
      <c r="D859" s="27">
        <f t="shared" si="67"/>
        <v>7</v>
      </c>
      <c r="E859" s="27">
        <f t="shared" si="68"/>
        <v>5</v>
      </c>
      <c r="F859" s="27">
        <f>VLOOKUP(E859,[2]t_calendarioPolitica!A:C,3,FALSE)</f>
        <v>1</v>
      </c>
      <c r="G859" s="1">
        <v>1</v>
      </c>
      <c r="H859" s="1">
        <v>1</v>
      </c>
      <c r="I859" s="1">
        <f t="shared" si="69"/>
        <v>1</v>
      </c>
    </row>
    <row r="860" spans="1:9" x14ac:dyDescent="0.25">
      <c r="A860" s="26">
        <v>46150</v>
      </c>
      <c r="B860" s="27">
        <f t="shared" si="65"/>
        <v>2026</v>
      </c>
      <c r="C860" s="27">
        <f t="shared" si="66"/>
        <v>5</v>
      </c>
      <c r="D860" s="27">
        <f t="shared" si="67"/>
        <v>8</v>
      </c>
      <c r="E860" s="27">
        <f t="shared" si="68"/>
        <v>6</v>
      </c>
      <c r="F860" s="27">
        <f>VLOOKUP(E860,[2]t_calendarioPolitica!A:C,3,FALSE)</f>
        <v>1</v>
      </c>
      <c r="G860" s="1">
        <v>1</v>
      </c>
      <c r="H860" s="1">
        <v>1</v>
      </c>
      <c r="I860" s="1">
        <f t="shared" si="69"/>
        <v>1</v>
      </c>
    </row>
    <row r="861" spans="1:9" x14ac:dyDescent="0.25">
      <c r="A861" s="26">
        <v>46151</v>
      </c>
      <c r="B861" s="27">
        <f t="shared" si="65"/>
        <v>2026</v>
      </c>
      <c r="C861" s="27">
        <f t="shared" si="66"/>
        <v>5</v>
      </c>
      <c r="D861" s="27">
        <f t="shared" si="67"/>
        <v>9</v>
      </c>
      <c r="E861" s="27">
        <f t="shared" si="68"/>
        <v>7</v>
      </c>
      <c r="F861" s="27">
        <f>VLOOKUP(E861,[2]t_calendarioPolitica!A:C,3,FALSE)</f>
        <v>2</v>
      </c>
      <c r="G861" s="1">
        <v>1</v>
      </c>
      <c r="H861" s="1">
        <v>1</v>
      </c>
      <c r="I861" s="1">
        <f t="shared" si="69"/>
        <v>1</v>
      </c>
    </row>
    <row r="862" spans="1:9" x14ac:dyDescent="0.25">
      <c r="A862" s="26">
        <v>46152</v>
      </c>
      <c r="B862" s="27">
        <f t="shared" si="65"/>
        <v>2026</v>
      </c>
      <c r="C862" s="27">
        <f t="shared" si="66"/>
        <v>5</v>
      </c>
      <c r="D862" s="27">
        <f t="shared" si="67"/>
        <v>10</v>
      </c>
      <c r="E862" s="27">
        <f t="shared" si="68"/>
        <v>1</v>
      </c>
      <c r="F862" s="27">
        <f>VLOOKUP(E862,[2]t_calendarioPolitica!A:C,3,FALSE)</f>
        <v>0</v>
      </c>
      <c r="G862" s="1">
        <v>1</v>
      </c>
      <c r="H862" s="1">
        <v>0</v>
      </c>
      <c r="I862" s="1">
        <f t="shared" si="69"/>
        <v>0</v>
      </c>
    </row>
    <row r="863" spans="1:9" x14ac:dyDescent="0.25">
      <c r="A863" s="26">
        <v>46153</v>
      </c>
      <c r="B863" s="27">
        <f t="shared" si="65"/>
        <v>2026</v>
      </c>
      <c r="C863" s="27">
        <f t="shared" si="66"/>
        <v>5</v>
      </c>
      <c r="D863" s="27">
        <f t="shared" si="67"/>
        <v>11</v>
      </c>
      <c r="E863" s="27">
        <f t="shared" si="68"/>
        <v>2</v>
      </c>
      <c r="F863" s="27">
        <f>VLOOKUP(E863,[2]t_calendarioPolitica!A:C,3,FALSE)</f>
        <v>1</v>
      </c>
      <c r="G863" s="1">
        <v>1</v>
      </c>
      <c r="H863" s="1">
        <v>1</v>
      </c>
      <c r="I863" s="1">
        <f t="shared" si="69"/>
        <v>1</v>
      </c>
    </row>
    <row r="864" spans="1:9" x14ac:dyDescent="0.25">
      <c r="A864" s="26">
        <v>46154</v>
      </c>
      <c r="B864" s="27">
        <f t="shared" si="65"/>
        <v>2026</v>
      </c>
      <c r="C864" s="27">
        <f t="shared" si="66"/>
        <v>5</v>
      </c>
      <c r="D864" s="27">
        <f t="shared" si="67"/>
        <v>12</v>
      </c>
      <c r="E864" s="27">
        <f t="shared" si="68"/>
        <v>3</v>
      </c>
      <c r="F864" s="27">
        <f>VLOOKUP(E864,[2]t_calendarioPolitica!A:C,3,FALSE)</f>
        <v>1</v>
      </c>
      <c r="G864" s="1">
        <v>1</v>
      </c>
      <c r="H864" s="1">
        <v>1</v>
      </c>
      <c r="I864" s="1">
        <f t="shared" si="69"/>
        <v>1</v>
      </c>
    </row>
    <row r="865" spans="1:9" x14ac:dyDescent="0.25">
      <c r="A865" s="26">
        <v>46155</v>
      </c>
      <c r="B865" s="27">
        <f t="shared" si="65"/>
        <v>2026</v>
      </c>
      <c r="C865" s="27">
        <f t="shared" si="66"/>
        <v>5</v>
      </c>
      <c r="D865" s="27">
        <f t="shared" si="67"/>
        <v>13</v>
      </c>
      <c r="E865" s="27">
        <f t="shared" si="68"/>
        <v>4</v>
      </c>
      <c r="F865" s="27">
        <f>VLOOKUP(E865,[2]t_calendarioPolitica!A:C,3,FALSE)</f>
        <v>1</v>
      </c>
      <c r="G865" s="1">
        <v>1</v>
      </c>
      <c r="H865" s="1">
        <v>1</v>
      </c>
      <c r="I865" s="1">
        <f t="shared" si="69"/>
        <v>1</v>
      </c>
    </row>
    <row r="866" spans="1:9" x14ac:dyDescent="0.25">
      <c r="A866" s="26">
        <v>46156</v>
      </c>
      <c r="B866" s="27">
        <f t="shared" si="65"/>
        <v>2026</v>
      </c>
      <c r="C866" s="27">
        <f t="shared" si="66"/>
        <v>5</v>
      </c>
      <c r="D866" s="27">
        <f t="shared" si="67"/>
        <v>14</v>
      </c>
      <c r="E866" s="27">
        <f t="shared" si="68"/>
        <v>5</v>
      </c>
      <c r="F866" s="27">
        <f>VLOOKUP(E866,[2]t_calendarioPolitica!A:C,3,FALSE)</f>
        <v>1</v>
      </c>
      <c r="G866" s="1">
        <v>1</v>
      </c>
      <c r="H866" s="1">
        <v>1</v>
      </c>
      <c r="I866" s="1">
        <f t="shared" si="69"/>
        <v>1</v>
      </c>
    </row>
    <row r="867" spans="1:9" x14ac:dyDescent="0.25">
      <c r="A867" s="26">
        <v>46157</v>
      </c>
      <c r="B867" s="27">
        <f t="shared" si="65"/>
        <v>2026</v>
      </c>
      <c r="C867" s="27">
        <f t="shared" si="66"/>
        <v>5</v>
      </c>
      <c r="D867" s="27">
        <f t="shared" si="67"/>
        <v>15</v>
      </c>
      <c r="E867" s="27">
        <f t="shared" si="68"/>
        <v>6</v>
      </c>
      <c r="F867" s="27">
        <f>VLOOKUP(E867,[2]t_calendarioPolitica!A:C,3,FALSE)</f>
        <v>1</v>
      </c>
      <c r="G867" s="1">
        <v>1</v>
      </c>
      <c r="H867" s="1">
        <v>1</v>
      </c>
      <c r="I867" s="1">
        <f t="shared" si="69"/>
        <v>1</v>
      </c>
    </row>
    <row r="868" spans="1:9" x14ac:dyDescent="0.25">
      <c r="A868" s="26">
        <v>46158</v>
      </c>
      <c r="B868" s="27">
        <f t="shared" si="65"/>
        <v>2026</v>
      </c>
      <c r="C868" s="27">
        <f t="shared" si="66"/>
        <v>5</v>
      </c>
      <c r="D868" s="27">
        <f t="shared" si="67"/>
        <v>16</v>
      </c>
      <c r="E868" s="27">
        <f t="shared" si="68"/>
        <v>7</v>
      </c>
      <c r="F868" s="27">
        <f>VLOOKUP(E868,[2]t_calendarioPolitica!A:C,3,FALSE)</f>
        <v>2</v>
      </c>
      <c r="G868" s="1">
        <v>1</v>
      </c>
      <c r="H868" s="1">
        <v>1</v>
      </c>
      <c r="I868" s="1">
        <f t="shared" si="69"/>
        <v>1</v>
      </c>
    </row>
    <row r="869" spans="1:9" x14ac:dyDescent="0.25">
      <c r="A869" s="26">
        <v>46159</v>
      </c>
      <c r="B869" s="27">
        <f t="shared" si="65"/>
        <v>2026</v>
      </c>
      <c r="C869" s="27">
        <f t="shared" si="66"/>
        <v>5</v>
      </c>
      <c r="D869" s="27">
        <f t="shared" si="67"/>
        <v>17</v>
      </c>
      <c r="E869" s="27">
        <f t="shared" si="68"/>
        <v>1</v>
      </c>
      <c r="F869" s="27">
        <f>VLOOKUP(E869,[2]t_calendarioPolitica!A:C,3,FALSE)</f>
        <v>0</v>
      </c>
      <c r="G869" s="1">
        <v>1</v>
      </c>
      <c r="H869" s="1">
        <v>1</v>
      </c>
      <c r="I869" s="1">
        <f t="shared" si="69"/>
        <v>0</v>
      </c>
    </row>
    <row r="870" spans="1:9" x14ac:dyDescent="0.25">
      <c r="A870" s="26">
        <v>46160</v>
      </c>
      <c r="B870" s="27">
        <f t="shared" si="65"/>
        <v>2026</v>
      </c>
      <c r="C870" s="27">
        <f t="shared" si="66"/>
        <v>5</v>
      </c>
      <c r="D870" s="27">
        <f t="shared" si="67"/>
        <v>18</v>
      </c>
      <c r="E870" s="27">
        <f t="shared" si="68"/>
        <v>2</v>
      </c>
      <c r="F870" s="27">
        <f>VLOOKUP(E870,[2]t_calendarioPolitica!A:C,3,FALSE)</f>
        <v>1</v>
      </c>
      <c r="G870" s="1">
        <v>1</v>
      </c>
      <c r="H870" s="1">
        <v>1</v>
      </c>
      <c r="I870" s="1">
        <f t="shared" si="69"/>
        <v>1</v>
      </c>
    </row>
    <row r="871" spans="1:9" x14ac:dyDescent="0.25">
      <c r="A871" s="26">
        <v>46161</v>
      </c>
      <c r="B871" s="27">
        <f t="shared" si="65"/>
        <v>2026</v>
      </c>
      <c r="C871" s="27">
        <f t="shared" si="66"/>
        <v>5</v>
      </c>
      <c r="D871" s="27">
        <f t="shared" si="67"/>
        <v>19</v>
      </c>
      <c r="E871" s="27">
        <f t="shared" si="68"/>
        <v>3</v>
      </c>
      <c r="F871" s="27">
        <f>VLOOKUP(E871,[2]t_calendarioPolitica!A:C,3,FALSE)</f>
        <v>1</v>
      </c>
      <c r="G871" s="1">
        <v>1</v>
      </c>
      <c r="H871" s="1">
        <v>1</v>
      </c>
      <c r="I871" s="1">
        <f t="shared" si="69"/>
        <v>1</v>
      </c>
    </row>
    <row r="872" spans="1:9" x14ac:dyDescent="0.25">
      <c r="A872" s="26">
        <v>46162</v>
      </c>
      <c r="B872" s="27">
        <f t="shared" si="65"/>
        <v>2026</v>
      </c>
      <c r="C872" s="27">
        <f t="shared" si="66"/>
        <v>5</v>
      </c>
      <c r="D872" s="27">
        <f t="shared" si="67"/>
        <v>20</v>
      </c>
      <c r="E872" s="27">
        <f t="shared" si="68"/>
        <v>4</v>
      </c>
      <c r="F872" s="27">
        <f>VLOOKUP(E872,[2]t_calendarioPolitica!A:C,3,FALSE)</f>
        <v>1</v>
      </c>
      <c r="G872" s="1">
        <v>1</v>
      </c>
      <c r="H872" s="1">
        <v>1</v>
      </c>
      <c r="I872" s="1">
        <f t="shared" si="69"/>
        <v>1</v>
      </c>
    </row>
    <row r="873" spans="1:9" x14ac:dyDescent="0.25">
      <c r="A873" s="26">
        <v>46163</v>
      </c>
      <c r="B873" s="27">
        <f t="shared" si="65"/>
        <v>2026</v>
      </c>
      <c r="C873" s="27">
        <f t="shared" si="66"/>
        <v>5</v>
      </c>
      <c r="D873" s="27">
        <f t="shared" si="67"/>
        <v>21</v>
      </c>
      <c r="E873" s="27">
        <f t="shared" si="68"/>
        <v>5</v>
      </c>
      <c r="F873" s="27">
        <f>VLOOKUP(E873,[2]t_calendarioPolitica!A:C,3,FALSE)</f>
        <v>1</v>
      </c>
      <c r="G873" s="1">
        <v>1</v>
      </c>
      <c r="H873" s="1">
        <v>1</v>
      </c>
      <c r="I873" s="1">
        <f t="shared" si="69"/>
        <v>1</v>
      </c>
    </row>
    <row r="874" spans="1:9" x14ac:dyDescent="0.25">
      <c r="A874" s="26">
        <v>46164</v>
      </c>
      <c r="B874" s="27">
        <f t="shared" si="65"/>
        <v>2026</v>
      </c>
      <c r="C874" s="27">
        <f t="shared" si="66"/>
        <v>5</v>
      </c>
      <c r="D874" s="27">
        <f t="shared" si="67"/>
        <v>22</v>
      </c>
      <c r="E874" s="27">
        <f t="shared" si="68"/>
        <v>6</v>
      </c>
      <c r="F874" s="27">
        <f>VLOOKUP(E874,[2]t_calendarioPolitica!A:C,3,FALSE)</f>
        <v>1</v>
      </c>
      <c r="G874" s="1">
        <v>1</v>
      </c>
      <c r="H874" s="1">
        <v>1</v>
      </c>
      <c r="I874" s="1">
        <f t="shared" si="69"/>
        <v>1</v>
      </c>
    </row>
    <row r="875" spans="1:9" x14ac:dyDescent="0.25">
      <c r="A875" s="26">
        <v>46165</v>
      </c>
      <c r="B875" s="27">
        <f t="shared" si="65"/>
        <v>2026</v>
      </c>
      <c r="C875" s="27">
        <f t="shared" si="66"/>
        <v>5</v>
      </c>
      <c r="D875" s="27">
        <f t="shared" si="67"/>
        <v>23</v>
      </c>
      <c r="E875" s="27">
        <f t="shared" si="68"/>
        <v>7</v>
      </c>
      <c r="F875" s="27">
        <f>VLOOKUP(E875,[2]t_calendarioPolitica!A:C,3,FALSE)</f>
        <v>2</v>
      </c>
      <c r="G875" s="1">
        <v>1</v>
      </c>
      <c r="H875" s="1">
        <v>1</v>
      </c>
      <c r="I875" s="1">
        <f t="shared" si="69"/>
        <v>1</v>
      </c>
    </row>
    <row r="876" spans="1:9" x14ac:dyDescent="0.25">
      <c r="A876" s="26">
        <v>46166</v>
      </c>
      <c r="B876" s="27">
        <f t="shared" si="65"/>
        <v>2026</v>
      </c>
      <c r="C876" s="27">
        <f t="shared" si="66"/>
        <v>5</v>
      </c>
      <c r="D876" s="27">
        <f t="shared" si="67"/>
        <v>24</v>
      </c>
      <c r="E876" s="27">
        <f t="shared" si="68"/>
        <v>1</v>
      </c>
      <c r="F876" s="27">
        <f>VLOOKUP(E876,[2]t_calendarioPolitica!A:C,3,FALSE)</f>
        <v>0</v>
      </c>
      <c r="G876" s="1">
        <v>1</v>
      </c>
      <c r="H876" s="1">
        <v>1</v>
      </c>
      <c r="I876" s="1">
        <f t="shared" si="69"/>
        <v>0</v>
      </c>
    </row>
    <row r="877" spans="1:9" x14ac:dyDescent="0.25">
      <c r="A877" s="26">
        <v>46167</v>
      </c>
      <c r="B877" s="27">
        <f t="shared" si="65"/>
        <v>2026</v>
      </c>
      <c r="C877" s="27">
        <f t="shared" si="66"/>
        <v>5</v>
      </c>
      <c r="D877" s="27">
        <f t="shared" si="67"/>
        <v>25</v>
      </c>
      <c r="E877" s="27">
        <f t="shared" si="68"/>
        <v>2</v>
      </c>
      <c r="F877" s="27">
        <f>VLOOKUP(E877,[2]t_calendarioPolitica!A:C,3,FALSE)</f>
        <v>1</v>
      </c>
      <c r="G877" s="1">
        <v>1</v>
      </c>
      <c r="H877" s="1">
        <v>1</v>
      </c>
      <c r="I877" s="1">
        <f t="shared" si="69"/>
        <v>1</v>
      </c>
    </row>
    <row r="878" spans="1:9" x14ac:dyDescent="0.25">
      <c r="A878" s="26">
        <v>46168</v>
      </c>
      <c r="B878" s="27">
        <f t="shared" si="65"/>
        <v>2026</v>
      </c>
      <c r="C878" s="27">
        <f t="shared" si="66"/>
        <v>5</v>
      </c>
      <c r="D878" s="27">
        <f t="shared" si="67"/>
        <v>26</v>
      </c>
      <c r="E878" s="27">
        <f t="shared" si="68"/>
        <v>3</v>
      </c>
      <c r="F878" s="27">
        <f>VLOOKUP(E878,[2]t_calendarioPolitica!A:C,3,FALSE)</f>
        <v>1</v>
      </c>
      <c r="G878" s="1">
        <v>1</v>
      </c>
      <c r="H878" s="1">
        <v>1</v>
      </c>
      <c r="I878" s="1">
        <f t="shared" si="69"/>
        <v>1</v>
      </c>
    </row>
    <row r="879" spans="1:9" x14ac:dyDescent="0.25">
      <c r="A879" s="26">
        <v>46169</v>
      </c>
      <c r="B879" s="27">
        <f t="shared" si="65"/>
        <v>2026</v>
      </c>
      <c r="C879" s="27">
        <f t="shared" si="66"/>
        <v>5</v>
      </c>
      <c r="D879" s="27">
        <f t="shared" si="67"/>
        <v>27</v>
      </c>
      <c r="E879" s="27">
        <f t="shared" si="68"/>
        <v>4</v>
      </c>
      <c r="F879" s="27">
        <f>VLOOKUP(E879,[2]t_calendarioPolitica!A:C,3,FALSE)</f>
        <v>1</v>
      </c>
      <c r="G879" s="1">
        <v>1</v>
      </c>
      <c r="H879" s="1">
        <v>1</v>
      </c>
      <c r="I879" s="1">
        <f t="shared" si="69"/>
        <v>1</v>
      </c>
    </row>
    <row r="880" spans="1:9" x14ac:dyDescent="0.25">
      <c r="A880" s="26">
        <v>46170</v>
      </c>
      <c r="B880" s="27">
        <f t="shared" si="65"/>
        <v>2026</v>
      </c>
      <c r="C880" s="27">
        <f t="shared" si="66"/>
        <v>5</v>
      </c>
      <c r="D880" s="27">
        <f t="shared" si="67"/>
        <v>28</v>
      </c>
      <c r="E880" s="27">
        <f t="shared" si="68"/>
        <v>5</v>
      </c>
      <c r="F880" s="27">
        <f>VLOOKUP(E880,[2]t_calendarioPolitica!A:C,3,FALSE)</f>
        <v>1</v>
      </c>
      <c r="G880" s="1">
        <v>1</v>
      </c>
      <c r="H880" s="1">
        <v>1</v>
      </c>
      <c r="I880" s="1">
        <f t="shared" si="69"/>
        <v>1</v>
      </c>
    </row>
    <row r="881" spans="1:9" x14ac:dyDescent="0.25">
      <c r="A881" s="26">
        <v>46171</v>
      </c>
      <c r="B881" s="27">
        <f t="shared" si="65"/>
        <v>2026</v>
      </c>
      <c r="C881" s="27">
        <f t="shared" si="66"/>
        <v>5</v>
      </c>
      <c r="D881" s="27">
        <f t="shared" si="67"/>
        <v>29</v>
      </c>
      <c r="E881" s="27">
        <f t="shared" si="68"/>
        <v>6</v>
      </c>
      <c r="F881" s="27">
        <f>VLOOKUP(E881,[2]t_calendarioPolitica!A:C,3,FALSE)</f>
        <v>1</v>
      </c>
      <c r="G881" s="1">
        <v>1</v>
      </c>
      <c r="H881" s="1">
        <v>1</v>
      </c>
      <c r="I881" s="1">
        <f t="shared" si="69"/>
        <v>1</v>
      </c>
    </row>
    <row r="882" spans="1:9" x14ac:dyDescent="0.25">
      <c r="A882" s="26">
        <v>46172</v>
      </c>
      <c r="B882" s="27">
        <f t="shared" si="65"/>
        <v>2026</v>
      </c>
      <c r="C882" s="27">
        <f t="shared" si="66"/>
        <v>5</v>
      </c>
      <c r="D882" s="27">
        <f t="shared" si="67"/>
        <v>30</v>
      </c>
      <c r="E882" s="27">
        <f t="shared" si="68"/>
        <v>7</v>
      </c>
      <c r="F882" s="27">
        <f>VLOOKUP(E882,[2]t_calendarioPolitica!A:C,3,FALSE)</f>
        <v>2</v>
      </c>
      <c r="G882" s="1">
        <v>1</v>
      </c>
      <c r="H882" s="1">
        <v>1</v>
      </c>
      <c r="I882" s="1">
        <f t="shared" si="69"/>
        <v>1</v>
      </c>
    </row>
    <row r="883" spans="1:9" x14ac:dyDescent="0.25">
      <c r="A883" s="26">
        <v>46173</v>
      </c>
      <c r="B883" s="27">
        <f t="shared" si="65"/>
        <v>2026</v>
      </c>
      <c r="C883" s="27">
        <f t="shared" si="66"/>
        <v>5</v>
      </c>
      <c r="D883" s="27">
        <f t="shared" si="67"/>
        <v>31</v>
      </c>
      <c r="E883" s="27">
        <f t="shared" si="68"/>
        <v>1</v>
      </c>
      <c r="F883" s="27">
        <f>VLOOKUP(E883,[2]t_calendarioPolitica!A:C,3,FALSE)</f>
        <v>0</v>
      </c>
      <c r="G883" s="1">
        <v>1</v>
      </c>
      <c r="H883" s="1">
        <v>1</v>
      </c>
      <c r="I883" s="1">
        <f t="shared" si="69"/>
        <v>0</v>
      </c>
    </row>
    <row r="884" spans="1:9" x14ac:dyDescent="0.25">
      <c r="A884" s="26">
        <v>46174</v>
      </c>
      <c r="B884" s="27">
        <f t="shared" si="65"/>
        <v>2026</v>
      </c>
      <c r="C884" s="27">
        <f t="shared" si="66"/>
        <v>6</v>
      </c>
      <c r="D884" s="27">
        <f t="shared" si="67"/>
        <v>1</v>
      </c>
      <c r="E884" s="27">
        <f t="shared" si="68"/>
        <v>2</v>
      </c>
      <c r="F884" s="27">
        <f>VLOOKUP(E884,[2]t_calendarioPolitica!A:C,3,FALSE)</f>
        <v>1</v>
      </c>
      <c r="G884" s="1">
        <v>1</v>
      </c>
      <c r="H884" s="1">
        <v>1</v>
      </c>
      <c r="I884" s="1">
        <f t="shared" si="69"/>
        <v>1</v>
      </c>
    </row>
    <row r="885" spans="1:9" x14ac:dyDescent="0.25">
      <c r="A885" s="26">
        <v>46175</v>
      </c>
      <c r="B885" s="27">
        <f t="shared" si="65"/>
        <v>2026</v>
      </c>
      <c r="C885" s="27">
        <f t="shared" si="66"/>
        <v>6</v>
      </c>
      <c r="D885" s="27">
        <f t="shared" si="67"/>
        <v>2</v>
      </c>
      <c r="E885" s="27">
        <f t="shared" si="68"/>
        <v>3</v>
      </c>
      <c r="F885" s="27">
        <f>VLOOKUP(E885,[2]t_calendarioPolitica!A:C,3,FALSE)</f>
        <v>1</v>
      </c>
      <c r="G885" s="1">
        <v>1</v>
      </c>
      <c r="H885" s="1">
        <v>1</v>
      </c>
      <c r="I885" s="1">
        <f t="shared" si="69"/>
        <v>1</v>
      </c>
    </row>
    <row r="886" spans="1:9" x14ac:dyDescent="0.25">
      <c r="A886" s="26">
        <v>46176</v>
      </c>
      <c r="B886" s="27">
        <f t="shared" si="65"/>
        <v>2026</v>
      </c>
      <c r="C886" s="27">
        <f t="shared" si="66"/>
        <v>6</v>
      </c>
      <c r="D886" s="27">
        <f t="shared" si="67"/>
        <v>3</v>
      </c>
      <c r="E886" s="27">
        <f t="shared" si="68"/>
        <v>4</v>
      </c>
      <c r="F886" s="27">
        <f>VLOOKUP(E886,[2]t_calendarioPolitica!A:C,3,FALSE)</f>
        <v>1</v>
      </c>
      <c r="G886" s="1">
        <v>1</v>
      </c>
      <c r="H886" s="1">
        <v>1</v>
      </c>
      <c r="I886" s="1">
        <f t="shared" si="69"/>
        <v>1</v>
      </c>
    </row>
    <row r="887" spans="1:9" x14ac:dyDescent="0.25">
      <c r="A887" s="26">
        <v>46177</v>
      </c>
      <c r="B887" s="27">
        <f t="shared" si="65"/>
        <v>2026</v>
      </c>
      <c r="C887" s="27">
        <f t="shared" si="66"/>
        <v>6</v>
      </c>
      <c r="D887" s="27">
        <f t="shared" si="67"/>
        <v>4</v>
      </c>
      <c r="E887" s="27">
        <f t="shared" si="68"/>
        <v>5</v>
      </c>
      <c r="F887" s="27">
        <f>VLOOKUP(E887,[2]t_calendarioPolitica!A:C,3,FALSE)</f>
        <v>1</v>
      </c>
      <c r="G887" s="1">
        <v>1</v>
      </c>
      <c r="H887" s="1">
        <v>1</v>
      </c>
      <c r="I887" s="1">
        <f t="shared" si="69"/>
        <v>1</v>
      </c>
    </row>
    <row r="888" spans="1:9" x14ac:dyDescent="0.25">
      <c r="A888" s="26">
        <v>46178</v>
      </c>
      <c r="B888" s="27">
        <f t="shared" si="65"/>
        <v>2026</v>
      </c>
      <c r="C888" s="27">
        <f t="shared" si="66"/>
        <v>6</v>
      </c>
      <c r="D888" s="27">
        <f t="shared" si="67"/>
        <v>5</v>
      </c>
      <c r="E888" s="27">
        <f t="shared" si="68"/>
        <v>6</v>
      </c>
      <c r="F888" s="27">
        <f>VLOOKUP(E888,[2]t_calendarioPolitica!A:C,3,FALSE)</f>
        <v>1</v>
      </c>
      <c r="G888" s="1">
        <v>1</v>
      </c>
      <c r="H888" s="1">
        <v>1</v>
      </c>
      <c r="I888" s="1">
        <f t="shared" si="69"/>
        <v>1</v>
      </c>
    </row>
    <row r="889" spans="1:9" x14ac:dyDescent="0.25">
      <c r="A889" s="26">
        <v>46179</v>
      </c>
      <c r="B889" s="27">
        <f t="shared" si="65"/>
        <v>2026</v>
      </c>
      <c r="C889" s="27">
        <f t="shared" si="66"/>
        <v>6</v>
      </c>
      <c r="D889" s="27">
        <f t="shared" si="67"/>
        <v>6</v>
      </c>
      <c r="E889" s="27">
        <f t="shared" si="68"/>
        <v>7</v>
      </c>
      <c r="F889" s="27">
        <f>VLOOKUP(E889,[2]t_calendarioPolitica!A:C,3,FALSE)</f>
        <v>2</v>
      </c>
      <c r="G889" s="1">
        <v>1</v>
      </c>
      <c r="H889" s="1">
        <v>1</v>
      </c>
      <c r="I889" s="1">
        <f t="shared" si="69"/>
        <v>1</v>
      </c>
    </row>
    <row r="890" spans="1:9" x14ac:dyDescent="0.25">
      <c r="A890" s="26">
        <v>46180</v>
      </c>
      <c r="B890" s="27">
        <f t="shared" si="65"/>
        <v>2026</v>
      </c>
      <c r="C890" s="27">
        <f t="shared" si="66"/>
        <v>6</v>
      </c>
      <c r="D890" s="27">
        <f t="shared" si="67"/>
        <v>7</v>
      </c>
      <c r="E890" s="27">
        <f t="shared" si="68"/>
        <v>1</v>
      </c>
      <c r="F890" s="27">
        <f>VLOOKUP(E890,[2]t_calendarioPolitica!A:C,3,FALSE)</f>
        <v>0</v>
      </c>
      <c r="G890" s="1">
        <v>1</v>
      </c>
      <c r="H890" s="1">
        <v>1</v>
      </c>
      <c r="I890" s="1">
        <f t="shared" si="69"/>
        <v>0</v>
      </c>
    </row>
    <row r="891" spans="1:9" x14ac:dyDescent="0.25">
      <c r="A891" s="26">
        <v>46181</v>
      </c>
      <c r="B891" s="27">
        <f t="shared" si="65"/>
        <v>2026</v>
      </c>
      <c r="C891" s="27">
        <f t="shared" si="66"/>
        <v>6</v>
      </c>
      <c r="D891" s="27">
        <f t="shared" si="67"/>
        <v>8</v>
      </c>
      <c r="E891" s="27">
        <f t="shared" si="68"/>
        <v>2</v>
      </c>
      <c r="F891" s="27">
        <f>VLOOKUP(E891,[2]t_calendarioPolitica!A:C,3,FALSE)</f>
        <v>1</v>
      </c>
      <c r="G891" s="1">
        <v>1</v>
      </c>
      <c r="H891" s="1">
        <v>1</v>
      </c>
      <c r="I891" s="1">
        <f t="shared" si="69"/>
        <v>1</v>
      </c>
    </row>
    <row r="892" spans="1:9" x14ac:dyDescent="0.25">
      <c r="A892" s="26">
        <v>46182</v>
      </c>
      <c r="B892" s="27">
        <f t="shared" si="65"/>
        <v>2026</v>
      </c>
      <c r="C892" s="27">
        <f t="shared" si="66"/>
        <v>6</v>
      </c>
      <c r="D892" s="27">
        <f t="shared" si="67"/>
        <v>9</v>
      </c>
      <c r="E892" s="27">
        <f t="shared" si="68"/>
        <v>3</v>
      </c>
      <c r="F892" s="27">
        <f>VLOOKUP(E892,[2]t_calendarioPolitica!A:C,3,FALSE)</f>
        <v>1</v>
      </c>
      <c r="G892" s="1">
        <v>1</v>
      </c>
      <c r="H892" s="1">
        <v>1</v>
      </c>
      <c r="I892" s="1">
        <f t="shared" si="69"/>
        <v>1</v>
      </c>
    </row>
    <row r="893" spans="1:9" x14ac:dyDescent="0.25">
      <c r="A893" s="26">
        <v>46183</v>
      </c>
      <c r="B893" s="27">
        <f t="shared" si="65"/>
        <v>2026</v>
      </c>
      <c r="C893" s="27">
        <f t="shared" si="66"/>
        <v>6</v>
      </c>
      <c r="D893" s="27">
        <f t="shared" si="67"/>
        <v>10</v>
      </c>
      <c r="E893" s="27">
        <f t="shared" si="68"/>
        <v>4</v>
      </c>
      <c r="F893" s="27">
        <f>VLOOKUP(E893,[2]t_calendarioPolitica!A:C,3,FALSE)</f>
        <v>1</v>
      </c>
      <c r="G893" s="1">
        <v>1</v>
      </c>
      <c r="H893" s="1">
        <v>1</v>
      </c>
      <c r="I893" s="1">
        <f t="shared" si="69"/>
        <v>1</v>
      </c>
    </row>
    <row r="894" spans="1:9" x14ac:dyDescent="0.25">
      <c r="A894" s="26">
        <v>46184</v>
      </c>
      <c r="B894" s="27">
        <f t="shared" si="65"/>
        <v>2026</v>
      </c>
      <c r="C894" s="27">
        <f t="shared" si="66"/>
        <v>6</v>
      </c>
      <c r="D894" s="27">
        <f t="shared" si="67"/>
        <v>11</v>
      </c>
      <c r="E894" s="27">
        <f t="shared" si="68"/>
        <v>5</v>
      </c>
      <c r="F894" s="27">
        <f>VLOOKUP(E894,[2]t_calendarioPolitica!A:C,3,FALSE)</f>
        <v>1</v>
      </c>
      <c r="G894" s="1">
        <v>1</v>
      </c>
      <c r="H894" s="1">
        <v>1</v>
      </c>
      <c r="I894" s="1">
        <f t="shared" si="69"/>
        <v>1</v>
      </c>
    </row>
    <row r="895" spans="1:9" x14ac:dyDescent="0.25">
      <c r="A895" s="26">
        <v>46185</v>
      </c>
      <c r="B895" s="27">
        <f t="shared" si="65"/>
        <v>2026</v>
      </c>
      <c r="C895" s="27">
        <f t="shared" si="66"/>
        <v>6</v>
      </c>
      <c r="D895" s="27">
        <f t="shared" si="67"/>
        <v>12</v>
      </c>
      <c r="E895" s="27">
        <f t="shared" si="68"/>
        <v>6</v>
      </c>
      <c r="F895" s="27">
        <f>VLOOKUP(E895,[2]t_calendarioPolitica!A:C,3,FALSE)</f>
        <v>1</v>
      </c>
      <c r="G895" s="1">
        <v>1</v>
      </c>
      <c r="H895" s="1">
        <v>1</v>
      </c>
      <c r="I895" s="1">
        <f t="shared" si="69"/>
        <v>1</v>
      </c>
    </row>
    <row r="896" spans="1:9" x14ac:dyDescent="0.25">
      <c r="A896" s="26">
        <v>46186</v>
      </c>
      <c r="B896" s="27">
        <f t="shared" si="65"/>
        <v>2026</v>
      </c>
      <c r="C896" s="27">
        <f t="shared" si="66"/>
        <v>6</v>
      </c>
      <c r="D896" s="27">
        <f t="shared" si="67"/>
        <v>13</v>
      </c>
      <c r="E896" s="27">
        <f t="shared" si="68"/>
        <v>7</v>
      </c>
      <c r="F896" s="27">
        <f>VLOOKUP(E896,[2]t_calendarioPolitica!A:C,3,FALSE)</f>
        <v>2</v>
      </c>
      <c r="G896" s="1">
        <v>1</v>
      </c>
      <c r="H896" s="1">
        <v>1</v>
      </c>
      <c r="I896" s="1">
        <f t="shared" si="69"/>
        <v>1</v>
      </c>
    </row>
    <row r="897" spans="1:9" x14ac:dyDescent="0.25">
      <c r="A897" s="26">
        <v>46187</v>
      </c>
      <c r="B897" s="27">
        <f t="shared" si="65"/>
        <v>2026</v>
      </c>
      <c r="C897" s="27">
        <f t="shared" si="66"/>
        <v>6</v>
      </c>
      <c r="D897" s="27">
        <f t="shared" si="67"/>
        <v>14</v>
      </c>
      <c r="E897" s="27">
        <f t="shared" si="68"/>
        <v>1</v>
      </c>
      <c r="F897" s="27">
        <f>VLOOKUP(E897,[2]t_calendarioPolitica!A:C,3,FALSE)</f>
        <v>0</v>
      </c>
      <c r="G897" s="1">
        <v>1</v>
      </c>
      <c r="H897" s="1">
        <v>1</v>
      </c>
      <c r="I897" s="1">
        <f t="shared" si="69"/>
        <v>0</v>
      </c>
    </row>
    <row r="898" spans="1:9" x14ac:dyDescent="0.25">
      <c r="A898" s="26">
        <v>46188</v>
      </c>
      <c r="B898" s="27">
        <f t="shared" si="65"/>
        <v>2026</v>
      </c>
      <c r="C898" s="27">
        <f t="shared" si="66"/>
        <v>6</v>
      </c>
      <c r="D898" s="27">
        <f t="shared" si="67"/>
        <v>15</v>
      </c>
      <c r="E898" s="27">
        <f t="shared" si="68"/>
        <v>2</v>
      </c>
      <c r="F898" s="27">
        <f>VLOOKUP(E898,[2]t_calendarioPolitica!A:C,3,FALSE)</f>
        <v>1</v>
      </c>
      <c r="G898" s="1">
        <v>1</v>
      </c>
      <c r="H898" s="1">
        <v>1</v>
      </c>
      <c r="I898" s="1">
        <f t="shared" si="69"/>
        <v>1</v>
      </c>
    </row>
    <row r="899" spans="1:9" x14ac:dyDescent="0.25">
      <c r="A899" s="26">
        <v>46189</v>
      </c>
      <c r="B899" s="27">
        <f t="shared" ref="B899:B962" si="70">YEAR(A899)</f>
        <v>2026</v>
      </c>
      <c r="C899" s="27">
        <f t="shared" ref="C899:C962" si="71">MONTH(A899)</f>
        <v>6</v>
      </c>
      <c r="D899" s="27">
        <f t="shared" ref="D899:D962" si="72">DAY(A899)</f>
        <v>16</v>
      </c>
      <c r="E899" s="27">
        <f t="shared" ref="E899:E962" si="73">WEEKDAY(A899)</f>
        <v>3</v>
      </c>
      <c r="F899" s="27">
        <f>VLOOKUP(E899,[2]t_calendarioPolitica!A:C,3,FALSE)</f>
        <v>1</v>
      </c>
      <c r="G899" s="1">
        <v>1</v>
      </c>
      <c r="H899" s="1">
        <v>1</v>
      </c>
      <c r="I899" s="1">
        <f t="shared" ref="I899:I962" si="74">IF(AND(F899&lt;&gt;0, H899&lt;&gt;0,G899&lt;&gt;0), 1, 0)</f>
        <v>1</v>
      </c>
    </row>
    <row r="900" spans="1:9" x14ac:dyDescent="0.25">
      <c r="A900" s="26">
        <v>46190</v>
      </c>
      <c r="B900" s="27">
        <f t="shared" si="70"/>
        <v>2026</v>
      </c>
      <c r="C900" s="27">
        <f t="shared" si="71"/>
        <v>6</v>
      </c>
      <c r="D900" s="27">
        <f t="shared" si="72"/>
        <v>17</v>
      </c>
      <c r="E900" s="27">
        <f t="shared" si="73"/>
        <v>4</v>
      </c>
      <c r="F900" s="27">
        <f>VLOOKUP(E900,[2]t_calendarioPolitica!A:C,3,FALSE)</f>
        <v>1</v>
      </c>
      <c r="G900" s="1">
        <v>1</v>
      </c>
      <c r="H900" s="1">
        <v>1</v>
      </c>
      <c r="I900" s="1">
        <f t="shared" si="74"/>
        <v>1</v>
      </c>
    </row>
    <row r="901" spans="1:9" x14ac:dyDescent="0.25">
      <c r="A901" s="26">
        <v>46191</v>
      </c>
      <c r="B901" s="27">
        <f t="shared" si="70"/>
        <v>2026</v>
      </c>
      <c r="C901" s="27">
        <f t="shared" si="71"/>
        <v>6</v>
      </c>
      <c r="D901" s="27">
        <f t="shared" si="72"/>
        <v>18</v>
      </c>
      <c r="E901" s="27">
        <f t="shared" si="73"/>
        <v>5</v>
      </c>
      <c r="F901" s="27">
        <f>VLOOKUP(E901,[2]t_calendarioPolitica!A:C,3,FALSE)</f>
        <v>1</v>
      </c>
      <c r="G901" s="1">
        <v>1</v>
      </c>
      <c r="H901" s="1">
        <v>1</v>
      </c>
      <c r="I901" s="1">
        <f t="shared" si="74"/>
        <v>1</v>
      </c>
    </row>
    <row r="902" spans="1:9" x14ac:dyDescent="0.25">
      <c r="A902" s="26">
        <v>46192</v>
      </c>
      <c r="B902" s="27">
        <f t="shared" si="70"/>
        <v>2026</v>
      </c>
      <c r="C902" s="27">
        <f t="shared" si="71"/>
        <v>6</v>
      </c>
      <c r="D902" s="27">
        <f t="shared" si="72"/>
        <v>19</v>
      </c>
      <c r="E902" s="27">
        <f t="shared" si="73"/>
        <v>6</v>
      </c>
      <c r="F902" s="27">
        <f>VLOOKUP(E902,[2]t_calendarioPolitica!A:C,3,FALSE)</f>
        <v>1</v>
      </c>
      <c r="G902" s="1">
        <v>1</v>
      </c>
      <c r="H902" s="1">
        <v>1</v>
      </c>
      <c r="I902" s="1">
        <f t="shared" si="74"/>
        <v>1</v>
      </c>
    </row>
    <row r="903" spans="1:9" x14ac:dyDescent="0.25">
      <c r="A903" s="26">
        <v>46193</v>
      </c>
      <c r="B903" s="27">
        <f t="shared" si="70"/>
        <v>2026</v>
      </c>
      <c r="C903" s="27">
        <f t="shared" si="71"/>
        <v>6</v>
      </c>
      <c r="D903" s="27">
        <f t="shared" si="72"/>
        <v>20</v>
      </c>
      <c r="E903" s="27">
        <f t="shared" si="73"/>
        <v>7</v>
      </c>
      <c r="F903" s="27">
        <f>VLOOKUP(E903,[2]t_calendarioPolitica!A:C,3,FALSE)</f>
        <v>2</v>
      </c>
      <c r="G903" s="1">
        <v>1</v>
      </c>
      <c r="H903" s="1">
        <v>1</v>
      </c>
      <c r="I903" s="1">
        <f t="shared" si="74"/>
        <v>1</v>
      </c>
    </row>
    <row r="904" spans="1:9" x14ac:dyDescent="0.25">
      <c r="A904" s="26">
        <v>46194</v>
      </c>
      <c r="B904" s="27">
        <f t="shared" si="70"/>
        <v>2026</v>
      </c>
      <c r="C904" s="27">
        <f t="shared" si="71"/>
        <v>6</v>
      </c>
      <c r="D904" s="27">
        <f t="shared" si="72"/>
        <v>21</v>
      </c>
      <c r="E904" s="27">
        <f t="shared" si="73"/>
        <v>1</v>
      </c>
      <c r="F904" s="27">
        <f>VLOOKUP(E904,[2]t_calendarioPolitica!A:C,3,FALSE)</f>
        <v>0</v>
      </c>
      <c r="G904" s="1">
        <v>1</v>
      </c>
      <c r="H904" s="1">
        <v>1</v>
      </c>
      <c r="I904" s="1">
        <f t="shared" si="74"/>
        <v>0</v>
      </c>
    </row>
    <row r="905" spans="1:9" x14ac:dyDescent="0.25">
      <c r="A905" s="26">
        <v>46195</v>
      </c>
      <c r="B905" s="27">
        <f t="shared" si="70"/>
        <v>2026</v>
      </c>
      <c r="C905" s="27">
        <f t="shared" si="71"/>
        <v>6</v>
      </c>
      <c r="D905" s="27">
        <f t="shared" si="72"/>
        <v>22</v>
      </c>
      <c r="E905" s="27">
        <f t="shared" si="73"/>
        <v>2</v>
      </c>
      <c r="F905" s="27">
        <f>VLOOKUP(E905,[2]t_calendarioPolitica!A:C,3,FALSE)</f>
        <v>1</v>
      </c>
      <c r="G905" s="1">
        <v>1</v>
      </c>
      <c r="H905" s="1">
        <v>1</v>
      </c>
      <c r="I905" s="1">
        <f t="shared" si="74"/>
        <v>1</v>
      </c>
    </row>
    <row r="906" spans="1:9" x14ac:dyDescent="0.25">
      <c r="A906" s="26">
        <v>46196</v>
      </c>
      <c r="B906" s="27">
        <f t="shared" si="70"/>
        <v>2026</v>
      </c>
      <c r="C906" s="27">
        <f t="shared" si="71"/>
        <v>6</v>
      </c>
      <c r="D906" s="27">
        <f t="shared" si="72"/>
        <v>23</v>
      </c>
      <c r="E906" s="27">
        <f t="shared" si="73"/>
        <v>3</v>
      </c>
      <c r="F906" s="27">
        <f>VLOOKUP(E906,[2]t_calendarioPolitica!A:C,3,FALSE)</f>
        <v>1</v>
      </c>
      <c r="G906" s="1">
        <v>1</v>
      </c>
      <c r="H906" s="1">
        <v>1</v>
      </c>
      <c r="I906" s="1">
        <f t="shared" si="74"/>
        <v>1</v>
      </c>
    </row>
    <row r="907" spans="1:9" x14ac:dyDescent="0.25">
      <c r="A907" s="26">
        <v>46197</v>
      </c>
      <c r="B907" s="27">
        <f t="shared" si="70"/>
        <v>2026</v>
      </c>
      <c r="C907" s="27">
        <f t="shared" si="71"/>
        <v>6</v>
      </c>
      <c r="D907" s="27">
        <f t="shared" si="72"/>
        <v>24</v>
      </c>
      <c r="E907" s="27">
        <f t="shared" si="73"/>
        <v>4</v>
      </c>
      <c r="F907" s="27">
        <f>VLOOKUP(E907,[2]t_calendarioPolitica!A:C,3,FALSE)</f>
        <v>1</v>
      </c>
      <c r="G907" s="1">
        <v>1</v>
      </c>
      <c r="H907" s="1">
        <v>1</v>
      </c>
      <c r="I907" s="1">
        <f t="shared" si="74"/>
        <v>1</v>
      </c>
    </row>
    <row r="908" spans="1:9" x14ac:dyDescent="0.25">
      <c r="A908" s="26">
        <v>46198</v>
      </c>
      <c r="B908" s="27">
        <f t="shared" si="70"/>
        <v>2026</v>
      </c>
      <c r="C908" s="27">
        <f t="shared" si="71"/>
        <v>6</v>
      </c>
      <c r="D908" s="27">
        <f t="shared" si="72"/>
        <v>25</v>
      </c>
      <c r="E908" s="27">
        <f t="shared" si="73"/>
        <v>5</v>
      </c>
      <c r="F908" s="27">
        <f>VLOOKUP(E908,[2]t_calendarioPolitica!A:C,3,FALSE)</f>
        <v>1</v>
      </c>
      <c r="G908" s="1">
        <v>1</v>
      </c>
      <c r="H908" s="1">
        <v>1</v>
      </c>
      <c r="I908" s="1">
        <f t="shared" si="74"/>
        <v>1</v>
      </c>
    </row>
    <row r="909" spans="1:9" x14ac:dyDescent="0.25">
      <c r="A909" s="26">
        <v>46199</v>
      </c>
      <c r="B909" s="27">
        <f t="shared" si="70"/>
        <v>2026</v>
      </c>
      <c r="C909" s="27">
        <f t="shared" si="71"/>
        <v>6</v>
      </c>
      <c r="D909" s="27">
        <f t="shared" si="72"/>
        <v>26</v>
      </c>
      <c r="E909" s="27">
        <f t="shared" si="73"/>
        <v>6</v>
      </c>
      <c r="F909" s="27">
        <f>VLOOKUP(E909,[2]t_calendarioPolitica!A:C,3,FALSE)</f>
        <v>1</v>
      </c>
      <c r="G909" s="1">
        <v>1</v>
      </c>
      <c r="H909" s="1">
        <v>1</v>
      </c>
      <c r="I909" s="1">
        <f t="shared" si="74"/>
        <v>1</v>
      </c>
    </row>
    <row r="910" spans="1:9" x14ac:dyDescent="0.25">
      <c r="A910" s="26">
        <v>46200</v>
      </c>
      <c r="B910" s="27">
        <f t="shared" si="70"/>
        <v>2026</v>
      </c>
      <c r="C910" s="27">
        <f t="shared" si="71"/>
        <v>6</v>
      </c>
      <c r="D910" s="27">
        <f t="shared" si="72"/>
        <v>27</v>
      </c>
      <c r="E910" s="27">
        <f t="shared" si="73"/>
        <v>7</v>
      </c>
      <c r="F910" s="27">
        <f>VLOOKUP(E910,[2]t_calendarioPolitica!A:C,3,FALSE)</f>
        <v>2</v>
      </c>
      <c r="G910" s="1">
        <v>1</v>
      </c>
      <c r="H910" s="1">
        <v>1</v>
      </c>
      <c r="I910" s="1">
        <f t="shared" si="74"/>
        <v>1</v>
      </c>
    </row>
    <row r="911" spans="1:9" x14ac:dyDescent="0.25">
      <c r="A911" s="26">
        <v>46201</v>
      </c>
      <c r="B911" s="27">
        <f t="shared" si="70"/>
        <v>2026</v>
      </c>
      <c r="C911" s="27">
        <f t="shared" si="71"/>
        <v>6</v>
      </c>
      <c r="D911" s="27">
        <f t="shared" si="72"/>
        <v>28</v>
      </c>
      <c r="E911" s="27">
        <f t="shared" si="73"/>
        <v>1</v>
      </c>
      <c r="F911" s="27">
        <f>VLOOKUP(E911,[2]t_calendarioPolitica!A:C,3,FALSE)</f>
        <v>0</v>
      </c>
      <c r="G911" s="1">
        <v>1</v>
      </c>
      <c r="H911" s="1">
        <v>1</v>
      </c>
      <c r="I911" s="1">
        <f t="shared" si="74"/>
        <v>0</v>
      </c>
    </row>
    <row r="912" spans="1:9" x14ac:dyDescent="0.25">
      <c r="A912" s="26">
        <v>46202</v>
      </c>
      <c r="B912" s="27">
        <f t="shared" si="70"/>
        <v>2026</v>
      </c>
      <c r="C912" s="27">
        <f t="shared" si="71"/>
        <v>6</v>
      </c>
      <c r="D912" s="27">
        <f t="shared" si="72"/>
        <v>29</v>
      </c>
      <c r="E912" s="27">
        <f t="shared" si="73"/>
        <v>2</v>
      </c>
      <c r="F912" s="27">
        <f>VLOOKUP(E912,[2]t_calendarioPolitica!A:C,3,FALSE)</f>
        <v>1</v>
      </c>
      <c r="G912" s="1">
        <v>1</v>
      </c>
      <c r="H912" s="1">
        <v>1</v>
      </c>
      <c r="I912" s="1">
        <f t="shared" si="74"/>
        <v>1</v>
      </c>
    </row>
    <row r="913" spans="1:9" x14ac:dyDescent="0.25">
      <c r="A913" s="26">
        <v>46203</v>
      </c>
      <c r="B913" s="27">
        <f t="shared" si="70"/>
        <v>2026</v>
      </c>
      <c r="C913" s="27">
        <f t="shared" si="71"/>
        <v>6</v>
      </c>
      <c r="D913" s="27">
        <f t="shared" si="72"/>
        <v>30</v>
      </c>
      <c r="E913" s="27">
        <f t="shared" si="73"/>
        <v>3</v>
      </c>
      <c r="F913" s="27">
        <f>VLOOKUP(E913,[2]t_calendarioPolitica!A:C,3,FALSE)</f>
        <v>1</v>
      </c>
      <c r="G913" s="1">
        <v>1</v>
      </c>
      <c r="H913" s="1">
        <v>1</v>
      </c>
      <c r="I913" s="1">
        <f t="shared" si="74"/>
        <v>1</v>
      </c>
    </row>
    <row r="914" spans="1:9" x14ac:dyDescent="0.25">
      <c r="A914" s="26">
        <v>46204</v>
      </c>
      <c r="B914" s="27">
        <f t="shared" si="70"/>
        <v>2026</v>
      </c>
      <c r="C914" s="27">
        <f t="shared" si="71"/>
        <v>7</v>
      </c>
      <c r="D914" s="27">
        <f t="shared" si="72"/>
        <v>1</v>
      </c>
      <c r="E914" s="27">
        <f t="shared" si="73"/>
        <v>4</v>
      </c>
      <c r="F914" s="27">
        <f>VLOOKUP(E914,[2]t_calendarioPolitica!A:C,3,FALSE)</f>
        <v>1</v>
      </c>
      <c r="G914" s="1">
        <v>1</v>
      </c>
      <c r="H914" s="1">
        <v>1</v>
      </c>
      <c r="I914" s="1">
        <f t="shared" si="74"/>
        <v>1</v>
      </c>
    </row>
    <row r="915" spans="1:9" x14ac:dyDescent="0.25">
      <c r="A915" s="26">
        <v>46205</v>
      </c>
      <c r="B915" s="27">
        <f t="shared" si="70"/>
        <v>2026</v>
      </c>
      <c r="C915" s="27">
        <f t="shared" si="71"/>
        <v>7</v>
      </c>
      <c r="D915" s="27">
        <f t="shared" si="72"/>
        <v>2</v>
      </c>
      <c r="E915" s="27">
        <f t="shared" si="73"/>
        <v>5</v>
      </c>
      <c r="F915" s="27">
        <f>VLOOKUP(E915,[2]t_calendarioPolitica!A:C,3,FALSE)</f>
        <v>1</v>
      </c>
      <c r="G915" s="1">
        <v>1</v>
      </c>
      <c r="H915" s="1">
        <v>1</v>
      </c>
      <c r="I915" s="1">
        <f t="shared" si="74"/>
        <v>1</v>
      </c>
    </row>
    <row r="916" spans="1:9" x14ac:dyDescent="0.25">
      <c r="A916" s="26">
        <v>46206</v>
      </c>
      <c r="B916" s="27">
        <f t="shared" si="70"/>
        <v>2026</v>
      </c>
      <c r="C916" s="27">
        <f t="shared" si="71"/>
        <v>7</v>
      </c>
      <c r="D916" s="27">
        <f t="shared" si="72"/>
        <v>3</v>
      </c>
      <c r="E916" s="27">
        <f t="shared" si="73"/>
        <v>6</v>
      </c>
      <c r="F916" s="27">
        <f>VLOOKUP(E916,[2]t_calendarioPolitica!A:C,3,FALSE)</f>
        <v>1</v>
      </c>
      <c r="G916" s="1">
        <v>1</v>
      </c>
      <c r="H916" s="1">
        <v>1</v>
      </c>
      <c r="I916" s="1">
        <f t="shared" si="74"/>
        <v>1</v>
      </c>
    </row>
    <row r="917" spans="1:9" x14ac:dyDescent="0.25">
      <c r="A917" s="26">
        <v>46207</v>
      </c>
      <c r="B917" s="27">
        <f t="shared" si="70"/>
        <v>2026</v>
      </c>
      <c r="C917" s="27">
        <f t="shared" si="71"/>
        <v>7</v>
      </c>
      <c r="D917" s="27">
        <f t="shared" si="72"/>
        <v>4</v>
      </c>
      <c r="E917" s="27">
        <f t="shared" si="73"/>
        <v>7</v>
      </c>
      <c r="F917" s="27">
        <f>VLOOKUP(E917,[2]t_calendarioPolitica!A:C,3,FALSE)</f>
        <v>2</v>
      </c>
      <c r="G917" s="1">
        <v>1</v>
      </c>
      <c r="H917" s="1">
        <v>1</v>
      </c>
      <c r="I917" s="1">
        <f t="shared" si="74"/>
        <v>1</v>
      </c>
    </row>
    <row r="918" spans="1:9" x14ac:dyDescent="0.25">
      <c r="A918" s="26">
        <v>46208</v>
      </c>
      <c r="B918" s="27">
        <f t="shared" si="70"/>
        <v>2026</v>
      </c>
      <c r="C918" s="27">
        <f t="shared" si="71"/>
        <v>7</v>
      </c>
      <c r="D918" s="27">
        <f t="shared" si="72"/>
        <v>5</v>
      </c>
      <c r="E918" s="27">
        <f t="shared" si="73"/>
        <v>1</v>
      </c>
      <c r="F918" s="27">
        <f>VLOOKUP(E918,[2]t_calendarioPolitica!A:C,3,FALSE)</f>
        <v>0</v>
      </c>
      <c r="G918" s="1">
        <v>1</v>
      </c>
      <c r="H918" s="1">
        <v>1</v>
      </c>
      <c r="I918" s="1">
        <f t="shared" si="74"/>
        <v>0</v>
      </c>
    </row>
    <row r="919" spans="1:9" x14ac:dyDescent="0.25">
      <c r="A919" s="26">
        <v>46209</v>
      </c>
      <c r="B919" s="27">
        <f t="shared" si="70"/>
        <v>2026</v>
      </c>
      <c r="C919" s="27">
        <f t="shared" si="71"/>
        <v>7</v>
      </c>
      <c r="D919" s="27">
        <f t="shared" si="72"/>
        <v>6</v>
      </c>
      <c r="E919" s="27">
        <f t="shared" si="73"/>
        <v>2</v>
      </c>
      <c r="F919" s="27">
        <f>VLOOKUP(E919,[2]t_calendarioPolitica!A:C,3,FALSE)</f>
        <v>1</v>
      </c>
      <c r="G919" s="1">
        <v>1</v>
      </c>
      <c r="H919" s="1">
        <v>1</v>
      </c>
      <c r="I919" s="1">
        <f t="shared" si="74"/>
        <v>1</v>
      </c>
    </row>
    <row r="920" spans="1:9" x14ac:dyDescent="0.25">
      <c r="A920" s="26">
        <v>46210</v>
      </c>
      <c r="B920" s="27">
        <f t="shared" si="70"/>
        <v>2026</v>
      </c>
      <c r="C920" s="27">
        <f t="shared" si="71"/>
        <v>7</v>
      </c>
      <c r="D920" s="27">
        <f t="shared" si="72"/>
        <v>7</v>
      </c>
      <c r="E920" s="27">
        <f t="shared" si="73"/>
        <v>3</v>
      </c>
      <c r="F920" s="27">
        <f>VLOOKUP(E920,[2]t_calendarioPolitica!A:C,3,FALSE)</f>
        <v>1</v>
      </c>
      <c r="G920" s="1">
        <v>1</v>
      </c>
      <c r="H920" s="1">
        <v>1</v>
      </c>
      <c r="I920" s="1">
        <f t="shared" si="74"/>
        <v>1</v>
      </c>
    </row>
    <row r="921" spans="1:9" x14ac:dyDescent="0.25">
      <c r="A921" s="26">
        <v>46211</v>
      </c>
      <c r="B921" s="27">
        <f t="shared" si="70"/>
        <v>2026</v>
      </c>
      <c r="C921" s="27">
        <f t="shared" si="71"/>
        <v>7</v>
      </c>
      <c r="D921" s="27">
        <f t="shared" si="72"/>
        <v>8</v>
      </c>
      <c r="E921" s="27">
        <f t="shared" si="73"/>
        <v>4</v>
      </c>
      <c r="F921" s="27">
        <f>VLOOKUP(E921,[2]t_calendarioPolitica!A:C,3,FALSE)</f>
        <v>1</v>
      </c>
      <c r="G921" s="1">
        <v>1</v>
      </c>
      <c r="H921" s="1">
        <v>1</v>
      </c>
      <c r="I921" s="1">
        <f t="shared" si="74"/>
        <v>1</v>
      </c>
    </row>
    <row r="922" spans="1:9" x14ac:dyDescent="0.25">
      <c r="A922" s="26">
        <v>46212</v>
      </c>
      <c r="B922" s="27">
        <f t="shared" si="70"/>
        <v>2026</v>
      </c>
      <c r="C922" s="27">
        <f t="shared" si="71"/>
        <v>7</v>
      </c>
      <c r="D922" s="27">
        <f t="shared" si="72"/>
        <v>9</v>
      </c>
      <c r="E922" s="27">
        <f t="shared" si="73"/>
        <v>5</v>
      </c>
      <c r="F922" s="27">
        <f>VLOOKUP(E922,[2]t_calendarioPolitica!A:C,3,FALSE)</f>
        <v>1</v>
      </c>
      <c r="G922" s="1">
        <v>1</v>
      </c>
      <c r="H922" s="1">
        <v>1</v>
      </c>
      <c r="I922" s="1">
        <f t="shared" si="74"/>
        <v>1</v>
      </c>
    </row>
    <row r="923" spans="1:9" x14ac:dyDescent="0.25">
      <c r="A923" s="26">
        <v>46213</v>
      </c>
      <c r="B923" s="27">
        <f t="shared" si="70"/>
        <v>2026</v>
      </c>
      <c r="C923" s="27">
        <f t="shared" si="71"/>
        <v>7</v>
      </c>
      <c r="D923" s="27">
        <f t="shared" si="72"/>
        <v>10</v>
      </c>
      <c r="E923" s="27">
        <f t="shared" si="73"/>
        <v>6</v>
      </c>
      <c r="F923" s="27">
        <f>VLOOKUP(E923,[2]t_calendarioPolitica!A:C,3,FALSE)</f>
        <v>1</v>
      </c>
      <c r="G923" s="1">
        <v>1</v>
      </c>
      <c r="H923" s="1">
        <v>1</v>
      </c>
      <c r="I923" s="1">
        <f t="shared" si="74"/>
        <v>1</v>
      </c>
    </row>
    <row r="924" spans="1:9" x14ac:dyDescent="0.25">
      <c r="A924" s="26">
        <v>46214</v>
      </c>
      <c r="B924" s="27">
        <f t="shared" si="70"/>
        <v>2026</v>
      </c>
      <c r="C924" s="27">
        <f t="shared" si="71"/>
        <v>7</v>
      </c>
      <c r="D924" s="27">
        <f t="shared" si="72"/>
        <v>11</v>
      </c>
      <c r="E924" s="27">
        <f t="shared" si="73"/>
        <v>7</v>
      </c>
      <c r="F924" s="27">
        <f>VLOOKUP(E924,[2]t_calendarioPolitica!A:C,3,FALSE)</f>
        <v>2</v>
      </c>
      <c r="G924" s="1">
        <v>1</v>
      </c>
      <c r="H924" s="1">
        <v>1</v>
      </c>
      <c r="I924" s="1">
        <f t="shared" si="74"/>
        <v>1</v>
      </c>
    </row>
    <row r="925" spans="1:9" x14ac:dyDescent="0.25">
      <c r="A925" s="26">
        <v>46215</v>
      </c>
      <c r="B925" s="27">
        <f t="shared" si="70"/>
        <v>2026</v>
      </c>
      <c r="C925" s="27">
        <f t="shared" si="71"/>
        <v>7</v>
      </c>
      <c r="D925" s="27">
        <f t="shared" si="72"/>
        <v>12</v>
      </c>
      <c r="E925" s="27">
        <f t="shared" si="73"/>
        <v>1</v>
      </c>
      <c r="F925" s="27">
        <f>VLOOKUP(E925,[2]t_calendarioPolitica!A:C,3,FALSE)</f>
        <v>0</v>
      </c>
      <c r="G925" s="1">
        <v>1</v>
      </c>
      <c r="H925" s="1">
        <v>1</v>
      </c>
      <c r="I925" s="1">
        <f t="shared" si="74"/>
        <v>0</v>
      </c>
    </row>
    <row r="926" spans="1:9" x14ac:dyDescent="0.25">
      <c r="A926" s="26">
        <v>46216</v>
      </c>
      <c r="B926" s="27">
        <f t="shared" si="70"/>
        <v>2026</v>
      </c>
      <c r="C926" s="27">
        <f t="shared" si="71"/>
        <v>7</v>
      </c>
      <c r="D926" s="27">
        <f t="shared" si="72"/>
        <v>13</v>
      </c>
      <c r="E926" s="27">
        <f t="shared" si="73"/>
        <v>2</v>
      </c>
      <c r="F926" s="27">
        <f>VLOOKUP(E926,[2]t_calendarioPolitica!A:C,3,FALSE)</f>
        <v>1</v>
      </c>
      <c r="G926" s="1">
        <v>1</v>
      </c>
      <c r="H926" s="1">
        <v>1</v>
      </c>
      <c r="I926" s="1">
        <f t="shared" si="74"/>
        <v>1</v>
      </c>
    </row>
    <row r="927" spans="1:9" x14ac:dyDescent="0.25">
      <c r="A927" s="26">
        <v>46217</v>
      </c>
      <c r="B927" s="27">
        <f t="shared" si="70"/>
        <v>2026</v>
      </c>
      <c r="C927" s="27">
        <f t="shared" si="71"/>
        <v>7</v>
      </c>
      <c r="D927" s="27">
        <f t="shared" si="72"/>
        <v>14</v>
      </c>
      <c r="E927" s="27">
        <f t="shared" si="73"/>
        <v>3</v>
      </c>
      <c r="F927" s="27">
        <f>VLOOKUP(E927,[2]t_calendarioPolitica!A:C,3,FALSE)</f>
        <v>1</v>
      </c>
      <c r="G927" s="1">
        <v>1</v>
      </c>
      <c r="H927" s="1">
        <v>1</v>
      </c>
      <c r="I927" s="1">
        <f t="shared" si="74"/>
        <v>1</v>
      </c>
    </row>
    <row r="928" spans="1:9" x14ac:dyDescent="0.25">
      <c r="A928" s="26">
        <v>46218</v>
      </c>
      <c r="B928" s="27">
        <f t="shared" si="70"/>
        <v>2026</v>
      </c>
      <c r="C928" s="27">
        <f t="shared" si="71"/>
        <v>7</v>
      </c>
      <c r="D928" s="27">
        <f t="shared" si="72"/>
        <v>15</v>
      </c>
      <c r="E928" s="27">
        <f t="shared" si="73"/>
        <v>4</v>
      </c>
      <c r="F928" s="27">
        <f>VLOOKUP(E928,[2]t_calendarioPolitica!A:C,3,FALSE)</f>
        <v>1</v>
      </c>
      <c r="G928" s="1">
        <v>1</v>
      </c>
      <c r="H928" s="1">
        <v>1</v>
      </c>
      <c r="I928" s="1">
        <f t="shared" si="74"/>
        <v>1</v>
      </c>
    </row>
    <row r="929" spans="1:9" x14ac:dyDescent="0.25">
      <c r="A929" s="26">
        <v>46219</v>
      </c>
      <c r="B929" s="27">
        <f t="shared" si="70"/>
        <v>2026</v>
      </c>
      <c r="C929" s="27">
        <f t="shared" si="71"/>
        <v>7</v>
      </c>
      <c r="D929" s="27">
        <f t="shared" si="72"/>
        <v>16</v>
      </c>
      <c r="E929" s="27">
        <f t="shared" si="73"/>
        <v>5</v>
      </c>
      <c r="F929" s="27">
        <f>VLOOKUP(E929,[2]t_calendarioPolitica!A:C,3,FALSE)</f>
        <v>1</v>
      </c>
      <c r="G929" s="1">
        <v>1</v>
      </c>
      <c r="H929" s="1">
        <v>1</v>
      </c>
      <c r="I929" s="1">
        <f t="shared" si="74"/>
        <v>1</v>
      </c>
    </row>
    <row r="930" spans="1:9" x14ac:dyDescent="0.25">
      <c r="A930" s="26">
        <v>46220</v>
      </c>
      <c r="B930" s="27">
        <f t="shared" si="70"/>
        <v>2026</v>
      </c>
      <c r="C930" s="27">
        <f t="shared" si="71"/>
        <v>7</v>
      </c>
      <c r="D930" s="27">
        <f t="shared" si="72"/>
        <v>17</v>
      </c>
      <c r="E930" s="27">
        <f t="shared" si="73"/>
        <v>6</v>
      </c>
      <c r="F930" s="27">
        <f>VLOOKUP(E930,[2]t_calendarioPolitica!A:C,3,FALSE)</f>
        <v>1</v>
      </c>
      <c r="G930" s="1">
        <v>1</v>
      </c>
      <c r="H930" s="1">
        <v>1</v>
      </c>
      <c r="I930" s="1">
        <f t="shared" si="74"/>
        <v>1</v>
      </c>
    </row>
    <row r="931" spans="1:9" x14ac:dyDescent="0.25">
      <c r="A931" s="26">
        <v>46221</v>
      </c>
      <c r="B931" s="27">
        <f t="shared" si="70"/>
        <v>2026</v>
      </c>
      <c r="C931" s="27">
        <f t="shared" si="71"/>
        <v>7</v>
      </c>
      <c r="D931" s="27">
        <f t="shared" si="72"/>
        <v>18</v>
      </c>
      <c r="E931" s="27">
        <f t="shared" si="73"/>
        <v>7</v>
      </c>
      <c r="F931" s="27">
        <f>VLOOKUP(E931,[2]t_calendarioPolitica!A:C,3,FALSE)</f>
        <v>2</v>
      </c>
      <c r="G931" s="1">
        <v>1</v>
      </c>
      <c r="H931" s="1">
        <v>1</v>
      </c>
      <c r="I931" s="1">
        <f t="shared" si="74"/>
        <v>1</v>
      </c>
    </row>
    <row r="932" spans="1:9" x14ac:dyDescent="0.25">
      <c r="A932" s="26">
        <v>46222</v>
      </c>
      <c r="B932" s="27">
        <f t="shared" si="70"/>
        <v>2026</v>
      </c>
      <c r="C932" s="27">
        <f t="shared" si="71"/>
        <v>7</v>
      </c>
      <c r="D932" s="27">
        <f t="shared" si="72"/>
        <v>19</v>
      </c>
      <c r="E932" s="27">
        <f t="shared" si="73"/>
        <v>1</v>
      </c>
      <c r="F932" s="27">
        <f>VLOOKUP(E932,[2]t_calendarioPolitica!A:C,3,FALSE)</f>
        <v>0</v>
      </c>
      <c r="G932" s="1">
        <v>1</v>
      </c>
      <c r="H932" s="1">
        <v>1</v>
      </c>
      <c r="I932" s="1">
        <f t="shared" si="74"/>
        <v>0</v>
      </c>
    </row>
    <row r="933" spans="1:9" x14ac:dyDescent="0.25">
      <c r="A933" s="26">
        <v>46223</v>
      </c>
      <c r="B933" s="27">
        <f t="shared" si="70"/>
        <v>2026</v>
      </c>
      <c r="C933" s="27">
        <f t="shared" si="71"/>
        <v>7</v>
      </c>
      <c r="D933" s="27">
        <f t="shared" si="72"/>
        <v>20</v>
      </c>
      <c r="E933" s="27">
        <f t="shared" si="73"/>
        <v>2</v>
      </c>
      <c r="F933" s="27">
        <f>VLOOKUP(E933,[2]t_calendarioPolitica!A:C,3,FALSE)</f>
        <v>1</v>
      </c>
      <c r="G933" s="1">
        <v>1</v>
      </c>
      <c r="H933" s="1">
        <v>1</v>
      </c>
      <c r="I933" s="1">
        <f t="shared" si="74"/>
        <v>1</v>
      </c>
    </row>
    <row r="934" spans="1:9" x14ac:dyDescent="0.25">
      <c r="A934" s="26">
        <v>46224</v>
      </c>
      <c r="B934" s="27">
        <f t="shared" si="70"/>
        <v>2026</v>
      </c>
      <c r="C934" s="27">
        <f t="shared" si="71"/>
        <v>7</v>
      </c>
      <c r="D934" s="27">
        <f t="shared" si="72"/>
        <v>21</v>
      </c>
      <c r="E934" s="27">
        <f t="shared" si="73"/>
        <v>3</v>
      </c>
      <c r="F934" s="27">
        <f>VLOOKUP(E934,[2]t_calendarioPolitica!A:C,3,FALSE)</f>
        <v>1</v>
      </c>
      <c r="G934" s="1">
        <v>1</v>
      </c>
      <c r="H934" s="1">
        <v>1</v>
      </c>
      <c r="I934" s="1">
        <f t="shared" si="74"/>
        <v>1</v>
      </c>
    </row>
    <row r="935" spans="1:9" x14ac:dyDescent="0.25">
      <c r="A935" s="26">
        <v>46225</v>
      </c>
      <c r="B935" s="27">
        <f t="shared" si="70"/>
        <v>2026</v>
      </c>
      <c r="C935" s="27">
        <f t="shared" si="71"/>
        <v>7</v>
      </c>
      <c r="D935" s="27">
        <f t="shared" si="72"/>
        <v>22</v>
      </c>
      <c r="E935" s="27">
        <f t="shared" si="73"/>
        <v>4</v>
      </c>
      <c r="F935" s="27">
        <f>VLOOKUP(E935,[2]t_calendarioPolitica!A:C,3,FALSE)</f>
        <v>1</v>
      </c>
      <c r="G935" s="1">
        <v>1</v>
      </c>
      <c r="H935" s="1">
        <v>1</v>
      </c>
      <c r="I935" s="1">
        <f t="shared" si="74"/>
        <v>1</v>
      </c>
    </row>
    <row r="936" spans="1:9" x14ac:dyDescent="0.25">
      <c r="A936" s="26">
        <v>46226</v>
      </c>
      <c r="B936" s="27">
        <f t="shared" si="70"/>
        <v>2026</v>
      </c>
      <c r="C936" s="27">
        <f t="shared" si="71"/>
        <v>7</v>
      </c>
      <c r="D936" s="27">
        <f t="shared" si="72"/>
        <v>23</v>
      </c>
      <c r="E936" s="27">
        <f t="shared" si="73"/>
        <v>5</v>
      </c>
      <c r="F936" s="27">
        <f>VLOOKUP(E936,[2]t_calendarioPolitica!A:C,3,FALSE)</f>
        <v>1</v>
      </c>
      <c r="G936" s="1">
        <v>1</v>
      </c>
      <c r="H936" s="1">
        <v>1</v>
      </c>
      <c r="I936" s="1">
        <f t="shared" si="74"/>
        <v>1</v>
      </c>
    </row>
    <row r="937" spans="1:9" x14ac:dyDescent="0.25">
      <c r="A937" s="26">
        <v>46227</v>
      </c>
      <c r="B937" s="27">
        <f t="shared" si="70"/>
        <v>2026</v>
      </c>
      <c r="C937" s="27">
        <f t="shared" si="71"/>
        <v>7</v>
      </c>
      <c r="D937" s="27">
        <f t="shared" si="72"/>
        <v>24</v>
      </c>
      <c r="E937" s="27">
        <f t="shared" si="73"/>
        <v>6</v>
      </c>
      <c r="F937" s="27">
        <f>VLOOKUP(E937,[2]t_calendarioPolitica!A:C,3,FALSE)</f>
        <v>1</v>
      </c>
      <c r="G937" s="1">
        <v>1</v>
      </c>
      <c r="H937" s="1">
        <v>1</v>
      </c>
      <c r="I937" s="1">
        <f t="shared" si="74"/>
        <v>1</v>
      </c>
    </row>
    <row r="938" spans="1:9" x14ac:dyDescent="0.25">
      <c r="A938" s="26">
        <v>46228</v>
      </c>
      <c r="B938" s="27">
        <f t="shared" si="70"/>
        <v>2026</v>
      </c>
      <c r="C938" s="27">
        <f t="shared" si="71"/>
        <v>7</v>
      </c>
      <c r="D938" s="27">
        <f t="shared" si="72"/>
        <v>25</v>
      </c>
      <c r="E938" s="27">
        <f t="shared" si="73"/>
        <v>7</v>
      </c>
      <c r="F938" s="27">
        <f>VLOOKUP(E938,[2]t_calendarioPolitica!A:C,3,FALSE)</f>
        <v>2</v>
      </c>
      <c r="G938" s="1">
        <v>1</v>
      </c>
      <c r="H938" s="1">
        <v>1</v>
      </c>
      <c r="I938" s="1">
        <f t="shared" si="74"/>
        <v>1</v>
      </c>
    </row>
    <row r="939" spans="1:9" x14ac:dyDescent="0.25">
      <c r="A939" s="26">
        <v>46229</v>
      </c>
      <c r="B939" s="27">
        <f t="shared" si="70"/>
        <v>2026</v>
      </c>
      <c r="C939" s="27">
        <f t="shared" si="71"/>
        <v>7</v>
      </c>
      <c r="D939" s="27">
        <f t="shared" si="72"/>
        <v>26</v>
      </c>
      <c r="E939" s="27">
        <f t="shared" si="73"/>
        <v>1</v>
      </c>
      <c r="F939" s="27">
        <f>VLOOKUP(E939,[2]t_calendarioPolitica!A:C,3,FALSE)</f>
        <v>0</v>
      </c>
      <c r="G939" s="1">
        <v>1</v>
      </c>
      <c r="H939" s="1">
        <v>1</v>
      </c>
      <c r="I939" s="1">
        <f t="shared" si="74"/>
        <v>0</v>
      </c>
    </row>
    <row r="940" spans="1:9" x14ac:dyDescent="0.25">
      <c r="A940" s="26">
        <v>46230</v>
      </c>
      <c r="B940" s="27">
        <f t="shared" si="70"/>
        <v>2026</v>
      </c>
      <c r="C940" s="27">
        <f t="shared" si="71"/>
        <v>7</v>
      </c>
      <c r="D940" s="27">
        <f t="shared" si="72"/>
        <v>27</v>
      </c>
      <c r="E940" s="27">
        <f t="shared" si="73"/>
        <v>2</v>
      </c>
      <c r="F940" s="27">
        <f>VLOOKUP(E940,[2]t_calendarioPolitica!A:C,3,FALSE)</f>
        <v>1</v>
      </c>
      <c r="G940" s="1">
        <v>1</v>
      </c>
      <c r="H940" s="1">
        <v>1</v>
      </c>
      <c r="I940" s="1">
        <f t="shared" si="74"/>
        <v>1</v>
      </c>
    </row>
    <row r="941" spans="1:9" x14ac:dyDescent="0.25">
      <c r="A941" s="26">
        <v>46231</v>
      </c>
      <c r="B941" s="27">
        <f t="shared" si="70"/>
        <v>2026</v>
      </c>
      <c r="C941" s="27">
        <f t="shared" si="71"/>
        <v>7</v>
      </c>
      <c r="D941" s="27">
        <f t="shared" si="72"/>
        <v>28</v>
      </c>
      <c r="E941" s="27">
        <f t="shared" si="73"/>
        <v>3</v>
      </c>
      <c r="F941" s="27">
        <f>VLOOKUP(E941,[2]t_calendarioPolitica!A:C,3,FALSE)</f>
        <v>1</v>
      </c>
      <c r="G941" s="1">
        <v>1</v>
      </c>
      <c r="H941" s="1">
        <v>1</v>
      </c>
      <c r="I941" s="1">
        <f t="shared" si="74"/>
        <v>1</v>
      </c>
    </row>
    <row r="942" spans="1:9" x14ac:dyDescent="0.25">
      <c r="A942" s="26">
        <v>46232</v>
      </c>
      <c r="B942" s="27">
        <f t="shared" si="70"/>
        <v>2026</v>
      </c>
      <c r="C942" s="27">
        <f t="shared" si="71"/>
        <v>7</v>
      </c>
      <c r="D942" s="27">
        <f t="shared" si="72"/>
        <v>29</v>
      </c>
      <c r="E942" s="27">
        <f t="shared" si="73"/>
        <v>4</v>
      </c>
      <c r="F942" s="27">
        <f>VLOOKUP(E942,[2]t_calendarioPolitica!A:C,3,FALSE)</f>
        <v>1</v>
      </c>
      <c r="G942" s="1">
        <v>1</v>
      </c>
      <c r="H942" s="1">
        <v>1</v>
      </c>
      <c r="I942" s="1">
        <f t="shared" si="74"/>
        <v>1</v>
      </c>
    </row>
    <row r="943" spans="1:9" x14ac:dyDescent="0.25">
      <c r="A943" s="26">
        <v>46233</v>
      </c>
      <c r="B943" s="27">
        <f t="shared" si="70"/>
        <v>2026</v>
      </c>
      <c r="C943" s="27">
        <f t="shared" si="71"/>
        <v>7</v>
      </c>
      <c r="D943" s="27">
        <f t="shared" si="72"/>
        <v>30</v>
      </c>
      <c r="E943" s="27">
        <f t="shared" si="73"/>
        <v>5</v>
      </c>
      <c r="F943" s="27">
        <f>VLOOKUP(E943,[2]t_calendarioPolitica!A:C,3,FALSE)</f>
        <v>1</v>
      </c>
      <c r="G943" s="1">
        <v>1</v>
      </c>
      <c r="H943" s="1">
        <v>1</v>
      </c>
      <c r="I943" s="1">
        <f t="shared" si="74"/>
        <v>1</v>
      </c>
    </row>
    <row r="944" spans="1:9" x14ac:dyDescent="0.25">
      <c r="A944" s="26">
        <v>46234</v>
      </c>
      <c r="B944" s="27">
        <f t="shared" si="70"/>
        <v>2026</v>
      </c>
      <c r="C944" s="27">
        <f t="shared" si="71"/>
        <v>7</v>
      </c>
      <c r="D944" s="27">
        <f t="shared" si="72"/>
        <v>31</v>
      </c>
      <c r="E944" s="27">
        <f t="shared" si="73"/>
        <v>6</v>
      </c>
      <c r="F944" s="27">
        <f>VLOOKUP(E944,[2]t_calendarioPolitica!A:C,3,FALSE)</f>
        <v>1</v>
      </c>
      <c r="G944" s="1">
        <v>1</v>
      </c>
      <c r="H944" s="1">
        <v>1</v>
      </c>
      <c r="I944" s="1">
        <f t="shared" si="74"/>
        <v>1</v>
      </c>
    </row>
    <row r="945" spans="1:9" x14ac:dyDescent="0.25">
      <c r="A945" s="26">
        <v>46235</v>
      </c>
      <c r="B945" s="27">
        <f t="shared" si="70"/>
        <v>2026</v>
      </c>
      <c r="C945" s="27">
        <f t="shared" si="71"/>
        <v>8</v>
      </c>
      <c r="D945" s="27">
        <f t="shared" si="72"/>
        <v>1</v>
      </c>
      <c r="E945" s="27">
        <f t="shared" si="73"/>
        <v>7</v>
      </c>
      <c r="F945" s="27">
        <f>VLOOKUP(E945,[2]t_calendarioPolitica!A:C,3,FALSE)</f>
        <v>2</v>
      </c>
      <c r="G945" s="1">
        <v>1</v>
      </c>
      <c r="H945" s="1">
        <v>1</v>
      </c>
      <c r="I945" s="1">
        <f t="shared" si="74"/>
        <v>1</v>
      </c>
    </row>
    <row r="946" spans="1:9" x14ac:dyDescent="0.25">
      <c r="A946" s="26">
        <v>46236</v>
      </c>
      <c r="B946" s="27">
        <f t="shared" si="70"/>
        <v>2026</v>
      </c>
      <c r="C946" s="27">
        <f t="shared" si="71"/>
        <v>8</v>
      </c>
      <c r="D946" s="27">
        <f t="shared" si="72"/>
        <v>2</v>
      </c>
      <c r="E946" s="27">
        <f t="shared" si="73"/>
        <v>1</v>
      </c>
      <c r="F946" s="27">
        <f>VLOOKUP(E946,[2]t_calendarioPolitica!A:C,3,FALSE)</f>
        <v>0</v>
      </c>
      <c r="G946" s="1">
        <v>1</v>
      </c>
      <c r="H946" s="1">
        <v>1</v>
      </c>
      <c r="I946" s="1">
        <f t="shared" si="74"/>
        <v>0</v>
      </c>
    </row>
    <row r="947" spans="1:9" x14ac:dyDescent="0.25">
      <c r="A947" s="26">
        <v>46237</v>
      </c>
      <c r="B947" s="27">
        <f t="shared" si="70"/>
        <v>2026</v>
      </c>
      <c r="C947" s="27">
        <f t="shared" si="71"/>
        <v>8</v>
      </c>
      <c r="D947" s="27">
        <f t="shared" si="72"/>
        <v>3</v>
      </c>
      <c r="E947" s="27">
        <f t="shared" si="73"/>
        <v>2</v>
      </c>
      <c r="F947" s="27">
        <f>VLOOKUP(E947,[2]t_calendarioPolitica!A:C,3,FALSE)</f>
        <v>1</v>
      </c>
      <c r="G947" s="1">
        <v>1</v>
      </c>
      <c r="H947" s="1">
        <v>1</v>
      </c>
      <c r="I947" s="1">
        <f t="shared" si="74"/>
        <v>1</v>
      </c>
    </row>
    <row r="948" spans="1:9" x14ac:dyDescent="0.25">
      <c r="A948" s="26">
        <v>46238</v>
      </c>
      <c r="B948" s="27">
        <f t="shared" si="70"/>
        <v>2026</v>
      </c>
      <c r="C948" s="27">
        <f t="shared" si="71"/>
        <v>8</v>
      </c>
      <c r="D948" s="27">
        <f t="shared" si="72"/>
        <v>4</v>
      </c>
      <c r="E948" s="27">
        <f t="shared" si="73"/>
        <v>3</v>
      </c>
      <c r="F948" s="27">
        <f>VLOOKUP(E948,[2]t_calendarioPolitica!A:C,3,FALSE)</f>
        <v>1</v>
      </c>
      <c r="G948" s="1">
        <v>1</v>
      </c>
      <c r="H948" s="1">
        <v>1</v>
      </c>
      <c r="I948" s="1">
        <f t="shared" si="74"/>
        <v>1</v>
      </c>
    </row>
    <row r="949" spans="1:9" x14ac:dyDescent="0.25">
      <c r="A949" s="26">
        <v>46239</v>
      </c>
      <c r="B949" s="27">
        <f t="shared" si="70"/>
        <v>2026</v>
      </c>
      <c r="C949" s="27">
        <f t="shared" si="71"/>
        <v>8</v>
      </c>
      <c r="D949" s="27">
        <f t="shared" si="72"/>
        <v>5</v>
      </c>
      <c r="E949" s="27">
        <f t="shared" si="73"/>
        <v>4</v>
      </c>
      <c r="F949" s="27">
        <f>VLOOKUP(E949,[2]t_calendarioPolitica!A:C,3,FALSE)</f>
        <v>1</v>
      </c>
      <c r="G949" s="1">
        <v>1</v>
      </c>
      <c r="H949" s="1">
        <v>1</v>
      </c>
      <c r="I949" s="1">
        <f t="shared" si="74"/>
        <v>1</v>
      </c>
    </row>
    <row r="950" spans="1:9" x14ac:dyDescent="0.25">
      <c r="A950" s="26">
        <v>46240</v>
      </c>
      <c r="B950" s="27">
        <f t="shared" si="70"/>
        <v>2026</v>
      </c>
      <c r="C950" s="27">
        <f t="shared" si="71"/>
        <v>8</v>
      </c>
      <c r="D950" s="27">
        <f t="shared" si="72"/>
        <v>6</v>
      </c>
      <c r="E950" s="27">
        <f t="shared" si="73"/>
        <v>5</v>
      </c>
      <c r="F950" s="27">
        <f>VLOOKUP(E950,[2]t_calendarioPolitica!A:C,3,FALSE)</f>
        <v>1</v>
      </c>
      <c r="G950" s="1">
        <v>1</v>
      </c>
      <c r="H950" s="1">
        <v>1</v>
      </c>
      <c r="I950" s="1">
        <f t="shared" si="74"/>
        <v>1</v>
      </c>
    </row>
    <row r="951" spans="1:9" x14ac:dyDescent="0.25">
      <c r="A951" s="26">
        <v>46241</v>
      </c>
      <c r="B951" s="27">
        <f t="shared" si="70"/>
        <v>2026</v>
      </c>
      <c r="C951" s="27">
        <f t="shared" si="71"/>
        <v>8</v>
      </c>
      <c r="D951" s="27">
        <f t="shared" si="72"/>
        <v>7</v>
      </c>
      <c r="E951" s="27">
        <f t="shared" si="73"/>
        <v>6</v>
      </c>
      <c r="F951" s="27">
        <f>VLOOKUP(E951,[2]t_calendarioPolitica!A:C,3,FALSE)</f>
        <v>1</v>
      </c>
      <c r="G951" s="1">
        <v>1</v>
      </c>
      <c r="H951" s="1">
        <v>1</v>
      </c>
      <c r="I951" s="1">
        <f t="shared" si="74"/>
        <v>1</v>
      </c>
    </row>
    <row r="952" spans="1:9" x14ac:dyDescent="0.25">
      <c r="A952" s="26">
        <v>46242</v>
      </c>
      <c r="B952" s="27">
        <f t="shared" si="70"/>
        <v>2026</v>
      </c>
      <c r="C952" s="27">
        <f t="shared" si="71"/>
        <v>8</v>
      </c>
      <c r="D952" s="27">
        <f t="shared" si="72"/>
        <v>8</v>
      </c>
      <c r="E952" s="27">
        <f t="shared" si="73"/>
        <v>7</v>
      </c>
      <c r="F952" s="27">
        <f>VLOOKUP(E952,[2]t_calendarioPolitica!A:C,3,FALSE)</f>
        <v>2</v>
      </c>
      <c r="G952" s="1">
        <v>1</v>
      </c>
      <c r="H952" s="1">
        <v>1</v>
      </c>
      <c r="I952" s="1">
        <f t="shared" si="74"/>
        <v>1</v>
      </c>
    </row>
    <row r="953" spans="1:9" x14ac:dyDescent="0.25">
      <c r="A953" s="26">
        <v>46243</v>
      </c>
      <c r="B953" s="27">
        <f t="shared" si="70"/>
        <v>2026</v>
      </c>
      <c r="C953" s="27">
        <f t="shared" si="71"/>
        <v>8</v>
      </c>
      <c r="D953" s="27">
        <f t="shared" si="72"/>
        <v>9</v>
      </c>
      <c r="E953" s="27">
        <f t="shared" si="73"/>
        <v>1</v>
      </c>
      <c r="F953" s="27">
        <f>VLOOKUP(E953,[2]t_calendarioPolitica!A:C,3,FALSE)</f>
        <v>0</v>
      </c>
      <c r="G953" s="1">
        <v>1</v>
      </c>
      <c r="H953" s="1">
        <v>1</v>
      </c>
      <c r="I953" s="1">
        <f t="shared" si="74"/>
        <v>0</v>
      </c>
    </row>
    <row r="954" spans="1:9" x14ac:dyDescent="0.25">
      <c r="A954" s="26">
        <v>46244</v>
      </c>
      <c r="B954" s="27">
        <f t="shared" si="70"/>
        <v>2026</v>
      </c>
      <c r="C954" s="27">
        <f t="shared" si="71"/>
        <v>8</v>
      </c>
      <c r="D954" s="27">
        <f t="shared" si="72"/>
        <v>10</v>
      </c>
      <c r="E954" s="27">
        <f t="shared" si="73"/>
        <v>2</v>
      </c>
      <c r="F954" s="27">
        <f>VLOOKUP(E954,[2]t_calendarioPolitica!A:C,3,FALSE)</f>
        <v>1</v>
      </c>
      <c r="G954" s="1">
        <v>1</v>
      </c>
      <c r="H954" s="1">
        <v>1</v>
      </c>
      <c r="I954" s="1">
        <f t="shared" si="74"/>
        <v>1</v>
      </c>
    </row>
    <row r="955" spans="1:9" x14ac:dyDescent="0.25">
      <c r="A955" s="26">
        <v>46245</v>
      </c>
      <c r="B955" s="27">
        <f t="shared" si="70"/>
        <v>2026</v>
      </c>
      <c r="C955" s="27">
        <f t="shared" si="71"/>
        <v>8</v>
      </c>
      <c r="D955" s="27">
        <f t="shared" si="72"/>
        <v>11</v>
      </c>
      <c r="E955" s="27">
        <f t="shared" si="73"/>
        <v>3</v>
      </c>
      <c r="F955" s="27">
        <f>VLOOKUP(E955,[2]t_calendarioPolitica!A:C,3,FALSE)</f>
        <v>1</v>
      </c>
      <c r="G955" s="1">
        <v>1</v>
      </c>
      <c r="H955" s="1">
        <v>1</v>
      </c>
      <c r="I955" s="1">
        <f t="shared" si="74"/>
        <v>1</v>
      </c>
    </row>
    <row r="956" spans="1:9" x14ac:dyDescent="0.25">
      <c r="A956" s="26">
        <v>46246</v>
      </c>
      <c r="B956" s="27">
        <f t="shared" si="70"/>
        <v>2026</v>
      </c>
      <c r="C956" s="27">
        <f t="shared" si="71"/>
        <v>8</v>
      </c>
      <c r="D956" s="27">
        <f t="shared" si="72"/>
        <v>12</v>
      </c>
      <c r="E956" s="27">
        <f t="shared" si="73"/>
        <v>4</v>
      </c>
      <c r="F956" s="27">
        <f>VLOOKUP(E956,[2]t_calendarioPolitica!A:C,3,FALSE)</f>
        <v>1</v>
      </c>
      <c r="G956" s="1">
        <v>1</v>
      </c>
      <c r="H956" s="1">
        <v>1</v>
      </c>
      <c r="I956" s="1">
        <f t="shared" si="74"/>
        <v>1</v>
      </c>
    </row>
    <row r="957" spans="1:9" x14ac:dyDescent="0.25">
      <c r="A957" s="26">
        <v>46247</v>
      </c>
      <c r="B957" s="27">
        <f t="shared" si="70"/>
        <v>2026</v>
      </c>
      <c r="C957" s="27">
        <f t="shared" si="71"/>
        <v>8</v>
      </c>
      <c r="D957" s="27">
        <f t="shared" si="72"/>
        <v>13</v>
      </c>
      <c r="E957" s="27">
        <f t="shared" si="73"/>
        <v>5</v>
      </c>
      <c r="F957" s="27">
        <f>VLOOKUP(E957,[2]t_calendarioPolitica!A:C,3,FALSE)</f>
        <v>1</v>
      </c>
      <c r="G957" s="1">
        <v>1</v>
      </c>
      <c r="H957" s="1">
        <v>1</v>
      </c>
      <c r="I957" s="1">
        <f t="shared" si="74"/>
        <v>1</v>
      </c>
    </row>
    <row r="958" spans="1:9" x14ac:dyDescent="0.25">
      <c r="A958" s="26">
        <v>46248</v>
      </c>
      <c r="B958" s="27">
        <f t="shared" si="70"/>
        <v>2026</v>
      </c>
      <c r="C958" s="27">
        <f t="shared" si="71"/>
        <v>8</v>
      </c>
      <c r="D958" s="27">
        <f t="shared" si="72"/>
        <v>14</v>
      </c>
      <c r="E958" s="27">
        <f t="shared" si="73"/>
        <v>6</v>
      </c>
      <c r="F958" s="27">
        <f>VLOOKUP(E958,[2]t_calendarioPolitica!A:C,3,FALSE)</f>
        <v>1</v>
      </c>
      <c r="G958" s="1">
        <v>1</v>
      </c>
      <c r="H958" s="1">
        <v>1</v>
      </c>
      <c r="I958" s="1">
        <f t="shared" si="74"/>
        <v>1</v>
      </c>
    </row>
    <row r="959" spans="1:9" x14ac:dyDescent="0.25">
      <c r="A959" s="26">
        <v>46249</v>
      </c>
      <c r="B959" s="27">
        <f t="shared" si="70"/>
        <v>2026</v>
      </c>
      <c r="C959" s="27">
        <f t="shared" si="71"/>
        <v>8</v>
      </c>
      <c r="D959" s="27">
        <f t="shared" si="72"/>
        <v>15</v>
      </c>
      <c r="E959" s="27">
        <f t="shared" si="73"/>
        <v>7</v>
      </c>
      <c r="F959" s="27">
        <f>VLOOKUP(E959,[2]t_calendarioPolitica!A:C,3,FALSE)</f>
        <v>2</v>
      </c>
      <c r="G959" s="1">
        <v>1</v>
      </c>
      <c r="H959" s="1">
        <v>1</v>
      </c>
      <c r="I959" s="1">
        <f t="shared" si="74"/>
        <v>1</v>
      </c>
    </row>
    <row r="960" spans="1:9" x14ac:dyDescent="0.25">
      <c r="A960" s="26">
        <v>46250</v>
      </c>
      <c r="B960" s="27">
        <f t="shared" si="70"/>
        <v>2026</v>
      </c>
      <c r="C960" s="27">
        <f t="shared" si="71"/>
        <v>8</v>
      </c>
      <c r="D960" s="27">
        <f t="shared" si="72"/>
        <v>16</v>
      </c>
      <c r="E960" s="27">
        <f t="shared" si="73"/>
        <v>1</v>
      </c>
      <c r="F960" s="27">
        <f>VLOOKUP(E960,[2]t_calendarioPolitica!A:C,3,FALSE)</f>
        <v>0</v>
      </c>
      <c r="G960" s="1">
        <v>1</v>
      </c>
      <c r="H960" s="1">
        <v>1</v>
      </c>
      <c r="I960" s="1">
        <f t="shared" si="74"/>
        <v>0</v>
      </c>
    </row>
    <row r="961" spans="1:9" x14ac:dyDescent="0.25">
      <c r="A961" s="26">
        <v>46251</v>
      </c>
      <c r="B961" s="27">
        <f t="shared" si="70"/>
        <v>2026</v>
      </c>
      <c r="C961" s="27">
        <f t="shared" si="71"/>
        <v>8</v>
      </c>
      <c r="D961" s="27">
        <f t="shared" si="72"/>
        <v>17</v>
      </c>
      <c r="E961" s="27">
        <f t="shared" si="73"/>
        <v>2</v>
      </c>
      <c r="F961" s="27">
        <f>VLOOKUP(E961,[2]t_calendarioPolitica!A:C,3,FALSE)</f>
        <v>1</v>
      </c>
      <c r="G961" s="1">
        <v>1</v>
      </c>
      <c r="H961" s="1">
        <v>1</v>
      </c>
      <c r="I961" s="1">
        <f t="shared" si="74"/>
        <v>1</v>
      </c>
    </row>
    <row r="962" spans="1:9" x14ac:dyDescent="0.25">
      <c r="A962" s="26">
        <v>46252</v>
      </c>
      <c r="B962" s="27">
        <f t="shared" si="70"/>
        <v>2026</v>
      </c>
      <c r="C962" s="27">
        <f t="shared" si="71"/>
        <v>8</v>
      </c>
      <c r="D962" s="27">
        <f t="shared" si="72"/>
        <v>18</v>
      </c>
      <c r="E962" s="27">
        <f t="shared" si="73"/>
        <v>3</v>
      </c>
      <c r="F962" s="27">
        <f>VLOOKUP(E962,[2]t_calendarioPolitica!A:C,3,FALSE)</f>
        <v>1</v>
      </c>
      <c r="G962" s="1">
        <v>1</v>
      </c>
      <c r="H962" s="1">
        <v>1</v>
      </c>
      <c r="I962" s="1">
        <f t="shared" si="74"/>
        <v>1</v>
      </c>
    </row>
    <row r="963" spans="1:9" x14ac:dyDescent="0.25">
      <c r="A963" s="26">
        <v>46253</v>
      </c>
      <c r="B963" s="27">
        <f t="shared" ref="B963:B1026" si="75">YEAR(A963)</f>
        <v>2026</v>
      </c>
      <c r="C963" s="27">
        <f t="shared" ref="C963:C1026" si="76">MONTH(A963)</f>
        <v>8</v>
      </c>
      <c r="D963" s="27">
        <f t="shared" ref="D963:D1026" si="77">DAY(A963)</f>
        <v>19</v>
      </c>
      <c r="E963" s="27">
        <f t="shared" ref="E963:E1026" si="78">WEEKDAY(A963)</f>
        <v>4</v>
      </c>
      <c r="F963" s="27">
        <f>VLOOKUP(E963,[2]t_calendarioPolitica!A:C,3,FALSE)</f>
        <v>1</v>
      </c>
      <c r="G963" s="1">
        <v>1</v>
      </c>
      <c r="H963" s="1">
        <v>1</v>
      </c>
      <c r="I963" s="1">
        <f t="shared" ref="I963:I1026" si="79">IF(AND(F963&lt;&gt;0, H963&lt;&gt;0,G963&lt;&gt;0), 1, 0)</f>
        <v>1</v>
      </c>
    </row>
    <row r="964" spans="1:9" x14ac:dyDescent="0.25">
      <c r="A964" s="26">
        <v>46254</v>
      </c>
      <c r="B964" s="27">
        <f t="shared" si="75"/>
        <v>2026</v>
      </c>
      <c r="C964" s="27">
        <f t="shared" si="76"/>
        <v>8</v>
      </c>
      <c r="D964" s="27">
        <f t="shared" si="77"/>
        <v>20</v>
      </c>
      <c r="E964" s="27">
        <f t="shared" si="78"/>
        <v>5</v>
      </c>
      <c r="F964" s="27">
        <f>VLOOKUP(E964,[2]t_calendarioPolitica!A:C,3,FALSE)</f>
        <v>1</v>
      </c>
      <c r="G964" s="1">
        <v>1</v>
      </c>
      <c r="H964" s="1">
        <v>1</v>
      </c>
      <c r="I964" s="1">
        <f t="shared" si="79"/>
        <v>1</v>
      </c>
    </row>
    <row r="965" spans="1:9" x14ac:dyDescent="0.25">
      <c r="A965" s="26">
        <v>46255</v>
      </c>
      <c r="B965" s="27">
        <f t="shared" si="75"/>
        <v>2026</v>
      </c>
      <c r="C965" s="27">
        <f t="shared" si="76"/>
        <v>8</v>
      </c>
      <c r="D965" s="27">
        <f t="shared" si="77"/>
        <v>21</v>
      </c>
      <c r="E965" s="27">
        <f t="shared" si="78"/>
        <v>6</v>
      </c>
      <c r="F965" s="27">
        <f>VLOOKUP(E965,[2]t_calendarioPolitica!A:C,3,FALSE)</f>
        <v>1</v>
      </c>
      <c r="G965" s="1">
        <v>1</v>
      </c>
      <c r="H965" s="1">
        <v>1</v>
      </c>
      <c r="I965" s="1">
        <f t="shared" si="79"/>
        <v>1</v>
      </c>
    </row>
    <row r="966" spans="1:9" x14ac:dyDescent="0.25">
      <c r="A966" s="26">
        <v>46256</v>
      </c>
      <c r="B966" s="27">
        <f t="shared" si="75"/>
        <v>2026</v>
      </c>
      <c r="C966" s="27">
        <f t="shared" si="76"/>
        <v>8</v>
      </c>
      <c r="D966" s="27">
        <f t="shared" si="77"/>
        <v>22</v>
      </c>
      <c r="E966" s="27">
        <f t="shared" si="78"/>
        <v>7</v>
      </c>
      <c r="F966" s="27">
        <f>VLOOKUP(E966,[2]t_calendarioPolitica!A:C,3,FALSE)</f>
        <v>2</v>
      </c>
      <c r="G966" s="1">
        <v>1</v>
      </c>
      <c r="H966" s="1">
        <v>1</v>
      </c>
      <c r="I966" s="1">
        <f t="shared" si="79"/>
        <v>1</v>
      </c>
    </row>
    <row r="967" spans="1:9" x14ac:dyDescent="0.25">
      <c r="A967" s="26">
        <v>46257</v>
      </c>
      <c r="B967" s="27">
        <f t="shared" si="75"/>
        <v>2026</v>
      </c>
      <c r="C967" s="27">
        <f t="shared" si="76"/>
        <v>8</v>
      </c>
      <c r="D967" s="27">
        <f t="shared" si="77"/>
        <v>23</v>
      </c>
      <c r="E967" s="27">
        <f t="shared" si="78"/>
        <v>1</v>
      </c>
      <c r="F967" s="27">
        <f>VLOOKUP(E967,[2]t_calendarioPolitica!A:C,3,FALSE)</f>
        <v>0</v>
      </c>
      <c r="G967" s="1">
        <v>1</v>
      </c>
      <c r="H967" s="1">
        <v>1</v>
      </c>
      <c r="I967" s="1">
        <f t="shared" si="79"/>
        <v>0</v>
      </c>
    </row>
    <row r="968" spans="1:9" x14ac:dyDescent="0.25">
      <c r="A968" s="26">
        <v>46258</v>
      </c>
      <c r="B968" s="27">
        <f t="shared" si="75"/>
        <v>2026</v>
      </c>
      <c r="C968" s="27">
        <f t="shared" si="76"/>
        <v>8</v>
      </c>
      <c r="D968" s="27">
        <f t="shared" si="77"/>
        <v>24</v>
      </c>
      <c r="E968" s="27">
        <f t="shared" si="78"/>
        <v>2</v>
      </c>
      <c r="F968" s="27">
        <f>VLOOKUP(E968,[2]t_calendarioPolitica!A:C,3,FALSE)</f>
        <v>1</v>
      </c>
      <c r="G968" s="1">
        <v>1</v>
      </c>
      <c r="H968" s="1">
        <v>1</v>
      </c>
      <c r="I968" s="1">
        <f t="shared" si="79"/>
        <v>1</v>
      </c>
    </row>
    <row r="969" spans="1:9" x14ac:dyDescent="0.25">
      <c r="A969" s="26">
        <v>46259</v>
      </c>
      <c r="B969" s="27">
        <f t="shared" si="75"/>
        <v>2026</v>
      </c>
      <c r="C969" s="27">
        <f t="shared" si="76"/>
        <v>8</v>
      </c>
      <c r="D969" s="27">
        <f t="shared" si="77"/>
        <v>25</v>
      </c>
      <c r="E969" s="27">
        <f t="shared" si="78"/>
        <v>3</v>
      </c>
      <c r="F969" s="27">
        <f>VLOOKUP(E969,[2]t_calendarioPolitica!A:C,3,FALSE)</f>
        <v>1</v>
      </c>
      <c r="G969" s="1">
        <v>1</v>
      </c>
      <c r="H969" s="1">
        <v>1</v>
      </c>
      <c r="I969" s="1">
        <f t="shared" si="79"/>
        <v>1</v>
      </c>
    </row>
    <row r="970" spans="1:9" x14ac:dyDescent="0.25">
      <c r="A970" s="26">
        <v>46260</v>
      </c>
      <c r="B970" s="27">
        <f t="shared" si="75"/>
        <v>2026</v>
      </c>
      <c r="C970" s="27">
        <f t="shared" si="76"/>
        <v>8</v>
      </c>
      <c r="D970" s="27">
        <f t="shared" si="77"/>
        <v>26</v>
      </c>
      <c r="E970" s="27">
        <f t="shared" si="78"/>
        <v>4</v>
      </c>
      <c r="F970" s="27">
        <f>VLOOKUP(E970,[2]t_calendarioPolitica!A:C,3,FALSE)</f>
        <v>1</v>
      </c>
      <c r="G970" s="1">
        <v>1</v>
      </c>
      <c r="H970" s="1">
        <v>1</v>
      </c>
      <c r="I970" s="1">
        <f t="shared" si="79"/>
        <v>1</v>
      </c>
    </row>
    <row r="971" spans="1:9" x14ac:dyDescent="0.25">
      <c r="A971" s="26">
        <v>46261</v>
      </c>
      <c r="B971" s="27">
        <f t="shared" si="75"/>
        <v>2026</v>
      </c>
      <c r="C971" s="27">
        <f t="shared" si="76"/>
        <v>8</v>
      </c>
      <c r="D971" s="27">
        <f t="shared" si="77"/>
        <v>27</v>
      </c>
      <c r="E971" s="27">
        <f t="shared" si="78"/>
        <v>5</v>
      </c>
      <c r="F971" s="27">
        <f>VLOOKUP(E971,[2]t_calendarioPolitica!A:C,3,FALSE)</f>
        <v>1</v>
      </c>
      <c r="G971" s="1">
        <v>1</v>
      </c>
      <c r="H971" s="1">
        <v>1</v>
      </c>
      <c r="I971" s="1">
        <f t="shared" si="79"/>
        <v>1</v>
      </c>
    </row>
    <row r="972" spans="1:9" x14ac:dyDescent="0.25">
      <c r="A972" s="26">
        <v>46262</v>
      </c>
      <c r="B972" s="27">
        <f t="shared" si="75"/>
        <v>2026</v>
      </c>
      <c r="C972" s="27">
        <f t="shared" si="76"/>
        <v>8</v>
      </c>
      <c r="D972" s="27">
        <f t="shared" si="77"/>
        <v>28</v>
      </c>
      <c r="E972" s="27">
        <f t="shared" si="78"/>
        <v>6</v>
      </c>
      <c r="F972" s="27">
        <f>VLOOKUP(E972,[2]t_calendarioPolitica!A:C,3,FALSE)</f>
        <v>1</v>
      </c>
      <c r="G972" s="1">
        <v>1</v>
      </c>
      <c r="H972" s="1">
        <v>1</v>
      </c>
      <c r="I972" s="1">
        <f t="shared" si="79"/>
        <v>1</v>
      </c>
    </row>
    <row r="973" spans="1:9" x14ac:dyDescent="0.25">
      <c r="A973" s="26">
        <v>46263</v>
      </c>
      <c r="B973" s="27">
        <f t="shared" si="75"/>
        <v>2026</v>
      </c>
      <c r="C973" s="27">
        <f t="shared" si="76"/>
        <v>8</v>
      </c>
      <c r="D973" s="27">
        <f t="shared" si="77"/>
        <v>29</v>
      </c>
      <c r="E973" s="27">
        <f t="shared" si="78"/>
        <v>7</v>
      </c>
      <c r="F973" s="27">
        <f>VLOOKUP(E973,[2]t_calendarioPolitica!A:C,3,FALSE)</f>
        <v>2</v>
      </c>
      <c r="G973" s="1">
        <v>1</v>
      </c>
      <c r="H973" s="1">
        <v>1</v>
      </c>
      <c r="I973" s="1">
        <f t="shared" si="79"/>
        <v>1</v>
      </c>
    </row>
    <row r="974" spans="1:9" x14ac:dyDescent="0.25">
      <c r="A974" s="26">
        <v>46264</v>
      </c>
      <c r="B974" s="27">
        <f t="shared" si="75"/>
        <v>2026</v>
      </c>
      <c r="C974" s="27">
        <f t="shared" si="76"/>
        <v>8</v>
      </c>
      <c r="D974" s="27">
        <f t="shared" si="77"/>
        <v>30</v>
      </c>
      <c r="E974" s="27">
        <f t="shared" si="78"/>
        <v>1</v>
      </c>
      <c r="F974" s="27">
        <f>VLOOKUP(E974,[2]t_calendarioPolitica!A:C,3,FALSE)</f>
        <v>0</v>
      </c>
      <c r="G974" s="1">
        <v>1</v>
      </c>
      <c r="H974" s="1">
        <v>1</v>
      </c>
      <c r="I974" s="1">
        <f t="shared" si="79"/>
        <v>0</v>
      </c>
    </row>
    <row r="975" spans="1:9" x14ac:dyDescent="0.25">
      <c r="A975" s="26">
        <v>46265</v>
      </c>
      <c r="B975" s="27">
        <f t="shared" si="75"/>
        <v>2026</v>
      </c>
      <c r="C975" s="27">
        <f t="shared" si="76"/>
        <v>8</v>
      </c>
      <c r="D975" s="27">
        <f t="shared" si="77"/>
        <v>31</v>
      </c>
      <c r="E975" s="27">
        <f t="shared" si="78"/>
        <v>2</v>
      </c>
      <c r="F975" s="27">
        <f>VLOOKUP(E975,[2]t_calendarioPolitica!A:C,3,FALSE)</f>
        <v>1</v>
      </c>
      <c r="G975" s="1">
        <v>1</v>
      </c>
      <c r="H975" s="1">
        <v>1</v>
      </c>
      <c r="I975" s="1">
        <f t="shared" si="79"/>
        <v>1</v>
      </c>
    </row>
    <row r="976" spans="1:9" x14ac:dyDescent="0.25">
      <c r="A976" s="26">
        <v>46266</v>
      </c>
      <c r="B976" s="27">
        <f t="shared" si="75"/>
        <v>2026</v>
      </c>
      <c r="C976" s="27">
        <f t="shared" si="76"/>
        <v>9</v>
      </c>
      <c r="D976" s="27">
        <f t="shared" si="77"/>
        <v>1</v>
      </c>
      <c r="E976" s="27">
        <f t="shared" si="78"/>
        <v>3</v>
      </c>
      <c r="F976" s="27">
        <f>VLOOKUP(E976,[2]t_calendarioPolitica!A:C,3,FALSE)</f>
        <v>1</v>
      </c>
      <c r="G976" s="1">
        <v>1</v>
      </c>
      <c r="H976" s="1">
        <v>1</v>
      </c>
      <c r="I976" s="1">
        <f t="shared" si="79"/>
        <v>1</v>
      </c>
    </row>
    <row r="977" spans="1:9" x14ac:dyDescent="0.25">
      <c r="A977" s="26">
        <v>46267</v>
      </c>
      <c r="B977" s="27">
        <f t="shared" si="75"/>
        <v>2026</v>
      </c>
      <c r="C977" s="27">
        <f t="shared" si="76"/>
        <v>9</v>
      </c>
      <c r="D977" s="27">
        <f t="shared" si="77"/>
        <v>2</v>
      </c>
      <c r="E977" s="27">
        <f t="shared" si="78"/>
        <v>4</v>
      </c>
      <c r="F977" s="27">
        <f>VLOOKUP(E977,[2]t_calendarioPolitica!A:C,3,FALSE)</f>
        <v>1</v>
      </c>
      <c r="G977" s="1">
        <v>1</v>
      </c>
      <c r="H977" s="1">
        <v>1</v>
      </c>
      <c r="I977" s="1">
        <f t="shared" si="79"/>
        <v>1</v>
      </c>
    </row>
    <row r="978" spans="1:9" x14ac:dyDescent="0.25">
      <c r="A978" s="26">
        <v>46268</v>
      </c>
      <c r="B978" s="27">
        <f t="shared" si="75"/>
        <v>2026</v>
      </c>
      <c r="C978" s="27">
        <f t="shared" si="76"/>
        <v>9</v>
      </c>
      <c r="D978" s="27">
        <f t="shared" si="77"/>
        <v>3</v>
      </c>
      <c r="E978" s="27">
        <f t="shared" si="78"/>
        <v>5</v>
      </c>
      <c r="F978" s="27">
        <f>VLOOKUP(E978,[2]t_calendarioPolitica!A:C,3,FALSE)</f>
        <v>1</v>
      </c>
      <c r="G978" s="1">
        <v>1</v>
      </c>
      <c r="H978" s="1">
        <v>1</v>
      </c>
      <c r="I978" s="1">
        <f t="shared" si="79"/>
        <v>1</v>
      </c>
    </row>
    <row r="979" spans="1:9" x14ac:dyDescent="0.25">
      <c r="A979" s="26">
        <v>46269</v>
      </c>
      <c r="B979" s="27">
        <f t="shared" si="75"/>
        <v>2026</v>
      </c>
      <c r="C979" s="27">
        <f t="shared" si="76"/>
        <v>9</v>
      </c>
      <c r="D979" s="27">
        <f t="shared" si="77"/>
        <v>4</v>
      </c>
      <c r="E979" s="27">
        <f t="shared" si="78"/>
        <v>6</v>
      </c>
      <c r="F979" s="27">
        <f>VLOOKUP(E979,[2]t_calendarioPolitica!A:C,3,FALSE)</f>
        <v>1</v>
      </c>
      <c r="G979" s="1">
        <v>1</v>
      </c>
      <c r="H979" s="1">
        <v>1</v>
      </c>
      <c r="I979" s="1">
        <f t="shared" si="79"/>
        <v>1</v>
      </c>
    </row>
    <row r="980" spans="1:9" x14ac:dyDescent="0.25">
      <c r="A980" s="26">
        <v>46270</v>
      </c>
      <c r="B980" s="27">
        <f t="shared" si="75"/>
        <v>2026</v>
      </c>
      <c r="C980" s="27">
        <f t="shared" si="76"/>
        <v>9</v>
      </c>
      <c r="D980" s="27">
        <f t="shared" si="77"/>
        <v>5</v>
      </c>
      <c r="E980" s="27">
        <f t="shared" si="78"/>
        <v>7</v>
      </c>
      <c r="F980" s="27">
        <f>VLOOKUP(E980,[2]t_calendarioPolitica!A:C,3,FALSE)</f>
        <v>2</v>
      </c>
      <c r="G980" s="1">
        <v>1</v>
      </c>
      <c r="H980" s="1">
        <v>1</v>
      </c>
      <c r="I980" s="1">
        <f t="shared" si="79"/>
        <v>1</v>
      </c>
    </row>
    <row r="981" spans="1:9" x14ac:dyDescent="0.25">
      <c r="A981" s="26">
        <v>46271</v>
      </c>
      <c r="B981" s="27">
        <f t="shared" si="75"/>
        <v>2026</v>
      </c>
      <c r="C981" s="27">
        <f t="shared" si="76"/>
        <v>9</v>
      </c>
      <c r="D981" s="27">
        <f t="shared" si="77"/>
        <v>6</v>
      </c>
      <c r="E981" s="27">
        <f t="shared" si="78"/>
        <v>1</v>
      </c>
      <c r="F981" s="27">
        <f>VLOOKUP(E981,[2]t_calendarioPolitica!A:C,3,FALSE)</f>
        <v>0</v>
      </c>
      <c r="G981" s="1">
        <v>1</v>
      </c>
      <c r="H981" s="1">
        <v>1</v>
      </c>
      <c r="I981" s="1">
        <f t="shared" si="79"/>
        <v>0</v>
      </c>
    </row>
    <row r="982" spans="1:9" x14ac:dyDescent="0.25">
      <c r="A982" s="26">
        <v>46272</v>
      </c>
      <c r="B982" s="27">
        <f t="shared" si="75"/>
        <v>2026</v>
      </c>
      <c r="C982" s="27">
        <f t="shared" si="76"/>
        <v>9</v>
      </c>
      <c r="D982" s="27">
        <f t="shared" si="77"/>
        <v>7</v>
      </c>
      <c r="E982" s="27">
        <f t="shared" si="78"/>
        <v>2</v>
      </c>
      <c r="F982" s="27">
        <f>VLOOKUP(E982,[2]t_calendarioPolitica!A:C,3,FALSE)</f>
        <v>1</v>
      </c>
      <c r="G982" s="1">
        <v>1</v>
      </c>
      <c r="H982" s="1">
        <v>1</v>
      </c>
      <c r="I982" s="1">
        <f t="shared" si="79"/>
        <v>1</v>
      </c>
    </row>
    <row r="983" spans="1:9" x14ac:dyDescent="0.25">
      <c r="A983" s="26">
        <v>46273</v>
      </c>
      <c r="B983" s="27">
        <f t="shared" si="75"/>
        <v>2026</v>
      </c>
      <c r="C983" s="27">
        <f t="shared" si="76"/>
        <v>9</v>
      </c>
      <c r="D983" s="27">
        <f t="shared" si="77"/>
        <v>8</v>
      </c>
      <c r="E983" s="27">
        <f t="shared" si="78"/>
        <v>3</v>
      </c>
      <c r="F983" s="27">
        <f>VLOOKUP(E983,[2]t_calendarioPolitica!A:C,3,FALSE)</f>
        <v>1</v>
      </c>
      <c r="G983" s="1">
        <v>1</v>
      </c>
      <c r="H983" s="1">
        <v>1</v>
      </c>
      <c r="I983" s="1">
        <f t="shared" si="79"/>
        <v>1</v>
      </c>
    </row>
    <row r="984" spans="1:9" x14ac:dyDescent="0.25">
      <c r="A984" s="26">
        <v>46274</v>
      </c>
      <c r="B984" s="27">
        <f t="shared" si="75"/>
        <v>2026</v>
      </c>
      <c r="C984" s="27">
        <f t="shared" si="76"/>
        <v>9</v>
      </c>
      <c r="D984" s="27">
        <f t="shared" si="77"/>
        <v>9</v>
      </c>
      <c r="E984" s="27">
        <f t="shared" si="78"/>
        <v>4</v>
      </c>
      <c r="F984" s="27">
        <f>VLOOKUP(E984,[2]t_calendarioPolitica!A:C,3,FALSE)</f>
        <v>1</v>
      </c>
      <c r="G984" s="1">
        <v>1</v>
      </c>
      <c r="H984" s="1">
        <v>1</v>
      </c>
      <c r="I984" s="1">
        <f t="shared" si="79"/>
        <v>1</v>
      </c>
    </row>
    <row r="985" spans="1:9" x14ac:dyDescent="0.25">
      <c r="A985" s="26">
        <v>46275</v>
      </c>
      <c r="B985" s="27">
        <f t="shared" si="75"/>
        <v>2026</v>
      </c>
      <c r="C985" s="27">
        <f t="shared" si="76"/>
        <v>9</v>
      </c>
      <c r="D985" s="27">
        <f t="shared" si="77"/>
        <v>10</v>
      </c>
      <c r="E985" s="27">
        <f t="shared" si="78"/>
        <v>5</v>
      </c>
      <c r="F985" s="27">
        <f>VLOOKUP(E985,[2]t_calendarioPolitica!A:C,3,FALSE)</f>
        <v>1</v>
      </c>
      <c r="G985" s="1">
        <v>1</v>
      </c>
      <c r="H985" s="1">
        <v>1</v>
      </c>
      <c r="I985" s="1">
        <f t="shared" si="79"/>
        <v>1</v>
      </c>
    </row>
    <row r="986" spans="1:9" x14ac:dyDescent="0.25">
      <c r="A986" s="26">
        <v>46276</v>
      </c>
      <c r="B986" s="27">
        <f t="shared" si="75"/>
        <v>2026</v>
      </c>
      <c r="C986" s="27">
        <f t="shared" si="76"/>
        <v>9</v>
      </c>
      <c r="D986" s="27">
        <f t="shared" si="77"/>
        <v>11</v>
      </c>
      <c r="E986" s="27">
        <f t="shared" si="78"/>
        <v>6</v>
      </c>
      <c r="F986" s="27">
        <f>VLOOKUP(E986,[2]t_calendarioPolitica!A:C,3,FALSE)</f>
        <v>1</v>
      </c>
      <c r="G986" s="1">
        <v>1</v>
      </c>
      <c r="H986" s="1">
        <v>1</v>
      </c>
      <c r="I986" s="1">
        <f t="shared" si="79"/>
        <v>1</v>
      </c>
    </row>
    <row r="987" spans="1:9" x14ac:dyDescent="0.25">
      <c r="A987" s="26">
        <v>46277</v>
      </c>
      <c r="B987" s="27">
        <f t="shared" si="75"/>
        <v>2026</v>
      </c>
      <c r="C987" s="27">
        <f t="shared" si="76"/>
        <v>9</v>
      </c>
      <c r="D987" s="27">
        <f t="shared" si="77"/>
        <v>12</v>
      </c>
      <c r="E987" s="27">
        <f t="shared" si="78"/>
        <v>7</v>
      </c>
      <c r="F987" s="27">
        <f>VLOOKUP(E987,[2]t_calendarioPolitica!A:C,3,FALSE)</f>
        <v>2</v>
      </c>
      <c r="G987" s="1">
        <v>1</v>
      </c>
      <c r="H987" s="1">
        <v>1</v>
      </c>
      <c r="I987" s="1">
        <f t="shared" si="79"/>
        <v>1</v>
      </c>
    </row>
    <row r="988" spans="1:9" x14ac:dyDescent="0.25">
      <c r="A988" s="26">
        <v>46278</v>
      </c>
      <c r="B988" s="27">
        <f t="shared" si="75"/>
        <v>2026</v>
      </c>
      <c r="C988" s="27">
        <f t="shared" si="76"/>
        <v>9</v>
      </c>
      <c r="D988" s="27">
        <f t="shared" si="77"/>
        <v>13</v>
      </c>
      <c r="E988" s="27">
        <f t="shared" si="78"/>
        <v>1</v>
      </c>
      <c r="F988" s="27">
        <f>VLOOKUP(E988,[2]t_calendarioPolitica!A:C,3,FALSE)</f>
        <v>0</v>
      </c>
      <c r="G988" s="1">
        <v>1</v>
      </c>
      <c r="H988" s="1">
        <v>1</v>
      </c>
      <c r="I988" s="1">
        <f t="shared" si="79"/>
        <v>0</v>
      </c>
    </row>
    <row r="989" spans="1:9" x14ac:dyDescent="0.25">
      <c r="A989" s="26">
        <v>46279</v>
      </c>
      <c r="B989" s="27">
        <f t="shared" si="75"/>
        <v>2026</v>
      </c>
      <c r="C989" s="27">
        <f t="shared" si="76"/>
        <v>9</v>
      </c>
      <c r="D989" s="27">
        <f t="shared" si="77"/>
        <v>14</v>
      </c>
      <c r="E989" s="27">
        <f t="shared" si="78"/>
        <v>2</v>
      </c>
      <c r="F989" s="27">
        <f>VLOOKUP(E989,[2]t_calendarioPolitica!A:C,3,FALSE)</f>
        <v>1</v>
      </c>
      <c r="G989" s="1">
        <v>1</v>
      </c>
      <c r="H989" s="1">
        <v>1</v>
      </c>
      <c r="I989" s="1">
        <f t="shared" si="79"/>
        <v>1</v>
      </c>
    </row>
    <row r="990" spans="1:9" x14ac:dyDescent="0.25">
      <c r="A990" s="26">
        <v>46280</v>
      </c>
      <c r="B990" s="27">
        <f t="shared" si="75"/>
        <v>2026</v>
      </c>
      <c r="C990" s="27">
        <f t="shared" si="76"/>
        <v>9</v>
      </c>
      <c r="D990" s="27">
        <f t="shared" si="77"/>
        <v>15</v>
      </c>
      <c r="E990" s="27">
        <f t="shared" si="78"/>
        <v>3</v>
      </c>
      <c r="F990" s="27">
        <f>VLOOKUP(E990,[2]t_calendarioPolitica!A:C,3,FALSE)</f>
        <v>1</v>
      </c>
      <c r="G990" s="1">
        <v>1</v>
      </c>
      <c r="H990" s="1">
        <v>0</v>
      </c>
      <c r="I990" s="1">
        <f t="shared" si="79"/>
        <v>0</v>
      </c>
    </row>
    <row r="991" spans="1:9" x14ac:dyDescent="0.25">
      <c r="A991" s="26">
        <v>46281</v>
      </c>
      <c r="B991" s="27">
        <f t="shared" si="75"/>
        <v>2026</v>
      </c>
      <c r="C991" s="27">
        <f t="shared" si="76"/>
        <v>9</v>
      </c>
      <c r="D991" s="27">
        <f t="shared" si="77"/>
        <v>16</v>
      </c>
      <c r="E991" s="27">
        <f t="shared" si="78"/>
        <v>4</v>
      </c>
      <c r="F991" s="27">
        <f>VLOOKUP(E991,[2]t_calendarioPolitica!A:C,3,FALSE)</f>
        <v>1</v>
      </c>
      <c r="G991" s="1">
        <v>0</v>
      </c>
      <c r="H991" s="1">
        <v>1</v>
      </c>
      <c r="I991" s="1">
        <f t="shared" si="79"/>
        <v>0</v>
      </c>
    </row>
    <row r="992" spans="1:9" x14ac:dyDescent="0.25">
      <c r="A992" s="26">
        <v>46282</v>
      </c>
      <c r="B992" s="27">
        <f t="shared" si="75"/>
        <v>2026</v>
      </c>
      <c r="C992" s="27">
        <f t="shared" si="76"/>
        <v>9</v>
      </c>
      <c r="D992" s="27">
        <f t="shared" si="77"/>
        <v>17</v>
      </c>
      <c r="E992" s="27">
        <f t="shared" si="78"/>
        <v>5</v>
      </c>
      <c r="F992" s="27">
        <f>VLOOKUP(E992,[2]t_calendarioPolitica!A:C,3,FALSE)</f>
        <v>1</v>
      </c>
      <c r="G992" s="1">
        <v>1</v>
      </c>
      <c r="H992" s="1">
        <v>1</v>
      </c>
      <c r="I992" s="1">
        <f t="shared" si="79"/>
        <v>1</v>
      </c>
    </row>
    <row r="993" spans="1:9" x14ac:dyDescent="0.25">
      <c r="A993" s="26">
        <v>46283</v>
      </c>
      <c r="B993" s="27">
        <f t="shared" si="75"/>
        <v>2026</v>
      </c>
      <c r="C993" s="27">
        <f t="shared" si="76"/>
        <v>9</v>
      </c>
      <c r="D993" s="27">
        <f t="shared" si="77"/>
        <v>18</v>
      </c>
      <c r="E993" s="27">
        <f t="shared" si="78"/>
        <v>6</v>
      </c>
      <c r="F993" s="27">
        <f>VLOOKUP(E993,[2]t_calendarioPolitica!A:C,3,FALSE)</f>
        <v>1</v>
      </c>
      <c r="G993" s="1">
        <v>1</v>
      </c>
      <c r="H993" s="1">
        <v>1</v>
      </c>
      <c r="I993" s="1">
        <f t="shared" si="79"/>
        <v>1</v>
      </c>
    </row>
    <row r="994" spans="1:9" x14ac:dyDescent="0.25">
      <c r="A994" s="26">
        <v>46284</v>
      </c>
      <c r="B994" s="27">
        <f t="shared" si="75"/>
        <v>2026</v>
      </c>
      <c r="C994" s="27">
        <f t="shared" si="76"/>
        <v>9</v>
      </c>
      <c r="D994" s="27">
        <f t="shared" si="77"/>
        <v>19</v>
      </c>
      <c r="E994" s="27">
        <f t="shared" si="78"/>
        <v>7</v>
      </c>
      <c r="F994" s="27">
        <f>VLOOKUP(E994,[2]t_calendarioPolitica!A:C,3,FALSE)</f>
        <v>2</v>
      </c>
      <c r="G994" s="1">
        <v>1</v>
      </c>
      <c r="H994" s="1">
        <v>1</v>
      </c>
      <c r="I994" s="1">
        <f t="shared" si="79"/>
        <v>1</v>
      </c>
    </row>
    <row r="995" spans="1:9" x14ac:dyDescent="0.25">
      <c r="A995" s="26">
        <v>46285</v>
      </c>
      <c r="B995" s="27">
        <f t="shared" si="75"/>
        <v>2026</v>
      </c>
      <c r="C995" s="27">
        <f t="shared" si="76"/>
        <v>9</v>
      </c>
      <c r="D995" s="27">
        <f t="shared" si="77"/>
        <v>20</v>
      </c>
      <c r="E995" s="27">
        <f t="shared" si="78"/>
        <v>1</v>
      </c>
      <c r="F995" s="27">
        <f>VLOOKUP(E995,[2]t_calendarioPolitica!A:C,3,FALSE)</f>
        <v>0</v>
      </c>
      <c r="G995" s="1">
        <v>1</v>
      </c>
      <c r="H995" s="1">
        <v>1</v>
      </c>
      <c r="I995" s="1">
        <f t="shared" si="79"/>
        <v>0</v>
      </c>
    </row>
    <row r="996" spans="1:9" x14ac:dyDescent="0.25">
      <c r="A996" s="26">
        <v>46286</v>
      </c>
      <c r="B996" s="27">
        <f t="shared" si="75"/>
        <v>2026</v>
      </c>
      <c r="C996" s="27">
        <f t="shared" si="76"/>
        <v>9</v>
      </c>
      <c r="D996" s="27">
        <f t="shared" si="77"/>
        <v>21</v>
      </c>
      <c r="E996" s="27">
        <f t="shared" si="78"/>
        <v>2</v>
      </c>
      <c r="F996" s="27">
        <f>VLOOKUP(E996,[2]t_calendarioPolitica!A:C,3,FALSE)</f>
        <v>1</v>
      </c>
      <c r="G996" s="1">
        <v>1</v>
      </c>
      <c r="H996" s="1">
        <v>1</v>
      </c>
      <c r="I996" s="1">
        <f t="shared" si="79"/>
        <v>1</v>
      </c>
    </row>
    <row r="997" spans="1:9" x14ac:dyDescent="0.25">
      <c r="A997" s="26">
        <v>46287</v>
      </c>
      <c r="B997" s="27">
        <f t="shared" si="75"/>
        <v>2026</v>
      </c>
      <c r="C997" s="27">
        <f t="shared" si="76"/>
        <v>9</v>
      </c>
      <c r="D997" s="27">
        <f t="shared" si="77"/>
        <v>22</v>
      </c>
      <c r="E997" s="27">
        <f t="shared" si="78"/>
        <v>3</v>
      </c>
      <c r="F997" s="27">
        <f>VLOOKUP(E997,[2]t_calendarioPolitica!A:C,3,FALSE)</f>
        <v>1</v>
      </c>
      <c r="G997" s="1">
        <v>1</v>
      </c>
      <c r="H997" s="1">
        <v>1</v>
      </c>
      <c r="I997" s="1">
        <f t="shared" si="79"/>
        <v>1</v>
      </c>
    </row>
    <row r="998" spans="1:9" x14ac:dyDescent="0.25">
      <c r="A998" s="26">
        <v>46288</v>
      </c>
      <c r="B998" s="27">
        <f t="shared" si="75"/>
        <v>2026</v>
      </c>
      <c r="C998" s="27">
        <f t="shared" si="76"/>
        <v>9</v>
      </c>
      <c r="D998" s="27">
        <f t="shared" si="77"/>
        <v>23</v>
      </c>
      <c r="E998" s="27">
        <f t="shared" si="78"/>
        <v>4</v>
      </c>
      <c r="F998" s="27">
        <f>VLOOKUP(E998,[2]t_calendarioPolitica!A:C,3,FALSE)</f>
        <v>1</v>
      </c>
      <c r="G998" s="1">
        <v>1</v>
      </c>
      <c r="H998" s="1">
        <v>1</v>
      </c>
      <c r="I998" s="1">
        <f t="shared" si="79"/>
        <v>1</v>
      </c>
    </row>
    <row r="999" spans="1:9" x14ac:dyDescent="0.25">
      <c r="A999" s="26">
        <v>46289</v>
      </c>
      <c r="B999" s="27">
        <f t="shared" si="75"/>
        <v>2026</v>
      </c>
      <c r="C999" s="27">
        <f t="shared" si="76"/>
        <v>9</v>
      </c>
      <c r="D999" s="27">
        <f t="shared" si="77"/>
        <v>24</v>
      </c>
      <c r="E999" s="27">
        <f t="shared" si="78"/>
        <v>5</v>
      </c>
      <c r="F999" s="27">
        <f>VLOOKUP(E999,[2]t_calendarioPolitica!A:C,3,FALSE)</f>
        <v>1</v>
      </c>
      <c r="G999" s="1">
        <v>1</v>
      </c>
      <c r="H999" s="1">
        <v>1</v>
      </c>
      <c r="I999" s="1">
        <f t="shared" si="79"/>
        <v>1</v>
      </c>
    </row>
    <row r="1000" spans="1:9" x14ac:dyDescent="0.25">
      <c r="A1000" s="26">
        <v>46290</v>
      </c>
      <c r="B1000" s="27">
        <f t="shared" si="75"/>
        <v>2026</v>
      </c>
      <c r="C1000" s="27">
        <f t="shared" si="76"/>
        <v>9</v>
      </c>
      <c r="D1000" s="27">
        <f t="shared" si="77"/>
        <v>25</v>
      </c>
      <c r="E1000" s="27">
        <f t="shared" si="78"/>
        <v>6</v>
      </c>
      <c r="F1000" s="27">
        <f>VLOOKUP(E1000,[2]t_calendarioPolitica!A:C,3,FALSE)</f>
        <v>1</v>
      </c>
      <c r="G1000" s="1">
        <v>1</v>
      </c>
      <c r="H1000" s="1">
        <v>1</v>
      </c>
      <c r="I1000" s="1">
        <f t="shared" si="79"/>
        <v>1</v>
      </c>
    </row>
    <row r="1001" spans="1:9" x14ac:dyDescent="0.25">
      <c r="A1001" s="26">
        <v>46291</v>
      </c>
      <c r="B1001" s="27">
        <f t="shared" si="75"/>
        <v>2026</v>
      </c>
      <c r="C1001" s="27">
        <f t="shared" si="76"/>
        <v>9</v>
      </c>
      <c r="D1001" s="27">
        <f t="shared" si="77"/>
        <v>26</v>
      </c>
      <c r="E1001" s="27">
        <f t="shared" si="78"/>
        <v>7</v>
      </c>
      <c r="F1001" s="27">
        <f>VLOOKUP(E1001,[2]t_calendarioPolitica!A:C,3,FALSE)</f>
        <v>2</v>
      </c>
      <c r="G1001" s="1">
        <v>1</v>
      </c>
      <c r="H1001" s="1">
        <v>1</v>
      </c>
      <c r="I1001" s="1">
        <f t="shared" si="79"/>
        <v>1</v>
      </c>
    </row>
    <row r="1002" spans="1:9" x14ac:dyDescent="0.25">
      <c r="A1002" s="26">
        <v>46292</v>
      </c>
      <c r="B1002" s="27">
        <f t="shared" si="75"/>
        <v>2026</v>
      </c>
      <c r="C1002" s="27">
        <f t="shared" si="76"/>
        <v>9</v>
      </c>
      <c r="D1002" s="27">
        <f t="shared" si="77"/>
        <v>27</v>
      </c>
      <c r="E1002" s="27">
        <f t="shared" si="78"/>
        <v>1</v>
      </c>
      <c r="F1002" s="27">
        <f>VLOOKUP(E1002,[2]t_calendarioPolitica!A:C,3,FALSE)</f>
        <v>0</v>
      </c>
      <c r="G1002" s="1">
        <v>1</v>
      </c>
      <c r="H1002" s="1">
        <v>1</v>
      </c>
      <c r="I1002" s="1">
        <f t="shared" si="79"/>
        <v>0</v>
      </c>
    </row>
    <row r="1003" spans="1:9" x14ac:dyDescent="0.25">
      <c r="A1003" s="26">
        <v>46293</v>
      </c>
      <c r="B1003" s="27">
        <f t="shared" si="75"/>
        <v>2026</v>
      </c>
      <c r="C1003" s="27">
        <f t="shared" si="76"/>
        <v>9</v>
      </c>
      <c r="D1003" s="27">
        <f t="shared" si="77"/>
        <v>28</v>
      </c>
      <c r="E1003" s="27">
        <f t="shared" si="78"/>
        <v>2</v>
      </c>
      <c r="F1003" s="27">
        <f>VLOOKUP(E1003,[2]t_calendarioPolitica!A:C,3,FALSE)</f>
        <v>1</v>
      </c>
      <c r="G1003" s="1">
        <v>1</v>
      </c>
      <c r="H1003" s="1">
        <v>1</v>
      </c>
      <c r="I1003" s="1">
        <f t="shared" si="79"/>
        <v>1</v>
      </c>
    </row>
    <row r="1004" spans="1:9" x14ac:dyDescent="0.25">
      <c r="A1004" s="26">
        <v>46294</v>
      </c>
      <c r="B1004" s="27">
        <f t="shared" si="75"/>
        <v>2026</v>
      </c>
      <c r="C1004" s="27">
        <f t="shared" si="76"/>
        <v>9</v>
      </c>
      <c r="D1004" s="27">
        <f t="shared" si="77"/>
        <v>29</v>
      </c>
      <c r="E1004" s="27">
        <f t="shared" si="78"/>
        <v>3</v>
      </c>
      <c r="F1004" s="27">
        <f>VLOOKUP(E1004,[2]t_calendarioPolitica!A:C,3,FALSE)</f>
        <v>1</v>
      </c>
      <c r="G1004" s="1">
        <v>1</v>
      </c>
      <c r="H1004" s="1">
        <v>1</v>
      </c>
      <c r="I1004" s="1">
        <f t="shared" si="79"/>
        <v>1</v>
      </c>
    </row>
    <row r="1005" spans="1:9" x14ac:dyDescent="0.25">
      <c r="A1005" s="26">
        <v>46295</v>
      </c>
      <c r="B1005" s="27">
        <f t="shared" si="75"/>
        <v>2026</v>
      </c>
      <c r="C1005" s="27">
        <f t="shared" si="76"/>
        <v>9</v>
      </c>
      <c r="D1005" s="27">
        <f t="shared" si="77"/>
        <v>30</v>
      </c>
      <c r="E1005" s="27">
        <f t="shared" si="78"/>
        <v>4</v>
      </c>
      <c r="F1005" s="27">
        <f>VLOOKUP(E1005,[2]t_calendarioPolitica!A:C,3,FALSE)</f>
        <v>1</v>
      </c>
      <c r="G1005" s="1">
        <v>1</v>
      </c>
      <c r="H1005" s="1">
        <v>1</v>
      </c>
      <c r="I1005" s="1">
        <f t="shared" si="79"/>
        <v>1</v>
      </c>
    </row>
    <row r="1006" spans="1:9" x14ac:dyDescent="0.25">
      <c r="A1006" s="26">
        <v>46296</v>
      </c>
      <c r="B1006" s="27">
        <f t="shared" si="75"/>
        <v>2026</v>
      </c>
      <c r="C1006" s="27">
        <f t="shared" si="76"/>
        <v>10</v>
      </c>
      <c r="D1006" s="27">
        <f t="shared" si="77"/>
        <v>1</v>
      </c>
      <c r="E1006" s="27">
        <f t="shared" si="78"/>
        <v>5</v>
      </c>
      <c r="F1006" s="27">
        <f>VLOOKUP(E1006,[2]t_calendarioPolitica!A:C,3,FALSE)</f>
        <v>1</v>
      </c>
      <c r="G1006" s="1">
        <v>1</v>
      </c>
      <c r="H1006" s="1">
        <v>1</v>
      </c>
      <c r="I1006" s="1">
        <f t="shared" si="79"/>
        <v>1</v>
      </c>
    </row>
    <row r="1007" spans="1:9" x14ac:dyDescent="0.25">
      <c r="A1007" s="26">
        <v>46297</v>
      </c>
      <c r="B1007" s="27">
        <f t="shared" si="75"/>
        <v>2026</v>
      </c>
      <c r="C1007" s="27">
        <f t="shared" si="76"/>
        <v>10</v>
      </c>
      <c r="D1007" s="27">
        <f t="shared" si="77"/>
        <v>2</v>
      </c>
      <c r="E1007" s="27">
        <f t="shared" si="78"/>
        <v>6</v>
      </c>
      <c r="F1007" s="27">
        <f>VLOOKUP(E1007,[2]t_calendarioPolitica!A:C,3,FALSE)</f>
        <v>1</v>
      </c>
      <c r="G1007" s="1">
        <v>1</v>
      </c>
      <c r="H1007" s="1">
        <v>1</v>
      </c>
      <c r="I1007" s="1">
        <f t="shared" si="79"/>
        <v>1</v>
      </c>
    </row>
    <row r="1008" spans="1:9" x14ac:dyDescent="0.25">
      <c r="A1008" s="26">
        <v>46298</v>
      </c>
      <c r="B1008" s="27">
        <f t="shared" si="75"/>
        <v>2026</v>
      </c>
      <c r="C1008" s="27">
        <f t="shared" si="76"/>
        <v>10</v>
      </c>
      <c r="D1008" s="27">
        <f t="shared" si="77"/>
        <v>3</v>
      </c>
      <c r="E1008" s="27">
        <f t="shared" si="78"/>
        <v>7</v>
      </c>
      <c r="F1008" s="27">
        <f>VLOOKUP(E1008,[2]t_calendarioPolitica!A:C,3,FALSE)</f>
        <v>2</v>
      </c>
      <c r="G1008" s="1">
        <v>1</v>
      </c>
      <c r="H1008" s="1">
        <v>1</v>
      </c>
      <c r="I1008" s="1">
        <f t="shared" si="79"/>
        <v>1</v>
      </c>
    </row>
    <row r="1009" spans="1:9" x14ac:dyDescent="0.25">
      <c r="A1009" s="26">
        <v>46299</v>
      </c>
      <c r="B1009" s="27">
        <f t="shared" si="75"/>
        <v>2026</v>
      </c>
      <c r="C1009" s="27">
        <f t="shared" si="76"/>
        <v>10</v>
      </c>
      <c r="D1009" s="27">
        <f t="shared" si="77"/>
        <v>4</v>
      </c>
      <c r="E1009" s="27">
        <f t="shared" si="78"/>
        <v>1</v>
      </c>
      <c r="F1009" s="27">
        <f>VLOOKUP(E1009,[2]t_calendarioPolitica!A:C,3,FALSE)</f>
        <v>0</v>
      </c>
      <c r="G1009" s="1">
        <v>1</v>
      </c>
      <c r="H1009" s="1">
        <v>1</v>
      </c>
      <c r="I1009" s="1">
        <f t="shared" si="79"/>
        <v>0</v>
      </c>
    </row>
    <row r="1010" spans="1:9" x14ac:dyDescent="0.25">
      <c r="A1010" s="26">
        <v>46300</v>
      </c>
      <c r="B1010" s="27">
        <f t="shared" si="75"/>
        <v>2026</v>
      </c>
      <c r="C1010" s="27">
        <f t="shared" si="76"/>
        <v>10</v>
      </c>
      <c r="D1010" s="27">
        <f t="shared" si="77"/>
        <v>5</v>
      </c>
      <c r="E1010" s="27">
        <f t="shared" si="78"/>
        <v>2</v>
      </c>
      <c r="F1010" s="27">
        <f>VLOOKUP(E1010,[2]t_calendarioPolitica!A:C,3,FALSE)</f>
        <v>1</v>
      </c>
      <c r="G1010" s="1">
        <v>1</v>
      </c>
      <c r="H1010" s="1">
        <v>1</v>
      </c>
      <c r="I1010" s="1">
        <f t="shared" si="79"/>
        <v>1</v>
      </c>
    </row>
    <row r="1011" spans="1:9" x14ac:dyDescent="0.25">
      <c r="A1011" s="26">
        <v>46301</v>
      </c>
      <c r="B1011" s="27">
        <f t="shared" si="75"/>
        <v>2026</v>
      </c>
      <c r="C1011" s="27">
        <f t="shared" si="76"/>
        <v>10</v>
      </c>
      <c r="D1011" s="27">
        <f t="shared" si="77"/>
        <v>6</v>
      </c>
      <c r="E1011" s="27">
        <f t="shared" si="78"/>
        <v>3</v>
      </c>
      <c r="F1011" s="27">
        <f>VLOOKUP(E1011,[2]t_calendarioPolitica!A:C,3,FALSE)</f>
        <v>1</v>
      </c>
      <c r="G1011" s="1">
        <v>1</v>
      </c>
      <c r="H1011" s="1">
        <v>1</v>
      </c>
      <c r="I1011" s="1">
        <f t="shared" si="79"/>
        <v>1</v>
      </c>
    </row>
    <row r="1012" spans="1:9" x14ac:dyDescent="0.25">
      <c r="A1012" s="26">
        <v>46302</v>
      </c>
      <c r="B1012" s="27">
        <f t="shared" si="75"/>
        <v>2026</v>
      </c>
      <c r="C1012" s="27">
        <f t="shared" si="76"/>
        <v>10</v>
      </c>
      <c r="D1012" s="27">
        <f t="shared" si="77"/>
        <v>7</v>
      </c>
      <c r="E1012" s="27">
        <f t="shared" si="78"/>
        <v>4</v>
      </c>
      <c r="F1012" s="27">
        <f>VLOOKUP(E1012,[2]t_calendarioPolitica!A:C,3,FALSE)</f>
        <v>1</v>
      </c>
      <c r="G1012" s="1">
        <v>1</v>
      </c>
      <c r="H1012" s="1">
        <v>1</v>
      </c>
      <c r="I1012" s="1">
        <f t="shared" si="79"/>
        <v>1</v>
      </c>
    </row>
    <row r="1013" spans="1:9" x14ac:dyDescent="0.25">
      <c r="A1013" s="26">
        <v>46303</v>
      </c>
      <c r="B1013" s="27">
        <f t="shared" si="75"/>
        <v>2026</v>
      </c>
      <c r="C1013" s="27">
        <f t="shared" si="76"/>
        <v>10</v>
      </c>
      <c r="D1013" s="27">
        <f t="shared" si="77"/>
        <v>8</v>
      </c>
      <c r="E1013" s="27">
        <f t="shared" si="78"/>
        <v>5</v>
      </c>
      <c r="F1013" s="27">
        <f>VLOOKUP(E1013,[2]t_calendarioPolitica!A:C,3,FALSE)</f>
        <v>1</v>
      </c>
      <c r="G1013" s="1">
        <v>1</v>
      </c>
      <c r="H1013" s="1">
        <v>1</v>
      </c>
      <c r="I1013" s="1">
        <f t="shared" si="79"/>
        <v>1</v>
      </c>
    </row>
    <row r="1014" spans="1:9" x14ac:dyDescent="0.25">
      <c r="A1014" s="26">
        <v>46304</v>
      </c>
      <c r="B1014" s="27">
        <f t="shared" si="75"/>
        <v>2026</v>
      </c>
      <c r="C1014" s="27">
        <f t="shared" si="76"/>
        <v>10</v>
      </c>
      <c r="D1014" s="27">
        <f t="shared" si="77"/>
        <v>9</v>
      </c>
      <c r="E1014" s="27">
        <f t="shared" si="78"/>
        <v>6</v>
      </c>
      <c r="F1014" s="27">
        <f>VLOOKUP(E1014,[2]t_calendarioPolitica!A:C,3,FALSE)</f>
        <v>1</v>
      </c>
      <c r="G1014" s="1">
        <v>1</v>
      </c>
      <c r="H1014" s="1">
        <v>1</v>
      </c>
      <c r="I1014" s="1">
        <f t="shared" si="79"/>
        <v>1</v>
      </c>
    </row>
    <row r="1015" spans="1:9" x14ac:dyDescent="0.25">
      <c r="A1015" s="26">
        <v>46305</v>
      </c>
      <c r="B1015" s="27">
        <f t="shared" si="75"/>
        <v>2026</v>
      </c>
      <c r="C1015" s="27">
        <f t="shared" si="76"/>
        <v>10</v>
      </c>
      <c r="D1015" s="27">
        <f t="shared" si="77"/>
        <v>10</v>
      </c>
      <c r="E1015" s="27">
        <f t="shared" si="78"/>
        <v>7</v>
      </c>
      <c r="F1015" s="27">
        <f>VLOOKUP(E1015,[2]t_calendarioPolitica!A:C,3,FALSE)</f>
        <v>2</v>
      </c>
      <c r="G1015" s="1">
        <v>1</v>
      </c>
      <c r="H1015" s="1">
        <v>1</v>
      </c>
      <c r="I1015" s="1">
        <f t="shared" si="79"/>
        <v>1</v>
      </c>
    </row>
    <row r="1016" spans="1:9" x14ac:dyDescent="0.25">
      <c r="A1016" s="26">
        <v>46306</v>
      </c>
      <c r="B1016" s="27">
        <f t="shared" si="75"/>
        <v>2026</v>
      </c>
      <c r="C1016" s="27">
        <f t="shared" si="76"/>
        <v>10</v>
      </c>
      <c r="D1016" s="27">
        <f t="shared" si="77"/>
        <v>11</v>
      </c>
      <c r="E1016" s="27">
        <f t="shared" si="78"/>
        <v>1</v>
      </c>
      <c r="F1016" s="27">
        <f>VLOOKUP(E1016,[2]t_calendarioPolitica!A:C,3,FALSE)</f>
        <v>0</v>
      </c>
      <c r="G1016" s="1">
        <v>1</v>
      </c>
      <c r="H1016" s="1">
        <v>1</v>
      </c>
      <c r="I1016" s="1">
        <f t="shared" si="79"/>
        <v>0</v>
      </c>
    </row>
    <row r="1017" spans="1:9" x14ac:dyDescent="0.25">
      <c r="A1017" s="26">
        <v>46307</v>
      </c>
      <c r="B1017" s="27">
        <f t="shared" si="75"/>
        <v>2026</v>
      </c>
      <c r="C1017" s="27">
        <f t="shared" si="76"/>
        <v>10</v>
      </c>
      <c r="D1017" s="27">
        <f t="shared" si="77"/>
        <v>12</v>
      </c>
      <c r="E1017" s="27">
        <f t="shared" si="78"/>
        <v>2</v>
      </c>
      <c r="F1017" s="27">
        <f>VLOOKUP(E1017,[2]t_calendarioPolitica!A:C,3,FALSE)</f>
        <v>1</v>
      </c>
      <c r="G1017" s="1">
        <v>1</v>
      </c>
      <c r="H1017" s="1">
        <v>1</v>
      </c>
      <c r="I1017" s="1">
        <f t="shared" si="79"/>
        <v>1</v>
      </c>
    </row>
    <row r="1018" spans="1:9" x14ac:dyDescent="0.25">
      <c r="A1018" s="26">
        <v>46308</v>
      </c>
      <c r="B1018" s="27">
        <f t="shared" si="75"/>
        <v>2026</v>
      </c>
      <c r="C1018" s="27">
        <f t="shared" si="76"/>
        <v>10</v>
      </c>
      <c r="D1018" s="27">
        <f t="shared" si="77"/>
        <v>13</v>
      </c>
      <c r="E1018" s="27">
        <f t="shared" si="78"/>
        <v>3</v>
      </c>
      <c r="F1018" s="27">
        <f>VLOOKUP(E1018,[2]t_calendarioPolitica!A:C,3,FALSE)</f>
        <v>1</v>
      </c>
      <c r="G1018" s="1">
        <v>1</v>
      </c>
      <c r="H1018" s="1">
        <v>1</v>
      </c>
      <c r="I1018" s="1">
        <f t="shared" si="79"/>
        <v>1</v>
      </c>
    </row>
    <row r="1019" spans="1:9" x14ac:dyDescent="0.25">
      <c r="A1019" s="26">
        <v>46309</v>
      </c>
      <c r="B1019" s="27">
        <f t="shared" si="75"/>
        <v>2026</v>
      </c>
      <c r="C1019" s="27">
        <f t="shared" si="76"/>
        <v>10</v>
      </c>
      <c r="D1019" s="27">
        <f t="shared" si="77"/>
        <v>14</v>
      </c>
      <c r="E1019" s="27">
        <f t="shared" si="78"/>
        <v>4</v>
      </c>
      <c r="F1019" s="27">
        <f>VLOOKUP(E1019,[2]t_calendarioPolitica!A:C,3,FALSE)</f>
        <v>1</v>
      </c>
      <c r="G1019" s="1">
        <v>1</v>
      </c>
      <c r="H1019" s="1">
        <v>1</v>
      </c>
      <c r="I1019" s="1">
        <f t="shared" si="79"/>
        <v>1</v>
      </c>
    </row>
    <row r="1020" spans="1:9" x14ac:dyDescent="0.25">
      <c r="A1020" s="26">
        <v>46310</v>
      </c>
      <c r="B1020" s="27">
        <f t="shared" si="75"/>
        <v>2026</v>
      </c>
      <c r="C1020" s="27">
        <f t="shared" si="76"/>
        <v>10</v>
      </c>
      <c r="D1020" s="27">
        <f t="shared" si="77"/>
        <v>15</v>
      </c>
      <c r="E1020" s="27">
        <f t="shared" si="78"/>
        <v>5</v>
      </c>
      <c r="F1020" s="27">
        <f>VLOOKUP(E1020,[2]t_calendarioPolitica!A:C,3,FALSE)</f>
        <v>1</v>
      </c>
      <c r="G1020" s="1">
        <v>1</v>
      </c>
      <c r="H1020" s="1">
        <v>1</v>
      </c>
      <c r="I1020" s="1">
        <f t="shared" si="79"/>
        <v>1</v>
      </c>
    </row>
    <row r="1021" spans="1:9" x14ac:dyDescent="0.25">
      <c r="A1021" s="26">
        <v>46311</v>
      </c>
      <c r="B1021" s="27">
        <f t="shared" si="75"/>
        <v>2026</v>
      </c>
      <c r="C1021" s="27">
        <f t="shared" si="76"/>
        <v>10</v>
      </c>
      <c r="D1021" s="27">
        <f t="shared" si="77"/>
        <v>16</v>
      </c>
      <c r="E1021" s="27">
        <f t="shared" si="78"/>
        <v>6</v>
      </c>
      <c r="F1021" s="27">
        <f>VLOOKUP(E1021,[2]t_calendarioPolitica!A:C,3,FALSE)</f>
        <v>1</v>
      </c>
      <c r="G1021" s="1">
        <v>1</v>
      </c>
      <c r="H1021" s="1">
        <v>1</v>
      </c>
      <c r="I1021" s="1">
        <f t="shared" si="79"/>
        <v>1</v>
      </c>
    </row>
    <row r="1022" spans="1:9" x14ac:dyDescent="0.25">
      <c r="A1022" s="26">
        <v>46312</v>
      </c>
      <c r="B1022" s="27">
        <f t="shared" si="75"/>
        <v>2026</v>
      </c>
      <c r="C1022" s="27">
        <f t="shared" si="76"/>
        <v>10</v>
      </c>
      <c r="D1022" s="27">
        <f t="shared" si="77"/>
        <v>17</v>
      </c>
      <c r="E1022" s="27">
        <f t="shared" si="78"/>
        <v>7</v>
      </c>
      <c r="F1022" s="27">
        <f>VLOOKUP(E1022,[2]t_calendarioPolitica!A:C,3,FALSE)</f>
        <v>2</v>
      </c>
      <c r="G1022" s="1">
        <v>1</v>
      </c>
      <c r="H1022" s="1">
        <v>1</v>
      </c>
      <c r="I1022" s="1">
        <f t="shared" si="79"/>
        <v>1</v>
      </c>
    </row>
    <row r="1023" spans="1:9" x14ac:dyDescent="0.25">
      <c r="A1023" s="26">
        <v>46313</v>
      </c>
      <c r="B1023" s="27">
        <f t="shared" si="75"/>
        <v>2026</v>
      </c>
      <c r="C1023" s="27">
        <f t="shared" si="76"/>
        <v>10</v>
      </c>
      <c r="D1023" s="27">
        <f t="shared" si="77"/>
        <v>18</v>
      </c>
      <c r="E1023" s="27">
        <f t="shared" si="78"/>
        <v>1</v>
      </c>
      <c r="F1023" s="27">
        <f>VLOOKUP(E1023,[2]t_calendarioPolitica!A:C,3,FALSE)</f>
        <v>0</v>
      </c>
      <c r="G1023" s="1">
        <v>1</v>
      </c>
      <c r="H1023" s="1">
        <v>1</v>
      </c>
      <c r="I1023" s="1">
        <f t="shared" si="79"/>
        <v>0</v>
      </c>
    </row>
    <row r="1024" spans="1:9" x14ac:dyDescent="0.25">
      <c r="A1024" s="26">
        <v>46314</v>
      </c>
      <c r="B1024" s="27">
        <f t="shared" si="75"/>
        <v>2026</v>
      </c>
      <c r="C1024" s="27">
        <f t="shared" si="76"/>
        <v>10</v>
      </c>
      <c r="D1024" s="27">
        <f t="shared" si="77"/>
        <v>19</v>
      </c>
      <c r="E1024" s="27">
        <f t="shared" si="78"/>
        <v>2</v>
      </c>
      <c r="F1024" s="27">
        <f>VLOOKUP(E1024,[2]t_calendarioPolitica!A:C,3,FALSE)</f>
        <v>1</v>
      </c>
      <c r="G1024" s="1">
        <v>1</v>
      </c>
      <c r="H1024" s="1">
        <v>1</v>
      </c>
      <c r="I1024" s="1">
        <f t="shared" si="79"/>
        <v>1</v>
      </c>
    </row>
    <row r="1025" spans="1:9" x14ac:dyDescent="0.25">
      <c r="A1025" s="26">
        <v>46315</v>
      </c>
      <c r="B1025" s="27">
        <f t="shared" si="75"/>
        <v>2026</v>
      </c>
      <c r="C1025" s="27">
        <f t="shared" si="76"/>
        <v>10</v>
      </c>
      <c r="D1025" s="27">
        <f t="shared" si="77"/>
        <v>20</v>
      </c>
      <c r="E1025" s="27">
        <f t="shared" si="78"/>
        <v>3</v>
      </c>
      <c r="F1025" s="27">
        <f>VLOOKUP(E1025,[2]t_calendarioPolitica!A:C,3,FALSE)</f>
        <v>1</v>
      </c>
      <c r="G1025" s="1">
        <v>1</v>
      </c>
      <c r="H1025" s="1">
        <v>1</v>
      </c>
      <c r="I1025" s="1">
        <f t="shared" si="79"/>
        <v>1</v>
      </c>
    </row>
    <row r="1026" spans="1:9" x14ac:dyDescent="0.25">
      <c r="A1026" s="26">
        <v>46316</v>
      </c>
      <c r="B1026" s="27">
        <f t="shared" si="75"/>
        <v>2026</v>
      </c>
      <c r="C1026" s="27">
        <f t="shared" si="76"/>
        <v>10</v>
      </c>
      <c r="D1026" s="27">
        <f t="shared" si="77"/>
        <v>21</v>
      </c>
      <c r="E1026" s="27">
        <f t="shared" si="78"/>
        <v>4</v>
      </c>
      <c r="F1026" s="27">
        <f>VLOOKUP(E1026,[2]t_calendarioPolitica!A:C,3,FALSE)</f>
        <v>1</v>
      </c>
      <c r="G1026" s="1">
        <v>1</v>
      </c>
      <c r="H1026" s="1">
        <v>1</v>
      </c>
      <c r="I1026" s="1">
        <f t="shared" si="79"/>
        <v>1</v>
      </c>
    </row>
    <row r="1027" spans="1:9" x14ac:dyDescent="0.25">
      <c r="A1027" s="26">
        <v>46317</v>
      </c>
      <c r="B1027" s="27">
        <f t="shared" ref="B1027:B1090" si="80">YEAR(A1027)</f>
        <v>2026</v>
      </c>
      <c r="C1027" s="27">
        <f t="shared" ref="C1027:C1090" si="81">MONTH(A1027)</f>
        <v>10</v>
      </c>
      <c r="D1027" s="27">
        <f t="shared" ref="D1027:D1090" si="82">DAY(A1027)</f>
        <v>22</v>
      </c>
      <c r="E1027" s="27">
        <f t="shared" ref="E1027:E1090" si="83">WEEKDAY(A1027)</f>
        <v>5</v>
      </c>
      <c r="F1027" s="27">
        <f>VLOOKUP(E1027,[2]t_calendarioPolitica!A:C,3,FALSE)</f>
        <v>1</v>
      </c>
      <c r="G1027" s="1">
        <v>1</v>
      </c>
      <c r="H1027" s="1">
        <v>1</v>
      </c>
      <c r="I1027" s="1">
        <f t="shared" ref="I1027:I1090" si="84">IF(AND(F1027&lt;&gt;0, H1027&lt;&gt;0,G1027&lt;&gt;0), 1, 0)</f>
        <v>1</v>
      </c>
    </row>
    <row r="1028" spans="1:9" x14ac:dyDescent="0.25">
      <c r="A1028" s="26">
        <v>46318</v>
      </c>
      <c r="B1028" s="27">
        <f t="shared" si="80"/>
        <v>2026</v>
      </c>
      <c r="C1028" s="27">
        <f t="shared" si="81"/>
        <v>10</v>
      </c>
      <c r="D1028" s="27">
        <f t="shared" si="82"/>
        <v>23</v>
      </c>
      <c r="E1028" s="27">
        <f t="shared" si="83"/>
        <v>6</v>
      </c>
      <c r="F1028" s="27">
        <f>VLOOKUP(E1028,[2]t_calendarioPolitica!A:C,3,FALSE)</f>
        <v>1</v>
      </c>
      <c r="G1028" s="1">
        <v>1</v>
      </c>
      <c r="H1028" s="1">
        <v>1</v>
      </c>
      <c r="I1028" s="1">
        <f t="shared" si="84"/>
        <v>1</v>
      </c>
    </row>
    <row r="1029" spans="1:9" x14ac:dyDescent="0.25">
      <c r="A1029" s="26">
        <v>46319</v>
      </c>
      <c r="B1029" s="27">
        <f t="shared" si="80"/>
        <v>2026</v>
      </c>
      <c r="C1029" s="27">
        <f t="shared" si="81"/>
        <v>10</v>
      </c>
      <c r="D1029" s="27">
        <f t="shared" si="82"/>
        <v>24</v>
      </c>
      <c r="E1029" s="27">
        <f t="shared" si="83"/>
        <v>7</v>
      </c>
      <c r="F1029" s="27">
        <f>VLOOKUP(E1029,[2]t_calendarioPolitica!A:C,3,FALSE)</f>
        <v>2</v>
      </c>
      <c r="G1029" s="1">
        <v>1</v>
      </c>
      <c r="H1029" s="1">
        <v>1</v>
      </c>
      <c r="I1029" s="1">
        <f t="shared" si="84"/>
        <v>1</v>
      </c>
    </row>
    <row r="1030" spans="1:9" x14ac:dyDescent="0.25">
      <c r="A1030" s="26">
        <v>46320</v>
      </c>
      <c r="B1030" s="27">
        <f t="shared" si="80"/>
        <v>2026</v>
      </c>
      <c r="C1030" s="27">
        <f t="shared" si="81"/>
        <v>10</v>
      </c>
      <c r="D1030" s="27">
        <f t="shared" si="82"/>
        <v>25</v>
      </c>
      <c r="E1030" s="27">
        <f t="shared" si="83"/>
        <v>1</v>
      </c>
      <c r="F1030" s="27">
        <f>VLOOKUP(E1030,[2]t_calendarioPolitica!A:C,3,FALSE)</f>
        <v>0</v>
      </c>
      <c r="G1030" s="1">
        <v>1</v>
      </c>
      <c r="H1030" s="1">
        <v>1</v>
      </c>
      <c r="I1030" s="1">
        <f t="shared" si="84"/>
        <v>0</v>
      </c>
    </row>
    <row r="1031" spans="1:9" x14ac:dyDescent="0.25">
      <c r="A1031" s="26">
        <v>46321</v>
      </c>
      <c r="B1031" s="27">
        <f t="shared" si="80"/>
        <v>2026</v>
      </c>
      <c r="C1031" s="27">
        <f t="shared" si="81"/>
        <v>10</v>
      </c>
      <c r="D1031" s="27">
        <f t="shared" si="82"/>
        <v>26</v>
      </c>
      <c r="E1031" s="27">
        <f t="shared" si="83"/>
        <v>2</v>
      </c>
      <c r="F1031" s="27">
        <f>VLOOKUP(E1031,[2]t_calendarioPolitica!A:C,3,FALSE)</f>
        <v>1</v>
      </c>
      <c r="G1031" s="1">
        <v>1</v>
      </c>
      <c r="H1031" s="1">
        <v>1</v>
      </c>
      <c r="I1031" s="1">
        <f t="shared" si="84"/>
        <v>1</v>
      </c>
    </row>
    <row r="1032" spans="1:9" x14ac:dyDescent="0.25">
      <c r="A1032" s="26">
        <v>46322</v>
      </c>
      <c r="B1032" s="27">
        <f t="shared" si="80"/>
        <v>2026</v>
      </c>
      <c r="C1032" s="27">
        <f t="shared" si="81"/>
        <v>10</v>
      </c>
      <c r="D1032" s="27">
        <f t="shared" si="82"/>
        <v>27</v>
      </c>
      <c r="E1032" s="27">
        <f t="shared" si="83"/>
        <v>3</v>
      </c>
      <c r="F1032" s="27">
        <f>VLOOKUP(E1032,[2]t_calendarioPolitica!A:C,3,FALSE)</f>
        <v>1</v>
      </c>
      <c r="G1032" s="1">
        <v>1</v>
      </c>
      <c r="H1032" s="1">
        <v>1</v>
      </c>
      <c r="I1032" s="1">
        <f t="shared" si="84"/>
        <v>1</v>
      </c>
    </row>
    <row r="1033" spans="1:9" x14ac:dyDescent="0.25">
      <c r="A1033" s="26">
        <v>46323</v>
      </c>
      <c r="B1033" s="27">
        <f t="shared" si="80"/>
        <v>2026</v>
      </c>
      <c r="C1033" s="27">
        <f t="shared" si="81"/>
        <v>10</v>
      </c>
      <c r="D1033" s="27">
        <f t="shared" si="82"/>
        <v>28</v>
      </c>
      <c r="E1033" s="27">
        <f t="shared" si="83"/>
        <v>4</v>
      </c>
      <c r="F1033" s="27">
        <f>VLOOKUP(E1033,[2]t_calendarioPolitica!A:C,3,FALSE)</f>
        <v>1</v>
      </c>
      <c r="G1033" s="1">
        <v>1</v>
      </c>
      <c r="H1033" s="1">
        <v>1</v>
      </c>
      <c r="I1033" s="1">
        <f t="shared" si="84"/>
        <v>1</v>
      </c>
    </row>
    <row r="1034" spans="1:9" x14ac:dyDescent="0.25">
      <c r="A1034" s="26">
        <v>46324</v>
      </c>
      <c r="B1034" s="27">
        <f t="shared" si="80"/>
        <v>2026</v>
      </c>
      <c r="C1034" s="27">
        <f t="shared" si="81"/>
        <v>10</v>
      </c>
      <c r="D1034" s="27">
        <f t="shared" si="82"/>
        <v>29</v>
      </c>
      <c r="E1034" s="27">
        <f t="shared" si="83"/>
        <v>5</v>
      </c>
      <c r="F1034" s="27">
        <f>VLOOKUP(E1034,[2]t_calendarioPolitica!A:C,3,FALSE)</f>
        <v>1</v>
      </c>
      <c r="G1034" s="1">
        <v>1</v>
      </c>
      <c r="H1034" s="1">
        <v>1</v>
      </c>
      <c r="I1034" s="1">
        <f t="shared" si="84"/>
        <v>1</v>
      </c>
    </row>
    <row r="1035" spans="1:9" x14ac:dyDescent="0.25">
      <c r="A1035" s="26">
        <v>46325</v>
      </c>
      <c r="B1035" s="27">
        <f t="shared" si="80"/>
        <v>2026</v>
      </c>
      <c r="C1035" s="27">
        <f t="shared" si="81"/>
        <v>10</v>
      </c>
      <c r="D1035" s="27">
        <f t="shared" si="82"/>
        <v>30</v>
      </c>
      <c r="E1035" s="27">
        <f t="shared" si="83"/>
        <v>6</v>
      </c>
      <c r="F1035" s="27">
        <f>VLOOKUP(E1035,[2]t_calendarioPolitica!A:C,3,FALSE)</f>
        <v>1</v>
      </c>
      <c r="G1035" s="1">
        <v>1</v>
      </c>
      <c r="H1035" s="1">
        <v>1</v>
      </c>
      <c r="I1035" s="1">
        <f t="shared" si="84"/>
        <v>1</v>
      </c>
    </row>
    <row r="1036" spans="1:9" x14ac:dyDescent="0.25">
      <c r="A1036" s="26">
        <v>46326</v>
      </c>
      <c r="B1036" s="27">
        <f t="shared" si="80"/>
        <v>2026</v>
      </c>
      <c r="C1036" s="27">
        <f t="shared" si="81"/>
        <v>10</v>
      </c>
      <c r="D1036" s="27">
        <f t="shared" si="82"/>
        <v>31</v>
      </c>
      <c r="E1036" s="27">
        <f t="shared" si="83"/>
        <v>7</v>
      </c>
      <c r="F1036" s="27">
        <f>VLOOKUP(E1036,[2]t_calendarioPolitica!A:C,3,FALSE)</f>
        <v>2</v>
      </c>
      <c r="G1036" s="1">
        <v>1</v>
      </c>
      <c r="H1036" s="1">
        <v>1</v>
      </c>
      <c r="I1036" s="1">
        <f t="shared" si="84"/>
        <v>1</v>
      </c>
    </row>
    <row r="1037" spans="1:9" x14ac:dyDescent="0.25">
      <c r="A1037" s="26">
        <v>46327</v>
      </c>
      <c r="B1037" s="27">
        <f t="shared" si="80"/>
        <v>2026</v>
      </c>
      <c r="C1037" s="27">
        <f t="shared" si="81"/>
        <v>11</v>
      </c>
      <c r="D1037" s="27">
        <f t="shared" si="82"/>
        <v>1</v>
      </c>
      <c r="E1037" s="27">
        <f t="shared" si="83"/>
        <v>1</v>
      </c>
      <c r="F1037" s="27">
        <f>VLOOKUP(E1037,[2]t_calendarioPolitica!A:C,3,FALSE)</f>
        <v>0</v>
      </c>
      <c r="G1037" s="1">
        <v>1</v>
      </c>
      <c r="H1037" s="1">
        <v>1</v>
      </c>
      <c r="I1037" s="1">
        <f t="shared" si="84"/>
        <v>0</v>
      </c>
    </row>
    <row r="1038" spans="1:9" x14ac:dyDescent="0.25">
      <c r="A1038" s="26">
        <v>46328</v>
      </c>
      <c r="B1038" s="27">
        <f t="shared" si="80"/>
        <v>2026</v>
      </c>
      <c r="C1038" s="27">
        <f t="shared" si="81"/>
        <v>11</v>
      </c>
      <c r="D1038" s="27">
        <f t="shared" si="82"/>
        <v>2</v>
      </c>
      <c r="E1038" s="27">
        <f t="shared" si="83"/>
        <v>2</v>
      </c>
      <c r="F1038" s="27">
        <f>VLOOKUP(E1038,[2]t_calendarioPolitica!A:C,3,FALSE)</f>
        <v>1</v>
      </c>
      <c r="G1038" s="1">
        <v>1</v>
      </c>
      <c r="H1038" s="1">
        <v>0</v>
      </c>
      <c r="I1038" s="1">
        <f t="shared" si="84"/>
        <v>0</v>
      </c>
    </row>
    <row r="1039" spans="1:9" x14ac:dyDescent="0.25">
      <c r="A1039" s="26">
        <v>46329</v>
      </c>
      <c r="B1039" s="27">
        <f t="shared" si="80"/>
        <v>2026</v>
      </c>
      <c r="C1039" s="27">
        <f t="shared" si="81"/>
        <v>11</v>
      </c>
      <c r="D1039" s="27">
        <f t="shared" si="82"/>
        <v>3</v>
      </c>
      <c r="E1039" s="27">
        <f t="shared" si="83"/>
        <v>3</v>
      </c>
      <c r="F1039" s="27">
        <f>VLOOKUP(E1039,[2]t_calendarioPolitica!A:C,3,FALSE)</f>
        <v>1</v>
      </c>
      <c r="G1039" s="1">
        <v>1</v>
      </c>
      <c r="H1039" s="1">
        <v>1</v>
      </c>
      <c r="I1039" s="1">
        <f t="shared" si="84"/>
        <v>1</v>
      </c>
    </row>
    <row r="1040" spans="1:9" x14ac:dyDescent="0.25">
      <c r="A1040" s="26">
        <v>46330</v>
      </c>
      <c r="B1040" s="27">
        <f t="shared" si="80"/>
        <v>2026</v>
      </c>
      <c r="C1040" s="27">
        <f t="shared" si="81"/>
        <v>11</v>
      </c>
      <c r="D1040" s="27">
        <f t="shared" si="82"/>
        <v>4</v>
      </c>
      <c r="E1040" s="27">
        <f t="shared" si="83"/>
        <v>4</v>
      </c>
      <c r="F1040" s="27">
        <f>VLOOKUP(E1040,[2]t_calendarioPolitica!A:C,3,FALSE)</f>
        <v>1</v>
      </c>
      <c r="G1040" s="1">
        <v>1</v>
      </c>
      <c r="H1040" s="1">
        <v>1</v>
      </c>
      <c r="I1040" s="1">
        <f t="shared" si="84"/>
        <v>1</v>
      </c>
    </row>
    <row r="1041" spans="1:9" x14ac:dyDescent="0.25">
      <c r="A1041" s="26">
        <v>46331</v>
      </c>
      <c r="B1041" s="27">
        <f t="shared" si="80"/>
        <v>2026</v>
      </c>
      <c r="C1041" s="27">
        <f t="shared" si="81"/>
        <v>11</v>
      </c>
      <c r="D1041" s="27">
        <f t="shared" si="82"/>
        <v>5</v>
      </c>
      <c r="E1041" s="27">
        <f t="shared" si="83"/>
        <v>5</v>
      </c>
      <c r="F1041" s="27">
        <f>VLOOKUP(E1041,[2]t_calendarioPolitica!A:C,3,FALSE)</f>
        <v>1</v>
      </c>
      <c r="G1041" s="1">
        <v>1</v>
      </c>
      <c r="H1041" s="1">
        <v>1</v>
      </c>
      <c r="I1041" s="1">
        <f t="shared" si="84"/>
        <v>1</v>
      </c>
    </row>
    <row r="1042" spans="1:9" x14ac:dyDescent="0.25">
      <c r="A1042" s="26">
        <v>46332</v>
      </c>
      <c r="B1042" s="27">
        <f t="shared" si="80"/>
        <v>2026</v>
      </c>
      <c r="C1042" s="27">
        <f t="shared" si="81"/>
        <v>11</v>
      </c>
      <c r="D1042" s="27">
        <f t="shared" si="82"/>
        <v>6</v>
      </c>
      <c r="E1042" s="27">
        <f t="shared" si="83"/>
        <v>6</v>
      </c>
      <c r="F1042" s="27">
        <f>VLOOKUP(E1042,[2]t_calendarioPolitica!A:C,3,FALSE)</f>
        <v>1</v>
      </c>
      <c r="G1042" s="1">
        <v>1</v>
      </c>
      <c r="H1042" s="1">
        <v>1</v>
      </c>
      <c r="I1042" s="1">
        <f t="shared" si="84"/>
        <v>1</v>
      </c>
    </row>
    <row r="1043" spans="1:9" x14ac:dyDescent="0.25">
      <c r="A1043" s="26">
        <v>46333</v>
      </c>
      <c r="B1043" s="27">
        <f t="shared" si="80"/>
        <v>2026</v>
      </c>
      <c r="C1043" s="27">
        <f t="shared" si="81"/>
        <v>11</v>
      </c>
      <c r="D1043" s="27">
        <f t="shared" si="82"/>
        <v>7</v>
      </c>
      <c r="E1043" s="27">
        <f t="shared" si="83"/>
        <v>7</v>
      </c>
      <c r="F1043" s="27">
        <f>VLOOKUP(E1043,[2]t_calendarioPolitica!A:C,3,FALSE)</f>
        <v>2</v>
      </c>
      <c r="G1043" s="1">
        <v>1</v>
      </c>
      <c r="H1043" s="1">
        <v>1</v>
      </c>
      <c r="I1043" s="1">
        <f t="shared" si="84"/>
        <v>1</v>
      </c>
    </row>
    <row r="1044" spans="1:9" x14ac:dyDescent="0.25">
      <c r="A1044" s="26">
        <v>46334</v>
      </c>
      <c r="B1044" s="27">
        <f t="shared" si="80"/>
        <v>2026</v>
      </c>
      <c r="C1044" s="27">
        <f t="shared" si="81"/>
        <v>11</v>
      </c>
      <c r="D1044" s="27">
        <f t="shared" si="82"/>
        <v>8</v>
      </c>
      <c r="E1044" s="27">
        <f t="shared" si="83"/>
        <v>1</v>
      </c>
      <c r="F1044" s="27">
        <f>VLOOKUP(E1044,[2]t_calendarioPolitica!A:C,3,FALSE)</f>
        <v>0</v>
      </c>
      <c r="G1044" s="1">
        <v>1</v>
      </c>
      <c r="H1044" s="1">
        <v>1</v>
      </c>
      <c r="I1044" s="1">
        <f t="shared" si="84"/>
        <v>0</v>
      </c>
    </row>
    <row r="1045" spans="1:9" x14ac:dyDescent="0.25">
      <c r="A1045" s="26">
        <v>46335</v>
      </c>
      <c r="B1045" s="27">
        <f t="shared" si="80"/>
        <v>2026</v>
      </c>
      <c r="C1045" s="27">
        <f t="shared" si="81"/>
        <v>11</v>
      </c>
      <c r="D1045" s="27">
        <f t="shared" si="82"/>
        <v>9</v>
      </c>
      <c r="E1045" s="27">
        <f t="shared" si="83"/>
        <v>2</v>
      </c>
      <c r="F1045" s="27">
        <f>VLOOKUP(E1045,[2]t_calendarioPolitica!A:C,3,FALSE)</f>
        <v>1</v>
      </c>
      <c r="G1045" s="1">
        <v>1</v>
      </c>
      <c r="H1045" s="1">
        <v>1</v>
      </c>
      <c r="I1045" s="1">
        <f t="shared" si="84"/>
        <v>1</v>
      </c>
    </row>
    <row r="1046" spans="1:9" x14ac:dyDescent="0.25">
      <c r="A1046" s="26">
        <v>46336</v>
      </c>
      <c r="B1046" s="27">
        <f t="shared" si="80"/>
        <v>2026</v>
      </c>
      <c r="C1046" s="27">
        <f t="shared" si="81"/>
        <v>11</v>
      </c>
      <c r="D1046" s="27">
        <f t="shared" si="82"/>
        <v>10</v>
      </c>
      <c r="E1046" s="27">
        <f t="shared" si="83"/>
        <v>3</v>
      </c>
      <c r="F1046" s="27">
        <f>VLOOKUP(E1046,[2]t_calendarioPolitica!A:C,3,FALSE)</f>
        <v>1</v>
      </c>
      <c r="G1046" s="1">
        <v>1</v>
      </c>
      <c r="H1046" s="1">
        <v>1</v>
      </c>
      <c r="I1046" s="1">
        <f t="shared" si="84"/>
        <v>1</v>
      </c>
    </row>
    <row r="1047" spans="1:9" x14ac:dyDescent="0.25">
      <c r="A1047" s="26">
        <v>46337</v>
      </c>
      <c r="B1047" s="27">
        <f t="shared" si="80"/>
        <v>2026</v>
      </c>
      <c r="C1047" s="27">
        <f t="shared" si="81"/>
        <v>11</v>
      </c>
      <c r="D1047" s="27">
        <f t="shared" si="82"/>
        <v>11</v>
      </c>
      <c r="E1047" s="27">
        <f t="shared" si="83"/>
        <v>4</v>
      </c>
      <c r="F1047" s="27">
        <f>VLOOKUP(E1047,[2]t_calendarioPolitica!A:C,3,FALSE)</f>
        <v>1</v>
      </c>
      <c r="G1047" s="1">
        <v>1</v>
      </c>
      <c r="H1047" s="1">
        <v>1</v>
      </c>
      <c r="I1047" s="1">
        <f t="shared" si="84"/>
        <v>1</v>
      </c>
    </row>
    <row r="1048" spans="1:9" x14ac:dyDescent="0.25">
      <c r="A1048" s="26">
        <v>46338</v>
      </c>
      <c r="B1048" s="27">
        <f t="shared" si="80"/>
        <v>2026</v>
      </c>
      <c r="C1048" s="27">
        <f t="shared" si="81"/>
        <v>11</v>
      </c>
      <c r="D1048" s="27">
        <f t="shared" si="82"/>
        <v>12</v>
      </c>
      <c r="E1048" s="27">
        <f t="shared" si="83"/>
        <v>5</v>
      </c>
      <c r="F1048" s="27">
        <f>VLOOKUP(E1048,[2]t_calendarioPolitica!A:C,3,FALSE)</f>
        <v>1</v>
      </c>
      <c r="G1048" s="1">
        <v>1</v>
      </c>
      <c r="H1048" s="1">
        <v>1</v>
      </c>
      <c r="I1048" s="1">
        <f t="shared" si="84"/>
        <v>1</v>
      </c>
    </row>
    <row r="1049" spans="1:9" x14ac:dyDescent="0.25">
      <c r="A1049" s="26">
        <v>46339</v>
      </c>
      <c r="B1049" s="27">
        <f t="shared" si="80"/>
        <v>2026</v>
      </c>
      <c r="C1049" s="27">
        <f t="shared" si="81"/>
        <v>11</v>
      </c>
      <c r="D1049" s="27">
        <f t="shared" si="82"/>
        <v>13</v>
      </c>
      <c r="E1049" s="27">
        <f t="shared" si="83"/>
        <v>6</v>
      </c>
      <c r="F1049" s="27">
        <f>VLOOKUP(E1049,[2]t_calendarioPolitica!A:C,3,FALSE)</f>
        <v>1</v>
      </c>
      <c r="G1049" s="1">
        <v>1</v>
      </c>
      <c r="H1049" s="1">
        <v>1</v>
      </c>
      <c r="I1049" s="1">
        <f t="shared" si="84"/>
        <v>1</v>
      </c>
    </row>
    <row r="1050" spans="1:9" x14ac:dyDescent="0.25">
      <c r="A1050" s="26">
        <v>46340</v>
      </c>
      <c r="B1050" s="27">
        <f t="shared" si="80"/>
        <v>2026</v>
      </c>
      <c r="C1050" s="27">
        <f t="shared" si="81"/>
        <v>11</v>
      </c>
      <c r="D1050" s="27">
        <f t="shared" si="82"/>
        <v>14</v>
      </c>
      <c r="E1050" s="27">
        <f t="shared" si="83"/>
        <v>7</v>
      </c>
      <c r="F1050" s="27">
        <f>VLOOKUP(E1050,[2]t_calendarioPolitica!A:C,3,FALSE)</f>
        <v>2</v>
      </c>
      <c r="G1050" s="1">
        <v>1</v>
      </c>
      <c r="H1050" s="1">
        <v>1</v>
      </c>
      <c r="I1050" s="1">
        <f t="shared" si="84"/>
        <v>1</v>
      </c>
    </row>
    <row r="1051" spans="1:9" x14ac:dyDescent="0.25">
      <c r="A1051" s="26">
        <v>46341</v>
      </c>
      <c r="B1051" s="27">
        <f t="shared" si="80"/>
        <v>2026</v>
      </c>
      <c r="C1051" s="27">
        <f t="shared" si="81"/>
        <v>11</v>
      </c>
      <c r="D1051" s="27">
        <f t="shared" si="82"/>
        <v>15</v>
      </c>
      <c r="E1051" s="27">
        <f t="shared" si="83"/>
        <v>1</v>
      </c>
      <c r="F1051" s="27">
        <f>VLOOKUP(E1051,[2]t_calendarioPolitica!A:C,3,FALSE)</f>
        <v>0</v>
      </c>
      <c r="G1051" s="1">
        <v>1</v>
      </c>
      <c r="H1051" s="1">
        <v>1</v>
      </c>
      <c r="I1051" s="1">
        <f t="shared" si="84"/>
        <v>0</v>
      </c>
    </row>
    <row r="1052" spans="1:9" x14ac:dyDescent="0.25">
      <c r="A1052" s="26">
        <v>46342</v>
      </c>
      <c r="B1052" s="27">
        <f t="shared" si="80"/>
        <v>2026</v>
      </c>
      <c r="C1052" s="27">
        <f t="shared" si="81"/>
        <v>11</v>
      </c>
      <c r="D1052" s="27">
        <f t="shared" si="82"/>
        <v>16</v>
      </c>
      <c r="E1052" s="27">
        <f t="shared" si="83"/>
        <v>2</v>
      </c>
      <c r="F1052" s="27">
        <f>VLOOKUP(E1052,[2]t_calendarioPolitica!A:C,3,FALSE)</f>
        <v>1</v>
      </c>
      <c r="G1052" s="1">
        <v>1</v>
      </c>
      <c r="H1052" s="1">
        <v>1</v>
      </c>
      <c r="I1052" s="1">
        <f t="shared" si="84"/>
        <v>1</v>
      </c>
    </row>
    <row r="1053" spans="1:9" x14ac:dyDescent="0.25">
      <c r="A1053" s="26">
        <v>46343</v>
      </c>
      <c r="B1053" s="27">
        <f t="shared" si="80"/>
        <v>2026</v>
      </c>
      <c r="C1053" s="27">
        <f t="shared" si="81"/>
        <v>11</v>
      </c>
      <c r="D1053" s="27">
        <f t="shared" si="82"/>
        <v>17</v>
      </c>
      <c r="E1053" s="27">
        <f t="shared" si="83"/>
        <v>3</v>
      </c>
      <c r="F1053" s="27">
        <f>VLOOKUP(E1053,[2]t_calendarioPolitica!A:C,3,FALSE)</f>
        <v>1</v>
      </c>
      <c r="G1053" s="1">
        <v>1</v>
      </c>
      <c r="H1053" s="1">
        <v>1</v>
      </c>
      <c r="I1053" s="1">
        <f t="shared" si="84"/>
        <v>1</v>
      </c>
    </row>
    <row r="1054" spans="1:9" x14ac:dyDescent="0.25">
      <c r="A1054" s="26">
        <v>46344</v>
      </c>
      <c r="B1054" s="27">
        <f t="shared" si="80"/>
        <v>2026</v>
      </c>
      <c r="C1054" s="27">
        <f t="shared" si="81"/>
        <v>11</v>
      </c>
      <c r="D1054" s="27">
        <f t="shared" si="82"/>
        <v>18</v>
      </c>
      <c r="E1054" s="27">
        <f t="shared" si="83"/>
        <v>4</v>
      </c>
      <c r="F1054" s="27">
        <f>VLOOKUP(E1054,[2]t_calendarioPolitica!A:C,3,FALSE)</f>
        <v>1</v>
      </c>
      <c r="G1054" s="1">
        <v>1</v>
      </c>
      <c r="H1054" s="1">
        <v>1</v>
      </c>
      <c r="I1054" s="1">
        <f t="shared" si="84"/>
        <v>1</v>
      </c>
    </row>
    <row r="1055" spans="1:9" x14ac:dyDescent="0.25">
      <c r="A1055" s="26">
        <v>46345</v>
      </c>
      <c r="B1055" s="27">
        <f t="shared" si="80"/>
        <v>2026</v>
      </c>
      <c r="C1055" s="27">
        <f t="shared" si="81"/>
        <v>11</v>
      </c>
      <c r="D1055" s="27">
        <f t="shared" si="82"/>
        <v>19</v>
      </c>
      <c r="E1055" s="27">
        <f t="shared" si="83"/>
        <v>5</v>
      </c>
      <c r="F1055" s="27">
        <f>VLOOKUP(E1055,[2]t_calendarioPolitica!A:C,3,FALSE)</f>
        <v>1</v>
      </c>
      <c r="G1055" s="1">
        <v>1</v>
      </c>
      <c r="H1055" s="1">
        <v>1</v>
      </c>
      <c r="I1055" s="1">
        <f t="shared" si="84"/>
        <v>1</v>
      </c>
    </row>
    <row r="1056" spans="1:9" x14ac:dyDescent="0.25">
      <c r="A1056" s="26">
        <v>46346</v>
      </c>
      <c r="B1056" s="27">
        <f t="shared" si="80"/>
        <v>2026</v>
      </c>
      <c r="C1056" s="27">
        <f t="shared" si="81"/>
        <v>11</v>
      </c>
      <c r="D1056" s="27">
        <f t="shared" si="82"/>
        <v>20</v>
      </c>
      <c r="E1056" s="27">
        <f t="shared" si="83"/>
        <v>6</v>
      </c>
      <c r="F1056" s="27">
        <f>VLOOKUP(E1056,[2]t_calendarioPolitica!A:C,3,FALSE)</f>
        <v>1</v>
      </c>
      <c r="G1056" s="1">
        <v>1</v>
      </c>
      <c r="H1056" s="1">
        <v>1</v>
      </c>
      <c r="I1056" s="1">
        <f t="shared" si="84"/>
        <v>1</v>
      </c>
    </row>
    <row r="1057" spans="1:9" x14ac:dyDescent="0.25">
      <c r="A1057" s="26">
        <v>46347</v>
      </c>
      <c r="B1057" s="27">
        <f t="shared" si="80"/>
        <v>2026</v>
      </c>
      <c r="C1057" s="27">
        <f t="shared" si="81"/>
        <v>11</v>
      </c>
      <c r="D1057" s="27">
        <f t="shared" si="82"/>
        <v>21</v>
      </c>
      <c r="E1057" s="27">
        <f t="shared" si="83"/>
        <v>7</v>
      </c>
      <c r="F1057" s="27">
        <f>VLOOKUP(E1057,[2]t_calendarioPolitica!A:C,3,FALSE)</f>
        <v>2</v>
      </c>
      <c r="G1057" s="1">
        <v>1</v>
      </c>
      <c r="H1057" s="1">
        <v>1</v>
      </c>
      <c r="I1057" s="1">
        <f t="shared" si="84"/>
        <v>1</v>
      </c>
    </row>
    <row r="1058" spans="1:9" x14ac:dyDescent="0.25">
      <c r="A1058" s="26">
        <v>46348</v>
      </c>
      <c r="B1058" s="27">
        <f t="shared" si="80"/>
        <v>2026</v>
      </c>
      <c r="C1058" s="27">
        <f t="shared" si="81"/>
        <v>11</v>
      </c>
      <c r="D1058" s="27">
        <f t="shared" si="82"/>
        <v>22</v>
      </c>
      <c r="E1058" s="27">
        <f t="shared" si="83"/>
        <v>1</v>
      </c>
      <c r="F1058" s="27">
        <f>VLOOKUP(E1058,[2]t_calendarioPolitica!A:C,3,FALSE)</f>
        <v>0</v>
      </c>
      <c r="G1058" s="1">
        <v>1</v>
      </c>
      <c r="H1058" s="1">
        <v>1</v>
      </c>
      <c r="I1058" s="1">
        <f t="shared" si="84"/>
        <v>0</v>
      </c>
    </row>
    <row r="1059" spans="1:9" x14ac:dyDescent="0.25">
      <c r="A1059" s="26">
        <v>46349</v>
      </c>
      <c r="B1059" s="27">
        <f t="shared" si="80"/>
        <v>2026</v>
      </c>
      <c r="C1059" s="27">
        <f t="shared" si="81"/>
        <v>11</v>
      </c>
      <c r="D1059" s="27">
        <f t="shared" si="82"/>
        <v>23</v>
      </c>
      <c r="E1059" s="27">
        <f t="shared" si="83"/>
        <v>2</v>
      </c>
      <c r="F1059" s="27">
        <f>VLOOKUP(E1059,[2]t_calendarioPolitica!A:C,3,FALSE)</f>
        <v>1</v>
      </c>
      <c r="G1059" s="1">
        <v>1</v>
      </c>
      <c r="H1059" s="1">
        <v>1</v>
      </c>
      <c r="I1059" s="1">
        <f t="shared" si="84"/>
        <v>1</v>
      </c>
    </row>
    <row r="1060" spans="1:9" x14ac:dyDescent="0.25">
      <c r="A1060" s="26">
        <v>46350</v>
      </c>
      <c r="B1060" s="27">
        <f t="shared" si="80"/>
        <v>2026</v>
      </c>
      <c r="C1060" s="27">
        <f t="shared" si="81"/>
        <v>11</v>
      </c>
      <c r="D1060" s="27">
        <f t="shared" si="82"/>
        <v>24</v>
      </c>
      <c r="E1060" s="27">
        <f t="shared" si="83"/>
        <v>3</v>
      </c>
      <c r="F1060" s="27">
        <f>VLOOKUP(E1060,[2]t_calendarioPolitica!A:C,3,FALSE)</f>
        <v>1</v>
      </c>
      <c r="G1060" s="1">
        <v>1</v>
      </c>
      <c r="H1060" s="1">
        <v>1</v>
      </c>
      <c r="I1060" s="1">
        <f t="shared" si="84"/>
        <v>1</v>
      </c>
    </row>
    <row r="1061" spans="1:9" x14ac:dyDescent="0.25">
      <c r="A1061" s="26">
        <v>46351</v>
      </c>
      <c r="B1061" s="27">
        <f t="shared" si="80"/>
        <v>2026</v>
      </c>
      <c r="C1061" s="27">
        <f t="shared" si="81"/>
        <v>11</v>
      </c>
      <c r="D1061" s="27">
        <f t="shared" si="82"/>
        <v>25</v>
      </c>
      <c r="E1061" s="27">
        <f t="shared" si="83"/>
        <v>4</v>
      </c>
      <c r="F1061" s="27">
        <f>VLOOKUP(E1061,[2]t_calendarioPolitica!A:C,3,FALSE)</f>
        <v>1</v>
      </c>
      <c r="G1061" s="1">
        <v>1</v>
      </c>
      <c r="H1061" s="1">
        <v>1</v>
      </c>
      <c r="I1061" s="1">
        <f t="shared" si="84"/>
        <v>1</v>
      </c>
    </row>
    <row r="1062" spans="1:9" x14ac:dyDescent="0.25">
      <c r="A1062" s="26">
        <v>46352</v>
      </c>
      <c r="B1062" s="27">
        <f t="shared" si="80"/>
        <v>2026</v>
      </c>
      <c r="C1062" s="27">
        <f t="shared" si="81"/>
        <v>11</v>
      </c>
      <c r="D1062" s="27">
        <f t="shared" si="82"/>
        <v>26</v>
      </c>
      <c r="E1062" s="27">
        <f t="shared" si="83"/>
        <v>5</v>
      </c>
      <c r="F1062" s="27">
        <f>VLOOKUP(E1062,[2]t_calendarioPolitica!A:C,3,FALSE)</f>
        <v>1</v>
      </c>
      <c r="G1062" s="1">
        <v>1</v>
      </c>
      <c r="H1062" s="1">
        <v>1</v>
      </c>
      <c r="I1062" s="1">
        <f t="shared" si="84"/>
        <v>1</v>
      </c>
    </row>
    <row r="1063" spans="1:9" x14ac:dyDescent="0.25">
      <c r="A1063" s="26">
        <v>46353</v>
      </c>
      <c r="B1063" s="27">
        <f t="shared" si="80"/>
        <v>2026</v>
      </c>
      <c r="C1063" s="27">
        <f t="shared" si="81"/>
        <v>11</v>
      </c>
      <c r="D1063" s="27">
        <f t="shared" si="82"/>
        <v>27</v>
      </c>
      <c r="E1063" s="27">
        <f t="shared" si="83"/>
        <v>6</v>
      </c>
      <c r="F1063" s="27">
        <f>VLOOKUP(E1063,[2]t_calendarioPolitica!A:C,3,FALSE)</f>
        <v>1</v>
      </c>
      <c r="G1063" s="1">
        <v>1</v>
      </c>
      <c r="H1063" s="1">
        <v>1</v>
      </c>
      <c r="I1063" s="1">
        <f t="shared" si="84"/>
        <v>1</v>
      </c>
    </row>
    <row r="1064" spans="1:9" x14ac:dyDescent="0.25">
      <c r="A1064" s="26">
        <v>46354</v>
      </c>
      <c r="B1064" s="27">
        <f t="shared" si="80"/>
        <v>2026</v>
      </c>
      <c r="C1064" s="27">
        <f t="shared" si="81"/>
        <v>11</v>
      </c>
      <c r="D1064" s="27">
        <f t="shared" si="82"/>
        <v>28</v>
      </c>
      <c r="E1064" s="27">
        <f t="shared" si="83"/>
        <v>7</v>
      </c>
      <c r="F1064" s="27">
        <f>VLOOKUP(E1064,[2]t_calendarioPolitica!A:C,3,FALSE)</f>
        <v>2</v>
      </c>
      <c r="G1064" s="1">
        <v>1</v>
      </c>
      <c r="H1064" s="1">
        <v>1</v>
      </c>
      <c r="I1064" s="1">
        <f t="shared" si="84"/>
        <v>1</v>
      </c>
    </row>
    <row r="1065" spans="1:9" x14ac:dyDescent="0.25">
      <c r="A1065" s="26">
        <v>46355</v>
      </c>
      <c r="B1065" s="27">
        <f t="shared" si="80"/>
        <v>2026</v>
      </c>
      <c r="C1065" s="27">
        <f t="shared" si="81"/>
        <v>11</v>
      </c>
      <c r="D1065" s="27">
        <f t="shared" si="82"/>
        <v>29</v>
      </c>
      <c r="E1065" s="27">
        <f t="shared" si="83"/>
        <v>1</v>
      </c>
      <c r="F1065" s="27">
        <f>VLOOKUP(E1065,[2]t_calendarioPolitica!A:C,3,FALSE)</f>
        <v>0</v>
      </c>
      <c r="G1065" s="1">
        <v>1</v>
      </c>
      <c r="H1065" s="1">
        <v>1</v>
      </c>
      <c r="I1065" s="1">
        <f t="shared" si="84"/>
        <v>0</v>
      </c>
    </row>
    <row r="1066" spans="1:9" x14ac:dyDescent="0.25">
      <c r="A1066" s="26">
        <v>46356</v>
      </c>
      <c r="B1066" s="27">
        <f t="shared" si="80"/>
        <v>2026</v>
      </c>
      <c r="C1066" s="27">
        <f t="shared" si="81"/>
        <v>11</v>
      </c>
      <c r="D1066" s="27">
        <f t="shared" si="82"/>
        <v>30</v>
      </c>
      <c r="E1066" s="27">
        <f t="shared" si="83"/>
        <v>2</v>
      </c>
      <c r="F1066" s="27">
        <f>VLOOKUP(E1066,[2]t_calendarioPolitica!A:C,3,FALSE)</f>
        <v>1</v>
      </c>
      <c r="G1066" s="1">
        <v>1</v>
      </c>
      <c r="H1066" s="1">
        <v>1</v>
      </c>
      <c r="I1066" s="1">
        <f t="shared" si="84"/>
        <v>1</v>
      </c>
    </row>
    <row r="1067" spans="1:9" x14ac:dyDescent="0.25">
      <c r="A1067" s="26">
        <v>46357</v>
      </c>
      <c r="B1067" s="27">
        <f t="shared" si="80"/>
        <v>2026</v>
      </c>
      <c r="C1067" s="27">
        <f t="shared" si="81"/>
        <v>12</v>
      </c>
      <c r="D1067" s="27">
        <f t="shared" si="82"/>
        <v>1</v>
      </c>
      <c r="E1067" s="27">
        <f t="shared" si="83"/>
        <v>3</v>
      </c>
      <c r="F1067" s="27">
        <f>VLOOKUP(E1067,[2]t_calendarioPolitica!A:C,3,FALSE)</f>
        <v>1</v>
      </c>
      <c r="G1067" s="1">
        <v>1</v>
      </c>
      <c r="H1067" s="1">
        <v>1</v>
      </c>
      <c r="I1067" s="1">
        <f t="shared" si="84"/>
        <v>1</v>
      </c>
    </row>
    <row r="1068" spans="1:9" x14ac:dyDescent="0.25">
      <c r="A1068" s="26">
        <v>46358</v>
      </c>
      <c r="B1068" s="27">
        <f t="shared" si="80"/>
        <v>2026</v>
      </c>
      <c r="C1068" s="27">
        <f t="shared" si="81"/>
        <v>12</v>
      </c>
      <c r="D1068" s="27">
        <f t="shared" si="82"/>
        <v>2</v>
      </c>
      <c r="E1068" s="27">
        <f t="shared" si="83"/>
        <v>4</v>
      </c>
      <c r="F1068" s="27">
        <f>VLOOKUP(E1068,[2]t_calendarioPolitica!A:C,3,FALSE)</f>
        <v>1</v>
      </c>
      <c r="G1068" s="1">
        <v>1</v>
      </c>
      <c r="H1068" s="1">
        <v>1</v>
      </c>
      <c r="I1068" s="1">
        <f t="shared" si="84"/>
        <v>1</v>
      </c>
    </row>
    <row r="1069" spans="1:9" x14ac:dyDescent="0.25">
      <c r="A1069" s="26">
        <v>46359</v>
      </c>
      <c r="B1069" s="27">
        <f t="shared" si="80"/>
        <v>2026</v>
      </c>
      <c r="C1069" s="27">
        <f t="shared" si="81"/>
        <v>12</v>
      </c>
      <c r="D1069" s="27">
        <f t="shared" si="82"/>
        <v>3</v>
      </c>
      <c r="E1069" s="27">
        <f t="shared" si="83"/>
        <v>5</v>
      </c>
      <c r="F1069" s="27">
        <f>VLOOKUP(E1069,[2]t_calendarioPolitica!A:C,3,FALSE)</f>
        <v>1</v>
      </c>
      <c r="G1069" s="1">
        <v>1</v>
      </c>
      <c r="H1069" s="1">
        <v>1</v>
      </c>
      <c r="I1069" s="1">
        <f t="shared" si="84"/>
        <v>1</v>
      </c>
    </row>
    <row r="1070" spans="1:9" x14ac:dyDescent="0.25">
      <c r="A1070" s="26">
        <v>46360</v>
      </c>
      <c r="B1070" s="27">
        <f t="shared" si="80"/>
        <v>2026</v>
      </c>
      <c r="C1070" s="27">
        <f t="shared" si="81"/>
        <v>12</v>
      </c>
      <c r="D1070" s="27">
        <f t="shared" si="82"/>
        <v>4</v>
      </c>
      <c r="E1070" s="27">
        <f t="shared" si="83"/>
        <v>6</v>
      </c>
      <c r="F1070" s="27">
        <f>VLOOKUP(E1070,[2]t_calendarioPolitica!A:C,3,FALSE)</f>
        <v>1</v>
      </c>
      <c r="G1070" s="1">
        <v>1</v>
      </c>
      <c r="H1070" s="1">
        <v>1</v>
      </c>
      <c r="I1070" s="1">
        <f t="shared" si="84"/>
        <v>1</v>
      </c>
    </row>
    <row r="1071" spans="1:9" x14ac:dyDescent="0.25">
      <c r="A1071" s="26">
        <v>46361</v>
      </c>
      <c r="B1071" s="27">
        <f t="shared" si="80"/>
        <v>2026</v>
      </c>
      <c r="C1071" s="27">
        <f t="shared" si="81"/>
        <v>12</v>
      </c>
      <c r="D1071" s="27">
        <f t="shared" si="82"/>
        <v>5</v>
      </c>
      <c r="E1071" s="27">
        <f t="shared" si="83"/>
        <v>7</v>
      </c>
      <c r="F1071" s="27">
        <f>VLOOKUP(E1071,[2]t_calendarioPolitica!A:C,3,FALSE)</f>
        <v>2</v>
      </c>
      <c r="G1071" s="1">
        <v>1</v>
      </c>
      <c r="H1071" s="1">
        <v>1</v>
      </c>
      <c r="I1071" s="1">
        <f t="shared" si="84"/>
        <v>1</v>
      </c>
    </row>
    <row r="1072" spans="1:9" x14ac:dyDescent="0.25">
      <c r="A1072" s="26">
        <v>46362</v>
      </c>
      <c r="B1072" s="27">
        <f t="shared" si="80"/>
        <v>2026</v>
      </c>
      <c r="C1072" s="27">
        <f t="shared" si="81"/>
        <v>12</v>
      </c>
      <c r="D1072" s="27">
        <f t="shared" si="82"/>
        <v>6</v>
      </c>
      <c r="E1072" s="27">
        <f t="shared" si="83"/>
        <v>1</v>
      </c>
      <c r="F1072" s="27">
        <f>VLOOKUP(E1072,[2]t_calendarioPolitica!A:C,3,FALSE)</f>
        <v>0</v>
      </c>
      <c r="G1072" s="1">
        <v>1</v>
      </c>
      <c r="H1072" s="1">
        <v>1</v>
      </c>
      <c r="I1072" s="1">
        <f t="shared" si="84"/>
        <v>0</v>
      </c>
    </row>
    <row r="1073" spans="1:9" x14ac:dyDescent="0.25">
      <c r="A1073" s="26">
        <v>46363</v>
      </c>
      <c r="B1073" s="27">
        <f t="shared" si="80"/>
        <v>2026</v>
      </c>
      <c r="C1073" s="27">
        <f t="shared" si="81"/>
        <v>12</v>
      </c>
      <c r="D1073" s="27">
        <f t="shared" si="82"/>
        <v>7</v>
      </c>
      <c r="E1073" s="27">
        <f t="shared" si="83"/>
        <v>2</v>
      </c>
      <c r="F1073" s="27">
        <f>VLOOKUP(E1073,[2]t_calendarioPolitica!A:C,3,FALSE)</f>
        <v>1</v>
      </c>
      <c r="G1073" s="1">
        <v>1</v>
      </c>
      <c r="H1073" s="1">
        <v>1</v>
      </c>
      <c r="I1073" s="1">
        <f t="shared" si="84"/>
        <v>1</v>
      </c>
    </row>
    <row r="1074" spans="1:9" x14ac:dyDescent="0.25">
      <c r="A1074" s="26">
        <v>46364</v>
      </c>
      <c r="B1074" s="27">
        <f t="shared" si="80"/>
        <v>2026</v>
      </c>
      <c r="C1074" s="27">
        <f t="shared" si="81"/>
        <v>12</v>
      </c>
      <c r="D1074" s="27">
        <f t="shared" si="82"/>
        <v>8</v>
      </c>
      <c r="E1074" s="27">
        <f t="shared" si="83"/>
        <v>3</v>
      </c>
      <c r="F1074" s="27">
        <f>VLOOKUP(E1074,[2]t_calendarioPolitica!A:C,3,FALSE)</f>
        <v>1</v>
      </c>
      <c r="G1074" s="1">
        <v>1</v>
      </c>
      <c r="H1074" s="1">
        <v>1</v>
      </c>
      <c r="I1074" s="1">
        <f t="shared" si="84"/>
        <v>1</v>
      </c>
    </row>
    <row r="1075" spans="1:9" x14ac:dyDescent="0.25">
      <c r="A1075" s="26">
        <v>46365</v>
      </c>
      <c r="B1075" s="27">
        <f t="shared" si="80"/>
        <v>2026</v>
      </c>
      <c r="C1075" s="27">
        <f t="shared" si="81"/>
        <v>12</v>
      </c>
      <c r="D1075" s="27">
        <f t="shared" si="82"/>
        <v>9</v>
      </c>
      <c r="E1075" s="27">
        <f t="shared" si="83"/>
        <v>4</v>
      </c>
      <c r="F1075" s="27">
        <f>VLOOKUP(E1075,[2]t_calendarioPolitica!A:C,3,FALSE)</f>
        <v>1</v>
      </c>
      <c r="G1075" s="1">
        <v>1</v>
      </c>
      <c r="H1075" s="1">
        <v>1</v>
      </c>
      <c r="I1075" s="1">
        <f t="shared" si="84"/>
        <v>1</v>
      </c>
    </row>
    <row r="1076" spans="1:9" x14ac:dyDescent="0.25">
      <c r="A1076" s="26">
        <v>46366</v>
      </c>
      <c r="B1076" s="27">
        <f t="shared" si="80"/>
        <v>2026</v>
      </c>
      <c r="C1076" s="27">
        <f t="shared" si="81"/>
        <v>12</v>
      </c>
      <c r="D1076" s="27">
        <f t="shared" si="82"/>
        <v>10</v>
      </c>
      <c r="E1076" s="27">
        <f t="shared" si="83"/>
        <v>5</v>
      </c>
      <c r="F1076" s="27">
        <f>VLOOKUP(E1076,[2]t_calendarioPolitica!A:C,3,FALSE)</f>
        <v>1</v>
      </c>
      <c r="G1076" s="1">
        <v>1</v>
      </c>
      <c r="H1076" s="1">
        <v>1</v>
      </c>
      <c r="I1076" s="1">
        <f t="shared" si="84"/>
        <v>1</v>
      </c>
    </row>
    <row r="1077" spans="1:9" x14ac:dyDescent="0.25">
      <c r="A1077" s="26">
        <v>46367</v>
      </c>
      <c r="B1077" s="27">
        <f t="shared" si="80"/>
        <v>2026</v>
      </c>
      <c r="C1077" s="27">
        <f t="shared" si="81"/>
        <v>12</v>
      </c>
      <c r="D1077" s="27">
        <f t="shared" si="82"/>
        <v>11</v>
      </c>
      <c r="E1077" s="27">
        <f t="shared" si="83"/>
        <v>6</v>
      </c>
      <c r="F1077" s="27">
        <f>VLOOKUP(E1077,[2]t_calendarioPolitica!A:C,3,FALSE)</f>
        <v>1</v>
      </c>
      <c r="G1077" s="1">
        <v>1</v>
      </c>
      <c r="H1077" s="1">
        <v>1</v>
      </c>
      <c r="I1077" s="1">
        <f t="shared" si="84"/>
        <v>1</v>
      </c>
    </row>
    <row r="1078" spans="1:9" x14ac:dyDescent="0.25">
      <c r="A1078" s="26">
        <v>46368</v>
      </c>
      <c r="B1078" s="27">
        <f t="shared" si="80"/>
        <v>2026</v>
      </c>
      <c r="C1078" s="27">
        <f t="shared" si="81"/>
        <v>12</v>
      </c>
      <c r="D1078" s="27">
        <f t="shared" si="82"/>
        <v>12</v>
      </c>
      <c r="E1078" s="27">
        <f t="shared" si="83"/>
        <v>7</v>
      </c>
      <c r="F1078" s="27">
        <f>VLOOKUP(E1078,[2]t_calendarioPolitica!A:C,3,FALSE)</f>
        <v>2</v>
      </c>
      <c r="G1078" s="1">
        <v>1</v>
      </c>
      <c r="H1078" s="1">
        <v>0</v>
      </c>
      <c r="I1078" s="1">
        <f t="shared" si="84"/>
        <v>0</v>
      </c>
    </row>
    <row r="1079" spans="1:9" x14ac:dyDescent="0.25">
      <c r="A1079" s="26">
        <v>46369</v>
      </c>
      <c r="B1079" s="27">
        <f t="shared" si="80"/>
        <v>2026</v>
      </c>
      <c r="C1079" s="27">
        <f t="shared" si="81"/>
        <v>12</v>
      </c>
      <c r="D1079" s="27">
        <f t="shared" si="82"/>
        <v>13</v>
      </c>
      <c r="E1079" s="27">
        <f t="shared" si="83"/>
        <v>1</v>
      </c>
      <c r="F1079" s="27">
        <f>VLOOKUP(E1079,[2]t_calendarioPolitica!A:C,3,FALSE)</f>
        <v>0</v>
      </c>
      <c r="G1079" s="1">
        <v>1</v>
      </c>
      <c r="H1079" s="1">
        <v>1</v>
      </c>
      <c r="I1079" s="1">
        <f t="shared" si="84"/>
        <v>0</v>
      </c>
    </row>
    <row r="1080" spans="1:9" x14ac:dyDescent="0.25">
      <c r="A1080" s="26">
        <v>46370</v>
      </c>
      <c r="B1080" s="27">
        <f t="shared" si="80"/>
        <v>2026</v>
      </c>
      <c r="C1080" s="27">
        <f t="shared" si="81"/>
        <v>12</v>
      </c>
      <c r="D1080" s="27">
        <f t="shared" si="82"/>
        <v>14</v>
      </c>
      <c r="E1080" s="27">
        <f t="shared" si="83"/>
        <v>2</v>
      </c>
      <c r="F1080" s="27">
        <f>VLOOKUP(E1080,[2]t_calendarioPolitica!A:C,3,FALSE)</f>
        <v>1</v>
      </c>
      <c r="G1080" s="1">
        <v>1</v>
      </c>
      <c r="H1080" s="1">
        <v>1</v>
      </c>
      <c r="I1080" s="1">
        <f t="shared" si="84"/>
        <v>1</v>
      </c>
    </row>
    <row r="1081" spans="1:9" x14ac:dyDescent="0.25">
      <c r="A1081" s="26">
        <v>46371</v>
      </c>
      <c r="B1081" s="27">
        <f t="shared" si="80"/>
        <v>2026</v>
      </c>
      <c r="C1081" s="27">
        <f t="shared" si="81"/>
        <v>12</v>
      </c>
      <c r="D1081" s="27">
        <f t="shared" si="82"/>
        <v>15</v>
      </c>
      <c r="E1081" s="27">
        <f t="shared" si="83"/>
        <v>3</v>
      </c>
      <c r="F1081" s="27">
        <f>VLOOKUP(E1081,[2]t_calendarioPolitica!A:C,3,FALSE)</f>
        <v>1</v>
      </c>
      <c r="G1081" s="1">
        <v>1</v>
      </c>
      <c r="H1081" s="1">
        <v>1</v>
      </c>
      <c r="I1081" s="1">
        <f t="shared" si="84"/>
        <v>1</v>
      </c>
    </row>
    <row r="1082" spans="1:9" x14ac:dyDescent="0.25">
      <c r="A1082" s="26">
        <v>46372</v>
      </c>
      <c r="B1082" s="27">
        <f t="shared" si="80"/>
        <v>2026</v>
      </c>
      <c r="C1082" s="27">
        <f t="shared" si="81"/>
        <v>12</v>
      </c>
      <c r="D1082" s="27">
        <f t="shared" si="82"/>
        <v>16</v>
      </c>
      <c r="E1082" s="27">
        <f t="shared" si="83"/>
        <v>4</v>
      </c>
      <c r="F1082" s="27">
        <f>VLOOKUP(E1082,[2]t_calendarioPolitica!A:C,3,FALSE)</f>
        <v>1</v>
      </c>
      <c r="G1082" s="1">
        <v>1</v>
      </c>
      <c r="H1082" s="1">
        <v>1</v>
      </c>
      <c r="I1082" s="1">
        <f t="shared" si="84"/>
        <v>1</v>
      </c>
    </row>
    <row r="1083" spans="1:9" x14ac:dyDescent="0.25">
      <c r="A1083" s="26">
        <v>46373</v>
      </c>
      <c r="B1083" s="27">
        <f t="shared" si="80"/>
        <v>2026</v>
      </c>
      <c r="C1083" s="27">
        <f t="shared" si="81"/>
        <v>12</v>
      </c>
      <c r="D1083" s="27">
        <f t="shared" si="82"/>
        <v>17</v>
      </c>
      <c r="E1083" s="27">
        <f t="shared" si="83"/>
        <v>5</v>
      </c>
      <c r="F1083" s="27">
        <f>VLOOKUP(E1083,[2]t_calendarioPolitica!A:C,3,FALSE)</f>
        <v>1</v>
      </c>
      <c r="G1083" s="1">
        <v>1</v>
      </c>
      <c r="H1083" s="1">
        <v>1</v>
      </c>
      <c r="I1083" s="1">
        <f t="shared" si="84"/>
        <v>1</v>
      </c>
    </row>
    <row r="1084" spans="1:9" x14ac:dyDescent="0.25">
      <c r="A1084" s="26">
        <v>46374</v>
      </c>
      <c r="B1084" s="27">
        <f t="shared" si="80"/>
        <v>2026</v>
      </c>
      <c r="C1084" s="27">
        <f t="shared" si="81"/>
        <v>12</v>
      </c>
      <c r="D1084" s="27">
        <f t="shared" si="82"/>
        <v>18</v>
      </c>
      <c r="E1084" s="27">
        <f t="shared" si="83"/>
        <v>6</v>
      </c>
      <c r="F1084" s="27">
        <f>VLOOKUP(E1084,[2]t_calendarioPolitica!A:C,3,FALSE)</f>
        <v>1</v>
      </c>
      <c r="G1084" s="1">
        <v>1</v>
      </c>
      <c r="H1084" s="1">
        <v>1</v>
      </c>
      <c r="I1084" s="1">
        <f t="shared" si="84"/>
        <v>1</v>
      </c>
    </row>
    <row r="1085" spans="1:9" x14ac:dyDescent="0.25">
      <c r="A1085" s="26">
        <v>46375</v>
      </c>
      <c r="B1085" s="27">
        <f t="shared" si="80"/>
        <v>2026</v>
      </c>
      <c r="C1085" s="27">
        <f t="shared" si="81"/>
        <v>12</v>
      </c>
      <c r="D1085" s="27">
        <f t="shared" si="82"/>
        <v>19</v>
      </c>
      <c r="E1085" s="27">
        <f t="shared" si="83"/>
        <v>7</v>
      </c>
      <c r="F1085" s="27">
        <f>VLOOKUP(E1085,[2]t_calendarioPolitica!A:C,3,FALSE)</f>
        <v>2</v>
      </c>
      <c r="G1085" s="1">
        <v>1</v>
      </c>
      <c r="H1085" s="1">
        <v>1</v>
      </c>
      <c r="I1085" s="1">
        <f t="shared" si="84"/>
        <v>1</v>
      </c>
    </row>
    <row r="1086" spans="1:9" x14ac:dyDescent="0.25">
      <c r="A1086" s="26">
        <v>46376</v>
      </c>
      <c r="B1086" s="27">
        <f t="shared" si="80"/>
        <v>2026</v>
      </c>
      <c r="C1086" s="27">
        <f t="shared" si="81"/>
        <v>12</v>
      </c>
      <c r="D1086" s="27">
        <f t="shared" si="82"/>
        <v>20</v>
      </c>
      <c r="E1086" s="27">
        <f t="shared" si="83"/>
        <v>1</v>
      </c>
      <c r="F1086" s="27">
        <f>VLOOKUP(E1086,[2]t_calendarioPolitica!A:C,3,FALSE)</f>
        <v>0</v>
      </c>
      <c r="G1086" s="1">
        <v>1</v>
      </c>
      <c r="H1086" s="1">
        <v>1</v>
      </c>
      <c r="I1086" s="1">
        <f t="shared" si="84"/>
        <v>0</v>
      </c>
    </row>
    <row r="1087" spans="1:9" x14ac:dyDescent="0.25">
      <c r="A1087" s="26">
        <v>46377</v>
      </c>
      <c r="B1087" s="27">
        <f t="shared" si="80"/>
        <v>2026</v>
      </c>
      <c r="C1087" s="27">
        <f t="shared" si="81"/>
        <v>12</v>
      </c>
      <c r="D1087" s="27">
        <f t="shared" si="82"/>
        <v>21</v>
      </c>
      <c r="E1087" s="27">
        <f t="shared" si="83"/>
        <v>2</v>
      </c>
      <c r="F1087" s="27">
        <f>VLOOKUP(E1087,[2]t_calendarioPolitica!A:C,3,FALSE)</f>
        <v>1</v>
      </c>
      <c r="G1087" s="1">
        <v>1</v>
      </c>
      <c r="H1087" s="1">
        <v>1</v>
      </c>
      <c r="I1087" s="1">
        <f t="shared" si="84"/>
        <v>1</v>
      </c>
    </row>
    <row r="1088" spans="1:9" x14ac:dyDescent="0.25">
      <c r="A1088" s="26">
        <v>46378</v>
      </c>
      <c r="B1088" s="27">
        <f t="shared" si="80"/>
        <v>2026</v>
      </c>
      <c r="C1088" s="27">
        <f t="shared" si="81"/>
        <v>12</v>
      </c>
      <c r="D1088" s="27">
        <f t="shared" si="82"/>
        <v>22</v>
      </c>
      <c r="E1088" s="27">
        <f t="shared" si="83"/>
        <v>3</v>
      </c>
      <c r="F1088" s="27">
        <f>VLOOKUP(E1088,[2]t_calendarioPolitica!A:C,3,FALSE)</f>
        <v>1</v>
      </c>
      <c r="G1088" s="1">
        <v>1</v>
      </c>
      <c r="H1088" s="1">
        <v>1</v>
      </c>
      <c r="I1088" s="1">
        <f t="shared" si="84"/>
        <v>1</v>
      </c>
    </row>
    <row r="1089" spans="1:9" x14ac:dyDescent="0.25">
      <c r="A1089" s="26">
        <v>46379</v>
      </c>
      <c r="B1089" s="27">
        <f t="shared" si="80"/>
        <v>2026</v>
      </c>
      <c r="C1089" s="27">
        <f t="shared" si="81"/>
        <v>12</v>
      </c>
      <c r="D1089" s="27">
        <f t="shared" si="82"/>
        <v>23</v>
      </c>
      <c r="E1089" s="27">
        <f t="shared" si="83"/>
        <v>4</v>
      </c>
      <c r="F1089" s="27">
        <f>VLOOKUP(E1089,[2]t_calendarioPolitica!A:C,3,FALSE)</f>
        <v>1</v>
      </c>
      <c r="G1089" s="1">
        <v>1</v>
      </c>
      <c r="H1089" s="1">
        <v>1</v>
      </c>
      <c r="I1089" s="1">
        <f t="shared" si="84"/>
        <v>1</v>
      </c>
    </row>
    <row r="1090" spans="1:9" x14ac:dyDescent="0.25">
      <c r="A1090" s="26">
        <v>46380</v>
      </c>
      <c r="B1090" s="27">
        <f t="shared" si="80"/>
        <v>2026</v>
      </c>
      <c r="C1090" s="27">
        <f t="shared" si="81"/>
        <v>12</v>
      </c>
      <c r="D1090" s="27">
        <f t="shared" si="82"/>
        <v>24</v>
      </c>
      <c r="E1090" s="27">
        <f t="shared" si="83"/>
        <v>5</v>
      </c>
      <c r="F1090" s="27">
        <f>VLOOKUP(E1090,[2]t_calendarioPolitica!A:C,3,FALSE)</f>
        <v>1</v>
      </c>
      <c r="G1090" s="1">
        <v>1</v>
      </c>
      <c r="H1090" s="1">
        <v>0</v>
      </c>
      <c r="I1090" s="1">
        <f t="shared" si="84"/>
        <v>0</v>
      </c>
    </row>
    <row r="1091" spans="1:9" x14ac:dyDescent="0.25">
      <c r="A1091" s="26">
        <v>46381</v>
      </c>
      <c r="B1091" s="27">
        <f t="shared" ref="B1091:B1154" si="85">YEAR(A1091)</f>
        <v>2026</v>
      </c>
      <c r="C1091" s="27">
        <f t="shared" ref="C1091:C1154" si="86">MONTH(A1091)</f>
        <v>12</v>
      </c>
      <c r="D1091" s="27">
        <f t="shared" ref="D1091:D1154" si="87">DAY(A1091)</f>
        <v>25</v>
      </c>
      <c r="E1091" s="27">
        <f t="shared" ref="E1091:E1154" si="88">WEEKDAY(A1091)</f>
        <v>6</v>
      </c>
      <c r="F1091" s="27">
        <f>VLOOKUP(E1091,[2]t_calendarioPolitica!A:C,3,FALSE)</f>
        <v>1</v>
      </c>
      <c r="G1091" s="1">
        <v>0</v>
      </c>
      <c r="H1091" s="1">
        <v>0</v>
      </c>
      <c r="I1091" s="1">
        <f t="shared" ref="I1091:I1154" si="89">IF(AND(F1091&lt;&gt;0, H1091&lt;&gt;0,G1091&lt;&gt;0), 1, 0)</f>
        <v>0</v>
      </c>
    </row>
    <row r="1092" spans="1:9" x14ac:dyDescent="0.25">
      <c r="A1092" s="26">
        <v>46382</v>
      </c>
      <c r="B1092" s="27">
        <f t="shared" si="85"/>
        <v>2026</v>
      </c>
      <c r="C1092" s="27">
        <f t="shared" si="86"/>
        <v>12</v>
      </c>
      <c r="D1092" s="27">
        <f t="shared" si="87"/>
        <v>26</v>
      </c>
      <c r="E1092" s="27">
        <f t="shared" si="88"/>
        <v>7</v>
      </c>
      <c r="F1092" s="27">
        <f>VLOOKUP(E1092,[2]t_calendarioPolitica!A:C,3,FALSE)</f>
        <v>2</v>
      </c>
      <c r="G1092" s="1">
        <v>1</v>
      </c>
      <c r="H1092" s="1">
        <v>1</v>
      </c>
      <c r="I1092" s="1">
        <f t="shared" si="89"/>
        <v>1</v>
      </c>
    </row>
    <row r="1093" spans="1:9" x14ac:dyDescent="0.25">
      <c r="A1093" s="26">
        <v>46383</v>
      </c>
      <c r="B1093" s="27">
        <f t="shared" si="85"/>
        <v>2026</v>
      </c>
      <c r="C1093" s="27">
        <f t="shared" si="86"/>
        <v>12</v>
      </c>
      <c r="D1093" s="27">
        <f t="shared" si="87"/>
        <v>27</v>
      </c>
      <c r="E1093" s="27">
        <f t="shared" si="88"/>
        <v>1</v>
      </c>
      <c r="F1093" s="27">
        <f>VLOOKUP(E1093,[2]t_calendarioPolitica!A:C,3,FALSE)</f>
        <v>0</v>
      </c>
      <c r="G1093" s="1">
        <v>1</v>
      </c>
      <c r="H1093" s="1">
        <v>1</v>
      </c>
      <c r="I1093" s="1">
        <f t="shared" si="89"/>
        <v>0</v>
      </c>
    </row>
    <row r="1094" spans="1:9" x14ac:dyDescent="0.25">
      <c r="A1094" s="26">
        <v>46384</v>
      </c>
      <c r="B1094" s="27">
        <f t="shared" si="85"/>
        <v>2026</v>
      </c>
      <c r="C1094" s="27">
        <f t="shared" si="86"/>
        <v>12</v>
      </c>
      <c r="D1094" s="27">
        <f t="shared" si="87"/>
        <v>28</v>
      </c>
      <c r="E1094" s="27">
        <f t="shared" si="88"/>
        <v>2</v>
      </c>
      <c r="F1094" s="27">
        <f>VLOOKUP(E1094,[2]t_calendarioPolitica!A:C,3,FALSE)</f>
        <v>1</v>
      </c>
      <c r="G1094" s="1">
        <v>1</v>
      </c>
      <c r="H1094" s="1">
        <v>1</v>
      </c>
      <c r="I1094" s="1">
        <f t="shared" si="89"/>
        <v>1</v>
      </c>
    </row>
    <row r="1095" spans="1:9" x14ac:dyDescent="0.25">
      <c r="A1095" s="26">
        <v>46385</v>
      </c>
      <c r="B1095" s="27">
        <f t="shared" si="85"/>
        <v>2026</v>
      </c>
      <c r="C1095" s="27">
        <f t="shared" si="86"/>
        <v>12</v>
      </c>
      <c r="D1095" s="27">
        <f t="shared" si="87"/>
        <v>29</v>
      </c>
      <c r="E1095" s="27">
        <f t="shared" si="88"/>
        <v>3</v>
      </c>
      <c r="F1095" s="27">
        <f>VLOOKUP(E1095,[2]t_calendarioPolitica!A:C,3,FALSE)</f>
        <v>1</v>
      </c>
      <c r="G1095" s="1">
        <v>1</v>
      </c>
      <c r="H1095" s="1">
        <v>1</v>
      </c>
      <c r="I1095" s="1">
        <f t="shared" si="89"/>
        <v>1</v>
      </c>
    </row>
    <row r="1096" spans="1:9" x14ac:dyDescent="0.25">
      <c r="A1096" s="26">
        <v>46386</v>
      </c>
      <c r="B1096" s="27">
        <f t="shared" si="85"/>
        <v>2026</v>
      </c>
      <c r="C1096" s="27">
        <f t="shared" si="86"/>
        <v>12</v>
      </c>
      <c r="D1096" s="27">
        <f t="shared" si="87"/>
        <v>30</v>
      </c>
      <c r="E1096" s="27">
        <f t="shared" si="88"/>
        <v>4</v>
      </c>
      <c r="F1096" s="27">
        <f>VLOOKUP(E1096,[2]t_calendarioPolitica!A:C,3,FALSE)</f>
        <v>1</v>
      </c>
      <c r="G1096" s="1">
        <v>1</v>
      </c>
      <c r="H1096" s="1">
        <v>1</v>
      </c>
      <c r="I1096" s="1">
        <f t="shared" si="89"/>
        <v>1</v>
      </c>
    </row>
    <row r="1097" spans="1:9" x14ac:dyDescent="0.25">
      <c r="A1097" s="26">
        <v>46387</v>
      </c>
      <c r="B1097" s="27">
        <f t="shared" si="85"/>
        <v>2026</v>
      </c>
      <c r="C1097" s="27">
        <f t="shared" si="86"/>
        <v>12</v>
      </c>
      <c r="D1097" s="27">
        <f t="shared" si="87"/>
        <v>31</v>
      </c>
      <c r="E1097" s="27">
        <f t="shared" si="88"/>
        <v>5</v>
      </c>
      <c r="F1097" s="27">
        <f>VLOOKUP(E1097,[2]t_calendarioPolitica!A:C,3,FALSE)</f>
        <v>1</v>
      </c>
      <c r="G1097" s="1">
        <v>1</v>
      </c>
      <c r="H1097" s="1">
        <v>0</v>
      </c>
      <c r="I1097" s="1">
        <f t="shared" si="89"/>
        <v>0</v>
      </c>
    </row>
    <row r="1098" spans="1:9" x14ac:dyDescent="0.25">
      <c r="A1098" s="26">
        <v>46388</v>
      </c>
      <c r="B1098" s="27">
        <f t="shared" si="85"/>
        <v>2027</v>
      </c>
      <c r="C1098" s="27">
        <f t="shared" si="86"/>
        <v>1</v>
      </c>
      <c r="D1098" s="27">
        <f t="shared" si="87"/>
        <v>1</v>
      </c>
      <c r="E1098" s="27">
        <f t="shared" si="88"/>
        <v>6</v>
      </c>
      <c r="F1098" s="27">
        <f>VLOOKUP(E1098,[2]t_calendarioPolitica!A:C,3,FALSE)</f>
        <v>1</v>
      </c>
      <c r="G1098" s="1">
        <v>0</v>
      </c>
      <c r="H1098" s="1">
        <v>1</v>
      </c>
      <c r="I1098" s="1">
        <f t="shared" si="89"/>
        <v>0</v>
      </c>
    </row>
    <row r="1099" spans="1:9" x14ac:dyDescent="0.25">
      <c r="A1099" s="26">
        <v>46389</v>
      </c>
      <c r="B1099" s="27">
        <f t="shared" si="85"/>
        <v>2027</v>
      </c>
      <c r="C1099" s="27">
        <f t="shared" si="86"/>
        <v>1</v>
      </c>
      <c r="D1099" s="27">
        <f t="shared" si="87"/>
        <v>2</v>
      </c>
      <c r="E1099" s="27">
        <f t="shared" si="88"/>
        <v>7</v>
      </c>
      <c r="F1099" s="27">
        <f>VLOOKUP(E1099,[2]t_calendarioPolitica!A:C,3,FALSE)</f>
        <v>2</v>
      </c>
      <c r="G1099" s="1">
        <v>1</v>
      </c>
      <c r="H1099" s="1">
        <v>1</v>
      </c>
      <c r="I1099" s="1">
        <f t="shared" si="89"/>
        <v>1</v>
      </c>
    </row>
    <row r="1100" spans="1:9" x14ac:dyDescent="0.25">
      <c r="A1100" s="26">
        <v>46390</v>
      </c>
      <c r="B1100" s="27">
        <f t="shared" si="85"/>
        <v>2027</v>
      </c>
      <c r="C1100" s="27">
        <f t="shared" si="86"/>
        <v>1</v>
      </c>
      <c r="D1100" s="27">
        <f t="shared" si="87"/>
        <v>3</v>
      </c>
      <c r="E1100" s="27">
        <f t="shared" si="88"/>
        <v>1</v>
      </c>
      <c r="F1100" s="27">
        <f>VLOOKUP(E1100,[2]t_calendarioPolitica!A:C,3,FALSE)</f>
        <v>0</v>
      </c>
      <c r="G1100" s="1">
        <v>1</v>
      </c>
      <c r="H1100" s="1">
        <v>1</v>
      </c>
      <c r="I1100" s="1">
        <f t="shared" si="89"/>
        <v>0</v>
      </c>
    </row>
    <row r="1101" spans="1:9" x14ac:dyDescent="0.25">
      <c r="A1101" s="26">
        <v>46391</v>
      </c>
      <c r="B1101" s="27">
        <f t="shared" si="85"/>
        <v>2027</v>
      </c>
      <c r="C1101" s="27">
        <f t="shared" si="86"/>
        <v>1</v>
      </c>
      <c r="D1101" s="27">
        <f t="shared" si="87"/>
        <v>4</v>
      </c>
      <c r="E1101" s="27">
        <f t="shared" si="88"/>
        <v>2</v>
      </c>
      <c r="F1101" s="27">
        <f>VLOOKUP(E1101,[2]t_calendarioPolitica!A:C,3,FALSE)</f>
        <v>1</v>
      </c>
      <c r="G1101" s="1">
        <v>1</v>
      </c>
      <c r="H1101" s="1">
        <v>1</v>
      </c>
      <c r="I1101" s="1">
        <f t="shared" si="89"/>
        <v>1</v>
      </c>
    </row>
    <row r="1102" spans="1:9" x14ac:dyDescent="0.25">
      <c r="A1102" s="26">
        <v>46392</v>
      </c>
      <c r="B1102" s="27">
        <f t="shared" si="85"/>
        <v>2027</v>
      </c>
      <c r="C1102" s="27">
        <f t="shared" si="86"/>
        <v>1</v>
      </c>
      <c r="D1102" s="27">
        <f t="shared" si="87"/>
        <v>5</v>
      </c>
      <c r="E1102" s="27">
        <f t="shared" si="88"/>
        <v>3</v>
      </c>
      <c r="F1102" s="27">
        <f>VLOOKUP(E1102,[2]t_calendarioPolitica!A:C,3,FALSE)</f>
        <v>1</v>
      </c>
      <c r="G1102" s="1">
        <v>1</v>
      </c>
      <c r="H1102" s="1">
        <v>1</v>
      </c>
      <c r="I1102" s="1">
        <f t="shared" si="89"/>
        <v>1</v>
      </c>
    </row>
    <row r="1103" spans="1:9" x14ac:dyDescent="0.25">
      <c r="A1103" s="26">
        <v>46393</v>
      </c>
      <c r="B1103" s="27">
        <f t="shared" si="85"/>
        <v>2027</v>
      </c>
      <c r="C1103" s="27">
        <f t="shared" si="86"/>
        <v>1</v>
      </c>
      <c r="D1103" s="27">
        <f t="shared" si="87"/>
        <v>6</v>
      </c>
      <c r="E1103" s="27">
        <f t="shared" si="88"/>
        <v>4</v>
      </c>
      <c r="F1103" s="27">
        <f>VLOOKUP(E1103,[2]t_calendarioPolitica!A:C,3,FALSE)</f>
        <v>1</v>
      </c>
      <c r="G1103" s="1">
        <v>1</v>
      </c>
      <c r="H1103" s="1">
        <v>1</v>
      </c>
      <c r="I1103" s="1">
        <f t="shared" si="89"/>
        <v>1</v>
      </c>
    </row>
    <row r="1104" spans="1:9" x14ac:dyDescent="0.25">
      <c r="A1104" s="26">
        <v>46394</v>
      </c>
      <c r="B1104" s="27">
        <f t="shared" si="85"/>
        <v>2027</v>
      </c>
      <c r="C1104" s="27">
        <f t="shared" si="86"/>
        <v>1</v>
      </c>
      <c r="D1104" s="27">
        <f t="shared" si="87"/>
        <v>7</v>
      </c>
      <c r="E1104" s="27">
        <f t="shared" si="88"/>
        <v>5</v>
      </c>
      <c r="F1104" s="27">
        <f>VLOOKUP(E1104,[2]t_calendarioPolitica!A:C,3,FALSE)</f>
        <v>1</v>
      </c>
      <c r="G1104" s="1">
        <v>1</v>
      </c>
      <c r="H1104" s="1">
        <v>1</v>
      </c>
      <c r="I1104" s="1">
        <f t="shared" si="89"/>
        <v>1</v>
      </c>
    </row>
    <row r="1105" spans="1:9" x14ac:dyDescent="0.25">
      <c r="A1105" s="26">
        <v>46395</v>
      </c>
      <c r="B1105" s="27">
        <f t="shared" si="85"/>
        <v>2027</v>
      </c>
      <c r="C1105" s="27">
        <f t="shared" si="86"/>
        <v>1</v>
      </c>
      <c r="D1105" s="27">
        <f t="shared" si="87"/>
        <v>8</v>
      </c>
      <c r="E1105" s="27">
        <f t="shared" si="88"/>
        <v>6</v>
      </c>
      <c r="F1105" s="27">
        <f>VLOOKUP(E1105,[2]t_calendarioPolitica!A:C,3,FALSE)</f>
        <v>1</v>
      </c>
      <c r="G1105" s="1">
        <v>1</v>
      </c>
      <c r="H1105" s="1">
        <v>1</v>
      </c>
      <c r="I1105" s="1">
        <f t="shared" si="89"/>
        <v>1</v>
      </c>
    </row>
    <row r="1106" spans="1:9" x14ac:dyDescent="0.25">
      <c r="A1106" s="26">
        <v>46396</v>
      </c>
      <c r="B1106" s="27">
        <f t="shared" si="85"/>
        <v>2027</v>
      </c>
      <c r="C1106" s="27">
        <f t="shared" si="86"/>
        <v>1</v>
      </c>
      <c r="D1106" s="27">
        <f t="shared" si="87"/>
        <v>9</v>
      </c>
      <c r="E1106" s="27">
        <f t="shared" si="88"/>
        <v>7</v>
      </c>
      <c r="F1106" s="27">
        <f>VLOOKUP(E1106,[2]t_calendarioPolitica!A:C,3,FALSE)</f>
        <v>2</v>
      </c>
      <c r="G1106" s="1">
        <v>1</v>
      </c>
      <c r="H1106" s="1">
        <v>1</v>
      </c>
      <c r="I1106" s="1">
        <f t="shared" si="89"/>
        <v>1</v>
      </c>
    </row>
    <row r="1107" spans="1:9" x14ac:dyDescent="0.25">
      <c r="A1107" s="26">
        <v>46397</v>
      </c>
      <c r="B1107" s="27">
        <f t="shared" si="85"/>
        <v>2027</v>
      </c>
      <c r="C1107" s="27">
        <f t="shared" si="86"/>
        <v>1</v>
      </c>
      <c r="D1107" s="27">
        <f t="shared" si="87"/>
        <v>10</v>
      </c>
      <c r="E1107" s="27">
        <f t="shared" si="88"/>
        <v>1</v>
      </c>
      <c r="F1107" s="27">
        <f>VLOOKUP(E1107,[2]t_calendarioPolitica!A:C,3,FALSE)</f>
        <v>0</v>
      </c>
      <c r="G1107" s="1">
        <v>1</v>
      </c>
      <c r="H1107" s="1">
        <v>1</v>
      </c>
      <c r="I1107" s="1">
        <f t="shared" si="89"/>
        <v>0</v>
      </c>
    </row>
    <row r="1108" spans="1:9" x14ac:dyDescent="0.25">
      <c r="A1108" s="26">
        <v>46398</v>
      </c>
      <c r="B1108" s="27">
        <f t="shared" si="85"/>
        <v>2027</v>
      </c>
      <c r="C1108" s="27">
        <f t="shared" si="86"/>
        <v>1</v>
      </c>
      <c r="D1108" s="27">
        <f t="shared" si="87"/>
        <v>11</v>
      </c>
      <c r="E1108" s="27">
        <f t="shared" si="88"/>
        <v>2</v>
      </c>
      <c r="F1108" s="27">
        <f>VLOOKUP(E1108,[2]t_calendarioPolitica!A:C,3,FALSE)</f>
        <v>1</v>
      </c>
      <c r="G1108" s="1">
        <v>1</v>
      </c>
      <c r="H1108" s="1">
        <v>1</v>
      </c>
      <c r="I1108" s="1">
        <f t="shared" si="89"/>
        <v>1</v>
      </c>
    </row>
    <row r="1109" spans="1:9" x14ac:dyDescent="0.25">
      <c r="A1109" s="26">
        <v>46399</v>
      </c>
      <c r="B1109" s="27">
        <f t="shared" si="85"/>
        <v>2027</v>
      </c>
      <c r="C1109" s="27">
        <f t="shared" si="86"/>
        <v>1</v>
      </c>
      <c r="D1109" s="27">
        <f t="shared" si="87"/>
        <v>12</v>
      </c>
      <c r="E1109" s="27">
        <f t="shared" si="88"/>
        <v>3</v>
      </c>
      <c r="F1109" s="27">
        <f>VLOOKUP(E1109,[2]t_calendarioPolitica!A:C,3,FALSE)</f>
        <v>1</v>
      </c>
      <c r="G1109" s="1">
        <v>1</v>
      </c>
      <c r="H1109" s="1">
        <v>1</v>
      </c>
      <c r="I1109" s="1">
        <f t="shared" si="89"/>
        <v>1</v>
      </c>
    </row>
    <row r="1110" spans="1:9" x14ac:dyDescent="0.25">
      <c r="A1110" s="26">
        <v>46400</v>
      </c>
      <c r="B1110" s="27">
        <f t="shared" si="85"/>
        <v>2027</v>
      </c>
      <c r="C1110" s="27">
        <f t="shared" si="86"/>
        <v>1</v>
      </c>
      <c r="D1110" s="27">
        <f t="shared" si="87"/>
        <v>13</v>
      </c>
      <c r="E1110" s="27">
        <f t="shared" si="88"/>
        <v>4</v>
      </c>
      <c r="F1110" s="27">
        <f>VLOOKUP(E1110,[2]t_calendarioPolitica!A:C,3,FALSE)</f>
        <v>1</v>
      </c>
      <c r="G1110" s="1">
        <v>1</v>
      </c>
      <c r="H1110" s="1">
        <v>1</v>
      </c>
      <c r="I1110" s="1">
        <f t="shared" si="89"/>
        <v>1</v>
      </c>
    </row>
    <row r="1111" spans="1:9" x14ac:dyDescent="0.25">
      <c r="A1111" s="26">
        <v>46401</v>
      </c>
      <c r="B1111" s="27">
        <f t="shared" si="85"/>
        <v>2027</v>
      </c>
      <c r="C1111" s="27">
        <f t="shared" si="86"/>
        <v>1</v>
      </c>
      <c r="D1111" s="27">
        <f t="shared" si="87"/>
        <v>14</v>
      </c>
      <c r="E1111" s="27">
        <f t="shared" si="88"/>
        <v>5</v>
      </c>
      <c r="F1111" s="27">
        <f>VLOOKUP(E1111,[2]t_calendarioPolitica!A:C,3,FALSE)</f>
        <v>1</v>
      </c>
      <c r="G1111" s="1">
        <v>1</v>
      </c>
      <c r="H1111" s="1">
        <v>1</v>
      </c>
      <c r="I1111" s="1">
        <f t="shared" si="89"/>
        <v>1</v>
      </c>
    </row>
    <row r="1112" spans="1:9" x14ac:dyDescent="0.25">
      <c r="A1112" s="26">
        <v>46402</v>
      </c>
      <c r="B1112" s="27">
        <f t="shared" si="85"/>
        <v>2027</v>
      </c>
      <c r="C1112" s="27">
        <f t="shared" si="86"/>
        <v>1</v>
      </c>
      <c r="D1112" s="27">
        <f t="shared" si="87"/>
        <v>15</v>
      </c>
      <c r="E1112" s="27">
        <f t="shared" si="88"/>
        <v>6</v>
      </c>
      <c r="F1112" s="27">
        <f>VLOOKUP(E1112,[2]t_calendarioPolitica!A:C,3,FALSE)</f>
        <v>1</v>
      </c>
      <c r="G1112" s="1">
        <v>1</v>
      </c>
      <c r="H1112" s="1">
        <v>1</v>
      </c>
      <c r="I1112" s="1">
        <f t="shared" si="89"/>
        <v>1</v>
      </c>
    </row>
    <row r="1113" spans="1:9" x14ac:dyDescent="0.25">
      <c r="A1113" s="26">
        <v>46403</v>
      </c>
      <c r="B1113" s="27">
        <f t="shared" si="85"/>
        <v>2027</v>
      </c>
      <c r="C1113" s="27">
        <f t="shared" si="86"/>
        <v>1</v>
      </c>
      <c r="D1113" s="27">
        <f t="shared" si="87"/>
        <v>16</v>
      </c>
      <c r="E1113" s="27">
        <f t="shared" si="88"/>
        <v>7</v>
      </c>
      <c r="F1113" s="27">
        <f>VLOOKUP(E1113,[2]t_calendarioPolitica!A:C,3,FALSE)</f>
        <v>2</v>
      </c>
      <c r="G1113" s="1">
        <v>1</v>
      </c>
      <c r="H1113" s="1">
        <v>1</v>
      </c>
      <c r="I1113" s="1">
        <f t="shared" si="89"/>
        <v>1</v>
      </c>
    </row>
    <row r="1114" spans="1:9" x14ac:dyDescent="0.25">
      <c r="A1114" s="26">
        <v>46404</v>
      </c>
      <c r="B1114" s="27">
        <f t="shared" si="85"/>
        <v>2027</v>
      </c>
      <c r="C1114" s="27">
        <f t="shared" si="86"/>
        <v>1</v>
      </c>
      <c r="D1114" s="27">
        <f t="shared" si="87"/>
        <v>17</v>
      </c>
      <c r="E1114" s="27">
        <f t="shared" si="88"/>
        <v>1</v>
      </c>
      <c r="F1114" s="27">
        <f>VLOOKUP(E1114,[2]t_calendarioPolitica!A:C,3,FALSE)</f>
        <v>0</v>
      </c>
      <c r="G1114" s="1">
        <v>1</v>
      </c>
      <c r="H1114" s="1">
        <v>1</v>
      </c>
      <c r="I1114" s="1">
        <f t="shared" si="89"/>
        <v>0</v>
      </c>
    </row>
    <row r="1115" spans="1:9" x14ac:dyDescent="0.25">
      <c r="A1115" s="26">
        <v>46405</v>
      </c>
      <c r="B1115" s="27">
        <f t="shared" si="85"/>
        <v>2027</v>
      </c>
      <c r="C1115" s="27">
        <f t="shared" si="86"/>
        <v>1</v>
      </c>
      <c r="D1115" s="27">
        <f t="shared" si="87"/>
        <v>18</v>
      </c>
      <c r="E1115" s="27">
        <f t="shared" si="88"/>
        <v>2</v>
      </c>
      <c r="F1115" s="27">
        <f>VLOOKUP(E1115,[2]t_calendarioPolitica!A:C,3,FALSE)</f>
        <v>1</v>
      </c>
      <c r="G1115" s="1">
        <v>1</v>
      </c>
      <c r="H1115" s="1">
        <v>1</v>
      </c>
      <c r="I1115" s="1">
        <f t="shared" si="89"/>
        <v>1</v>
      </c>
    </row>
    <row r="1116" spans="1:9" x14ac:dyDescent="0.25">
      <c r="A1116" s="26">
        <v>46406</v>
      </c>
      <c r="B1116" s="27">
        <f t="shared" si="85"/>
        <v>2027</v>
      </c>
      <c r="C1116" s="27">
        <f t="shared" si="86"/>
        <v>1</v>
      </c>
      <c r="D1116" s="27">
        <f t="shared" si="87"/>
        <v>19</v>
      </c>
      <c r="E1116" s="27">
        <f t="shared" si="88"/>
        <v>3</v>
      </c>
      <c r="F1116" s="27">
        <f>VLOOKUP(E1116,[2]t_calendarioPolitica!A:C,3,FALSE)</f>
        <v>1</v>
      </c>
      <c r="G1116" s="1">
        <v>1</v>
      </c>
      <c r="H1116" s="1">
        <v>1</v>
      </c>
      <c r="I1116" s="1">
        <f t="shared" si="89"/>
        <v>1</v>
      </c>
    </row>
    <row r="1117" spans="1:9" x14ac:dyDescent="0.25">
      <c r="A1117" s="26">
        <v>46407</v>
      </c>
      <c r="B1117" s="27">
        <f t="shared" si="85"/>
        <v>2027</v>
      </c>
      <c r="C1117" s="27">
        <f t="shared" si="86"/>
        <v>1</v>
      </c>
      <c r="D1117" s="27">
        <f t="shared" si="87"/>
        <v>20</v>
      </c>
      <c r="E1117" s="27">
        <f t="shared" si="88"/>
        <v>4</v>
      </c>
      <c r="F1117" s="27">
        <f>VLOOKUP(E1117,[2]t_calendarioPolitica!A:C,3,FALSE)</f>
        <v>1</v>
      </c>
      <c r="G1117" s="1">
        <v>1</v>
      </c>
      <c r="H1117" s="1">
        <v>1</v>
      </c>
      <c r="I1117" s="1">
        <f t="shared" si="89"/>
        <v>1</v>
      </c>
    </row>
    <row r="1118" spans="1:9" x14ac:dyDescent="0.25">
      <c r="A1118" s="26">
        <v>46408</v>
      </c>
      <c r="B1118" s="27">
        <f t="shared" si="85"/>
        <v>2027</v>
      </c>
      <c r="C1118" s="27">
        <f t="shared" si="86"/>
        <v>1</v>
      </c>
      <c r="D1118" s="27">
        <f t="shared" si="87"/>
        <v>21</v>
      </c>
      <c r="E1118" s="27">
        <f t="shared" si="88"/>
        <v>5</v>
      </c>
      <c r="F1118" s="27">
        <f>VLOOKUP(E1118,[2]t_calendarioPolitica!A:C,3,FALSE)</f>
        <v>1</v>
      </c>
      <c r="G1118" s="1">
        <v>1</v>
      </c>
      <c r="H1118" s="1">
        <v>1</v>
      </c>
      <c r="I1118" s="1">
        <f t="shared" si="89"/>
        <v>1</v>
      </c>
    </row>
    <row r="1119" spans="1:9" x14ac:dyDescent="0.25">
      <c r="A1119" s="26">
        <v>46409</v>
      </c>
      <c r="B1119" s="27">
        <f t="shared" si="85"/>
        <v>2027</v>
      </c>
      <c r="C1119" s="27">
        <f t="shared" si="86"/>
        <v>1</v>
      </c>
      <c r="D1119" s="27">
        <f t="shared" si="87"/>
        <v>22</v>
      </c>
      <c r="E1119" s="27">
        <f t="shared" si="88"/>
        <v>6</v>
      </c>
      <c r="F1119" s="27">
        <f>VLOOKUP(E1119,[2]t_calendarioPolitica!A:C,3,FALSE)</f>
        <v>1</v>
      </c>
      <c r="G1119" s="1">
        <v>1</v>
      </c>
      <c r="H1119" s="1">
        <v>1</v>
      </c>
      <c r="I1119" s="1">
        <f t="shared" si="89"/>
        <v>1</v>
      </c>
    </row>
    <row r="1120" spans="1:9" x14ac:dyDescent="0.25">
      <c r="A1120" s="26">
        <v>46410</v>
      </c>
      <c r="B1120" s="27">
        <f t="shared" si="85"/>
        <v>2027</v>
      </c>
      <c r="C1120" s="27">
        <f t="shared" si="86"/>
        <v>1</v>
      </c>
      <c r="D1120" s="27">
        <f t="shared" si="87"/>
        <v>23</v>
      </c>
      <c r="E1120" s="27">
        <f t="shared" si="88"/>
        <v>7</v>
      </c>
      <c r="F1120" s="27">
        <f>VLOOKUP(E1120,[2]t_calendarioPolitica!A:C,3,FALSE)</f>
        <v>2</v>
      </c>
      <c r="G1120" s="1">
        <v>1</v>
      </c>
      <c r="H1120" s="1">
        <v>1</v>
      </c>
      <c r="I1120" s="1">
        <f t="shared" si="89"/>
        <v>1</v>
      </c>
    </row>
    <row r="1121" spans="1:9" x14ac:dyDescent="0.25">
      <c r="A1121" s="26">
        <v>46411</v>
      </c>
      <c r="B1121" s="27">
        <f t="shared" si="85"/>
        <v>2027</v>
      </c>
      <c r="C1121" s="27">
        <f t="shared" si="86"/>
        <v>1</v>
      </c>
      <c r="D1121" s="27">
        <f t="shared" si="87"/>
        <v>24</v>
      </c>
      <c r="E1121" s="27">
        <f t="shared" si="88"/>
        <v>1</v>
      </c>
      <c r="F1121" s="27">
        <f>VLOOKUP(E1121,[2]t_calendarioPolitica!A:C,3,FALSE)</f>
        <v>0</v>
      </c>
      <c r="G1121" s="1">
        <v>1</v>
      </c>
      <c r="H1121" s="1">
        <v>1</v>
      </c>
      <c r="I1121" s="1">
        <f t="shared" si="89"/>
        <v>0</v>
      </c>
    </row>
    <row r="1122" spans="1:9" x14ac:dyDescent="0.25">
      <c r="A1122" s="26">
        <v>46412</v>
      </c>
      <c r="B1122" s="27">
        <f t="shared" si="85"/>
        <v>2027</v>
      </c>
      <c r="C1122" s="27">
        <f t="shared" si="86"/>
        <v>1</v>
      </c>
      <c r="D1122" s="27">
        <f t="shared" si="87"/>
        <v>25</v>
      </c>
      <c r="E1122" s="27">
        <f t="shared" si="88"/>
        <v>2</v>
      </c>
      <c r="F1122" s="27">
        <f>VLOOKUP(E1122,[2]t_calendarioPolitica!A:C,3,FALSE)</f>
        <v>1</v>
      </c>
      <c r="G1122" s="1">
        <v>1</v>
      </c>
      <c r="H1122" s="1">
        <v>1</v>
      </c>
      <c r="I1122" s="1">
        <f t="shared" si="89"/>
        <v>1</v>
      </c>
    </row>
    <row r="1123" spans="1:9" x14ac:dyDescent="0.25">
      <c r="A1123" s="26">
        <v>46413</v>
      </c>
      <c r="B1123" s="27">
        <f t="shared" si="85"/>
        <v>2027</v>
      </c>
      <c r="C1123" s="27">
        <f t="shared" si="86"/>
        <v>1</v>
      </c>
      <c r="D1123" s="27">
        <f t="shared" si="87"/>
        <v>26</v>
      </c>
      <c r="E1123" s="27">
        <f t="shared" si="88"/>
        <v>3</v>
      </c>
      <c r="F1123" s="27">
        <f>VLOOKUP(E1123,[2]t_calendarioPolitica!A:C,3,FALSE)</f>
        <v>1</v>
      </c>
      <c r="G1123" s="1">
        <v>1</v>
      </c>
      <c r="H1123" s="1">
        <v>1</v>
      </c>
      <c r="I1123" s="1">
        <f t="shared" si="89"/>
        <v>1</v>
      </c>
    </row>
    <row r="1124" spans="1:9" x14ac:dyDescent="0.25">
      <c r="A1124" s="26">
        <v>46414</v>
      </c>
      <c r="B1124" s="27">
        <f t="shared" si="85"/>
        <v>2027</v>
      </c>
      <c r="C1124" s="27">
        <f t="shared" si="86"/>
        <v>1</v>
      </c>
      <c r="D1124" s="27">
        <f t="shared" si="87"/>
        <v>27</v>
      </c>
      <c r="E1124" s="27">
        <f t="shared" si="88"/>
        <v>4</v>
      </c>
      <c r="F1124" s="27">
        <f>VLOOKUP(E1124,[2]t_calendarioPolitica!A:C,3,FALSE)</f>
        <v>1</v>
      </c>
      <c r="G1124" s="1">
        <v>1</v>
      </c>
      <c r="H1124" s="1">
        <v>1</v>
      </c>
      <c r="I1124" s="1">
        <f t="shared" si="89"/>
        <v>1</v>
      </c>
    </row>
    <row r="1125" spans="1:9" x14ac:dyDescent="0.25">
      <c r="A1125" s="26">
        <v>46415</v>
      </c>
      <c r="B1125" s="27">
        <f t="shared" si="85"/>
        <v>2027</v>
      </c>
      <c r="C1125" s="27">
        <f t="shared" si="86"/>
        <v>1</v>
      </c>
      <c r="D1125" s="27">
        <f t="shared" si="87"/>
        <v>28</v>
      </c>
      <c r="E1125" s="27">
        <f t="shared" si="88"/>
        <v>5</v>
      </c>
      <c r="F1125" s="27">
        <f>VLOOKUP(E1125,[2]t_calendarioPolitica!A:C,3,FALSE)</f>
        <v>1</v>
      </c>
      <c r="G1125" s="1">
        <v>1</v>
      </c>
      <c r="H1125" s="1">
        <v>1</v>
      </c>
      <c r="I1125" s="1">
        <f t="shared" si="89"/>
        <v>1</v>
      </c>
    </row>
    <row r="1126" spans="1:9" x14ac:dyDescent="0.25">
      <c r="A1126" s="26">
        <v>46416</v>
      </c>
      <c r="B1126" s="27">
        <f t="shared" si="85"/>
        <v>2027</v>
      </c>
      <c r="C1126" s="27">
        <f t="shared" si="86"/>
        <v>1</v>
      </c>
      <c r="D1126" s="27">
        <f t="shared" si="87"/>
        <v>29</v>
      </c>
      <c r="E1126" s="27">
        <f t="shared" si="88"/>
        <v>6</v>
      </c>
      <c r="F1126" s="27">
        <f>VLOOKUP(E1126,[2]t_calendarioPolitica!A:C,3,FALSE)</f>
        <v>1</v>
      </c>
      <c r="G1126" s="1">
        <v>1</v>
      </c>
      <c r="H1126" s="1">
        <v>1</v>
      </c>
      <c r="I1126" s="1">
        <f t="shared" si="89"/>
        <v>1</v>
      </c>
    </row>
    <row r="1127" spans="1:9" x14ac:dyDescent="0.25">
      <c r="A1127" s="26">
        <v>46417</v>
      </c>
      <c r="B1127" s="27">
        <f t="shared" si="85"/>
        <v>2027</v>
      </c>
      <c r="C1127" s="27">
        <f t="shared" si="86"/>
        <v>1</v>
      </c>
      <c r="D1127" s="27">
        <f t="shared" si="87"/>
        <v>30</v>
      </c>
      <c r="E1127" s="27">
        <f t="shared" si="88"/>
        <v>7</v>
      </c>
      <c r="F1127" s="27">
        <f>VLOOKUP(E1127,[2]t_calendarioPolitica!A:C,3,FALSE)</f>
        <v>2</v>
      </c>
      <c r="G1127" s="1">
        <v>1</v>
      </c>
      <c r="H1127" s="1">
        <v>1</v>
      </c>
      <c r="I1127" s="1">
        <f t="shared" si="89"/>
        <v>1</v>
      </c>
    </row>
    <row r="1128" spans="1:9" x14ac:dyDescent="0.25">
      <c r="A1128" s="26">
        <v>46418</v>
      </c>
      <c r="B1128" s="27">
        <f t="shared" si="85"/>
        <v>2027</v>
      </c>
      <c r="C1128" s="27">
        <f t="shared" si="86"/>
        <v>1</v>
      </c>
      <c r="D1128" s="27">
        <f t="shared" si="87"/>
        <v>31</v>
      </c>
      <c r="E1128" s="27">
        <f t="shared" si="88"/>
        <v>1</v>
      </c>
      <c r="F1128" s="27">
        <f>VLOOKUP(E1128,[2]t_calendarioPolitica!A:C,3,FALSE)</f>
        <v>0</v>
      </c>
      <c r="G1128" s="1">
        <v>1</v>
      </c>
      <c r="H1128" s="1">
        <v>1</v>
      </c>
      <c r="I1128" s="1">
        <f t="shared" si="89"/>
        <v>0</v>
      </c>
    </row>
    <row r="1129" spans="1:9" x14ac:dyDescent="0.25">
      <c r="A1129" s="26">
        <v>46419</v>
      </c>
      <c r="B1129" s="27">
        <f t="shared" si="85"/>
        <v>2027</v>
      </c>
      <c r="C1129" s="27">
        <f t="shared" si="86"/>
        <v>2</v>
      </c>
      <c r="D1129" s="27">
        <f t="shared" si="87"/>
        <v>1</v>
      </c>
      <c r="E1129" s="27">
        <f t="shared" si="88"/>
        <v>2</v>
      </c>
      <c r="F1129" s="27">
        <f>VLOOKUP(E1129,[2]t_calendarioPolitica!A:C,3,FALSE)</f>
        <v>1</v>
      </c>
      <c r="G1129" s="1">
        <v>1</v>
      </c>
      <c r="H1129" s="1">
        <v>1</v>
      </c>
      <c r="I1129" s="1">
        <f t="shared" si="89"/>
        <v>1</v>
      </c>
    </row>
    <row r="1130" spans="1:9" x14ac:dyDescent="0.25">
      <c r="A1130" s="26">
        <v>46420</v>
      </c>
      <c r="B1130" s="27">
        <f t="shared" si="85"/>
        <v>2027</v>
      </c>
      <c r="C1130" s="27">
        <f t="shared" si="86"/>
        <v>2</v>
      </c>
      <c r="D1130" s="27">
        <f t="shared" si="87"/>
        <v>2</v>
      </c>
      <c r="E1130" s="27">
        <f t="shared" si="88"/>
        <v>3</v>
      </c>
      <c r="F1130" s="27">
        <f>VLOOKUP(E1130,[2]t_calendarioPolitica!A:C,3,FALSE)</f>
        <v>1</v>
      </c>
      <c r="G1130" s="1">
        <v>1</v>
      </c>
      <c r="H1130" s="1">
        <v>1</v>
      </c>
      <c r="I1130" s="1">
        <f t="shared" si="89"/>
        <v>1</v>
      </c>
    </row>
    <row r="1131" spans="1:9" x14ac:dyDescent="0.25">
      <c r="A1131" s="26">
        <v>46421</v>
      </c>
      <c r="B1131" s="27">
        <f t="shared" si="85"/>
        <v>2027</v>
      </c>
      <c r="C1131" s="27">
        <f t="shared" si="86"/>
        <v>2</v>
      </c>
      <c r="D1131" s="27">
        <f t="shared" si="87"/>
        <v>3</v>
      </c>
      <c r="E1131" s="27">
        <f t="shared" si="88"/>
        <v>4</v>
      </c>
      <c r="F1131" s="27">
        <f>VLOOKUP(E1131,[2]t_calendarioPolitica!A:C,3,FALSE)</f>
        <v>1</v>
      </c>
      <c r="G1131" s="1">
        <v>1</v>
      </c>
      <c r="H1131" s="1">
        <v>1</v>
      </c>
      <c r="I1131" s="1">
        <f t="shared" si="89"/>
        <v>1</v>
      </c>
    </row>
    <row r="1132" spans="1:9" x14ac:dyDescent="0.25">
      <c r="A1132" s="26">
        <v>46422</v>
      </c>
      <c r="B1132" s="27">
        <f t="shared" si="85"/>
        <v>2027</v>
      </c>
      <c r="C1132" s="27">
        <f t="shared" si="86"/>
        <v>2</v>
      </c>
      <c r="D1132" s="27">
        <f t="shared" si="87"/>
        <v>4</v>
      </c>
      <c r="E1132" s="27">
        <f t="shared" si="88"/>
        <v>5</v>
      </c>
      <c r="F1132" s="27">
        <f>VLOOKUP(E1132,[2]t_calendarioPolitica!A:C,3,FALSE)</f>
        <v>1</v>
      </c>
      <c r="G1132" s="1">
        <v>1</v>
      </c>
      <c r="H1132" s="1">
        <v>1</v>
      </c>
      <c r="I1132" s="1">
        <f t="shared" si="89"/>
        <v>1</v>
      </c>
    </row>
    <row r="1133" spans="1:9" x14ac:dyDescent="0.25">
      <c r="A1133" s="26">
        <v>46423</v>
      </c>
      <c r="B1133" s="27">
        <f t="shared" si="85"/>
        <v>2027</v>
      </c>
      <c r="C1133" s="27">
        <f t="shared" si="86"/>
        <v>2</v>
      </c>
      <c r="D1133" s="27">
        <f t="shared" si="87"/>
        <v>5</v>
      </c>
      <c r="E1133" s="27">
        <f t="shared" si="88"/>
        <v>6</v>
      </c>
      <c r="F1133" s="27">
        <f>VLOOKUP(E1133,[2]t_calendarioPolitica!A:C,3,FALSE)</f>
        <v>1</v>
      </c>
      <c r="G1133" s="1">
        <v>1</v>
      </c>
      <c r="H1133" s="1">
        <v>1</v>
      </c>
      <c r="I1133" s="1">
        <f t="shared" si="89"/>
        <v>1</v>
      </c>
    </row>
    <row r="1134" spans="1:9" x14ac:dyDescent="0.25">
      <c r="A1134" s="26">
        <v>46424</v>
      </c>
      <c r="B1134" s="27">
        <f t="shared" si="85"/>
        <v>2027</v>
      </c>
      <c r="C1134" s="27">
        <f t="shared" si="86"/>
        <v>2</v>
      </c>
      <c r="D1134" s="27">
        <f t="shared" si="87"/>
        <v>6</v>
      </c>
      <c r="E1134" s="27">
        <f t="shared" si="88"/>
        <v>7</v>
      </c>
      <c r="F1134" s="27">
        <f>VLOOKUP(E1134,[2]t_calendarioPolitica!A:C,3,FALSE)</f>
        <v>2</v>
      </c>
      <c r="G1134" s="1">
        <v>1</v>
      </c>
      <c r="H1134" s="1">
        <v>1</v>
      </c>
      <c r="I1134" s="1">
        <f t="shared" si="89"/>
        <v>1</v>
      </c>
    </row>
    <row r="1135" spans="1:9" x14ac:dyDescent="0.25">
      <c r="A1135" s="26">
        <v>46425</v>
      </c>
      <c r="B1135" s="27">
        <f t="shared" si="85"/>
        <v>2027</v>
      </c>
      <c r="C1135" s="27">
        <f t="shared" si="86"/>
        <v>2</v>
      </c>
      <c r="D1135" s="27">
        <f t="shared" si="87"/>
        <v>7</v>
      </c>
      <c r="E1135" s="27">
        <f t="shared" si="88"/>
        <v>1</v>
      </c>
      <c r="F1135" s="27">
        <f>VLOOKUP(E1135,[2]t_calendarioPolitica!A:C,3,FALSE)</f>
        <v>0</v>
      </c>
      <c r="G1135" s="1">
        <v>1</v>
      </c>
      <c r="H1135" s="1">
        <v>1</v>
      </c>
      <c r="I1135" s="1">
        <f t="shared" si="89"/>
        <v>0</v>
      </c>
    </row>
    <row r="1136" spans="1:9" x14ac:dyDescent="0.25">
      <c r="A1136" s="26">
        <v>46426</v>
      </c>
      <c r="B1136" s="27">
        <f t="shared" si="85"/>
        <v>2027</v>
      </c>
      <c r="C1136" s="27">
        <f t="shared" si="86"/>
        <v>2</v>
      </c>
      <c r="D1136" s="27">
        <f t="shared" si="87"/>
        <v>8</v>
      </c>
      <c r="E1136" s="27">
        <f t="shared" si="88"/>
        <v>2</v>
      </c>
      <c r="F1136" s="27">
        <f>VLOOKUP(E1136,[2]t_calendarioPolitica!A:C,3,FALSE)</f>
        <v>1</v>
      </c>
      <c r="G1136" s="1">
        <v>1</v>
      </c>
      <c r="H1136" s="1">
        <v>1</v>
      </c>
      <c r="I1136" s="1">
        <f t="shared" si="89"/>
        <v>1</v>
      </c>
    </row>
    <row r="1137" spans="1:9" x14ac:dyDescent="0.25">
      <c r="A1137" s="26">
        <v>46427</v>
      </c>
      <c r="B1137" s="27">
        <f t="shared" si="85"/>
        <v>2027</v>
      </c>
      <c r="C1137" s="27">
        <f t="shared" si="86"/>
        <v>2</v>
      </c>
      <c r="D1137" s="27">
        <f t="shared" si="87"/>
        <v>9</v>
      </c>
      <c r="E1137" s="27">
        <f t="shared" si="88"/>
        <v>3</v>
      </c>
      <c r="F1137" s="27">
        <f>VLOOKUP(E1137,[2]t_calendarioPolitica!A:C,3,FALSE)</f>
        <v>1</v>
      </c>
      <c r="G1137" s="1">
        <v>1</v>
      </c>
      <c r="H1137" s="1">
        <v>1</v>
      </c>
      <c r="I1137" s="1">
        <f t="shared" si="89"/>
        <v>1</v>
      </c>
    </row>
    <row r="1138" spans="1:9" x14ac:dyDescent="0.25">
      <c r="A1138" s="26">
        <v>46428</v>
      </c>
      <c r="B1138" s="27">
        <f t="shared" si="85"/>
        <v>2027</v>
      </c>
      <c r="C1138" s="27">
        <f t="shared" si="86"/>
        <v>2</v>
      </c>
      <c r="D1138" s="27">
        <f t="shared" si="87"/>
        <v>10</v>
      </c>
      <c r="E1138" s="27">
        <f t="shared" si="88"/>
        <v>4</v>
      </c>
      <c r="F1138" s="27">
        <f>VLOOKUP(E1138,[2]t_calendarioPolitica!A:C,3,FALSE)</f>
        <v>1</v>
      </c>
      <c r="G1138" s="1">
        <v>1</v>
      </c>
      <c r="H1138" s="1">
        <v>1</v>
      </c>
      <c r="I1138" s="1">
        <f t="shared" si="89"/>
        <v>1</v>
      </c>
    </row>
    <row r="1139" spans="1:9" x14ac:dyDescent="0.25">
      <c r="A1139" s="26">
        <v>46429</v>
      </c>
      <c r="B1139" s="27">
        <f t="shared" si="85"/>
        <v>2027</v>
      </c>
      <c r="C1139" s="27">
        <f t="shared" si="86"/>
        <v>2</v>
      </c>
      <c r="D1139" s="27">
        <f t="shared" si="87"/>
        <v>11</v>
      </c>
      <c r="E1139" s="27">
        <f t="shared" si="88"/>
        <v>5</v>
      </c>
      <c r="F1139" s="27">
        <f>VLOOKUP(E1139,[2]t_calendarioPolitica!A:C,3,FALSE)</f>
        <v>1</v>
      </c>
      <c r="G1139" s="1">
        <v>1</v>
      </c>
      <c r="H1139" s="1">
        <v>1</v>
      </c>
      <c r="I1139" s="1">
        <f t="shared" si="89"/>
        <v>1</v>
      </c>
    </row>
    <row r="1140" spans="1:9" x14ac:dyDescent="0.25">
      <c r="A1140" s="26">
        <v>46430</v>
      </c>
      <c r="B1140" s="27">
        <f t="shared" si="85"/>
        <v>2027</v>
      </c>
      <c r="C1140" s="27">
        <f t="shared" si="86"/>
        <v>2</v>
      </c>
      <c r="D1140" s="27">
        <f t="shared" si="87"/>
        <v>12</v>
      </c>
      <c r="E1140" s="27">
        <f t="shared" si="88"/>
        <v>6</v>
      </c>
      <c r="F1140" s="27">
        <f>VLOOKUP(E1140,[2]t_calendarioPolitica!A:C,3,FALSE)</f>
        <v>1</v>
      </c>
      <c r="G1140" s="1">
        <v>1</v>
      </c>
      <c r="H1140" s="1">
        <v>1</v>
      </c>
      <c r="I1140" s="1">
        <f t="shared" si="89"/>
        <v>1</v>
      </c>
    </row>
    <row r="1141" spans="1:9" x14ac:dyDescent="0.25">
      <c r="A1141" s="26">
        <v>46431</v>
      </c>
      <c r="B1141" s="27">
        <f t="shared" si="85"/>
        <v>2027</v>
      </c>
      <c r="C1141" s="27">
        <f t="shared" si="86"/>
        <v>2</v>
      </c>
      <c r="D1141" s="27">
        <f t="shared" si="87"/>
        <v>13</v>
      </c>
      <c r="E1141" s="27">
        <f t="shared" si="88"/>
        <v>7</v>
      </c>
      <c r="F1141" s="27">
        <f>VLOOKUP(E1141,[2]t_calendarioPolitica!A:C,3,FALSE)</f>
        <v>2</v>
      </c>
      <c r="G1141" s="1">
        <v>1</v>
      </c>
      <c r="H1141" s="1">
        <v>1</v>
      </c>
      <c r="I1141" s="1">
        <f t="shared" si="89"/>
        <v>1</v>
      </c>
    </row>
    <row r="1142" spans="1:9" x14ac:dyDescent="0.25">
      <c r="A1142" s="26">
        <v>46432</v>
      </c>
      <c r="B1142" s="27">
        <f t="shared" si="85"/>
        <v>2027</v>
      </c>
      <c r="C1142" s="27">
        <f t="shared" si="86"/>
        <v>2</v>
      </c>
      <c r="D1142" s="27">
        <f t="shared" si="87"/>
        <v>14</v>
      </c>
      <c r="E1142" s="27">
        <f t="shared" si="88"/>
        <v>1</v>
      </c>
      <c r="F1142" s="27">
        <f>VLOOKUP(E1142,[2]t_calendarioPolitica!A:C,3,FALSE)</f>
        <v>0</v>
      </c>
      <c r="G1142" s="1">
        <v>1</v>
      </c>
      <c r="H1142" s="1">
        <v>1</v>
      </c>
      <c r="I1142" s="1">
        <f t="shared" si="89"/>
        <v>0</v>
      </c>
    </row>
    <row r="1143" spans="1:9" x14ac:dyDescent="0.25">
      <c r="A1143" s="26">
        <v>46433</v>
      </c>
      <c r="B1143" s="27">
        <f t="shared" si="85"/>
        <v>2027</v>
      </c>
      <c r="C1143" s="27">
        <f t="shared" si="86"/>
        <v>2</v>
      </c>
      <c r="D1143" s="27">
        <f t="shared" si="87"/>
        <v>15</v>
      </c>
      <c r="E1143" s="27">
        <f t="shared" si="88"/>
        <v>2</v>
      </c>
      <c r="F1143" s="27">
        <f>VLOOKUP(E1143,[2]t_calendarioPolitica!A:C,3,FALSE)</f>
        <v>1</v>
      </c>
      <c r="G1143" s="1">
        <v>1</v>
      </c>
      <c r="H1143" s="1">
        <v>1</v>
      </c>
      <c r="I1143" s="1">
        <f t="shared" si="89"/>
        <v>1</v>
      </c>
    </row>
    <row r="1144" spans="1:9" x14ac:dyDescent="0.25">
      <c r="A1144" s="26">
        <v>46434</v>
      </c>
      <c r="B1144" s="27">
        <f t="shared" si="85"/>
        <v>2027</v>
      </c>
      <c r="C1144" s="27">
        <f t="shared" si="86"/>
        <v>2</v>
      </c>
      <c r="D1144" s="27">
        <f t="shared" si="87"/>
        <v>16</v>
      </c>
      <c r="E1144" s="27">
        <f t="shared" si="88"/>
        <v>3</v>
      </c>
      <c r="F1144" s="27">
        <f>VLOOKUP(E1144,[2]t_calendarioPolitica!A:C,3,FALSE)</f>
        <v>1</v>
      </c>
      <c r="G1144" s="1">
        <v>1</v>
      </c>
      <c r="H1144" s="1">
        <v>1</v>
      </c>
      <c r="I1144" s="1">
        <f t="shared" si="89"/>
        <v>1</v>
      </c>
    </row>
    <row r="1145" spans="1:9" x14ac:dyDescent="0.25">
      <c r="A1145" s="26">
        <v>46435</v>
      </c>
      <c r="B1145" s="27">
        <f t="shared" si="85"/>
        <v>2027</v>
      </c>
      <c r="C1145" s="27">
        <f t="shared" si="86"/>
        <v>2</v>
      </c>
      <c r="D1145" s="27">
        <f t="shared" si="87"/>
        <v>17</v>
      </c>
      <c r="E1145" s="27">
        <f t="shared" si="88"/>
        <v>4</v>
      </c>
      <c r="F1145" s="27">
        <f>VLOOKUP(E1145,[2]t_calendarioPolitica!A:C,3,FALSE)</f>
        <v>1</v>
      </c>
      <c r="G1145" s="1">
        <v>1</v>
      </c>
      <c r="H1145" s="1">
        <v>1</v>
      </c>
      <c r="I1145" s="1">
        <f t="shared" si="89"/>
        <v>1</v>
      </c>
    </row>
    <row r="1146" spans="1:9" x14ac:dyDescent="0.25">
      <c r="A1146" s="26">
        <v>46436</v>
      </c>
      <c r="B1146" s="27">
        <f t="shared" si="85"/>
        <v>2027</v>
      </c>
      <c r="C1146" s="27">
        <f t="shared" si="86"/>
        <v>2</v>
      </c>
      <c r="D1146" s="27">
        <f t="shared" si="87"/>
        <v>18</v>
      </c>
      <c r="E1146" s="27">
        <f t="shared" si="88"/>
        <v>5</v>
      </c>
      <c r="F1146" s="27">
        <f>VLOOKUP(E1146,[2]t_calendarioPolitica!A:C,3,FALSE)</f>
        <v>1</v>
      </c>
      <c r="G1146" s="1">
        <v>1</v>
      </c>
      <c r="H1146" s="1">
        <v>1</v>
      </c>
      <c r="I1146" s="1">
        <f t="shared" si="89"/>
        <v>1</v>
      </c>
    </row>
    <row r="1147" spans="1:9" x14ac:dyDescent="0.25">
      <c r="A1147" s="26">
        <v>46437</v>
      </c>
      <c r="B1147" s="27">
        <f t="shared" si="85"/>
        <v>2027</v>
      </c>
      <c r="C1147" s="27">
        <f t="shared" si="86"/>
        <v>2</v>
      </c>
      <c r="D1147" s="27">
        <f t="shared" si="87"/>
        <v>19</v>
      </c>
      <c r="E1147" s="27">
        <f t="shared" si="88"/>
        <v>6</v>
      </c>
      <c r="F1147" s="27">
        <f>VLOOKUP(E1147,[2]t_calendarioPolitica!A:C,3,FALSE)</f>
        <v>1</v>
      </c>
      <c r="G1147" s="1">
        <v>1</v>
      </c>
      <c r="H1147" s="1">
        <v>1</v>
      </c>
      <c r="I1147" s="1">
        <f t="shared" si="89"/>
        <v>1</v>
      </c>
    </row>
    <row r="1148" spans="1:9" x14ac:dyDescent="0.25">
      <c r="A1148" s="26">
        <v>46438</v>
      </c>
      <c r="B1148" s="27">
        <f t="shared" si="85"/>
        <v>2027</v>
      </c>
      <c r="C1148" s="27">
        <f t="shared" si="86"/>
        <v>2</v>
      </c>
      <c r="D1148" s="27">
        <f t="shared" si="87"/>
        <v>20</v>
      </c>
      <c r="E1148" s="27">
        <f t="shared" si="88"/>
        <v>7</v>
      </c>
      <c r="F1148" s="27">
        <f>VLOOKUP(E1148,[2]t_calendarioPolitica!A:C,3,FALSE)</f>
        <v>2</v>
      </c>
      <c r="G1148" s="1">
        <v>1</v>
      </c>
      <c r="H1148" s="1">
        <v>1</v>
      </c>
      <c r="I1148" s="1">
        <f t="shared" si="89"/>
        <v>1</v>
      </c>
    </row>
    <row r="1149" spans="1:9" x14ac:dyDescent="0.25">
      <c r="A1149" s="26">
        <v>46439</v>
      </c>
      <c r="B1149" s="27">
        <f t="shared" si="85"/>
        <v>2027</v>
      </c>
      <c r="C1149" s="27">
        <f t="shared" si="86"/>
        <v>2</v>
      </c>
      <c r="D1149" s="27">
        <f t="shared" si="87"/>
        <v>21</v>
      </c>
      <c r="E1149" s="27">
        <f t="shared" si="88"/>
        <v>1</v>
      </c>
      <c r="F1149" s="27">
        <f>VLOOKUP(E1149,[2]t_calendarioPolitica!A:C,3,FALSE)</f>
        <v>0</v>
      </c>
      <c r="G1149" s="1">
        <v>1</v>
      </c>
      <c r="H1149" s="1">
        <v>1</v>
      </c>
      <c r="I1149" s="1">
        <f t="shared" si="89"/>
        <v>0</v>
      </c>
    </row>
    <row r="1150" spans="1:9" x14ac:dyDescent="0.25">
      <c r="A1150" s="26">
        <v>46440</v>
      </c>
      <c r="B1150" s="27">
        <f t="shared" si="85"/>
        <v>2027</v>
      </c>
      <c r="C1150" s="27">
        <f t="shared" si="86"/>
        <v>2</v>
      </c>
      <c r="D1150" s="27">
        <f t="shared" si="87"/>
        <v>22</v>
      </c>
      <c r="E1150" s="27">
        <f t="shared" si="88"/>
        <v>2</v>
      </c>
      <c r="F1150" s="27">
        <f>VLOOKUP(E1150,[2]t_calendarioPolitica!A:C,3,FALSE)</f>
        <v>1</v>
      </c>
      <c r="G1150" s="1">
        <v>1</v>
      </c>
      <c r="H1150" s="1">
        <v>1</v>
      </c>
      <c r="I1150" s="1">
        <f t="shared" si="89"/>
        <v>1</v>
      </c>
    </row>
    <row r="1151" spans="1:9" x14ac:dyDescent="0.25">
      <c r="A1151" s="26">
        <v>46441</v>
      </c>
      <c r="B1151" s="27">
        <f t="shared" si="85"/>
        <v>2027</v>
      </c>
      <c r="C1151" s="27">
        <f t="shared" si="86"/>
        <v>2</v>
      </c>
      <c r="D1151" s="27">
        <f t="shared" si="87"/>
        <v>23</v>
      </c>
      <c r="E1151" s="27">
        <f t="shared" si="88"/>
        <v>3</v>
      </c>
      <c r="F1151" s="27">
        <f>VLOOKUP(E1151,[2]t_calendarioPolitica!A:C,3,FALSE)</f>
        <v>1</v>
      </c>
      <c r="G1151" s="1">
        <v>1</v>
      </c>
      <c r="H1151" s="1">
        <v>1</v>
      </c>
      <c r="I1151" s="1">
        <f t="shared" si="89"/>
        <v>1</v>
      </c>
    </row>
    <row r="1152" spans="1:9" x14ac:dyDescent="0.25">
      <c r="A1152" s="26">
        <v>46442</v>
      </c>
      <c r="B1152" s="27">
        <f t="shared" si="85"/>
        <v>2027</v>
      </c>
      <c r="C1152" s="27">
        <f t="shared" si="86"/>
        <v>2</v>
      </c>
      <c r="D1152" s="27">
        <f t="shared" si="87"/>
        <v>24</v>
      </c>
      <c r="E1152" s="27">
        <f t="shared" si="88"/>
        <v>4</v>
      </c>
      <c r="F1152" s="27">
        <f>VLOOKUP(E1152,[2]t_calendarioPolitica!A:C,3,FALSE)</f>
        <v>1</v>
      </c>
      <c r="G1152" s="1">
        <v>1</v>
      </c>
      <c r="H1152" s="1">
        <v>1</v>
      </c>
      <c r="I1152" s="1">
        <f t="shared" si="89"/>
        <v>1</v>
      </c>
    </row>
    <row r="1153" spans="1:9" x14ac:dyDescent="0.25">
      <c r="A1153" s="26">
        <v>46443</v>
      </c>
      <c r="B1153" s="27">
        <f t="shared" si="85"/>
        <v>2027</v>
      </c>
      <c r="C1153" s="27">
        <f t="shared" si="86"/>
        <v>2</v>
      </c>
      <c r="D1153" s="27">
        <f t="shared" si="87"/>
        <v>25</v>
      </c>
      <c r="E1153" s="27">
        <f t="shared" si="88"/>
        <v>5</v>
      </c>
      <c r="F1153" s="27">
        <f>VLOOKUP(E1153,[2]t_calendarioPolitica!A:C,3,FALSE)</f>
        <v>1</v>
      </c>
      <c r="G1153" s="1">
        <v>1</v>
      </c>
      <c r="H1153" s="1">
        <v>1</v>
      </c>
      <c r="I1153" s="1">
        <f t="shared" si="89"/>
        <v>1</v>
      </c>
    </row>
    <row r="1154" spans="1:9" x14ac:dyDescent="0.25">
      <c r="A1154" s="26">
        <v>46444</v>
      </c>
      <c r="B1154" s="27">
        <f t="shared" si="85"/>
        <v>2027</v>
      </c>
      <c r="C1154" s="27">
        <f t="shared" si="86"/>
        <v>2</v>
      </c>
      <c r="D1154" s="27">
        <f t="shared" si="87"/>
        <v>26</v>
      </c>
      <c r="E1154" s="27">
        <f t="shared" si="88"/>
        <v>6</v>
      </c>
      <c r="F1154" s="27">
        <f>VLOOKUP(E1154,[2]t_calendarioPolitica!A:C,3,FALSE)</f>
        <v>1</v>
      </c>
      <c r="G1154" s="1">
        <v>1</v>
      </c>
      <c r="H1154" s="1">
        <v>1</v>
      </c>
      <c r="I1154" s="1">
        <f t="shared" si="89"/>
        <v>1</v>
      </c>
    </row>
    <row r="1155" spans="1:9" x14ac:dyDescent="0.25">
      <c r="A1155" s="26">
        <v>46445</v>
      </c>
      <c r="B1155" s="27">
        <f t="shared" ref="B1155:B1218" si="90">YEAR(A1155)</f>
        <v>2027</v>
      </c>
      <c r="C1155" s="27">
        <f t="shared" ref="C1155:C1218" si="91">MONTH(A1155)</f>
        <v>2</v>
      </c>
      <c r="D1155" s="27">
        <f t="shared" ref="D1155:D1218" si="92">DAY(A1155)</f>
        <v>27</v>
      </c>
      <c r="E1155" s="27">
        <f t="shared" ref="E1155:E1218" si="93">WEEKDAY(A1155)</f>
        <v>7</v>
      </c>
      <c r="F1155" s="27">
        <f>VLOOKUP(E1155,[2]t_calendarioPolitica!A:C,3,FALSE)</f>
        <v>2</v>
      </c>
      <c r="G1155" s="1">
        <v>1</v>
      </c>
      <c r="H1155" s="1">
        <v>1</v>
      </c>
      <c r="I1155" s="1">
        <f t="shared" ref="I1155:I1218" si="94">IF(AND(F1155&lt;&gt;0, H1155&lt;&gt;0,G1155&lt;&gt;0), 1, 0)</f>
        <v>1</v>
      </c>
    </row>
    <row r="1156" spans="1:9" x14ac:dyDescent="0.25">
      <c r="A1156" s="26">
        <v>46446</v>
      </c>
      <c r="B1156" s="27">
        <f t="shared" si="90"/>
        <v>2027</v>
      </c>
      <c r="C1156" s="27">
        <f t="shared" si="91"/>
        <v>2</v>
      </c>
      <c r="D1156" s="27">
        <f t="shared" si="92"/>
        <v>28</v>
      </c>
      <c r="E1156" s="27">
        <f t="shared" si="93"/>
        <v>1</v>
      </c>
      <c r="F1156" s="27">
        <f>VLOOKUP(E1156,[2]t_calendarioPolitica!A:C,3,FALSE)</f>
        <v>0</v>
      </c>
      <c r="G1156" s="1">
        <v>1</v>
      </c>
      <c r="H1156" s="1">
        <v>1</v>
      </c>
      <c r="I1156" s="1">
        <f t="shared" si="94"/>
        <v>0</v>
      </c>
    </row>
    <row r="1157" spans="1:9" x14ac:dyDescent="0.25">
      <c r="A1157" s="26">
        <v>46447</v>
      </c>
      <c r="B1157" s="27">
        <f t="shared" si="90"/>
        <v>2027</v>
      </c>
      <c r="C1157" s="27">
        <f t="shared" si="91"/>
        <v>3</v>
      </c>
      <c r="D1157" s="27">
        <f t="shared" si="92"/>
        <v>1</v>
      </c>
      <c r="E1157" s="27">
        <f t="shared" si="93"/>
        <v>2</v>
      </c>
      <c r="F1157" s="27">
        <f>VLOOKUP(E1157,[2]t_calendarioPolitica!A:C,3,FALSE)</f>
        <v>1</v>
      </c>
      <c r="G1157" s="1">
        <v>1</v>
      </c>
      <c r="H1157" s="1">
        <v>1</v>
      </c>
      <c r="I1157" s="1">
        <f t="shared" si="94"/>
        <v>1</v>
      </c>
    </row>
    <row r="1158" spans="1:9" x14ac:dyDescent="0.25">
      <c r="A1158" s="26">
        <v>46448</v>
      </c>
      <c r="B1158" s="27">
        <f t="shared" si="90"/>
        <v>2027</v>
      </c>
      <c r="C1158" s="27">
        <f t="shared" si="91"/>
        <v>3</v>
      </c>
      <c r="D1158" s="27">
        <f t="shared" si="92"/>
        <v>2</v>
      </c>
      <c r="E1158" s="27">
        <f t="shared" si="93"/>
        <v>3</v>
      </c>
      <c r="F1158" s="27">
        <f>VLOOKUP(E1158,[2]t_calendarioPolitica!A:C,3,FALSE)</f>
        <v>1</v>
      </c>
      <c r="G1158" s="1">
        <v>1</v>
      </c>
      <c r="H1158" s="1">
        <v>1</v>
      </c>
      <c r="I1158" s="1">
        <f t="shared" si="94"/>
        <v>1</v>
      </c>
    </row>
    <row r="1159" spans="1:9" x14ac:dyDescent="0.25">
      <c r="A1159" s="26">
        <v>46449</v>
      </c>
      <c r="B1159" s="27">
        <f t="shared" si="90"/>
        <v>2027</v>
      </c>
      <c r="C1159" s="27">
        <f t="shared" si="91"/>
        <v>3</v>
      </c>
      <c r="D1159" s="27">
        <f t="shared" si="92"/>
        <v>3</v>
      </c>
      <c r="E1159" s="27">
        <f t="shared" si="93"/>
        <v>4</v>
      </c>
      <c r="F1159" s="27">
        <f>VLOOKUP(E1159,[2]t_calendarioPolitica!A:C,3,FALSE)</f>
        <v>1</v>
      </c>
      <c r="G1159" s="1">
        <v>1</v>
      </c>
      <c r="H1159" s="1">
        <v>1</v>
      </c>
      <c r="I1159" s="1">
        <f t="shared" si="94"/>
        <v>1</v>
      </c>
    </row>
    <row r="1160" spans="1:9" x14ac:dyDescent="0.25">
      <c r="A1160" s="26">
        <v>46450</v>
      </c>
      <c r="B1160" s="27">
        <f t="shared" si="90"/>
        <v>2027</v>
      </c>
      <c r="C1160" s="27">
        <f t="shared" si="91"/>
        <v>3</v>
      </c>
      <c r="D1160" s="27">
        <f t="shared" si="92"/>
        <v>4</v>
      </c>
      <c r="E1160" s="27">
        <f t="shared" si="93"/>
        <v>5</v>
      </c>
      <c r="F1160" s="27">
        <f>VLOOKUP(E1160,[2]t_calendarioPolitica!A:C,3,FALSE)</f>
        <v>1</v>
      </c>
      <c r="G1160" s="1">
        <v>1</v>
      </c>
      <c r="H1160" s="1">
        <v>1</v>
      </c>
      <c r="I1160" s="1">
        <f t="shared" si="94"/>
        <v>1</v>
      </c>
    </row>
    <row r="1161" spans="1:9" x14ac:dyDescent="0.25">
      <c r="A1161" s="26">
        <v>46451</v>
      </c>
      <c r="B1161" s="27">
        <f t="shared" si="90"/>
        <v>2027</v>
      </c>
      <c r="C1161" s="27">
        <f t="shared" si="91"/>
        <v>3</v>
      </c>
      <c r="D1161" s="27">
        <f t="shared" si="92"/>
        <v>5</v>
      </c>
      <c r="E1161" s="27">
        <f t="shared" si="93"/>
        <v>6</v>
      </c>
      <c r="F1161" s="27">
        <f>VLOOKUP(E1161,[2]t_calendarioPolitica!A:C,3,FALSE)</f>
        <v>1</v>
      </c>
      <c r="G1161" s="1">
        <v>1</v>
      </c>
      <c r="H1161" s="1">
        <v>1</v>
      </c>
      <c r="I1161" s="1">
        <f t="shared" si="94"/>
        <v>1</v>
      </c>
    </row>
    <row r="1162" spans="1:9" x14ac:dyDescent="0.25">
      <c r="A1162" s="26">
        <v>46452</v>
      </c>
      <c r="B1162" s="27">
        <f t="shared" si="90"/>
        <v>2027</v>
      </c>
      <c r="C1162" s="27">
        <f t="shared" si="91"/>
        <v>3</v>
      </c>
      <c r="D1162" s="27">
        <f t="shared" si="92"/>
        <v>6</v>
      </c>
      <c r="E1162" s="27">
        <f t="shared" si="93"/>
        <v>7</v>
      </c>
      <c r="F1162" s="27">
        <f>VLOOKUP(E1162,[2]t_calendarioPolitica!A:C,3,FALSE)</f>
        <v>2</v>
      </c>
      <c r="G1162" s="1">
        <v>1</v>
      </c>
      <c r="H1162" s="1">
        <v>1</v>
      </c>
      <c r="I1162" s="1">
        <f t="shared" si="94"/>
        <v>1</v>
      </c>
    </row>
    <row r="1163" spans="1:9" x14ac:dyDescent="0.25">
      <c r="A1163" s="26">
        <v>46453</v>
      </c>
      <c r="B1163" s="27">
        <f t="shared" si="90"/>
        <v>2027</v>
      </c>
      <c r="C1163" s="27">
        <f t="shared" si="91"/>
        <v>3</v>
      </c>
      <c r="D1163" s="27">
        <f t="shared" si="92"/>
        <v>7</v>
      </c>
      <c r="E1163" s="27">
        <f t="shared" si="93"/>
        <v>1</v>
      </c>
      <c r="F1163" s="27">
        <f>VLOOKUP(E1163,[2]t_calendarioPolitica!A:C,3,FALSE)</f>
        <v>0</v>
      </c>
      <c r="G1163" s="1">
        <v>1</v>
      </c>
      <c r="H1163" s="1">
        <v>1</v>
      </c>
      <c r="I1163" s="1">
        <f t="shared" si="94"/>
        <v>0</v>
      </c>
    </row>
    <row r="1164" spans="1:9" x14ac:dyDescent="0.25">
      <c r="A1164" s="26">
        <v>46454</v>
      </c>
      <c r="B1164" s="27">
        <f t="shared" si="90"/>
        <v>2027</v>
      </c>
      <c r="C1164" s="27">
        <f t="shared" si="91"/>
        <v>3</v>
      </c>
      <c r="D1164" s="27">
        <f t="shared" si="92"/>
        <v>8</v>
      </c>
      <c r="E1164" s="27">
        <f t="shared" si="93"/>
        <v>2</v>
      </c>
      <c r="F1164" s="27">
        <f>VLOOKUP(E1164,[2]t_calendarioPolitica!A:C,3,FALSE)</f>
        <v>1</v>
      </c>
      <c r="G1164" s="1">
        <v>1</v>
      </c>
      <c r="H1164" s="1">
        <v>1</v>
      </c>
      <c r="I1164" s="1">
        <f t="shared" si="94"/>
        <v>1</v>
      </c>
    </row>
    <row r="1165" spans="1:9" x14ac:dyDescent="0.25">
      <c r="A1165" s="26">
        <v>46455</v>
      </c>
      <c r="B1165" s="27">
        <f t="shared" si="90"/>
        <v>2027</v>
      </c>
      <c r="C1165" s="27">
        <f t="shared" si="91"/>
        <v>3</v>
      </c>
      <c r="D1165" s="27">
        <f t="shared" si="92"/>
        <v>9</v>
      </c>
      <c r="E1165" s="27">
        <f t="shared" si="93"/>
        <v>3</v>
      </c>
      <c r="F1165" s="27">
        <f>VLOOKUP(E1165,[2]t_calendarioPolitica!A:C,3,FALSE)</f>
        <v>1</v>
      </c>
      <c r="G1165" s="1">
        <v>1</v>
      </c>
      <c r="H1165" s="1">
        <v>1</v>
      </c>
      <c r="I1165" s="1">
        <f t="shared" si="94"/>
        <v>1</v>
      </c>
    </row>
    <row r="1166" spans="1:9" x14ac:dyDescent="0.25">
      <c r="A1166" s="26">
        <v>46456</v>
      </c>
      <c r="B1166" s="27">
        <f t="shared" si="90"/>
        <v>2027</v>
      </c>
      <c r="C1166" s="27">
        <f t="shared" si="91"/>
        <v>3</v>
      </c>
      <c r="D1166" s="27">
        <f t="shared" si="92"/>
        <v>10</v>
      </c>
      <c r="E1166" s="27">
        <f t="shared" si="93"/>
        <v>4</v>
      </c>
      <c r="F1166" s="27">
        <f>VLOOKUP(E1166,[2]t_calendarioPolitica!A:C,3,FALSE)</f>
        <v>1</v>
      </c>
      <c r="G1166" s="1">
        <v>1</v>
      </c>
      <c r="H1166" s="1">
        <v>1</v>
      </c>
      <c r="I1166" s="1">
        <f t="shared" si="94"/>
        <v>1</v>
      </c>
    </row>
    <row r="1167" spans="1:9" x14ac:dyDescent="0.25">
      <c r="A1167" s="26">
        <v>46457</v>
      </c>
      <c r="B1167" s="27">
        <f t="shared" si="90"/>
        <v>2027</v>
      </c>
      <c r="C1167" s="27">
        <f t="shared" si="91"/>
        <v>3</v>
      </c>
      <c r="D1167" s="27">
        <f t="shared" si="92"/>
        <v>11</v>
      </c>
      <c r="E1167" s="27">
        <f t="shared" si="93"/>
        <v>5</v>
      </c>
      <c r="F1167" s="27">
        <f>VLOOKUP(E1167,[2]t_calendarioPolitica!A:C,3,FALSE)</f>
        <v>1</v>
      </c>
      <c r="G1167" s="1">
        <v>1</v>
      </c>
      <c r="H1167" s="1">
        <v>1</v>
      </c>
      <c r="I1167" s="1">
        <f t="shared" si="94"/>
        <v>1</v>
      </c>
    </row>
    <row r="1168" spans="1:9" x14ac:dyDescent="0.25">
      <c r="A1168" s="26">
        <v>46458</v>
      </c>
      <c r="B1168" s="27">
        <f t="shared" si="90"/>
        <v>2027</v>
      </c>
      <c r="C1168" s="27">
        <f t="shared" si="91"/>
        <v>3</v>
      </c>
      <c r="D1168" s="27">
        <f t="shared" si="92"/>
        <v>12</v>
      </c>
      <c r="E1168" s="27">
        <f t="shared" si="93"/>
        <v>6</v>
      </c>
      <c r="F1168" s="27">
        <f>VLOOKUP(E1168,[2]t_calendarioPolitica!A:C,3,FALSE)</f>
        <v>1</v>
      </c>
      <c r="G1168" s="1">
        <v>1</v>
      </c>
      <c r="H1168" s="1">
        <v>1</v>
      </c>
      <c r="I1168" s="1">
        <f t="shared" si="94"/>
        <v>1</v>
      </c>
    </row>
    <row r="1169" spans="1:9" x14ac:dyDescent="0.25">
      <c r="A1169" s="26">
        <v>46459</v>
      </c>
      <c r="B1169" s="27">
        <f t="shared" si="90"/>
        <v>2027</v>
      </c>
      <c r="C1169" s="27">
        <f t="shared" si="91"/>
        <v>3</v>
      </c>
      <c r="D1169" s="27">
        <f t="shared" si="92"/>
        <v>13</v>
      </c>
      <c r="E1169" s="27">
        <f t="shared" si="93"/>
        <v>7</v>
      </c>
      <c r="F1169" s="27">
        <f>VLOOKUP(E1169,[2]t_calendarioPolitica!A:C,3,FALSE)</f>
        <v>2</v>
      </c>
      <c r="G1169" s="1">
        <v>1</v>
      </c>
      <c r="H1169" s="1">
        <v>1</v>
      </c>
      <c r="I1169" s="1">
        <f t="shared" si="94"/>
        <v>1</v>
      </c>
    </row>
    <row r="1170" spans="1:9" x14ac:dyDescent="0.25">
      <c r="A1170" s="26">
        <v>46460</v>
      </c>
      <c r="B1170" s="27">
        <f t="shared" si="90"/>
        <v>2027</v>
      </c>
      <c r="C1170" s="27">
        <f t="shared" si="91"/>
        <v>3</v>
      </c>
      <c r="D1170" s="27">
        <f t="shared" si="92"/>
        <v>14</v>
      </c>
      <c r="E1170" s="27">
        <f t="shared" si="93"/>
        <v>1</v>
      </c>
      <c r="F1170" s="27">
        <f>VLOOKUP(E1170,[2]t_calendarioPolitica!A:C,3,FALSE)</f>
        <v>0</v>
      </c>
      <c r="G1170" s="1">
        <v>1</v>
      </c>
      <c r="H1170" s="1">
        <v>1</v>
      </c>
      <c r="I1170" s="1">
        <f t="shared" si="94"/>
        <v>0</v>
      </c>
    </row>
    <row r="1171" spans="1:9" x14ac:dyDescent="0.25">
      <c r="A1171" s="26">
        <v>46461</v>
      </c>
      <c r="B1171" s="27">
        <f t="shared" si="90"/>
        <v>2027</v>
      </c>
      <c r="C1171" s="27">
        <f t="shared" si="91"/>
        <v>3</v>
      </c>
      <c r="D1171" s="27">
        <f t="shared" si="92"/>
        <v>15</v>
      </c>
      <c r="E1171" s="27">
        <f t="shared" si="93"/>
        <v>2</v>
      </c>
      <c r="F1171" s="27">
        <f>VLOOKUP(E1171,[2]t_calendarioPolitica!A:C,3,FALSE)</f>
        <v>1</v>
      </c>
      <c r="G1171" s="1">
        <v>1</v>
      </c>
      <c r="H1171" s="1">
        <v>1</v>
      </c>
      <c r="I1171" s="1">
        <f t="shared" si="94"/>
        <v>1</v>
      </c>
    </row>
    <row r="1172" spans="1:9" x14ac:dyDescent="0.25">
      <c r="A1172" s="26">
        <v>46462</v>
      </c>
      <c r="B1172" s="27">
        <f t="shared" si="90"/>
        <v>2027</v>
      </c>
      <c r="C1172" s="27">
        <f t="shared" si="91"/>
        <v>3</v>
      </c>
      <c r="D1172" s="27">
        <f t="shared" si="92"/>
        <v>16</v>
      </c>
      <c r="E1172" s="27">
        <f t="shared" si="93"/>
        <v>3</v>
      </c>
      <c r="F1172" s="27">
        <f>VLOOKUP(E1172,[2]t_calendarioPolitica!A:C,3,FALSE)</f>
        <v>1</v>
      </c>
      <c r="G1172" s="1">
        <v>1</v>
      </c>
      <c r="H1172" s="1">
        <v>1</v>
      </c>
      <c r="I1172" s="1">
        <f t="shared" si="94"/>
        <v>1</v>
      </c>
    </row>
    <row r="1173" spans="1:9" x14ac:dyDescent="0.25">
      <c r="A1173" s="26">
        <v>46463</v>
      </c>
      <c r="B1173" s="27">
        <f t="shared" si="90"/>
        <v>2027</v>
      </c>
      <c r="C1173" s="27">
        <f t="shared" si="91"/>
        <v>3</v>
      </c>
      <c r="D1173" s="27">
        <f t="shared" si="92"/>
        <v>17</v>
      </c>
      <c r="E1173" s="27">
        <f t="shared" si="93"/>
        <v>4</v>
      </c>
      <c r="F1173" s="27">
        <f>VLOOKUP(E1173,[2]t_calendarioPolitica!A:C,3,FALSE)</f>
        <v>1</v>
      </c>
      <c r="G1173" s="1">
        <v>1</v>
      </c>
      <c r="H1173" s="1">
        <v>1</v>
      </c>
      <c r="I1173" s="1">
        <f t="shared" si="94"/>
        <v>1</v>
      </c>
    </row>
    <row r="1174" spans="1:9" x14ac:dyDescent="0.25">
      <c r="A1174" s="26">
        <v>46464</v>
      </c>
      <c r="B1174" s="27">
        <f t="shared" si="90"/>
        <v>2027</v>
      </c>
      <c r="C1174" s="27">
        <f t="shared" si="91"/>
        <v>3</v>
      </c>
      <c r="D1174" s="27">
        <f t="shared" si="92"/>
        <v>18</v>
      </c>
      <c r="E1174" s="27">
        <f t="shared" si="93"/>
        <v>5</v>
      </c>
      <c r="F1174" s="27">
        <f>VLOOKUP(E1174,[2]t_calendarioPolitica!A:C,3,FALSE)</f>
        <v>1</v>
      </c>
      <c r="G1174" s="1">
        <v>1</v>
      </c>
      <c r="H1174" s="1">
        <v>1</v>
      </c>
      <c r="I1174" s="1">
        <f t="shared" si="94"/>
        <v>1</v>
      </c>
    </row>
    <row r="1175" spans="1:9" x14ac:dyDescent="0.25">
      <c r="A1175" s="26">
        <v>46465</v>
      </c>
      <c r="B1175" s="27">
        <f t="shared" si="90"/>
        <v>2027</v>
      </c>
      <c r="C1175" s="27">
        <f t="shared" si="91"/>
        <v>3</v>
      </c>
      <c r="D1175" s="27">
        <f t="shared" si="92"/>
        <v>19</v>
      </c>
      <c r="E1175" s="27">
        <f t="shared" si="93"/>
        <v>6</v>
      </c>
      <c r="F1175" s="27">
        <f>VLOOKUP(E1175,[2]t_calendarioPolitica!A:C,3,FALSE)</f>
        <v>1</v>
      </c>
      <c r="G1175" s="1">
        <v>1</v>
      </c>
      <c r="H1175" s="1">
        <v>1</v>
      </c>
      <c r="I1175" s="1">
        <f t="shared" si="94"/>
        <v>1</v>
      </c>
    </row>
    <row r="1176" spans="1:9" x14ac:dyDescent="0.25">
      <c r="A1176" s="26">
        <v>46466</v>
      </c>
      <c r="B1176" s="27">
        <f t="shared" si="90"/>
        <v>2027</v>
      </c>
      <c r="C1176" s="27">
        <f t="shared" si="91"/>
        <v>3</v>
      </c>
      <c r="D1176" s="27">
        <f t="shared" si="92"/>
        <v>20</v>
      </c>
      <c r="E1176" s="27">
        <f t="shared" si="93"/>
        <v>7</v>
      </c>
      <c r="F1176" s="27">
        <f>VLOOKUP(E1176,[2]t_calendarioPolitica!A:C,3,FALSE)</f>
        <v>2</v>
      </c>
      <c r="G1176" s="1">
        <v>1</v>
      </c>
      <c r="H1176" s="1">
        <v>1</v>
      </c>
      <c r="I1176" s="1">
        <f t="shared" si="94"/>
        <v>1</v>
      </c>
    </row>
    <row r="1177" spans="1:9" x14ac:dyDescent="0.25">
      <c r="A1177" s="26">
        <v>46467</v>
      </c>
      <c r="B1177" s="27">
        <f t="shared" si="90"/>
        <v>2027</v>
      </c>
      <c r="C1177" s="27">
        <f t="shared" si="91"/>
        <v>3</v>
      </c>
      <c r="D1177" s="27">
        <f t="shared" si="92"/>
        <v>21</v>
      </c>
      <c r="E1177" s="27">
        <f t="shared" si="93"/>
        <v>1</v>
      </c>
      <c r="F1177" s="27">
        <f>VLOOKUP(E1177,[2]t_calendarioPolitica!A:C,3,FALSE)</f>
        <v>0</v>
      </c>
      <c r="G1177" s="1">
        <v>1</v>
      </c>
      <c r="H1177" s="1">
        <v>1</v>
      </c>
      <c r="I1177" s="1">
        <f t="shared" si="94"/>
        <v>0</v>
      </c>
    </row>
    <row r="1178" spans="1:9" x14ac:dyDescent="0.25">
      <c r="A1178" s="26">
        <v>46468</v>
      </c>
      <c r="B1178" s="27">
        <f t="shared" si="90"/>
        <v>2027</v>
      </c>
      <c r="C1178" s="27">
        <f t="shared" si="91"/>
        <v>3</v>
      </c>
      <c r="D1178" s="27">
        <f t="shared" si="92"/>
        <v>22</v>
      </c>
      <c r="E1178" s="27">
        <f t="shared" si="93"/>
        <v>2</v>
      </c>
      <c r="F1178" s="27">
        <f>VLOOKUP(E1178,[2]t_calendarioPolitica!A:C,3,FALSE)</f>
        <v>1</v>
      </c>
      <c r="G1178" s="1">
        <v>1</v>
      </c>
      <c r="H1178" s="1">
        <v>1</v>
      </c>
      <c r="I1178" s="1">
        <f t="shared" si="94"/>
        <v>1</v>
      </c>
    </row>
    <row r="1179" spans="1:9" x14ac:dyDescent="0.25">
      <c r="A1179" s="26">
        <v>46469</v>
      </c>
      <c r="B1179" s="27">
        <f t="shared" si="90"/>
        <v>2027</v>
      </c>
      <c r="C1179" s="27">
        <f t="shared" si="91"/>
        <v>3</v>
      </c>
      <c r="D1179" s="27">
        <f t="shared" si="92"/>
        <v>23</v>
      </c>
      <c r="E1179" s="27">
        <f t="shared" si="93"/>
        <v>3</v>
      </c>
      <c r="F1179" s="27">
        <f>VLOOKUP(E1179,[2]t_calendarioPolitica!A:C,3,FALSE)</f>
        <v>1</v>
      </c>
      <c r="G1179" s="1">
        <v>1</v>
      </c>
      <c r="H1179" s="1">
        <v>1</v>
      </c>
      <c r="I1179" s="1">
        <f t="shared" si="94"/>
        <v>1</v>
      </c>
    </row>
    <row r="1180" spans="1:9" x14ac:dyDescent="0.25">
      <c r="A1180" s="26">
        <v>46470</v>
      </c>
      <c r="B1180" s="27">
        <f t="shared" si="90"/>
        <v>2027</v>
      </c>
      <c r="C1180" s="27">
        <f t="shared" si="91"/>
        <v>3</v>
      </c>
      <c r="D1180" s="27">
        <f t="shared" si="92"/>
        <v>24</v>
      </c>
      <c r="E1180" s="27">
        <f t="shared" si="93"/>
        <v>4</v>
      </c>
      <c r="F1180" s="27">
        <f>VLOOKUP(E1180,[2]t_calendarioPolitica!A:C,3,FALSE)</f>
        <v>1</v>
      </c>
      <c r="G1180" s="1">
        <v>1</v>
      </c>
      <c r="H1180" s="1">
        <v>1</v>
      </c>
      <c r="I1180" s="1">
        <f t="shared" si="94"/>
        <v>1</v>
      </c>
    </row>
    <row r="1181" spans="1:9" x14ac:dyDescent="0.25">
      <c r="A1181" s="26">
        <v>46471</v>
      </c>
      <c r="B1181" s="27">
        <f t="shared" si="90"/>
        <v>2027</v>
      </c>
      <c r="C1181" s="27">
        <f t="shared" si="91"/>
        <v>3</v>
      </c>
      <c r="D1181" s="27">
        <f t="shared" si="92"/>
        <v>25</v>
      </c>
      <c r="E1181" s="27">
        <f t="shared" si="93"/>
        <v>5</v>
      </c>
      <c r="F1181" s="27">
        <f>VLOOKUP(E1181,[2]t_calendarioPolitica!A:C,3,FALSE)</f>
        <v>1</v>
      </c>
      <c r="G1181" s="1">
        <v>1</v>
      </c>
      <c r="H1181" s="1">
        <v>1</v>
      </c>
      <c r="I1181" s="1">
        <f t="shared" si="94"/>
        <v>1</v>
      </c>
    </row>
    <row r="1182" spans="1:9" x14ac:dyDescent="0.25">
      <c r="A1182" s="26">
        <v>46472</v>
      </c>
      <c r="B1182" s="27">
        <f t="shared" si="90"/>
        <v>2027</v>
      </c>
      <c r="C1182" s="27">
        <f t="shared" si="91"/>
        <v>3</v>
      </c>
      <c r="D1182" s="27">
        <f t="shared" si="92"/>
        <v>26</v>
      </c>
      <c r="E1182" s="27">
        <f t="shared" si="93"/>
        <v>6</v>
      </c>
      <c r="F1182" s="27">
        <f>VLOOKUP(E1182,[2]t_calendarioPolitica!A:C,3,FALSE)</f>
        <v>1</v>
      </c>
      <c r="G1182" s="1">
        <v>1</v>
      </c>
      <c r="H1182" s="1">
        <v>1</v>
      </c>
      <c r="I1182" s="1">
        <f t="shared" si="94"/>
        <v>1</v>
      </c>
    </row>
    <row r="1183" spans="1:9" x14ac:dyDescent="0.25">
      <c r="A1183" s="26">
        <v>46473</v>
      </c>
      <c r="B1183" s="27">
        <f t="shared" si="90"/>
        <v>2027</v>
      </c>
      <c r="C1183" s="27">
        <f t="shared" si="91"/>
        <v>3</v>
      </c>
      <c r="D1183" s="27">
        <f t="shared" si="92"/>
        <v>27</v>
      </c>
      <c r="E1183" s="27">
        <f t="shared" si="93"/>
        <v>7</v>
      </c>
      <c r="F1183" s="27">
        <f>VLOOKUP(E1183,[2]t_calendarioPolitica!A:C,3,FALSE)</f>
        <v>2</v>
      </c>
      <c r="G1183" s="1">
        <v>1</v>
      </c>
      <c r="H1183" s="1">
        <v>1</v>
      </c>
      <c r="I1183" s="1">
        <f t="shared" si="94"/>
        <v>1</v>
      </c>
    </row>
    <row r="1184" spans="1:9" x14ac:dyDescent="0.25">
      <c r="A1184" s="26">
        <v>46474</v>
      </c>
      <c r="B1184" s="27">
        <f t="shared" si="90"/>
        <v>2027</v>
      </c>
      <c r="C1184" s="27">
        <f t="shared" si="91"/>
        <v>3</v>
      </c>
      <c r="D1184" s="27">
        <f t="shared" si="92"/>
        <v>28</v>
      </c>
      <c r="E1184" s="27">
        <f t="shared" si="93"/>
        <v>1</v>
      </c>
      <c r="F1184" s="27">
        <f>VLOOKUP(E1184,[2]t_calendarioPolitica!A:C,3,FALSE)</f>
        <v>0</v>
      </c>
      <c r="G1184" s="1">
        <v>1</v>
      </c>
      <c r="H1184" s="1">
        <v>1</v>
      </c>
      <c r="I1184" s="1">
        <f t="shared" si="94"/>
        <v>0</v>
      </c>
    </row>
    <row r="1185" spans="1:9" x14ac:dyDescent="0.25">
      <c r="A1185" s="26">
        <v>46475</v>
      </c>
      <c r="B1185" s="27">
        <f t="shared" si="90"/>
        <v>2027</v>
      </c>
      <c r="C1185" s="27">
        <f t="shared" si="91"/>
        <v>3</v>
      </c>
      <c r="D1185" s="27">
        <f t="shared" si="92"/>
        <v>29</v>
      </c>
      <c r="E1185" s="27">
        <f t="shared" si="93"/>
        <v>2</v>
      </c>
      <c r="F1185" s="27">
        <f>VLOOKUP(E1185,[2]t_calendarioPolitica!A:C,3,FALSE)</f>
        <v>1</v>
      </c>
      <c r="G1185" s="1">
        <v>1</v>
      </c>
      <c r="H1185" s="1">
        <v>1</v>
      </c>
      <c r="I1185" s="1">
        <f t="shared" si="94"/>
        <v>1</v>
      </c>
    </row>
    <row r="1186" spans="1:9" x14ac:dyDescent="0.25">
      <c r="A1186" s="26">
        <v>46476</v>
      </c>
      <c r="B1186" s="27">
        <f t="shared" si="90"/>
        <v>2027</v>
      </c>
      <c r="C1186" s="27">
        <f t="shared" si="91"/>
        <v>3</v>
      </c>
      <c r="D1186" s="27">
        <f t="shared" si="92"/>
        <v>30</v>
      </c>
      <c r="E1186" s="27">
        <f t="shared" si="93"/>
        <v>3</v>
      </c>
      <c r="F1186" s="27">
        <f>VLOOKUP(E1186,[2]t_calendarioPolitica!A:C,3,FALSE)</f>
        <v>1</v>
      </c>
      <c r="G1186" s="1">
        <v>1</v>
      </c>
      <c r="H1186" s="1">
        <v>1</v>
      </c>
      <c r="I1186" s="1">
        <f t="shared" si="94"/>
        <v>1</v>
      </c>
    </row>
    <row r="1187" spans="1:9" x14ac:dyDescent="0.25">
      <c r="A1187" s="26">
        <v>46477</v>
      </c>
      <c r="B1187" s="27">
        <f t="shared" si="90"/>
        <v>2027</v>
      </c>
      <c r="C1187" s="27">
        <f t="shared" si="91"/>
        <v>3</v>
      </c>
      <c r="D1187" s="27">
        <f t="shared" si="92"/>
        <v>31</v>
      </c>
      <c r="E1187" s="27">
        <f t="shared" si="93"/>
        <v>4</v>
      </c>
      <c r="F1187" s="27">
        <f>VLOOKUP(E1187,[2]t_calendarioPolitica!A:C,3,FALSE)</f>
        <v>1</v>
      </c>
      <c r="G1187" s="1">
        <v>1</v>
      </c>
      <c r="H1187" s="1">
        <v>1</v>
      </c>
      <c r="I1187" s="1">
        <f t="shared" si="94"/>
        <v>1</v>
      </c>
    </row>
    <row r="1188" spans="1:9" x14ac:dyDescent="0.25">
      <c r="A1188" s="26">
        <v>46478</v>
      </c>
      <c r="B1188" s="27">
        <f t="shared" si="90"/>
        <v>2027</v>
      </c>
      <c r="C1188" s="27">
        <f t="shared" si="91"/>
        <v>4</v>
      </c>
      <c r="D1188" s="27">
        <f t="shared" si="92"/>
        <v>1</v>
      </c>
      <c r="E1188" s="27">
        <f t="shared" si="93"/>
        <v>5</v>
      </c>
      <c r="F1188" s="27">
        <f>VLOOKUP(E1188,[2]t_calendarioPolitica!A:C,3,FALSE)</f>
        <v>1</v>
      </c>
      <c r="G1188" s="1">
        <v>1</v>
      </c>
      <c r="H1188" s="1">
        <v>1</v>
      </c>
      <c r="I1188" s="1">
        <f t="shared" si="94"/>
        <v>1</v>
      </c>
    </row>
    <row r="1189" spans="1:9" x14ac:dyDescent="0.25">
      <c r="A1189" s="26">
        <v>46479</v>
      </c>
      <c r="B1189" s="27">
        <f t="shared" si="90"/>
        <v>2027</v>
      </c>
      <c r="C1189" s="27">
        <f t="shared" si="91"/>
        <v>4</v>
      </c>
      <c r="D1189" s="27">
        <f t="shared" si="92"/>
        <v>2</v>
      </c>
      <c r="E1189" s="27">
        <f t="shared" si="93"/>
        <v>6</v>
      </c>
      <c r="F1189" s="27">
        <f>VLOOKUP(E1189,[2]t_calendarioPolitica!A:C,3,FALSE)</f>
        <v>1</v>
      </c>
      <c r="G1189" s="1">
        <v>1</v>
      </c>
      <c r="H1189" s="1">
        <v>1</v>
      </c>
      <c r="I1189" s="1">
        <f t="shared" si="94"/>
        <v>1</v>
      </c>
    </row>
    <row r="1190" spans="1:9" x14ac:dyDescent="0.25">
      <c r="A1190" s="26">
        <v>46480</v>
      </c>
      <c r="B1190" s="27">
        <f t="shared" si="90"/>
        <v>2027</v>
      </c>
      <c r="C1190" s="27">
        <f t="shared" si="91"/>
        <v>4</v>
      </c>
      <c r="D1190" s="27">
        <f t="shared" si="92"/>
        <v>3</v>
      </c>
      <c r="E1190" s="27">
        <f t="shared" si="93"/>
        <v>7</v>
      </c>
      <c r="F1190" s="27">
        <f>VLOOKUP(E1190,[2]t_calendarioPolitica!A:C,3,FALSE)</f>
        <v>2</v>
      </c>
      <c r="G1190" s="1">
        <v>1</v>
      </c>
      <c r="H1190" s="1">
        <v>1</v>
      </c>
      <c r="I1190" s="1">
        <f t="shared" si="94"/>
        <v>1</v>
      </c>
    </row>
    <row r="1191" spans="1:9" x14ac:dyDescent="0.25">
      <c r="A1191" s="26">
        <v>46481</v>
      </c>
      <c r="B1191" s="27">
        <f t="shared" si="90"/>
        <v>2027</v>
      </c>
      <c r="C1191" s="27">
        <f t="shared" si="91"/>
        <v>4</v>
      </c>
      <c r="D1191" s="27">
        <f t="shared" si="92"/>
        <v>4</v>
      </c>
      <c r="E1191" s="27">
        <f t="shared" si="93"/>
        <v>1</v>
      </c>
      <c r="F1191" s="27">
        <f>VLOOKUP(E1191,[2]t_calendarioPolitica!A:C,3,FALSE)</f>
        <v>0</v>
      </c>
      <c r="G1191" s="1">
        <v>1</v>
      </c>
      <c r="H1191" s="1">
        <v>1</v>
      </c>
      <c r="I1191" s="1">
        <f t="shared" si="94"/>
        <v>0</v>
      </c>
    </row>
    <row r="1192" spans="1:9" x14ac:dyDescent="0.25">
      <c r="A1192" s="26">
        <v>46482</v>
      </c>
      <c r="B1192" s="27">
        <f t="shared" si="90"/>
        <v>2027</v>
      </c>
      <c r="C1192" s="27">
        <f t="shared" si="91"/>
        <v>4</v>
      </c>
      <c r="D1192" s="27">
        <f t="shared" si="92"/>
        <v>5</v>
      </c>
      <c r="E1192" s="27">
        <f t="shared" si="93"/>
        <v>2</v>
      </c>
      <c r="F1192" s="27">
        <f>VLOOKUP(E1192,[2]t_calendarioPolitica!A:C,3,FALSE)</f>
        <v>1</v>
      </c>
      <c r="G1192" s="1">
        <v>1</v>
      </c>
      <c r="H1192" s="1">
        <v>1</v>
      </c>
      <c r="I1192" s="1">
        <f t="shared" si="94"/>
        <v>1</v>
      </c>
    </row>
    <row r="1193" spans="1:9" x14ac:dyDescent="0.25">
      <c r="A1193" s="26">
        <v>46483</v>
      </c>
      <c r="B1193" s="27">
        <f t="shared" si="90"/>
        <v>2027</v>
      </c>
      <c r="C1193" s="27">
        <f t="shared" si="91"/>
        <v>4</v>
      </c>
      <c r="D1193" s="27">
        <f t="shared" si="92"/>
        <v>6</v>
      </c>
      <c r="E1193" s="27">
        <f t="shared" si="93"/>
        <v>3</v>
      </c>
      <c r="F1193" s="27">
        <f>VLOOKUP(E1193,[2]t_calendarioPolitica!A:C,3,FALSE)</f>
        <v>1</v>
      </c>
      <c r="G1193" s="1">
        <v>1</v>
      </c>
      <c r="H1193" s="1">
        <v>1</v>
      </c>
      <c r="I1193" s="1">
        <f t="shared" si="94"/>
        <v>1</v>
      </c>
    </row>
    <row r="1194" spans="1:9" x14ac:dyDescent="0.25">
      <c r="A1194" s="26">
        <v>46484</v>
      </c>
      <c r="B1194" s="27">
        <f t="shared" si="90"/>
        <v>2027</v>
      </c>
      <c r="C1194" s="27">
        <f t="shared" si="91"/>
        <v>4</v>
      </c>
      <c r="D1194" s="27">
        <f t="shared" si="92"/>
        <v>7</v>
      </c>
      <c r="E1194" s="27">
        <f t="shared" si="93"/>
        <v>4</v>
      </c>
      <c r="F1194" s="27">
        <f>VLOOKUP(E1194,[2]t_calendarioPolitica!A:C,3,FALSE)</f>
        <v>1</v>
      </c>
      <c r="G1194" s="1">
        <v>1</v>
      </c>
      <c r="H1194" s="1">
        <v>1</v>
      </c>
      <c r="I1194" s="1">
        <f t="shared" si="94"/>
        <v>1</v>
      </c>
    </row>
    <row r="1195" spans="1:9" x14ac:dyDescent="0.25">
      <c r="A1195" s="26">
        <v>46485</v>
      </c>
      <c r="B1195" s="27">
        <f t="shared" si="90"/>
        <v>2027</v>
      </c>
      <c r="C1195" s="27">
        <f t="shared" si="91"/>
        <v>4</v>
      </c>
      <c r="D1195" s="27">
        <f t="shared" si="92"/>
        <v>8</v>
      </c>
      <c r="E1195" s="27">
        <f t="shared" si="93"/>
        <v>5</v>
      </c>
      <c r="F1195" s="27">
        <f>VLOOKUP(E1195,[2]t_calendarioPolitica!A:C,3,FALSE)</f>
        <v>1</v>
      </c>
      <c r="G1195" s="1">
        <v>1</v>
      </c>
      <c r="H1195" s="1">
        <v>1</v>
      </c>
      <c r="I1195" s="1">
        <f t="shared" si="94"/>
        <v>1</v>
      </c>
    </row>
    <row r="1196" spans="1:9" x14ac:dyDescent="0.25">
      <c r="A1196" s="26">
        <v>46486</v>
      </c>
      <c r="B1196" s="27">
        <f t="shared" si="90"/>
        <v>2027</v>
      </c>
      <c r="C1196" s="27">
        <f t="shared" si="91"/>
        <v>4</v>
      </c>
      <c r="D1196" s="27">
        <f t="shared" si="92"/>
        <v>9</v>
      </c>
      <c r="E1196" s="27">
        <f t="shared" si="93"/>
        <v>6</v>
      </c>
      <c r="F1196" s="27">
        <f>VLOOKUP(E1196,[2]t_calendarioPolitica!A:C,3,FALSE)</f>
        <v>1</v>
      </c>
      <c r="G1196" s="1">
        <v>1</v>
      </c>
      <c r="H1196" s="1">
        <v>1</v>
      </c>
      <c r="I1196" s="1">
        <f t="shared" si="94"/>
        <v>1</v>
      </c>
    </row>
    <row r="1197" spans="1:9" x14ac:dyDescent="0.25">
      <c r="A1197" s="26">
        <v>46487</v>
      </c>
      <c r="B1197" s="27">
        <f t="shared" si="90"/>
        <v>2027</v>
      </c>
      <c r="C1197" s="27">
        <f t="shared" si="91"/>
        <v>4</v>
      </c>
      <c r="D1197" s="27">
        <f t="shared" si="92"/>
        <v>10</v>
      </c>
      <c r="E1197" s="27">
        <f t="shared" si="93"/>
        <v>7</v>
      </c>
      <c r="F1197" s="27">
        <f>VLOOKUP(E1197,[2]t_calendarioPolitica!A:C,3,FALSE)</f>
        <v>2</v>
      </c>
      <c r="G1197" s="1">
        <v>1</v>
      </c>
      <c r="H1197" s="1">
        <v>1</v>
      </c>
      <c r="I1197" s="1">
        <f t="shared" si="94"/>
        <v>1</v>
      </c>
    </row>
    <row r="1198" spans="1:9" x14ac:dyDescent="0.25">
      <c r="A1198" s="26">
        <v>46488</v>
      </c>
      <c r="B1198" s="27">
        <f t="shared" si="90"/>
        <v>2027</v>
      </c>
      <c r="C1198" s="27">
        <f t="shared" si="91"/>
        <v>4</v>
      </c>
      <c r="D1198" s="27">
        <f t="shared" si="92"/>
        <v>11</v>
      </c>
      <c r="E1198" s="27">
        <f t="shared" si="93"/>
        <v>1</v>
      </c>
      <c r="F1198" s="27">
        <f>VLOOKUP(E1198,[2]t_calendarioPolitica!A:C,3,FALSE)</f>
        <v>0</v>
      </c>
      <c r="G1198" s="1">
        <v>1</v>
      </c>
      <c r="H1198" s="1">
        <v>1</v>
      </c>
      <c r="I1198" s="1">
        <f t="shared" si="94"/>
        <v>0</v>
      </c>
    </row>
    <row r="1199" spans="1:9" x14ac:dyDescent="0.25">
      <c r="A1199" s="26">
        <v>46489</v>
      </c>
      <c r="B1199" s="27">
        <f t="shared" si="90"/>
        <v>2027</v>
      </c>
      <c r="C1199" s="27">
        <f t="shared" si="91"/>
        <v>4</v>
      </c>
      <c r="D1199" s="27">
        <f t="shared" si="92"/>
        <v>12</v>
      </c>
      <c r="E1199" s="27">
        <f t="shared" si="93"/>
        <v>2</v>
      </c>
      <c r="F1199" s="27">
        <f>VLOOKUP(E1199,[2]t_calendarioPolitica!A:C,3,FALSE)</f>
        <v>1</v>
      </c>
      <c r="G1199" s="1">
        <v>1</v>
      </c>
      <c r="H1199" s="1">
        <v>1</v>
      </c>
      <c r="I1199" s="1">
        <f t="shared" si="94"/>
        <v>1</v>
      </c>
    </row>
    <row r="1200" spans="1:9" x14ac:dyDescent="0.25">
      <c r="A1200" s="26">
        <v>46490</v>
      </c>
      <c r="B1200" s="27">
        <f t="shared" si="90"/>
        <v>2027</v>
      </c>
      <c r="C1200" s="27">
        <f t="shared" si="91"/>
        <v>4</v>
      </c>
      <c r="D1200" s="27">
        <f t="shared" si="92"/>
        <v>13</v>
      </c>
      <c r="E1200" s="27">
        <f t="shared" si="93"/>
        <v>3</v>
      </c>
      <c r="F1200" s="27">
        <f>VLOOKUP(E1200,[2]t_calendarioPolitica!A:C,3,FALSE)</f>
        <v>1</v>
      </c>
      <c r="G1200" s="1">
        <v>1</v>
      </c>
      <c r="H1200" s="1">
        <v>1</v>
      </c>
      <c r="I1200" s="1">
        <f t="shared" si="94"/>
        <v>1</v>
      </c>
    </row>
    <row r="1201" spans="1:9" x14ac:dyDescent="0.25">
      <c r="A1201" s="26">
        <v>46491</v>
      </c>
      <c r="B1201" s="27">
        <f t="shared" si="90"/>
        <v>2027</v>
      </c>
      <c r="C1201" s="27">
        <f t="shared" si="91"/>
        <v>4</v>
      </c>
      <c r="D1201" s="27">
        <f t="shared" si="92"/>
        <v>14</v>
      </c>
      <c r="E1201" s="27">
        <f t="shared" si="93"/>
        <v>4</v>
      </c>
      <c r="F1201" s="27">
        <f>VLOOKUP(E1201,[2]t_calendarioPolitica!A:C,3,FALSE)</f>
        <v>1</v>
      </c>
      <c r="G1201" s="1">
        <v>1</v>
      </c>
      <c r="H1201" s="1">
        <v>1</v>
      </c>
      <c r="I1201" s="1">
        <f t="shared" si="94"/>
        <v>1</v>
      </c>
    </row>
    <row r="1202" spans="1:9" x14ac:dyDescent="0.25">
      <c r="A1202" s="26">
        <v>46492</v>
      </c>
      <c r="B1202" s="27">
        <f t="shared" si="90"/>
        <v>2027</v>
      </c>
      <c r="C1202" s="27">
        <f t="shared" si="91"/>
        <v>4</v>
      </c>
      <c r="D1202" s="27">
        <f t="shared" si="92"/>
        <v>15</v>
      </c>
      <c r="E1202" s="27">
        <f t="shared" si="93"/>
        <v>5</v>
      </c>
      <c r="F1202" s="27">
        <f>VLOOKUP(E1202,[2]t_calendarioPolitica!A:C,3,FALSE)</f>
        <v>1</v>
      </c>
      <c r="G1202" s="1">
        <v>1</v>
      </c>
      <c r="H1202" s="1">
        <v>1</v>
      </c>
      <c r="I1202" s="1">
        <f t="shared" si="94"/>
        <v>1</v>
      </c>
    </row>
    <row r="1203" spans="1:9" x14ac:dyDescent="0.25">
      <c r="A1203" s="26">
        <v>46493</v>
      </c>
      <c r="B1203" s="27">
        <f t="shared" si="90"/>
        <v>2027</v>
      </c>
      <c r="C1203" s="27">
        <f t="shared" si="91"/>
        <v>4</v>
      </c>
      <c r="D1203" s="27">
        <f t="shared" si="92"/>
        <v>16</v>
      </c>
      <c r="E1203" s="27">
        <f t="shared" si="93"/>
        <v>6</v>
      </c>
      <c r="F1203" s="27">
        <f>VLOOKUP(E1203,[2]t_calendarioPolitica!A:C,3,FALSE)</f>
        <v>1</v>
      </c>
      <c r="G1203" s="1">
        <v>1</v>
      </c>
      <c r="H1203" s="1">
        <v>1</v>
      </c>
      <c r="I1203" s="1">
        <f t="shared" si="94"/>
        <v>1</v>
      </c>
    </row>
    <row r="1204" spans="1:9" x14ac:dyDescent="0.25">
      <c r="A1204" s="26">
        <v>46494</v>
      </c>
      <c r="B1204" s="27">
        <f t="shared" si="90"/>
        <v>2027</v>
      </c>
      <c r="C1204" s="27">
        <f t="shared" si="91"/>
        <v>4</v>
      </c>
      <c r="D1204" s="27">
        <f t="shared" si="92"/>
        <v>17</v>
      </c>
      <c r="E1204" s="27">
        <f t="shared" si="93"/>
        <v>7</v>
      </c>
      <c r="F1204" s="27">
        <f>VLOOKUP(E1204,[2]t_calendarioPolitica!A:C,3,FALSE)</f>
        <v>2</v>
      </c>
      <c r="G1204" s="1">
        <v>1</v>
      </c>
      <c r="H1204" s="1">
        <v>1</v>
      </c>
      <c r="I1204" s="1">
        <f t="shared" si="94"/>
        <v>1</v>
      </c>
    </row>
    <row r="1205" spans="1:9" x14ac:dyDescent="0.25">
      <c r="A1205" s="26">
        <v>46495</v>
      </c>
      <c r="B1205" s="27">
        <f t="shared" si="90"/>
        <v>2027</v>
      </c>
      <c r="C1205" s="27">
        <f t="shared" si="91"/>
        <v>4</v>
      </c>
      <c r="D1205" s="27">
        <f t="shared" si="92"/>
        <v>18</v>
      </c>
      <c r="E1205" s="27">
        <f t="shared" si="93"/>
        <v>1</v>
      </c>
      <c r="F1205" s="27">
        <f>VLOOKUP(E1205,[2]t_calendarioPolitica!A:C,3,FALSE)</f>
        <v>0</v>
      </c>
      <c r="G1205" s="1">
        <v>1</v>
      </c>
      <c r="H1205" s="1">
        <v>1</v>
      </c>
      <c r="I1205" s="1">
        <f t="shared" si="94"/>
        <v>0</v>
      </c>
    </row>
    <row r="1206" spans="1:9" x14ac:dyDescent="0.25">
      <c r="A1206" s="26">
        <v>46496</v>
      </c>
      <c r="B1206" s="27">
        <f t="shared" si="90"/>
        <v>2027</v>
      </c>
      <c r="C1206" s="27">
        <f t="shared" si="91"/>
        <v>4</v>
      </c>
      <c r="D1206" s="27">
        <f t="shared" si="92"/>
        <v>19</v>
      </c>
      <c r="E1206" s="27">
        <f t="shared" si="93"/>
        <v>2</v>
      </c>
      <c r="F1206" s="27">
        <f>VLOOKUP(E1206,[2]t_calendarioPolitica!A:C,3,FALSE)</f>
        <v>1</v>
      </c>
      <c r="G1206" s="1">
        <v>1</v>
      </c>
      <c r="H1206" s="1">
        <v>1</v>
      </c>
      <c r="I1206" s="1">
        <f t="shared" si="94"/>
        <v>1</v>
      </c>
    </row>
    <row r="1207" spans="1:9" x14ac:dyDescent="0.25">
      <c r="A1207" s="26">
        <v>46497</v>
      </c>
      <c r="B1207" s="27">
        <f t="shared" si="90"/>
        <v>2027</v>
      </c>
      <c r="C1207" s="27">
        <f t="shared" si="91"/>
        <v>4</v>
      </c>
      <c r="D1207" s="27">
        <f t="shared" si="92"/>
        <v>20</v>
      </c>
      <c r="E1207" s="27">
        <f t="shared" si="93"/>
        <v>3</v>
      </c>
      <c r="F1207" s="27">
        <f>VLOOKUP(E1207,[2]t_calendarioPolitica!A:C,3,FALSE)</f>
        <v>1</v>
      </c>
      <c r="G1207" s="1">
        <v>1</v>
      </c>
      <c r="H1207" s="1">
        <v>1</v>
      </c>
      <c r="I1207" s="1">
        <f t="shared" si="94"/>
        <v>1</v>
      </c>
    </row>
    <row r="1208" spans="1:9" x14ac:dyDescent="0.25">
      <c r="A1208" s="26">
        <v>46498</v>
      </c>
      <c r="B1208" s="27">
        <f t="shared" si="90"/>
        <v>2027</v>
      </c>
      <c r="C1208" s="27">
        <f t="shared" si="91"/>
        <v>4</v>
      </c>
      <c r="D1208" s="27">
        <f t="shared" si="92"/>
        <v>21</v>
      </c>
      <c r="E1208" s="27">
        <f t="shared" si="93"/>
        <v>4</v>
      </c>
      <c r="F1208" s="27">
        <f>VLOOKUP(E1208,[2]t_calendarioPolitica!A:C,3,FALSE)</f>
        <v>1</v>
      </c>
      <c r="G1208" s="1">
        <v>1</v>
      </c>
      <c r="H1208" s="1">
        <v>1</v>
      </c>
      <c r="I1208" s="1">
        <f t="shared" si="94"/>
        <v>1</v>
      </c>
    </row>
    <row r="1209" spans="1:9" x14ac:dyDescent="0.25">
      <c r="A1209" s="26">
        <v>46499</v>
      </c>
      <c r="B1209" s="27">
        <f t="shared" si="90"/>
        <v>2027</v>
      </c>
      <c r="C1209" s="27">
        <f t="shared" si="91"/>
        <v>4</v>
      </c>
      <c r="D1209" s="27">
        <f t="shared" si="92"/>
        <v>22</v>
      </c>
      <c r="E1209" s="27">
        <f t="shared" si="93"/>
        <v>5</v>
      </c>
      <c r="F1209" s="27">
        <f>VLOOKUP(E1209,[2]t_calendarioPolitica!A:C,3,FALSE)</f>
        <v>1</v>
      </c>
      <c r="G1209" s="1">
        <v>1</v>
      </c>
      <c r="H1209" s="1">
        <v>1</v>
      </c>
      <c r="I1209" s="1">
        <f t="shared" si="94"/>
        <v>1</v>
      </c>
    </row>
    <row r="1210" spans="1:9" x14ac:dyDescent="0.25">
      <c r="A1210" s="26">
        <v>46500</v>
      </c>
      <c r="B1210" s="27">
        <f t="shared" si="90"/>
        <v>2027</v>
      </c>
      <c r="C1210" s="27">
        <f t="shared" si="91"/>
        <v>4</v>
      </c>
      <c r="D1210" s="27">
        <f t="shared" si="92"/>
        <v>23</v>
      </c>
      <c r="E1210" s="27">
        <f t="shared" si="93"/>
        <v>6</v>
      </c>
      <c r="F1210" s="27">
        <f>VLOOKUP(E1210,[2]t_calendarioPolitica!A:C,3,FALSE)</f>
        <v>1</v>
      </c>
      <c r="G1210" s="1">
        <v>1</v>
      </c>
      <c r="H1210" s="1">
        <v>1</v>
      </c>
      <c r="I1210" s="1">
        <f t="shared" si="94"/>
        <v>1</v>
      </c>
    </row>
    <row r="1211" spans="1:9" x14ac:dyDescent="0.25">
      <c r="A1211" s="26">
        <v>46501</v>
      </c>
      <c r="B1211" s="27">
        <f t="shared" si="90"/>
        <v>2027</v>
      </c>
      <c r="C1211" s="27">
        <f t="shared" si="91"/>
        <v>4</v>
      </c>
      <c r="D1211" s="27">
        <f t="shared" si="92"/>
        <v>24</v>
      </c>
      <c r="E1211" s="27">
        <f t="shared" si="93"/>
        <v>7</v>
      </c>
      <c r="F1211" s="27">
        <f>VLOOKUP(E1211,[2]t_calendarioPolitica!A:C,3,FALSE)</f>
        <v>2</v>
      </c>
      <c r="G1211" s="1">
        <v>1</v>
      </c>
      <c r="H1211" s="1">
        <v>1</v>
      </c>
      <c r="I1211" s="1">
        <f t="shared" si="94"/>
        <v>1</v>
      </c>
    </row>
    <row r="1212" spans="1:9" x14ac:dyDescent="0.25">
      <c r="A1212" s="26">
        <v>46502</v>
      </c>
      <c r="B1212" s="27">
        <f t="shared" si="90"/>
        <v>2027</v>
      </c>
      <c r="C1212" s="27">
        <f t="shared" si="91"/>
        <v>4</v>
      </c>
      <c r="D1212" s="27">
        <f t="shared" si="92"/>
        <v>25</v>
      </c>
      <c r="E1212" s="27">
        <f t="shared" si="93"/>
        <v>1</v>
      </c>
      <c r="F1212" s="27">
        <f>VLOOKUP(E1212,[2]t_calendarioPolitica!A:C,3,FALSE)</f>
        <v>0</v>
      </c>
      <c r="G1212" s="1">
        <v>1</v>
      </c>
      <c r="H1212" s="1">
        <v>1</v>
      </c>
      <c r="I1212" s="1">
        <f t="shared" si="94"/>
        <v>0</v>
      </c>
    </row>
    <row r="1213" spans="1:9" x14ac:dyDescent="0.25">
      <c r="A1213" s="26">
        <v>46503</v>
      </c>
      <c r="B1213" s="27">
        <f t="shared" si="90"/>
        <v>2027</v>
      </c>
      <c r="C1213" s="27">
        <f t="shared" si="91"/>
        <v>4</v>
      </c>
      <c r="D1213" s="27">
        <f t="shared" si="92"/>
        <v>26</v>
      </c>
      <c r="E1213" s="27">
        <f t="shared" si="93"/>
        <v>2</v>
      </c>
      <c r="F1213" s="27">
        <f>VLOOKUP(E1213,[2]t_calendarioPolitica!A:C,3,FALSE)</f>
        <v>1</v>
      </c>
      <c r="G1213" s="1">
        <v>1</v>
      </c>
      <c r="H1213" s="1">
        <v>1</v>
      </c>
      <c r="I1213" s="1">
        <f t="shared" si="94"/>
        <v>1</v>
      </c>
    </row>
    <row r="1214" spans="1:9" x14ac:dyDescent="0.25">
      <c r="A1214" s="26">
        <v>46504</v>
      </c>
      <c r="B1214" s="27">
        <f t="shared" si="90"/>
        <v>2027</v>
      </c>
      <c r="C1214" s="27">
        <f t="shared" si="91"/>
        <v>4</v>
      </c>
      <c r="D1214" s="27">
        <f t="shared" si="92"/>
        <v>27</v>
      </c>
      <c r="E1214" s="27">
        <f t="shared" si="93"/>
        <v>3</v>
      </c>
      <c r="F1214" s="27">
        <f>VLOOKUP(E1214,[2]t_calendarioPolitica!A:C,3,FALSE)</f>
        <v>1</v>
      </c>
      <c r="G1214" s="1">
        <v>1</v>
      </c>
      <c r="H1214" s="1">
        <v>1</v>
      </c>
      <c r="I1214" s="1">
        <f t="shared" si="94"/>
        <v>1</v>
      </c>
    </row>
    <row r="1215" spans="1:9" x14ac:dyDescent="0.25">
      <c r="A1215" s="26">
        <v>46505</v>
      </c>
      <c r="B1215" s="27">
        <f t="shared" si="90"/>
        <v>2027</v>
      </c>
      <c r="C1215" s="27">
        <f t="shared" si="91"/>
        <v>4</v>
      </c>
      <c r="D1215" s="27">
        <f t="shared" si="92"/>
        <v>28</v>
      </c>
      <c r="E1215" s="27">
        <f t="shared" si="93"/>
        <v>4</v>
      </c>
      <c r="F1215" s="27">
        <f>VLOOKUP(E1215,[2]t_calendarioPolitica!A:C,3,FALSE)</f>
        <v>1</v>
      </c>
      <c r="G1215" s="1">
        <v>1</v>
      </c>
      <c r="H1215" s="1">
        <v>1</v>
      </c>
      <c r="I1215" s="1">
        <f t="shared" si="94"/>
        <v>1</v>
      </c>
    </row>
    <row r="1216" spans="1:9" x14ac:dyDescent="0.25">
      <c r="A1216" s="26">
        <v>46506</v>
      </c>
      <c r="B1216" s="27">
        <f t="shared" si="90"/>
        <v>2027</v>
      </c>
      <c r="C1216" s="27">
        <f t="shared" si="91"/>
        <v>4</v>
      </c>
      <c r="D1216" s="27">
        <f t="shared" si="92"/>
        <v>29</v>
      </c>
      <c r="E1216" s="27">
        <f t="shared" si="93"/>
        <v>5</v>
      </c>
      <c r="F1216" s="27">
        <f>VLOOKUP(E1216,[2]t_calendarioPolitica!A:C,3,FALSE)</f>
        <v>1</v>
      </c>
      <c r="G1216" s="1">
        <v>1</v>
      </c>
      <c r="H1216" s="1">
        <v>1</v>
      </c>
      <c r="I1216" s="1">
        <f t="shared" si="94"/>
        <v>1</v>
      </c>
    </row>
    <row r="1217" spans="1:9" x14ac:dyDescent="0.25">
      <c r="A1217" s="26">
        <v>46507</v>
      </c>
      <c r="B1217" s="27">
        <f t="shared" si="90"/>
        <v>2027</v>
      </c>
      <c r="C1217" s="27">
        <f t="shared" si="91"/>
        <v>4</v>
      </c>
      <c r="D1217" s="27">
        <f t="shared" si="92"/>
        <v>30</v>
      </c>
      <c r="E1217" s="27">
        <f t="shared" si="93"/>
        <v>6</v>
      </c>
      <c r="F1217" s="27">
        <f>VLOOKUP(E1217,[2]t_calendarioPolitica!A:C,3,FALSE)</f>
        <v>1</v>
      </c>
      <c r="G1217" s="1">
        <v>1</v>
      </c>
      <c r="H1217" s="1">
        <v>1</v>
      </c>
      <c r="I1217" s="1">
        <f t="shared" si="94"/>
        <v>1</v>
      </c>
    </row>
    <row r="1218" spans="1:9" x14ac:dyDescent="0.25">
      <c r="A1218" s="26">
        <v>46508</v>
      </c>
      <c r="B1218" s="27">
        <f t="shared" si="90"/>
        <v>2027</v>
      </c>
      <c r="C1218" s="27">
        <f t="shared" si="91"/>
        <v>5</v>
      </c>
      <c r="D1218" s="27">
        <f t="shared" si="92"/>
        <v>1</v>
      </c>
      <c r="E1218" s="27">
        <f t="shared" si="93"/>
        <v>7</v>
      </c>
      <c r="F1218" s="27">
        <f>VLOOKUP(E1218,[2]t_calendarioPolitica!A:C,3,FALSE)</f>
        <v>2</v>
      </c>
      <c r="G1218" s="1">
        <v>1</v>
      </c>
      <c r="H1218" s="1">
        <v>1</v>
      </c>
      <c r="I1218" s="1">
        <f t="shared" si="94"/>
        <v>1</v>
      </c>
    </row>
    <row r="1219" spans="1:9" x14ac:dyDescent="0.25">
      <c r="A1219" s="26">
        <v>46509</v>
      </c>
      <c r="B1219" s="27">
        <f t="shared" ref="B1219:B1282" si="95">YEAR(A1219)</f>
        <v>2027</v>
      </c>
      <c r="C1219" s="27">
        <f t="shared" ref="C1219:C1282" si="96">MONTH(A1219)</f>
        <v>5</v>
      </c>
      <c r="D1219" s="27">
        <f t="shared" ref="D1219:D1282" si="97">DAY(A1219)</f>
        <v>2</v>
      </c>
      <c r="E1219" s="27">
        <f t="shared" ref="E1219:E1282" si="98">WEEKDAY(A1219)</f>
        <v>1</v>
      </c>
      <c r="F1219" s="27">
        <f>VLOOKUP(E1219,[2]t_calendarioPolitica!A:C,3,FALSE)</f>
        <v>0</v>
      </c>
      <c r="G1219" s="1">
        <v>1</v>
      </c>
      <c r="H1219" s="1">
        <v>1</v>
      </c>
      <c r="I1219" s="1">
        <f t="shared" ref="I1219:I1282" si="99">IF(AND(F1219&lt;&gt;0, H1219&lt;&gt;0,G1219&lt;&gt;0), 1, 0)</f>
        <v>0</v>
      </c>
    </row>
    <row r="1220" spans="1:9" x14ac:dyDescent="0.25">
      <c r="A1220" s="26">
        <v>46510</v>
      </c>
      <c r="B1220" s="27">
        <f t="shared" si="95"/>
        <v>2027</v>
      </c>
      <c r="C1220" s="27">
        <f t="shared" si="96"/>
        <v>5</v>
      </c>
      <c r="D1220" s="27">
        <f t="shared" si="97"/>
        <v>3</v>
      </c>
      <c r="E1220" s="27">
        <f t="shared" si="98"/>
        <v>2</v>
      </c>
      <c r="F1220" s="27">
        <f>VLOOKUP(E1220,[2]t_calendarioPolitica!A:C,3,FALSE)</f>
        <v>1</v>
      </c>
      <c r="G1220" s="1">
        <v>1</v>
      </c>
      <c r="H1220" s="1">
        <v>1</v>
      </c>
      <c r="I1220" s="1">
        <f t="shared" si="99"/>
        <v>1</v>
      </c>
    </row>
    <row r="1221" spans="1:9" x14ac:dyDescent="0.25">
      <c r="A1221" s="26">
        <v>46511</v>
      </c>
      <c r="B1221" s="27">
        <f t="shared" si="95"/>
        <v>2027</v>
      </c>
      <c r="C1221" s="27">
        <f t="shared" si="96"/>
        <v>5</v>
      </c>
      <c r="D1221" s="27">
        <f t="shared" si="97"/>
        <v>4</v>
      </c>
      <c r="E1221" s="27">
        <f t="shared" si="98"/>
        <v>3</v>
      </c>
      <c r="F1221" s="27">
        <f>VLOOKUP(E1221,[2]t_calendarioPolitica!A:C,3,FALSE)</f>
        <v>1</v>
      </c>
      <c r="G1221" s="1">
        <v>1</v>
      </c>
      <c r="H1221" s="1">
        <v>1</v>
      </c>
      <c r="I1221" s="1">
        <f t="shared" si="99"/>
        <v>1</v>
      </c>
    </row>
    <row r="1222" spans="1:9" x14ac:dyDescent="0.25">
      <c r="A1222" s="26">
        <v>46512</v>
      </c>
      <c r="B1222" s="27">
        <f t="shared" si="95"/>
        <v>2027</v>
      </c>
      <c r="C1222" s="27">
        <f t="shared" si="96"/>
        <v>5</v>
      </c>
      <c r="D1222" s="27">
        <f t="shared" si="97"/>
        <v>5</v>
      </c>
      <c r="E1222" s="27">
        <f t="shared" si="98"/>
        <v>4</v>
      </c>
      <c r="F1222" s="27">
        <f>VLOOKUP(E1222,[2]t_calendarioPolitica!A:C,3,FALSE)</f>
        <v>1</v>
      </c>
      <c r="G1222" s="1">
        <v>1</v>
      </c>
      <c r="H1222" s="1">
        <v>1</v>
      </c>
      <c r="I1222" s="1">
        <f t="shared" si="99"/>
        <v>1</v>
      </c>
    </row>
    <row r="1223" spans="1:9" x14ac:dyDescent="0.25">
      <c r="A1223" s="26">
        <v>46513</v>
      </c>
      <c r="B1223" s="27">
        <f t="shared" si="95"/>
        <v>2027</v>
      </c>
      <c r="C1223" s="27">
        <f t="shared" si="96"/>
        <v>5</v>
      </c>
      <c r="D1223" s="27">
        <f t="shared" si="97"/>
        <v>6</v>
      </c>
      <c r="E1223" s="27">
        <f t="shared" si="98"/>
        <v>5</v>
      </c>
      <c r="F1223" s="27">
        <f>VLOOKUP(E1223,[2]t_calendarioPolitica!A:C,3,FALSE)</f>
        <v>1</v>
      </c>
      <c r="G1223" s="1">
        <v>1</v>
      </c>
      <c r="H1223" s="1">
        <v>1</v>
      </c>
      <c r="I1223" s="1">
        <f t="shared" si="99"/>
        <v>1</v>
      </c>
    </row>
    <row r="1224" spans="1:9" x14ac:dyDescent="0.25">
      <c r="A1224" s="26">
        <v>46514</v>
      </c>
      <c r="B1224" s="27">
        <f t="shared" si="95"/>
        <v>2027</v>
      </c>
      <c r="C1224" s="27">
        <f t="shared" si="96"/>
        <v>5</v>
      </c>
      <c r="D1224" s="27">
        <f t="shared" si="97"/>
        <v>7</v>
      </c>
      <c r="E1224" s="27">
        <f t="shared" si="98"/>
        <v>6</v>
      </c>
      <c r="F1224" s="27">
        <f>VLOOKUP(E1224,[2]t_calendarioPolitica!A:C,3,FALSE)</f>
        <v>1</v>
      </c>
      <c r="G1224" s="1">
        <v>1</v>
      </c>
      <c r="H1224" s="1">
        <v>1</v>
      </c>
      <c r="I1224" s="1">
        <f t="shared" si="99"/>
        <v>1</v>
      </c>
    </row>
    <row r="1225" spans="1:9" x14ac:dyDescent="0.25">
      <c r="A1225" s="26">
        <v>46515</v>
      </c>
      <c r="B1225" s="27">
        <f t="shared" si="95"/>
        <v>2027</v>
      </c>
      <c r="C1225" s="27">
        <f t="shared" si="96"/>
        <v>5</v>
      </c>
      <c r="D1225" s="27">
        <f t="shared" si="97"/>
        <v>8</v>
      </c>
      <c r="E1225" s="27">
        <f t="shared" si="98"/>
        <v>7</v>
      </c>
      <c r="F1225" s="27">
        <f>VLOOKUP(E1225,[2]t_calendarioPolitica!A:C,3,FALSE)</f>
        <v>2</v>
      </c>
      <c r="G1225" s="1">
        <v>1</v>
      </c>
      <c r="H1225" s="1">
        <v>1</v>
      </c>
      <c r="I1225" s="1">
        <f t="shared" si="99"/>
        <v>1</v>
      </c>
    </row>
    <row r="1226" spans="1:9" x14ac:dyDescent="0.25">
      <c r="A1226" s="26">
        <v>46516</v>
      </c>
      <c r="B1226" s="27">
        <f t="shared" si="95"/>
        <v>2027</v>
      </c>
      <c r="C1226" s="27">
        <f t="shared" si="96"/>
        <v>5</v>
      </c>
      <c r="D1226" s="27">
        <f t="shared" si="97"/>
        <v>9</v>
      </c>
      <c r="E1226" s="27">
        <f t="shared" si="98"/>
        <v>1</v>
      </c>
      <c r="F1226" s="27">
        <f>VLOOKUP(E1226,[2]t_calendarioPolitica!A:C,3,FALSE)</f>
        <v>0</v>
      </c>
      <c r="G1226" s="1">
        <v>1</v>
      </c>
      <c r="H1226" s="1">
        <v>1</v>
      </c>
      <c r="I1226" s="1">
        <f t="shared" si="99"/>
        <v>0</v>
      </c>
    </row>
    <row r="1227" spans="1:9" x14ac:dyDescent="0.25">
      <c r="A1227" s="26">
        <v>46517</v>
      </c>
      <c r="B1227" s="27">
        <f t="shared" si="95"/>
        <v>2027</v>
      </c>
      <c r="C1227" s="27">
        <f t="shared" si="96"/>
        <v>5</v>
      </c>
      <c r="D1227" s="27">
        <f t="shared" si="97"/>
        <v>10</v>
      </c>
      <c r="E1227" s="27">
        <f t="shared" si="98"/>
        <v>2</v>
      </c>
      <c r="F1227" s="27">
        <f>VLOOKUP(E1227,[2]t_calendarioPolitica!A:C,3,FALSE)</f>
        <v>1</v>
      </c>
      <c r="G1227" s="1">
        <v>1</v>
      </c>
      <c r="H1227" s="1">
        <v>0</v>
      </c>
      <c r="I1227" s="1">
        <f t="shared" si="99"/>
        <v>0</v>
      </c>
    </row>
    <row r="1228" spans="1:9" x14ac:dyDescent="0.25">
      <c r="A1228" s="26">
        <v>46518</v>
      </c>
      <c r="B1228" s="27">
        <f t="shared" si="95"/>
        <v>2027</v>
      </c>
      <c r="C1228" s="27">
        <f t="shared" si="96"/>
        <v>5</v>
      </c>
      <c r="D1228" s="27">
        <f t="shared" si="97"/>
        <v>11</v>
      </c>
      <c r="E1228" s="27">
        <f t="shared" si="98"/>
        <v>3</v>
      </c>
      <c r="F1228" s="27">
        <f>VLOOKUP(E1228,[2]t_calendarioPolitica!A:C,3,FALSE)</f>
        <v>1</v>
      </c>
      <c r="G1228" s="1">
        <v>1</v>
      </c>
      <c r="H1228" s="1">
        <v>1</v>
      </c>
      <c r="I1228" s="1">
        <f t="shared" si="99"/>
        <v>1</v>
      </c>
    </row>
    <row r="1229" spans="1:9" x14ac:dyDescent="0.25">
      <c r="A1229" s="26">
        <v>46519</v>
      </c>
      <c r="B1229" s="27">
        <f t="shared" si="95"/>
        <v>2027</v>
      </c>
      <c r="C1229" s="27">
        <f t="shared" si="96"/>
        <v>5</v>
      </c>
      <c r="D1229" s="27">
        <f t="shared" si="97"/>
        <v>12</v>
      </c>
      <c r="E1229" s="27">
        <f t="shared" si="98"/>
        <v>4</v>
      </c>
      <c r="F1229" s="27">
        <f>VLOOKUP(E1229,[2]t_calendarioPolitica!A:C,3,FALSE)</f>
        <v>1</v>
      </c>
      <c r="G1229" s="1">
        <v>1</v>
      </c>
      <c r="H1229" s="1">
        <v>1</v>
      </c>
      <c r="I1229" s="1">
        <f t="shared" si="99"/>
        <v>1</v>
      </c>
    </row>
    <row r="1230" spans="1:9" x14ac:dyDescent="0.25">
      <c r="A1230" s="26">
        <v>46520</v>
      </c>
      <c r="B1230" s="27">
        <f t="shared" si="95"/>
        <v>2027</v>
      </c>
      <c r="C1230" s="27">
        <f t="shared" si="96"/>
        <v>5</v>
      </c>
      <c r="D1230" s="27">
        <f t="shared" si="97"/>
        <v>13</v>
      </c>
      <c r="E1230" s="27">
        <f t="shared" si="98"/>
        <v>5</v>
      </c>
      <c r="F1230" s="27">
        <f>VLOOKUP(E1230,[2]t_calendarioPolitica!A:C,3,FALSE)</f>
        <v>1</v>
      </c>
      <c r="G1230" s="1">
        <v>1</v>
      </c>
      <c r="H1230" s="1">
        <v>1</v>
      </c>
      <c r="I1230" s="1">
        <f t="shared" si="99"/>
        <v>1</v>
      </c>
    </row>
    <row r="1231" spans="1:9" x14ac:dyDescent="0.25">
      <c r="A1231" s="26">
        <v>46521</v>
      </c>
      <c r="B1231" s="27">
        <f t="shared" si="95"/>
        <v>2027</v>
      </c>
      <c r="C1231" s="27">
        <f t="shared" si="96"/>
        <v>5</v>
      </c>
      <c r="D1231" s="27">
        <f t="shared" si="97"/>
        <v>14</v>
      </c>
      <c r="E1231" s="27">
        <f t="shared" si="98"/>
        <v>6</v>
      </c>
      <c r="F1231" s="27">
        <f>VLOOKUP(E1231,[2]t_calendarioPolitica!A:C,3,FALSE)</f>
        <v>1</v>
      </c>
      <c r="G1231" s="1">
        <v>1</v>
      </c>
      <c r="H1231" s="1">
        <v>1</v>
      </c>
      <c r="I1231" s="1">
        <f t="shared" si="99"/>
        <v>1</v>
      </c>
    </row>
    <row r="1232" spans="1:9" x14ac:dyDescent="0.25">
      <c r="A1232" s="26">
        <v>46522</v>
      </c>
      <c r="B1232" s="27">
        <f t="shared" si="95"/>
        <v>2027</v>
      </c>
      <c r="C1232" s="27">
        <f t="shared" si="96"/>
        <v>5</v>
      </c>
      <c r="D1232" s="27">
        <f t="shared" si="97"/>
        <v>15</v>
      </c>
      <c r="E1232" s="27">
        <f t="shared" si="98"/>
        <v>7</v>
      </c>
      <c r="F1232" s="27">
        <f>VLOOKUP(E1232,[2]t_calendarioPolitica!A:C,3,FALSE)</f>
        <v>2</v>
      </c>
      <c r="G1232" s="1">
        <v>1</v>
      </c>
      <c r="H1232" s="1">
        <v>1</v>
      </c>
      <c r="I1232" s="1">
        <f t="shared" si="99"/>
        <v>1</v>
      </c>
    </row>
    <row r="1233" spans="1:9" x14ac:dyDescent="0.25">
      <c r="A1233" s="26">
        <v>46523</v>
      </c>
      <c r="B1233" s="27">
        <f t="shared" si="95"/>
        <v>2027</v>
      </c>
      <c r="C1233" s="27">
        <f t="shared" si="96"/>
        <v>5</v>
      </c>
      <c r="D1233" s="27">
        <f t="shared" si="97"/>
        <v>16</v>
      </c>
      <c r="E1233" s="27">
        <f t="shared" si="98"/>
        <v>1</v>
      </c>
      <c r="F1233" s="27">
        <f>VLOOKUP(E1233,[2]t_calendarioPolitica!A:C,3,FALSE)</f>
        <v>0</v>
      </c>
      <c r="G1233" s="1">
        <v>1</v>
      </c>
      <c r="H1233" s="1">
        <v>1</v>
      </c>
      <c r="I1233" s="1">
        <f t="shared" si="99"/>
        <v>0</v>
      </c>
    </row>
    <row r="1234" spans="1:9" x14ac:dyDescent="0.25">
      <c r="A1234" s="26">
        <v>46524</v>
      </c>
      <c r="B1234" s="27">
        <f t="shared" si="95"/>
        <v>2027</v>
      </c>
      <c r="C1234" s="27">
        <f t="shared" si="96"/>
        <v>5</v>
      </c>
      <c r="D1234" s="27">
        <f t="shared" si="97"/>
        <v>17</v>
      </c>
      <c r="E1234" s="27">
        <f t="shared" si="98"/>
        <v>2</v>
      </c>
      <c r="F1234" s="27">
        <f>VLOOKUP(E1234,[2]t_calendarioPolitica!A:C,3,FALSE)</f>
        <v>1</v>
      </c>
      <c r="G1234" s="1">
        <v>1</v>
      </c>
      <c r="H1234" s="1">
        <v>1</v>
      </c>
      <c r="I1234" s="1">
        <f t="shared" si="99"/>
        <v>1</v>
      </c>
    </row>
    <row r="1235" spans="1:9" x14ac:dyDescent="0.25">
      <c r="A1235" s="26">
        <v>46525</v>
      </c>
      <c r="B1235" s="27">
        <f t="shared" si="95"/>
        <v>2027</v>
      </c>
      <c r="C1235" s="27">
        <f t="shared" si="96"/>
        <v>5</v>
      </c>
      <c r="D1235" s="27">
        <f t="shared" si="97"/>
        <v>18</v>
      </c>
      <c r="E1235" s="27">
        <f t="shared" si="98"/>
        <v>3</v>
      </c>
      <c r="F1235" s="27">
        <f>VLOOKUP(E1235,[2]t_calendarioPolitica!A:C,3,FALSE)</f>
        <v>1</v>
      </c>
      <c r="G1235" s="1">
        <v>1</v>
      </c>
      <c r="H1235" s="1">
        <v>1</v>
      </c>
      <c r="I1235" s="1">
        <f t="shared" si="99"/>
        <v>1</v>
      </c>
    </row>
    <row r="1236" spans="1:9" x14ac:dyDescent="0.25">
      <c r="A1236" s="26">
        <v>46526</v>
      </c>
      <c r="B1236" s="27">
        <f t="shared" si="95"/>
        <v>2027</v>
      </c>
      <c r="C1236" s="27">
        <f t="shared" si="96"/>
        <v>5</v>
      </c>
      <c r="D1236" s="27">
        <f t="shared" si="97"/>
        <v>19</v>
      </c>
      <c r="E1236" s="27">
        <f t="shared" si="98"/>
        <v>4</v>
      </c>
      <c r="F1236" s="27">
        <f>VLOOKUP(E1236,[2]t_calendarioPolitica!A:C,3,FALSE)</f>
        <v>1</v>
      </c>
      <c r="G1236" s="1">
        <v>1</v>
      </c>
      <c r="H1236" s="1">
        <v>1</v>
      </c>
      <c r="I1236" s="1">
        <f t="shared" si="99"/>
        <v>1</v>
      </c>
    </row>
    <row r="1237" spans="1:9" x14ac:dyDescent="0.25">
      <c r="A1237" s="26">
        <v>46527</v>
      </c>
      <c r="B1237" s="27">
        <f t="shared" si="95"/>
        <v>2027</v>
      </c>
      <c r="C1237" s="27">
        <f t="shared" si="96"/>
        <v>5</v>
      </c>
      <c r="D1237" s="27">
        <f t="shared" si="97"/>
        <v>20</v>
      </c>
      <c r="E1237" s="27">
        <f t="shared" si="98"/>
        <v>5</v>
      </c>
      <c r="F1237" s="27">
        <f>VLOOKUP(E1237,[2]t_calendarioPolitica!A:C,3,FALSE)</f>
        <v>1</v>
      </c>
      <c r="G1237" s="1">
        <v>1</v>
      </c>
      <c r="H1237" s="1">
        <v>1</v>
      </c>
      <c r="I1237" s="1">
        <f t="shared" si="99"/>
        <v>1</v>
      </c>
    </row>
    <row r="1238" spans="1:9" x14ac:dyDescent="0.25">
      <c r="A1238" s="26">
        <v>46528</v>
      </c>
      <c r="B1238" s="27">
        <f t="shared" si="95"/>
        <v>2027</v>
      </c>
      <c r="C1238" s="27">
        <f t="shared" si="96"/>
        <v>5</v>
      </c>
      <c r="D1238" s="27">
        <f t="shared" si="97"/>
        <v>21</v>
      </c>
      <c r="E1238" s="27">
        <f t="shared" si="98"/>
        <v>6</v>
      </c>
      <c r="F1238" s="27">
        <f>VLOOKUP(E1238,[2]t_calendarioPolitica!A:C,3,FALSE)</f>
        <v>1</v>
      </c>
      <c r="G1238" s="1">
        <v>1</v>
      </c>
      <c r="H1238" s="1">
        <v>1</v>
      </c>
      <c r="I1238" s="1">
        <f t="shared" si="99"/>
        <v>1</v>
      </c>
    </row>
    <row r="1239" spans="1:9" x14ac:dyDescent="0.25">
      <c r="A1239" s="26">
        <v>46529</v>
      </c>
      <c r="B1239" s="27">
        <f t="shared" si="95"/>
        <v>2027</v>
      </c>
      <c r="C1239" s="27">
        <f t="shared" si="96"/>
        <v>5</v>
      </c>
      <c r="D1239" s="27">
        <f t="shared" si="97"/>
        <v>22</v>
      </c>
      <c r="E1239" s="27">
        <f t="shared" si="98"/>
        <v>7</v>
      </c>
      <c r="F1239" s="27">
        <f>VLOOKUP(E1239,[2]t_calendarioPolitica!A:C,3,FALSE)</f>
        <v>2</v>
      </c>
      <c r="G1239" s="1">
        <v>1</v>
      </c>
      <c r="H1239" s="1">
        <v>1</v>
      </c>
      <c r="I1239" s="1">
        <f t="shared" si="99"/>
        <v>1</v>
      </c>
    </row>
    <row r="1240" spans="1:9" x14ac:dyDescent="0.25">
      <c r="A1240" s="26">
        <v>46530</v>
      </c>
      <c r="B1240" s="27">
        <f t="shared" si="95"/>
        <v>2027</v>
      </c>
      <c r="C1240" s="27">
        <f t="shared" si="96"/>
        <v>5</v>
      </c>
      <c r="D1240" s="27">
        <f t="shared" si="97"/>
        <v>23</v>
      </c>
      <c r="E1240" s="27">
        <f t="shared" si="98"/>
        <v>1</v>
      </c>
      <c r="F1240" s="27">
        <f>VLOOKUP(E1240,[2]t_calendarioPolitica!A:C,3,FALSE)</f>
        <v>0</v>
      </c>
      <c r="G1240" s="1">
        <v>1</v>
      </c>
      <c r="H1240" s="1">
        <v>1</v>
      </c>
      <c r="I1240" s="1">
        <f t="shared" si="99"/>
        <v>0</v>
      </c>
    </row>
    <row r="1241" spans="1:9" x14ac:dyDescent="0.25">
      <c r="A1241" s="26">
        <v>46531</v>
      </c>
      <c r="B1241" s="27">
        <f t="shared" si="95"/>
        <v>2027</v>
      </c>
      <c r="C1241" s="27">
        <f t="shared" si="96"/>
        <v>5</v>
      </c>
      <c r="D1241" s="27">
        <f t="shared" si="97"/>
        <v>24</v>
      </c>
      <c r="E1241" s="27">
        <f t="shared" si="98"/>
        <v>2</v>
      </c>
      <c r="F1241" s="27">
        <f>VLOOKUP(E1241,[2]t_calendarioPolitica!A:C,3,FALSE)</f>
        <v>1</v>
      </c>
      <c r="G1241" s="1">
        <v>1</v>
      </c>
      <c r="H1241" s="1">
        <v>1</v>
      </c>
      <c r="I1241" s="1">
        <f t="shared" si="99"/>
        <v>1</v>
      </c>
    </row>
    <row r="1242" spans="1:9" x14ac:dyDescent="0.25">
      <c r="A1242" s="26">
        <v>46532</v>
      </c>
      <c r="B1242" s="27">
        <f t="shared" si="95"/>
        <v>2027</v>
      </c>
      <c r="C1242" s="27">
        <f t="shared" si="96"/>
        <v>5</v>
      </c>
      <c r="D1242" s="27">
        <f t="shared" si="97"/>
        <v>25</v>
      </c>
      <c r="E1242" s="27">
        <f t="shared" si="98"/>
        <v>3</v>
      </c>
      <c r="F1242" s="27">
        <f>VLOOKUP(E1242,[2]t_calendarioPolitica!A:C,3,FALSE)</f>
        <v>1</v>
      </c>
      <c r="G1242" s="1">
        <v>1</v>
      </c>
      <c r="H1242" s="1">
        <v>1</v>
      </c>
      <c r="I1242" s="1">
        <f t="shared" si="99"/>
        <v>1</v>
      </c>
    </row>
    <row r="1243" spans="1:9" x14ac:dyDescent="0.25">
      <c r="A1243" s="26">
        <v>46533</v>
      </c>
      <c r="B1243" s="27">
        <f t="shared" si="95"/>
        <v>2027</v>
      </c>
      <c r="C1243" s="27">
        <f t="shared" si="96"/>
        <v>5</v>
      </c>
      <c r="D1243" s="27">
        <f t="shared" si="97"/>
        <v>26</v>
      </c>
      <c r="E1243" s="27">
        <f t="shared" si="98"/>
        <v>4</v>
      </c>
      <c r="F1243" s="27">
        <f>VLOOKUP(E1243,[2]t_calendarioPolitica!A:C,3,FALSE)</f>
        <v>1</v>
      </c>
      <c r="G1243" s="1">
        <v>1</v>
      </c>
      <c r="H1243" s="1">
        <v>1</v>
      </c>
      <c r="I1243" s="1">
        <f t="shared" si="99"/>
        <v>1</v>
      </c>
    </row>
    <row r="1244" spans="1:9" x14ac:dyDescent="0.25">
      <c r="A1244" s="26">
        <v>46534</v>
      </c>
      <c r="B1244" s="27">
        <f t="shared" si="95"/>
        <v>2027</v>
      </c>
      <c r="C1244" s="27">
        <f t="shared" si="96"/>
        <v>5</v>
      </c>
      <c r="D1244" s="27">
        <f t="shared" si="97"/>
        <v>27</v>
      </c>
      <c r="E1244" s="27">
        <f t="shared" si="98"/>
        <v>5</v>
      </c>
      <c r="F1244" s="27">
        <f>VLOOKUP(E1244,[2]t_calendarioPolitica!A:C,3,FALSE)</f>
        <v>1</v>
      </c>
      <c r="G1244" s="1">
        <v>1</v>
      </c>
      <c r="H1244" s="1">
        <v>1</v>
      </c>
      <c r="I1244" s="1">
        <f t="shared" si="99"/>
        <v>1</v>
      </c>
    </row>
    <row r="1245" spans="1:9" x14ac:dyDescent="0.25">
      <c r="A1245" s="26">
        <v>46535</v>
      </c>
      <c r="B1245" s="27">
        <f t="shared" si="95"/>
        <v>2027</v>
      </c>
      <c r="C1245" s="27">
        <f t="shared" si="96"/>
        <v>5</v>
      </c>
      <c r="D1245" s="27">
        <f t="shared" si="97"/>
        <v>28</v>
      </c>
      <c r="E1245" s="27">
        <f t="shared" si="98"/>
        <v>6</v>
      </c>
      <c r="F1245" s="27">
        <f>VLOOKUP(E1245,[2]t_calendarioPolitica!A:C,3,FALSE)</f>
        <v>1</v>
      </c>
      <c r="G1245" s="1">
        <v>1</v>
      </c>
      <c r="H1245" s="1">
        <v>1</v>
      </c>
      <c r="I1245" s="1">
        <f t="shared" si="99"/>
        <v>1</v>
      </c>
    </row>
    <row r="1246" spans="1:9" x14ac:dyDescent="0.25">
      <c r="A1246" s="26">
        <v>46536</v>
      </c>
      <c r="B1246" s="27">
        <f t="shared" si="95"/>
        <v>2027</v>
      </c>
      <c r="C1246" s="27">
        <f t="shared" si="96"/>
        <v>5</v>
      </c>
      <c r="D1246" s="27">
        <f t="shared" si="97"/>
        <v>29</v>
      </c>
      <c r="E1246" s="27">
        <f t="shared" si="98"/>
        <v>7</v>
      </c>
      <c r="F1246" s="27">
        <f>VLOOKUP(E1246,[2]t_calendarioPolitica!A:C,3,FALSE)</f>
        <v>2</v>
      </c>
      <c r="G1246" s="1">
        <v>1</v>
      </c>
      <c r="H1246" s="1">
        <v>1</v>
      </c>
      <c r="I1246" s="1">
        <f t="shared" si="99"/>
        <v>1</v>
      </c>
    </row>
    <row r="1247" spans="1:9" x14ac:dyDescent="0.25">
      <c r="A1247" s="26">
        <v>46537</v>
      </c>
      <c r="B1247" s="27">
        <f t="shared" si="95"/>
        <v>2027</v>
      </c>
      <c r="C1247" s="27">
        <f t="shared" si="96"/>
        <v>5</v>
      </c>
      <c r="D1247" s="27">
        <f t="shared" si="97"/>
        <v>30</v>
      </c>
      <c r="E1247" s="27">
        <f t="shared" si="98"/>
        <v>1</v>
      </c>
      <c r="F1247" s="27">
        <f>VLOOKUP(E1247,[2]t_calendarioPolitica!A:C,3,FALSE)</f>
        <v>0</v>
      </c>
      <c r="G1247" s="1">
        <v>1</v>
      </c>
      <c r="H1247" s="1">
        <v>1</v>
      </c>
      <c r="I1247" s="1">
        <f t="shared" si="99"/>
        <v>0</v>
      </c>
    </row>
    <row r="1248" spans="1:9" x14ac:dyDescent="0.25">
      <c r="A1248" s="26">
        <v>46538</v>
      </c>
      <c r="B1248" s="27">
        <f t="shared" si="95"/>
        <v>2027</v>
      </c>
      <c r="C1248" s="27">
        <f t="shared" si="96"/>
        <v>5</v>
      </c>
      <c r="D1248" s="27">
        <f t="shared" si="97"/>
        <v>31</v>
      </c>
      <c r="E1248" s="27">
        <f t="shared" si="98"/>
        <v>2</v>
      </c>
      <c r="F1248" s="27">
        <f>VLOOKUP(E1248,[2]t_calendarioPolitica!A:C,3,FALSE)</f>
        <v>1</v>
      </c>
      <c r="G1248" s="1">
        <v>1</v>
      </c>
      <c r="H1248" s="1">
        <v>1</v>
      </c>
      <c r="I1248" s="1">
        <f t="shared" si="99"/>
        <v>1</v>
      </c>
    </row>
    <row r="1249" spans="1:9" x14ac:dyDescent="0.25">
      <c r="A1249" s="26">
        <v>46539</v>
      </c>
      <c r="B1249" s="27">
        <f t="shared" si="95"/>
        <v>2027</v>
      </c>
      <c r="C1249" s="27">
        <f t="shared" si="96"/>
        <v>6</v>
      </c>
      <c r="D1249" s="27">
        <f t="shared" si="97"/>
        <v>1</v>
      </c>
      <c r="E1249" s="27">
        <f t="shared" si="98"/>
        <v>3</v>
      </c>
      <c r="F1249" s="27">
        <f>VLOOKUP(E1249,[2]t_calendarioPolitica!A:C,3,FALSE)</f>
        <v>1</v>
      </c>
      <c r="G1249" s="1">
        <v>1</v>
      </c>
      <c r="H1249" s="1">
        <v>1</v>
      </c>
      <c r="I1249" s="1">
        <f t="shared" si="99"/>
        <v>1</v>
      </c>
    </row>
    <row r="1250" spans="1:9" x14ac:dyDescent="0.25">
      <c r="A1250" s="26">
        <v>46540</v>
      </c>
      <c r="B1250" s="27">
        <f t="shared" si="95"/>
        <v>2027</v>
      </c>
      <c r="C1250" s="27">
        <f t="shared" si="96"/>
        <v>6</v>
      </c>
      <c r="D1250" s="27">
        <f t="shared" si="97"/>
        <v>2</v>
      </c>
      <c r="E1250" s="27">
        <f t="shared" si="98"/>
        <v>4</v>
      </c>
      <c r="F1250" s="27">
        <f>VLOOKUP(E1250,[2]t_calendarioPolitica!A:C,3,FALSE)</f>
        <v>1</v>
      </c>
      <c r="G1250" s="1">
        <v>1</v>
      </c>
      <c r="H1250" s="1">
        <v>1</v>
      </c>
      <c r="I1250" s="1">
        <f t="shared" si="99"/>
        <v>1</v>
      </c>
    </row>
    <row r="1251" spans="1:9" x14ac:dyDescent="0.25">
      <c r="A1251" s="26">
        <v>46541</v>
      </c>
      <c r="B1251" s="27">
        <f t="shared" si="95"/>
        <v>2027</v>
      </c>
      <c r="C1251" s="27">
        <f t="shared" si="96"/>
        <v>6</v>
      </c>
      <c r="D1251" s="27">
        <f t="shared" si="97"/>
        <v>3</v>
      </c>
      <c r="E1251" s="27">
        <f t="shared" si="98"/>
        <v>5</v>
      </c>
      <c r="F1251" s="27">
        <f>VLOOKUP(E1251,[2]t_calendarioPolitica!A:C,3,FALSE)</f>
        <v>1</v>
      </c>
      <c r="G1251" s="1">
        <v>1</v>
      </c>
      <c r="H1251" s="1">
        <v>1</v>
      </c>
      <c r="I1251" s="1">
        <f t="shared" si="99"/>
        <v>1</v>
      </c>
    </row>
    <row r="1252" spans="1:9" x14ac:dyDescent="0.25">
      <c r="A1252" s="26">
        <v>46542</v>
      </c>
      <c r="B1252" s="27">
        <f t="shared" si="95"/>
        <v>2027</v>
      </c>
      <c r="C1252" s="27">
        <f t="shared" si="96"/>
        <v>6</v>
      </c>
      <c r="D1252" s="27">
        <f t="shared" si="97"/>
        <v>4</v>
      </c>
      <c r="E1252" s="27">
        <f t="shared" si="98"/>
        <v>6</v>
      </c>
      <c r="F1252" s="27">
        <f>VLOOKUP(E1252,[2]t_calendarioPolitica!A:C,3,FALSE)</f>
        <v>1</v>
      </c>
      <c r="G1252" s="1">
        <v>1</v>
      </c>
      <c r="H1252" s="1">
        <v>1</v>
      </c>
      <c r="I1252" s="1">
        <f t="shared" si="99"/>
        <v>1</v>
      </c>
    </row>
    <row r="1253" spans="1:9" x14ac:dyDescent="0.25">
      <c r="A1253" s="26">
        <v>46543</v>
      </c>
      <c r="B1253" s="27">
        <f t="shared" si="95"/>
        <v>2027</v>
      </c>
      <c r="C1253" s="27">
        <f t="shared" si="96"/>
        <v>6</v>
      </c>
      <c r="D1253" s="27">
        <f t="shared" si="97"/>
        <v>5</v>
      </c>
      <c r="E1253" s="27">
        <f t="shared" si="98"/>
        <v>7</v>
      </c>
      <c r="F1253" s="27">
        <f>VLOOKUP(E1253,[2]t_calendarioPolitica!A:C,3,FALSE)</f>
        <v>2</v>
      </c>
      <c r="G1253" s="1">
        <v>1</v>
      </c>
      <c r="H1253" s="1">
        <v>1</v>
      </c>
      <c r="I1253" s="1">
        <f t="shared" si="99"/>
        <v>1</v>
      </c>
    </row>
    <row r="1254" spans="1:9" x14ac:dyDescent="0.25">
      <c r="A1254" s="26">
        <v>46544</v>
      </c>
      <c r="B1254" s="27">
        <f t="shared" si="95"/>
        <v>2027</v>
      </c>
      <c r="C1254" s="27">
        <f t="shared" si="96"/>
        <v>6</v>
      </c>
      <c r="D1254" s="27">
        <f t="shared" si="97"/>
        <v>6</v>
      </c>
      <c r="E1254" s="27">
        <f t="shared" si="98"/>
        <v>1</v>
      </c>
      <c r="F1254" s="27">
        <f>VLOOKUP(E1254,[2]t_calendarioPolitica!A:C,3,FALSE)</f>
        <v>0</v>
      </c>
      <c r="G1254" s="1">
        <v>1</v>
      </c>
      <c r="H1254" s="1">
        <v>1</v>
      </c>
      <c r="I1254" s="1">
        <f t="shared" si="99"/>
        <v>0</v>
      </c>
    </row>
    <row r="1255" spans="1:9" x14ac:dyDescent="0.25">
      <c r="A1255" s="26">
        <v>46545</v>
      </c>
      <c r="B1255" s="27">
        <f t="shared" si="95"/>
        <v>2027</v>
      </c>
      <c r="C1255" s="27">
        <f t="shared" si="96"/>
        <v>6</v>
      </c>
      <c r="D1255" s="27">
        <f t="shared" si="97"/>
        <v>7</v>
      </c>
      <c r="E1255" s="27">
        <f t="shared" si="98"/>
        <v>2</v>
      </c>
      <c r="F1255" s="27">
        <f>VLOOKUP(E1255,[2]t_calendarioPolitica!A:C,3,FALSE)</f>
        <v>1</v>
      </c>
      <c r="G1255" s="1">
        <v>1</v>
      </c>
      <c r="H1255" s="1">
        <v>1</v>
      </c>
      <c r="I1255" s="1">
        <f t="shared" si="99"/>
        <v>1</v>
      </c>
    </row>
    <row r="1256" spans="1:9" x14ac:dyDescent="0.25">
      <c r="A1256" s="26">
        <v>46546</v>
      </c>
      <c r="B1256" s="27">
        <f t="shared" si="95"/>
        <v>2027</v>
      </c>
      <c r="C1256" s="27">
        <f t="shared" si="96"/>
        <v>6</v>
      </c>
      <c r="D1256" s="27">
        <f t="shared" si="97"/>
        <v>8</v>
      </c>
      <c r="E1256" s="27">
        <f t="shared" si="98"/>
        <v>3</v>
      </c>
      <c r="F1256" s="27">
        <f>VLOOKUP(E1256,[2]t_calendarioPolitica!A:C,3,FALSE)</f>
        <v>1</v>
      </c>
      <c r="G1256" s="1">
        <v>1</v>
      </c>
      <c r="H1256" s="1">
        <v>1</v>
      </c>
      <c r="I1256" s="1">
        <f t="shared" si="99"/>
        <v>1</v>
      </c>
    </row>
    <row r="1257" spans="1:9" x14ac:dyDescent="0.25">
      <c r="A1257" s="26">
        <v>46547</v>
      </c>
      <c r="B1257" s="27">
        <f t="shared" si="95"/>
        <v>2027</v>
      </c>
      <c r="C1257" s="27">
        <f t="shared" si="96"/>
        <v>6</v>
      </c>
      <c r="D1257" s="27">
        <f t="shared" si="97"/>
        <v>9</v>
      </c>
      <c r="E1257" s="27">
        <f t="shared" si="98"/>
        <v>4</v>
      </c>
      <c r="F1257" s="27">
        <f>VLOOKUP(E1257,[2]t_calendarioPolitica!A:C,3,FALSE)</f>
        <v>1</v>
      </c>
      <c r="G1257" s="1">
        <v>1</v>
      </c>
      <c r="H1257" s="1">
        <v>1</v>
      </c>
      <c r="I1257" s="1">
        <f t="shared" si="99"/>
        <v>1</v>
      </c>
    </row>
    <row r="1258" spans="1:9" x14ac:dyDescent="0.25">
      <c r="A1258" s="26">
        <v>46548</v>
      </c>
      <c r="B1258" s="27">
        <f t="shared" si="95"/>
        <v>2027</v>
      </c>
      <c r="C1258" s="27">
        <f t="shared" si="96"/>
        <v>6</v>
      </c>
      <c r="D1258" s="27">
        <f t="shared" si="97"/>
        <v>10</v>
      </c>
      <c r="E1258" s="27">
        <f t="shared" si="98"/>
        <v>5</v>
      </c>
      <c r="F1258" s="27">
        <f>VLOOKUP(E1258,[2]t_calendarioPolitica!A:C,3,FALSE)</f>
        <v>1</v>
      </c>
      <c r="G1258" s="1">
        <v>1</v>
      </c>
      <c r="H1258" s="1">
        <v>1</v>
      </c>
      <c r="I1258" s="1">
        <f t="shared" si="99"/>
        <v>1</v>
      </c>
    </row>
    <row r="1259" spans="1:9" x14ac:dyDescent="0.25">
      <c r="A1259" s="26">
        <v>46549</v>
      </c>
      <c r="B1259" s="27">
        <f t="shared" si="95"/>
        <v>2027</v>
      </c>
      <c r="C1259" s="27">
        <f t="shared" si="96"/>
        <v>6</v>
      </c>
      <c r="D1259" s="27">
        <f t="shared" si="97"/>
        <v>11</v>
      </c>
      <c r="E1259" s="27">
        <f t="shared" si="98"/>
        <v>6</v>
      </c>
      <c r="F1259" s="27">
        <f>VLOOKUP(E1259,[2]t_calendarioPolitica!A:C,3,FALSE)</f>
        <v>1</v>
      </c>
      <c r="G1259" s="1">
        <v>1</v>
      </c>
      <c r="H1259" s="1">
        <v>1</v>
      </c>
      <c r="I1259" s="1">
        <f t="shared" si="99"/>
        <v>1</v>
      </c>
    </row>
    <row r="1260" spans="1:9" x14ac:dyDescent="0.25">
      <c r="A1260" s="26">
        <v>46550</v>
      </c>
      <c r="B1260" s="27">
        <f t="shared" si="95"/>
        <v>2027</v>
      </c>
      <c r="C1260" s="27">
        <f t="shared" si="96"/>
        <v>6</v>
      </c>
      <c r="D1260" s="27">
        <f t="shared" si="97"/>
        <v>12</v>
      </c>
      <c r="E1260" s="27">
        <f t="shared" si="98"/>
        <v>7</v>
      </c>
      <c r="F1260" s="27">
        <f>VLOOKUP(E1260,[2]t_calendarioPolitica!A:C,3,FALSE)</f>
        <v>2</v>
      </c>
      <c r="G1260" s="1">
        <v>1</v>
      </c>
      <c r="H1260" s="1">
        <v>1</v>
      </c>
      <c r="I1260" s="1">
        <f t="shared" si="99"/>
        <v>1</v>
      </c>
    </row>
    <row r="1261" spans="1:9" x14ac:dyDescent="0.25">
      <c r="A1261" s="26">
        <v>46551</v>
      </c>
      <c r="B1261" s="27">
        <f t="shared" si="95"/>
        <v>2027</v>
      </c>
      <c r="C1261" s="27">
        <f t="shared" si="96"/>
        <v>6</v>
      </c>
      <c r="D1261" s="27">
        <f t="shared" si="97"/>
        <v>13</v>
      </c>
      <c r="E1261" s="27">
        <f t="shared" si="98"/>
        <v>1</v>
      </c>
      <c r="F1261" s="27">
        <f>VLOOKUP(E1261,[2]t_calendarioPolitica!A:C,3,FALSE)</f>
        <v>0</v>
      </c>
      <c r="G1261" s="1">
        <v>1</v>
      </c>
      <c r="H1261" s="1">
        <v>1</v>
      </c>
      <c r="I1261" s="1">
        <f t="shared" si="99"/>
        <v>0</v>
      </c>
    </row>
    <row r="1262" spans="1:9" x14ac:dyDescent="0.25">
      <c r="A1262" s="26">
        <v>46552</v>
      </c>
      <c r="B1262" s="27">
        <f t="shared" si="95"/>
        <v>2027</v>
      </c>
      <c r="C1262" s="27">
        <f t="shared" si="96"/>
        <v>6</v>
      </c>
      <c r="D1262" s="27">
        <f t="shared" si="97"/>
        <v>14</v>
      </c>
      <c r="E1262" s="27">
        <f t="shared" si="98"/>
        <v>2</v>
      </c>
      <c r="F1262" s="27">
        <f>VLOOKUP(E1262,[2]t_calendarioPolitica!A:C,3,FALSE)</f>
        <v>1</v>
      </c>
      <c r="G1262" s="1">
        <v>1</v>
      </c>
      <c r="H1262" s="1">
        <v>1</v>
      </c>
      <c r="I1262" s="1">
        <f t="shared" si="99"/>
        <v>1</v>
      </c>
    </row>
    <row r="1263" spans="1:9" x14ac:dyDescent="0.25">
      <c r="A1263" s="26">
        <v>46553</v>
      </c>
      <c r="B1263" s="27">
        <f t="shared" si="95"/>
        <v>2027</v>
      </c>
      <c r="C1263" s="27">
        <f t="shared" si="96"/>
        <v>6</v>
      </c>
      <c r="D1263" s="27">
        <f t="shared" si="97"/>
        <v>15</v>
      </c>
      <c r="E1263" s="27">
        <f t="shared" si="98"/>
        <v>3</v>
      </c>
      <c r="F1263" s="27">
        <f>VLOOKUP(E1263,[2]t_calendarioPolitica!A:C,3,FALSE)</f>
        <v>1</v>
      </c>
      <c r="G1263" s="1">
        <v>1</v>
      </c>
      <c r="H1263" s="1">
        <v>1</v>
      </c>
      <c r="I1263" s="1">
        <f t="shared" si="99"/>
        <v>1</v>
      </c>
    </row>
    <row r="1264" spans="1:9" x14ac:dyDescent="0.25">
      <c r="A1264" s="26">
        <v>46554</v>
      </c>
      <c r="B1264" s="27">
        <f t="shared" si="95"/>
        <v>2027</v>
      </c>
      <c r="C1264" s="27">
        <f t="shared" si="96"/>
        <v>6</v>
      </c>
      <c r="D1264" s="27">
        <f t="shared" si="97"/>
        <v>16</v>
      </c>
      <c r="E1264" s="27">
        <f t="shared" si="98"/>
        <v>4</v>
      </c>
      <c r="F1264" s="27">
        <f>VLOOKUP(E1264,[2]t_calendarioPolitica!A:C,3,FALSE)</f>
        <v>1</v>
      </c>
      <c r="G1264" s="1">
        <v>1</v>
      </c>
      <c r="H1264" s="1">
        <v>1</v>
      </c>
      <c r="I1264" s="1">
        <f t="shared" si="99"/>
        <v>1</v>
      </c>
    </row>
    <row r="1265" spans="1:9" x14ac:dyDescent="0.25">
      <c r="A1265" s="26">
        <v>46555</v>
      </c>
      <c r="B1265" s="27">
        <f t="shared" si="95"/>
        <v>2027</v>
      </c>
      <c r="C1265" s="27">
        <f t="shared" si="96"/>
        <v>6</v>
      </c>
      <c r="D1265" s="27">
        <f t="shared" si="97"/>
        <v>17</v>
      </c>
      <c r="E1265" s="27">
        <f t="shared" si="98"/>
        <v>5</v>
      </c>
      <c r="F1265" s="27">
        <f>VLOOKUP(E1265,[2]t_calendarioPolitica!A:C,3,FALSE)</f>
        <v>1</v>
      </c>
      <c r="G1265" s="1">
        <v>1</v>
      </c>
      <c r="H1265" s="1">
        <v>1</v>
      </c>
      <c r="I1265" s="1">
        <f t="shared" si="99"/>
        <v>1</v>
      </c>
    </row>
    <row r="1266" spans="1:9" x14ac:dyDescent="0.25">
      <c r="A1266" s="26">
        <v>46556</v>
      </c>
      <c r="B1266" s="27">
        <f t="shared" si="95"/>
        <v>2027</v>
      </c>
      <c r="C1266" s="27">
        <f t="shared" si="96"/>
        <v>6</v>
      </c>
      <c r="D1266" s="27">
        <f t="shared" si="97"/>
        <v>18</v>
      </c>
      <c r="E1266" s="27">
        <f t="shared" si="98"/>
        <v>6</v>
      </c>
      <c r="F1266" s="27">
        <f>VLOOKUP(E1266,[2]t_calendarioPolitica!A:C,3,FALSE)</f>
        <v>1</v>
      </c>
      <c r="G1266" s="1">
        <v>1</v>
      </c>
      <c r="H1266" s="1">
        <v>1</v>
      </c>
      <c r="I1266" s="1">
        <f t="shared" si="99"/>
        <v>1</v>
      </c>
    </row>
    <row r="1267" spans="1:9" x14ac:dyDescent="0.25">
      <c r="A1267" s="26">
        <v>46557</v>
      </c>
      <c r="B1267" s="27">
        <f t="shared" si="95"/>
        <v>2027</v>
      </c>
      <c r="C1267" s="27">
        <f t="shared" si="96"/>
        <v>6</v>
      </c>
      <c r="D1267" s="27">
        <f t="shared" si="97"/>
        <v>19</v>
      </c>
      <c r="E1267" s="27">
        <f t="shared" si="98"/>
        <v>7</v>
      </c>
      <c r="F1267" s="27">
        <f>VLOOKUP(E1267,[2]t_calendarioPolitica!A:C,3,FALSE)</f>
        <v>2</v>
      </c>
      <c r="G1267" s="1">
        <v>1</v>
      </c>
      <c r="H1267" s="1">
        <v>1</v>
      </c>
      <c r="I1267" s="1">
        <f t="shared" si="99"/>
        <v>1</v>
      </c>
    </row>
    <row r="1268" spans="1:9" x14ac:dyDescent="0.25">
      <c r="A1268" s="26">
        <v>46558</v>
      </c>
      <c r="B1268" s="27">
        <f t="shared" si="95"/>
        <v>2027</v>
      </c>
      <c r="C1268" s="27">
        <f t="shared" si="96"/>
        <v>6</v>
      </c>
      <c r="D1268" s="27">
        <f t="shared" si="97"/>
        <v>20</v>
      </c>
      <c r="E1268" s="27">
        <f t="shared" si="98"/>
        <v>1</v>
      </c>
      <c r="F1268" s="27">
        <f>VLOOKUP(E1268,[2]t_calendarioPolitica!A:C,3,FALSE)</f>
        <v>0</v>
      </c>
      <c r="G1268" s="1">
        <v>1</v>
      </c>
      <c r="H1268" s="1">
        <v>1</v>
      </c>
      <c r="I1268" s="1">
        <f t="shared" si="99"/>
        <v>0</v>
      </c>
    </row>
    <row r="1269" spans="1:9" x14ac:dyDescent="0.25">
      <c r="A1269" s="26">
        <v>46559</v>
      </c>
      <c r="B1269" s="27">
        <f t="shared" si="95"/>
        <v>2027</v>
      </c>
      <c r="C1269" s="27">
        <f t="shared" si="96"/>
        <v>6</v>
      </c>
      <c r="D1269" s="27">
        <f t="shared" si="97"/>
        <v>21</v>
      </c>
      <c r="E1269" s="27">
        <f t="shared" si="98"/>
        <v>2</v>
      </c>
      <c r="F1269" s="27">
        <f>VLOOKUP(E1269,[2]t_calendarioPolitica!A:C,3,FALSE)</f>
        <v>1</v>
      </c>
      <c r="G1269" s="1">
        <v>1</v>
      </c>
      <c r="H1269" s="1">
        <v>1</v>
      </c>
      <c r="I1269" s="1">
        <f t="shared" si="99"/>
        <v>1</v>
      </c>
    </row>
    <row r="1270" spans="1:9" x14ac:dyDescent="0.25">
      <c r="A1270" s="26">
        <v>46560</v>
      </c>
      <c r="B1270" s="27">
        <f t="shared" si="95"/>
        <v>2027</v>
      </c>
      <c r="C1270" s="27">
        <f t="shared" si="96"/>
        <v>6</v>
      </c>
      <c r="D1270" s="27">
        <f t="shared" si="97"/>
        <v>22</v>
      </c>
      <c r="E1270" s="27">
        <f t="shared" si="98"/>
        <v>3</v>
      </c>
      <c r="F1270" s="27">
        <f>VLOOKUP(E1270,[2]t_calendarioPolitica!A:C,3,FALSE)</f>
        <v>1</v>
      </c>
      <c r="G1270" s="1">
        <v>1</v>
      </c>
      <c r="H1270" s="1">
        <v>1</v>
      </c>
      <c r="I1270" s="1">
        <f t="shared" si="99"/>
        <v>1</v>
      </c>
    </row>
    <row r="1271" spans="1:9" x14ac:dyDescent="0.25">
      <c r="A1271" s="26">
        <v>46561</v>
      </c>
      <c r="B1271" s="27">
        <f t="shared" si="95"/>
        <v>2027</v>
      </c>
      <c r="C1271" s="27">
        <f t="shared" si="96"/>
        <v>6</v>
      </c>
      <c r="D1271" s="27">
        <f t="shared" si="97"/>
        <v>23</v>
      </c>
      <c r="E1271" s="27">
        <f t="shared" si="98"/>
        <v>4</v>
      </c>
      <c r="F1271" s="27">
        <f>VLOOKUP(E1271,[2]t_calendarioPolitica!A:C,3,FALSE)</f>
        <v>1</v>
      </c>
      <c r="G1271" s="1">
        <v>1</v>
      </c>
      <c r="H1271" s="1">
        <v>1</v>
      </c>
      <c r="I1271" s="1">
        <f t="shared" si="99"/>
        <v>1</v>
      </c>
    </row>
    <row r="1272" spans="1:9" x14ac:dyDescent="0.25">
      <c r="A1272" s="26">
        <v>46562</v>
      </c>
      <c r="B1272" s="27">
        <f t="shared" si="95"/>
        <v>2027</v>
      </c>
      <c r="C1272" s="27">
        <f t="shared" si="96"/>
        <v>6</v>
      </c>
      <c r="D1272" s="27">
        <f t="shared" si="97"/>
        <v>24</v>
      </c>
      <c r="E1272" s="27">
        <f t="shared" si="98"/>
        <v>5</v>
      </c>
      <c r="F1272" s="27">
        <f>VLOOKUP(E1272,[2]t_calendarioPolitica!A:C,3,FALSE)</f>
        <v>1</v>
      </c>
      <c r="G1272" s="1">
        <v>1</v>
      </c>
      <c r="H1272" s="1">
        <v>1</v>
      </c>
      <c r="I1272" s="1">
        <f t="shared" si="99"/>
        <v>1</v>
      </c>
    </row>
    <row r="1273" spans="1:9" x14ac:dyDescent="0.25">
      <c r="A1273" s="26">
        <v>46563</v>
      </c>
      <c r="B1273" s="27">
        <f t="shared" si="95"/>
        <v>2027</v>
      </c>
      <c r="C1273" s="27">
        <f t="shared" si="96"/>
        <v>6</v>
      </c>
      <c r="D1273" s="27">
        <f t="shared" si="97"/>
        <v>25</v>
      </c>
      <c r="E1273" s="27">
        <f t="shared" si="98"/>
        <v>6</v>
      </c>
      <c r="F1273" s="27">
        <f>VLOOKUP(E1273,[2]t_calendarioPolitica!A:C,3,FALSE)</f>
        <v>1</v>
      </c>
      <c r="G1273" s="1">
        <v>1</v>
      </c>
      <c r="H1273" s="1">
        <v>1</v>
      </c>
      <c r="I1273" s="1">
        <f t="shared" si="99"/>
        <v>1</v>
      </c>
    </row>
    <row r="1274" spans="1:9" x14ac:dyDescent="0.25">
      <c r="A1274" s="26">
        <v>46564</v>
      </c>
      <c r="B1274" s="27">
        <f t="shared" si="95"/>
        <v>2027</v>
      </c>
      <c r="C1274" s="27">
        <f t="shared" si="96"/>
        <v>6</v>
      </c>
      <c r="D1274" s="27">
        <f t="shared" si="97"/>
        <v>26</v>
      </c>
      <c r="E1274" s="27">
        <f t="shared" si="98"/>
        <v>7</v>
      </c>
      <c r="F1274" s="27">
        <f>VLOOKUP(E1274,[2]t_calendarioPolitica!A:C,3,FALSE)</f>
        <v>2</v>
      </c>
      <c r="G1274" s="1">
        <v>1</v>
      </c>
      <c r="H1274" s="1">
        <v>1</v>
      </c>
      <c r="I1274" s="1">
        <f t="shared" si="99"/>
        <v>1</v>
      </c>
    </row>
    <row r="1275" spans="1:9" x14ac:dyDescent="0.25">
      <c r="A1275" s="26">
        <v>46565</v>
      </c>
      <c r="B1275" s="27">
        <f t="shared" si="95"/>
        <v>2027</v>
      </c>
      <c r="C1275" s="27">
        <f t="shared" si="96"/>
        <v>6</v>
      </c>
      <c r="D1275" s="27">
        <f t="shared" si="97"/>
        <v>27</v>
      </c>
      <c r="E1275" s="27">
        <f t="shared" si="98"/>
        <v>1</v>
      </c>
      <c r="F1275" s="27">
        <f>VLOOKUP(E1275,[2]t_calendarioPolitica!A:C,3,FALSE)</f>
        <v>0</v>
      </c>
      <c r="G1275" s="1">
        <v>1</v>
      </c>
      <c r="H1275" s="1">
        <v>1</v>
      </c>
      <c r="I1275" s="1">
        <f t="shared" si="99"/>
        <v>0</v>
      </c>
    </row>
    <row r="1276" spans="1:9" x14ac:dyDescent="0.25">
      <c r="A1276" s="26">
        <v>46566</v>
      </c>
      <c r="B1276" s="27">
        <f t="shared" si="95"/>
        <v>2027</v>
      </c>
      <c r="C1276" s="27">
        <f t="shared" si="96"/>
        <v>6</v>
      </c>
      <c r="D1276" s="27">
        <f t="shared" si="97"/>
        <v>28</v>
      </c>
      <c r="E1276" s="27">
        <f t="shared" si="98"/>
        <v>2</v>
      </c>
      <c r="F1276" s="27">
        <f>VLOOKUP(E1276,[2]t_calendarioPolitica!A:C,3,FALSE)</f>
        <v>1</v>
      </c>
      <c r="G1276" s="1">
        <v>1</v>
      </c>
      <c r="H1276" s="1">
        <v>1</v>
      </c>
      <c r="I1276" s="1">
        <f t="shared" si="99"/>
        <v>1</v>
      </c>
    </row>
    <row r="1277" spans="1:9" x14ac:dyDescent="0.25">
      <c r="A1277" s="26">
        <v>46567</v>
      </c>
      <c r="B1277" s="27">
        <f t="shared" si="95"/>
        <v>2027</v>
      </c>
      <c r="C1277" s="27">
        <f t="shared" si="96"/>
        <v>6</v>
      </c>
      <c r="D1277" s="27">
        <f t="shared" si="97"/>
        <v>29</v>
      </c>
      <c r="E1277" s="27">
        <f t="shared" si="98"/>
        <v>3</v>
      </c>
      <c r="F1277" s="27">
        <f>VLOOKUP(E1277,[2]t_calendarioPolitica!A:C,3,FALSE)</f>
        <v>1</v>
      </c>
      <c r="G1277" s="1">
        <v>1</v>
      </c>
      <c r="H1277" s="1">
        <v>1</v>
      </c>
      <c r="I1277" s="1">
        <f t="shared" si="99"/>
        <v>1</v>
      </c>
    </row>
    <row r="1278" spans="1:9" x14ac:dyDescent="0.25">
      <c r="A1278" s="26">
        <v>46568</v>
      </c>
      <c r="B1278" s="27">
        <f t="shared" si="95"/>
        <v>2027</v>
      </c>
      <c r="C1278" s="27">
        <f t="shared" si="96"/>
        <v>6</v>
      </c>
      <c r="D1278" s="27">
        <f t="shared" si="97"/>
        <v>30</v>
      </c>
      <c r="E1278" s="27">
        <f t="shared" si="98"/>
        <v>4</v>
      </c>
      <c r="F1278" s="27">
        <f>VLOOKUP(E1278,[2]t_calendarioPolitica!A:C,3,FALSE)</f>
        <v>1</v>
      </c>
      <c r="G1278" s="1">
        <v>1</v>
      </c>
      <c r="H1278" s="1">
        <v>1</v>
      </c>
      <c r="I1278" s="1">
        <f t="shared" si="99"/>
        <v>1</v>
      </c>
    </row>
    <row r="1279" spans="1:9" x14ac:dyDescent="0.25">
      <c r="A1279" s="26">
        <v>46569</v>
      </c>
      <c r="B1279" s="27">
        <f t="shared" si="95"/>
        <v>2027</v>
      </c>
      <c r="C1279" s="27">
        <f t="shared" si="96"/>
        <v>7</v>
      </c>
      <c r="D1279" s="27">
        <f t="shared" si="97"/>
        <v>1</v>
      </c>
      <c r="E1279" s="27">
        <f t="shared" si="98"/>
        <v>5</v>
      </c>
      <c r="F1279" s="27">
        <f>VLOOKUP(E1279,[2]t_calendarioPolitica!A:C,3,FALSE)</f>
        <v>1</v>
      </c>
      <c r="G1279" s="1">
        <v>1</v>
      </c>
      <c r="H1279" s="1">
        <v>1</v>
      </c>
      <c r="I1279" s="1">
        <f t="shared" si="99"/>
        <v>1</v>
      </c>
    </row>
    <row r="1280" spans="1:9" x14ac:dyDescent="0.25">
      <c r="A1280" s="26">
        <v>46570</v>
      </c>
      <c r="B1280" s="27">
        <f t="shared" si="95"/>
        <v>2027</v>
      </c>
      <c r="C1280" s="27">
        <f t="shared" si="96"/>
        <v>7</v>
      </c>
      <c r="D1280" s="27">
        <f t="shared" si="97"/>
        <v>2</v>
      </c>
      <c r="E1280" s="27">
        <f t="shared" si="98"/>
        <v>6</v>
      </c>
      <c r="F1280" s="27">
        <f>VLOOKUP(E1280,[2]t_calendarioPolitica!A:C,3,FALSE)</f>
        <v>1</v>
      </c>
      <c r="G1280" s="1">
        <v>1</v>
      </c>
      <c r="H1280" s="1">
        <v>1</v>
      </c>
      <c r="I1280" s="1">
        <f t="shared" si="99"/>
        <v>1</v>
      </c>
    </row>
    <row r="1281" spans="1:9" x14ac:dyDescent="0.25">
      <c r="A1281" s="26">
        <v>46571</v>
      </c>
      <c r="B1281" s="27">
        <f t="shared" si="95"/>
        <v>2027</v>
      </c>
      <c r="C1281" s="27">
        <f t="shared" si="96"/>
        <v>7</v>
      </c>
      <c r="D1281" s="27">
        <f t="shared" si="97"/>
        <v>3</v>
      </c>
      <c r="E1281" s="27">
        <f t="shared" si="98"/>
        <v>7</v>
      </c>
      <c r="F1281" s="27">
        <f>VLOOKUP(E1281,[2]t_calendarioPolitica!A:C,3,FALSE)</f>
        <v>2</v>
      </c>
      <c r="G1281" s="1">
        <v>1</v>
      </c>
      <c r="H1281" s="1">
        <v>1</v>
      </c>
      <c r="I1281" s="1">
        <f t="shared" si="99"/>
        <v>1</v>
      </c>
    </row>
    <row r="1282" spans="1:9" x14ac:dyDescent="0.25">
      <c r="A1282" s="26">
        <v>46572</v>
      </c>
      <c r="B1282" s="27">
        <f t="shared" si="95"/>
        <v>2027</v>
      </c>
      <c r="C1282" s="27">
        <f t="shared" si="96"/>
        <v>7</v>
      </c>
      <c r="D1282" s="27">
        <f t="shared" si="97"/>
        <v>4</v>
      </c>
      <c r="E1282" s="27">
        <f t="shared" si="98"/>
        <v>1</v>
      </c>
      <c r="F1282" s="27">
        <f>VLOOKUP(E1282,[2]t_calendarioPolitica!A:C,3,FALSE)</f>
        <v>0</v>
      </c>
      <c r="G1282" s="1">
        <v>1</v>
      </c>
      <c r="H1282" s="1">
        <v>1</v>
      </c>
      <c r="I1282" s="1">
        <f t="shared" si="99"/>
        <v>0</v>
      </c>
    </row>
    <row r="1283" spans="1:9" x14ac:dyDescent="0.25">
      <c r="A1283" s="26">
        <v>46573</v>
      </c>
      <c r="B1283" s="27">
        <f t="shared" ref="B1283:B1346" si="100">YEAR(A1283)</f>
        <v>2027</v>
      </c>
      <c r="C1283" s="27">
        <f t="shared" ref="C1283:C1346" si="101">MONTH(A1283)</f>
        <v>7</v>
      </c>
      <c r="D1283" s="27">
        <f t="shared" ref="D1283:D1346" si="102">DAY(A1283)</f>
        <v>5</v>
      </c>
      <c r="E1283" s="27">
        <f t="shared" ref="E1283:E1346" si="103">WEEKDAY(A1283)</f>
        <v>2</v>
      </c>
      <c r="F1283" s="27">
        <f>VLOOKUP(E1283,[2]t_calendarioPolitica!A:C,3,FALSE)</f>
        <v>1</v>
      </c>
      <c r="G1283" s="1">
        <v>1</v>
      </c>
      <c r="H1283" s="1">
        <v>1</v>
      </c>
      <c r="I1283" s="1">
        <f t="shared" ref="I1283:I1346" si="104">IF(AND(F1283&lt;&gt;0, H1283&lt;&gt;0,G1283&lt;&gt;0), 1, 0)</f>
        <v>1</v>
      </c>
    </row>
    <row r="1284" spans="1:9" x14ac:dyDescent="0.25">
      <c r="A1284" s="26">
        <v>46574</v>
      </c>
      <c r="B1284" s="27">
        <f t="shared" si="100"/>
        <v>2027</v>
      </c>
      <c r="C1284" s="27">
        <f t="shared" si="101"/>
        <v>7</v>
      </c>
      <c r="D1284" s="27">
        <f t="shared" si="102"/>
        <v>6</v>
      </c>
      <c r="E1284" s="27">
        <f t="shared" si="103"/>
        <v>3</v>
      </c>
      <c r="F1284" s="27">
        <f>VLOOKUP(E1284,[2]t_calendarioPolitica!A:C,3,FALSE)</f>
        <v>1</v>
      </c>
      <c r="G1284" s="1">
        <v>1</v>
      </c>
      <c r="H1284" s="1">
        <v>1</v>
      </c>
      <c r="I1284" s="1">
        <f t="shared" si="104"/>
        <v>1</v>
      </c>
    </row>
    <row r="1285" spans="1:9" x14ac:dyDescent="0.25">
      <c r="A1285" s="26">
        <v>46575</v>
      </c>
      <c r="B1285" s="27">
        <f t="shared" si="100"/>
        <v>2027</v>
      </c>
      <c r="C1285" s="27">
        <f t="shared" si="101"/>
        <v>7</v>
      </c>
      <c r="D1285" s="27">
        <f t="shared" si="102"/>
        <v>7</v>
      </c>
      <c r="E1285" s="27">
        <f t="shared" si="103"/>
        <v>4</v>
      </c>
      <c r="F1285" s="27">
        <f>VLOOKUP(E1285,[2]t_calendarioPolitica!A:C,3,FALSE)</f>
        <v>1</v>
      </c>
      <c r="G1285" s="1">
        <v>1</v>
      </c>
      <c r="H1285" s="1">
        <v>1</v>
      </c>
      <c r="I1285" s="1">
        <f t="shared" si="104"/>
        <v>1</v>
      </c>
    </row>
    <row r="1286" spans="1:9" x14ac:dyDescent="0.25">
      <c r="A1286" s="26">
        <v>46576</v>
      </c>
      <c r="B1286" s="27">
        <f t="shared" si="100"/>
        <v>2027</v>
      </c>
      <c r="C1286" s="27">
        <f t="shared" si="101"/>
        <v>7</v>
      </c>
      <c r="D1286" s="27">
        <f t="shared" si="102"/>
        <v>8</v>
      </c>
      <c r="E1286" s="27">
        <f t="shared" si="103"/>
        <v>5</v>
      </c>
      <c r="F1286" s="27">
        <f>VLOOKUP(E1286,[2]t_calendarioPolitica!A:C,3,FALSE)</f>
        <v>1</v>
      </c>
      <c r="G1286" s="1">
        <v>1</v>
      </c>
      <c r="H1286" s="1">
        <v>1</v>
      </c>
      <c r="I1286" s="1">
        <f t="shared" si="104"/>
        <v>1</v>
      </c>
    </row>
    <row r="1287" spans="1:9" x14ac:dyDescent="0.25">
      <c r="A1287" s="26">
        <v>46577</v>
      </c>
      <c r="B1287" s="27">
        <f t="shared" si="100"/>
        <v>2027</v>
      </c>
      <c r="C1287" s="27">
        <f t="shared" si="101"/>
        <v>7</v>
      </c>
      <c r="D1287" s="27">
        <f t="shared" si="102"/>
        <v>9</v>
      </c>
      <c r="E1287" s="27">
        <f t="shared" si="103"/>
        <v>6</v>
      </c>
      <c r="F1287" s="27">
        <f>VLOOKUP(E1287,[2]t_calendarioPolitica!A:C,3,FALSE)</f>
        <v>1</v>
      </c>
      <c r="G1287" s="1">
        <v>1</v>
      </c>
      <c r="H1287" s="1">
        <v>1</v>
      </c>
      <c r="I1287" s="1">
        <f t="shared" si="104"/>
        <v>1</v>
      </c>
    </row>
    <row r="1288" spans="1:9" x14ac:dyDescent="0.25">
      <c r="A1288" s="26">
        <v>46578</v>
      </c>
      <c r="B1288" s="27">
        <f t="shared" si="100"/>
        <v>2027</v>
      </c>
      <c r="C1288" s="27">
        <f t="shared" si="101"/>
        <v>7</v>
      </c>
      <c r="D1288" s="27">
        <f t="shared" si="102"/>
        <v>10</v>
      </c>
      <c r="E1288" s="27">
        <f t="shared" si="103"/>
        <v>7</v>
      </c>
      <c r="F1288" s="27">
        <f>VLOOKUP(E1288,[2]t_calendarioPolitica!A:C,3,FALSE)</f>
        <v>2</v>
      </c>
      <c r="G1288" s="1">
        <v>1</v>
      </c>
      <c r="H1288" s="1">
        <v>1</v>
      </c>
      <c r="I1288" s="1">
        <f t="shared" si="104"/>
        <v>1</v>
      </c>
    </row>
    <row r="1289" spans="1:9" x14ac:dyDescent="0.25">
      <c r="A1289" s="26">
        <v>46579</v>
      </c>
      <c r="B1289" s="27">
        <f t="shared" si="100"/>
        <v>2027</v>
      </c>
      <c r="C1289" s="27">
        <f t="shared" si="101"/>
        <v>7</v>
      </c>
      <c r="D1289" s="27">
        <f t="shared" si="102"/>
        <v>11</v>
      </c>
      <c r="E1289" s="27">
        <f t="shared" si="103"/>
        <v>1</v>
      </c>
      <c r="F1289" s="27">
        <f>VLOOKUP(E1289,[2]t_calendarioPolitica!A:C,3,FALSE)</f>
        <v>0</v>
      </c>
      <c r="G1289" s="1">
        <v>1</v>
      </c>
      <c r="H1289" s="1">
        <v>1</v>
      </c>
      <c r="I1289" s="1">
        <f t="shared" si="104"/>
        <v>0</v>
      </c>
    </row>
    <row r="1290" spans="1:9" x14ac:dyDescent="0.25">
      <c r="A1290" s="26">
        <v>46580</v>
      </c>
      <c r="B1290" s="27">
        <f t="shared" si="100"/>
        <v>2027</v>
      </c>
      <c r="C1290" s="27">
        <f t="shared" si="101"/>
        <v>7</v>
      </c>
      <c r="D1290" s="27">
        <f t="shared" si="102"/>
        <v>12</v>
      </c>
      <c r="E1290" s="27">
        <f t="shared" si="103"/>
        <v>2</v>
      </c>
      <c r="F1290" s="27">
        <f>VLOOKUP(E1290,[2]t_calendarioPolitica!A:C,3,FALSE)</f>
        <v>1</v>
      </c>
      <c r="G1290" s="1">
        <v>1</v>
      </c>
      <c r="H1290" s="1">
        <v>1</v>
      </c>
      <c r="I1290" s="1">
        <f t="shared" si="104"/>
        <v>1</v>
      </c>
    </row>
    <row r="1291" spans="1:9" x14ac:dyDescent="0.25">
      <c r="A1291" s="26">
        <v>46581</v>
      </c>
      <c r="B1291" s="27">
        <f t="shared" si="100"/>
        <v>2027</v>
      </c>
      <c r="C1291" s="27">
        <f t="shared" si="101"/>
        <v>7</v>
      </c>
      <c r="D1291" s="27">
        <f t="shared" si="102"/>
        <v>13</v>
      </c>
      <c r="E1291" s="27">
        <f t="shared" si="103"/>
        <v>3</v>
      </c>
      <c r="F1291" s="27">
        <f>VLOOKUP(E1291,[2]t_calendarioPolitica!A:C,3,FALSE)</f>
        <v>1</v>
      </c>
      <c r="G1291" s="1">
        <v>1</v>
      </c>
      <c r="H1291" s="1">
        <v>1</v>
      </c>
      <c r="I1291" s="1">
        <f t="shared" si="104"/>
        <v>1</v>
      </c>
    </row>
    <row r="1292" spans="1:9" x14ac:dyDescent="0.25">
      <c r="A1292" s="26">
        <v>46582</v>
      </c>
      <c r="B1292" s="27">
        <f t="shared" si="100"/>
        <v>2027</v>
      </c>
      <c r="C1292" s="27">
        <f t="shared" si="101"/>
        <v>7</v>
      </c>
      <c r="D1292" s="27">
        <f t="shared" si="102"/>
        <v>14</v>
      </c>
      <c r="E1292" s="27">
        <f t="shared" si="103"/>
        <v>4</v>
      </c>
      <c r="F1292" s="27">
        <f>VLOOKUP(E1292,[2]t_calendarioPolitica!A:C,3,FALSE)</f>
        <v>1</v>
      </c>
      <c r="G1292" s="1">
        <v>1</v>
      </c>
      <c r="H1292" s="1">
        <v>1</v>
      </c>
      <c r="I1292" s="1">
        <f t="shared" si="104"/>
        <v>1</v>
      </c>
    </row>
    <row r="1293" spans="1:9" x14ac:dyDescent="0.25">
      <c r="A1293" s="26">
        <v>46583</v>
      </c>
      <c r="B1293" s="27">
        <f t="shared" si="100"/>
        <v>2027</v>
      </c>
      <c r="C1293" s="27">
        <f t="shared" si="101"/>
        <v>7</v>
      </c>
      <c r="D1293" s="27">
        <f t="shared" si="102"/>
        <v>15</v>
      </c>
      <c r="E1293" s="27">
        <f t="shared" si="103"/>
        <v>5</v>
      </c>
      <c r="F1293" s="27">
        <f>VLOOKUP(E1293,[2]t_calendarioPolitica!A:C,3,FALSE)</f>
        <v>1</v>
      </c>
      <c r="G1293" s="1">
        <v>1</v>
      </c>
      <c r="H1293" s="1">
        <v>1</v>
      </c>
      <c r="I1293" s="1">
        <f t="shared" si="104"/>
        <v>1</v>
      </c>
    </row>
    <row r="1294" spans="1:9" x14ac:dyDescent="0.25">
      <c r="A1294" s="26">
        <v>46584</v>
      </c>
      <c r="B1294" s="27">
        <f t="shared" si="100"/>
        <v>2027</v>
      </c>
      <c r="C1294" s="27">
        <f t="shared" si="101"/>
        <v>7</v>
      </c>
      <c r="D1294" s="27">
        <f t="shared" si="102"/>
        <v>16</v>
      </c>
      <c r="E1294" s="27">
        <f t="shared" si="103"/>
        <v>6</v>
      </c>
      <c r="F1294" s="27">
        <f>VLOOKUP(E1294,[2]t_calendarioPolitica!A:C,3,FALSE)</f>
        <v>1</v>
      </c>
      <c r="G1294" s="1">
        <v>1</v>
      </c>
      <c r="H1294" s="1">
        <v>1</v>
      </c>
      <c r="I1294" s="1">
        <f t="shared" si="104"/>
        <v>1</v>
      </c>
    </row>
    <row r="1295" spans="1:9" x14ac:dyDescent="0.25">
      <c r="A1295" s="26">
        <v>46585</v>
      </c>
      <c r="B1295" s="27">
        <f t="shared" si="100"/>
        <v>2027</v>
      </c>
      <c r="C1295" s="27">
        <f t="shared" si="101"/>
        <v>7</v>
      </c>
      <c r="D1295" s="27">
        <f t="shared" si="102"/>
        <v>17</v>
      </c>
      <c r="E1295" s="27">
        <f t="shared" si="103"/>
        <v>7</v>
      </c>
      <c r="F1295" s="27">
        <f>VLOOKUP(E1295,[2]t_calendarioPolitica!A:C,3,FALSE)</f>
        <v>2</v>
      </c>
      <c r="G1295" s="1">
        <v>1</v>
      </c>
      <c r="H1295" s="1">
        <v>1</v>
      </c>
      <c r="I1295" s="1">
        <f t="shared" si="104"/>
        <v>1</v>
      </c>
    </row>
    <row r="1296" spans="1:9" x14ac:dyDescent="0.25">
      <c r="A1296" s="26">
        <v>46586</v>
      </c>
      <c r="B1296" s="27">
        <f t="shared" si="100"/>
        <v>2027</v>
      </c>
      <c r="C1296" s="27">
        <f t="shared" si="101"/>
        <v>7</v>
      </c>
      <c r="D1296" s="27">
        <f t="shared" si="102"/>
        <v>18</v>
      </c>
      <c r="E1296" s="27">
        <f t="shared" si="103"/>
        <v>1</v>
      </c>
      <c r="F1296" s="27">
        <f>VLOOKUP(E1296,[2]t_calendarioPolitica!A:C,3,FALSE)</f>
        <v>0</v>
      </c>
      <c r="G1296" s="1">
        <v>1</v>
      </c>
      <c r="H1296" s="1">
        <v>1</v>
      </c>
      <c r="I1296" s="1">
        <f t="shared" si="104"/>
        <v>0</v>
      </c>
    </row>
    <row r="1297" spans="1:9" x14ac:dyDescent="0.25">
      <c r="A1297" s="26">
        <v>46587</v>
      </c>
      <c r="B1297" s="27">
        <f t="shared" si="100"/>
        <v>2027</v>
      </c>
      <c r="C1297" s="27">
        <f t="shared" si="101"/>
        <v>7</v>
      </c>
      <c r="D1297" s="27">
        <f t="shared" si="102"/>
        <v>19</v>
      </c>
      <c r="E1297" s="27">
        <f t="shared" si="103"/>
        <v>2</v>
      </c>
      <c r="F1297" s="27">
        <f>VLOOKUP(E1297,[2]t_calendarioPolitica!A:C,3,FALSE)</f>
        <v>1</v>
      </c>
      <c r="G1297" s="1">
        <v>1</v>
      </c>
      <c r="H1297" s="1">
        <v>1</v>
      </c>
      <c r="I1297" s="1">
        <f t="shared" si="104"/>
        <v>1</v>
      </c>
    </row>
    <row r="1298" spans="1:9" x14ac:dyDescent="0.25">
      <c r="A1298" s="26">
        <v>46588</v>
      </c>
      <c r="B1298" s="27">
        <f t="shared" si="100"/>
        <v>2027</v>
      </c>
      <c r="C1298" s="27">
        <f t="shared" si="101"/>
        <v>7</v>
      </c>
      <c r="D1298" s="27">
        <f t="shared" si="102"/>
        <v>20</v>
      </c>
      <c r="E1298" s="27">
        <f t="shared" si="103"/>
        <v>3</v>
      </c>
      <c r="F1298" s="27">
        <f>VLOOKUP(E1298,[2]t_calendarioPolitica!A:C,3,FALSE)</f>
        <v>1</v>
      </c>
      <c r="G1298" s="1">
        <v>1</v>
      </c>
      <c r="H1298" s="1">
        <v>1</v>
      </c>
      <c r="I1298" s="1">
        <f t="shared" si="104"/>
        <v>1</v>
      </c>
    </row>
    <row r="1299" spans="1:9" x14ac:dyDescent="0.25">
      <c r="A1299" s="26">
        <v>46589</v>
      </c>
      <c r="B1299" s="27">
        <f t="shared" si="100"/>
        <v>2027</v>
      </c>
      <c r="C1299" s="27">
        <f t="shared" si="101"/>
        <v>7</v>
      </c>
      <c r="D1299" s="27">
        <f t="shared" si="102"/>
        <v>21</v>
      </c>
      <c r="E1299" s="27">
        <f t="shared" si="103"/>
        <v>4</v>
      </c>
      <c r="F1299" s="27">
        <f>VLOOKUP(E1299,[2]t_calendarioPolitica!A:C,3,FALSE)</f>
        <v>1</v>
      </c>
      <c r="G1299" s="1">
        <v>1</v>
      </c>
      <c r="H1299" s="1">
        <v>1</v>
      </c>
      <c r="I1299" s="1">
        <f t="shared" si="104"/>
        <v>1</v>
      </c>
    </row>
    <row r="1300" spans="1:9" x14ac:dyDescent="0.25">
      <c r="A1300" s="26">
        <v>46590</v>
      </c>
      <c r="B1300" s="27">
        <f t="shared" si="100"/>
        <v>2027</v>
      </c>
      <c r="C1300" s="27">
        <f t="shared" si="101"/>
        <v>7</v>
      </c>
      <c r="D1300" s="27">
        <f t="shared" si="102"/>
        <v>22</v>
      </c>
      <c r="E1300" s="27">
        <f t="shared" si="103"/>
        <v>5</v>
      </c>
      <c r="F1300" s="27">
        <f>VLOOKUP(E1300,[2]t_calendarioPolitica!A:C,3,FALSE)</f>
        <v>1</v>
      </c>
      <c r="G1300" s="1">
        <v>1</v>
      </c>
      <c r="H1300" s="1">
        <v>1</v>
      </c>
      <c r="I1300" s="1">
        <f t="shared" si="104"/>
        <v>1</v>
      </c>
    </row>
    <row r="1301" spans="1:9" x14ac:dyDescent="0.25">
      <c r="A1301" s="26">
        <v>46591</v>
      </c>
      <c r="B1301" s="27">
        <f t="shared" si="100"/>
        <v>2027</v>
      </c>
      <c r="C1301" s="27">
        <f t="shared" si="101"/>
        <v>7</v>
      </c>
      <c r="D1301" s="27">
        <f t="shared" si="102"/>
        <v>23</v>
      </c>
      <c r="E1301" s="27">
        <f t="shared" si="103"/>
        <v>6</v>
      </c>
      <c r="F1301" s="27">
        <f>VLOOKUP(E1301,[2]t_calendarioPolitica!A:C,3,FALSE)</f>
        <v>1</v>
      </c>
      <c r="G1301" s="1">
        <v>1</v>
      </c>
      <c r="H1301" s="1">
        <v>1</v>
      </c>
      <c r="I1301" s="1">
        <f t="shared" si="104"/>
        <v>1</v>
      </c>
    </row>
    <row r="1302" spans="1:9" x14ac:dyDescent="0.25">
      <c r="A1302" s="26">
        <v>46592</v>
      </c>
      <c r="B1302" s="27">
        <f t="shared" si="100"/>
        <v>2027</v>
      </c>
      <c r="C1302" s="27">
        <f t="shared" si="101"/>
        <v>7</v>
      </c>
      <c r="D1302" s="27">
        <f t="shared" si="102"/>
        <v>24</v>
      </c>
      <c r="E1302" s="27">
        <f t="shared" si="103"/>
        <v>7</v>
      </c>
      <c r="F1302" s="27">
        <f>VLOOKUP(E1302,[2]t_calendarioPolitica!A:C,3,FALSE)</f>
        <v>2</v>
      </c>
      <c r="G1302" s="1">
        <v>1</v>
      </c>
      <c r="H1302" s="1">
        <v>1</v>
      </c>
      <c r="I1302" s="1">
        <f t="shared" si="104"/>
        <v>1</v>
      </c>
    </row>
    <row r="1303" spans="1:9" x14ac:dyDescent="0.25">
      <c r="A1303" s="26">
        <v>46593</v>
      </c>
      <c r="B1303" s="27">
        <f t="shared" si="100"/>
        <v>2027</v>
      </c>
      <c r="C1303" s="27">
        <f t="shared" si="101"/>
        <v>7</v>
      </c>
      <c r="D1303" s="27">
        <f t="shared" si="102"/>
        <v>25</v>
      </c>
      <c r="E1303" s="27">
        <f t="shared" si="103"/>
        <v>1</v>
      </c>
      <c r="F1303" s="27">
        <f>VLOOKUP(E1303,[2]t_calendarioPolitica!A:C,3,FALSE)</f>
        <v>0</v>
      </c>
      <c r="G1303" s="1">
        <v>1</v>
      </c>
      <c r="H1303" s="1">
        <v>1</v>
      </c>
      <c r="I1303" s="1">
        <f t="shared" si="104"/>
        <v>0</v>
      </c>
    </row>
    <row r="1304" spans="1:9" x14ac:dyDescent="0.25">
      <c r="A1304" s="26">
        <v>46594</v>
      </c>
      <c r="B1304" s="27">
        <f t="shared" si="100"/>
        <v>2027</v>
      </c>
      <c r="C1304" s="27">
        <f t="shared" si="101"/>
        <v>7</v>
      </c>
      <c r="D1304" s="27">
        <f t="shared" si="102"/>
        <v>26</v>
      </c>
      <c r="E1304" s="27">
        <f t="shared" si="103"/>
        <v>2</v>
      </c>
      <c r="F1304" s="27">
        <f>VLOOKUP(E1304,[2]t_calendarioPolitica!A:C,3,FALSE)</f>
        <v>1</v>
      </c>
      <c r="G1304" s="1">
        <v>1</v>
      </c>
      <c r="H1304" s="1">
        <v>1</v>
      </c>
      <c r="I1304" s="1">
        <f t="shared" si="104"/>
        <v>1</v>
      </c>
    </row>
    <row r="1305" spans="1:9" x14ac:dyDescent="0.25">
      <c r="A1305" s="26">
        <v>46595</v>
      </c>
      <c r="B1305" s="27">
        <f t="shared" si="100"/>
        <v>2027</v>
      </c>
      <c r="C1305" s="27">
        <f t="shared" si="101"/>
        <v>7</v>
      </c>
      <c r="D1305" s="27">
        <f t="shared" si="102"/>
        <v>27</v>
      </c>
      <c r="E1305" s="27">
        <f t="shared" si="103"/>
        <v>3</v>
      </c>
      <c r="F1305" s="27">
        <f>VLOOKUP(E1305,[2]t_calendarioPolitica!A:C,3,FALSE)</f>
        <v>1</v>
      </c>
      <c r="G1305" s="1">
        <v>1</v>
      </c>
      <c r="H1305" s="1">
        <v>1</v>
      </c>
      <c r="I1305" s="1">
        <f t="shared" si="104"/>
        <v>1</v>
      </c>
    </row>
    <row r="1306" spans="1:9" x14ac:dyDescent="0.25">
      <c r="A1306" s="26">
        <v>46596</v>
      </c>
      <c r="B1306" s="27">
        <f t="shared" si="100"/>
        <v>2027</v>
      </c>
      <c r="C1306" s="27">
        <f t="shared" si="101"/>
        <v>7</v>
      </c>
      <c r="D1306" s="27">
        <f t="shared" si="102"/>
        <v>28</v>
      </c>
      <c r="E1306" s="27">
        <f t="shared" si="103"/>
        <v>4</v>
      </c>
      <c r="F1306" s="27">
        <f>VLOOKUP(E1306,[2]t_calendarioPolitica!A:C,3,FALSE)</f>
        <v>1</v>
      </c>
      <c r="G1306" s="1">
        <v>1</v>
      </c>
      <c r="H1306" s="1">
        <v>1</v>
      </c>
      <c r="I1306" s="1">
        <f t="shared" si="104"/>
        <v>1</v>
      </c>
    </row>
    <row r="1307" spans="1:9" x14ac:dyDescent="0.25">
      <c r="A1307" s="26">
        <v>46597</v>
      </c>
      <c r="B1307" s="27">
        <f t="shared" si="100"/>
        <v>2027</v>
      </c>
      <c r="C1307" s="27">
        <f t="shared" si="101"/>
        <v>7</v>
      </c>
      <c r="D1307" s="27">
        <f t="shared" si="102"/>
        <v>29</v>
      </c>
      <c r="E1307" s="27">
        <f t="shared" si="103"/>
        <v>5</v>
      </c>
      <c r="F1307" s="27">
        <f>VLOOKUP(E1307,[2]t_calendarioPolitica!A:C,3,FALSE)</f>
        <v>1</v>
      </c>
      <c r="G1307" s="1">
        <v>1</v>
      </c>
      <c r="H1307" s="1">
        <v>1</v>
      </c>
      <c r="I1307" s="1">
        <f t="shared" si="104"/>
        <v>1</v>
      </c>
    </row>
    <row r="1308" spans="1:9" x14ac:dyDescent="0.25">
      <c r="A1308" s="26">
        <v>46598</v>
      </c>
      <c r="B1308" s="27">
        <f t="shared" si="100"/>
        <v>2027</v>
      </c>
      <c r="C1308" s="27">
        <f t="shared" si="101"/>
        <v>7</v>
      </c>
      <c r="D1308" s="27">
        <f t="shared" si="102"/>
        <v>30</v>
      </c>
      <c r="E1308" s="27">
        <f t="shared" si="103"/>
        <v>6</v>
      </c>
      <c r="F1308" s="27">
        <f>VLOOKUP(E1308,[2]t_calendarioPolitica!A:C,3,FALSE)</f>
        <v>1</v>
      </c>
      <c r="G1308" s="1">
        <v>1</v>
      </c>
      <c r="H1308" s="1">
        <v>1</v>
      </c>
      <c r="I1308" s="1">
        <f t="shared" si="104"/>
        <v>1</v>
      </c>
    </row>
    <row r="1309" spans="1:9" x14ac:dyDescent="0.25">
      <c r="A1309" s="26">
        <v>46599</v>
      </c>
      <c r="B1309" s="27">
        <f t="shared" si="100"/>
        <v>2027</v>
      </c>
      <c r="C1309" s="27">
        <f t="shared" si="101"/>
        <v>7</v>
      </c>
      <c r="D1309" s="27">
        <f t="shared" si="102"/>
        <v>31</v>
      </c>
      <c r="E1309" s="27">
        <f t="shared" si="103"/>
        <v>7</v>
      </c>
      <c r="F1309" s="27">
        <f>VLOOKUP(E1309,[2]t_calendarioPolitica!A:C,3,FALSE)</f>
        <v>2</v>
      </c>
      <c r="G1309" s="1">
        <v>1</v>
      </c>
      <c r="H1309" s="1">
        <v>1</v>
      </c>
      <c r="I1309" s="1">
        <f t="shared" si="104"/>
        <v>1</v>
      </c>
    </row>
    <row r="1310" spans="1:9" x14ac:dyDescent="0.25">
      <c r="A1310" s="26">
        <v>46600</v>
      </c>
      <c r="B1310" s="27">
        <f t="shared" si="100"/>
        <v>2027</v>
      </c>
      <c r="C1310" s="27">
        <f t="shared" si="101"/>
        <v>8</v>
      </c>
      <c r="D1310" s="27">
        <f t="shared" si="102"/>
        <v>1</v>
      </c>
      <c r="E1310" s="27">
        <f t="shared" si="103"/>
        <v>1</v>
      </c>
      <c r="F1310" s="27">
        <f>VLOOKUP(E1310,[2]t_calendarioPolitica!A:C,3,FALSE)</f>
        <v>0</v>
      </c>
      <c r="G1310" s="1">
        <v>1</v>
      </c>
      <c r="H1310" s="1">
        <v>1</v>
      </c>
      <c r="I1310" s="1">
        <f t="shared" si="104"/>
        <v>0</v>
      </c>
    </row>
    <row r="1311" spans="1:9" x14ac:dyDescent="0.25">
      <c r="A1311" s="26">
        <v>46601</v>
      </c>
      <c r="B1311" s="27">
        <f t="shared" si="100"/>
        <v>2027</v>
      </c>
      <c r="C1311" s="27">
        <f t="shared" si="101"/>
        <v>8</v>
      </c>
      <c r="D1311" s="27">
        <f t="shared" si="102"/>
        <v>2</v>
      </c>
      <c r="E1311" s="27">
        <f t="shared" si="103"/>
        <v>2</v>
      </c>
      <c r="F1311" s="27">
        <f>VLOOKUP(E1311,[2]t_calendarioPolitica!A:C,3,FALSE)</f>
        <v>1</v>
      </c>
      <c r="G1311" s="1">
        <v>1</v>
      </c>
      <c r="H1311" s="1">
        <v>1</v>
      </c>
      <c r="I1311" s="1">
        <f t="shared" si="104"/>
        <v>1</v>
      </c>
    </row>
    <row r="1312" spans="1:9" x14ac:dyDescent="0.25">
      <c r="A1312" s="26">
        <v>46602</v>
      </c>
      <c r="B1312" s="27">
        <f t="shared" si="100"/>
        <v>2027</v>
      </c>
      <c r="C1312" s="27">
        <f t="shared" si="101"/>
        <v>8</v>
      </c>
      <c r="D1312" s="27">
        <f t="shared" si="102"/>
        <v>3</v>
      </c>
      <c r="E1312" s="27">
        <f t="shared" si="103"/>
        <v>3</v>
      </c>
      <c r="F1312" s="27">
        <f>VLOOKUP(E1312,[2]t_calendarioPolitica!A:C,3,FALSE)</f>
        <v>1</v>
      </c>
      <c r="G1312" s="1">
        <v>1</v>
      </c>
      <c r="H1312" s="1">
        <v>1</v>
      </c>
      <c r="I1312" s="1">
        <f t="shared" si="104"/>
        <v>1</v>
      </c>
    </row>
    <row r="1313" spans="1:9" x14ac:dyDescent="0.25">
      <c r="A1313" s="26">
        <v>46603</v>
      </c>
      <c r="B1313" s="27">
        <f t="shared" si="100"/>
        <v>2027</v>
      </c>
      <c r="C1313" s="27">
        <f t="shared" si="101"/>
        <v>8</v>
      </c>
      <c r="D1313" s="27">
        <f t="shared" si="102"/>
        <v>4</v>
      </c>
      <c r="E1313" s="27">
        <f t="shared" si="103"/>
        <v>4</v>
      </c>
      <c r="F1313" s="27">
        <f>VLOOKUP(E1313,[2]t_calendarioPolitica!A:C,3,FALSE)</f>
        <v>1</v>
      </c>
      <c r="G1313" s="1">
        <v>1</v>
      </c>
      <c r="H1313" s="1">
        <v>1</v>
      </c>
      <c r="I1313" s="1">
        <f t="shared" si="104"/>
        <v>1</v>
      </c>
    </row>
    <row r="1314" spans="1:9" x14ac:dyDescent="0.25">
      <c r="A1314" s="26">
        <v>46604</v>
      </c>
      <c r="B1314" s="27">
        <f t="shared" si="100"/>
        <v>2027</v>
      </c>
      <c r="C1314" s="27">
        <f t="shared" si="101"/>
        <v>8</v>
      </c>
      <c r="D1314" s="27">
        <f t="shared" si="102"/>
        <v>5</v>
      </c>
      <c r="E1314" s="27">
        <f t="shared" si="103"/>
        <v>5</v>
      </c>
      <c r="F1314" s="27">
        <f>VLOOKUP(E1314,[2]t_calendarioPolitica!A:C,3,FALSE)</f>
        <v>1</v>
      </c>
      <c r="G1314" s="1">
        <v>1</v>
      </c>
      <c r="H1314" s="1">
        <v>1</v>
      </c>
      <c r="I1314" s="1">
        <f t="shared" si="104"/>
        <v>1</v>
      </c>
    </row>
    <row r="1315" spans="1:9" x14ac:dyDescent="0.25">
      <c r="A1315" s="26">
        <v>46605</v>
      </c>
      <c r="B1315" s="27">
        <f t="shared" si="100"/>
        <v>2027</v>
      </c>
      <c r="C1315" s="27">
        <f t="shared" si="101"/>
        <v>8</v>
      </c>
      <c r="D1315" s="27">
        <f t="shared" si="102"/>
        <v>6</v>
      </c>
      <c r="E1315" s="27">
        <f t="shared" si="103"/>
        <v>6</v>
      </c>
      <c r="F1315" s="27">
        <f>VLOOKUP(E1315,[2]t_calendarioPolitica!A:C,3,FALSE)</f>
        <v>1</v>
      </c>
      <c r="G1315" s="1">
        <v>1</v>
      </c>
      <c r="H1315" s="1">
        <v>1</v>
      </c>
      <c r="I1315" s="1">
        <f t="shared" si="104"/>
        <v>1</v>
      </c>
    </row>
    <row r="1316" spans="1:9" x14ac:dyDescent="0.25">
      <c r="A1316" s="26">
        <v>46606</v>
      </c>
      <c r="B1316" s="27">
        <f t="shared" si="100"/>
        <v>2027</v>
      </c>
      <c r="C1316" s="27">
        <f t="shared" si="101"/>
        <v>8</v>
      </c>
      <c r="D1316" s="27">
        <f t="shared" si="102"/>
        <v>7</v>
      </c>
      <c r="E1316" s="27">
        <f t="shared" si="103"/>
        <v>7</v>
      </c>
      <c r="F1316" s="27">
        <f>VLOOKUP(E1316,[2]t_calendarioPolitica!A:C,3,FALSE)</f>
        <v>2</v>
      </c>
      <c r="G1316" s="1">
        <v>1</v>
      </c>
      <c r="H1316" s="1">
        <v>1</v>
      </c>
      <c r="I1316" s="1">
        <f t="shared" si="104"/>
        <v>1</v>
      </c>
    </row>
    <row r="1317" spans="1:9" x14ac:dyDescent="0.25">
      <c r="A1317" s="26">
        <v>46607</v>
      </c>
      <c r="B1317" s="27">
        <f t="shared" si="100"/>
        <v>2027</v>
      </c>
      <c r="C1317" s="27">
        <f t="shared" si="101"/>
        <v>8</v>
      </c>
      <c r="D1317" s="27">
        <f t="shared" si="102"/>
        <v>8</v>
      </c>
      <c r="E1317" s="27">
        <f t="shared" si="103"/>
        <v>1</v>
      </c>
      <c r="F1317" s="27">
        <f>VLOOKUP(E1317,[2]t_calendarioPolitica!A:C,3,FALSE)</f>
        <v>0</v>
      </c>
      <c r="G1317" s="1">
        <v>1</v>
      </c>
      <c r="H1317" s="1">
        <v>1</v>
      </c>
      <c r="I1317" s="1">
        <f t="shared" si="104"/>
        <v>0</v>
      </c>
    </row>
    <row r="1318" spans="1:9" x14ac:dyDescent="0.25">
      <c r="A1318" s="26">
        <v>46608</v>
      </c>
      <c r="B1318" s="27">
        <f t="shared" si="100"/>
        <v>2027</v>
      </c>
      <c r="C1318" s="27">
        <f t="shared" si="101"/>
        <v>8</v>
      </c>
      <c r="D1318" s="27">
        <f t="shared" si="102"/>
        <v>9</v>
      </c>
      <c r="E1318" s="27">
        <f t="shared" si="103"/>
        <v>2</v>
      </c>
      <c r="F1318" s="27">
        <f>VLOOKUP(E1318,[2]t_calendarioPolitica!A:C,3,FALSE)</f>
        <v>1</v>
      </c>
      <c r="G1318" s="1">
        <v>1</v>
      </c>
      <c r="H1318" s="1">
        <v>1</v>
      </c>
      <c r="I1318" s="1">
        <f t="shared" si="104"/>
        <v>1</v>
      </c>
    </row>
    <row r="1319" spans="1:9" x14ac:dyDescent="0.25">
      <c r="A1319" s="26">
        <v>46609</v>
      </c>
      <c r="B1319" s="27">
        <f t="shared" si="100"/>
        <v>2027</v>
      </c>
      <c r="C1319" s="27">
        <f t="shared" si="101"/>
        <v>8</v>
      </c>
      <c r="D1319" s="27">
        <f t="shared" si="102"/>
        <v>10</v>
      </c>
      <c r="E1319" s="27">
        <f t="shared" si="103"/>
        <v>3</v>
      </c>
      <c r="F1319" s="27">
        <f>VLOOKUP(E1319,[2]t_calendarioPolitica!A:C,3,FALSE)</f>
        <v>1</v>
      </c>
      <c r="G1319" s="1">
        <v>1</v>
      </c>
      <c r="H1319" s="1">
        <v>1</v>
      </c>
      <c r="I1319" s="1">
        <f t="shared" si="104"/>
        <v>1</v>
      </c>
    </row>
    <row r="1320" spans="1:9" x14ac:dyDescent="0.25">
      <c r="A1320" s="26">
        <v>46610</v>
      </c>
      <c r="B1320" s="27">
        <f t="shared" si="100"/>
        <v>2027</v>
      </c>
      <c r="C1320" s="27">
        <f t="shared" si="101"/>
        <v>8</v>
      </c>
      <c r="D1320" s="27">
        <f t="shared" si="102"/>
        <v>11</v>
      </c>
      <c r="E1320" s="27">
        <f t="shared" si="103"/>
        <v>4</v>
      </c>
      <c r="F1320" s="27">
        <f>VLOOKUP(E1320,[2]t_calendarioPolitica!A:C,3,FALSE)</f>
        <v>1</v>
      </c>
      <c r="G1320" s="1">
        <v>1</v>
      </c>
      <c r="H1320" s="1">
        <v>1</v>
      </c>
      <c r="I1320" s="1">
        <f t="shared" si="104"/>
        <v>1</v>
      </c>
    </row>
    <row r="1321" spans="1:9" x14ac:dyDescent="0.25">
      <c r="A1321" s="26">
        <v>46611</v>
      </c>
      <c r="B1321" s="27">
        <f t="shared" si="100"/>
        <v>2027</v>
      </c>
      <c r="C1321" s="27">
        <f t="shared" si="101"/>
        <v>8</v>
      </c>
      <c r="D1321" s="27">
        <f t="shared" si="102"/>
        <v>12</v>
      </c>
      <c r="E1321" s="27">
        <f t="shared" si="103"/>
        <v>5</v>
      </c>
      <c r="F1321" s="27">
        <f>VLOOKUP(E1321,[2]t_calendarioPolitica!A:C,3,FALSE)</f>
        <v>1</v>
      </c>
      <c r="G1321" s="1">
        <v>1</v>
      </c>
      <c r="H1321" s="1">
        <v>1</v>
      </c>
      <c r="I1321" s="1">
        <f t="shared" si="104"/>
        <v>1</v>
      </c>
    </row>
    <row r="1322" spans="1:9" x14ac:dyDescent="0.25">
      <c r="A1322" s="26">
        <v>46612</v>
      </c>
      <c r="B1322" s="27">
        <f t="shared" si="100"/>
        <v>2027</v>
      </c>
      <c r="C1322" s="27">
        <f t="shared" si="101"/>
        <v>8</v>
      </c>
      <c r="D1322" s="27">
        <f t="shared" si="102"/>
        <v>13</v>
      </c>
      <c r="E1322" s="27">
        <f t="shared" si="103"/>
        <v>6</v>
      </c>
      <c r="F1322" s="27">
        <f>VLOOKUP(E1322,[2]t_calendarioPolitica!A:C,3,FALSE)</f>
        <v>1</v>
      </c>
      <c r="G1322" s="1">
        <v>1</v>
      </c>
      <c r="H1322" s="1">
        <v>1</v>
      </c>
      <c r="I1322" s="1">
        <f t="shared" si="104"/>
        <v>1</v>
      </c>
    </row>
    <row r="1323" spans="1:9" x14ac:dyDescent="0.25">
      <c r="A1323" s="26">
        <v>46613</v>
      </c>
      <c r="B1323" s="27">
        <f t="shared" si="100"/>
        <v>2027</v>
      </c>
      <c r="C1323" s="27">
        <f t="shared" si="101"/>
        <v>8</v>
      </c>
      <c r="D1323" s="27">
        <f t="shared" si="102"/>
        <v>14</v>
      </c>
      <c r="E1323" s="27">
        <f t="shared" si="103"/>
        <v>7</v>
      </c>
      <c r="F1323" s="27">
        <f>VLOOKUP(E1323,[2]t_calendarioPolitica!A:C,3,FALSE)</f>
        <v>2</v>
      </c>
      <c r="G1323" s="1">
        <v>1</v>
      </c>
      <c r="H1323" s="1">
        <v>1</v>
      </c>
      <c r="I1323" s="1">
        <f t="shared" si="104"/>
        <v>1</v>
      </c>
    </row>
    <row r="1324" spans="1:9" x14ac:dyDescent="0.25">
      <c r="A1324" s="26">
        <v>46614</v>
      </c>
      <c r="B1324" s="27">
        <f t="shared" si="100"/>
        <v>2027</v>
      </c>
      <c r="C1324" s="27">
        <f t="shared" si="101"/>
        <v>8</v>
      </c>
      <c r="D1324" s="27">
        <f t="shared" si="102"/>
        <v>15</v>
      </c>
      <c r="E1324" s="27">
        <f t="shared" si="103"/>
        <v>1</v>
      </c>
      <c r="F1324" s="27">
        <f>VLOOKUP(E1324,[2]t_calendarioPolitica!A:C,3,FALSE)</f>
        <v>0</v>
      </c>
      <c r="G1324" s="1">
        <v>1</v>
      </c>
      <c r="H1324" s="1">
        <v>1</v>
      </c>
      <c r="I1324" s="1">
        <f t="shared" si="104"/>
        <v>0</v>
      </c>
    </row>
    <row r="1325" spans="1:9" x14ac:dyDescent="0.25">
      <c r="A1325" s="26">
        <v>46615</v>
      </c>
      <c r="B1325" s="27">
        <f t="shared" si="100"/>
        <v>2027</v>
      </c>
      <c r="C1325" s="27">
        <f t="shared" si="101"/>
        <v>8</v>
      </c>
      <c r="D1325" s="27">
        <f t="shared" si="102"/>
        <v>16</v>
      </c>
      <c r="E1325" s="27">
        <f t="shared" si="103"/>
        <v>2</v>
      </c>
      <c r="F1325" s="27">
        <f>VLOOKUP(E1325,[2]t_calendarioPolitica!A:C,3,FALSE)</f>
        <v>1</v>
      </c>
      <c r="G1325" s="1">
        <v>1</v>
      </c>
      <c r="H1325" s="1">
        <v>1</v>
      </c>
      <c r="I1325" s="1">
        <f t="shared" si="104"/>
        <v>1</v>
      </c>
    </row>
    <row r="1326" spans="1:9" x14ac:dyDescent="0.25">
      <c r="A1326" s="26">
        <v>46616</v>
      </c>
      <c r="B1326" s="27">
        <f t="shared" si="100"/>
        <v>2027</v>
      </c>
      <c r="C1326" s="27">
        <f t="shared" si="101"/>
        <v>8</v>
      </c>
      <c r="D1326" s="27">
        <f t="shared" si="102"/>
        <v>17</v>
      </c>
      <c r="E1326" s="27">
        <f t="shared" si="103"/>
        <v>3</v>
      </c>
      <c r="F1326" s="27">
        <f>VLOOKUP(E1326,[2]t_calendarioPolitica!A:C,3,FALSE)</f>
        <v>1</v>
      </c>
      <c r="G1326" s="1">
        <v>1</v>
      </c>
      <c r="H1326" s="1">
        <v>1</v>
      </c>
      <c r="I1326" s="1">
        <f t="shared" si="104"/>
        <v>1</v>
      </c>
    </row>
    <row r="1327" spans="1:9" x14ac:dyDescent="0.25">
      <c r="A1327" s="26">
        <v>46617</v>
      </c>
      <c r="B1327" s="27">
        <f t="shared" si="100"/>
        <v>2027</v>
      </c>
      <c r="C1327" s="27">
        <f t="shared" si="101"/>
        <v>8</v>
      </c>
      <c r="D1327" s="27">
        <f t="shared" si="102"/>
        <v>18</v>
      </c>
      <c r="E1327" s="27">
        <f t="shared" si="103"/>
        <v>4</v>
      </c>
      <c r="F1327" s="27">
        <f>VLOOKUP(E1327,[2]t_calendarioPolitica!A:C,3,FALSE)</f>
        <v>1</v>
      </c>
      <c r="G1327" s="1">
        <v>1</v>
      </c>
      <c r="H1327" s="1">
        <v>1</v>
      </c>
      <c r="I1327" s="1">
        <f t="shared" si="104"/>
        <v>1</v>
      </c>
    </row>
    <row r="1328" spans="1:9" x14ac:dyDescent="0.25">
      <c r="A1328" s="26">
        <v>46618</v>
      </c>
      <c r="B1328" s="27">
        <f t="shared" si="100"/>
        <v>2027</v>
      </c>
      <c r="C1328" s="27">
        <f t="shared" si="101"/>
        <v>8</v>
      </c>
      <c r="D1328" s="27">
        <f t="shared" si="102"/>
        <v>19</v>
      </c>
      <c r="E1328" s="27">
        <f t="shared" si="103"/>
        <v>5</v>
      </c>
      <c r="F1328" s="27">
        <f>VLOOKUP(E1328,[2]t_calendarioPolitica!A:C,3,FALSE)</f>
        <v>1</v>
      </c>
      <c r="G1328" s="1">
        <v>1</v>
      </c>
      <c r="H1328" s="1">
        <v>1</v>
      </c>
      <c r="I1328" s="1">
        <f t="shared" si="104"/>
        <v>1</v>
      </c>
    </row>
    <row r="1329" spans="1:9" x14ac:dyDescent="0.25">
      <c r="A1329" s="26">
        <v>46619</v>
      </c>
      <c r="B1329" s="27">
        <f t="shared" si="100"/>
        <v>2027</v>
      </c>
      <c r="C1329" s="27">
        <f t="shared" si="101"/>
        <v>8</v>
      </c>
      <c r="D1329" s="27">
        <f t="shared" si="102"/>
        <v>20</v>
      </c>
      <c r="E1329" s="27">
        <f t="shared" si="103"/>
        <v>6</v>
      </c>
      <c r="F1329" s="27">
        <f>VLOOKUP(E1329,[2]t_calendarioPolitica!A:C,3,FALSE)</f>
        <v>1</v>
      </c>
      <c r="G1329" s="1">
        <v>1</v>
      </c>
      <c r="H1329" s="1">
        <v>1</v>
      </c>
      <c r="I1329" s="1">
        <f t="shared" si="104"/>
        <v>1</v>
      </c>
    </row>
    <row r="1330" spans="1:9" x14ac:dyDescent="0.25">
      <c r="A1330" s="26">
        <v>46620</v>
      </c>
      <c r="B1330" s="27">
        <f t="shared" si="100"/>
        <v>2027</v>
      </c>
      <c r="C1330" s="27">
        <f t="shared" si="101"/>
        <v>8</v>
      </c>
      <c r="D1330" s="27">
        <f t="shared" si="102"/>
        <v>21</v>
      </c>
      <c r="E1330" s="27">
        <f t="shared" si="103"/>
        <v>7</v>
      </c>
      <c r="F1330" s="27">
        <f>VLOOKUP(E1330,[2]t_calendarioPolitica!A:C,3,FALSE)</f>
        <v>2</v>
      </c>
      <c r="G1330" s="1">
        <v>1</v>
      </c>
      <c r="H1330" s="1">
        <v>1</v>
      </c>
      <c r="I1330" s="1">
        <f t="shared" si="104"/>
        <v>1</v>
      </c>
    </row>
    <row r="1331" spans="1:9" x14ac:dyDescent="0.25">
      <c r="A1331" s="26">
        <v>46621</v>
      </c>
      <c r="B1331" s="27">
        <f t="shared" si="100"/>
        <v>2027</v>
      </c>
      <c r="C1331" s="27">
        <f t="shared" si="101"/>
        <v>8</v>
      </c>
      <c r="D1331" s="27">
        <f t="shared" si="102"/>
        <v>22</v>
      </c>
      <c r="E1331" s="27">
        <f t="shared" si="103"/>
        <v>1</v>
      </c>
      <c r="F1331" s="27">
        <f>VLOOKUP(E1331,[2]t_calendarioPolitica!A:C,3,FALSE)</f>
        <v>0</v>
      </c>
      <c r="G1331" s="1">
        <v>1</v>
      </c>
      <c r="H1331" s="1">
        <v>1</v>
      </c>
      <c r="I1331" s="1">
        <f t="shared" si="104"/>
        <v>0</v>
      </c>
    </row>
    <row r="1332" spans="1:9" x14ac:dyDescent="0.25">
      <c r="A1332" s="26">
        <v>46622</v>
      </c>
      <c r="B1332" s="27">
        <f t="shared" si="100"/>
        <v>2027</v>
      </c>
      <c r="C1332" s="27">
        <f t="shared" si="101"/>
        <v>8</v>
      </c>
      <c r="D1332" s="27">
        <f t="shared" si="102"/>
        <v>23</v>
      </c>
      <c r="E1332" s="27">
        <f t="shared" si="103"/>
        <v>2</v>
      </c>
      <c r="F1332" s="27">
        <f>VLOOKUP(E1332,[2]t_calendarioPolitica!A:C,3,FALSE)</f>
        <v>1</v>
      </c>
      <c r="G1332" s="1">
        <v>1</v>
      </c>
      <c r="H1332" s="1">
        <v>1</v>
      </c>
      <c r="I1332" s="1">
        <f t="shared" si="104"/>
        <v>1</v>
      </c>
    </row>
    <row r="1333" spans="1:9" x14ac:dyDescent="0.25">
      <c r="A1333" s="26">
        <v>46623</v>
      </c>
      <c r="B1333" s="27">
        <f t="shared" si="100"/>
        <v>2027</v>
      </c>
      <c r="C1333" s="27">
        <f t="shared" si="101"/>
        <v>8</v>
      </c>
      <c r="D1333" s="27">
        <f t="shared" si="102"/>
        <v>24</v>
      </c>
      <c r="E1333" s="27">
        <f t="shared" si="103"/>
        <v>3</v>
      </c>
      <c r="F1333" s="27">
        <f>VLOOKUP(E1333,[2]t_calendarioPolitica!A:C,3,FALSE)</f>
        <v>1</v>
      </c>
      <c r="G1333" s="1">
        <v>1</v>
      </c>
      <c r="H1333" s="1">
        <v>1</v>
      </c>
      <c r="I1333" s="1">
        <f t="shared" si="104"/>
        <v>1</v>
      </c>
    </row>
    <row r="1334" spans="1:9" x14ac:dyDescent="0.25">
      <c r="A1334" s="26">
        <v>46624</v>
      </c>
      <c r="B1334" s="27">
        <f t="shared" si="100"/>
        <v>2027</v>
      </c>
      <c r="C1334" s="27">
        <f t="shared" si="101"/>
        <v>8</v>
      </c>
      <c r="D1334" s="27">
        <f t="shared" si="102"/>
        <v>25</v>
      </c>
      <c r="E1334" s="27">
        <f t="shared" si="103"/>
        <v>4</v>
      </c>
      <c r="F1334" s="27">
        <f>VLOOKUP(E1334,[2]t_calendarioPolitica!A:C,3,FALSE)</f>
        <v>1</v>
      </c>
      <c r="G1334" s="1">
        <v>1</v>
      </c>
      <c r="H1334" s="1">
        <v>1</v>
      </c>
      <c r="I1334" s="1">
        <f t="shared" si="104"/>
        <v>1</v>
      </c>
    </row>
    <row r="1335" spans="1:9" x14ac:dyDescent="0.25">
      <c r="A1335" s="26">
        <v>46625</v>
      </c>
      <c r="B1335" s="27">
        <f t="shared" si="100"/>
        <v>2027</v>
      </c>
      <c r="C1335" s="27">
        <f t="shared" si="101"/>
        <v>8</v>
      </c>
      <c r="D1335" s="27">
        <f t="shared" si="102"/>
        <v>26</v>
      </c>
      <c r="E1335" s="27">
        <f t="shared" si="103"/>
        <v>5</v>
      </c>
      <c r="F1335" s="27">
        <f>VLOOKUP(E1335,[2]t_calendarioPolitica!A:C,3,FALSE)</f>
        <v>1</v>
      </c>
      <c r="G1335" s="1">
        <v>1</v>
      </c>
      <c r="H1335" s="1">
        <v>1</v>
      </c>
      <c r="I1335" s="1">
        <f t="shared" si="104"/>
        <v>1</v>
      </c>
    </row>
    <row r="1336" spans="1:9" x14ac:dyDescent="0.25">
      <c r="A1336" s="26">
        <v>46626</v>
      </c>
      <c r="B1336" s="27">
        <f t="shared" si="100"/>
        <v>2027</v>
      </c>
      <c r="C1336" s="27">
        <f t="shared" si="101"/>
        <v>8</v>
      </c>
      <c r="D1336" s="27">
        <f t="shared" si="102"/>
        <v>27</v>
      </c>
      <c r="E1336" s="27">
        <f t="shared" si="103"/>
        <v>6</v>
      </c>
      <c r="F1336" s="27">
        <f>VLOOKUP(E1336,[2]t_calendarioPolitica!A:C,3,FALSE)</f>
        <v>1</v>
      </c>
      <c r="G1336" s="1">
        <v>1</v>
      </c>
      <c r="H1336" s="1">
        <v>1</v>
      </c>
      <c r="I1336" s="1">
        <f t="shared" si="104"/>
        <v>1</v>
      </c>
    </row>
    <row r="1337" spans="1:9" x14ac:dyDescent="0.25">
      <c r="A1337" s="26">
        <v>46627</v>
      </c>
      <c r="B1337" s="27">
        <f t="shared" si="100"/>
        <v>2027</v>
      </c>
      <c r="C1337" s="27">
        <f t="shared" si="101"/>
        <v>8</v>
      </c>
      <c r="D1337" s="27">
        <f t="shared" si="102"/>
        <v>28</v>
      </c>
      <c r="E1337" s="27">
        <f t="shared" si="103"/>
        <v>7</v>
      </c>
      <c r="F1337" s="27">
        <f>VLOOKUP(E1337,[2]t_calendarioPolitica!A:C,3,FALSE)</f>
        <v>2</v>
      </c>
      <c r="G1337" s="1">
        <v>1</v>
      </c>
      <c r="H1337" s="1">
        <v>1</v>
      </c>
      <c r="I1337" s="1">
        <f t="shared" si="104"/>
        <v>1</v>
      </c>
    </row>
    <row r="1338" spans="1:9" x14ac:dyDescent="0.25">
      <c r="A1338" s="26">
        <v>46628</v>
      </c>
      <c r="B1338" s="27">
        <f t="shared" si="100"/>
        <v>2027</v>
      </c>
      <c r="C1338" s="27">
        <f t="shared" si="101"/>
        <v>8</v>
      </c>
      <c r="D1338" s="27">
        <f t="shared" si="102"/>
        <v>29</v>
      </c>
      <c r="E1338" s="27">
        <f t="shared" si="103"/>
        <v>1</v>
      </c>
      <c r="F1338" s="27">
        <f>VLOOKUP(E1338,[2]t_calendarioPolitica!A:C,3,FALSE)</f>
        <v>0</v>
      </c>
      <c r="G1338" s="1">
        <v>1</v>
      </c>
      <c r="H1338" s="1">
        <v>1</v>
      </c>
      <c r="I1338" s="1">
        <f t="shared" si="104"/>
        <v>0</v>
      </c>
    </row>
    <row r="1339" spans="1:9" x14ac:dyDescent="0.25">
      <c r="A1339" s="26">
        <v>46629</v>
      </c>
      <c r="B1339" s="27">
        <f t="shared" si="100"/>
        <v>2027</v>
      </c>
      <c r="C1339" s="27">
        <f t="shared" si="101"/>
        <v>8</v>
      </c>
      <c r="D1339" s="27">
        <f t="shared" si="102"/>
        <v>30</v>
      </c>
      <c r="E1339" s="27">
        <f t="shared" si="103"/>
        <v>2</v>
      </c>
      <c r="F1339" s="27">
        <f>VLOOKUP(E1339,[2]t_calendarioPolitica!A:C,3,FALSE)</f>
        <v>1</v>
      </c>
      <c r="G1339" s="1">
        <v>1</v>
      </c>
      <c r="H1339" s="1">
        <v>1</v>
      </c>
      <c r="I1339" s="1">
        <f t="shared" si="104"/>
        <v>1</v>
      </c>
    </row>
    <row r="1340" spans="1:9" x14ac:dyDescent="0.25">
      <c r="A1340" s="26">
        <v>46630</v>
      </c>
      <c r="B1340" s="27">
        <f t="shared" si="100"/>
        <v>2027</v>
      </c>
      <c r="C1340" s="27">
        <f t="shared" si="101"/>
        <v>8</v>
      </c>
      <c r="D1340" s="27">
        <f t="shared" si="102"/>
        <v>31</v>
      </c>
      <c r="E1340" s="27">
        <f t="shared" si="103"/>
        <v>3</v>
      </c>
      <c r="F1340" s="27">
        <f>VLOOKUP(E1340,[2]t_calendarioPolitica!A:C,3,FALSE)</f>
        <v>1</v>
      </c>
      <c r="G1340" s="1">
        <v>1</v>
      </c>
      <c r="H1340" s="1">
        <v>1</v>
      </c>
      <c r="I1340" s="1">
        <f t="shared" si="104"/>
        <v>1</v>
      </c>
    </row>
    <row r="1341" spans="1:9" x14ac:dyDescent="0.25">
      <c r="A1341" s="26">
        <v>46631</v>
      </c>
      <c r="B1341" s="27">
        <f t="shared" si="100"/>
        <v>2027</v>
      </c>
      <c r="C1341" s="27">
        <f t="shared" si="101"/>
        <v>9</v>
      </c>
      <c r="D1341" s="27">
        <f t="shared" si="102"/>
        <v>1</v>
      </c>
      <c r="E1341" s="27">
        <f t="shared" si="103"/>
        <v>4</v>
      </c>
      <c r="F1341" s="27">
        <f>VLOOKUP(E1341,[2]t_calendarioPolitica!A:C,3,FALSE)</f>
        <v>1</v>
      </c>
      <c r="G1341" s="1">
        <v>1</v>
      </c>
      <c r="H1341" s="1">
        <v>1</v>
      </c>
      <c r="I1341" s="1">
        <f t="shared" si="104"/>
        <v>1</v>
      </c>
    </row>
    <row r="1342" spans="1:9" x14ac:dyDescent="0.25">
      <c r="A1342" s="26">
        <v>46632</v>
      </c>
      <c r="B1342" s="27">
        <f t="shared" si="100"/>
        <v>2027</v>
      </c>
      <c r="C1342" s="27">
        <f t="shared" si="101"/>
        <v>9</v>
      </c>
      <c r="D1342" s="27">
        <f t="shared" si="102"/>
        <v>2</v>
      </c>
      <c r="E1342" s="27">
        <f t="shared" si="103"/>
        <v>5</v>
      </c>
      <c r="F1342" s="27">
        <f>VLOOKUP(E1342,[2]t_calendarioPolitica!A:C,3,FALSE)</f>
        <v>1</v>
      </c>
      <c r="G1342" s="1">
        <v>1</v>
      </c>
      <c r="H1342" s="1">
        <v>1</v>
      </c>
      <c r="I1342" s="1">
        <f t="shared" si="104"/>
        <v>1</v>
      </c>
    </row>
    <row r="1343" spans="1:9" x14ac:dyDescent="0.25">
      <c r="A1343" s="26">
        <v>46633</v>
      </c>
      <c r="B1343" s="27">
        <f t="shared" si="100"/>
        <v>2027</v>
      </c>
      <c r="C1343" s="27">
        <f t="shared" si="101"/>
        <v>9</v>
      </c>
      <c r="D1343" s="27">
        <f t="shared" si="102"/>
        <v>3</v>
      </c>
      <c r="E1343" s="27">
        <f t="shared" si="103"/>
        <v>6</v>
      </c>
      <c r="F1343" s="27">
        <f>VLOOKUP(E1343,[2]t_calendarioPolitica!A:C,3,FALSE)</f>
        <v>1</v>
      </c>
      <c r="G1343" s="1">
        <v>1</v>
      </c>
      <c r="H1343" s="1">
        <v>1</v>
      </c>
      <c r="I1343" s="1">
        <f t="shared" si="104"/>
        <v>1</v>
      </c>
    </row>
    <row r="1344" spans="1:9" x14ac:dyDescent="0.25">
      <c r="A1344" s="26">
        <v>46634</v>
      </c>
      <c r="B1344" s="27">
        <f t="shared" si="100"/>
        <v>2027</v>
      </c>
      <c r="C1344" s="27">
        <f t="shared" si="101"/>
        <v>9</v>
      </c>
      <c r="D1344" s="27">
        <f t="shared" si="102"/>
        <v>4</v>
      </c>
      <c r="E1344" s="27">
        <f t="shared" si="103"/>
        <v>7</v>
      </c>
      <c r="F1344" s="27">
        <f>VLOOKUP(E1344,[2]t_calendarioPolitica!A:C,3,FALSE)</f>
        <v>2</v>
      </c>
      <c r="G1344" s="1">
        <v>1</v>
      </c>
      <c r="H1344" s="1">
        <v>1</v>
      </c>
      <c r="I1344" s="1">
        <f t="shared" si="104"/>
        <v>1</v>
      </c>
    </row>
    <row r="1345" spans="1:9" x14ac:dyDescent="0.25">
      <c r="A1345" s="26">
        <v>46635</v>
      </c>
      <c r="B1345" s="27">
        <f t="shared" si="100"/>
        <v>2027</v>
      </c>
      <c r="C1345" s="27">
        <f t="shared" si="101"/>
        <v>9</v>
      </c>
      <c r="D1345" s="27">
        <f t="shared" si="102"/>
        <v>5</v>
      </c>
      <c r="E1345" s="27">
        <f t="shared" si="103"/>
        <v>1</v>
      </c>
      <c r="F1345" s="27">
        <f>VLOOKUP(E1345,[2]t_calendarioPolitica!A:C,3,FALSE)</f>
        <v>0</v>
      </c>
      <c r="G1345" s="1">
        <v>1</v>
      </c>
      <c r="H1345" s="1">
        <v>1</v>
      </c>
      <c r="I1345" s="1">
        <f t="shared" si="104"/>
        <v>0</v>
      </c>
    </row>
    <row r="1346" spans="1:9" x14ac:dyDescent="0.25">
      <c r="A1346" s="26">
        <v>46636</v>
      </c>
      <c r="B1346" s="27">
        <f t="shared" si="100"/>
        <v>2027</v>
      </c>
      <c r="C1346" s="27">
        <f t="shared" si="101"/>
        <v>9</v>
      </c>
      <c r="D1346" s="27">
        <f t="shared" si="102"/>
        <v>6</v>
      </c>
      <c r="E1346" s="27">
        <f t="shared" si="103"/>
        <v>2</v>
      </c>
      <c r="F1346" s="27">
        <f>VLOOKUP(E1346,[2]t_calendarioPolitica!A:C,3,FALSE)</f>
        <v>1</v>
      </c>
      <c r="G1346" s="1">
        <v>1</v>
      </c>
      <c r="H1346" s="1">
        <v>1</v>
      </c>
      <c r="I1346" s="1">
        <f t="shared" si="104"/>
        <v>1</v>
      </c>
    </row>
    <row r="1347" spans="1:9" x14ac:dyDescent="0.25">
      <c r="A1347" s="26">
        <v>46637</v>
      </c>
      <c r="B1347" s="27">
        <f t="shared" ref="B1347:B1410" si="105">YEAR(A1347)</f>
        <v>2027</v>
      </c>
      <c r="C1347" s="27">
        <f t="shared" ref="C1347:C1410" si="106">MONTH(A1347)</f>
        <v>9</v>
      </c>
      <c r="D1347" s="27">
        <f t="shared" ref="D1347:D1410" si="107">DAY(A1347)</f>
        <v>7</v>
      </c>
      <c r="E1347" s="27">
        <f t="shared" ref="E1347:E1410" si="108">WEEKDAY(A1347)</f>
        <v>3</v>
      </c>
      <c r="F1347" s="27">
        <f>VLOOKUP(E1347,[2]t_calendarioPolitica!A:C,3,FALSE)</f>
        <v>1</v>
      </c>
      <c r="G1347" s="1">
        <v>1</v>
      </c>
      <c r="H1347" s="1">
        <v>1</v>
      </c>
      <c r="I1347" s="1">
        <f t="shared" ref="I1347:I1410" si="109">IF(AND(F1347&lt;&gt;0, H1347&lt;&gt;0,G1347&lt;&gt;0), 1, 0)</f>
        <v>1</v>
      </c>
    </row>
    <row r="1348" spans="1:9" x14ac:dyDescent="0.25">
      <c r="A1348" s="26">
        <v>46638</v>
      </c>
      <c r="B1348" s="27">
        <f t="shared" si="105"/>
        <v>2027</v>
      </c>
      <c r="C1348" s="27">
        <f t="shared" si="106"/>
        <v>9</v>
      </c>
      <c r="D1348" s="27">
        <f t="shared" si="107"/>
        <v>8</v>
      </c>
      <c r="E1348" s="27">
        <f t="shared" si="108"/>
        <v>4</v>
      </c>
      <c r="F1348" s="27">
        <f>VLOOKUP(E1348,[2]t_calendarioPolitica!A:C,3,FALSE)</f>
        <v>1</v>
      </c>
      <c r="G1348" s="1">
        <v>1</v>
      </c>
      <c r="H1348" s="1">
        <v>1</v>
      </c>
      <c r="I1348" s="1">
        <f t="shared" si="109"/>
        <v>1</v>
      </c>
    </row>
    <row r="1349" spans="1:9" x14ac:dyDescent="0.25">
      <c r="A1349" s="26">
        <v>46639</v>
      </c>
      <c r="B1349" s="27">
        <f t="shared" si="105"/>
        <v>2027</v>
      </c>
      <c r="C1349" s="27">
        <f t="shared" si="106"/>
        <v>9</v>
      </c>
      <c r="D1349" s="27">
        <f t="shared" si="107"/>
        <v>9</v>
      </c>
      <c r="E1349" s="27">
        <f t="shared" si="108"/>
        <v>5</v>
      </c>
      <c r="F1349" s="27">
        <f>VLOOKUP(E1349,[2]t_calendarioPolitica!A:C,3,FALSE)</f>
        <v>1</v>
      </c>
      <c r="G1349" s="1">
        <v>1</v>
      </c>
      <c r="H1349" s="1">
        <v>1</v>
      </c>
      <c r="I1349" s="1">
        <f t="shared" si="109"/>
        <v>1</v>
      </c>
    </row>
    <row r="1350" spans="1:9" x14ac:dyDescent="0.25">
      <c r="A1350" s="26">
        <v>46640</v>
      </c>
      <c r="B1350" s="27">
        <f t="shared" si="105"/>
        <v>2027</v>
      </c>
      <c r="C1350" s="27">
        <f t="shared" si="106"/>
        <v>9</v>
      </c>
      <c r="D1350" s="27">
        <f t="shared" si="107"/>
        <v>10</v>
      </c>
      <c r="E1350" s="27">
        <f t="shared" si="108"/>
        <v>6</v>
      </c>
      <c r="F1350" s="27">
        <f>VLOOKUP(E1350,[2]t_calendarioPolitica!A:C,3,FALSE)</f>
        <v>1</v>
      </c>
      <c r="G1350" s="1">
        <v>1</v>
      </c>
      <c r="H1350" s="1">
        <v>1</v>
      </c>
      <c r="I1350" s="1">
        <f t="shared" si="109"/>
        <v>1</v>
      </c>
    </row>
    <row r="1351" spans="1:9" x14ac:dyDescent="0.25">
      <c r="A1351" s="26">
        <v>46641</v>
      </c>
      <c r="B1351" s="27">
        <f t="shared" si="105"/>
        <v>2027</v>
      </c>
      <c r="C1351" s="27">
        <f t="shared" si="106"/>
        <v>9</v>
      </c>
      <c r="D1351" s="27">
        <f t="shared" si="107"/>
        <v>11</v>
      </c>
      <c r="E1351" s="27">
        <f t="shared" si="108"/>
        <v>7</v>
      </c>
      <c r="F1351" s="27">
        <f>VLOOKUP(E1351,[2]t_calendarioPolitica!A:C,3,FALSE)</f>
        <v>2</v>
      </c>
      <c r="G1351" s="1">
        <v>1</v>
      </c>
      <c r="H1351" s="1">
        <v>1</v>
      </c>
      <c r="I1351" s="1">
        <f t="shared" si="109"/>
        <v>1</v>
      </c>
    </row>
    <row r="1352" spans="1:9" x14ac:dyDescent="0.25">
      <c r="A1352" s="26">
        <v>46642</v>
      </c>
      <c r="B1352" s="27">
        <f t="shared" si="105"/>
        <v>2027</v>
      </c>
      <c r="C1352" s="27">
        <f t="shared" si="106"/>
        <v>9</v>
      </c>
      <c r="D1352" s="27">
        <f t="shared" si="107"/>
        <v>12</v>
      </c>
      <c r="E1352" s="27">
        <f t="shared" si="108"/>
        <v>1</v>
      </c>
      <c r="F1352" s="27">
        <f>VLOOKUP(E1352,[2]t_calendarioPolitica!A:C,3,FALSE)</f>
        <v>0</v>
      </c>
      <c r="G1352" s="1">
        <v>1</v>
      </c>
      <c r="H1352" s="1">
        <v>1</v>
      </c>
      <c r="I1352" s="1">
        <f t="shared" si="109"/>
        <v>0</v>
      </c>
    </row>
    <row r="1353" spans="1:9" x14ac:dyDescent="0.25">
      <c r="A1353" s="26">
        <v>46643</v>
      </c>
      <c r="B1353" s="27">
        <f t="shared" si="105"/>
        <v>2027</v>
      </c>
      <c r="C1353" s="27">
        <f t="shared" si="106"/>
        <v>9</v>
      </c>
      <c r="D1353" s="27">
        <f t="shared" si="107"/>
        <v>13</v>
      </c>
      <c r="E1353" s="27">
        <f t="shared" si="108"/>
        <v>2</v>
      </c>
      <c r="F1353" s="27">
        <f>VLOOKUP(E1353,[2]t_calendarioPolitica!A:C,3,FALSE)</f>
        <v>1</v>
      </c>
      <c r="G1353" s="1">
        <v>1</v>
      </c>
      <c r="H1353" s="1">
        <v>1</v>
      </c>
      <c r="I1353" s="1">
        <f t="shared" si="109"/>
        <v>1</v>
      </c>
    </row>
    <row r="1354" spans="1:9" x14ac:dyDescent="0.25">
      <c r="A1354" s="26">
        <v>46644</v>
      </c>
      <c r="B1354" s="27">
        <f t="shared" si="105"/>
        <v>2027</v>
      </c>
      <c r="C1354" s="27">
        <f t="shared" si="106"/>
        <v>9</v>
      </c>
      <c r="D1354" s="27">
        <f t="shared" si="107"/>
        <v>14</v>
      </c>
      <c r="E1354" s="27">
        <f t="shared" si="108"/>
        <v>3</v>
      </c>
      <c r="F1354" s="27">
        <f>VLOOKUP(E1354,[2]t_calendarioPolitica!A:C,3,FALSE)</f>
        <v>1</v>
      </c>
      <c r="G1354" s="1">
        <v>1</v>
      </c>
      <c r="H1354" s="1">
        <v>1</v>
      </c>
      <c r="I1354" s="1">
        <f t="shared" si="109"/>
        <v>1</v>
      </c>
    </row>
    <row r="1355" spans="1:9" x14ac:dyDescent="0.25">
      <c r="A1355" s="26">
        <v>46645</v>
      </c>
      <c r="B1355" s="27">
        <f t="shared" si="105"/>
        <v>2027</v>
      </c>
      <c r="C1355" s="27">
        <f t="shared" si="106"/>
        <v>9</v>
      </c>
      <c r="D1355" s="27">
        <f t="shared" si="107"/>
        <v>15</v>
      </c>
      <c r="E1355" s="27">
        <f t="shared" si="108"/>
        <v>4</v>
      </c>
      <c r="F1355" s="27">
        <f>VLOOKUP(E1355,[2]t_calendarioPolitica!A:C,3,FALSE)</f>
        <v>1</v>
      </c>
      <c r="G1355" s="1">
        <v>1</v>
      </c>
      <c r="H1355" s="1">
        <v>0</v>
      </c>
      <c r="I1355" s="1">
        <f t="shared" si="109"/>
        <v>0</v>
      </c>
    </row>
    <row r="1356" spans="1:9" x14ac:dyDescent="0.25">
      <c r="A1356" s="26">
        <v>46646</v>
      </c>
      <c r="B1356" s="27">
        <f t="shared" si="105"/>
        <v>2027</v>
      </c>
      <c r="C1356" s="27">
        <f t="shared" si="106"/>
        <v>9</v>
      </c>
      <c r="D1356" s="27">
        <f t="shared" si="107"/>
        <v>16</v>
      </c>
      <c r="E1356" s="27">
        <f t="shared" si="108"/>
        <v>5</v>
      </c>
      <c r="F1356" s="27">
        <f>VLOOKUP(E1356,[2]t_calendarioPolitica!A:C,3,FALSE)</f>
        <v>1</v>
      </c>
      <c r="G1356" s="1">
        <v>0</v>
      </c>
      <c r="H1356" s="1">
        <v>1</v>
      </c>
      <c r="I1356" s="1">
        <f t="shared" si="109"/>
        <v>0</v>
      </c>
    </row>
    <row r="1357" spans="1:9" x14ac:dyDescent="0.25">
      <c r="A1357" s="26">
        <v>46647</v>
      </c>
      <c r="B1357" s="27">
        <f t="shared" si="105"/>
        <v>2027</v>
      </c>
      <c r="C1357" s="27">
        <f t="shared" si="106"/>
        <v>9</v>
      </c>
      <c r="D1357" s="27">
        <f t="shared" si="107"/>
        <v>17</v>
      </c>
      <c r="E1357" s="27">
        <f t="shared" si="108"/>
        <v>6</v>
      </c>
      <c r="F1357" s="27">
        <f>VLOOKUP(E1357,[2]t_calendarioPolitica!A:C,3,FALSE)</f>
        <v>1</v>
      </c>
      <c r="G1357" s="1">
        <v>1</v>
      </c>
      <c r="H1357" s="1">
        <v>1</v>
      </c>
      <c r="I1357" s="1">
        <f t="shared" si="109"/>
        <v>1</v>
      </c>
    </row>
    <row r="1358" spans="1:9" x14ac:dyDescent="0.25">
      <c r="A1358" s="26">
        <v>46648</v>
      </c>
      <c r="B1358" s="27">
        <f t="shared" si="105"/>
        <v>2027</v>
      </c>
      <c r="C1358" s="27">
        <f t="shared" si="106"/>
        <v>9</v>
      </c>
      <c r="D1358" s="27">
        <f t="shared" si="107"/>
        <v>18</v>
      </c>
      <c r="E1358" s="27">
        <f t="shared" si="108"/>
        <v>7</v>
      </c>
      <c r="F1358" s="27">
        <f>VLOOKUP(E1358,[2]t_calendarioPolitica!A:C,3,FALSE)</f>
        <v>2</v>
      </c>
      <c r="G1358" s="1">
        <v>1</v>
      </c>
      <c r="H1358" s="1">
        <v>1</v>
      </c>
      <c r="I1358" s="1">
        <f t="shared" si="109"/>
        <v>1</v>
      </c>
    </row>
    <row r="1359" spans="1:9" x14ac:dyDescent="0.25">
      <c r="A1359" s="26">
        <v>46649</v>
      </c>
      <c r="B1359" s="27">
        <f t="shared" si="105"/>
        <v>2027</v>
      </c>
      <c r="C1359" s="27">
        <f t="shared" si="106"/>
        <v>9</v>
      </c>
      <c r="D1359" s="27">
        <f t="shared" si="107"/>
        <v>19</v>
      </c>
      <c r="E1359" s="27">
        <f t="shared" si="108"/>
        <v>1</v>
      </c>
      <c r="F1359" s="27">
        <f>VLOOKUP(E1359,[2]t_calendarioPolitica!A:C,3,FALSE)</f>
        <v>0</v>
      </c>
      <c r="G1359" s="1">
        <v>1</v>
      </c>
      <c r="H1359" s="1">
        <v>1</v>
      </c>
      <c r="I1359" s="1">
        <f t="shared" si="109"/>
        <v>0</v>
      </c>
    </row>
    <row r="1360" spans="1:9" x14ac:dyDescent="0.25">
      <c r="A1360" s="26">
        <v>46650</v>
      </c>
      <c r="B1360" s="27">
        <f t="shared" si="105"/>
        <v>2027</v>
      </c>
      <c r="C1360" s="27">
        <f t="shared" si="106"/>
        <v>9</v>
      </c>
      <c r="D1360" s="27">
        <f t="shared" si="107"/>
        <v>20</v>
      </c>
      <c r="E1360" s="27">
        <f t="shared" si="108"/>
        <v>2</v>
      </c>
      <c r="F1360" s="27">
        <f>VLOOKUP(E1360,[2]t_calendarioPolitica!A:C,3,FALSE)</f>
        <v>1</v>
      </c>
      <c r="G1360" s="1">
        <v>1</v>
      </c>
      <c r="H1360" s="1">
        <v>1</v>
      </c>
      <c r="I1360" s="1">
        <f t="shared" si="109"/>
        <v>1</v>
      </c>
    </row>
    <row r="1361" spans="1:9" x14ac:dyDescent="0.25">
      <c r="A1361" s="26">
        <v>46651</v>
      </c>
      <c r="B1361" s="27">
        <f t="shared" si="105"/>
        <v>2027</v>
      </c>
      <c r="C1361" s="27">
        <f t="shared" si="106"/>
        <v>9</v>
      </c>
      <c r="D1361" s="27">
        <f t="shared" si="107"/>
        <v>21</v>
      </c>
      <c r="E1361" s="27">
        <f t="shared" si="108"/>
        <v>3</v>
      </c>
      <c r="F1361" s="27">
        <f>VLOOKUP(E1361,[2]t_calendarioPolitica!A:C,3,FALSE)</f>
        <v>1</v>
      </c>
      <c r="G1361" s="1">
        <v>1</v>
      </c>
      <c r="H1361" s="1">
        <v>1</v>
      </c>
      <c r="I1361" s="1">
        <f t="shared" si="109"/>
        <v>1</v>
      </c>
    </row>
    <row r="1362" spans="1:9" x14ac:dyDescent="0.25">
      <c r="A1362" s="26">
        <v>46652</v>
      </c>
      <c r="B1362" s="27">
        <f t="shared" si="105"/>
        <v>2027</v>
      </c>
      <c r="C1362" s="27">
        <f t="shared" si="106"/>
        <v>9</v>
      </c>
      <c r="D1362" s="27">
        <f t="shared" si="107"/>
        <v>22</v>
      </c>
      <c r="E1362" s="27">
        <f t="shared" si="108"/>
        <v>4</v>
      </c>
      <c r="F1362" s="27">
        <f>VLOOKUP(E1362,[2]t_calendarioPolitica!A:C,3,FALSE)</f>
        <v>1</v>
      </c>
      <c r="G1362" s="1">
        <v>1</v>
      </c>
      <c r="H1362" s="1">
        <v>1</v>
      </c>
      <c r="I1362" s="1">
        <f t="shared" si="109"/>
        <v>1</v>
      </c>
    </row>
    <row r="1363" spans="1:9" x14ac:dyDescent="0.25">
      <c r="A1363" s="26">
        <v>46653</v>
      </c>
      <c r="B1363" s="27">
        <f t="shared" si="105"/>
        <v>2027</v>
      </c>
      <c r="C1363" s="27">
        <f t="shared" si="106"/>
        <v>9</v>
      </c>
      <c r="D1363" s="27">
        <f t="shared" si="107"/>
        <v>23</v>
      </c>
      <c r="E1363" s="27">
        <f t="shared" si="108"/>
        <v>5</v>
      </c>
      <c r="F1363" s="27">
        <f>VLOOKUP(E1363,[2]t_calendarioPolitica!A:C,3,FALSE)</f>
        <v>1</v>
      </c>
      <c r="G1363" s="1">
        <v>1</v>
      </c>
      <c r="H1363" s="1">
        <v>1</v>
      </c>
      <c r="I1363" s="1">
        <f t="shared" si="109"/>
        <v>1</v>
      </c>
    </row>
    <row r="1364" spans="1:9" x14ac:dyDescent="0.25">
      <c r="A1364" s="26">
        <v>46654</v>
      </c>
      <c r="B1364" s="27">
        <f t="shared" si="105"/>
        <v>2027</v>
      </c>
      <c r="C1364" s="27">
        <f t="shared" si="106"/>
        <v>9</v>
      </c>
      <c r="D1364" s="27">
        <f t="shared" si="107"/>
        <v>24</v>
      </c>
      <c r="E1364" s="27">
        <f t="shared" si="108"/>
        <v>6</v>
      </c>
      <c r="F1364" s="27">
        <f>VLOOKUP(E1364,[2]t_calendarioPolitica!A:C,3,FALSE)</f>
        <v>1</v>
      </c>
      <c r="G1364" s="1">
        <v>1</v>
      </c>
      <c r="H1364" s="1">
        <v>1</v>
      </c>
      <c r="I1364" s="1">
        <f t="shared" si="109"/>
        <v>1</v>
      </c>
    </row>
    <row r="1365" spans="1:9" x14ac:dyDescent="0.25">
      <c r="A1365" s="26">
        <v>46655</v>
      </c>
      <c r="B1365" s="27">
        <f t="shared" si="105"/>
        <v>2027</v>
      </c>
      <c r="C1365" s="27">
        <f t="shared" si="106"/>
        <v>9</v>
      </c>
      <c r="D1365" s="27">
        <f t="shared" si="107"/>
        <v>25</v>
      </c>
      <c r="E1365" s="27">
        <f t="shared" si="108"/>
        <v>7</v>
      </c>
      <c r="F1365" s="27">
        <f>VLOOKUP(E1365,[2]t_calendarioPolitica!A:C,3,FALSE)</f>
        <v>2</v>
      </c>
      <c r="G1365" s="1">
        <v>1</v>
      </c>
      <c r="H1365" s="1">
        <v>1</v>
      </c>
      <c r="I1365" s="1">
        <f t="shared" si="109"/>
        <v>1</v>
      </c>
    </row>
    <row r="1366" spans="1:9" x14ac:dyDescent="0.25">
      <c r="A1366" s="26">
        <v>46656</v>
      </c>
      <c r="B1366" s="27">
        <f t="shared" si="105"/>
        <v>2027</v>
      </c>
      <c r="C1366" s="27">
        <f t="shared" si="106"/>
        <v>9</v>
      </c>
      <c r="D1366" s="27">
        <f t="shared" si="107"/>
        <v>26</v>
      </c>
      <c r="E1366" s="27">
        <f t="shared" si="108"/>
        <v>1</v>
      </c>
      <c r="F1366" s="27">
        <f>VLOOKUP(E1366,[2]t_calendarioPolitica!A:C,3,FALSE)</f>
        <v>0</v>
      </c>
      <c r="G1366" s="1">
        <v>1</v>
      </c>
      <c r="H1366" s="1">
        <v>1</v>
      </c>
      <c r="I1366" s="1">
        <f t="shared" si="109"/>
        <v>0</v>
      </c>
    </row>
    <row r="1367" spans="1:9" x14ac:dyDescent="0.25">
      <c r="A1367" s="26">
        <v>46657</v>
      </c>
      <c r="B1367" s="27">
        <f t="shared" si="105"/>
        <v>2027</v>
      </c>
      <c r="C1367" s="27">
        <f t="shared" si="106"/>
        <v>9</v>
      </c>
      <c r="D1367" s="27">
        <f t="shared" si="107"/>
        <v>27</v>
      </c>
      <c r="E1367" s="27">
        <f t="shared" si="108"/>
        <v>2</v>
      </c>
      <c r="F1367" s="27">
        <f>VLOOKUP(E1367,[2]t_calendarioPolitica!A:C,3,FALSE)</f>
        <v>1</v>
      </c>
      <c r="G1367" s="1">
        <v>1</v>
      </c>
      <c r="H1367" s="1">
        <v>1</v>
      </c>
      <c r="I1367" s="1">
        <f t="shared" si="109"/>
        <v>1</v>
      </c>
    </row>
    <row r="1368" spans="1:9" x14ac:dyDescent="0.25">
      <c r="A1368" s="26">
        <v>46658</v>
      </c>
      <c r="B1368" s="27">
        <f t="shared" si="105"/>
        <v>2027</v>
      </c>
      <c r="C1368" s="27">
        <f t="shared" si="106"/>
        <v>9</v>
      </c>
      <c r="D1368" s="27">
        <f t="shared" si="107"/>
        <v>28</v>
      </c>
      <c r="E1368" s="27">
        <f t="shared" si="108"/>
        <v>3</v>
      </c>
      <c r="F1368" s="27">
        <f>VLOOKUP(E1368,[2]t_calendarioPolitica!A:C,3,FALSE)</f>
        <v>1</v>
      </c>
      <c r="G1368" s="1">
        <v>1</v>
      </c>
      <c r="H1368" s="1">
        <v>1</v>
      </c>
      <c r="I1368" s="1">
        <f t="shared" si="109"/>
        <v>1</v>
      </c>
    </row>
    <row r="1369" spans="1:9" x14ac:dyDescent="0.25">
      <c r="A1369" s="26">
        <v>46659</v>
      </c>
      <c r="B1369" s="27">
        <f t="shared" si="105"/>
        <v>2027</v>
      </c>
      <c r="C1369" s="27">
        <f t="shared" si="106"/>
        <v>9</v>
      </c>
      <c r="D1369" s="27">
        <f t="shared" si="107"/>
        <v>29</v>
      </c>
      <c r="E1369" s="27">
        <f t="shared" si="108"/>
        <v>4</v>
      </c>
      <c r="F1369" s="27">
        <f>VLOOKUP(E1369,[2]t_calendarioPolitica!A:C,3,FALSE)</f>
        <v>1</v>
      </c>
      <c r="G1369" s="1">
        <v>1</v>
      </c>
      <c r="H1369" s="1">
        <v>1</v>
      </c>
      <c r="I1369" s="1">
        <f t="shared" si="109"/>
        <v>1</v>
      </c>
    </row>
    <row r="1370" spans="1:9" x14ac:dyDescent="0.25">
      <c r="A1370" s="26">
        <v>46660</v>
      </c>
      <c r="B1370" s="27">
        <f t="shared" si="105"/>
        <v>2027</v>
      </c>
      <c r="C1370" s="27">
        <f t="shared" si="106"/>
        <v>9</v>
      </c>
      <c r="D1370" s="27">
        <f t="shared" si="107"/>
        <v>30</v>
      </c>
      <c r="E1370" s="27">
        <f t="shared" si="108"/>
        <v>5</v>
      </c>
      <c r="F1370" s="27">
        <f>VLOOKUP(E1370,[2]t_calendarioPolitica!A:C,3,FALSE)</f>
        <v>1</v>
      </c>
      <c r="G1370" s="1">
        <v>1</v>
      </c>
      <c r="H1370" s="1">
        <v>1</v>
      </c>
      <c r="I1370" s="1">
        <f t="shared" si="109"/>
        <v>1</v>
      </c>
    </row>
    <row r="1371" spans="1:9" x14ac:dyDescent="0.25">
      <c r="A1371" s="26">
        <v>46661</v>
      </c>
      <c r="B1371" s="27">
        <f t="shared" si="105"/>
        <v>2027</v>
      </c>
      <c r="C1371" s="27">
        <f t="shared" si="106"/>
        <v>10</v>
      </c>
      <c r="D1371" s="27">
        <f t="shared" si="107"/>
        <v>1</v>
      </c>
      <c r="E1371" s="27">
        <f t="shared" si="108"/>
        <v>6</v>
      </c>
      <c r="F1371" s="27">
        <f>VLOOKUP(E1371,[2]t_calendarioPolitica!A:C,3,FALSE)</f>
        <v>1</v>
      </c>
      <c r="G1371" s="1">
        <v>1</v>
      </c>
      <c r="H1371" s="1">
        <v>1</v>
      </c>
      <c r="I1371" s="1">
        <f t="shared" si="109"/>
        <v>1</v>
      </c>
    </row>
    <row r="1372" spans="1:9" x14ac:dyDescent="0.25">
      <c r="A1372" s="26">
        <v>46662</v>
      </c>
      <c r="B1372" s="27">
        <f t="shared" si="105"/>
        <v>2027</v>
      </c>
      <c r="C1372" s="27">
        <f t="shared" si="106"/>
        <v>10</v>
      </c>
      <c r="D1372" s="27">
        <f t="shared" si="107"/>
        <v>2</v>
      </c>
      <c r="E1372" s="27">
        <f t="shared" si="108"/>
        <v>7</v>
      </c>
      <c r="F1372" s="27">
        <f>VLOOKUP(E1372,[2]t_calendarioPolitica!A:C,3,FALSE)</f>
        <v>2</v>
      </c>
      <c r="G1372" s="1">
        <v>1</v>
      </c>
      <c r="H1372" s="1">
        <v>1</v>
      </c>
      <c r="I1372" s="1">
        <f t="shared" si="109"/>
        <v>1</v>
      </c>
    </row>
    <row r="1373" spans="1:9" x14ac:dyDescent="0.25">
      <c r="A1373" s="26">
        <v>46663</v>
      </c>
      <c r="B1373" s="27">
        <f t="shared" si="105"/>
        <v>2027</v>
      </c>
      <c r="C1373" s="27">
        <f t="shared" si="106"/>
        <v>10</v>
      </c>
      <c r="D1373" s="27">
        <f t="shared" si="107"/>
        <v>3</v>
      </c>
      <c r="E1373" s="27">
        <f t="shared" si="108"/>
        <v>1</v>
      </c>
      <c r="F1373" s="27">
        <f>VLOOKUP(E1373,[2]t_calendarioPolitica!A:C,3,FALSE)</f>
        <v>0</v>
      </c>
      <c r="G1373" s="1">
        <v>1</v>
      </c>
      <c r="H1373" s="1">
        <v>1</v>
      </c>
      <c r="I1373" s="1">
        <f t="shared" si="109"/>
        <v>0</v>
      </c>
    </row>
    <row r="1374" spans="1:9" x14ac:dyDescent="0.25">
      <c r="A1374" s="26">
        <v>46664</v>
      </c>
      <c r="B1374" s="27">
        <f t="shared" si="105"/>
        <v>2027</v>
      </c>
      <c r="C1374" s="27">
        <f t="shared" si="106"/>
        <v>10</v>
      </c>
      <c r="D1374" s="27">
        <f t="shared" si="107"/>
        <v>4</v>
      </c>
      <c r="E1374" s="27">
        <f t="shared" si="108"/>
        <v>2</v>
      </c>
      <c r="F1374" s="27">
        <f>VLOOKUP(E1374,[2]t_calendarioPolitica!A:C,3,FALSE)</f>
        <v>1</v>
      </c>
      <c r="G1374" s="1">
        <v>1</v>
      </c>
      <c r="H1374" s="1">
        <v>1</v>
      </c>
      <c r="I1374" s="1">
        <f t="shared" si="109"/>
        <v>1</v>
      </c>
    </row>
    <row r="1375" spans="1:9" x14ac:dyDescent="0.25">
      <c r="A1375" s="26">
        <v>46665</v>
      </c>
      <c r="B1375" s="27">
        <f t="shared" si="105"/>
        <v>2027</v>
      </c>
      <c r="C1375" s="27">
        <f t="shared" si="106"/>
        <v>10</v>
      </c>
      <c r="D1375" s="27">
        <f t="shared" si="107"/>
        <v>5</v>
      </c>
      <c r="E1375" s="27">
        <f t="shared" si="108"/>
        <v>3</v>
      </c>
      <c r="F1375" s="27">
        <f>VLOOKUP(E1375,[2]t_calendarioPolitica!A:C,3,FALSE)</f>
        <v>1</v>
      </c>
      <c r="G1375" s="1">
        <v>1</v>
      </c>
      <c r="H1375" s="1">
        <v>1</v>
      </c>
      <c r="I1375" s="1">
        <f t="shared" si="109"/>
        <v>1</v>
      </c>
    </row>
    <row r="1376" spans="1:9" x14ac:dyDescent="0.25">
      <c r="A1376" s="26">
        <v>46666</v>
      </c>
      <c r="B1376" s="27">
        <f t="shared" si="105"/>
        <v>2027</v>
      </c>
      <c r="C1376" s="27">
        <f t="shared" si="106"/>
        <v>10</v>
      </c>
      <c r="D1376" s="27">
        <f t="shared" si="107"/>
        <v>6</v>
      </c>
      <c r="E1376" s="27">
        <f t="shared" si="108"/>
        <v>4</v>
      </c>
      <c r="F1376" s="27">
        <f>VLOOKUP(E1376,[2]t_calendarioPolitica!A:C,3,FALSE)</f>
        <v>1</v>
      </c>
      <c r="G1376" s="1">
        <v>1</v>
      </c>
      <c r="H1376" s="1">
        <v>1</v>
      </c>
      <c r="I1376" s="1">
        <f t="shared" si="109"/>
        <v>1</v>
      </c>
    </row>
    <row r="1377" spans="1:9" x14ac:dyDescent="0.25">
      <c r="A1377" s="26">
        <v>46667</v>
      </c>
      <c r="B1377" s="27">
        <f t="shared" si="105"/>
        <v>2027</v>
      </c>
      <c r="C1377" s="27">
        <f t="shared" si="106"/>
        <v>10</v>
      </c>
      <c r="D1377" s="27">
        <f t="shared" si="107"/>
        <v>7</v>
      </c>
      <c r="E1377" s="27">
        <f t="shared" si="108"/>
        <v>5</v>
      </c>
      <c r="F1377" s="27">
        <f>VLOOKUP(E1377,[2]t_calendarioPolitica!A:C,3,FALSE)</f>
        <v>1</v>
      </c>
      <c r="G1377" s="1">
        <v>1</v>
      </c>
      <c r="H1377" s="1">
        <v>1</v>
      </c>
      <c r="I1377" s="1">
        <f t="shared" si="109"/>
        <v>1</v>
      </c>
    </row>
    <row r="1378" spans="1:9" x14ac:dyDescent="0.25">
      <c r="A1378" s="26">
        <v>46668</v>
      </c>
      <c r="B1378" s="27">
        <f t="shared" si="105"/>
        <v>2027</v>
      </c>
      <c r="C1378" s="27">
        <f t="shared" si="106"/>
        <v>10</v>
      </c>
      <c r="D1378" s="27">
        <f t="shared" si="107"/>
        <v>8</v>
      </c>
      <c r="E1378" s="27">
        <f t="shared" si="108"/>
        <v>6</v>
      </c>
      <c r="F1378" s="27">
        <f>VLOOKUP(E1378,[2]t_calendarioPolitica!A:C,3,FALSE)</f>
        <v>1</v>
      </c>
      <c r="G1378" s="1">
        <v>1</v>
      </c>
      <c r="H1378" s="1">
        <v>1</v>
      </c>
      <c r="I1378" s="1">
        <f t="shared" si="109"/>
        <v>1</v>
      </c>
    </row>
    <row r="1379" spans="1:9" x14ac:dyDescent="0.25">
      <c r="A1379" s="26">
        <v>46669</v>
      </c>
      <c r="B1379" s="27">
        <f t="shared" si="105"/>
        <v>2027</v>
      </c>
      <c r="C1379" s="27">
        <f t="shared" si="106"/>
        <v>10</v>
      </c>
      <c r="D1379" s="27">
        <f t="shared" si="107"/>
        <v>9</v>
      </c>
      <c r="E1379" s="27">
        <f t="shared" si="108"/>
        <v>7</v>
      </c>
      <c r="F1379" s="27">
        <f>VLOOKUP(E1379,[2]t_calendarioPolitica!A:C,3,FALSE)</f>
        <v>2</v>
      </c>
      <c r="G1379" s="1">
        <v>1</v>
      </c>
      <c r="H1379" s="1">
        <v>1</v>
      </c>
      <c r="I1379" s="1">
        <f t="shared" si="109"/>
        <v>1</v>
      </c>
    </row>
    <row r="1380" spans="1:9" x14ac:dyDescent="0.25">
      <c r="A1380" s="26">
        <v>46670</v>
      </c>
      <c r="B1380" s="27">
        <f t="shared" si="105"/>
        <v>2027</v>
      </c>
      <c r="C1380" s="27">
        <f t="shared" si="106"/>
        <v>10</v>
      </c>
      <c r="D1380" s="27">
        <f t="shared" si="107"/>
        <v>10</v>
      </c>
      <c r="E1380" s="27">
        <f t="shared" si="108"/>
        <v>1</v>
      </c>
      <c r="F1380" s="27">
        <f>VLOOKUP(E1380,[2]t_calendarioPolitica!A:C,3,FALSE)</f>
        <v>0</v>
      </c>
      <c r="G1380" s="1">
        <v>1</v>
      </c>
      <c r="H1380" s="1">
        <v>1</v>
      </c>
      <c r="I1380" s="1">
        <f t="shared" si="109"/>
        <v>0</v>
      </c>
    </row>
    <row r="1381" spans="1:9" x14ac:dyDescent="0.25">
      <c r="A1381" s="26">
        <v>46671</v>
      </c>
      <c r="B1381" s="27">
        <f t="shared" si="105"/>
        <v>2027</v>
      </c>
      <c r="C1381" s="27">
        <f t="shared" si="106"/>
        <v>10</v>
      </c>
      <c r="D1381" s="27">
        <f t="shared" si="107"/>
        <v>11</v>
      </c>
      <c r="E1381" s="27">
        <f t="shared" si="108"/>
        <v>2</v>
      </c>
      <c r="F1381" s="27">
        <f>VLOOKUP(E1381,[2]t_calendarioPolitica!A:C,3,FALSE)</f>
        <v>1</v>
      </c>
      <c r="G1381" s="1">
        <v>1</v>
      </c>
      <c r="H1381" s="1">
        <v>1</v>
      </c>
      <c r="I1381" s="1">
        <f t="shared" si="109"/>
        <v>1</v>
      </c>
    </row>
    <row r="1382" spans="1:9" x14ac:dyDescent="0.25">
      <c r="A1382" s="26">
        <v>46672</v>
      </c>
      <c r="B1382" s="27">
        <f t="shared" si="105"/>
        <v>2027</v>
      </c>
      <c r="C1382" s="27">
        <f t="shared" si="106"/>
        <v>10</v>
      </c>
      <c r="D1382" s="27">
        <f t="shared" si="107"/>
        <v>12</v>
      </c>
      <c r="E1382" s="27">
        <f t="shared" si="108"/>
        <v>3</v>
      </c>
      <c r="F1382" s="27">
        <f>VLOOKUP(E1382,[2]t_calendarioPolitica!A:C,3,FALSE)</f>
        <v>1</v>
      </c>
      <c r="G1382" s="1">
        <v>1</v>
      </c>
      <c r="H1382" s="1">
        <v>1</v>
      </c>
      <c r="I1382" s="1">
        <f t="shared" si="109"/>
        <v>1</v>
      </c>
    </row>
    <row r="1383" spans="1:9" x14ac:dyDescent="0.25">
      <c r="A1383" s="26">
        <v>46673</v>
      </c>
      <c r="B1383" s="27">
        <f t="shared" si="105"/>
        <v>2027</v>
      </c>
      <c r="C1383" s="27">
        <f t="shared" si="106"/>
        <v>10</v>
      </c>
      <c r="D1383" s="27">
        <f t="shared" si="107"/>
        <v>13</v>
      </c>
      <c r="E1383" s="27">
        <f t="shared" si="108"/>
        <v>4</v>
      </c>
      <c r="F1383" s="27">
        <f>VLOOKUP(E1383,[2]t_calendarioPolitica!A:C,3,FALSE)</f>
        <v>1</v>
      </c>
      <c r="G1383" s="1">
        <v>1</v>
      </c>
      <c r="H1383" s="1">
        <v>1</v>
      </c>
      <c r="I1383" s="1">
        <f t="shared" si="109"/>
        <v>1</v>
      </c>
    </row>
    <row r="1384" spans="1:9" x14ac:dyDescent="0.25">
      <c r="A1384" s="26">
        <v>46674</v>
      </c>
      <c r="B1384" s="27">
        <f t="shared" si="105"/>
        <v>2027</v>
      </c>
      <c r="C1384" s="27">
        <f t="shared" si="106"/>
        <v>10</v>
      </c>
      <c r="D1384" s="27">
        <f t="shared" si="107"/>
        <v>14</v>
      </c>
      <c r="E1384" s="27">
        <f t="shared" si="108"/>
        <v>5</v>
      </c>
      <c r="F1384" s="27">
        <f>VLOOKUP(E1384,[2]t_calendarioPolitica!A:C,3,FALSE)</f>
        <v>1</v>
      </c>
      <c r="G1384" s="1">
        <v>1</v>
      </c>
      <c r="H1384" s="1">
        <v>1</v>
      </c>
      <c r="I1384" s="1">
        <f t="shared" si="109"/>
        <v>1</v>
      </c>
    </row>
    <row r="1385" spans="1:9" x14ac:dyDescent="0.25">
      <c r="A1385" s="26">
        <v>46675</v>
      </c>
      <c r="B1385" s="27">
        <f t="shared" si="105"/>
        <v>2027</v>
      </c>
      <c r="C1385" s="27">
        <f t="shared" si="106"/>
        <v>10</v>
      </c>
      <c r="D1385" s="27">
        <f t="shared" si="107"/>
        <v>15</v>
      </c>
      <c r="E1385" s="27">
        <f t="shared" si="108"/>
        <v>6</v>
      </c>
      <c r="F1385" s="27">
        <f>VLOOKUP(E1385,[2]t_calendarioPolitica!A:C,3,FALSE)</f>
        <v>1</v>
      </c>
      <c r="G1385" s="1">
        <v>1</v>
      </c>
      <c r="H1385" s="1">
        <v>1</v>
      </c>
      <c r="I1385" s="1">
        <f t="shared" si="109"/>
        <v>1</v>
      </c>
    </row>
    <row r="1386" spans="1:9" x14ac:dyDescent="0.25">
      <c r="A1386" s="26">
        <v>46676</v>
      </c>
      <c r="B1386" s="27">
        <f t="shared" si="105"/>
        <v>2027</v>
      </c>
      <c r="C1386" s="27">
        <f t="shared" si="106"/>
        <v>10</v>
      </c>
      <c r="D1386" s="27">
        <f t="shared" si="107"/>
        <v>16</v>
      </c>
      <c r="E1386" s="27">
        <f t="shared" si="108"/>
        <v>7</v>
      </c>
      <c r="F1386" s="27">
        <f>VLOOKUP(E1386,[2]t_calendarioPolitica!A:C,3,FALSE)</f>
        <v>2</v>
      </c>
      <c r="G1386" s="1">
        <v>1</v>
      </c>
      <c r="H1386" s="1">
        <v>1</v>
      </c>
      <c r="I1386" s="1">
        <f t="shared" si="109"/>
        <v>1</v>
      </c>
    </row>
    <row r="1387" spans="1:9" x14ac:dyDescent="0.25">
      <c r="A1387" s="26">
        <v>46677</v>
      </c>
      <c r="B1387" s="27">
        <f t="shared" si="105"/>
        <v>2027</v>
      </c>
      <c r="C1387" s="27">
        <f t="shared" si="106"/>
        <v>10</v>
      </c>
      <c r="D1387" s="27">
        <f t="shared" si="107"/>
        <v>17</v>
      </c>
      <c r="E1387" s="27">
        <f t="shared" si="108"/>
        <v>1</v>
      </c>
      <c r="F1387" s="27">
        <f>VLOOKUP(E1387,[2]t_calendarioPolitica!A:C,3,FALSE)</f>
        <v>0</v>
      </c>
      <c r="G1387" s="1">
        <v>1</v>
      </c>
      <c r="H1387" s="1">
        <v>1</v>
      </c>
      <c r="I1387" s="1">
        <f t="shared" si="109"/>
        <v>0</v>
      </c>
    </row>
    <row r="1388" spans="1:9" x14ac:dyDescent="0.25">
      <c r="A1388" s="26">
        <v>46678</v>
      </c>
      <c r="B1388" s="27">
        <f t="shared" si="105"/>
        <v>2027</v>
      </c>
      <c r="C1388" s="27">
        <f t="shared" si="106"/>
        <v>10</v>
      </c>
      <c r="D1388" s="27">
        <f t="shared" si="107"/>
        <v>18</v>
      </c>
      <c r="E1388" s="27">
        <f t="shared" si="108"/>
        <v>2</v>
      </c>
      <c r="F1388" s="27">
        <f>VLOOKUP(E1388,[2]t_calendarioPolitica!A:C,3,FALSE)</f>
        <v>1</v>
      </c>
      <c r="G1388" s="1">
        <v>1</v>
      </c>
      <c r="H1388" s="1">
        <v>1</v>
      </c>
      <c r="I1388" s="1">
        <f t="shared" si="109"/>
        <v>1</v>
      </c>
    </row>
    <row r="1389" spans="1:9" x14ac:dyDescent="0.25">
      <c r="A1389" s="26">
        <v>46679</v>
      </c>
      <c r="B1389" s="27">
        <f t="shared" si="105"/>
        <v>2027</v>
      </c>
      <c r="C1389" s="27">
        <f t="shared" si="106"/>
        <v>10</v>
      </c>
      <c r="D1389" s="27">
        <f t="shared" si="107"/>
        <v>19</v>
      </c>
      <c r="E1389" s="27">
        <f t="shared" si="108"/>
        <v>3</v>
      </c>
      <c r="F1389" s="27">
        <f>VLOOKUP(E1389,[2]t_calendarioPolitica!A:C,3,FALSE)</f>
        <v>1</v>
      </c>
      <c r="G1389" s="1">
        <v>1</v>
      </c>
      <c r="H1389" s="1">
        <v>1</v>
      </c>
      <c r="I1389" s="1">
        <f t="shared" si="109"/>
        <v>1</v>
      </c>
    </row>
    <row r="1390" spans="1:9" x14ac:dyDescent="0.25">
      <c r="A1390" s="26">
        <v>46680</v>
      </c>
      <c r="B1390" s="27">
        <f t="shared" si="105"/>
        <v>2027</v>
      </c>
      <c r="C1390" s="27">
        <f t="shared" si="106"/>
        <v>10</v>
      </c>
      <c r="D1390" s="27">
        <f t="shared" si="107"/>
        <v>20</v>
      </c>
      <c r="E1390" s="27">
        <f t="shared" si="108"/>
        <v>4</v>
      </c>
      <c r="F1390" s="27">
        <f>VLOOKUP(E1390,[2]t_calendarioPolitica!A:C,3,FALSE)</f>
        <v>1</v>
      </c>
      <c r="G1390" s="1">
        <v>1</v>
      </c>
      <c r="H1390" s="1">
        <v>1</v>
      </c>
      <c r="I1390" s="1">
        <f t="shared" si="109"/>
        <v>1</v>
      </c>
    </row>
    <row r="1391" spans="1:9" x14ac:dyDescent="0.25">
      <c r="A1391" s="26">
        <v>46681</v>
      </c>
      <c r="B1391" s="27">
        <f t="shared" si="105"/>
        <v>2027</v>
      </c>
      <c r="C1391" s="27">
        <f t="shared" si="106"/>
        <v>10</v>
      </c>
      <c r="D1391" s="27">
        <f t="shared" si="107"/>
        <v>21</v>
      </c>
      <c r="E1391" s="27">
        <f t="shared" si="108"/>
        <v>5</v>
      </c>
      <c r="F1391" s="27">
        <f>VLOOKUP(E1391,[2]t_calendarioPolitica!A:C,3,FALSE)</f>
        <v>1</v>
      </c>
      <c r="G1391" s="1">
        <v>1</v>
      </c>
      <c r="H1391" s="1">
        <v>1</v>
      </c>
      <c r="I1391" s="1">
        <f t="shared" si="109"/>
        <v>1</v>
      </c>
    </row>
    <row r="1392" spans="1:9" x14ac:dyDescent="0.25">
      <c r="A1392" s="26">
        <v>46682</v>
      </c>
      <c r="B1392" s="27">
        <f t="shared" si="105"/>
        <v>2027</v>
      </c>
      <c r="C1392" s="27">
        <f t="shared" si="106"/>
        <v>10</v>
      </c>
      <c r="D1392" s="27">
        <f t="shared" si="107"/>
        <v>22</v>
      </c>
      <c r="E1392" s="27">
        <f t="shared" si="108"/>
        <v>6</v>
      </c>
      <c r="F1392" s="27">
        <f>VLOOKUP(E1392,[2]t_calendarioPolitica!A:C,3,FALSE)</f>
        <v>1</v>
      </c>
      <c r="G1392" s="1">
        <v>1</v>
      </c>
      <c r="H1392" s="1">
        <v>1</v>
      </c>
      <c r="I1392" s="1">
        <f t="shared" si="109"/>
        <v>1</v>
      </c>
    </row>
    <row r="1393" spans="1:9" x14ac:dyDescent="0.25">
      <c r="A1393" s="26">
        <v>46683</v>
      </c>
      <c r="B1393" s="27">
        <f t="shared" si="105"/>
        <v>2027</v>
      </c>
      <c r="C1393" s="27">
        <f t="shared" si="106"/>
        <v>10</v>
      </c>
      <c r="D1393" s="27">
        <f t="shared" si="107"/>
        <v>23</v>
      </c>
      <c r="E1393" s="27">
        <f t="shared" si="108"/>
        <v>7</v>
      </c>
      <c r="F1393" s="27">
        <f>VLOOKUP(E1393,[2]t_calendarioPolitica!A:C,3,FALSE)</f>
        <v>2</v>
      </c>
      <c r="G1393" s="1">
        <v>1</v>
      </c>
      <c r="H1393" s="1">
        <v>1</v>
      </c>
      <c r="I1393" s="1">
        <f t="shared" si="109"/>
        <v>1</v>
      </c>
    </row>
    <row r="1394" spans="1:9" x14ac:dyDescent="0.25">
      <c r="A1394" s="26">
        <v>46684</v>
      </c>
      <c r="B1394" s="27">
        <f t="shared" si="105"/>
        <v>2027</v>
      </c>
      <c r="C1394" s="27">
        <f t="shared" si="106"/>
        <v>10</v>
      </c>
      <c r="D1394" s="27">
        <f t="shared" si="107"/>
        <v>24</v>
      </c>
      <c r="E1394" s="27">
        <f t="shared" si="108"/>
        <v>1</v>
      </c>
      <c r="F1394" s="27">
        <f>VLOOKUP(E1394,[2]t_calendarioPolitica!A:C,3,FALSE)</f>
        <v>0</v>
      </c>
      <c r="G1394" s="1">
        <v>1</v>
      </c>
      <c r="H1394" s="1">
        <v>1</v>
      </c>
      <c r="I1394" s="1">
        <f t="shared" si="109"/>
        <v>0</v>
      </c>
    </row>
    <row r="1395" spans="1:9" x14ac:dyDescent="0.25">
      <c r="A1395" s="26">
        <v>46685</v>
      </c>
      <c r="B1395" s="27">
        <f t="shared" si="105"/>
        <v>2027</v>
      </c>
      <c r="C1395" s="27">
        <f t="shared" si="106"/>
        <v>10</v>
      </c>
      <c r="D1395" s="27">
        <f t="shared" si="107"/>
        <v>25</v>
      </c>
      <c r="E1395" s="27">
        <f t="shared" si="108"/>
        <v>2</v>
      </c>
      <c r="F1395" s="27">
        <f>VLOOKUP(E1395,[2]t_calendarioPolitica!A:C,3,FALSE)</f>
        <v>1</v>
      </c>
      <c r="G1395" s="1">
        <v>1</v>
      </c>
      <c r="H1395" s="1">
        <v>1</v>
      </c>
      <c r="I1395" s="1">
        <f t="shared" si="109"/>
        <v>1</v>
      </c>
    </row>
    <row r="1396" spans="1:9" x14ac:dyDescent="0.25">
      <c r="A1396" s="26">
        <v>46686</v>
      </c>
      <c r="B1396" s="27">
        <f t="shared" si="105"/>
        <v>2027</v>
      </c>
      <c r="C1396" s="27">
        <f t="shared" si="106"/>
        <v>10</v>
      </c>
      <c r="D1396" s="27">
        <f t="shared" si="107"/>
        <v>26</v>
      </c>
      <c r="E1396" s="27">
        <f t="shared" si="108"/>
        <v>3</v>
      </c>
      <c r="F1396" s="27">
        <f>VLOOKUP(E1396,[2]t_calendarioPolitica!A:C,3,FALSE)</f>
        <v>1</v>
      </c>
      <c r="G1396" s="1">
        <v>1</v>
      </c>
      <c r="H1396" s="1">
        <v>1</v>
      </c>
      <c r="I1396" s="1">
        <f t="shared" si="109"/>
        <v>1</v>
      </c>
    </row>
    <row r="1397" spans="1:9" x14ac:dyDescent="0.25">
      <c r="A1397" s="26">
        <v>46687</v>
      </c>
      <c r="B1397" s="27">
        <f t="shared" si="105"/>
        <v>2027</v>
      </c>
      <c r="C1397" s="27">
        <f t="shared" si="106"/>
        <v>10</v>
      </c>
      <c r="D1397" s="27">
        <f t="shared" si="107"/>
        <v>27</v>
      </c>
      <c r="E1397" s="27">
        <f t="shared" si="108"/>
        <v>4</v>
      </c>
      <c r="F1397" s="27">
        <f>VLOOKUP(E1397,[2]t_calendarioPolitica!A:C,3,FALSE)</f>
        <v>1</v>
      </c>
      <c r="G1397" s="1">
        <v>1</v>
      </c>
      <c r="H1397" s="1">
        <v>1</v>
      </c>
      <c r="I1397" s="1">
        <f t="shared" si="109"/>
        <v>1</v>
      </c>
    </row>
    <row r="1398" spans="1:9" x14ac:dyDescent="0.25">
      <c r="A1398" s="26">
        <v>46688</v>
      </c>
      <c r="B1398" s="27">
        <f t="shared" si="105"/>
        <v>2027</v>
      </c>
      <c r="C1398" s="27">
        <f t="shared" si="106"/>
        <v>10</v>
      </c>
      <c r="D1398" s="27">
        <f t="shared" si="107"/>
        <v>28</v>
      </c>
      <c r="E1398" s="27">
        <f t="shared" si="108"/>
        <v>5</v>
      </c>
      <c r="F1398" s="27">
        <f>VLOOKUP(E1398,[2]t_calendarioPolitica!A:C,3,FALSE)</f>
        <v>1</v>
      </c>
      <c r="G1398" s="1">
        <v>1</v>
      </c>
      <c r="H1398" s="1">
        <v>1</v>
      </c>
      <c r="I1398" s="1">
        <f t="shared" si="109"/>
        <v>1</v>
      </c>
    </row>
    <row r="1399" spans="1:9" x14ac:dyDescent="0.25">
      <c r="A1399" s="26">
        <v>46689</v>
      </c>
      <c r="B1399" s="27">
        <f t="shared" si="105"/>
        <v>2027</v>
      </c>
      <c r="C1399" s="27">
        <f t="shared" si="106"/>
        <v>10</v>
      </c>
      <c r="D1399" s="27">
        <f t="shared" si="107"/>
        <v>29</v>
      </c>
      <c r="E1399" s="27">
        <f t="shared" si="108"/>
        <v>6</v>
      </c>
      <c r="F1399" s="27">
        <f>VLOOKUP(E1399,[2]t_calendarioPolitica!A:C,3,FALSE)</f>
        <v>1</v>
      </c>
      <c r="G1399" s="1">
        <v>1</v>
      </c>
      <c r="H1399" s="1">
        <v>1</v>
      </c>
      <c r="I1399" s="1">
        <f t="shared" si="109"/>
        <v>1</v>
      </c>
    </row>
    <row r="1400" spans="1:9" x14ac:dyDescent="0.25">
      <c r="A1400" s="26">
        <v>46690</v>
      </c>
      <c r="B1400" s="27">
        <f t="shared" si="105"/>
        <v>2027</v>
      </c>
      <c r="C1400" s="27">
        <f t="shared" si="106"/>
        <v>10</v>
      </c>
      <c r="D1400" s="27">
        <f t="shared" si="107"/>
        <v>30</v>
      </c>
      <c r="E1400" s="27">
        <f t="shared" si="108"/>
        <v>7</v>
      </c>
      <c r="F1400" s="27">
        <f>VLOOKUP(E1400,[2]t_calendarioPolitica!A:C,3,FALSE)</f>
        <v>2</v>
      </c>
      <c r="G1400" s="1">
        <v>1</v>
      </c>
      <c r="H1400" s="1">
        <v>1</v>
      </c>
      <c r="I1400" s="1">
        <f t="shared" si="109"/>
        <v>1</v>
      </c>
    </row>
    <row r="1401" spans="1:9" x14ac:dyDescent="0.25">
      <c r="A1401" s="26">
        <v>46691</v>
      </c>
      <c r="B1401" s="27">
        <f t="shared" si="105"/>
        <v>2027</v>
      </c>
      <c r="C1401" s="27">
        <f t="shared" si="106"/>
        <v>10</v>
      </c>
      <c r="D1401" s="27">
        <f t="shared" si="107"/>
        <v>31</v>
      </c>
      <c r="E1401" s="27">
        <f t="shared" si="108"/>
        <v>1</v>
      </c>
      <c r="F1401" s="27">
        <f>VLOOKUP(E1401,[2]t_calendarioPolitica!A:C,3,FALSE)</f>
        <v>0</v>
      </c>
      <c r="G1401" s="1">
        <v>1</v>
      </c>
      <c r="H1401" s="1">
        <v>1</v>
      </c>
      <c r="I1401" s="1">
        <f t="shared" si="109"/>
        <v>0</v>
      </c>
    </row>
    <row r="1402" spans="1:9" x14ac:dyDescent="0.25">
      <c r="A1402" s="26">
        <v>46692</v>
      </c>
      <c r="B1402" s="27">
        <f t="shared" si="105"/>
        <v>2027</v>
      </c>
      <c r="C1402" s="27">
        <f t="shared" si="106"/>
        <v>11</v>
      </c>
      <c r="D1402" s="27">
        <f t="shared" si="107"/>
        <v>1</v>
      </c>
      <c r="E1402" s="27">
        <f t="shared" si="108"/>
        <v>2</v>
      </c>
      <c r="F1402" s="27">
        <f>VLOOKUP(E1402,[2]t_calendarioPolitica!A:C,3,FALSE)</f>
        <v>1</v>
      </c>
      <c r="G1402" s="1">
        <v>1</v>
      </c>
      <c r="H1402" s="1">
        <v>1</v>
      </c>
      <c r="I1402" s="1">
        <f t="shared" si="109"/>
        <v>1</v>
      </c>
    </row>
    <row r="1403" spans="1:9" x14ac:dyDescent="0.25">
      <c r="A1403" s="26">
        <v>46693</v>
      </c>
      <c r="B1403" s="27">
        <f t="shared" si="105"/>
        <v>2027</v>
      </c>
      <c r="C1403" s="27">
        <f t="shared" si="106"/>
        <v>11</v>
      </c>
      <c r="D1403" s="27">
        <f t="shared" si="107"/>
        <v>2</v>
      </c>
      <c r="E1403" s="27">
        <f t="shared" si="108"/>
        <v>3</v>
      </c>
      <c r="F1403" s="27">
        <f>VLOOKUP(E1403,[2]t_calendarioPolitica!A:C,3,FALSE)</f>
        <v>1</v>
      </c>
      <c r="G1403" s="1">
        <v>1</v>
      </c>
      <c r="H1403" s="1">
        <v>0</v>
      </c>
      <c r="I1403" s="1">
        <f t="shared" si="109"/>
        <v>0</v>
      </c>
    </row>
    <row r="1404" spans="1:9" x14ac:dyDescent="0.25">
      <c r="A1404" s="26">
        <v>46694</v>
      </c>
      <c r="B1404" s="27">
        <f t="shared" si="105"/>
        <v>2027</v>
      </c>
      <c r="C1404" s="27">
        <f t="shared" si="106"/>
        <v>11</v>
      </c>
      <c r="D1404" s="27">
        <f t="shared" si="107"/>
        <v>3</v>
      </c>
      <c r="E1404" s="27">
        <f t="shared" si="108"/>
        <v>4</v>
      </c>
      <c r="F1404" s="27">
        <f>VLOOKUP(E1404,[2]t_calendarioPolitica!A:C,3,FALSE)</f>
        <v>1</v>
      </c>
      <c r="G1404" s="1">
        <v>1</v>
      </c>
      <c r="H1404" s="1">
        <v>1</v>
      </c>
      <c r="I1404" s="1">
        <f t="shared" si="109"/>
        <v>1</v>
      </c>
    </row>
    <row r="1405" spans="1:9" x14ac:dyDescent="0.25">
      <c r="A1405" s="26">
        <v>46695</v>
      </c>
      <c r="B1405" s="27">
        <f t="shared" si="105"/>
        <v>2027</v>
      </c>
      <c r="C1405" s="27">
        <f t="shared" si="106"/>
        <v>11</v>
      </c>
      <c r="D1405" s="27">
        <f t="shared" si="107"/>
        <v>4</v>
      </c>
      <c r="E1405" s="27">
        <f t="shared" si="108"/>
        <v>5</v>
      </c>
      <c r="F1405" s="27">
        <f>VLOOKUP(E1405,[2]t_calendarioPolitica!A:C,3,FALSE)</f>
        <v>1</v>
      </c>
      <c r="G1405" s="1">
        <v>1</v>
      </c>
      <c r="H1405" s="1">
        <v>1</v>
      </c>
      <c r="I1405" s="1">
        <f t="shared" si="109"/>
        <v>1</v>
      </c>
    </row>
    <row r="1406" spans="1:9" x14ac:dyDescent="0.25">
      <c r="A1406" s="26">
        <v>46696</v>
      </c>
      <c r="B1406" s="27">
        <f t="shared" si="105"/>
        <v>2027</v>
      </c>
      <c r="C1406" s="27">
        <f t="shared" si="106"/>
        <v>11</v>
      </c>
      <c r="D1406" s="27">
        <f t="shared" si="107"/>
        <v>5</v>
      </c>
      <c r="E1406" s="27">
        <f t="shared" si="108"/>
        <v>6</v>
      </c>
      <c r="F1406" s="27">
        <f>VLOOKUP(E1406,[2]t_calendarioPolitica!A:C,3,FALSE)</f>
        <v>1</v>
      </c>
      <c r="G1406" s="1">
        <v>1</v>
      </c>
      <c r="H1406" s="1">
        <v>1</v>
      </c>
      <c r="I1406" s="1">
        <f t="shared" si="109"/>
        <v>1</v>
      </c>
    </row>
    <row r="1407" spans="1:9" x14ac:dyDescent="0.25">
      <c r="A1407" s="26">
        <v>46697</v>
      </c>
      <c r="B1407" s="27">
        <f t="shared" si="105"/>
        <v>2027</v>
      </c>
      <c r="C1407" s="27">
        <f t="shared" si="106"/>
        <v>11</v>
      </c>
      <c r="D1407" s="27">
        <f t="shared" si="107"/>
        <v>6</v>
      </c>
      <c r="E1407" s="27">
        <f t="shared" si="108"/>
        <v>7</v>
      </c>
      <c r="F1407" s="27">
        <f>VLOOKUP(E1407,[2]t_calendarioPolitica!A:C,3,FALSE)</f>
        <v>2</v>
      </c>
      <c r="G1407" s="1">
        <v>1</v>
      </c>
      <c r="H1407" s="1">
        <v>1</v>
      </c>
      <c r="I1407" s="1">
        <f t="shared" si="109"/>
        <v>1</v>
      </c>
    </row>
    <row r="1408" spans="1:9" x14ac:dyDescent="0.25">
      <c r="A1408" s="26">
        <v>46698</v>
      </c>
      <c r="B1408" s="27">
        <f t="shared" si="105"/>
        <v>2027</v>
      </c>
      <c r="C1408" s="27">
        <f t="shared" si="106"/>
        <v>11</v>
      </c>
      <c r="D1408" s="27">
        <f t="shared" si="107"/>
        <v>7</v>
      </c>
      <c r="E1408" s="27">
        <f t="shared" si="108"/>
        <v>1</v>
      </c>
      <c r="F1408" s="27">
        <f>VLOOKUP(E1408,[2]t_calendarioPolitica!A:C,3,FALSE)</f>
        <v>0</v>
      </c>
      <c r="G1408" s="1">
        <v>1</v>
      </c>
      <c r="H1408" s="1">
        <v>1</v>
      </c>
      <c r="I1408" s="1">
        <f t="shared" si="109"/>
        <v>0</v>
      </c>
    </row>
    <row r="1409" spans="1:9" x14ac:dyDescent="0.25">
      <c r="A1409" s="26">
        <v>46699</v>
      </c>
      <c r="B1409" s="27">
        <f t="shared" si="105"/>
        <v>2027</v>
      </c>
      <c r="C1409" s="27">
        <f t="shared" si="106"/>
        <v>11</v>
      </c>
      <c r="D1409" s="27">
        <f t="shared" si="107"/>
        <v>8</v>
      </c>
      <c r="E1409" s="27">
        <f t="shared" si="108"/>
        <v>2</v>
      </c>
      <c r="F1409" s="27">
        <f>VLOOKUP(E1409,[2]t_calendarioPolitica!A:C,3,FALSE)</f>
        <v>1</v>
      </c>
      <c r="G1409" s="1">
        <v>1</v>
      </c>
      <c r="H1409" s="1">
        <v>1</v>
      </c>
      <c r="I1409" s="1">
        <f t="shared" si="109"/>
        <v>1</v>
      </c>
    </row>
    <row r="1410" spans="1:9" x14ac:dyDescent="0.25">
      <c r="A1410" s="26">
        <v>46700</v>
      </c>
      <c r="B1410" s="27">
        <f t="shared" si="105"/>
        <v>2027</v>
      </c>
      <c r="C1410" s="27">
        <f t="shared" si="106"/>
        <v>11</v>
      </c>
      <c r="D1410" s="27">
        <f t="shared" si="107"/>
        <v>9</v>
      </c>
      <c r="E1410" s="27">
        <f t="shared" si="108"/>
        <v>3</v>
      </c>
      <c r="F1410" s="27">
        <f>VLOOKUP(E1410,[2]t_calendarioPolitica!A:C,3,FALSE)</f>
        <v>1</v>
      </c>
      <c r="G1410" s="1">
        <v>1</v>
      </c>
      <c r="H1410" s="1">
        <v>1</v>
      </c>
      <c r="I1410" s="1">
        <f t="shared" si="109"/>
        <v>1</v>
      </c>
    </row>
    <row r="1411" spans="1:9" x14ac:dyDescent="0.25">
      <c r="A1411" s="26">
        <v>46701</v>
      </c>
      <c r="B1411" s="27">
        <f t="shared" ref="B1411:B1474" si="110">YEAR(A1411)</f>
        <v>2027</v>
      </c>
      <c r="C1411" s="27">
        <f t="shared" ref="C1411:C1474" si="111">MONTH(A1411)</f>
        <v>11</v>
      </c>
      <c r="D1411" s="27">
        <f t="shared" ref="D1411:D1474" si="112">DAY(A1411)</f>
        <v>10</v>
      </c>
      <c r="E1411" s="27">
        <f t="shared" ref="E1411:E1474" si="113">WEEKDAY(A1411)</f>
        <v>4</v>
      </c>
      <c r="F1411" s="27">
        <f>VLOOKUP(E1411,[2]t_calendarioPolitica!A:C,3,FALSE)</f>
        <v>1</v>
      </c>
      <c r="G1411" s="1">
        <v>1</v>
      </c>
      <c r="H1411" s="1">
        <v>1</v>
      </c>
      <c r="I1411" s="1">
        <f t="shared" ref="I1411:I1474" si="114">IF(AND(F1411&lt;&gt;0, H1411&lt;&gt;0,G1411&lt;&gt;0), 1, 0)</f>
        <v>1</v>
      </c>
    </row>
    <row r="1412" spans="1:9" x14ac:dyDescent="0.25">
      <c r="A1412" s="26">
        <v>46702</v>
      </c>
      <c r="B1412" s="27">
        <f t="shared" si="110"/>
        <v>2027</v>
      </c>
      <c r="C1412" s="27">
        <f t="shared" si="111"/>
        <v>11</v>
      </c>
      <c r="D1412" s="27">
        <f t="shared" si="112"/>
        <v>11</v>
      </c>
      <c r="E1412" s="27">
        <f t="shared" si="113"/>
        <v>5</v>
      </c>
      <c r="F1412" s="27">
        <f>VLOOKUP(E1412,[2]t_calendarioPolitica!A:C,3,FALSE)</f>
        <v>1</v>
      </c>
      <c r="G1412" s="1">
        <v>1</v>
      </c>
      <c r="H1412" s="1">
        <v>1</v>
      </c>
      <c r="I1412" s="1">
        <f t="shared" si="114"/>
        <v>1</v>
      </c>
    </row>
    <row r="1413" spans="1:9" x14ac:dyDescent="0.25">
      <c r="A1413" s="26">
        <v>46703</v>
      </c>
      <c r="B1413" s="27">
        <f t="shared" si="110"/>
        <v>2027</v>
      </c>
      <c r="C1413" s="27">
        <f t="shared" si="111"/>
        <v>11</v>
      </c>
      <c r="D1413" s="27">
        <f t="shared" si="112"/>
        <v>12</v>
      </c>
      <c r="E1413" s="27">
        <f t="shared" si="113"/>
        <v>6</v>
      </c>
      <c r="F1413" s="27">
        <f>VLOOKUP(E1413,[2]t_calendarioPolitica!A:C,3,FALSE)</f>
        <v>1</v>
      </c>
      <c r="G1413" s="1">
        <v>1</v>
      </c>
      <c r="H1413" s="1">
        <v>1</v>
      </c>
      <c r="I1413" s="1">
        <f t="shared" si="114"/>
        <v>1</v>
      </c>
    </row>
    <row r="1414" spans="1:9" x14ac:dyDescent="0.25">
      <c r="A1414" s="26">
        <v>46704</v>
      </c>
      <c r="B1414" s="27">
        <f t="shared" si="110"/>
        <v>2027</v>
      </c>
      <c r="C1414" s="27">
        <f t="shared" si="111"/>
        <v>11</v>
      </c>
      <c r="D1414" s="27">
        <f t="shared" si="112"/>
        <v>13</v>
      </c>
      <c r="E1414" s="27">
        <f t="shared" si="113"/>
        <v>7</v>
      </c>
      <c r="F1414" s="27">
        <f>VLOOKUP(E1414,[2]t_calendarioPolitica!A:C,3,FALSE)</f>
        <v>2</v>
      </c>
      <c r="G1414" s="1">
        <v>1</v>
      </c>
      <c r="H1414" s="1">
        <v>1</v>
      </c>
      <c r="I1414" s="1">
        <f t="shared" si="114"/>
        <v>1</v>
      </c>
    </row>
    <row r="1415" spans="1:9" x14ac:dyDescent="0.25">
      <c r="A1415" s="26">
        <v>46705</v>
      </c>
      <c r="B1415" s="27">
        <f t="shared" si="110"/>
        <v>2027</v>
      </c>
      <c r="C1415" s="27">
        <f t="shared" si="111"/>
        <v>11</v>
      </c>
      <c r="D1415" s="27">
        <f t="shared" si="112"/>
        <v>14</v>
      </c>
      <c r="E1415" s="27">
        <f t="shared" si="113"/>
        <v>1</v>
      </c>
      <c r="F1415" s="27">
        <f>VLOOKUP(E1415,[2]t_calendarioPolitica!A:C,3,FALSE)</f>
        <v>0</v>
      </c>
      <c r="G1415" s="1">
        <v>1</v>
      </c>
      <c r="H1415" s="1">
        <v>1</v>
      </c>
      <c r="I1415" s="1">
        <f t="shared" si="114"/>
        <v>0</v>
      </c>
    </row>
    <row r="1416" spans="1:9" x14ac:dyDescent="0.25">
      <c r="A1416" s="26">
        <v>46706</v>
      </c>
      <c r="B1416" s="27">
        <f t="shared" si="110"/>
        <v>2027</v>
      </c>
      <c r="C1416" s="27">
        <f t="shared" si="111"/>
        <v>11</v>
      </c>
      <c r="D1416" s="27">
        <f t="shared" si="112"/>
        <v>15</v>
      </c>
      <c r="E1416" s="27">
        <f t="shared" si="113"/>
        <v>2</v>
      </c>
      <c r="F1416" s="27">
        <f>VLOOKUP(E1416,[2]t_calendarioPolitica!A:C,3,FALSE)</f>
        <v>1</v>
      </c>
      <c r="G1416" s="1">
        <v>1</v>
      </c>
      <c r="H1416" s="1">
        <v>1</v>
      </c>
      <c r="I1416" s="1">
        <f t="shared" si="114"/>
        <v>1</v>
      </c>
    </row>
    <row r="1417" spans="1:9" x14ac:dyDescent="0.25">
      <c r="A1417" s="26">
        <v>46707</v>
      </c>
      <c r="B1417" s="27">
        <f t="shared" si="110"/>
        <v>2027</v>
      </c>
      <c r="C1417" s="27">
        <f t="shared" si="111"/>
        <v>11</v>
      </c>
      <c r="D1417" s="27">
        <f t="shared" si="112"/>
        <v>16</v>
      </c>
      <c r="E1417" s="27">
        <f t="shared" si="113"/>
        <v>3</v>
      </c>
      <c r="F1417" s="27">
        <f>VLOOKUP(E1417,[2]t_calendarioPolitica!A:C,3,FALSE)</f>
        <v>1</v>
      </c>
      <c r="G1417" s="1">
        <v>1</v>
      </c>
      <c r="H1417" s="1">
        <v>1</v>
      </c>
      <c r="I1417" s="1">
        <f t="shared" si="114"/>
        <v>1</v>
      </c>
    </row>
    <row r="1418" spans="1:9" x14ac:dyDescent="0.25">
      <c r="A1418" s="26">
        <v>46708</v>
      </c>
      <c r="B1418" s="27">
        <f t="shared" si="110"/>
        <v>2027</v>
      </c>
      <c r="C1418" s="27">
        <f t="shared" si="111"/>
        <v>11</v>
      </c>
      <c r="D1418" s="27">
        <f t="shared" si="112"/>
        <v>17</v>
      </c>
      <c r="E1418" s="27">
        <f t="shared" si="113"/>
        <v>4</v>
      </c>
      <c r="F1418" s="27">
        <f>VLOOKUP(E1418,[2]t_calendarioPolitica!A:C,3,FALSE)</f>
        <v>1</v>
      </c>
      <c r="G1418" s="1">
        <v>1</v>
      </c>
      <c r="H1418" s="1">
        <v>1</v>
      </c>
      <c r="I1418" s="1">
        <f t="shared" si="114"/>
        <v>1</v>
      </c>
    </row>
    <row r="1419" spans="1:9" x14ac:dyDescent="0.25">
      <c r="A1419" s="26">
        <v>46709</v>
      </c>
      <c r="B1419" s="27">
        <f t="shared" si="110"/>
        <v>2027</v>
      </c>
      <c r="C1419" s="27">
        <f t="shared" si="111"/>
        <v>11</v>
      </c>
      <c r="D1419" s="27">
        <f t="shared" si="112"/>
        <v>18</v>
      </c>
      <c r="E1419" s="27">
        <f t="shared" si="113"/>
        <v>5</v>
      </c>
      <c r="F1419" s="27">
        <f>VLOOKUP(E1419,[2]t_calendarioPolitica!A:C,3,FALSE)</f>
        <v>1</v>
      </c>
      <c r="G1419" s="1">
        <v>1</v>
      </c>
      <c r="H1419" s="1">
        <v>1</v>
      </c>
      <c r="I1419" s="1">
        <f t="shared" si="114"/>
        <v>1</v>
      </c>
    </row>
    <row r="1420" spans="1:9" x14ac:dyDescent="0.25">
      <c r="A1420" s="26">
        <v>46710</v>
      </c>
      <c r="B1420" s="27">
        <f t="shared" si="110"/>
        <v>2027</v>
      </c>
      <c r="C1420" s="27">
        <f t="shared" si="111"/>
        <v>11</v>
      </c>
      <c r="D1420" s="27">
        <f t="shared" si="112"/>
        <v>19</v>
      </c>
      <c r="E1420" s="27">
        <f t="shared" si="113"/>
        <v>6</v>
      </c>
      <c r="F1420" s="27">
        <f>VLOOKUP(E1420,[2]t_calendarioPolitica!A:C,3,FALSE)</f>
        <v>1</v>
      </c>
      <c r="G1420" s="1">
        <v>1</v>
      </c>
      <c r="H1420" s="1">
        <v>1</v>
      </c>
      <c r="I1420" s="1">
        <f t="shared" si="114"/>
        <v>1</v>
      </c>
    </row>
    <row r="1421" spans="1:9" x14ac:dyDescent="0.25">
      <c r="A1421" s="26">
        <v>46711</v>
      </c>
      <c r="B1421" s="27">
        <f t="shared" si="110"/>
        <v>2027</v>
      </c>
      <c r="C1421" s="27">
        <f t="shared" si="111"/>
        <v>11</v>
      </c>
      <c r="D1421" s="27">
        <f t="shared" si="112"/>
        <v>20</v>
      </c>
      <c r="E1421" s="27">
        <f t="shared" si="113"/>
        <v>7</v>
      </c>
      <c r="F1421" s="27">
        <f>VLOOKUP(E1421,[2]t_calendarioPolitica!A:C,3,FALSE)</f>
        <v>2</v>
      </c>
      <c r="G1421" s="1">
        <v>1</v>
      </c>
      <c r="H1421" s="1">
        <v>1</v>
      </c>
      <c r="I1421" s="1">
        <f t="shared" si="114"/>
        <v>1</v>
      </c>
    </row>
    <row r="1422" spans="1:9" x14ac:dyDescent="0.25">
      <c r="A1422" s="26">
        <v>46712</v>
      </c>
      <c r="B1422" s="27">
        <f t="shared" si="110"/>
        <v>2027</v>
      </c>
      <c r="C1422" s="27">
        <f t="shared" si="111"/>
        <v>11</v>
      </c>
      <c r="D1422" s="27">
        <f t="shared" si="112"/>
        <v>21</v>
      </c>
      <c r="E1422" s="27">
        <f t="shared" si="113"/>
        <v>1</v>
      </c>
      <c r="F1422" s="27">
        <f>VLOOKUP(E1422,[2]t_calendarioPolitica!A:C,3,FALSE)</f>
        <v>0</v>
      </c>
      <c r="G1422" s="1">
        <v>1</v>
      </c>
      <c r="H1422" s="1">
        <v>1</v>
      </c>
      <c r="I1422" s="1">
        <f t="shared" si="114"/>
        <v>0</v>
      </c>
    </row>
    <row r="1423" spans="1:9" x14ac:dyDescent="0.25">
      <c r="A1423" s="26">
        <v>46713</v>
      </c>
      <c r="B1423" s="27">
        <f t="shared" si="110"/>
        <v>2027</v>
      </c>
      <c r="C1423" s="27">
        <f t="shared" si="111"/>
        <v>11</v>
      </c>
      <c r="D1423" s="27">
        <f t="shared" si="112"/>
        <v>22</v>
      </c>
      <c r="E1423" s="27">
        <f t="shared" si="113"/>
        <v>2</v>
      </c>
      <c r="F1423" s="27">
        <f>VLOOKUP(E1423,[2]t_calendarioPolitica!A:C,3,FALSE)</f>
        <v>1</v>
      </c>
      <c r="G1423" s="1">
        <v>1</v>
      </c>
      <c r="H1423" s="1">
        <v>1</v>
      </c>
      <c r="I1423" s="1">
        <f t="shared" si="114"/>
        <v>1</v>
      </c>
    </row>
    <row r="1424" spans="1:9" x14ac:dyDescent="0.25">
      <c r="A1424" s="26">
        <v>46714</v>
      </c>
      <c r="B1424" s="27">
        <f t="shared" si="110"/>
        <v>2027</v>
      </c>
      <c r="C1424" s="27">
        <f t="shared" si="111"/>
        <v>11</v>
      </c>
      <c r="D1424" s="27">
        <f t="shared" si="112"/>
        <v>23</v>
      </c>
      <c r="E1424" s="27">
        <f t="shared" si="113"/>
        <v>3</v>
      </c>
      <c r="F1424" s="27">
        <f>VLOOKUP(E1424,[2]t_calendarioPolitica!A:C,3,FALSE)</f>
        <v>1</v>
      </c>
      <c r="G1424" s="1">
        <v>1</v>
      </c>
      <c r="H1424" s="1">
        <v>1</v>
      </c>
      <c r="I1424" s="1">
        <f t="shared" si="114"/>
        <v>1</v>
      </c>
    </row>
    <row r="1425" spans="1:9" x14ac:dyDescent="0.25">
      <c r="A1425" s="26">
        <v>46715</v>
      </c>
      <c r="B1425" s="27">
        <f t="shared" si="110"/>
        <v>2027</v>
      </c>
      <c r="C1425" s="27">
        <f t="shared" si="111"/>
        <v>11</v>
      </c>
      <c r="D1425" s="27">
        <f t="shared" si="112"/>
        <v>24</v>
      </c>
      <c r="E1425" s="27">
        <f t="shared" si="113"/>
        <v>4</v>
      </c>
      <c r="F1425" s="27">
        <f>VLOOKUP(E1425,[2]t_calendarioPolitica!A:C,3,FALSE)</f>
        <v>1</v>
      </c>
      <c r="G1425" s="1">
        <v>1</v>
      </c>
      <c r="H1425" s="1">
        <v>1</v>
      </c>
      <c r="I1425" s="1">
        <f t="shared" si="114"/>
        <v>1</v>
      </c>
    </row>
    <row r="1426" spans="1:9" x14ac:dyDescent="0.25">
      <c r="A1426" s="26">
        <v>46716</v>
      </c>
      <c r="B1426" s="27">
        <f t="shared" si="110"/>
        <v>2027</v>
      </c>
      <c r="C1426" s="27">
        <f t="shared" si="111"/>
        <v>11</v>
      </c>
      <c r="D1426" s="27">
        <f t="shared" si="112"/>
        <v>25</v>
      </c>
      <c r="E1426" s="27">
        <f t="shared" si="113"/>
        <v>5</v>
      </c>
      <c r="F1426" s="27">
        <f>VLOOKUP(E1426,[2]t_calendarioPolitica!A:C,3,FALSE)</f>
        <v>1</v>
      </c>
      <c r="G1426" s="1">
        <v>1</v>
      </c>
      <c r="H1426" s="1">
        <v>1</v>
      </c>
      <c r="I1426" s="1">
        <f t="shared" si="114"/>
        <v>1</v>
      </c>
    </row>
    <row r="1427" spans="1:9" x14ac:dyDescent="0.25">
      <c r="A1427" s="26">
        <v>46717</v>
      </c>
      <c r="B1427" s="27">
        <f t="shared" si="110"/>
        <v>2027</v>
      </c>
      <c r="C1427" s="27">
        <f t="shared" si="111"/>
        <v>11</v>
      </c>
      <c r="D1427" s="27">
        <f t="shared" si="112"/>
        <v>26</v>
      </c>
      <c r="E1427" s="27">
        <f t="shared" si="113"/>
        <v>6</v>
      </c>
      <c r="F1427" s="27">
        <f>VLOOKUP(E1427,[2]t_calendarioPolitica!A:C,3,FALSE)</f>
        <v>1</v>
      </c>
      <c r="G1427" s="1">
        <v>1</v>
      </c>
      <c r="H1427" s="1">
        <v>1</v>
      </c>
      <c r="I1427" s="1">
        <f t="shared" si="114"/>
        <v>1</v>
      </c>
    </row>
    <row r="1428" spans="1:9" x14ac:dyDescent="0.25">
      <c r="A1428" s="26">
        <v>46718</v>
      </c>
      <c r="B1428" s="27">
        <f t="shared" si="110"/>
        <v>2027</v>
      </c>
      <c r="C1428" s="27">
        <f t="shared" si="111"/>
        <v>11</v>
      </c>
      <c r="D1428" s="27">
        <f t="shared" si="112"/>
        <v>27</v>
      </c>
      <c r="E1428" s="27">
        <f t="shared" si="113"/>
        <v>7</v>
      </c>
      <c r="F1428" s="27">
        <f>VLOOKUP(E1428,[2]t_calendarioPolitica!A:C,3,FALSE)</f>
        <v>2</v>
      </c>
      <c r="G1428" s="1">
        <v>1</v>
      </c>
      <c r="H1428" s="1">
        <v>1</v>
      </c>
      <c r="I1428" s="1">
        <f t="shared" si="114"/>
        <v>1</v>
      </c>
    </row>
    <row r="1429" spans="1:9" x14ac:dyDescent="0.25">
      <c r="A1429" s="26">
        <v>46719</v>
      </c>
      <c r="B1429" s="27">
        <f t="shared" si="110"/>
        <v>2027</v>
      </c>
      <c r="C1429" s="27">
        <f t="shared" si="111"/>
        <v>11</v>
      </c>
      <c r="D1429" s="27">
        <f t="shared" si="112"/>
        <v>28</v>
      </c>
      <c r="E1429" s="27">
        <f t="shared" si="113"/>
        <v>1</v>
      </c>
      <c r="F1429" s="27">
        <f>VLOOKUP(E1429,[2]t_calendarioPolitica!A:C,3,FALSE)</f>
        <v>0</v>
      </c>
      <c r="G1429" s="1">
        <v>1</v>
      </c>
      <c r="H1429" s="1">
        <v>1</v>
      </c>
      <c r="I1429" s="1">
        <f t="shared" si="114"/>
        <v>0</v>
      </c>
    </row>
    <row r="1430" spans="1:9" x14ac:dyDescent="0.25">
      <c r="A1430" s="26">
        <v>46720</v>
      </c>
      <c r="B1430" s="27">
        <f t="shared" si="110"/>
        <v>2027</v>
      </c>
      <c r="C1430" s="27">
        <f t="shared" si="111"/>
        <v>11</v>
      </c>
      <c r="D1430" s="27">
        <f t="shared" si="112"/>
        <v>29</v>
      </c>
      <c r="E1430" s="27">
        <f t="shared" si="113"/>
        <v>2</v>
      </c>
      <c r="F1430" s="27">
        <f>VLOOKUP(E1430,[2]t_calendarioPolitica!A:C,3,FALSE)</f>
        <v>1</v>
      </c>
      <c r="G1430" s="1">
        <v>1</v>
      </c>
      <c r="H1430" s="1">
        <v>1</v>
      </c>
      <c r="I1430" s="1">
        <f t="shared" si="114"/>
        <v>1</v>
      </c>
    </row>
    <row r="1431" spans="1:9" x14ac:dyDescent="0.25">
      <c r="A1431" s="26">
        <v>46721</v>
      </c>
      <c r="B1431" s="27">
        <f t="shared" si="110"/>
        <v>2027</v>
      </c>
      <c r="C1431" s="27">
        <f t="shared" si="111"/>
        <v>11</v>
      </c>
      <c r="D1431" s="27">
        <f t="shared" si="112"/>
        <v>30</v>
      </c>
      <c r="E1431" s="27">
        <f t="shared" si="113"/>
        <v>3</v>
      </c>
      <c r="F1431" s="27">
        <f>VLOOKUP(E1431,[2]t_calendarioPolitica!A:C,3,FALSE)</f>
        <v>1</v>
      </c>
      <c r="G1431" s="1">
        <v>1</v>
      </c>
      <c r="H1431" s="1">
        <v>1</v>
      </c>
      <c r="I1431" s="1">
        <f t="shared" si="114"/>
        <v>1</v>
      </c>
    </row>
    <row r="1432" spans="1:9" x14ac:dyDescent="0.25">
      <c r="A1432" s="26">
        <v>46722</v>
      </c>
      <c r="B1432" s="27">
        <f t="shared" si="110"/>
        <v>2027</v>
      </c>
      <c r="C1432" s="27">
        <f t="shared" si="111"/>
        <v>12</v>
      </c>
      <c r="D1432" s="27">
        <f t="shared" si="112"/>
        <v>1</v>
      </c>
      <c r="E1432" s="27">
        <f t="shared" si="113"/>
        <v>4</v>
      </c>
      <c r="F1432" s="27">
        <f>VLOOKUP(E1432,[2]t_calendarioPolitica!A:C,3,FALSE)</f>
        <v>1</v>
      </c>
      <c r="G1432" s="1">
        <v>1</v>
      </c>
      <c r="H1432" s="1">
        <v>1</v>
      </c>
      <c r="I1432" s="1">
        <f t="shared" si="114"/>
        <v>1</v>
      </c>
    </row>
    <row r="1433" spans="1:9" x14ac:dyDescent="0.25">
      <c r="A1433" s="26">
        <v>46723</v>
      </c>
      <c r="B1433" s="27">
        <f t="shared" si="110"/>
        <v>2027</v>
      </c>
      <c r="C1433" s="27">
        <f t="shared" si="111"/>
        <v>12</v>
      </c>
      <c r="D1433" s="27">
        <f t="shared" si="112"/>
        <v>2</v>
      </c>
      <c r="E1433" s="27">
        <f t="shared" si="113"/>
        <v>5</v>
      </c>
      <c r="F1433" s="27">
        <f>VLOOKUP(E1433,[2]t_calendarioPolitica!A:C,3,FALSE)</f>
        <v>1</v>
      </c>
      <c r="G1433" s="1">
        <v>1</v>
      </c>
      <c r="H1433" s="1">
        <v>1</v>
      </c>
      <c r="I1433" s="1">
        <f t="shared" si="114"/>
        <v>1</v>
      </c>
    </row>
    <row r="1434" spans="1:9" x14ac:dyDescent="0.25">
      <c r="A1434" s="26">
        <v>46724</v>
      </c>
      <c r="B1434" s="27">
        <f t="shared" si="110"/>
        <v>2027</v>
      </c>
      <c r="C1434" s="27">
        <f t="shared" si="111"/>
        <v>12</v>
      </c>
      <c r="D1434" s="27">
        <f t="shared" si="112"/>
        <v>3</v>
      </c>
      <c r="E1434" s="27">
        <f t="shared" si="113"/>
        <v>6</v>
      </c>
      <c r="F1434" s="27">
        <f>VLOOKUP(E1434,[2]t_calendarioPolitica!A:C,3,FALSE)</f>
        <v>1</v>
      </c>
      <c r="G1434" s="1">
        <v>1</v>
      </c>
      <c r="H1434" s="1">
        <v>1</v>
      </c>
      <c r="I1434" s="1">
        <f t="shared" si="114"/>
        <v>1</v>
      </c>
    </row>
    <row r="1435" spans="1:9" x14ac:dyDescent="0.25">
      <c r="A1435" s="26">
        <v>46725</v>
      </c>
      <c r="B1435" s="27">
        <f t="shared" si="110"/>
        <v>2027</v>
      </c>
      <c r="C1435" s="27">
        <f t="shared" si="111"/>
        <v>12</v>
      </c>
      <c r="D1435" s="27">
        <f t="shared" si="112"/>
        <v>4</v>
      </c>
      <c r="E1435" s="27">
        <f t="shared" si="113"/>
        <v>7</v>
      </c>
      <c r="F1435" s="27">
        <f>VLOOKUP(E1435,[2]t_calendarioPolitica!A:C,3,FALSE)</f>
        <v>2</v>
      </c>
      <c r="G1435" s="1">
        <v>1</v>
      </c>
      <c r="H1435" s="1">
        <v>1</v>
      </c>
      <c r="I1435" s="1">
        <f t="shared" si="114"/>
        <v>1</v>
      </c>
    </row>
    <row r="1436" spans="1:9" x14ac:dyDescent="0.25">
      <c r="A1436" s="26">
        <v>46726</v>
      </c>
      <c r="B1436" s="27">
        <f t="shared" si="110"/>
        <v>2027</v>
      </c>
      <c r="C1436" s="27">
        <f t="shared" si="111"/>
        <v>12</v>
      </c>
      <c r="D1436" s="27">
        <f t="shared" si="112"/>
        <v>5</v>
      </c>
      <c r="E1436" s="27">
        <f t="shared" si="113"/>
        <v>1</v>
      </c>
      <c r="F1436" s="27">
        <f>VLOOKUP(E1436,[2]t_calendarioPolitica!A:C,3,FALSE)</f>
        <v>0</v>
      </c>
      <c r="G1436" s="1">
        <v>1</v>
      </c>
      <c r="H1436" s="1">
        <v>1</v>
      </c>
      <c r="I1436" s="1">
        <f t="shared" si="114"/>
        <v>0</v>
      </c>
    </row>
    <row r="1437" spans="1:9" x14ac:dyDescent="0.25">
      <c r="A1437" s="26">
        <v>46727</v>
      </c>
      <c r="B1437" s="27">
        <f t="shared" si="110"/>
        <v>2027</v>
      </c>
      <c r="C1437" s="27">
        <f t="shared" si="111"/>
        <v>12</v>
      </c>
      <c r="D1437" s="27">
        <f t="shared" si="112"/>
        <v>6</v>
      </c>
      <c r="E1437" s="27">
        <f t="shared" si="113"/>
        <v>2</v>
      </c>
      <c r="F1437" s="27">
        <f>VLOOKUP(E1437,[2]t_calendarioPolitica!A:C,3,FALSE)</f>
        <v>1</v>
      </c>
      <c r="G1437" s="1">
        <v>1</v>
      </c>
      <c r="H1437" s="1">
        <v>1</v>
      </c>
      <c r="I1437" s="1">
        <f t="shared" si="114"/>
        <v>1</v>
      </c>
    </row>
    <row r="1438" spans="1:9" x14ac:dyDescent="0.25">
      <c r="A1438" s="26">
        <v>46728</v>
      </c>
      <c r="B1438" s="27">
        <f t="shared" si="110"/>
        <v>2027</v>
      </c>
      <c r="C1438" s="27">
        <f t="shared" si="111"/>
        <v>12</v>
      </c>
      <c r="D1438" s="27">
        <f t="shared" si="112"/>
        <v>7</v>
      </c>
      <c r="E1438" s="27">
        <f t="shared" si="113"/>
        <v>3</v>
      </c>
      <c r="F1438" s="27">
        <f>VLOOKUP(E1438,[2]t_calendarioPolitica!A:C,3,FALSE)</f>
        <v>1</v>
      </c>
      <c r="G1438" s="1">
        <v>1</v>
      </c>
      <c r="H1438" s="1">
        <v>1</v>
      </c>
      <c r="I1438" s="1">
        <f t="shared" si="114"/>
        <v>1</v>
      </c>
    </row>
    <row r="1439" spans="1:9" x14ac:dyDescent="0.25">
      <c r="A1439" s="26">
        <v>46729</v>
      </c>
      <c r="B1439" s="27">
        <f t="shared" si="110"/>
        <v>2027</v>
      </c>
      <c r="C1439" s="27">
        <f t="shared" si="111"/>
        <v>12</v>
      </c>
      <c r="D1439" s="27">
        <f t="shared" si="112"/>
        <v>8</v>
      </c>
      <c r="E1439" s="27">
        <f t="shared" si="113"/>
        <v>4</v>
      </c>
      <c r="F1439" s="27">
        <f>VLOOKUP(E1439,[2]t_calendarioPolitica!A:C,3,FALSE)</f>
        <v>1</v>
      </c>
      <c r="G1439" s="1">
        <v>1</v>
      </c>
      <c r="H1439" s="1">
        <v>1</v>
      </c>
      <c r="I1439" s="1">
        <f t="shared" si="114"/>
        <v>1</v>
      </c>
    </row>
    <row r="1440" spans="1:9" x14ac:dyDescent="0.25">
      <c r="A1440" s="26">
        <v>46730</v>
      </c>
      <c r="B1440" s="27">
        <f t="shared" si="110"/>
        <v>2027</v>
      </c>
      <c r="C1440" s="27">
        <f t="shared" si="111"/>
        <v>12</v>
      </c>
      <c r="D1440" s="27">
        <f t="shared" si="112"/>
        <v>9</v>
      </c>
      <c r="E1440" s="27">
        <f t="shared" si="113"/>
        <v>5</v>
      </c>
      <c r="F1440" s="27">
        <f>VLOOKUP(E1440,[2]t_calendarioPolitica!A:C,3,FALSE)</f>
        <v>1</v>
      </c>
      <c r="G1440" s="1">
        <v>1</v>
      </c>
      <c r="H1440" s="1">
        <v>1</v>
      </c>
      <c r="I1440" s="1">
        <f t="shared" si="114"/>
        <v>1</v>
      </c>
    </row>
    <row r="1441" spans="1:9" x14ac:dyDescent="0.25">
      <c r="A1441" s="26">
        <v>46731</v>
      </c>
      <c r="B1441" s="27">
        <f t="shared" si="110"/>
        <v>2027</v>
      </c>
      <c r="C1441" s="27">
        <f t="shared" si="111"/>
        <v>12</v>
      </c>
      <c r="D1441" s="27">
        <f t="shared" si="112"/>
        <v>10</v>
      </c>
      <c r="E1441" s="27">
        <f t="shared" si="113"/>
        <v>6</v>
      </c>
      <c r="F1441" s="27">
        <f>VLOOKUP(E1441,[2]t_calendarioPolitica!A:C,3,FALSE)</f>
        <v>1</v>
      </c>
      <c r="G1441" s="1">
        <v>1</v>
      </c>
      <c r="H1441" s="1">
        <v>1</v>
      </c>
      <c r="I1441" s="1">
        <f t="shared" si="114"/>
        <v>1</v>
      </c>
    </row>
    <row r="1442" spans="1:9" x14ac:dyDescent="0.25">
      <c r="A1442" s="26">
        <v>46732</v>
      </c>
      <c r="B1442" s="27">
        <f t="shared" si="110"/>
        <v>2027</v>
      </c>
      <c r="C1442" s="27">
        <f t="shared" si="111"/>
        <v>12</v>
      </c>
      <c r="D1442" s="27">
        <f t="shared" si="112"/>
        <v>11</v>
      </c>
      <c r="E1442" s="27">
        <f t="shared" si="113"/>
        <v>7</v>
      </c>
      <c r="F1442" s="27">
        <f>VLOOKUP(E1442,[2]t_calendarioPolitica!A:C,3,FALSE)</f>
        <v>2</v>
      </c>
      <c r="G1442" s="1">
        <v>1</v>
      </c>
      <c r="H1442" s="1">
        <v>1</v>
      </c>
      <c r="I1442" s="1">
        <f t="shared" si="114"/>
        <v>1</v>
      </c>
    </row>
    <row r="1443" spans="1:9" x14ac:dyDescent="0.25">
      <c r="A1443" s="26">
        <v>46733</v>
      </c>
      <c r="B1443" s="27">
        <f t="shared" si="110"/>
        <v>2027</v>
      </c>
      <c r="C1443" s="27">
        <f t="shared" si="111"/>
        <v>12</v>
      </c>
      <c r="D1443" s="27">
        <f t="shared" si="112"/>
        <v>12</v>
      </c>
      <c r="E1443" s="27">
        <f t="shared" si="113"/>
        <v>1</v>
      </c>
      <c r="F1443" s="27">
        <f>VLOOKUP(E1443,[2]t_calendarioPolitica!A:C,3,FALSE)</f>
        <v>0</v>
      </c>
      <c r="G1443" s="1">
        <v>1</v>
      </c>
      <c r="H1443" s="1">
        <v>0</v>
      </c>
      <c r="I1443" s="1">
        <f t="shared" si="114"/>
        <v>0</v>
      </c>
    </row>
    <row r="1444" spans="1:9" x14ac:dyDescent="0.25">
      <c r="A1444" s="26">
        <v>46734</v>
      </c>
      <c r="B1444" s="27">
        <f t="shared" si="110"/>
        <v>2027</v>
      </c>
      <c r="C1444" s="27">
        <f t="shared" si="111"/>
        <v>12</v>
      </c>
      <c r="D1444" s="27">
        <f t="shared" si="112"/>
        <v>13</v>
      </c>
      <c r="E1444" s="27">
        <f t="shared" si="113"/>
        <v>2</v>
      </c>
      <c r="F1444" s="27">
        <f>VLOOKUP(E1444,[2]t_calendarioPolitica!A:C,3,FALSE)</f>
        <v>1</v>
      </c>
      <c r="G1444" s="1">
        <v>1</v>
      </c>
      <c r="H1444" s="1">
        <v>1</v>
      </c>
      <c r="I1444" s="1">
        <f t="shared" si="114"/>
        <v>1</v>
      </c>
    </row>
    <row r="1445" spans="1:9" x14ac:dyDescent="0.25">
      <c r="A1445" s="26">
        <v>46735</v>
      </c>
      <c r="B1445" s="27">
        <f t="shared" si="110"/>
        <v>2027</v>
      </c>
      <c r="C1445" s="27">
        <f t="shared" si="111"/>
        <v>12</v>
      </c>
      <c r="D1445" s="27">
        <f t="shared" si="112"/>
        <v>14</v>
      </c>
      <c r="E1445" s="27">
        <f t="shared" si="113"/>
        <v>3</v>
      </c>
      <c r="F1445" s="27">
        <f>VLOOKUP(E1445,[2]t_calendarioPolitica!A:C,3,FALSE)</f>
        <v>1</v>
      </c>
      <c r="G1445" s="1">
        <v>1</v>
      </c>
      <c r="H1445" s="1">
        <v>1</v>
      </c>
      <c r="I1445" s="1">
        <f t="shared" si="114"/>
        <v>1</v>
      </c>
    </row>
    <row r="1446" spans="1:9" x14ac:dyDescent="0.25">
      <c r="A1446" s="26">
        <v>46736</v>
      </c>
      <c r="B1446" s="27">
        <f t="shared" si="110"/>
        <v>2027</v>
      </c>
      <c r="C1446" s="27">
        <f t="shared" si="111"/>
        <v>12</v>
      </c>
      <c r="D1446" s="27">
        <f t="shared" si="112"/>
        <v>15</v>
      </c>
      <c r="E1446" s="27">
        <f t="shared" si="113"/>
        <v>4</v>
      </c>
      <c r="F1446" s="27">
        <f>VLOOKUP(E1446,[2]t_calendarioPolitica!A:C,3,FALSE)</f>
        <v>1</v>
      </c>
      <c r="G1446" s="1">
        <v>1</v>
      </c>
      <c r="H1446" s="1">
        <v>1</v>
      </c>
      <c r="I1446" s="1">
        <f t="shared" si="114"/>
        <v>1</v>
      </c>
    </row>
    <row r="1447" spans="1:9" x14ac:dyDescent="0.25">
      <c r="A1447" s="26">
        <v>46737</v>
      </c>
      <c r="B1447" s="27">
        <f t="shared" si="110"/>
        <v>2027</v>
      </c>
      <c r="C1447" s="27">
        <f t="shared" si="111"/>
        <v>12</v>
      </c>
      <c r="D1447" s="27">
        <f t="shared" si="112"/>
        <v>16</v>
      </c>
      <c r="E1447" s="27">
        <f t="shared" si="113"/>
        <v>5</v>
      </c>
      <c r="F1447" s="27">
        <f>VLOOKUP(E1447,[2]t_calendarioPolitica!A:C,3,FALSE)</f>
        <v>1</v>
      </c>
      <c r="G1447" s="1">
        <v>1</v>
      </c>
      <c r="H1447" s="1">
        <v>1</v>
      </c>
      <c r="I1447" s="1">
        <f t="shared" si="114"/>
        <v>1</v>
      </c>
    </row>
    <row r="1448" spans="1:9" x14ac:dyDescent="0.25">
      <c r="A1448" s="26">
        <v>46738</v>
      </c>
      <c r="B1448" s="27">
        <f t="shared" si="110"/>
        <v>2027</v>
      </c>
      <c r="C1448" s="27">
        <f t="shared" si="111"/>
        <v>12</v>
      </c>
      <c r="D1448" s="27">
        <f t="shared" si="112"/>
        <v>17</v>
      </c>
      <c r="E1448" s="27">
        <f t="shared" si="113"/>
        <v>6</v>
      </c>
      <c r="F1448" s="27">
        <f>VLOOKUP(E1448,[2]t_calendarioPolitica!A:C,3,FALSE)</f>
        <v>1</v>
      </c>
      <c r="G1448" s="1">
        <v>1</v>
      </c>
      <c r="H1448" s="1">
        <v>1</v>
      </c>
      <c r="I1448" s="1">
        <f t="shared" si="114"/>
        <v>1</v>
      </c>
    </row>
    <row r="1449" spans="1:9" x14ac:dyDescent="0.25">
      <c r="A1449" s="26">
        <v>46739</v>
      </c>
      <c r="B1449" s="27">
        <f t="shared" si="110"/>
        <v>2027</v>
      </c>
      <c r="C1449" s="27">
        <f t="shared" si="111"/>
        <v>12</v>
      </c>
      <c r="D1449" s="27">
        <f t="shared" si="112"/>
        <v>18</v>
      </c>
      <c r="E1449" s="27">
        <f t="shared" si="113"/>
        <v>7</v>
      </c>
      <c r="F1449" s="27">
        <f>VLOOKUP(E1449,[2]t_calendarioPolitica!A:C,3,FALSE)</f>
        <v>2</v>
      </c>
      <c r="G1449" s="1">
        <v>1</v>
      </c>
      <c r="H1449" s="1">
        <v>1</v>
      </c>
      <c r="I1449" s="1">
        <f t="shared" si="114"/>
        <v>1</v>
      </c>
    </row>
    <row r="1450" spans="1:9" x14ac:dyDescent="0.25">
      <c r="A1450" s="26">
        <v>46740</v>
      </c>
      <c r="B1450" s="27">
        <f t="shared" si="110"/>
        <v>2027</v>
      </c>
      <c r="C1450" s="27">
        <f t="shared" si="111"/>
        <v>12</v>
      </c>
      <c r="D1450" s="27">
        <f t="shared" si="112"/>
        <v>19</v>
      </c>
      <c r="E1450" s="27">
        <f t="shared" si="113"/>
        <v>1</v>
      </c>
      <c r="F1450" s="27">
        <f>VLOOKUP(E1450,[2]t_calendarioPolitica!A:C,3,FALSE)</f>
        <v>0</v>
      </c>
      <c r="G1450" s="1">
        <v>1</v>
      </c>
      <c r="H1450" s="1">
        <v>1</v>
      </c>
      <c r="I1450" s="1">
        <f t="shared" si="114"/>
        <v>0</v>
      </c>
    </row>
    <row r="1451" spans="1:9" x14ac:dyDescent="0.25">
      <c r="A1451" s="26">
        <v>46741</v>
      </c>
      <c r="B1451" s="27">
        <f t="shared" si="110"/>
        <v>2027</v>
      </c>
      <c r="C1451" s="27">
        <f t="shared" si="111"/>
        <v>12</v>
      </c>
      <c r="D1451" s="27">
        <f t="shared" si="112"/>
        <v>20</v>
      </c>
      <c r="E1451" s="27">
        <f t="shared" si="113"/>
        <v>2</v>
      </c>
      <c r="F1451" s="27">
        <f>VLOOKUP(E1451,[2]t_calendarioPolitica!A:C,3,FALSE)</f>
        <v>1</v>
      </c>
      <c r="G1451" s="1">
        <v>1</v>
      </c>
      <c r="H1451" s="1">
        <v>1</v>
      </c>
      <c r="I1451" s="1">
        <f t="shared" si="114"/>
        <v>1</v>
      </c>
    </row>
    <row r="1452" spans="1:9" x14ac:dyDescent="0.25">
      <c r="A1452" s="26">
        <v>46742</v>
      </c>
      <c r="B1452" s="27">
        <f t="shared" si="110"/>
        <v>2027</v>
      </c>
      <c r="C1452" s="27">
        <f t="shared" si="111"/>
        <v>12</v>
      </c>
      <c r="D1452" s="27">
        <f t="shared" si="112"/>
        <v>21</v>
      </c>
      <c r="E1452" s="27">
        <f t="shared" si="113"/>
        <v>3</v>
      </c>
      <c r="F1452" s="27">
        <f>VLOOKUP(E1452,[2]t_calendarioPolitica!A:C,3,FALSE)</f>
        <v>1</v>
      </c>
      <c r="G1452" s="1">
        <v>1</v>
      </c>
      <c r="H1452" s="1">
        <v>1</v>
      </c>
      <c r="I1452" s="1">
        <f t="shared" si="114"/>
        <v>1</v>
      </c>
    </row>
    <row r="1453" spans="1:9" x14ac:dyDescent="0.25">
      <c r="A1453" s="26">
        <v>46743</v>
      </c>
      <c r="B1453" s="27">
        <f t="shared" si="110"/>
        <v>2027</v>
      </c>
      <c r="C1453" s="27">
        <f t="shared" si="111"/>
        <v>12</v>
      </c>
      <c r="D1453" s="27">
        <f t="shared" si="112"/>
        <v>22</v>
      </c>
      <c r="E1453" s="27">
        <f t="shared" si="113"/>
        <v>4</v>
      </c>
      <c r="F1453" s="27">
        <f>VLOOKUP(E1453,[2]t_calendarioPolitica!A:C,3,FALSE)</f>
        <v>1</v>
      </c>
      <c r="G1453" s="1">
        <v>1</v>
      </c>
      <c r="H1453" s="1">
        <v>1</v>
      </c>
      <c r="I1453" s="1">
        <f t="shared" si="114"/>
        <v>1</v>
      </c>
    </row>
    <row r="1454" spans="1:9" x14ac:dyDescent="0.25">
      <c r="A1454" s="26">
        <v>46744</v>
      </c>
      <c r="B1454" s="27">
        <f t="shared" si="110"/>
        <v>2027</v>
      </c>
      <c r="C1454" s="27">
        <f t="shared" si="111"/>
        <v>12</v>
      </c>
      <c r="D1454" s="27">
        <f t="shared" si="112"/>
        <v>23</v>
      </c>
      <c r="E1454" s="27">
        <f t="shared" si="113"/>
        <v>5</v>
      </c>
      <c r="F1454" s="27">
        <f>VLOOKUP(E1454,[2]t_calendarioPolitica!A:C,3,FALSE)</f>
        <v>1</v>
      </c>
      <c r="G1454" s="1">
        <v>1</v>
      </c>
      <c r="H1454" s="1">
        <v>1</v>
      </c>
      <c r="I1454" s="1">
        <f t="shared" si="114"/>
        <v>1</v>
      </c>
    </row>
    <row r="1455" spans="1:9" x14ac:dyDescent="0.25">
      <c r="A1455" s="26">
        <v>46745</v>
      </c>
      <c r="B1455" s="27">
        <f t="shared" si="110"/>
        <v>2027</v>
      </c>
      <c r="C1455" s="27">
        <f t="shared" si="111"/>
        <v>12</v>
      </c>
      <c r="D1455" s="27">
        <f t="shared" si="112"/>
        <v>24</v>
      </c>
      <c r="E1455" s="27">
        <f t="shared" si="113"/>
        <v>6</v>
      </c>
      <c r="F1455" s="27">
        <f>VLOOKUP(E1455,[2]t_calendarioPolitica!A:C,3,FALSE)</f>
        <v>1</v>
      </c>
      <c r="G1455" s="1">
        <v>1</v>
      </c>
      <c r="H1455" s="1">
        <v>0</v>
      </c>
      <c r="I1455" s="1">
        <f t="shared" si="114"/>
        <v>0</v>
      </c>
    </row>
    <row r="1456" spans="1:9" x14ac:dyDescent="0.25">
      <c r="A1456" s="26">
        <v>46746</v>
      </c>
      <c r="B1456" s="27">
        <f t="shared" si="110"/>
        <v>2027</v>
      </c>
      <c r="C1456" s="27">
        <f t="shared" si="111"/>
        <v>12</v>
      </c>
      <c r="D1456" s="27">
        <f t="shared" si="112"/>
        <v>25</v>
      </c>
      <c r="E1456" s="27">
        <f t="shared" si="113"/>
        <v>7</v>
      </c>
      <c r="F1456" s="27">
        <f>VLOOKUP(E1456,[2]t_calendarioPolitica!A:C,3,FALSE)</f>
        <v>2</v>
      </c>
      <c r="G1456" s="1">
        <v>0</v>
      </c>
      <c r="H1456" s="1">
        <v>0</v>
      </c>
      <c r="I1456" s="1">
        <f t="shared" si="114"/>
        <v>0</v>
      </c>
    </row>
    <row r="1457" spans="1:9" x14ac:dyDescent="0.25">
      <c r="A1457" s="26">
        <v>46747</v>
      </c>
      <c r="B1457" s="27">
        <f t="shared" si="110"/>
        <v>2027</v>
      </c>
      <c r="C1457" s="27">
        <f t="shared" si="111"/>
        <v>12</v>
      </c>
      <c r="D1457" s="27">
        <f t="shared" si="112"/>
        <v>26</v>
      </c>
      <c r="E1457" s="27">
        <f t="shared" si="113"/>
        <v>1</v>
      </c>
      <c r="F1457" s="27">
        <f>VLOOKUP(E1457,[2]t_calendarioPolitica!A:C,3,FALSE)</f>
        <v>0</v>
      </c>
      <c r="G1457" s="1">
        <v>1</v>
      </c>
      <c r="H1457" s="1">
        <v>1</v>
      </c>
      <c r="I1457" s="1">
        <f t="shared" si="114"/>
        <v>0</v>
      </c>
    </row>
    <row r="1458" spans="1:9" x14ac:dyDescent="0.25">
      <c r="A1458" s="26">
        <v>46748</v>
      </c>
      <c r="B1458" s="27">
        <f t="shared" si="110"/>
        <v>2027</v>
      </c>
      <c r="C1458" s="27">
        <f t="shared" si="111"/>
        <v>12</v>
      </c>
      <c r="D1458" s="27">
        <f t="shared" si="112"/>
        <v>27</v>
      </c>
      <c r="E1458" s="27">
        <f t="shared" si="113"/>
        <v>2</v>
      </c>
      <c r="F1458" s="27">
        <f>VLOOKUP(E1458,[2]t_calendarioPolitica!A:C,3,FALSE)</f>
        <v>1</v>
      </c>
      <c r="G1458" s="1">
        <v>1</v>
      </c>
      <c r="H1458" s="1">
        <v>1</v>
      </c>
      <c r="I1458" s="1">
        <f t="shared" si="114"/>
        <v>1</v>
      </c>
    </row>
    <row r="1459" spans="1:9" x14ac:dyDescent="0.25">
      <c r="A1459" s="26">
        <v>46749</v>
      </c>
      <c r="B1459" s="27">
        <f t="shared" si="110"/>
        <v>2027</v>
      </c>
      <c r="C1459" s="27">
        <f t="shared" si="111"/>
        <v>12</v>
      </c>
      <c r="D1459" s="27">
        <f t="shared" si="112"/>
        <v>28</v>
      </c>
      <c r="E1459" s="27">
        <f t="shared" si="113"/>
        <v>3</v>
      </c>
      <c r="F1459" s="27">
        <f>VLOOKUP(E1459,[2]t_calendarioPolitica!A:C,3,FALSE)</f>
        <v>1</v>
      </c>
      <c r="G1459" s="1">
        <v>1</v>
      </c>
      <c r="H1459" s="1">
        <v>1</v>
      </c>
      <c r="I1459" s="1">
        <f t="shared" si="114"/>
        <v>1</v>
      </c>
    </row>
    <row r="1460" spans="1:9" x14ac:dyDescent="0.25">
      <c r="A1460" s="26">
        <v>46750</v>
      </c>
      <c r="B1460" s="27">
        <f t="shared" si="110"/>
        <v>2027</v>
      </c>
      <c r="C1460" s="27">
        <f t="shared" si="111"/>
        <v>12</v>
      </c>
      <c r="D1460" s="27">
        <f t="shared" si="112"/>
        <v>29</v>
      </c>
      <c r="E1460" s="27">
        <f t="shared" si="113"/>
        <v>4</v>
      </c>
      <c r="F1460" s="27">
        <f>VLOOKUP(E1460,[2]t_calendarioPolitica!A:C,3,FALSE)</f>
        <v>1</v>
      </c>
      <c r="G1460" s="1">
        <v>1</v>
      </c>
      <c r="H1460" s="1">
        <v>1</v>
      </c>
      <c r="I1460" s="1">
        <f t="shared" si="114"/>
        <v>1</v>
      </c>
    </row>
    <row r="1461" spans="1:9" x14ac:dyDescent="0.25">
      <c r="A1461" s="26">
        <v>46751</v>
      </c>
      <c r="B1461" s="27">
        <f t="shared" si="110"/>
        <v>2027</v>
      </c>
      <c r="C1461" s="27">
        <f t="shared" si="111"/>
        <v>12</v>
      </c>
      <c r="D1461" s="27">
        <f t="shared" si="112"/>
        <v>30</v>
      </c>
      <c r="E1461" s="27">
        <f t="shared" si="113"/>
        <v>5</v>
      </c>
      <c r="F1461" s="27">
        <f>VLOOKUP(E1461,[2]t_calendarioPolitica!A:C,3,FALSE)</f>
        <v>1</v>
      </c>
      <c r="G1461" s="1">
        <v>1</v>
      </c>
      <c r="H1461" s="1">
        <v>1</v>
      </c>
      <c r="I1461" s="1">
        <f t="shared" si="114"/>
        <v>1</v>
      </c>
    </row>
    <row r="1462" spans="1:9" x14ac:dyDescent="0.25">
      <c r="A1462" s="26">
        <v>46752</v>
      </c>
      <c r="B1462" s="27">
        <f t="shared" si="110"/>
        <v>2027</v>
      </c>
      <c r="C1462" s="27">
        <f t="shared" si="111"/>
        <v>12</v>
      </c>
      <c r="D1462" s="27">
        <f t="shared" si="112"/>
        <v>31</v>
      </c>
      <c r="E1462" s="27">
        <f t="shared" si="113"/>
        <v>6</v>
      </c>
      <c r="F1462" s="27">
        <f>VLOOKUP(E1462,[2]t_calendarioPolitica!A:C,3,FALSE)</f>
        <v>1</v>
      </c>
      <c r="G1462" s="1">
        <v>1</v>
      </c>
      <c r="H1462" s="1">
        <v>0</v>
      </c>
      <c r="I1462" s="1">
        <f t="shared" si="114"/>
        <v>0</v>
      </c>
    </row>
    <row r="1463" spans="1:9" x14ac:dyDescent="0.25">
      <c r="A1463" s="26">
        <v>46753</v>
      </c>
      <c r="B1463" s="27">
        <f t="shared" si="110"/>
        <v>2028</v>
      </c>
      <c r="C1463" s="27">
        <f t="shared" si="111"/>
        <v>1</v>
      </c>
      <c r="D1463" s="27">
        <f t="shared" si="112"/>
        <v>1</v>
      </c>
      <c r="E1463" s="27">
        <f t="shared" si="113"/>
        <v>7</v>
      </c>
      <c r="F1463" s="27">
        <f>VLOOKUP(E1463,[2]t_calendarioPolitica!A:C,3,FALSE)</f>
        <v>2</v>
      </c>
      <c r="G1463" s="1">
        <v>0</v>
      </c>
      <c r="H1463" s="1">
        <v>1</v>
      </c>
      <c r="I1463" s="1">
        <f t="shared" si="114"/>
        <v>0</v>
      </c>
    </row>
    <row r="1464" spans="1:9" x14ac:dyDescent="0.25">
      <c r="A1464" s="26">
        <v>46754</v>
      </c>
      <c r="B1464" s="27">
        <f t="shared" si="110"/>
        <v>2028</v>
      </c>
      <c r="C1464" s="27">
        <f t="shared" si="111"/>
        <v>1</v>
      </c>
      <c r="D1464" s="27">
        <f t="shared" si="112"/>
        <v>2</v>
      </c>
      <c r="E1464" s="27">
        <f t="shared" si="113"/>
        <v>1</v>
      </c>
      <c r="F1464" s="27">
        <f>VLOOKUP(E1464,[2]t_calendarioPolitica!A:C,3,FALSE)</f>
        <v>0</v>
      </c>
      <c r="G1464" s="1">
        <v>1</v>
      </c>
      <c r="H1464" s="1">
        <v>1</v>
      </c>
      <c r="I1464" s="1">
        <f t="shared" si="114"/>
        <v>0</v>
      </c>
    </row>
    <row r="1465" spans="1:9" x14ac:dyDescent="0.25">
      <c r="A1465" s="26">
        <v>46755</v>
      </c>
      <c r="B1465" s="27">
        <f t="shared" si="110"/>
        <v>2028</v>
      </c>
      <c r="C1465" s="27">
        <f t="shared" si="111"/>
        <v>1</v>
      </c>
      <c r="D1465" s="27">
        <f t="shared" si="112"/>
        <v>3</v>
      </c>
      <c r="E1465" s="27">
        <f t="shared" si="113"/>
        <v>2</v>
      </c>
      <c r="F1465" s="27">
        <f>VLOOKUP(E1465,[2]t_calendarioPolitica!A:C,3,FALSE)</f>
        <v>1</v>
      </c>
      <c r="G1465" s="1">
        <v>1</v>
      </c>
      <c r="H1465" s="1">
        <v>1</v>
      </c>
      <c r="I1465" s="1">
        <f t="shared" si="114"/>
        <v>1</v>
      </c>
    </row>
    <row r="1466" spans="1:9" x14ac:dyDescent="0.25">
      <c r="A1466" s="26">
        <v>46756</v>
      </c>
      <c r="B1466" s="27">
        <f t="shared" si="110"/>
        <v>2028</v>
      </c>
      <c r="C1466" s="27">
        <f t="shared" si="111"/>
        <v>1</v>
      </c>
      <c r="D1466" s="27">
        <f t="shared" si="112"/>
        <v>4</v>
      </c>
      <c r="E1466" s="27">
        <f t="shared" si="113"/>
        <v>3</v>
      </c>
      <c r="F1466" s="27">
        <f>VLOOKUP(E1466,[2]t_calendarioPolitica!A:C,3,FALSE)</f>
        <v>1</v>
      </c>
      <c r="G1466" s="1">
        <v>1</v>
      </c>
      <c r="H1466" s="1">
        <v>1</v>
      </c>
      <c r="I1466" s="1">
        <f t="shared" si="114"/>
        <v>1</v>
      </c>
    </row>
    <row r="1467" spans="1:9" x14ac:dyDescent="0.25">
      <c r="A1467" s="26">
        <v>46757</v>
      </c>
      <c r="B1467" s="27">
        <f t="shared" si="110"/>
        <v>2028</v>
      </c>
      <c r="C1467" s="27">
        <f t="shared" si="111"/>
        <v>1</v>
      </c>
      <c r="D1467" s="27">
        <f t="shared" si="112"/>
        <v>5</v>
      </c>
      <c r="E1467" s="27">
        <f t="shared" si="113"/>
        <v>4</v>
      </c>
      <c r="F1467" s="27">
        <f>VLOOKUP(E1467,[2]t_calendarioPolitica!A:C,3,FALSE)</f>
        <v>1</v>
      </c>
      <c r="G1467" s="1">
        <v>1</v>
      </c>
      <c r="H1467" s="1">
        <v>1</v>
      </c>
      <c r="I1467" s="1">
        <f t="shared" si="114"/>
        <v>1</v>
      </c>
    </row>
    <row r="1468" spans="1:9" x14ac:dyDescent="0.25">
      <c r="A1468" s="26">
        <v>46758</v>
      </c>
      <c r="B1468" s="27">
        <f t="shared" si="110"/>
        <v>2028</v>
      </c>
      <c r="C1468" s="27">
        <f t="shared" si="111"/>
        <v>1</v>
      </c>
      <c r="D1468" s="27">
        <f t="shared" si="112"/>
        <v>6</v>
      </c>
      <c r="E1468" s="27">
        <f t="shared" si="113"/>
        <v>5</v>
      </c>
      <c r="F1468" s="27">
        <f>VLOOKUP(E1468,[2]t_calendarioPolitica!A:C,3,FALSE)</f>
        <v>1</v>
      </c>
      <c r="G1468" s="1">
        <v>1</v>
      </c>
      <c r="H1468" s="1">
        <v>1</v>
      </c>
      <c r="I1468" s="1">
        <f t="shared" si="114"/>
        <v>1</v>
      </c>
    </row>
    <row r="1469" spans="1:9" x14ac:dyDescent="0.25">
      <c r="A1469" s="26">
        <v>46759</v>
      </c>
      <c r="B1469" s="27">
        <f t="shared" si="110"/>
        <v>2028</v>
      </c>
      <c r="C1469" s="27">
        <f t="shared" si="111"/>
        <v>1</v>
      </c>
      <c r="D1469" s="27">
        <f t="shared" si="112"/>
        <v>7</v>
      </c>
      <c r="E1469" s="27">
        <f t="shared" si="113"/>
        <v>6</v>
      </c>
      <c r="F1469" s="27">
        <f>VLOOKUP(E1469,[2]t_calendarioPolitica!A:C,3,FALSE)</f>
        <v>1</v>
      </c>
      <c r="G1469" s="1">
        <v>1</v>
      </c>
      <c r="H1469" s="1">
        <v>1</v>
      </c>
      <c r="I1469" s="1">
        <f t="shared" si="114"/>
        <v>1</v>
      </c>
    </row>
    <row r="1470" spans="1:9" x14ac:dyDescent="0.25">
      <c r="A1470" s="26">
        <v>46760</v>
      </c>
      <c r="B1470" s="27">
        <f t="shared" si="110"/>
        <v>2028</v>
      </c>
      <c r="C1470" s="27">
        <f t="shared" si="111"/>
        <v>1</v>
      </c>
      <c r="D1470" s="27">
        <f t="shared" si="112"/>
        <v>8</v>
      </c>
      <c r="E1470" s="27">
        <f t="shared" si="113"/>
        <v>7</v>
      </c>
      <c r="F1470" s="27">
        <f>VLOOKUP(E1470,[2]t_calendarioPolitica!A:C,3,FALSE)</f>
        <v>2</v>
      </c>
      <c r="G1470" s="1">
        <v>1</v>
      </c>
      <c r="H1470" s="1">
        <v>1</v>
      </c>
      <c r="I1470" s="1">
        <f t="shared" si="114"/>
        <v>1</v>
      </c>
    </row>
    <row r="1471" spans="1:9" x14ac:dyDescent="0.25">
      <c r="A1471" s="26">
        <v>46761</v>
      </c>
      <c r="B1471" s="27">
        <f t="shared" si="110"/>
        <v>2028</v>
      </c>
      <c r="C1471" s="27">
        <f t="shared" si="111"/>
        <v>1</v>
      </c>
      <c r="D1471" s="27">
        <f t="shared" si="112"/>
        <v>9</v>
      </c>
      <c r="E1471" s="27">
        <f t="shared" si="113"/>
        <v>1</v>
      </c>
      <c r="F1471" s="27">
        <f>VLOOKUP(E1471,[2]t_calendarioPolitica!A:C,3,FALSE)</f>
        <v>0</v>
      </c>
      <c r="G1471" s="1">
        <v>1</v>
      </c>
      <c r="H1471" s="1">
        <v>1</v>
      </c>
      <c r="I1471" s="1">
        <f t="shared" si="114"/>
        <v>0</v>
      </c>
    </row>
    <row r="1472" spans="1:9" x14ac:dyDescent="0.25">
      <c r="A1472" s="26">
        <v>46762</v>
      </c>
      <c r="B1472" s="27">
        <f t="shared" si="110"/>
        <v>2028</v>
      </c>
      <c r="C1472" s="27">
        <f t="shared" si="111"/>
        <v>1</v>
      </c>
      <c r="D1472" s="27">
        <f t="shared" si="112"/>
        <v>10</v>
      </c>
      <c r="E1472" s="27">
        <f t="shared" si="113"/>
        <v>2</v>
      </c>
      <c r="F1472" s="27">
        <f>VLOOKUP(E1472,[2]t_calendarioPolitica!A:C,3,FALSE)</f>
        <v>1</v>
      </c>
      <c r="G1472" s="1">
        <v>1</v>
      </c>
      <c r="H1472" s="1">
        <v>1</v>
      </c>
      <c r="I1472" s="1">
        <f t="shared" si="114"/>
        <v>1</v>
      </c>
    </row>
    <row r="1473" spans="1:9" x14ac:dyDescent="0.25">
      <c r="A1473" s="26">
        <v>46763</v>
      </c>
      <c r="B1473" s="27">
        <f t="shared" si="110"/>
        <v>2028</v>
      </c>
      <c r="C1473" s="27">
        <f t="shared" si="111"/>
        <v>1</v>
      </c>
      <c r="D1473" s="27">
        <f t="shared" si="112"/>
        <v>11</v>
      </c>
      <c r="E1473" s="27">
        <f t="shared" si="113"/>
        <v>3</v>
      </c>
      <c r="F1473" s="27">
        <f>VLOOKUP(E1473,[2]t_calendarioPolitica!A:C,3,FALSE)</f>
        <v>1</v>
      </c>
      <c r="G1473" s="1">
        <v>1</v>
      </c>
      <c r="H1473" s="1">
        <v>1</v>
      </c>
      <c r="I1473" s="1">
        <f t="shared" si="114"/>
        <v>1</v>
      </c>
    </row>
    <row r="1474" spans="1:9" x14ac:dyDescent="0.25">
      <c r="A1474" s="26">
        <v>46764</v>
      </c>
      <c r="B1474" s="27">
        <f t="shared" si="110"/>
        <v>2028</v>
      </c>
      <c r="C1474" s="27">
        <f t="shared" si="111"/>
        <v>1</v>
      </c>
      <c r="D1474" s="27">
        <f t="shared" si="112"/>
        <v>12</v>
      </c>
      <c r="E1474" s="27">
        <f t="shared" si="113"/>
        <v>4</v>
      </c>
      <c r="F1474" s="27">
        <f>VLOOKUP(E1474,[2]t_calendarioPolitica!A:C,3,FALSE)</f>
        <v>1</v>
      </c>
      <c r="G1474" s="1">
        <v>1</v>
      </c>
      <c r="H1474" s="1">
        <v>1</v>
      </c>
      <c r="I1474" s="1">
        <f t="shared" si="114"/>
        <v>1</v>
      </c>
    </row>
    <row r="1475" spans="1:9" x14ac:dyDescent="0.25">
      <c r="A1475" s="26">
        <v>46765</v>
      </c>
      <c r="B1475" s="27">
        <f t="shared" ref="B1475:B1538" si="115">YEAR(A1475)</f>
        <v>2028</v>
      </c>
      <c r="C1475" s="27">
        <f t="shared" ref="C1475:C1538" si="116">MONTH(A1475)</f>
        <v>1</v>
      </c>
      <c r="D1475" s="27">
        <f t="shared" ref="D1475:D1538" si="117">DAY(A1475)</f>
        <v>13</v>
      </c>
      <c r="E1475" s="27">
        <f t="shared" ref="E1475:E1538" si="118">WEEKDAY(A1475)</f>
        <v>5</v>
      </c>
      <c r="F1475" s="27">
        <f>VLOOKUP(E1475,[2]t_calendarioPolitica!A:C,3,FALSE)</f>
        <v>1</v>
      </c>
      <c r="G1475" s="1">
        <v>1</v>
      </c>
      <c r="H1475" s="1">
        <v>1</v>
      </c>
      <c r="I1475" s="1">
        <f t="shared" ref="I1475:I1538" si="119">IF(AND(F1475&lt;&gt;0, H1475&lt;&gt;0,G1475&lt;&gt;0), 1, 0)</f>
        <v>1</v>
      </c>
    </row>
    <row r="1476" spans="1:9" x14ac:dyDescent="0.25">
      <c r="A1476" s="26">
        <v>46766</v>
      </c>
      <c r="B1476" s="27">
        <f t="shared" si="115"/>
        <v>2028</v>
      </c>
      <c r="C1476" s="27">
        <f t="shared" si="116"/>
        <v>1</v>
      </c>
      <c r="D1476" s="27">
        <f t="shared" si="117"/>
        <v>14</v>
      </c>
      <c r="E1476" s="27">
        <f t="shared" si="118"/>
        <v>6</v>
      </c>
      <c r="F1476" s="27">
        <f>VLOOKUP(E1476,[2]t_calendarioPolitica!A:C,3,FALSE)</f>
        <v>1</v>
      </c>
      <c r="G1476" s="1">
        <v>1</v>
      </c>
      <c r="H1476" s="1">
        <v>1</v>
      </c>
      <c r="I1476" s="1">
        <f t="shared" si="119"/>
        <v>1</v>
      </c>
    </row>
    <row r="1477" spans="1:9" x14ac:dyDescent="0.25">
      <c r="A1477" s="26">
        <v>46767</v>
      </c>
      <c r="B1477" s="27">
        <f t="shared" si="115"/>
        <v>2028</v>
      </c>
      <c r="C1477" s="27">
        <f t="shared" si="116"/>
        <v>1</v>
      </c>
      <c r="D1477" s="27">
        <f t="shared" si="117"/>
        <v>15</v>
      </c>
      <c r="E1477" s="27">
        <f t="shared" si="118"/>
        <v>7</v>
      </c>
      <c r="F1477" s="27">
        <f>VLOOKUP(E1477,[2]t_calendarioPolitica!A:C,3,FALSE)</f>
        <v>2</v>
      </c>
      <c r="G1477" s="1">
        <v>1</v>
      </c>
      <c r="H1477" s="1">
        <v>1</v>
      </c>
      <c r="I1477" s="1">
        <f t="shared" si="119"/>
        <v>1</v>
      </c>
    </row>
    <row r="1478" spans="1:9" x14ac:dyDescent="0.25">
      <c r="A1478" s="26">
        <v>46768</v>
      </c>
      <c r="B1478" s="27">
        <f t="shared" si="115"/>
        <v>2028</v>
      </c>
      <c r="C1478" s="27">
        <f t="shared" si="116"/>
        <v>1</v>
      </c>
      <c r="D1478" s="27">
        <f t="shared" si="117"/>
        <v>16</v>
      </c>
      <c r="E1478" s="27">
        <f t="shared" si="118"/>
        <v>1</v>
      </c>
      <c r="F1478" s="27">
        <f>VLOOKUP(E1478,[2]t_calendarioPolitica!A:C,3,FALSE)</f>
        <v>0</v>
      </c>
      <c r="G1478" s="1">
        <v>1</v>
      </c>
      <c r="H1478" s="1">
        <v>1</v>
      </c>
      <c r="I1478" s="1">
        <f t="shared" si="119"/>
        <v>0</v>
      </c>
    </row>
    <row r="1479" spans="1:9" x14ac:dyDescent="0.25">
      <c r="A1479" s="26">
        <v>46769</v>
      </c>
      <c r="B1479" s="27">
        <f t="shared" si="115"/>
        <v>2028</v>
      </c>
      <c r="C1479" s="27">
        <f t="shared" si="116"/>
        <v>1</v>
      </c>
      <c r="D1479" s="27">
        <f t="shared" si="117"/>
        <v>17</v>
      </c>
      <c r="E1479" s="27">
        <f t="shared" si="118"/>
        <v>2</v>
      </c>
      <c r="F1479" s="27">
        <f>VLOOKUP(E1479,[2]t_calendarioPolitica!A:C,3,FALSE)</f>
        <v>1</v>
      </c>
      <c r="G1479" s="1">
        <v>1</v>
      </c>
      <c r="H1479" s="1">
        <v>1</v>
      </c>
      <c r="I1479" s="1">
        <f t="shared" si="119"/>
        <v>1</v>
      </c>
    </row>
    <row r="1480" spans="1:9" x14ac:dyDescent="0.25">
      <c r="A1480" s="26">
        <v>46770</v>
      </c>
      <c r="B1480" s="27">
        <f t="shared" si="115"/>
        <v>2028</v>
      </c>
      <c r="C1480" s="27">
        <f t="shared" si="116"/>
        <v>1</v>
      </c>
      <c r="D1480" s="27">
        <f t="shared" si="117"/>
        <v>18</v>
      </c>
      <c r="E1480" s="27">
        <f t="shared" si="118"/>
        <v>3</v>
      </c>
      <c r="F1480" s="27">
        <f>VLOOKUP(E1480,[2]t_calendarioPolitica!A:C,3,FALSE)</f>
        <v>1</v>
      </c>
      <c r="G1480" s="1">
        <v>1</v>
      </c>
      <c r="H1480" s="1">
        <v>1</v>
      </c>
      <c r="I1480" s="1">
        <f t="shared" si="119"/>
        <v>1</v>
      </c>
    </row>
    <row r="1481" spans="1:9" x14ac:dyDescent="0.25">
      <c r="A1481" s="26">
        <v>46771</v>
      </c>
      <c r="B1481" s="27">
        <f t="shared" si="115"/>
        <v>2028</v>
      </c>
      <c r="C1481" s="27">
        <f t="shared" si="116"/>
        <v>1</v>
      </c>
      <c r="D1481" s="27">
        <f t="shared" si="117"/>
        <v>19</v>
      </c>
      <c r="E1481" s="27">
        <f t="shared" si="118"/>
        <v>4</v>
      </c>
      <c r="F1481" s="27">
        <f>VLOOKUP(E1481,[2]t_calendarioPolitica!A:C,3,FALSE)</f>
        <v>1</v>
      </c>
      <c r="G1481" s="1">
        <v>1</v>
      </c>
      <c r="H1481" s="1">
        <v>1</v>
      </c>
      <c r="I1481" s="1">
        <f t="shared" si="119"/>
        <v>1</v>
      </c>
    </row>
    <row r="1482" spans="1:9" x14ac:dyDescent="0.25">
      <c r="A1482" s="26">
        <v>46772</v>
      </c>
      <c r="B1482" s="27">
        <f t="shared" si="115"/>
        <v>2028</v>
      </c>
      <c r="C1482" s="27">
        <f t="shared" si="116"/>
        <v>1</v>
      </c>
      <c r="D1482" s="27">
        <f t="shared" si="117"/>
        <v>20</v>
      </c>
      <c r="E1482" s="27">
        <f t="shared" si="118"/>
        <v>5</v>
      </c>
      <c r="F1482" s="27">
        <f>VLOOKUP(E1482,[2]t_calendarioPolitica!A:C,3,FALSE)</f>
        <v>1</v>
      </c>
      <c r="G1482" s="1">
        <v>1</v>
      </c>
      <c r="H1482" s="1">
        <v>1</v>
      </c>
      <c r="I1482" s="1">
        <f t="shared" si="119"/>
        <v>1</v>
      </c>
    </row>
    <row r="1483" spans="1:9" x14ac:dyDescent="0.25">
      <c r="A1483" s="26">
        <v>46773</v>
      </c>
      <c r="B1483" s="27">
        <f t="shared" si="115"/>
        <v>2028</v>
      </c>
      <c r="C1483" s="27">
        <f t="shared" si="116"/>
        <v>1</v>
      </c>
      <c r="D1483" s="27">
        <f t="shared" si="117"/>
        <v>21</v>
      </c>
      <c r="E1483" s="27">
        <f t="shared" si="118"/>
        <v>6</v>
      </c>
      <c r="F1483" s="27">
        <f>VLOOKUP(E1483,[2]t_calendarioPolitica!A:C,3,FALSE)</f>
        <v>1</v>
      </c>
      <c r="G1483" s="1">
        <v>1</v>
      </c>
      <c r="H1483" s="1">
        <v>1</v>
      </c>
      <c r="I1483" s="1">
        <f t="shared" si="119"/>
        <v>1</v>
      </c>
    </row>
    <row r="1484" spans="1:9" x14ac:dyDescent="0.25">
      <c r="A1484" s="26">
        <v>46774</v>
      </c>
      <c r="B1484" s="27">
        <f t="shared" si="115"/>
        <v>2028</v>
      </c>
      <c r="C1484" s="27">
        <f t="shared" si="116"/>
        <v>1</v>
      </c>
      <c r="D1484" s="27">
        <f t="shared" si="117"/>
        <v>22</v>
      </c>
      <c r="E1484" s="27">
        <f t="shared" si="118"/>
        <v>7</v>
      </c>
      <c r="F1484" s="27">
        <f>VLOOKUP(E1484,[2]t_calendarioPolitica!A:C,3,FALSE)</f>
        <v>2</v>
      </c>
      <c r="G1484" s="1">
        <v>1</v>
      </c>
      <c r="H1484" s="1">
        <v>1</v>
      </c>
      <c r="I1484" s="1">
        <f t="shared" si="119"/>
        <v>1</v>
      </c>
    </row>
    <row r="1485" spans="1:9" x14ac:dyDescent="0.25">
      <c r="A1485" s="26">
        <v>46775</v>
      </c>
      <c r="B1485" s="27">
        <f t="shared" si="115"/>
        <v>2028</v>
      </c>
      <c r="C1485" s="27">
        <f t="shared" si="116"/>
        <v>1</v>
      </c>
      <c r="D1485" s="27">
        <f t="shared" si="117"/>
        <v>23</v>
      </c>
      <c r="E1485" s="27">
        <f t="shared" si="118"/>
        <v>1</v>
      </c>
      <c r="F1485" s="27">
        <f>VLOOKUP(E1485,[2]t_calendarioPolitica!A:C,3,FALSE)</f>
        <v>0</v>
      </c>
      <c r="G1485" s="1">
        <v>1</v>
      </c>
      <c r="H1485" s="1">
        <v>1</v>
      </c>
      <c r="I1485" s="1">
        <f t="shared" si="119"/>
        <v>0</v>
      </c>
    </row>
    <row r="1486" spans="1:9" x14ac:dyDescent="0.25">
      <c r="A1486" s="26">
        <v>46776</v>
      </c>
      <c r="B1486" s="27">
        <f t="shared" si="115"/>
        <v>2028</v>
      </c>
      <c r="C1486" s="27">
        <f t="shared" si="116"/>
        <v>1</v>
      </c>
      <c r="D1486" s="27">
        <f t="shared" si="117"/>
        <v>24</v>
      </c>
      <c r="E1486" s="27">
        <f t="shared" si="118"/>
        <v>2</v>
      </c>
      <c r="F1486" s="27">
        <f>VLOOKUP(E1486,[2]t_calendarioPolitica!A:C,3,FALSE)</f>
        <v>1</v>
      </c>
      <c r="G1486" s="1">
        <v>1</v>
      </c>
      <c r="H1486" s="1">
        <v>1</v>
      </c>
      <c r="I1486" s="1">
        <f t="shared" si="119"/>
        <v>1</v>
      </c>
    </row>
    <row r="1487" spans="1:9" x14ac:dyDescent="0.25">
      <c r="A1487" s="26">
        <v>46777</v>
      </c>
      <c r="B1487" s="27">
        <f t="shared" si="115"/>
        <v>2028</v>
      </c>
      <c r="C1487" s="27">
        <f t="shared" si="116"/>
        <v>1</v>
      </c>
      <c r="D1487" s="27">
        <f t="shared" si="117"/>
        <v>25</v>
      </c>
      <c r="E1487" s="27">
        <f t="shared" si="118"/>
        <v>3</v>
      </c>
      <c r="F1487" s="27">
        <f>VLOOKUP(E1487,[2]t_calendarioPolitica!A:C,3,FALSE)</f>
        <v>1</v>
      </c>
      <c r="G1487" s="1">
        <v>1</v>
      </c>
      <c r="H1487" s="1">
        <v>1</v>
      </c>
      <c r="I1487" s="1">
        <f t="shared" si="119"/>
        <v>1</v>
      </c>
    </row>
    <row r="1488" spans="1:9" x14ac:dyDescent="0.25">
      <c r="A1488" s="26">
        <v>46778</v>
      </c>
      <c r="B1488" s="27">
        <f t="shared" si="115"/>
        <v>2028</v>
      </c>
      <c r="C1488" s="27">
        <f t="shared" si="116"/>
        <v>1</v>
      </c>
      <c r="D1488" s="27">
        <f t="shared" si="117"/>
        <v>26</v>
      </c>
      <c r="E1488" s="27">
        <f t="shared" si="118"/>
        <v>4</v>
      </c>
      <c r="F1488" s="27">
        <f>VLOOKUP(E1488,[2]t_calendarioPolitica!A:C,3,FALSE)</f>
        <v>1</v>
      </c>
      <c r="G1488" s="1">
        <v>1</v>
      </c>
      <c r="H1488" s="1">
        <v>1</v>
      </c>
      <c r="I1488" s="1">
        <f t="shared" si="119"/>
        <v>1</v>
      </c>
    </row>
    <row r="1489" spans="1:9" x14ac:dyDescent="0.25">
      <c r="A1489" s="26">
        <v>46779</v>
      </c>
      <c r="B1489" s="27">
        <f t="shared" si="115"/>
        <v>2028</v>
      </c>
      <c r="C1489" s="27">
        <f t="shared" si="116"/>
        <v>1</v>
      </c>
      <c r="D1489" s="27">
        <f t="shared" si="117"/>
        <v>27</v>
      </c>
      <c r="E1489" s="27">
        <f t="shared" si="118"/>
        <v>5</v>
      </c>
      <c r="F1489" s="27">
        <f>VLOOKUP(E1489,[2]t_calendarioPolitica!A:C,3,FALSE)</f>
        <v>1</v>
      </c>
      <c r="G1489" s="1">
        <v>1</v>
      </c>
      <c r="H1489" s="1">
        <v>1</v>
      </c>
      <c r="I1489" s="1">
        <f t="shared" si="119"/>
        <v>1</v>
      </c>
    </row>
    <row r="1490" spans="1:9" x14ac:dyDescent="0.25">
      <c r="A1490" s="26">
        <v>46780</v>
      </c>
      <c r="B1490" s="27">
        <f t="shared" si="115"/>
        <v>2028</v>
      </c>
      <c r="C1490" s="27">
        <f t="shared" si="116"/>
        <v>1</v>
      </c>
      <c r="D1490" s="27">
        <f t="shared" si="117"/>
        <v>28</v>
      </c>
      <c r="E1490" s="27">
        <f t="shared" si="118"/>
        <v>6</v>
      </c>
      <c r="F1490" s="27">
        <f>VLOOKUP(E1490,[2]t_calendarioPolitica!A:C,3,FALSE)</f>
        <v>1</v>
      </c>
      <c r="G1490" s="1">
        <v>1</v>
      </c>
      <c r="H1490" s="1">
        <v>1</v>
      </c>
      <c r="I1490" s="1">
        <f t="shared" si="119"/>
        <v>1</v>
      </c>
    </row>
    <row r="1491" spans="1:9" x14ac:dyDescent="0.25">
      <c r="A1491" s="26">
        <v>46781</v>
      </c>
      <c r="B1491" s="27">
        <f t="shared" si="115"/>
        <v>2028</v>
      </c>
      <c r="C1491" s="27">
        <f t="shared" si="116"/>
        <v>1</v>
      </c>
      <c r="D1491" s="27">
        <f t="shared" si="117"/>
        <v>29</v>
      </c>
      <c r="E1491" s="27">
        <f t="shared" si="118"/>
        <v>7</v>
      </c>
      <c r="F1491" s="27">
        <f>VLOOKUP(E1491,[2]t_calendarioPolitica!A:C,3,FALSE)</f>
        <v>2</v>
      </c>
      <c r="G1491" s="1">
        <v>1</v>
      </c>
      <c r="H1491" s="1">
        <v>1</v>
      </c>
      <c r="I1491" s="1">
        <f t="shared" si="119"/>
        <v>1</v>
      </c>
    </row>
    <row r="1492" spans="1:9" x14ac:dyDescent="0.25">
      <c r="A1492" s="26">
        <v>46782</v>
      </c>
      <c r="B1492" s="27">
        <f t="shared" si="115"/>
        <v>2028</v>
      </c>
      <c r="C1492" s="27">
        <f t="shared" si="116"/>
        <v>1</v>
      </c>
      <c r="D1492" s="27">
        <f t="shared" si="117"/>
        <v>30</v>
      </c>
      <c r="E1492" s="27">
        <f t="shared" si="118"/>
        <v>1</v>
      </c>
      <c r="F1492" s="27">
        <f>VLOOKUP(E1492,[2]t_calendarioPolitica!A:C,3,FALSE)</f>
        <v>0</v>
      </c>
      <c r="G1492" s="1">
        <v>1</v>
      </c>
      <c r="H1492" s="1">
        <v>1</v>
      </c>
      <c r="I1492" s="1">
        <f t="shared" si="119"/>
        <v>0</v>
      </c>
    </row>
    <row r="1493" spans="1:9" x14ac:dyDescent="0.25">
      <c r="A1493" s="26">
        <v>46783</v>
      </c>
      <c r="B1493" s="27">
        <f t="shared" si="115"/>
        <v>2028</v>
      </c>
      <c r="C1493" s="27">
        <f t="shared" si="116"/>
        <v>1</v>
      </c>
      <c r="D1493" s="27">
        <f t="shared" si="117"/>
        <v>31</v>
      </c>
      <c r="E1493" s="27">
        <f t="shared" si="118"/>
        <v>2</v>
      </c>
      <c r="F1493" s="27">
        <f>VLOOKUP(E1493,[2]t_calendarioPolitica!A:C,3,FALSE)</f>
        <v>1</v>
      </c>
      <c r="G1493" s="1">
        <v>1</v>
      </c>
      <c r="H1493" s="1">
        <v>1</v>
      </c>
      <c r="I1493" s="1">
        <f t="shared" si="119"/>
        <v>1</v>
      </c>
    </row>
    <row r="1494" spans="1:9" x14ac:dyDescent="0.25">
      <c r="A1494" s="26">
        <v>46784</v>
      </c>
      <c r="B1494" s="27">
        <f t="shared" si="115"/>
        <v>2028</v>
      </c>
      <c r="C1494" s="27">
        <f t="shared" si="116"/>
        <v>2</v>
      </c>
      <c r="D1494" s="27">
        <f t="shared" si="117"/>
        <v>1</v>
      </c>
      <c r="E1494" s="27">
        <f t="shared" si="118"/>
        <v>3</v>
      </c>
      <c r="F1494" s="27">
        <f>VLOOKUP(E1494,[2]t_calendarioPolitica!A:C,3,FALSE)</f>
        <v>1</v>
      </c>
      <c r="G1494" s="1">
        <v>1</v>
      </c>
      <c r="H1494" s="1">
        <v>1</v>
      </c>
      <c r="I1494" s="1">
        <f t="shared" si="119"/>
        <v>1</v>
      </c>
    </row>
    <row r="1495" spans="1:9" x14ac:dyDescent="0.25">
      <c r="A1495" s="26">
        <v>46785</v>
      </c>
      <c r="B1495" s="27">
        <f t="shared" si="115"/>
        <v>2028</v>
      </c>
      <c r="C1495" s="27">
        <f t="shared" si="116"/>
        <v>2</v>
      </c>
      <c r="D1495" s="27">
        <f t="shared" si="117"/>
        <v>2</v>
      </c>
      <c r="E1495" s="27">
        <f t="shared" si="118"/>
        <v>4</v>
      </c>
      <c r="F1495" s="27">
        <f>VLOOKUP(E1495,[2]t_calendarioPolitica!A:C,3,FALSE)</f>
        <v>1</v>
      </c>
      <c r="G1495" s="1">
        <v>1</v>
      </c>
      <c r="H1495" s="1">
        <v>1</v>
      </c>
      <c r="I1495" s="1">
        <f t="shared" si="119"/>
        <v>1</v>
      </c>
    </row>
    <row r="1496" spans="1:9" x14ac:dyDescent="0.25">
      <c r="A1496" s="26">
        <v>46786</v>
      </c>
      <c r="B1496" s="27">
        <f t="shared" si="115"/>
        <v>2028</v>
      </c>
      <c r="C1496" s="27">
        <f t="shared" si="116"/>
        <v>2</v>
      </c>
      <c r="D1496" s="27">
        <f t="shared" si="117"/>
        <v>3</v>
      </c>
      <c r="E1496" s="27">
        <f t="shared" si="118"/>
        <v>5</v>
      </c>
      <c r="F1496" s="27">
        <f>VLOOKUP(E1496,[2]t_calendarioPolitica!A:C,3,FALSE)</f>
        <v>1</v>
      </c>
      <c r="G1496" s="1">
        <v>1</v>
      </c>
      <c r="H1496" s="1">
        <v>1</v>
      </c>
      <c r="I1496" s="1">
        <f t="shared" si="119"/>
        <v>1</v>
      </c>
    </row>
    <row r="1497" spans="1:9" x14ac:dyDescent="0.25">
      <c r="A1497" s="26">
        <v>46787</v>
      </c>
      <c r="B1497" s="27">
        <f t="shared" si="115"/>
        <v>2028</v>
      </c>
      <c r="C1497" s="27">
        <f t="shared" si="116"/>
        <v>2</v>
      </c>
      <c r="D1497" s="27">
        <f t="shared" si="117"/>
        <v>4</v>
      </c>
      <c r="E1497" s="27">
        <f t="shared" si="118"/>
        <v>6</v>
      </c>
      <c r="F1497" s="27">
        <f>VLOOKUP(E1497,[2]t_calendarioPolitica!A:C,3,FALSE)</f>
        <v>1</v>
      </c>
      <c r="G1497" s="1">
        <v>1</v>
      </c>
      <c r="H1497" s="1">
        <v>1</v>
      </c>
      <c r="I1497" s="1">
        <f t="shared" si="119"/>
        <v>1</v>
      </c>
    </row>
    <row r="1498" spans="1:9" x14ac:dyDescent="0.25">
      <c r="A1498" s="26">
        <v>46788</v>
      </c>
      <c r="B1498" s="27">
        <f t="shared" si="115"/>
        <v>2028</v>
      </c>
      <c r="C1498" s="27">
        <f t="shared" si="116"/>
        <v>2</v>
      </c>
      <c r="D1498" s="27">
        <f t="shared" si="117"/>
        <v>5</v>
      </c>
      <c r="E1498" s="27">
        <f t="shared" si="118"/>
        <v>7</v>
      </c>
      <c r="F1498" s="27">
        <f>VLOOKUP(E1498,[2]t_calendarioPolitica!A:C,3,FALSE)</f>
        <v>2</v>
      </c>
      <c r="G1498" s="1">
        <v>1</v>
      </c>
      <c r="H1498" s="1">
        <v>1</v>
      </c>
      <c r="I1498" s="1">
        <f t="shared" si="119"/>
        <v>1</v>
      </c>
    </row>
    <row r="1499" spans="1:9" x14ac:dyDescent="0.25">
      <c r="A1499" s="26">
        <v>46789</v>
      </c>
      <c r="B1499" s="27">
        <f t="shared" si="115"/>
        <v>2028</v>
      </c>
      <c r="C1499" s="27">
        <f t="shared" si="116"/>
        <v>2</v>
      </c>
      <c r="D1499" s="27">
        <f t="shared" si="117"/>
        <v>6</v>
      </c>
      <c r="E1499" s="27">
        <f t="shared" si="118"/>
        <v>1</v>
      </c>
      <c r="F1499" s="27">
        <f>VLOOKUP(E1499,[2]t_calendarioPolitica!A:C,3,FALSE)</f>
        <v>0</v>
      </c>
      <c r="G1499" s="1">
        <v>1</v>
      </c>
      <c r="H1499" s="1">
        <v>1</v>
      </c>
      <c r="I1499" s="1">
        <f t="shared" si="119"/>
        <v>0</v>
      </c>
    </row>
    <row r="1500" spans="1:9" x14ac:dyDescent="0.25">
      <c r="A1500" s="26">
        <v>46790</v>
      </c>
      <c r="B1500" s="27">
        <f t="shared" si="115"/>
        <v>2028</v>
      </c>
      <c r="C1500" s="27">
        <f t="shared" si="116"/>
        <v>2</v>
      </c>
      <c r="D1500" s="27">
        <f t="shared" si="117"/>
        <v>7</v>
      </c>
      <c r="E1500" s="27">
        <f t="shared" si="118"/>
        <v>2</v>
      </c>
      <c r="F1500" s="27">
        <f>VLOOKUP(E1500,[2]t_calendarioPolitica!A:C,3,FALSE)</f>
        <v>1</v>
      </c>
      <c r="G1500" s="1">
        <v>1</v>
      </c>
      <c r="H1500" s="1">
        <v>1</v>
      </c>
      <c r="I1500" s="1">
        <f t="shared" si="119"/>
        <v>1</v>
      </c>
    </row>
    <row r="1501" spans="1:9" x14ac:dyDescent="0.25">
      <c r="A1501" s="26">
        <v>46791</v>
      </c>
      <c r="B1501" s="27">
        <f t="shared" si="115"/>
        <v>2028</v>
      </c>
      <c r="C1501" s="27">
        <f t="shared" si="116"/>
        <v>2</v>
      </c>
      <c r="D1501" s="27">
        <f t="shared" si="117"/>
        <v>8</v>
      </c>
      <c r="E1501" s="27">
        <f t="shared" si="118"/>
        <v>3</v>
      </c>
      <c r="F1501" s="27">
        <f>VLOOKUP(E1501,[2]t_calendarioPolitica!A:C,3,FALSE)</f>
        <v>1</v>
      </c>
      <c r="G1501" s="1">
        <v>1</v>
      </c>
      <c r="H1501" s="1">
        <v>1</v>
      </c>
      <c r="I1501" s="1">
        <f t="shared" si="119"/>
        <v>1</v>
      </c>
    </row>
    <row r="1502" spans="1:9" x14ac:dyDescent="0.25">
      <c r="A1502" s="26">
        <v>46792</v>
      </c>
      <c r="B1502" s="27">
        <f t="shared" si="115"/>
        <v>2028</v>
      </c>
      <c r="C1502" s="27">
        <f t="shared" si="116"/>
        <v>2</v>
      </c>
      <c r="D1502" s="27">
        <f t="shared" si="117"/>
        <v>9</v>
      </c>
      <c r="E1502" s="27">
        <f t="shared" si="118"/>
        <v>4</v>
      </c>
      <c r="F1502" s="27">
        <f>VLOOKUP(E1502,[2]t_calendarioPolitica!A:C,3,FALSE)</f>
        <v>1</v>
      </c>
      <c r="G1502" s="1">
        <v>1</v>
      </c>
      <c r="H1502" s="1">
        <v>1</v>
      </c>
      <c r="I1502" s="1">
        <f t="shared" si="119"/>
        <v>1</v>
      </c>
    </row>
    <row r="1503" spans="1:9" x14ac:dyDescent="0.25">
      <c r="A1503" s="26">
        <v>46793</v>
      </c>
      <c r="B1503" s="27">
        <f t="shared" si="115"/>
        <v>2028</v>
      </c>
      <c r="C1503" s="27">
        <f t="shared" si="116"/>
        <v>2</v>
      </c>
      <c r="D1503" s="27">
        <f t="shared" si="117"/>
        <v>10</v>
      </c>
      <c r="E1503" s="27">
        <f t="shared" si="118"/>
        <v>5</v>
      </c>
      <c r="F1503" s="27">
        <f>VLOOKUP(E1503,[2]t_calendarioPolitica!A:C,3,FALSE)</f>
        <v>1</v>
      </c>
      <c r="G1503" s="1">
        <v>1</v>
      </c>
      <c r="H1503" s="1">
        <v>1</v>
      </c>
      <c r="I1503" s="1">
        <f t="shared" si="119"/>
        <v>1</v>
      </c>
    </row>
    <row r="1504" spans="1:9" x14ac:dyDescent="0.25">
      <c r="A1504" s="26">
        <v>46794</v>
      </c>
      <c r="B1504" s="27">
        <f t="shared" si="115"/>
        <v>2028</v>
      </c>
      <c r="C1504" s="27">
        <f t="shared" si="116"/>
        <v>2</v>
      </c>
      <c r="D1504" s="27">
        <f t="shared" si="117"/>
        <v>11</v>
      </c>
      <c r="E1504" s="27">
        <f t="shared" si="118"/>
        <v>6</v>
      </c>
      <c r="F1504" s="27">
        <f>VLOOKUP(E1504,[2]t_calendarioPolitica!A:C,3,FALSE)</f>
        <v>1</v>
      </c>
      <c r="G1504" s="1">
        <v>1</v>
      </c>
      <c r="H1504" s="1">
        <v>1</v>
      </c>
      <c r="I1504" s="1">
        <f t="shared" si="119"/>
        <v>1</v>
      </c>
    </row>
    <row r="1505" spans="1:9" x14ac:dyDescent="0.25">
      <c r="A1505" s="26">
        <v>46795</v>
      </c>
      <c r="B1505" s="27">
        <f t="shared" si="115"/>
        <v>2028</v>
      </c>
      <c r="C1505" s="27">
        <f t="shared" si="116"/>
        <v>2</v>
      </c>
      <c r="D1505" s="27">
        <f t="shared" si="117"/>
        <v>12</v>
      </c>
      <c r="E1505" s="27">
        <f t="shared" si="118"/>
        <v>7</v>
      </c>
      <c r="F1505" s="27">
        <f>VLOOKUP(E1505,[2]t_calendarioPolitica!A:C,3,FALSE)</f>
        <v>2</v>
      </c>
      <c r="G1505" s="1">
        <v>1</v>
      </c>
      <c r="H1505" s="1">
        <v>1</v>
      </c>
      <c r="I1505" s="1">
        <f t="shared" si="119"/>
        <v>1</v>
      </c>
    </row>
    <row r="1506" spans="1:9" x14ac:dyDescent="0.25">
      <c r="A1506" s="26">
        <v>46796</v>
      </c>
      <c r="B1506" s="27">
        <f t="shared" si="115"/>
        <v>2028</v>
      </c>
      <c r="C1506" s="27">
        <f t="shared" si="116"/>
        <v>2</v>
      </c>
      <c r="D1506" s="27">
        <f t="shared" si="117"/>
        <v>13</v>
      </c>
      <c r="E1506" s="27">
        <f t="shared" si="118"/>
        <v>1</v>
      </c>
      <c r="F1506" s="27">
        <f>VLOOKUP(E1506,[2]t_calendarioPolitica!A:C,3,FALSE)</f>
        <v>0</v>
      </c>
      <c r="G1506" s="1">
        <v>1</v>
      </c>
      <c r="H1506" s="1">
        <v>1</v>
      </c>
      <c r="I1506" s="1">
        <f t="shared" si="119"/>
        <v>0</v>
      </c>
    </row>
    <row r="1507" spans="1:9" x14ac:dyDescent="0.25">
      <c r="A1507" s="26">
        <v>46797</v>
      </c>
      <c r="B1507" s="27">
        <f t="shared" si="115"/>
        <v>2028</v>
      </c>
      <c r="C1507" s="27">
        <f t="shared" si="116"/>
        <v>2</v>
      </c>
      <c r="D1507" s="27">
        <f t="shared" si="117"/>
        <v>14</v>
      </c>
      <c r="E1507" s="27">
        <f t="shared" si="118"/>
        <v>2</v>
      </c>
      <c r="F1507" s="27">
        <f>VLOOKUP(E1507,[2]t_calendarioPolitica!A:C,3,FALSE)</f>
        <v>1</v>
      </c>
      <c r="G1507" s="1">
        <v>1</v>
      </c>
      <c r="H1507" s="1">
        <v>1</v>
      </c>
      <c r="I1507" s="1">
        <f t="shared" si="119"/>
        <v>1</v>
      </c>
    </row>
    <row r="1508" spans="1:9" x14ac:dyDescent="0.25">
      <c r="A1508" s="26">
        <v>46798</v>
      </c>
      <c r="B1508" s="27">
        <f t="shared" si="115"/>
        <v>2028</v>
      </c>
      <c r="C1508" s="27">
        <f t="shared" si="116"/>
        <v>2</v>
      </c>
      <c r="D1508" s="27">
        <f t="shared" si="117"/>
        <v>15</v>
      </c>
      <c r="E1508" s="27">
        <f t="shared" si="118"/>
        <v>3</v>
      </c>
      <c r="F1508" s="27">
        <f>VLOOKUP(E1508,[2]t_calendarioPolitica!A:C,3,FALSE)</f>
        <v>1</v>
      </c>
      <c r="G1508" s="1">
        <v>1</v>
      </c>
      <c r="H1508" s="1">
        <v>1</v>
      </c>
      <c r="I1508" s="1">
        <f t="shared" si="119"/>
        <v>1</v>
      </c>
    </row>
    <row r="1509" spans="1:9" x14ac:dyDescent="0.25">
      <c r="A1509" s="26">
        <v>46799</v>
      </c>
      <c r="B1509" s="27">
        <f t="shared" si="115"/>
        <v>2028</v>
      </c>
      <c r="C1509" s="27">
        <f t="shared" si="116"/>
        <v>2</v>
      </c>
      <c r="D1509" s="27">
        <f t="shared" si="117"/>
        <v>16</v>
      </c>
      <c r="E1509" s="27">
        <f t="shared" si="118"/>
        <v>4</v>
      </c>
      <c r="F1509" s="27">
        <f>VLOOKUP(E1509,[2]t_calendarioPolitica!A:C,3,FALSE)</f>
        <v>1</v>
      </c>
      <c r="G1509" s="1">
        <v>1</v>
      </c>
      <c r="H1509" s="1">
        <v>1</v>
      </c>
      <c r="I1509" s="1">
        <f t="shared" si="119"/>
        <v>1</v>
      </c>
    </row>
    <row r="1510" spans="1:9" x14ac:dyDescent="0.25">
      <c r="A1510" s="26">
        <v>46800</v>
      </c>
      <c r="B1510" s="27">
        <f t="shared" si="115"/>
        <v>2028</v>
      </c>
      <c r="C1510" s="27">
        <f t="shared" si="116"/>
        <v>2</v>
      </c>
      <c r="D1510" s="27">
        <f t="shared" si="117"/>
        <v>17</v>
      </c>
      <c r="E1510" s="27">
        <f t="shared" si="118"/>
        <v>5</v>
      </c>
      <c r="F1510" s="27">
        <f>VLOOKUP(E1510,[2]t_calendarioPolitica!A:C,3,FALSE)</f>
        <v>1</v>
      </c>
      <c r="G1510" s="1">
        <v>1</v>
      </c>
      <c r="H1510" s="1">
        <v>1</v>
      </c>
      <c r="I1510" s="1">
        <f t="shared" si="119"/>
        <v>1</v>
      </c>
    </row>
    <row r="1511" spans="1:9" x14ac:dyDescent="0.25">
      <c r="A1511" s="26">
        <v>46801</v>
      </c>
      <c r="B1511" s="27">
        <f t="shared" si="115"/>
        <v>2028</v>
      </c>
      <c r="C1511" s="27">
        <f t="shared" si="116"/>
        <v>2</v>
      </c>
      <c r="D1511" s="27">
        <f t="shared" si="117"/>
        <v>18</v>
      </c>
      <c r="E1511" s="27">
        <f t="shared" si="118"/>
        <v>6</v>
      </c>
      <c r="F1511" s="27">
        <f>VLOOKUP(E1511,[2]t_calendarioPolitica!A:C,3,FALSE)</f>
        <v>1</v>
      </c>
      <c r="G1511" s="1">
        <v>1</v>
      </c>
      <c r="H1511" s="1">
        <v>1</v>
      </c>
      <c r="I1511" s="1">
        <f t="shared" si="119"/>
        <v>1</v>
      </c>
    </row>
    <row r="1512" spans="1:9" x14ac:dyDescent="0.25">
      <c r="A1512" s="26">
        <v>46802</v>
      </c>
      <c r="B1512" s="27">
        <f t="shared" si="115"/>
        <v>2028</v>
      </c>
      <c r="C1512" s="27">
        <f t="shared" si="116"/>
        <v>2</v>
      </c>
      <c r="D1512" s="27">
        <f t="shared" si="117"/>
        <v>19</v>
      </c>
      <c r="E1512" s="27">
        <f t="shared" si="118"/>
        <v>7</v>
      </c>
      <c r="F1512" s="27">
        <f>VLOOKUP(E1512,[2]t_calendarioPolitica!A:C,3,FALSE)</f>
        <v>2</v>
      </c>
      <c r="G1512" s="1">
        <v>1</v>
      </c>
      <c r="H1512" s="1">
        <v>1</v>
      </c>
      <c r="I1512" s="1">
        <f t="shared" si="119"/>
        <v>1</v>
      </c>
    </row>
    <row r="1513" spans="1:9" x14ac:dyDescent="0.25">
      <c r="A1513" s="26">
        <v>46803</v>
      </c>
      <c r="B1513" s="27">
        <f t="shared" si="115"/>
        <v>2028</v>
      </c>
      <c r="C1513" s="27">
        <f t="shared" si="116"/>
        <v>2</v>
      </c>
      <c r="D1513" s="27">
        <f t="shared" si="117"/>
        <v>20</v>
      </c>
      <c r="E1513" s="27">
        <f t="shared" si="118"/>
        <v>1</v>
      </c>
      <c r="F1513" s="27">
        <f>VLOOKUP(E1513,[2]t_calendarioPolitica!A:C,3,FALSE)</f>
        <v>0</v>
      </c>
      <c r="G1513" s="1">
        <v>1</v>
      </c>
      <c r="H1513" s="1">
        <v>1</v>
      </c>
      <c r="I1513" s="1">
        <f t="shared" si="119"/>
        <v>0</v>
      </c>
    </row>
    <row r="1514" spans="1:9" x14ac:dyDescent="0.25">
      <c r="A1514" s="26">
        <v>46804</v>
      </c>
      <c r="B1514" s="27">
        <f t="shared" si="115"/>
        <v>2028</v>
      </c>
      <c r="C1514" s="27">
        <f t="shared" si="116"/>
        <v>2</v>
      </c>
      <c r="D1514" s="27">
        <f t="shared" si="117"/>
        <v>21</v>
      </c>
      <c r="E1514" s="27">
        <f t="shared" si="118"/>
        <v>2</v>
      </c>
      <c r="F1514" s="27">
        <f>VLOOKUP(E1514,[2]t_calendarioPolitica!A:C,3,FALSE)</f>
        <v>1</v>
      </c>
      <c r="G1514" s="1">
        <v>1</v>
      </c>
      <c r="H1514" s="1">
        <v>1</v>
      </c>
      <c r="I1514" s="1">
        <f t="shared" si="119"/>
        <v>1</v>
      </c>
    </row>
    <row r="1515" spans="1:9" x14ac:dyDescent="0.25">
      <c r="A1515" s="26">
        <v>46805</v>
      </c>
      <c r="B1515" s="27">
        <f t="shared" si="115"/>
        <v>2028</v>
      </c>
      <c r="C1515" s="27">
        <f t="shared" si="116"/>
        <v>2</v>
      </c>
      <c r="D1515" s="27">
        <f t="shared" si="117"/>
        <v>22</v>
      </c>
      <c r="E1515" s="27">
        <f t="shared" si="118"/>
        <v>3</v>
      </c>
      <c r="F1515" s="27">
        <f>VLOOKUP(E1515,[2]t_calendarioPolitica!A:C,3,FALSE)</f>
        <v>1</v>
      </c>
      <c r="G1515" s="1">
        <v>1</v>
      </c>
      <c r="H1515" s="1">
        <v>1</v>
      </c>
      <c r="I1515" s="1">
        <f t="shared" si="119"/>
        <v>1</v>
      </c>
    </row>
    <row r="1516" spans="1:9" x14ac:dyDescent="0.25">
      <c r="A1516" s="26">
        <v>46806</v>
      </c>
      <c r="B1516" s="27">
        <f t="shared" si="115"/>
        <v>2028</v>
      </c>
      <c r="C1516" s="27">
        <f t="shared" si="116"/>
        <v>2</v>
      </c>
      <c r="D1516" s="27">
        <f t="shared" si="117"/>
        <v>23</v>
      </c>
      <c r="E1516" s="27">
        <f t="shared" si="118"/>
        <v>4</v>
      </c>
      <c r="F1516" s="27">
        <f>VLOOKUP(E1516,[2]t_calendarioPolitica!A:C,3,FALSE)</f>
        <v>1</v>
      </c>
      <c r="G1516" s="1">
        <v>1</v>
      </c>
      <c r="H1516" s="1">
        <v>1</v>
      </c>
      <c r="I1516" s="1">
        <f t="shared" si="119"/>
        <v>1</v>
      </c>
    </row>
    <row r="1517" spans="1:9" x14ac:dyDescent="0.25">
      <c r="A1517" s="26">
        <v>46807</v>
      </c>
      <c r="B1517" s="27">
        <f t="shared" si="115"/>
        <v>2028</v>
      </c>
      <c r="C1517" s="27">
        <f t="shared" si="116"/>
        <v>2</v>
      </c>
      <c r="D1517" s="27">
        <f t="shared" si="117"/>
        <v>24</v>
      </c>
      <c r="E1517" s="27">
        <f t="shared" si="118"/>
        <v>5</v>
      </c>
      <c r="F1517" s="27">
        <f>VLOOKUP(E1517,[2]t_calendarioPolitica!A:C,3,FALSE)</f>
        <v>1</v>
      </c>
      <c r="G1517" s="1">
        <v>1</v>
      </c>
      <c r="H1517" s="1">
        <v>1</v>
      </c>
      <c r="I1517" s="1">
        <f t="shared" si="119"/>
        <v>1</v>
      </c>
    </row>
    <row r="1518" spans="1:9" x14ac:dyDescent="0.25">
      <c r="A1518" s="26">
        <v>46808</v>
      </c>
      <c r="B1518" s="27">
        <f t="shared" si="115"/>
        <v>2028</v>
      </c>
      <c r="C1518" s="27">
        <f t="shared" si="116"/>
        <v>2</v>
      </c>
      <c r="D1518" s="27">
        <f t="shared" si="117"/>
        <v>25</v>
      </c>
      <c r="E1518" s="27">
        <f t="shared" si="118"/>
        <v>6</v>
      </c>
      <c r="F1518" s="27">
        <f>VLOOKUP(E1518,[2]t_calendarioPolitica!A:C,3,FALSE)</f>
        <v>1</v>
      </c>
      <c r="G1518" s="1">
        <v>1</v>
      </c>
      <c r="H1518" s="1">
        <v>1</v>
      </c>
      <c r="I1518" s="1">
        <f t="shared" si="119"/>
        <v>1</v>
      </c>
    </row>
    <row r="1519" spans="1:9" x14ac:dyDescent="0.25">
      <c r="A1519" s="26">
        <v>46809</v>
      </c>
      <c r="B1519" s="27">
        <f t="shared" si="115"/>
        <v>2028</v>
      </c>
      <c r="C1519" s="27">
        <f t="shared" si="116"/>
        <v>2</v>
      </c>
      <c r="D1519" s="27">
        <f t="shared" si="117"/>
        <v>26</v>
      </c>
      <c r="E1519" s="27">
        <f t="shared" si="118"/>
        <v>7</v>
      </c>
      <c r="F1519" s="27">
        <f>VLOOKUP(E1519,[2]t_calendarioPolitica!A:C,3,FALSE)</f>
        <v>2</v>
      </c>
      <c r="G1519" s="1">
        <v>1</v>
      </c>
      <c r="H1519" s="1">
        <v>1</v>
      </c>
      <c r="I1519" s="1">
        <f t="shared" si="119"/>
        <v>1</v>
      </c>
    </row>
    <row r="1520" spans="1:9" x14ac:dyDescent="0.25">
      <c r="A1520" s="26">
        <v>46810</v>
      </c>
      <c r="B1520" s="27">
        <f t="shared" si="115"/>
        <v>2028</v>
      </c>
      <c r="C1520" s="27">
        <f t="shared" si="116"/>
        <v>2</v>
      </c>
      <c r="D1520" s="27">
        <f t="shared" si="117"/>
        <v>27</v>
      </c>
      <c r="E1520" s="27">
        <f t="shared" si="118"/>
        <v>1</v>
      </c>
      <c r="F1520" s="27">
        <f>VLOOKUP(E1520,[2]t_calendarioPolitica!A:C,3,FALSE)</f>
        <v>0</v>
      </c>
      <c r="G1520" s="1">
        <v>1</v>
      </c>
      <c r="H1520" s="1">
        <v>1</v>
      </c>
      <c r="I1520" s="1">
        <f t="shared" si="119"/>
        <v>0</v>
      </c>
    </row>
    <row r="1521" spans="1:9" x14ac:dyDescent="0.25">
      <c r="A1521" s="26">
        <v>46811</v>
      </c>
      <c r="B1521" s="27">
        <f t="shared" si="115"/>
        <v>2028</v>
      </c>
      <c r="C1521" s="27">
        <f t="shared" si="116"/>
        <v>2</v>
      </c>
      <c r="D1521" s="27">
        <f t="shared" si="117"/>
        <v>28</v>
      </c>
      <c r="E1521" s="27">
        <f t="shared" si="118"/>
        <v>2</v>
      </c>
      <c r="F1521" s="27">
        <f>VLOOKUP(E1521,[2]t_calendarioPolitica!A:C,3,FALSE)</f>
        <v>1</v>
      </c>
      <c r="G1521" s="1">
        <v>1</v>
      </c>
      <c r="H1521" s="1">
        <v>1</v>
      </c>
      <c r="I1521" s="1">
        <f t="shared" si="119"/>
        <v>1</v>
      </c>
    </row>
    <row r="1522" spans="1:9" x14ac:dyDescent="0.25">
      <c r="A1522" s="26">
        <v>46812</v>
      </c>
      <c r="B1522" s="27">
        <f t="shared" si="115"/>
        <v>2028</v>
      </c>
      <c r="C1522" s="27">
        <f t="shared" si="116"/>
        <v>2</v>
      </c>
      <c r="D1522" s="27">
        <f t="shared" si="117"/>
        <v>29</v>
      </c>
      <c r="E1522" s="27">
        <f t="shared" si="118"/>
        <v>3</v>
      </c>
      <c r="F1522" s="27">
        <f>VLOOKUP(E1522,[2]t_calendarioPolitica!A:C,3,FALSE)</f>
        <v>1</v>
      </c>
      <c r="G1522" s="1">
        <v>1</v>
      </c>
      <c r="H1522" s="1">
        <v>1</v>
      </c>
      <c r="I1522" s="1">
        <f t="shared" si="119"/>
        <v>1</v>
      </c>
    </row>
    <row r="1523" spans="1:9" x14ac:dyDescent="0.25">
      <c r="A1523" s="26">
        <v>46813</v>
      </c>
      <c r="B1523" s="27">
        <f t="shared" si="115"/>
        <v>2028</v>
      </c>
      <c r="C1523" s="27">
        <f t="shared" si="116"/>
        <v>3</v>
      </c>
      <c r="D1523" s="27">
        <f t="shared" si="117"/>
        <v>1</v>
      </c>
      <c r="E1523" s="27">
        <f t="shared" si="118"/>
        <v>4</v>
      </c>
      <c r="F1523" s="27">
        <f>VLOOKUP(E1523,[2]t_calendarioPolitica!A:C,3,FALSE)</f>
        <v>1</v>
      </c>
      <c r="G1523" s="1">
        <v>1</v>
      </c>
      <c r="H1523" s="1">
        <v>1</v>
      </c>
      <c r="I1523" s="1">
        <f t="shared" si="119"/>
        <v>1</v>
      </c>
    </row>
    <row r="1524" spans="1:9" x14ac:dyDescent="0.25">
      <c r="A1524" s="26">
        <v>46814</v>
      </c>
      <c r="B1524" s="27">
        <f t="shared" si="115"/>
        <v>2028</v>
      </c>
      <c r="C1524" s="27">
        <f t="shared" si="116"/>
        <v>3</v>
      </c>
      <c r="D1524" s="27">
        <f t="shared" si="117"/>
        <v>2</v>
      </c>
      <c r="E1524" s="27">
        <f t="shared" si="118"/>
        <v>5</v>
      </c>
      <c r="F1524" s="27">
        <f>VLOOKUP(E1524,[2]t_calendarioPolitica!A:C,3,FALSE)</f>
        <v>1</v>
      </c>
      <c r="G1524" s="1">
        <v>1</v>
      </c>
      <c r="H1524" s="1">
        <v>1</v>
      </c>
      <c r="I1524" s="1">
        <f t="shared" si="119"/>
        <v>1</v>
      </c>
    </row>
    <row r="1525" spans="1:9" x14ac:dyDescent="0.25">
      <c r="A1525" s="26">
        <v>46815</v>
      </c>
      <c r="B1525" s="27">
        <f t="shared" si="115"/>
        <v>2028</v>
      </c>
      <c r="C1525" s="27">
        <f t="shared" si="116"/>
        <v>3</v>
      </c>
      <c r="D1525" s="27">
        <f t="shared" si="117"/>
        <v>3</v>
      </c>
      <c r="E1525" s="27">
        <f t="shared" si="118"/>
        <v>6</v>
      </c>
      <c r="F1525" s="27">
        <f>VLOOKUP(E1525,[2]t_calendarioPolitica!A:C,3,FALSE)</f>
        <v>1</v>
      </c>
      <c r="G1525" s="1">
        <v>1</v>
      </c>
      <c r="H1525" s="1">
        <v>1</v>
      </c>
      <c r="I1525" s="1">
        <f t="shared" si="119"/>
        <v>1</v>
      </c>
    </row>
    <row r="1526" spans="1:9" x14ac:dyDescent="0.25">
      <c r="A1526" s="26">
        <v>46816</v>
      </c>
      <c r="B1526" s="27">
        <f t="shared" si="115"/>
        <v>2028</v>
      </c>
      <c r="C1526" s="27">
        <f t="shared" si="116"/>
        <v>3</v>
      </c>
      <c r="D1526" s="27">
        <f t="shared" si="117"/>
        <v>4</v>
      </c>
      <c r="E1526" s="27">
        <f t="shared" si="118"/>
        <v>7</v>
      </c>
      <c r="F1526" s="27">
        <f>VLOOKUP(E1526,[2]t_calendarioPolitica!A:C,3,FALSE)</f>
        <v>2</v>
      </c>
      <c r="G1526" s="1">
        <v>1</v>
      </c>
      <c r="H1526" s="1">
        <v>1</v>
      </c>
      <c r="I1526" s="1">
        <f t="shared" si="119"/>
        <v>1</v>
      </c>
    </row>
    <row r="1527" spans="1:9" x14ac:dyDescent="0.25">
      <c r="A1527" s="26">
        <v>46817</v>
      </c>
      <c r="B1527" s="27">
        <f t="shared" si="115"/>
        <v>2028</v>
      </c>
      <c r="C1527" s="27">
        <f t="shared" si="116"/>
        <v>3</v>
      </c>
      <c r="D1527" s="27">
        <f t="shared" si="117"/>
        <v>5</v>
      </c>
      <c r="E1527" s="27">
        <f t="shared" si="118"/>
        <v>1</v>
      </c>
      <c r="F1527" s="27">
        <f>VLOOKUP(E1527,[2]t_calendarioPolitica!A:C,3,FALSE)</f>
        <v>0</v>
      </c>
      <c r="G1527" s="1">
        <v>1</v>
      </c>
      <c r="H1527" s="1">
        <v>1</v>
      </c>
      <c r="I1527" s="1">
        <f t="shared" si="119"/>
        <v>0</v>
      </c>
    </row>
    <row r="1528" spans="1:9" x14ac:dyDescent="0.25">
      <c r="A1528" s="26">
        <v>46818</v>
      </c>
      <c r="B1528" s="27">
        <f t="shared" si="115"/>
        <v>2028</v>
      </c>
      <c r="C1528" s="27">
        <f t="shared" si="116"/>
        <v>3</v>
      </c>
      <c r="D1528" s="27">
        <f t="shared" si="117"/>
        <v>6</v>
      </c>
      <c r="E1528" s="27">
        <f t="shared" si="118"/>
        <v>2</v>
      </c>
      <c r="F1528" s="27">
        <f>VLOOKUP(E1528,[2]t_calendarioPolitica!A:C,3,FALSE)</f>
        <v>1</v>
      </c>
      <c r="G1528" s="1">
        <v>1</v>
      </c>
      <c r="H1528" s="1">
        <v>1</v>
      </c>
      <c r="I1528" s="1">
        <f t="shared" si="119"/>
        <v>1</v>
      </c>
    </row>
    <row r="1529" spans="1:9" x14ac:dyDescent="0.25">
      <c r="A1529" s="26">
        <v>46819</v>
      </c>
      <c r="B1529" s="27">
        <f t="shared" si="115"/>
        <v>2028</v>
      </c>
      <c r="C1529" s="27">
        <f t="shared" si="116"/>
        <v>3</v>
      </c>
      <c r="D1529" s="27">
        <f t="shared" si="117"/>
        <v>7</v>
      </c>
      <c r="E1529" s="27">
        <f t="shared" si="118"/>
        <v>3</v>
      </c>
      <c r="F1529" s="27">
        <f>VLOOKUP(E1529,[2]t_calendarioPolitica!A:C,3,FALSE)</f>
        <v>1</v>
      </c>
      <c r="G1529" s="1">
        <v>1</v>
      </c>
      <c r="H1529" s="1">
        <v>1</v>
      </c>
      <c r="I1529" s="1">
        <f t="shared" si="119"/>
        <v>1</v>
      </c>
    </row>
    <row r="1530" spans="1:9" x14ac:dyDescent="0.25">
      <c r="A1530" s="26">
        <v>46820</v>
      </c>
      <c r="B1530" s="27">
        <f t="shared" si="115"/>
        <v>2028</v>
      </c>
      <c r="C1530" s="27">
        <f t="shared" si="116"/>
        <v>3</v>
      </c>
      <c r="D1530" s="27">
        <f t="shared" si="117"/>
        <v>8</v>
      </c>
      <c r="E1530" s="27">
        <f t="shared" si="118"/>
        <v>4</v>
      </c>
      <c r="F1530" s="27">
        <f>VLOOKUP(E1530,[2]t_calendarioPolitica!A:C,3,FALSE)</f>
        <v>1</v>
      </c>
      <c r="G1530" s="1">
        <v>1</v>
      </c>
      <c r="H1530" s="1">
        <v>1</v>
      </c>
      <c r="I1530" s="1">
        <f t="shared" si="119"/>
        <v>1</v>
      </c>
    </row>
    <row r="1531" spans="1:9" x14ac:dyDescent="0.25">
      <c r="A1531" s="26">
        <v>46821</v>
      </c>
      <c r="B1531" s="27">
        <f t="shared" si="115"/>
        <v>2028</v>
      </c>
      <c r="C1531" s="27">
        <f t="shared" si="116"/>
        <v>3</v>
      </c>
      <c r="D1531" s="27">
        <f t="shared" si="117"/>
        <v>9</v>
      </c>
      <c r="E1531" s="27">
        <f t="shared" si="118"/>
        <v>5</v>
      </c>
      <c r="F1531" s="27">
        <f>VLOOKUP(E1531,[2]t_calendarioPolitica!A:C,3,FALSE)</f>
        <v>1</v>
      </c>
      <c r="G1531" s="1">
        <v>1</v>
      </c>
      <c r="H1531" s="1">
        <v>1</v>
      </c>
      <c r="I1531" s="1">
        <f t="shared" si="119"/>
        <v>1</v>
      </c>
    </row>
    <row r="1532" spans="1:9" x14ac:dyDescent="0.25">
      <c r="A1532" s="26">
        <v>46822</v>
      </c>
      <c r="B1532" s="27">
        <f t="shared" si="115"/>
        <v>2028</v>
      </c>
      <c r="C1532" s="27">
        <f t="shared" si="116"/>
        <v>3</v>
      </c>
      <c r="D1532" s="27">
        <f t="shared" si="117"/>
        <v>10</v>
      </c>
      <c r="E1532" s="27">
        <f t="shared" si="118"/>
        <v>6</v>
      </c>
      <c r="F1532" s="27">
        <f>VLOOKUP(E1532,[2]t_calendarioPolitica!A:C,3,FALSE)</f>
        <v>1</v>
      </c>
      <c r="G1532" s="1">
        <v>1</v>
      </c>
      <c r="H1532" s="1">
        <v>1</v>
      </c>
      <c r="I1532" s="1">
        <f t="shared" si="119"/>
        <v>1</v>
      </c>
    </row>
    <row r="1533" spans="1:9" x14ac:dyDescent="0.25">
      <c r="A1533" s="26">
        <v>46823</v>
      </c>
      <c r="B1533" s="27">
        <f t="shared" si="115"/>
        <v>2028</v>
      </c>
      <c r="C1533" s="27">
        <f t="shared" si="116"/>
        <v>3</v>
      </c>
      <c r="D1533" s="27">
        <f t="shared" si="117"/>
        <v>11</v>
      </c>
      <c r="E1533" s="27">
        <f t="shared" si="118"/>
        <v>7</v>
      </c>
      <c r="F1533" s="27">
        <f>VLOOKUP(E1533,[2]t_calendarioPolitica!A:C,3,FALSE)</f>
        <v>2</v>
      </c>
      <c r="G1533" s="1">
        <v>1</v>
      </c>
      <c r="H1533" s="1">
        <v>1</v>
      </c>
      <c r="I1533" s="1">
        <f t="shared" si="119"/>
        <v>1</v>
      </c>
    </row>
    <row r="1534" spans="1:9" x14ac:dyDescent="0.25">
      <c r="A1534" s="26">
        <v>46824</v>
      </c>
      <c r="B1534" s="27">
        <f t="shared" si="115"/>
        <v>2028</v>
      </c>
      <c r="C1534" s="27">
        <f t="shared" si="116"/>
        <v>3</v>
      </c>
      <c r="D1534" s="27">
        <f t="shared" si="117"/>
        <v>12</v>
      </c>
      <c r="E1534" s="27">
        <f t="shared" si="118"/>
        <v>1</v>
      </c>
      <c r="F1534" s="27">
        <f>VLOOKUP(E1534,[2]t_calendarioPolitica!A:C,3,FALSE)</f>
        <v>0</v>
      </c>
      <c r="G1534" s="1">
        <v>1</v>
      </c>
      <c r="H1534" s="1">
        <v>1</v>
      </c>
      <c r="I1534" s="1">
        <f t="shared" si="119"/>
        <v>0</v>
      </c>
    </row>
    <row r="1535" spans="1:9" x14ac:dyDescent="0.25">
      <c r="A1535" s="26">
        <v>46825</v>
      </c>
      <c r="B1535" s="27">
        <f t="shared" si="115"/>
        <v>2028</v>
      </c>
      <c r="C1535" s="27">
        <f t="shared" si="116"/>
        <v>3</v>
      </c>
      <c r="D1535" s="27">
        <f t="shared" si="117"/>
        <v>13</v>
      </c>
      <c r="E1535" s="27">
        <f t="shared" si="118"/>
        <v>2</v>
      </c>
      <c r="F1535" s="27">
        <f>VLOOKUP(E1535,[2]t_calendarioPolitica!A:C,3,FALSE)</f>
        <v>1</v>
      </c>
      <c r="G1535" s="1">
        <v>1</v>
      </c>
      <c r="H1535" s="1">
        <v>1</v>
      </c>
      <c r="I1535" s="1">
        <f t="shared" si="119"/>
        <v>1</v>
      </c>
    </row>
    <row r="1536" spans="1:9" x14ac:dyDescent="0.25">
      <c r="A1536" s="26">
        <v>46826</v>
      </c>
      <c r="B1536" s="27">
        <f t="shared" si="115"/>
        <v>2028</v>
      </c>
      <c r="C1536" s="27">
        <f t="shared" si="116"/>
        <v>3</v>
      </c>
      <c r="D1536" s="27">
        <f t="shared" si="117"/>
        <v>14</v>
      </c>
      <c r="E1536" s="27">
        <f t="shared" si="118"/>
        <v>3</v>
      </c>
      <c r="F1536" s="27">
        <f>VLOOKUP(E1536,[2]t_calendarioPolitica!A:C,3,FALSE)</f>
        <v>1</v>
      </c>
      <c r="G1536" s="1">
        <v>1</v>
      </c>
      <c r="H1536" s="1">
        <v>1</v>
      </c>
      <c r="I1536" s="1">
        <f t="shared" si="119"/>
        <v>1</v>
      </c>
    </row>
    <row r="1537" spans="1:9" x14ac:dyDescent="0.25">
      <c r="A1537" s="26">
        <v>46827</v>
      </c>
      <c r="B1537" s="27">
        <f t="shared" si="115"/>
        <v>2028</v>
      </c>
      <c r="C1537" s="27">
        <f t="shared" si="116"/>
        <v>3</v>
      </c>
      <c r="D1537" s="27">
        <f t="shared" si="117"/>
        <v>15</v>
      </c>
      <c r="E1537" s="27">
        <f t="shared" si="118"/>
        <v>4</v>
      </c>
      <c r="F1537" s="27">
        <f>VLOOKUP(E1537,[2]t_calendarioPolitica!A:C,3,FALSE)</f>
        <v>1</v>
      </c>
      <c r="G1537" s="1">
        <v>1</v>
      </c>
      <c r="H1537" s="1">
        <v>1</v>
      </c>
      <c r="I1537" s="1">
        <f t="shared" si="119"/>
        <v>1</v>
      </c>
    </row>
    <row r="1538" spans="1:9" x14ac:dyDescent="0.25">
      <c r="A1538" s="26">
        <v>46828</v>
      </c>
      <c r="B1538" s="27">
        <f t="shared" si="115"/>
        <v>2028</v>
      </c>
      <c r="C1538" s="27">
        <f t="shared" si="116"/>
        <v>3</v>
      </c>
      <c r="D1538" s="27">
        <f t="shared" si="117"/>
        <v>16</v>
      </c>
      <c r="E1538" s="27">
        <f t="shared" si="118"/>
        <v>5</v>
      </c>
      <c r="F1538" s="27">
        <f>VLOOKUP(E1538,[2]t_calendarioPolitica!A:C,3,FALSE)</f>
        <v>1</v>
      </c>
      <c r="G1538" s="1">
        <v>1</v>
      </c>
      <c r="H1538" s="1">
        <v>1</v>
      </c>
      <c r="I1538" s="1">
        <f t="shared" si="119"/>
        <v>1</v>
      </c>
    </row>
    <row r="1539" spans="1:9" x14ac:dyDescent="0.25">
      <c r="A1539" s="26">
        <v>46829</v>
      </c>
      <c r="B1539" s="27">
        <f t="shared" ref="B1539:B1602" si="120">YEAR(A1539)</f>
        <v>2028</v>
      </c>
      <c r="C1539" s="27">
        <f t="shared" ref="C1539:C1602" si="121">MONTH(A1539)</f>
        <v>3</v>
      </c>
      <c r="D1539" s="27">
        <f t="shared" ref="D1539:D1602" si="122">DAY(A1539)</f>
        <v>17</v>
      </c>
      <c r="E1539" s="27">
        <f t="shared" ref="E1539:E1602" si="123">WEEKDAY(A1539)</f>
        <v>6</v>
      </c>
      <c r="F1539" s="27">
        <f>VLOOKUP(E1539,[2]t_calendarioPolitica!A:C,3,FALSE)</f>
        <v>1</v>
      </c>
      <c r="G1539" s="1">
        <v>1</v>
      </c>
      <c r="H1539" s="1">
        <v>1</v>
      </c>
      <c r="I1539" s="1">
        <f t="shared" ref="I1539:I1602" si="124">IF(AND(F1539&lt;&gt;0, H1539&lt;&gt;0,G1539&lt;&gt;0), 1, 0)</f>
        <v>1</v>
      </c>
    </row>
    <row r="1540" spans="1:9" x14ac:dyDescent="0.25">
      <c r="A1540" s="26">
        <v>46830</v>
      </c>
      <c r="B1540" s="27">
        <f t="shared" si="120"/>
        <v>2028</v>
      </c>
      <c r="C1540" s="27">
        <f t="shared" si="121"/>
        <v>3</v>
      </c>
      <c r="D1540" s="27">
        <f t="shared" si="122"/>
        <v>18</v>
      </c>
      <c r="E1540" s="27">
        <f t="shared" si="123"/>
        <v>7</v>
      </c>
      <c r="F1540" s="27">
        <f>VLOOKUP(E1540,[2]t_calendarioPolitica!A:C,3,FALSE)</f>
        <v>2</v>
      </c>
      <c r="G1540" s="1">
        <v>1</v>
      </c>
      <c r="H1540" s="1">
        <v>1</v>
      </c>
      <c r="I1540" s="1">
        <f t="shared" si="124"/>
        <v>1</v>
      </c>
    </row>
    <row r="1541" spans="1:9" x14ac:dyDescent="0.25">
      <c r="A1541" s="26">
        <v>46831</v>
      </c>
      <c r="B1541" s="27">
        <f t="shared" si="120"/>
        <v>2028</v>
      </c>
      <c r="C1541" s="27">
        <f t="shared" si="121"/>
        <v>3</v>
      </c>
      <c r="D1541" s="27">
        <f t="shared" si="122"/>
        <v>19</v>
      </c>
      <c r="E1541" s="27">
        <f t="shared" si="123"/>
        <v>1</v>
      </c>
      <c r="F1541" s="27">
        <f>VLOOKUP(E1541,[2]t_calendarioPolitica!A:C,3,FALSE)</f>
        <v>0</v>
      </c>
      <c r="G1541" s="1">
        <v>1</v>
      </c>
      <c r="H1541" s="1">
        <v>1</v>
      </c>
      <c r="I1541" s="1">
        <f t="shared" si="124"/>
        <v>0</v>
      </c>
    </row>
    <row r="1542" spans="1:9" x14ac:dyDescent="0.25">
      <c r="A1542" s="26">
        <v>46832</v>
      </c>
      <c r="B1542" s="27">
        <f t="shared" si="120"/>
        <v>2028</v>
      </c>
      <c r="C1542" s="27">
        <f t="shared" si="121"/>
        <v>3</v>
      </c>
      <c r="D1542" s="27">
        <f t="shared" si="122"/>
        <v>20</v>
      </c>
      <c r="E1542" s="27">
        <f t="shared" si="123"/>
        <v>2</v>
      </c>
      <c r="F1542" s="27">
        <f>VLOOKUP(E1542,[2]t_calendarioPolitica!A:C,3,FALSE)</f>
        <v>1</v>
      </c>
      <c r="G1542" s="1">
        <v>1</v>
      </c>
      <c r="H1542" s="1">
        <v>1</v>
      </c>
      <c r="I1542" s="1">
        <f t="shared" si="124"/>
        <v>1</v>
      </c>
    </row>
    <row r="1543" spans="1:9" x14ac:dyDescent="0.25">
      <c r="A1543" s="26">
        <v>46833</v>
      </c>
      <c r="B1543" s="27">
        <f t="shared" si="120"/>
        <v>2028</v>
      </c>
      <c r="C1543" s="27">
        <f t="shared" si="121"/>
        <v>3</v>
      </c>
      <c r="D1543" s="27">
        <f t="shared" si="122"/>
        <v>21</v>
      </c>
      <c r="E1543" s="27">
        <f t="shared" si="123"/>
        <v>3</v>
      </c>
      <c r="F1543" s="27">
        <f>VLOOKUP(E1543,[2]t_calendarioPolitica!A:C,3,FALSE)</f>
        <v>1</v>
      </c>
      <c r="G1543" s="1">
        <v>1</v>
      </c>
      <c r="H1543" s="1">
        <v>1</v>
      </c>
      <c r="I1543" s="1">
        <f t="shared" si="124"/>
        <v>1</v>
      </c>
    </row>
    <row r="1544" spans="1:9" x14ac:dyDescent="0.25">
      <c r="A1544" s="26">
        <v>46834</v>
      </c>
      <c r="B1544" s="27">
        <f t="shared" si="120"/>
        <v>2028</v>
      </c>
      <c r="C1544" s="27">
        <f t="shared" si="121"/>
        <v>3</v>
      </c>
      <c r="D1544" s="27">
        <f t="shared" si="122"/>
        <v>22</v>
      </c>
      <c r="E1544" s="27">
        <f t="shared" si="123"/>
        <v>4</v>
      </c>
      <c r="F1544" s="27">
        <f>VLOOKUP(E1544,[2]t_calendarioPolitica!A:C,3,FALSE)</f>
        <v>1</v>
      </c>
      <c r="G1544" s="1">
        <v>1</v>
      </c>
      <c r="H1544" s="1">
        <v>1</v>
      </c>
      <c r="I1544" s="1">
        <f t="shared" si="124"/>
        <v>1</v>
      </c>
    </row>
    <row r="1545" spans="1:9" x14ac:dyDescent="0.25">
      <c r="A1545" s="26">
        <v>46835</v>
      </c>
      <c r="B1545" s="27">
        <f t="shared" si="120"/>
        <v>2028</v>
      </c>
      <c r="C1545" s="27">
        <f t="shared" si="121"/>
        <v>3</v>
      </c>
      <c r="D1545" s="27">
        <f t="shared" si="122"/>
        <v>23</v>
      </c>
      <c r="E1545" s="27">
        <f t="shared" si="123"/>
        <v>5</v>
      </c>
      <c r="F1545" s="27">
        <f>VLOOKUP(E1545,[2]t_calendarioPolitica!A:C,3,FALSE)</f>
        <v>1</v>
      </c>
      <c r="G1545" s="1">
        <v>1</v>
      </c>
      <c r="H1545" s="1">
        <v>1</v>
      </c>
      <c r="I1545" s="1">
        <f t="shared" si="124"/>
        <v>1</v>
      </c>
    </row>
    <row r="1546" spans="1:9" x14ac:dyDescent="0.25">
      <c r="A1546" s="26">
        <v>46836</v>
      </c>
      <c r="B1546" s="27">
        <f t="shared" si="120"/>
        <v>2028</v>
      </c>
      <c r="C1546" s="27">
        <f t="shared" si="121"/>
        <v>3</v>
      </c>
      <c r="D1546" s="27">
        <f t="shared" si="122"/>
        <v>24</v>
      </c>
      <c r="E1546" s="27">
        <f t="shared" si="123"/>
        <v>6</v>
      </c>
      <c r="F1546" s="27">
        <f>VLOOKUP(E1546,[2]t_calendarioPolitica!A:C,3,FALSE)</f>
        <v>1</v>
      </c>
      <c r="G1546" s="1">
        <v>1</v>
      </c>
      <c r="H1546" s="1">
        <v>1</v>
      </c>
      <c r="I1546" s="1">
        <f t="shared" si="124"/>
        <v>1</v>
      </c>
    </row>
    <row r="1547" spans="1:9" x14ac:dyDescent="0.25">
      <c r="A1547" s="26">
        <v>46837</v>
      </c>
      <c r="B1547" s="27">
        <f t="shared" si="120"/>
        <v>2028</v>
      </c>
      <c r="C1547" s="27">
        <f t="shared" si="121"/>
        <v>3</v>
      </c>
      <c r="D1547" s="27">
        <f t="shared" si="122"/>
        <v>25</v>
      </c>
      <c r="E1547" s="27">
        <f t="shared" si="123"/>
        <v>7</v>
      </c>
      <c r="F1547" s="27">
        <f>VLOOKUP(E1547,[2]t_calendarioPolitica!A:C,3,FALSE)</f>
        <v>2</v>
      </c>
      <c r="G1547" s="1">
        <v>1</v>
      </c>
      <c r="H1547" s="1">
        <v>1</v>
      </c>
      <c r="I1547" s="1">
        <f t="shared" si="124"/>
        <v>1</v>
      </c>
    </row>
    <row r="1548" spans="1:9" x14ac:dyDescent="0.25">
      <c r="A1548" s="26">
        <v>46838</v>
      </c>
      <c r="B1548" s="27">
        <f t="shared" si="120"/>
        <v>2028</v>
      </c>
      <c r="C1548" s="27">
        <f t="shared" si="121"/>
        <v>3</v>
      </c>
      <c r="D1548" s="27">
        <f t="shared" si="122"/>
        <v>26</v>
      </c>
      <c r="E1548" s="27">
        <f t="shared" si="123"/>
        <v>1</v>
      </c>
      <c r="F1548" s="27">
        <f>VLOOKUP(E1548,[2]t_calendarioPolitica!A:C,3,FALSE)</f>
        <v>0</v>
      </c>
      <c r="G1548" s="1">
        <v>1</v>
      </c>
      <c r="H1548" s="1">
        <v>1</v>
      </c>
      <c r="I1548" s="1">
        <f t="shared" si="124"/>
        <v>0</v>
      </c>
    </row>
    <row r="1549" spans="1:9" x14ac:dyDescent="0.25">
      <c r="A1549" s="26">
        <v>46839</v>
      </c>
      <c r="B1549" s="27">
        <f t="shared" si="120"/>
        <v>2028</v>
      </c>
      <c r="C1549" s="27">
        <f t="shared" si="121"/>
        <v>3</v>
      </c>
      <c r="D1549" s="27">
        <f t="shared" si="122"/>
        <v>27</v>
      </c>
      <c r="E1549" s="27">
        <f t="shared" si="123"/>
        <v>2</v>
      </c>
      <c r="F1549" s="27">
        <f>VLOOKUP(E1549,[2]t_calendarioPolitica!A:C,3,FALSE)</f>
        <v>1</v>
      </c>
      <c r="G1549" s="1">
        <v>1</v>
      </c>
      <c r="H1549" s="1">
        <v>1</v>
      </c>
      <c r="I1549" s="1">
        <f t="shared" si="124"/>
        <v>1</v>
      </c>
    </row>
    <row r="1550" spans="1:9" x14ac:dyDescent="0.25">
      <c r="A1550" s="26">
        <v>46840</v>
      </c>
      <c r="B1550" s="27">
        <f t="shared" si="120"/>
        <v>2028</v>
      </c>
      <c r="C1550" s="27">
        <f t="shared" si="121"/>
        <v>3</v>
      </c>
      <c r="D1550" s="27">
        <f t="shared" si="122"/>
        <v>28</v>
      </c>
      <c r="E1550" s="27">
        <f t="shared" si="123"/>
        <v>3</v>
      </c>
      <c r="F1550" s="27">
        <f>VLOOKUP(E1550,[2]t_calendarioPolitica!A:C,3,FALSE)</f>
        <v>1</v>
      </c>
      <c r="G1550" s="1">
        <v>1</v>
      </c>
      <c r="H1550" s="1">
        <v>1</v>
      </c>
      <c r="I1550" s="1">
        <f t="shared" si="124"/>
        <v>1</v>
      </c>
    </row>
    <row r="1551" spans="1:9" x14ac:dyDescent="0.25">
      <c r="A1551" s="26">
        <v>46841</v>
      </c>
      <c r="B1551" s="27">
        <f t="shared" si="120"/>
        <v>2028</v>
      </c>
      <c r="C1551" s="27">
        <f t="shared" si="121"/>
        <v>3</v>
      </c>
      <c r="D1551" s="27">
        <f t="shared" si="122"/>
        <v>29</v>
      </c>
      <c r="E1551" s="27">
        <f t="shared" si="123"/>
        <v>4</v>
      </c>
      <c r="F1551" s="27">
        <f>VLOOKUP(E1551,[2]t_calendarioPolitica!A:C,3,FALSE)</f>
        <v>1</v>
      </c>
      <c r="G1551" s="1">
        <v>1</v>
      </c>
      <c r="H1551" s="1">
        <v>1</v>
      </c>
      <c r="I1551" s="1">
        <f t="shared" si="124"/>
        <v>1</v>
      </c>
    </row>
    <row r="1552" spans="1:9" x14ac:dyDescent="0.25">
      <c r="A1552" s="26">
        <v>46842</v>
      </c>
      <c r="B1552" s="27">
        <f t="shared" si="120"/>
        <v>2028</v>
      </c>
      <c r="C1552" s="27">
        <f t="shared" si="121"/>
        <v>3</v>
      </c>
      <c r="D1552" s="27">
        <f t="shared" si="122"/>
        <v>30</v>
      </c>
      <c r="E1552" s="27">
        <f t="shared" si="123"/>
        <v>5</v>
      </c>
      <c r="F1552" s="27">
        <f>VLOOKUP(E1552,[2]t_calendarioPolitica!A:C,3,FALSE)</f>
        <v>1</v>
      </c>
      <c r="G1552" s="1">
        <v>1</v>
      </c>
      <c r="H1552" s="1">
        <v>1</v>
      </c>
      <c r="I1552" s="1">
        <f t="shared" si="124"/>
        <v>1</v>
      </c>
    </row>
    <row r="1553" spans="1:9" x14ac:dyDescent="0.25">
      <c r="A1553" s="26">
        <v>46843</v>
      </c>
      <c r="B1553" s="27">
        <f t="shared" si="120"/>
        <v>2028</v>
      </c>
      <c r="C1553" s="27">
        <f t="shared" si="121"/>
        <v>3</v>
      </c>
      <c r="D1553" s="27">
        <f t="shared" si="122"/>
        <v>31</v>
      </c>
      <c r="E1553" s="27">
        <f t="shared" si="123"/>
        <v>6</v>
      </c>
      <c r="F1553" s="27">
        <f>VLOOKUP(E1553,[2]t_calendarioPolitica!A:C,3,FALSE)</f>
        <v>1</v>
      </c>
      <c r="G1553" s="1">
        <v>1</v>
      </c>
      <c r="H1553" s="1">
        <v>1</v>
      </c>
      <c r="I1553" s="1">
        <f t="shared" si="124"/>
        <v>1</v>
      </c>
    </row>
    <row r="1554" spans="1:9" x14ac:dyDescent="0.25">
      <c r="A1554" s="26">
        <v>46844</v>
      </c>
      <c r="B1554" s="27">
        <f t="shared" si="120"/>
        <v>2028</v>
      </c>
      <c r="C1554" s="27">
        <f t="shared" si="121"/>
        <v>4</v>
      </c>
      <c r="D1554" s="27">
        <f t="shared" si="122"/>
        <v>1</v>
      </c>
      <c r="E1554" s="27">
        <f t="shared" si="123"/>
        <v>7</v>
      </c>
      <c r="F1554" s="27">
        <f>VLOOKUP(E1554,[2]t_calendarioPolitica!A:C,3,FALSE)</f>
        <v>2</v>
      </c>
      <c r="G1554" s="1">
        <v>1</v>
      </c>
      <c r="H1554" s="1">
        <v>1</v>
      </c>
      <c r="I1554" s="1">
        <f t="shared" si="124"/>
        <v>1</v>
      </c>
    </row>
    <row r="1555" spans="1:9" x14ac:dyDescent="0.25">
      <c r="A1555" s="26">
        <v>46845</v>
      </c>
      <c r="B1555" s="27">
        <f t="shared" si="120"/>
        <v>2028</v>
      </c>
      <c r="C1555" s="27">
        <f t="shared" si="121"/>
        <v>4</v>
      </c>
      <c r="D1555" s="27">
        <f t="shared" si="122"/>
        <v>2</v>
      </c>
      <c r="E1555" s="27">
        <f t="shared" si="123"/>
        <v>1</v>
      </c>
      <c r="F1555" s="27">
        <f>VLOOKUP(E1555,[2]t_calendarioPolitica!A:C,3,FALSE)</f>
        <v>0</v>
      </c>
      <c r="G1555" s="1">
        <v>1</v>
      </c>
      <c r="H1555" s="1">
        <v>1</v>
      </c>
      <c r="I1555" s="1">
        <f t="shared" si="124"/>
        <v>0</v>
      </c>
    </row>
    <row r="1556" spans="1:9" x14ac:dyDescent="0.25">
      <c r="A1556" s="26">
        <v>46846</v>
      </c>
      <c r="B1556" s="27">
        <f t="shared" si="120"/>
        <v>2028</v>
      </c>
      <c r="C1556" s="27">
        <f t="shared" si="121"/>
        <v>4</v>
      </c>
      <c r="D1556" s="27">
        <f t="shared" si="122"/>
        <v>3</v>
      </c>
      <c r="E1556" s="27">
        <f t="shared" si="123"/>
        <v>2</v>
      </c>
      <c r="F1556" s="27">
        <f>VLOOKUP(E1556,[2]t_calendarioPolitica!A:C,3,FALSE)</f>
        <v>1</v>
      </c>
      <c r="G1556" s="1">
        <v>1</v>
      </c>
      <c r="H1556" s="1">
        <v>1</v>
      </c>
      <c r="I1556" s="1">
        <f t="shared" si="124"/>
        <v>1</v>
      </c>
    </row>
    <row r="1557" spans="1:9" x14ac:dyDescent="0.25">
      <c r="A1557" s="26">
        <v>46847</v>
      </c>
      <c r="B1557" s="27">
        <f t="shared" si="120"/>
        <v>2028</v>
      </c>
      <c r="C1557" s="27">
        <f t="shared" si="121"/>
        <v>4</v>
      </c>
      <c r="D1557" s="27">
        <f t="shared" si="122"/>
        <v>4</v>
      </c>
      <c r="E1557" s="27">
        <f t="shared" si="123"/>
        <v>3</v>
      </c>
      <c r="F1557" s="27">
        <f>VLOOKUP(E1557,[2]t_calendarioPolitica!A:C,3,FALSE)</f>
        <v>1</v>
      </c>
      <c r="G1557" s="1">
        <v>1</v>
      </c>
      <c r="H1557" s="1">
        <v>1</v>
      </c>
      <c r="I1557" s="1">
        <f t="shared" si="124"/>
        <v>1</v>
      </c>
    </row>
    <row r="1558" spans="1:9" x14ac:dyDescent="0.25">
      <c r="A1558" s="26">
        <v>46848</v>
      </c>
      <c r="B1558" s="27">
        <f t="shared" si="120"/>
        <v>2028</v>
      </c>
      <c r="C1558" s="27">
        <f t="shared" si="121"/>
        <v>4</v>
      </c>
      <c r="D1558" s="27">
        <f t="shared" si="122"/>
        <v>5</v>
      </c>
      <c r="E1558" s="27">
        <f t="shared" si="123"/>
        <v>4</v>
      </c>
      <c r="F1558" s="27">
        <f>VLOOKUP(E1558,[2]t_calendarioPolitica!A:C,3,FALSE)</f>
        <v>1</v>
      </c>
      <c r="G1558" s="1">
        <v>1</v>
      </c>
      <c r="H1558" s="1">
        <v>1</v>
      </c>
      <c r="I1558" s="1">
        <f t="shared" si="124"/>
        <v>1</v>
      </c>
    </row>
    <row r="1559" spans="1:9" x14ac:dyDescent="0.25">
      <c r="A1559" s="26">
        <v>46849</v>
      </c>
      <c r="B1559" s="27">
        <f t="shared" si="120"/>
        <v>2028</v>
      </c>
      <c r="C1559" s="27">
        <f t="shared" si="121"/>
        <v>4</v>
      </c>
      <c r="D1559" s="27">
        <f t="shared" si="122"/>
        <v>6</v>
      </c>
      <c r="E1559" s="27">
        <f t="shared" si="123"/>
        <v>5</v>
      </c>
      <c r="F1559" s="27">
        <f>VLOOKUP(E1559,[2]t_calendarioPolitica!A:C,3,FALSE)</f>
        <v>1</v>
      </c>
      <c r="G1559" s="1">
        <v>1</v>
      </c>
      <c r="H1559" s="1">
        <v>1</v>
      </c>
      <c r="I1559" s="1">
        <f t="shared" si="124"/>
        <v>1</v>
      </c>
    </row>
    <row r="1560" spans="1:9" x14ac:dyDescent="0.25">
      <c r="A1560" s="26">
        <v>46850</v>
      </c>
      <c r="B1560" s="27">
        <f t="shared" si="120"/>
        <v>2028</v>
      </c>
      <c r="C1560" s="27">
        <f t="shared" si="121"/>
        <v>4</v>
      </c>
      <c r="D1560" s="27">
        <f t="shared" si="122"/>
        <v>7</v>
      </c>
      <c r="E1560" s="27">
        <f t="shared" si="123"/>
        <v>6</v>
      </c>
      <c r="F1560" s="27">
        <f>VLOOKUP(E1560,[2]t_calendarioPolitica!A:C,3,FALSE)</f>
        <v>1</v>
      </c>
      <c r="G1560" s="1">
        <v>1</v>
      </c>
      <c r="H1560" s="1">
        <v>1</v>
      </c>
      <c r="I1560" s="1">
        <f t="shared" si="124"/>
        <v>1</v>
      </c>
    </row>
    <row r="1561" spans="1:9" x14ac:dyDescent="0.25">
      <c r="A1561" s="26">
        <v>46851</v>
      </c>
      <c r="B1561" s="27">
        <f t="shared" si="120"/>
        <v>2028</v>
      </c>
      <c r="C1561" s="27">
        <f t="shared" si="121"/>
        <v>4</v>
      </c>
      <c r="D1561" s="27">
        <f t="shared" si="122"/>
        <v>8</v>
      </c>
      <c r="E1561" s="27">
        <f t="shared" si="123"/>
        <v>7</v>
      </c>
      <c r="F1561" s="27">
        <f>VLOOKUP(E1561,[2]t_calendarioPolitica!A:C,3,FALSE)</f>
        <v>2</v>
      </c>
      <c r="G1561" s="1">
        <v>1</v>
      </c>
      <c r="H1561" s="1">
        <v>1</v>
      </c>
      <c r="I1561" s="1">
        <f t="shared" si="124"/>
        <v>1</v>
      </c>
    </row>
    <row r="1562" spans="1:9" x14ac:dyDescent="0.25">
      <c r="A1562" s="26">
        <v>46852</v>
      </c>
      <c r="B1562" s="27">
        <f t="shared" si="120"/>
        <v>2028</v>
      </c>
      <c r="C1562" s="27">
        <f t="shared" si="121"/>
        <v>4</v>
      </c>
      <c r="D1562" s="27">
        <f t="shared" si="122"/>
        <v>9</v>
      </c>
      <c r="E1562" s="27">
        <f t="shared" si="123"/>
        <v>1</v>
      </c>
      <c r="F1562" s="27">
        <f>VLOOKUP(E1562,[2]t_calendarioPolitica!A:C,3,FALSE)</f>
        <v>0</v>
      </c>
      <c r="G1562" s="1">
        <v>1</v>
      </c>
      <c r="H1562" s="1">
        <v>1</v>
      </c>
      <c r="I1562" s="1">
        <f t="shared" si="124"/>
        <v>0</v>
      </c>
    </row>
    <row r="1563" spans="1:9" x14ac:dyDescent="0.25">
      <c r="A1563" s="26">
        <v>46853</v>
      </c>
      <c r="B1563" s="27">
        <f t="shared" si="120"/>
        <v>2028</v>
      </c>
      <c r="C1563" s="27">
        <f t="shared" si="121"/>
        <v>4</v>
      </c>
      <c r="D1563" s="27">
        <f t="shared" si="122"/>
        <v>10</v>
      </c>
      <c r="E1563" s="27">
        <f t="shared" si="123"/>
        <v>2</v>
      </c>
      <c r="F1563" s="27">
        <f>VLOOKUP(E1563,[2]t_calendarioPolitica!A:C,3,FALSE)</f>
        <v>1</v>
      </c>
      <c r="G1563" s="1">
        <v>1</v>
      </c>
      <c r="H1563" s="1">
        <v>1</v>
      </c>
      <c r="I1563" s="1">
        <f t="shared" si="124"/>
        <v>1</v>
      </c>
    </row>
    <row r="1564" spans="1:9" x14ac:dyDescent="0.25">
      <c r="A1564" s="26">
        <v>46854</v>
      </c>
      <c r="B1564" s="27">
        <f t="shared" si="120"/>
        <v>2028</v>
      </c>
      <c r="C1564" s="27">
        <f t="shared" si="121"/>
        <v>4</v>
      </c>
      <c r="D1564" s="27">
        <f t="shared" si="122"/>
        <v>11</v>
      </c>
      <c r="E1564" s="27">
        <f t="shared" si="123"/>
        <v>3</v>
      </c>
      <c r="F1564" s="27">
        <f>VLOOKUP(E1564,[2]t_calendarioPolitica!A:C,3,FALSE)</f>
        <v>1</v>
      </c>
      <c r="G1564" s="1">
        <v>1</v>
      </c>
      <c r="H1564" s="1">
        <v>1</v>
      </c>
      <c r="I1564" s="1">
        <f t="shared" si="124"/>
        <v>1</v>
      </c>
    </row>
    <row r="1565" spans="1:9" x14ac:dyDescent="0.25">
      <c r="A1565" s="26">
        <v>46855</v>
      </c>
      <c r="B1565" s="27">
        <f t="shared" si="120"/>
        <v>2028</v>
      </c>
      <c r="C1565" s="27">
        <f t="shared" si="121"/>
        <v>4</v>
      </c>
      <c r="D1565" s="27">
        <f t="shared" si="122"/>
        <v>12</v>
      </c>
      <c r="E1565" s="27">
        <f t="shared" si="123"/>
        <v>4</v>
      </c>
      <c r="F1565" s="27">
        <f>VLOOKUP(E1565,[2]t_calendarioPolitica!A:C,3,FALSE)</f>
        <v>1</v>
      </c>
      <c r="G1565" s="1">
        <v>1</v>
      </c>
      <c r="H1565" s="1">
        <v>1</v>
      </c>
      <c r="I1565" s="1">
        <f t="shared" si="124"/>
        <v>1</v>
      </c>
    </row>
    <row r="1566" spans="1:9" x14ac:dyDescent="0.25">
      <c r="A1566" s="26">
        <v>46856</v>
      </c>
      <c r="B1566" s="27">
        <f t="shared" si="120"/>
        <v>2028</v>
      </c>
      <c r="C1566" s="27">
        <f t="shared" si="121"/>
        <v>4</v>
      </c>
      <c r="D1566" s="27">
        <f t="shared" si="122"/>
        <v>13</v>
      </c>
      <c r="E1566" s="27">
        <f t="shared" si="123"/>
        <v>5</v>
      </c>
      <c r="F1566" s="27">
        <f>VLOOKUP(E1566,[2]t_calendarioPolitica!A:C,3,FALSE)</f>
        <v>1</v>
      </c>
      <c r="G1566" s="1">
        <v>1</v>
      </c>
      <c r="H1566" s="1">
        <v>1</v>
      </c>
      <c r="I1566" s="1">
        <f t="shared" si="124"/>
        <v>1</v>
      </c>
    </row>
    <row r="1567" spans="1:9" x14ac:dyDescent="0.25">
      <c r="A1567" s="26">
        <v>46857</v>
      </c>
      <c r="B1567" s="27">
        <f t="shared" si="120"/>
        <v>2028</v>
      </c>
      <c r="C1567" s="27">
        <f t="shared" si="121"/>
        <v>4</v>
      </c>
      <c r="D1567" s="27">
        <f t="shared" si="122"/>
        <v>14</v>
      </c>
      <c r="E1567" s="27">
        <f t="shared" si="123"/>
        <v>6</v>
      </c>
      <c r="F1567" s="27">
        <f>VLOOKUP(E1567,[2]t_calendarioPolitica!A:C,3,FALSE)</f>
        <v>1</v>
      </c>
      <c r="G1567" s="1">
        <v>1</v>
      </c>
      <c r="H1567" s="1">
        <v>1</v>
      </c>
      <c r="I1567" s="1">
        <f t="shared" si="124"/>
        <v>1</v>
      </c>
    </row>
    <row r="1568" spans="1:9" x14ac:dyDescent="0.25">
      <c r="A1568" s="26">
        <v>46858</v>
      </c>
      <c r="B1568" s="27">
        <f t="shared" si="120"/>
        <v>2028</v>
      </c>
      <c r="C1568" s="27">
        <f t="shared" si="121"/>
        <v>4</v>
      </c>
      <c r="D1568" s="27">
        <f t="shared" si="122"/>
        <v>15</v>
      </c>
      <c r="E1568" s="27">
        <f t="shared" si="123"/>
        <v>7</v>
      </c>
      <c r="F1568" s="27">
        <f>VLOOKUP(E1568,[2]t_calendarioPolitica!A:C,3,FALSE)</f>
        <v>2</v>
      </c>
      <c r="G1568" s="1">
        <v>1</v>
      </c>
      <c r="H1568" s="1">
        <v>1</v>
      </c>
      <c r="I1568" s="1">
        <f t="shared" si="124"/>
        <v>1</v>
      </c>
    </row>
    <row r="1569" spans="1:9" x14ac:dyDescent="0.25">
      <c r="A1569" s="26">
        <v>46859</v>
      </c>
      <c r="B1569" s="27">
        <f t="shared" si="120"/>
        <v>2028</v>
      </c>
      <c r="C1569" s="27">
        <f t="shared" si="121"/>
        <v>4</v>
      </c>
      <c r="D1569" s="27">
        <f t="shared" si="122"/>
        <v>16</v>
      </c>
      <c r="E1569" s="27">
        <f t="shared" si="123"/>
        <v>1</v>
      </c>
      <c r="F1569" s="27">
        <f>VLOOKUP(E1569,[2]t_calendarioPolitica!A:C,3,FALSE)</f>
        <v>0</v>
      </c>
      <c r="G1569" s="1">
        <v>1</v>
      </c>
      <c r="H1569" s="1">
        <v>1</v>
      </c>
      <c r="I1569" s="1">
        <f t="shared" si="124"/>
        <v>0</v>
      </c>
    </row>
    <row r="1570" spans="1:9" x14ac:dyDescent="0.25">
      <c r="A1570" s="26">
        <v>46860</v>
      </c>
      <c r="B1570" s="27">
        <f t="shared" si="120"/>
        <v>2028</v>
      </c>
      <c r="C1570" s="27">
        <f t="shared" si="121"/>
        <v>4</v>
      </c>
      <c r="D1570" s="27">
        <f t="shared" si="122"/>
        <v>17</v>
      </c>
      <c r="E1570" s="27">
        <f t="shared" si="123"/>
        <v>2</v>
      </c>
      <c r="F1570" s="27">
        <f>VLOOKUP(E1570,[2]t_calendarioPolitica!A:C,3,FALSE)</f>
        <v>1</v>
      </c>
      <c r="G1570" s="1">
        <v>1</v>
      </c>
      <c r="H1570" s="1">
        <v>1</v>
      </c>
      <c r="I1570" s="1">
        <f t="shared" si="124"/>
        <v>1</v>
      </c>
    </row>
    <row r="1571" spans="1:9" x14ac:dyDescent="0.25">
      <c r="A1571" s="26">
        <v>46861</v>
      </c>
      <c r="B1571" s="27">
        <f t="shared" si="120"/>
        <v>2028</v>
      </c>
      <c r="C1571" s="27">
        <f t="shared" si="121"/>
        <v>4</v>
      </c>
      <c r="D1571" s="27">
        <f t="shared" si="122"/>
        <v>18</v>
      </c>
      <c r="E1571" s="27">
        <f t="shared" si="123"/>
        <v>3</v>
      </c>
      <c r="F1571" s="27">
        <f>VLOOKUP(E1571,[2]t_calendarioPolitica!A:C,3,FALSE)</f>
        <v>1</v>
      </c>
      <c r="G1571" s="1">
        <v>1</v>
      </c>
      <c r="H1571" s="1">
        <v>1</v>
      </c>
      <c r="I1571" s="1">
        <f t="shared" si="124"/>
        <v>1</v>
      </c>
    </row>
    <row r="1572" spans="1:9" x14ac:dyDescent="0.25">
      <c r="A1572" s="26">
        <v>46862</v>
      </c>
      <c r="B1572" s="27">
        <f t="shared" si="120"/>
        <v>2028</v>
      </c>
      <c r="C1572" s="27">
        <f t="shared" si="121"/>
        <v>4</v>
      </c>
      <c r="D1572" s="27">
        <f t="shared" si="122"/>
        <v>19</v>
      </c>
      <c r="E1572" s="27">
        <f t="shared" si="123"/>
        <v>4</v>
      </c>
      <c r="F1572" s="27">
        <f>VLOOKUP(E1572,[2]t_calendarioPolitica!A:C,3,FALSE)</f>
        <v>1</v>
      </c>
      <c r="G1572" s="1">
        <v>1</v>
      </c>
      <c r="H1572" s="1">
        <v>1</v>
      </c>
      <c r="I1572" s="1">
        <f t="shared" si="124"/>
        <v>1</v>
      </c>
    </row>
    <row r="1573" spans="1:9" x14ac:dyDescent="0.25">
      <c r="A1573" s="26">
        <v>46863</v>
      </c>
      <c r="B1573" s="27">
        <f t="shared" si="120"/>
        <v>2028</v>
      </c>
      <c r="C1573" s="27">
        <f t="shared" si="121"/>
        <v>4</v>
      </c>
      <c r="D1573" s="27">
        <f t="shared" si="122"/>
        <v>20</v>
      </c>
      <c r="E1573" s="27">
        <f t="shared" si="123"/>
        <v>5</v>
      </c>
      <c r="F1573" s="27">
        <f>VLOOKUP(E1573,[2]t_calendarioPolitica!A:C,3,FALSE)</f>
        <v>1</v>
      </c>
      <c r="G1573" s="1">
        <v>1</v>
      </c>
      <c r="H1573" s="1">
        <v>1</v>
      </c>
      <c r="I1573" s="1">
        <f t="shared" si="124"/>
        <v>1</v>
      </c>
    </row>
    <row r="1574" spans="1:9" x14ac:dyDescent="0.25">
      <c r="A1574" s="26">
        <v>46864</v>
      </c>
      <c r="B1574" s="27">
        <f t="shared" si="120"/>
        <v>2028</v>
      </c>
      <c r="C1574" s="27">
        <f t="shared" si="121"/>
        <v>4</v>
      </c>
      <c r="D1574" s="27">
        <f t="shared" si="122"/>
        <v>21</v>
      </c>
      <c r="E1574" s="27">
        <f t="shared" si="123"/>
        <v>6</v>
      </c>
      <c r="F1574" s="27">
        <f>VLOOKUP(E1574,[2]t_calendarioPolitica!A:C,3,FALSE)</f>
        <v>1</v>
      </c>
      <c r="G1574" s="1">
        <v>1</v>
      </c>
      <c r="H1574" s="1">
        <v>1</v>
      </c>
      <c r="I1574" s="1">
        <f t="shared" si="124"/>
        <v>1</v>
      </c>
    </row>
    <row r="1575" spans="1:9" x14ac:dyDescent="0.25">
      <c r="A1575" s="26">
        <v>46865</v>
      </c>
      <c r="B1575" s="27">
        <f t="shared" si="120"/>
        <v>2028</v>
      </c>
      <c r="C1575" s="27">
        <f t="shared" si="121"/>
        <v>4</v>
      </c>
      <c r="D1575" s="27">
        <f t="shared" si="122"/>
        <v>22</v>
      </c>
      <c r="E1575" s="27">
        <f t="shared" si="123"/>
        <v>7</v>
      </c>
      <c r="F1575" s="27">
        <f>VLOOKUP(E1575,[2]t_calendarioPolitica!A:C,3,FALSE)</f>
        <v>2</v>
      </c>
      <c r="G1575" s="1">
        <v>1</v>
      </c>
      <c r="H1575" s="1">
        <v>1</v>
      </c>
      <c r="I1575" s="1">
        <f t="shared" si="124"/>
        <v>1</v>
      </c>
    </row>
    <row r="1576" spans="1:9" x14ac:dyDescent="0.25">
      <c r="A1576" s="26">
        <v>46866</v>
      </c>
      <c r="B1576" s="27">
        <f t="shared" si="120"/>
        <v>2028</v>
      </c>
      <c r="C1576" s="27">
        <f t="shared" si="121"/>
        <v>4</v>
      </c>
      <c r="D1576" s="27">
        <f t="shared" si="122"/>
        <v>23</v>
      </c>
      <c r="E1576" s="27">
        <f t="shared" si="123"/>
        <v>1</v>
      </c>
      <c r="F1576" s="27">
        <f>VLOOKUP(E1576,[2]t_calendarioPolitica!A:C,3,FALSE)</f>
        <v>0</v>
      </c>
      <c r="G1576" s="1">
        <v>1</v>
      </c>
      <c r="H1576" s="1">
        <v>1</v>
      </c>
      <c r="I1576" s="1">
        <f t="shared" si="124"/>
        <v>0</v>
      </c>
    </row>
    <row r="1577" spans="1:9" x14ac:dyDescent="0.25">
      <c r="A1577" s="26">
        <v>46867</v>
      </c>
      <c r="B1577" s="27">
        <f t="shared" si="120"/>
        <v>2028</v>
      </c>
      <c r="C1577" s="27">
        <f t="shared" si="121"/>
        <v>4</v>
      </c>
      <c r="D1577" s="27">
        <f t="shared" si="122"/>
        <v>24</v>
      </c>
      <c r="E1577" s="27">
        <f t="shared" si="123"/>
        <v>2</v>
      </c>
      <c r="F1577" s="27">
        <f>VLOOKUP(E1577,[2]t_calendarioPolitica!A:C,3,FALSE)</f>
        <v>1</v>
      </c>
      <c r="G1577" s="1">
        <v>1</v>
      </c>
      <c r="H1577" s="1">
        <v>1</v>
      </c>
      <c r="I1577" s="1">
        <f t="shared" si="124"/>
        <v>1</v>
      </c>
    </row>
    <row r="1578" spans="1:9" x14ac:dyDescent="0.25">
      <c r="A1578" s="26">
        <v>46868</v>
      </c>
      <c r="B1578" s="27">
        <f t="shared" si="120"/>
        <v>2028</v>
      </c>
      <c r="C1578" s="27">
        <f t="shared" si="121"/>
        <v>4</v>
      </c>
      <c r="D1578" s="27">
        <f t="shared" si="122"/>
        <v>25</v>
      </c>
      <c r="E1578" s="27">
        <f t="shared" si="123"/>
        <v>3</v>
      </c>
      <c r="F1578" s="27">
        <f>VLOOKUP(E1578,[2]t_calendarioPolitica!A:C,3,FALSE)</f>
        <v>1</v>
      </c>
      <c r="G1578" s="1">
        <v>1</v>
      </c>
      <c r="H1578" s="1">
        <v>1</v>
      </c>
      <c r="I1578" s="1">
        <f t="shared" si="124"/>
        <v>1</v>
      </c>
    </row>
    <row r="1579" spans="1:9" x14ac:dyDescent="0.25">
      <c r="A1579" s="26">
        <v>46869</v>
      </c>
      <c r="B1579" s="27">
        <f t="shared" si="120"/>
        <v>2028</v>
      </c>
      <c r="C1579" s="27">
        <f t="shared" si="121"/>
        <v>4</v>
      </c>
      <c r="D1579" s="27">
        <f t="shared" si="122"/>
        <v>26</v>
      </c>
      <c r="E1579" s="27">
        <f t="shared" si="123"/>
        <v>4</v>
      </c>
      <c r="F1579" s="27">
        <f>VLOOKUP(E1579,[2]t_calendarioPolitica!A:C,3,FALSE)</f>
        <v>1</v>
      </c>
      <c r="G1579" s="1">
        <v>1</v>
      </c>
      <c r="H1579" s="1">
        <v>1</v>
      </c>
      <c r="I1579" s="1">
        <f t="shared" si="124"/>
        <v>1</v>
      </c>
    </row>
    <row r="1580" spans="1:9" x14ac:dyDescent="0.25">
      <c r="A1580" s="26">
        <v>46870</v>
      </c>
      <c r="B1580" s="27">
        <f t="shared" si="120"/>
        <v>2028</v>
      </c>
      <c r="C1580" s="27">
        <f t="shared" si="121"/>
        <v>4</v>
      </c>
      <c r="D1580" s="27">
        <f t="shared" si="122"/>
        <v>27</v>
      </c>
      <c r="E1580" s="27">
        <f t="shared" si="123"/>
        <v>5</v>
      </c>
      <c r="F1580" s="27">
        <f>VLOOKUP(E1580,[2]t_calendarioPolitica!A:C,3,FALSE)</f>
        <v>1</v>
      </c>
      <c r="G1580" s="1">
        <v>1</v>
      </c>
      <c r="H1580" s="1">
        <v>1</v>
      </c>
      <c r="I1580" s="1">
        <f t="shared" si="124"/>
        <v>1</v>
      </c>
    </row>
    <row r="1581" spans="1:9" x14ac:dyDescent="0.25">
      <c r="A1581" s="26">
        <v>46871</v>
      </c>
      <c r="B1581" s="27">
        <f t="shared" si="120"/>
        <v>2028</v>
      </c>
      <c r="C1581" s="27">
        <f t="shared" si="121"/>
        <v>4</v>
      </c>
      <c r="D1581" s="27">
        <f t="shared" si="122"/>
        <v>28</v>
      </c>
      <c r="E1581" s="27">
        <f t="shared" si="123"/>
        <v>6</v>
      </c>
      <c r="F1581" s="27">
        <f>VLOOKUP(E1581,[2]t_calendarioPolitica!A:C,3,FALSE)</f>
        <v>1</v>
      </c>
      <c r="G1581" s="1">
        <v>1</v>
      </c>
      <c r="H1581" s="1">
        <v>1</v>
      </c>
      <c r="I1581" s="1">
        <f t="shared" si="124"/>
        <v>1</v>
      </c>
    </row>
    <row r="1582" spans="1:9" x14ac:dyDescent="0.25">
      <c r="A1582" s="26">
        <v>46872</v>
      </c>
      <c r="B1582" s="27">
        <f t="shared" si="120"/>
        <v>2028</v>
      </c>
      <c r="C1582" s="27">
        <f t="shared" si="121"/>
        <v>4</v>
      </c>
      <c r="D1582" s="27">
        <f t="shared" si="122"/>
        <v>29</v>
      </c>
      <c r="E1582" s="27">
        <f t="shared" si="123"/>
        <v>7</v>
      </c>
      <c r="F1582" s="27">
        <f>VLOOKUP(E1582,[2]t_calendarioPolitica!A:C,3,FALSE)</f>
        <v>2</v>
      </c>
      <c r="G1582" s="1">
        <v>1</v>
      </c>
      <c r="H1582" s="1">
        <v>1</v>
      </c>
      <c r="I1582" s="1">
        <f t="shared" si="124"/>
        <v>1</v>
      </c>
    </row>
    <row r="1583" spans="1:9" x14ac:dyDescent="0.25">
      <c r="A1583" s="26">
        <v>46873</v>
      </c>
      <c r="B1583" s="27">
        <f t="shared" si="120"/>
        <v>2028</v>
      </c>
      <c r="C1583" s="27">
        <f t="shared" si="121"/>
        <v>4</v>
      </c>
      <c r="D1583" s="27">
        <f t="shared" si="122"/>
        <v>30</v>
      </c>
      <c r="E1583" s="27">
        <f t="shared" si="123"/>
        <v>1</v>
      </c>
      <c r="F1583" s="27">
        <f>VLOOKUP(E1583,[2]t_calendarioPolitica!A:C,3,FALSE)</f>
        <v>0</v>
      </c>
      <c r="G1583" s="1">
        <v>1</v>
      </c>
      <c r="H1583" s="1">
        <v>1</v>
      </c>
      <c r="I1583" s="1">
        <f t="shared" si="124"/>
        <v>0</v>
      </c>
    </row>
    <row r="1584" spans="1:9" x14ac:dyDescent="0.25">
      <c r="A1584" s="26">
        <v>46874</v>
      </c>
      <c r="B1584" s="27">
        <f t="shared" si="120"/>
        <v>2028</v>
      </c>
      <c r="C1584" s="27">
        <f t="shared" si="121"/>
        <v>5</v>
      </c>
      <c r="D1584" s="27">
        <f t="shared" si="122"/>
        <v>1</v>
      </c>
      <c r="E1584" s="27">
        <f t="shared" si="123"/>
        <v>2</v>
      </c>
      <c r="F1584" s="27">
        <f>VLOOKUP(E1584,[2]t_calendarioPolitica!A:C,3,FALSE)</f>
        <v>1</v>
      </c>
      <c r="G1584" s="1">
        <v>1</v>
      </c>
      <c r="H1584" s="1">
        <v>1</v>
      </c>
      <c r="I1584" s="1">
        <f t="shared" si="124"/>
        <v>1</v>
      </c>
    </row>
    <row r="1585" spans="1:9" x14ac:dyDescent="0.25">
      <c r="A1585" s="26">
        <v>46875</v>
      </c>
      <c r="B1585" s="27">
        <f t="shared" si="120"/>
        <v>2028</v>
      </c>
      <c r="C1585" s="27">
        <f t="shared" si="121"/>
        <v>5</v>
      </c>
      <c r="D1585" s="27">
        <f t="shared" si="122"/>
        <v>2</v>
      </c>
      <c r="E1585" s="27">
        <f t="shared" si="123"/>
        <v>3</v>
      </c>
      <c r="F1585" s="27">
        <f>VLOOKUP(E1585,[2]t_calendarioPolitica!A:C,3,FALSE)</f>
        <v>1</v>
      </c>
      <c r="G1585" s="1">
        <v>1</v>
      </c>
      <c r="H1585" s="1">
        <v>1</v>
      </c>
      <c r="I1585" s="1">
        <f t="shared" si="124"/>
        <v>1</v>
      </c>
    </row>
    <row r="1586" spans="1:9" x14ac:dyDescent="0.25">
      <c r="A1586" s="26">
        <v>46876</v>
      </c>
      <c r="B1586" s="27">
        <f t="shared" si="120"/>
        <v>2028</v>
      </c>
      <c r="C1586" s="27">
        <f t="shared" si="121"/>
        <v>5</v>
      </c>
      <c r="D1586" s="27">
        <f t="shared" si="122"/>
        <v>3</v>
      </c>
      <c r="E1586" s="27">
        <f t="shared" si="123"/>
        <v>4</v>
      </c>
      <c r="F1586" s="27">
        <f>VLOOKUP(E1586,[2]t_calendarioPolitica!A:C,3,FALSE)</f>
        <v>1</v>
      </c>
      <c r="G1586" s="1">
        <v>1</v>
      </c>
      <c r="H1586" s="1">
        <v>1</v>
      </c>
      <c r="I1586" s="1">
        <f t="shared" si="124"/>
        <v>1</v>
      </c>
    </row>
    <row r="1587" spans="1:9" x14ac:dyDescent="0.25">
      <c r="A1587" s="26">
        <v>46877</v>
      </c>
      <c r="B1587" s="27">
        <f t="shared" si="120"/>
        <v>2028</v>
      </c>
      <c r="C1587" s="27">
        <f t="shared" si="121"/>
        <v>5</v>
      </c>
      <c r="D1587" s="27">
        <f t="shared" si="122"/>
        <v>4</v>
      </c>
      <c r="E1587" s="27">
        <f t="shared" si="123"/>
        <v>5</v>
      </c>
      <c r="F1587" s="27">
        <f>VLOOKUP(E1587,[2]t_calendarioPolitica!A:C,3,FALSE)</f>
        <v>1</v>
      </c>
      <c r="G1587" s="1">
        <v>1</v>
      </c>
      <c r="H1587" s="1">
        <v>1</v>
      </c>
      <c r="I1587" s="1">
        <f t="shared" si="124"/>
        <v>1</v>
      </c>
    </row>
    <row r="1588" spans="1:9" x14ac:dyDescent="0.25">
      <c r="A1588" s="26">
        <v>46878</v>
      </c>
      <c r="B1588" s="27">
        <f t="shared" si="120"/>
        <v>2028</v>
      </c>
      <c r="C1588" s="27">
        <f t="shared" si="121"/>
        <v>5</v>
      </c>
      <c r="D1588" s="27">
        <f t="shared" si="122"/>
        <v>5</v>
      </c>
      <c r="E1588" s="27">
        <f t="shared" si="123"/>
        <v>6</v>
      </c>
      <c r="F1588" s="27">
        <f>VLOOKUP(E1588,[2]t_calendarioPolitica!A:C,3,FALSE)</f>
        <v>1</v>
      </c>
      <c r="G1588" s="1">
        <v>1</v>
      </c>
      <c r="H1588" s="1">
        <v>1</v>
      </c>
      <c r="I1588" s="1">
        <f t="shared" si="124"/>
        <v>1</v>
      </c>
    </row>
    <row r="1589" spans="1:9" x14ac:dyDescent="0.25">
      <c r="A1589" s="26">
        <v>46879</v>
      </c>
      <c r="B1589" s="27">
        <f t="shared" si="120"/>
        <v>2028</v>
      </c>
      <c r="C1589" s="27">
        <f t="shared" si="121"/>
        <v>5</v>
      </c>
      <c r="D1589" s="27">
        <f t="shared" si="122"/>
        <v>6</v>
      </c>
      <c r="E1589" s="27">
        <f t="shared" si="123"/>
        <v>7</v>
      </c>
      <c r="F1589" s="27">
        <f>VLOOKUP(E1589,[2]t_calendarioPolitica!A:C,3,FALSE)</f>
        <v>2</v>
      </c>
      <c r="G1589" s="1">
        <v>1</v>
      </c>
      <c r="H1589" s="1">
        <v>1</v>
      </c>
      <c r="I1589" s="1">
        <f t="shared" si="124"/>
        <v>1</v>
      </c>
    </row>
    <row r="1590" spans="1:9" x14ac:dyDescent="0.25">
      <c r="A1590" s="26">
        <v>46880</v>
      </c>
      <c r="B1590" s="27">
        <f t="shared" si="120"/>
        <v>2028</v>
      </c>
      <c r="C1590" s="27">
        <f t="shared" si="121"/>
        <v>5</v>
      </c>
      <c r="D1590" s="27">
        <f t="shared" si="122"/>
        <v>7</v>
      </c>
      <c r="E1590" s="27">
        <f t="shared" si="123"/>
        <v>1</v>
      </c>
      <c r="F1590" s="27">
        <f>VLOOKUP(E1590,[2]t_calendarioPolitica!A:C,3,FALSE)</f>
        <v>0</v>
      </c>
      <c r="G1590" s="1">
        <v>1</v>
      </c>
      <c r="H1590" s="1">
        <v>1</v>
      </c>
      <c r="I1590" s="1">
        <f t="shared" si="124"/>
        <v>0</v>
      </c>
    </row>
    <row r="1591" spans="1:9" x14ac:dyDescent="0.25">
      <c r="A1591" s="26">
        <v>46881</v>
      </c>
      <c r="B1591" s="27">
        <f t="shared" si="120"/>
        <v>2028</v>
      </c>
      <c r="C1591" s="27">
        <f t="shared" si="121"/>
        <v>5</v>
      </c>
      <c r="D1591" s="27">
        <f t="shared" si="122"/>
        <v>8</v>
      </c>
      <c r="E1591" s="27">
        <f t="shared" si="123"/>
        <v>2</v>
      </c>
      <c r="F1591" s="27">
        <f>VLOOKUP(E1591,[2]t_calendarioPolitica!A:C,3,FALSE)</f>
        <v>1</v>
      </c>
      <c r="G1591" s="1">
        <v>1</v>
      </c>
      <c r="H1591" s="1">
        <v>1</v>
      </c>
      <c r="I1591" s="1">
        <f t="shared" si="124"/>
        <v>1</v>
      </c>
    </row>
    <row r="1592" spans="1:9" x14ac:dyDescent="0.25">
      <c r="A1592" s="26">
        <v>46882</v>
      </c>
      <c r="B1592" s="27">
        <f t="shared" si="120"/>
        <v>2028</v>
      </c>
      <c r="C1592" s="27">
        <f t="shared" si="121"/>
        <v>5</v>
      </c>
      <c r="D1592" s="27">
        <f t="shared" si="122"/>
        <v>9</v>
      </c>
      <c r="E1592" s="27">
        <f t="shared" si="123"/>
        <v>3</v>
      </c>
      <c r="F1592" s="27">
        <f>VLOOKUP(E1592,[2]t_calendarioPolitica!A:C,3,FALSE)</f>
        <v>1</v>
      </c>
      <c r="G1592" s="1">
        <v>1</v>
      </c>
      <c r="H1592" s="1">
        <v>1</v>
      </c>
      <c r="I1592" s="1">
        <f t="shared" si="124"/>
        <v>1</v>
      </c>
    </row>
    <row r="1593" spans="1:9" x14ac:dyDescent="0.25">
      <c r="A1593" s="26">
        <v>46883</v>
      </c>
      <c r="B1593" s="27">
        <f t="shared" si="120"/>
        <v>2028</v>
      </c>
      <c r="C1593" s="27">
        <f t="shared" si="121"/>
        <v>5</v>
      </c>
      <c r="D1593" s="27">
        <f t="shared" si="122"/>
        <v>10</v>
      </c>
      <c r="E1593" s="27">
        <f t="shared" si="123"/>
        <v>4</v>
      </c>
      <c r="F1593" s="27">
        <f>VLOOKUP(E1593,[2]t_calendarioPolitica!A:C,3,FALSE)</f>
        <v>1</v>
      </c>
      <c r="G1593" s="1">
        <v>1</v>
      </c>
      <c r="H1593" s="1">
        <v>0</v>
      </c>
      <c r="I1593" s="1">
        <f t="shared" si="124"/>
        <v>0</v>
      </c>
    </row>
    <row r="1594" spans="1:9" x14ac:dyDescent="0.25">
      <c r="A1594" s="26">
        <v>46884</v>
      </c>
      <c r="B1594" s="27">
        <f t="shared" si="120"/>
        <v>2028</v>
      </c>
      <c r="C1594" s="27">
        <f t="shared" si="121"/>
        <v>5</v>
      </c>
      <c r="D1594" s="27">
        <f t="shared" si="122"/>
        <v>11</v>
      </c>
      <c r="E1594" s="27">
        <f t="shared" si="123"/>
        <v>5</v>
      </c>
      <c r="F1594" s="27">
        <f>VLOOKUP(E1594,[2]t_calendarioPolitica!A:C,3,FALSE)</f>
        <v>1</v>
      </c>
      <c r="G1594" s="1">
        <v>1</v>
      </c>
      <c r="H1594" s="1">
        <v>1</v>
      </c>
      <c r="I1594" s="1">
        <f t="shared" si="124"/>
        <v>1</v>
      </c>
    </row>
    <row r="1595" spans="1:9" x14ac:dyDescent="0.25">
      <c r="A1595" s="26">
        <v>46885</v>
      </c>
      <c r="B1595" s="27">
        <f t="shared" si="120"/>
        <v>2028</v>
      </c>
      <c r="C1595" s="27">
        <f t="shared" si="121"/>
        <v>5</v>
      </c>
      <c r="D1595" s="27">
        <f t="shared" si="122"/>
        <v>12</v>
      </c>
      <c r="E1595" s="27">
        <f t="shared" si="123"/>
        <v>6</v>
      </c>
      <c r="F1595" s="27">
        <f>VLOOKUP(E1595,[2]t_calendarioPolitica!A:C,3,FALSE)</f>
        <v>1</v>
      </c>
      <c r="G1595" s="1">
        <v>1</v>
      </c>
      <c r="H1595" s="1">
        <v>1</v>
      </c>
      <c r="I1595" s="1">
        <f t="shared" si="124"/>
        <v>1</v>
      </c>
    </row>
    <row r="1596" spans="1:9" x14ac:dyDescent="0.25">
      <c r="A1596" s="26">
        <v>46886</v>
      </c>
      <c r="B1596" s="27">
        <f t="shared" si="120"/>
        <v>2028</v>
      </c>
      <c r="C1596" s="27">
        <f t="shared" si="121"/>
        <v>5</v>
      </c>
      <c r="D1596" s="27">
        <f t="shared" si="122"/>
        <v>13</v>
      </c>
      <c r="E1596" s="27">
        <f t="shared" si="123"/>
        <v>7</v>
      </c>
      <c r="F1596" s="27">
        <f>VLOOKUP(E1596,[2]t_calendarioPolitica!A:C,3,FALSE)</f>
        <v>2</v>
      </c>
      <c r="G1596" s="1">
        <v>1</v>
      </c>
      <c r="H1596" s="1">
        <v>1</v>
      </c>
      <c r="I1596" s="1">
        <f t="shared" si="124"/>
        <v>1</v>
      </c>
    </row>
    <row r="1597" spans="1:9" x14ac:dyDescent="0.25">
      <c r="A1597" s="26">
        <v>46887</v>
      </c>
      <c r="B1597" s="27">
        <f t="shared" si="120"/>
        <v>2028</v>
      </c>
      <c r="C1597" s="27">
        <f t="shared" si="121"/>
        <v>5</v>
      </c>
      <c r="D1597" s="27">
        <f t="shared" si="122"/>
        <v>14</v>
      </c>
      <c r="E1597" s="27">
        <f t="shared" si="123"/>
        <v>1</v>
      </c>
      <c r="F1597" s="27">
        <f>VLOOKUP(E1597,[2]t_calendarioPolitica!A:C,3,FALSE)</f>
        <v>0</v>
      </c>
      <c r="G1597" s="1">
        <v>1</v>
      </c>
      <c r="H1597" s="1">
        <v>1</v>
      </c>
      <c r="I1597" s="1">
        <f t="shared" si="124"/>
        <v>0</v>
      </c>
    </row>
    <row r="1598" spans="1:9" x14ac:dyDescent="0.25">
      <c r="A1598" s="26">
        <v>46888</v>
      </c>
      <c r="B1598" s="27">
        <f t="shared" si="120"/>
        <v>2028</v>
      </c>
      <c r="C1598" s="27">
        <f t="shared" si="121"/>
        <v>5</v>
      </c>
      <c r="D1598" s="27">
        <f t="shared" si="122"/>
        <v>15</v>
      </c>
      <c r="E1598" s="27">
        <f t="shared" si="123"/>
        <v>2</v>
      </c>
      <c r="F1598" s="27">
        <f>VLOOKUP(E1598,[2]t_calendarioPolitica!A:C,3,FALSE)</f>
        <v>1</v>
      </c>
      <c r="G1598" s="1">
        <v>1</v>
      </c>
      <c r="H1598" s="1">
        <v>1</v>
      </c>
      <c r="I1598" s="1">
        <f t="shared" si="124"/>
        <v>1</v>
      </c>
    </row>
    <row r="1599" spans="1:9" x14ac:dyDescent="0.25">
      <c r="A1599" s="26">
        <v>46889</v>
      </c>
      <c r="B1599" s="27">
        <f t="shared" si="120"/>
        <v>2028</v>
      </c>
      <c r="C1599" s="27">
        <f t="shared" si="121"/>
        <v>5</v>
      </c>
      <c r="D1599" s="27">
        <f t="shared" si="122"/>
        <v>16</v>
      </c>
      <c r="E1599" s="27">
        <f t="shared" si="123"/>
        <v>3</v>
      </c>
      <c r="F1599" s="27">
        <f>VLOOKUP(E1599,[2]t_calendarioPolitica!A:C,3,FALSE)</f>
        <v>1</v>
      </c>
      <c r="G1599" s="1">
        <v>1</v>
      </c>
      <c r="H1599" s="1">
        <v>1</v>
      </c>
      <c r="I1599" s="1">
        <f t="shared" si="124"/>
        <v>1</v>
      </c>
    </row>
    <row r="1600" spans="1:9" x14ac:dyDescent="0.25">
      <c r="A1600" s="26">
        <v>46890</v>
      </c>
      <c r="B1600" s="27">
        <f t="shared" si="120"/>
        <v>2028</v>
      </c>
      <c r="C1600" s="27">
        <f t="shared" si="121"/>
        <v>5</v>
      </c>
      <c r="D1600" s="27">
        <f t="shared" si="122"/>
        <v>17</v>
      </c>
      <c r="E1600" s="27">
        <f t="shared" si="123"/>
        <v>4</v>
      </c>
      <c r="F1600" s="27">
        <f>VLOOKUP(E1600,[2]t_calendarioPolitica!A:C,3,FALSE)</f>
        <v>1</v>
      </c>
      <c r="G1600" s="1">
        <v>1</v>
      </c>
      <c r="H1600" s="1">
        <v>1</v>
      </c>
      <c r="I1600" s="1">
        <f t="shared" si="124"/>
        <v>1</v>
      </c>
    </row>
    <row r="1601" spans="1:9" x14ac:dyDescent="0.25">
      <c r="A1601" s="26">
        <v>46891</v>
      </c>
      <c r="B1601" s="27">
        <f t="shared" si="120"/>
        <v>2028</v>
      </c>
      <c r="C1601" s="27">
        <f t="shared" si="121"/>
        <v>5</v>
      </c>
      <c r="D1601" s="27">
        <f t="shared" si="122"/>
        <v>18</v>
      </c>
      <c r="E1601" s="27">
        <f t="shared" si="123"/>
        <v>5</v>
      </c>
      <c r="F1601" s="27">
        <f>VLOOKUP(E1601,[2]t_calendarioPolitica!A:C,3,FALSE)</f>
        <v>1</v>
      </c>
      <c r="G1601" s="1">
        <v>1</v>
      </c>
      <c r="H1601" s="1">
        <v>1</v>
      </c>
      <c r="I1601" s="1">
        <f t="shared" si="124"/>
        <v>1</v>
      </c>
    </row>
    <row r="1602" spans="1:9" x14ac:dyDescent="0.25">
      <c r="A1602" s="26">
        <v>46892</v>
      </c>
      <c r="B1602" s="27">
        <f t="shared" si="120"/>
        <v>2028</v>
      </c>
      <c r="C1602" s="27">
        <f t="shared" si="121"/>
        <v>5</v>
      </c>
      <c r="D1602" s="27">
        <f t="shared" si="122"/>
        <v>19</v>
      </c>
      <c r="E1602" s="27">
        <f t="shared" si="123"/>
        <v>6</v>
      </c>
      <c r="F1602" s="27">
        <f>VLOOKUP(E1602,[2]t_calendarioPolitica!A:C,3,FALSE)</f>
        <v>1</v>
      </c>
      <c r="G1602" s="1">
        <v>1</v>
      </c>
      <c r="H1602" s="1">
        <v>1</v>
      </c>
      <c r="I1602" s="1">
        <f t="shared" si="124"/>
        <v>1</v>
      </c>
    </row>
    <row r="1603" spans="1:9" x14ac:dyDescent="0.25">
      <c r="A1603" s="26">
        <v>46893</v>
      </c>
      <c r="B1603" s="27">
        <f t="shared" ref="B1603:B1666" si="125">YEAR(A1603)</f>
        <v>2028</v>
      </c>
      <c r="C1603" s="27">
        <f t="shared" ref="C1603:C1666" si="126">MONTH(A1603)</f>
        <v>5</v>
      </c>
      <c r="D1603" s="27">
        <f t="shared" ref="D1603:D1666" si="127">DAY(A1603)</f>
        <v>20</v>
      </c>
      <c r="E1603" s="27">
        <f t="shared" ref="E1603:E1666" si="128">WEEKDAY(A1603)</f>
        <v>7</v>
      </c>
      <c r="F1603" s="27">
        <f>VLOOKUP(E1603,[2]t_calendarioPolitica!A:C,3,FALSE)</f>
        <v>2</v>
      </c>
      <c r="G1603" s="1">
        <v>1</v>
      </c>
      <c r="H1603" s="1">
        <v>1</v>
      </c>
      <c r="I1603" s="1">
        <f t="shared" ref="I1603:I1666" si="129">IF(AND(F1603&lt;&gt;0, H1603&lt;&gt;0,G1603&lt;&gt;0), 1, 0)</f>
        <v>1</v>
      </c>
    </row>
    <row r="1604" spans="1:9" x14ac:dyDescent="0.25">
      <c r="A1604" s="26">
        <v>46894</v>
      </c>
      <c r="B1604" s="27">
        <f t="shared" si="125"/>
        <v>2028</v>
      </c>
      <c r="C1604" s="27">
        <f t="shared" si="126"/>
        <v>5</v>
      </c>
      <c r="D1604" s="27">
        <f t="shared" si="127"/>
        <v>21</v>
      </c>
      <c r="E1604" s="27">
        <f t="shared" si="128"/>
        <v>1</v>
      </c>
      <c r="F1604" s="27">
        <f>VLOOKUP(E1604,[2]t_calendarioPolitica!A:C,3,FALSE)</f>
        <v>0</v>
      </c>
      <c r="G1604" s="1">
        <v>1</v>
      </c>
      <c r="H1604" s="1">
        <v>1</v>
      </c>
      <c r="I1604" s="1">
        <f t="shared" si="129"/>
        <v>0</v>
      </c>
    </row>
    <row r="1605" spans="1:9" x14ac:dyDescent="0.25">
      <c r="A1605" s="26">
        <v>46895</v>
      </c>
      <c r="B1605" s="27">
        <f t="shared" si="125"/>
        <v>2028</v>
      </c>
      <c r="C1605" s="27">
        <f t="shared" si="126"/>
        <v>5</v>
      </c>
      <c r="D1605" s="27">
        <f t="shared" si="127"/>
        <v>22</v>
      </c>
      <c r="E1605" s="27">
        <f t="shared" si="128"/>
        <v>2</v>
      </c>
      <c r="F1605" s="27">
        <f>VLOOKUP(E1605,[2]t_calendarioPolitica!A:C,3,FALSE)</f>
        <v>1</v>
      </c>
      <c r="G1605" s="1">
        <v>1</v>
      </c>
      <c r="H1605" s="1">
        <v>1</v>
      </c>
      <c r="I1605" s="1">
        <f t="shared" si="129"/>
        <v>1</v>
      </c>
    </row>
    <row r="1606" spans="1:9" x14ac:dyDescent="0.25">
      <c r="A1606" s="26">
        <v>46896</v>
      </c>
      <c r="B1606" s="27">
        <f t="shared" si="125"/>
        <v>2028</v>
      </c>
      <c r="C1606" s="27">
        <f t="shared" si="126"/>
        <v>5</v>
      </c>
      <c r="D1606" s="27">
        <f t="shared" si="127"/>
        <v>23</v>
      </c>
      <c r="E1606" s="27">
        <f t="shared" si="128"/>
        <v>3</v>
      </c>
      <c r="F1606" s="27">
        <f>VLOOKUP(E1606,[2]t_calendarioPolitica!A:C,3,FALSE)</f>
        <v>1</v>
      </c>
      <c r="G1606" s="1">
        <v>1</v>
      </c>
      <c r="H1606" s="1">
        <v>1</v>
      </c>
      <c r="I1606" s="1">
        <f t="shared" si="129"/>
        <v>1</v>
      </c>
    </row>
    <row r="1607" spans="1:9" x14ac:dyDescent="0.25">
      <c r="A1607" s="26">
        <v>46897</v>
      </c>
      <c r="B1607" s="27">
        <f t="shared" si="125"/>
        <v>2028</v>
      </c>
      <c r="C1607" s="27">
        <f t="shared" si="126"/>
        <v>5</v>
      </c>
      <c r="D1607" s="27">
        <f t="shared" si="127"/>
        <v>24</v>
      </c>
      <c r="E1607" s="27">
        <f t="shared" si="128"/>
        <v>4</v>
      </c>
      <c r="F1607" s="27">
        <f>VLOOKUP(E1607,[2]t_calendarioPolitica!A:C,3,FALSE)</f>
        <v>1</v>
      </c>
      <c r="G1607" s="1">
        <v>1</v>
      </c>
      <c r="H1607" s="1">
        <v>1</v>
      </c>
      <c r="I1607" s="1">
        <f t="shared" si="129"/>
        <v>1</v>
      </c>
    </row>
    <row r="1608" spans="1:9" x14ac:dyDescent="0.25">
      <c r="A1608" s="26">
        <v>46898</v>
      </c>
      <c r="B1608" s="27">
        <f t="shared" si="125"/>
        <v>2028</v>
      </c>
      <c r="C1608" s="27">
        <f t="shared" si="126"/>
        <v>5</v>
      </c>
      <c r="D1608" s="27">
        <f t="shared" si="127"/>
        <v>25</v>
      </c>
      <c r="E1608" s="27">
        <f t="shared" si="128"/>
        <v>5</v>
      </c>
      <c r="F1608" s="27">
        <f>VLOOKUP(E1608,[2]t_calendarioPolitica!A:C,3,FALSE)</f>
        <v>1</v>
      </c>
      <c r="G1608" s="1">
        <v>1</v>
      </c>
      <c r="H1608" s="1">
        <v>1</v>
      </c>
      <c r="I1608" s="1">
        <f t="shared" si="129"/>
        <v>1</v>
      </c>
    </row>
    <row r="1609" spans="1:9" x14ac:dyDescent="0.25">
      <c r="A1609" s="26">
        <v>46899</v>
      </c>
      <c r="B1609" s="27">
        <f t="shared" si="125"/>
        <v>2028</v>
      </c>
      <c r="C1609" s="27">
        <f t="shared" si="126"/>
        <v>5</v>
      </c>
      <c r="D1609" s="27">
        <f t="shared" si="127"/>
        <v>26</v>
      </c>
      <c r="E1609" s="27">
        <f t="shared" si="128"/>
        <v>6</v>
      </c>
      <c r="F1609" s="27">
        <f>VLOOKUP(E1609,[2]t_calendarioPolitica!A:C,3,FALSE)</f>
        <v>1</v>
      </c>
      <c r="G1609" s="1">
        <v>1</v>
      </c>
      <c r="H1609" s="1">
        <v>1</v>
      </c>
      <c r="I1609" s="1">
        <f t="shared" si="129"/>
        <v>1</v>
      </c>
    </row>
    <row r="1610" spans="1:9" x14ac:dyDescent="0.25">
      <c r="A1610" s="26">
        <v>46900</v>
      </c>
      <c r="B1610" s="27">
        <f t="shared" si="125"/>
        <v>2028</v>
      </c>
      <c r="C1610" s="27">
        <f t="shared" si="126"/>
        <v>5</v>
      </c>
      <c r="D1610" s="27">
        <f t="shared" si="127"/>
        <v>27</v>
      </c>
      <c r="E1610" s="27">
        <f t="shared" si="128"/>
        <v>7</v>
      </c>
      <c r="F1610" s="27">
        <f>VLOOKUP(E1610,[2]t_calendarioPolitica!A:C,3,FALSE)</f>
        <v>2</v>
      </c>
      <c r="G1610" s="1">
        <v>1</v>
      </c>
      <c r="H1610" s="1">
        <v>1</v>
      </c>
      <c r="I1610" s="1">
        <f t="shared" si="129"/>
        <v>1</v>
      </c>
    </row>
    <row r="1611" spans="1:9" x14ac:dyDescent="0.25">
      <c r="A1611" s="26">
        <v>46901</v>
      </c>
      <c r="B1611" s="27">
        <f t="shared" si="125"/>
        <v>2028</v>
      </c>
      <c r="C1611" s="27">
        <f t="shared" si="126"/>
        <v>5</v>
      </c>
      <c r="D1611" s="27">
        <f t="shared" si="127"/>
        <v>28</v>
      </c>
      <c r="E1611" s="27">
        <f t="shared" si="128"/>
        <v>1</v>
      </c>
      <c r="F1611" s="27">
        <f>VLOOKUP(E1611,[2]t_calendarioPolitica!A:C,3,FALSE)</f>
        <v>0</v>
      </c>
      <c r="G1611" s="1">
        <v>1</v>
      </c>
      <c r="H1611" s="1">
        <v>1</v>
      </c>
      <c r="I1611" s="1">
        <f t="shared" si="129"/>
        <v>0</v>
      </c>
    </row>
    <row r="1612" spans="1:9" x14ac:dyDescent="0.25">
      <c r="A1612" s="26">
        <v>46902</v>
      </c>
      <c r="B1612" s="27">
        <f t="shared" si="125"/>
        <v>2028</v>
      </c>
      <c r="C1612" s="27">
        <f t="shared" si="126"/>
        <v>5</v>
      </c>
      <c r="D1612" s="27">
        <f t="shared" si="127"/>
        <v>29</v>
      </c>
      <c r="E1612" s="27">
        <f t="shared" si="128"/>
        <v>2</v>
      </c>
      <c r="F1612" s="27">
        <f>VLOOKUP(E1612,[2]t_calendarioPolitica!A:C,3,FALSE)</f>
        <v>1</v>
      </c>
      <c r="G1612" s="1">
        <v>1</v>
      </c>
      <c r="H1612" s="1">
        <v>1</v>
      </c>
      <c r="I1612" s="1">
        <f t="shared" si="129"/>
        <v>1</v>
      </c>
    </row>
    <row r="1613" spans="1:9" x14ac:dyDescent="0.25">
      <c r="A1613" s="26">
        <v>46903</v>
      </c>
      <c r="B1613" s="27">
        <f t="shared" si="125"/>
        <v>2028</v>
      </c>
      <c r="C1613" s="27">
        <f t="shared" si="126"/>
        <v>5</v>
      </c>
      <c r="D1613" s="27">
        <f t="shared" si="127"/>
        <v>30</v>
      </c>
      <c r="E1613" s="27">
        <f t="shared" si="128"/>
        <v>3</v>
      </c>
      <c r="F1613" s="27">
        <f>VLOOKUP(E1613,[2]t_calendarioPolitica!A:C,3,FALSE)</f>
        <v>1</v>
      </c>
      <c r="G1613" s="1">
        <v>1</v>
      </c>
      <c r="H1613" s="1">
        <v>1</v>
      </c>
      <c r="I1613" s="1">
        <f t="shared" si="129"/>
        <v>1</v>
      </c>
    </row>
    <row r="1614" spans="1:9" x14ac:dyDescent="0.25">
      <c r="A1614" s="26">
        <v>46904</v>
      </c>
      <c r="B1614" s="27">
        <f t="shared" si="125"/>
        <v>2028</v>
      </c>
      <c r="C1614" s="27">
        <f t="shared" si="126"/>
        <v>5</v>
      </c>
      <c r="D1614" s="27">
        <f t="shared" si="127"/>
        <v>31</v>
      </c>
      <c r="E1614" s="27">
        <f t="shared" si="128"/>
        <v>4</v>
      </c>
      <c r="F1614" s="27">
        <f>VLOOKUP(E1614,[2]t_calendarioPolitica!A:C,3,FALSE)</f>
        <v>1</v>
      </c>
      <c r="G1614" s="1">
        <v>1</v>
      </c>
      <c r="H1614" s="1">
        <v>1</v>
      </c>
      <c r="I1614" s="1">
        <f t="shared" si="129"/>
        <v>1</v>
      </c>
    </row>
    <row r="1615" spans="1:9" x14ac:dyDescent="0.25">
      <c r="A1615" s="26">
        <v>46905</v>
      </c>
      <c r="B1615" s="27">
        <f t="shared" si="125"/>
        <v>2028</v>
      </c>
      <c r="C1615" s="27">
        <f t="shared" si="126"/>
        <v>6</v>
      </c>
      <c r="D1615" s="27">
        <f t="shared" si="127"/>
        <v>1</v>
      </c>
      <c r="E1615" s="27">
        <f t="shared" si="128"/>
        <v>5</v>
      </c>
      <c r="F1615" s="27">
        <f>VLOOKUP(E1615,[2]t_calendarioPolitica!A:C,3,FALSE)</f>
        <v>1</v>
      </c>
      <c r="G1615" s="1">
        <v>1</v>
      </c>
      <c r="H1615" s="1">
        <v>1</v>
      </c>
      <c r="I1615" s="1">
        <f t="shared" si="129"/>
        <v>1</v>
      </c>
    </row>
    <row r="1616" spans="1:9" x14ac:dyDescent="0.25">
      <c r="A1616" s="26">
        <v>46906</v>
      </c>
      <c r="B1616" s="27">
        <f t="shared" si="125"/>
        <v>2028</v>
      </c>
      <c r="C1616" s="27">
        <f t="shared" si="126"/>
        <v>6</v>
      </c>
      <c r="D1616" s="27">
        <f t="shared" si="127"/>
        <v>2</v>
      </c>
      <c r="E1616" s="27">
        <f t="shared" si="128"/>
        <v>6</v>
      </c>
      <c r="F1616" s="27">
        <f>VLOOKUP(E1616,[2]t_calendarioPolitica!A:C,3,FALSE)</f>
        <v>1</v>
      </c>
      <c r="G1616" s="1">
        <v>1</v>
      </c>
      <c r="H1616" s="1">
        <v>1</v>
      </c>
      <c r="I1616" s="1">
        <f t="shared" si="129"/>
        <v>1</v>
      </c>
    </row>
    <row r="1617" spans="1:9" x14ac:dyDescent="0.25">
      <c r="A1617" s="26">
        <v>46907</v>
      </c>
      <c r="B1617" s="27">
        <f t="shared" si="125"/>
        <v>2028</v>
      </c>
      <c r="C1617" s="27">
        <f t="shared" si="126"/>
        <v>6</v>
      </c>
      <c r="D1617" s="27">
        <f t="shared" si="127"/>
        <v>3</v>
      </c>
      <c r="E1617" s="27">
        <f t="shared" si="128"/>
        <v>7</v>
      </c>
      <c r="F1617" s="27">
        <f>VLOOKUP(E1617,[2]t_calendarioPolitica!A:C,3,FALSE)</f>
        <v>2</v>
      </c>
      <c r="G1617" s="1">
        <v>1</v>
      </c>
      <c r="H1617" s="1">
        <v>1</v>
      </c>
      <c r="I1617" s="1">
        <f t="shared" si="129"/>
        <v>1</v>
      </c>
    </row>
    <row r="1618" spans="1:9" x14ac:dyDescent="0.25">
      <c r="A1618" s="26">
        <v>46908</v>
      </c>
      <c r="B1618" s="27">
        <f t="shared" si="125"/>
        <v>2028</v>
      </c>
      <c r="C1618" s="27">
        <f t="shared" si="126"/>
        <v>6</v>
      </c>
      <c r="D1618" s="27">
        <f t="shared" si="127"/>
        <v>4</v>
      </c>
      <c r="E1618" s="27">
        <f t="shared" si="128"/>
        <v>1</v>
      </c>
      <c r="F1618" s="27">
        <f>VLOOKUP(E1618,[2]t_calendarioPolitica!A:C,3,FALSE)</f>
        <v>0</v>
      </c>
      <c r="G1618" s="1">
        <v>1</v>
      </c>
      <c r="H1618" s="1">
        <v>1</v>
      </c>
      <c r="I1618" s="1">
        <f t="shared" si="129"/>
        <v>0</v>
      </c>
    </row>
    <row r="1619" spans="1:9" x14ac:dyDescent="0.25">
      <c r="A1619" s="26">
        <v>46909</v>
      </c>
      <c r="B1619" s="27">
        <f t="shared" si="125"/>
        <v>2028</v>
      </c>
      <c r="C1619" s="27">
        <f t="shared" si="126"/>
        <v>6</v>
      </c>
      <c r="D1619" s="27">
        <f t="shared" si="127"/>
        <v>5</v>
      </c>
      <c r="E1619" s="27">
        <f t="shared" si="128"/>
        <v>2</v>
      </c>
      <c r="F1619" s="27">
        <f>VLOOKUP(E1619,[2]t_calendarioPolitica!A:C,3,FALSE)</f>
        <v>1</v>
      </c>
      <c r="G1619" s="1">
        <v>1</v>
      </c>
      <c r="H1619" s="1">
        <v>1</v>
      </c>
      <c r="I1619" s="1">
        <f t="shared" si="129"/>
        <v>1</v>
      </c>
    </row>
    <row r="1620" spans="1:9" x14ac:dyDescent="0.25">
      <c r="A1620" s="26">
        <v>46910</v>
      </c>
      <c r="B1620" s="27">
        <f t="shared" si="125"/>
        <v>2028</v>
      </c>
      <c r="C1620" s="27">
        <f t="shared" si="126"/>
        <v>6</v>
      </c>
      <c r="D1620" s="27">
        <f t="shared" si="127"/>
        <v>6</v>
      </c>
      <c r="E1620" s="27">
        <f t="shared" si="128"/>
        <v>3</v>
      </c>
      <c r="F1620" s="27">
        <f>VLOOKUP(E1620,[2]t_calendarioPolitica!A:C,3,FALSE)</f>
        <v>1</v>
      </c>
      <c r="G1620" s="1">
        <v>1</v>
      </c>
      <c r="H1620" s="1">
        <v>1</v>
      </c>
      <c r="I1620" s="1">
        <f t="shared" si="129"/>
        <v>1</v>
      </c>
    </row>
    <row r="1621" spans="1:9" x14ac:dyDescent="0.25">
      <c r="A1621" s="26">
        <v>46911</v>
      </c>
      <c r="B1621" s="27">
        <f t="shared" si="125"/>
        <v>2028</v>
      </c>
      <c r="C1621" s="27">
        <f t="shared" si="126"/>
        <v>6</v>
      </c>
      <c r="D1621" s="27">
        <f t="shared" si="127"/>
        <v>7</v>
      </c>
      <c r="E1621" s="27">
        <f t="shared" si="128"/>
        <v>4</v>
      </c>
      <c r="F1621" s="27">
        <f>VLOOKUP(E1621,[2]t_calendarioPolitica!A:C,3,FALSE)</f>
        <v>1</v>
      </c>
      <c r="G1621" s="1">
        <v>1</v>
      </c>
      <c r="H1621" s="1">
        <v>1</v>
      </c>
      <c r="I1621" s="1">
        <f t="shared" si="129"/>
        <v>1</v>
      </c>
    </row>
    <row r="1622" spans="1:9" x14ac:dyDescent="0.25">
      <c r="A1622" s="26">
        <v>46912</v>
      </c>
      <c r="B1622" s="27">
        <f t="shared" si="125"/>
        <v>2028</v>
      </c>
      <c r="C1622" s="27">
        <f t="shared" si="126"/>
        <v>6</v>
      </c>
      <c r="D1622" s="27">
        <f t="shared" si="127"/>
        <v>8</v>
      </c>
      <c r="E1622" s="27">
        <f t="shared" si="128"/>
        <v>5</v>
      </c>
      <c r="F1622" s="27">
        <f>VLOOKUP(E1622,[2]t_calendarioPolitica!A:C,3,FALSE)</f>
        <v>1</v>
      </c>
      <c r="G1622" s="1">
        <v>1</v>
      </c>
      <c r="H1622" s="1">
        <v>1</v>
      </c>
      <c r="I1622" s="1">
        <f t="shared" si="129"/>
        <v>1</v>
      </c>
    </row>
    <row r="1623" spans="1:9" x14ac:dyDescent="0.25">
      <c r="A1623" s="26">
        <v>46913</v>
      </c>
      <c r="B1623" s="27">
        <f t="shared" si="125"/>
        <v>2028</v>
      </c>
      <c r="C1623" s="27">
        <f t="shared" si="126"/>
        <v>6</v>
      </c>
      <c r="D1623" s="27">
        <f t="shared" si="127"/>
        <v>9</v>
      </c>
      <c r="E1623" s="27">
        <f t="shared" si="128"/>
        <v>6</v>
      </c>
      <c r="F1623" s="27">
        <f>VLOOKUP(E1623,[2]t_calendarioPolitica!A:C,3,FALSE)</f>
        <v>1</v>
      </c>
      <c r="G1623" s="1">
        <v>1</v>
      </c>
      <c r="H1623" s="1">
        <v>1</v>
      </c>
      <c r="I1623" s="1">
        <f t="shared" si="129"/>
        <v>1</v>
      </c>
    </row>
    <row r="1624" spans="1:9" x14ac:dyDescent="0.25">
      <c r="A1624" s="26">
        <v>46914</v>
      </c>
      <c r="B1624" s="27">
        <f t="shared" si="125"/>
        <v>2028</v>
      </c>
      <c r="C1624" s="27">
        <f t="shared" si="126"/>
        <v>6</v>
      </c>
      <c r="D1624" s="27">
        <f t="shared" si="127"/>
        <v>10</v>
      </c>
      <c r="E1624" s="27">
        <f t="shared" si="128"/>
        <v>7</v>
      </c>
      <c r="F1624" s="27">
        <f>VLOOKUP(E1624,[2]t_calendarioPolitica!A:C,3,FALSE)</f>
        <v>2</v>
      </c>
      <c r="G1624" s="1">
        <v>1</v>
      </c>
      <c r="H1624" s="1">
        <v>1</v>
      </c>
      <c r="I1624" s="1">
        <f t="shared" si="129"/>
        <v>1</v>
      </c>
    </row>
    <row r="1625" spans="1:9" x14ac:dyDescent="0.25">
      <c r="A1625" s="26">
        <v>46915</v>
      </c>
      <c r="B1625" s="27">
        <f t="shared" si="125"/>
        <v>2028</v>
      </c>
      <c r="C1625" s="27">
        <f t="shared" si="126"/>
        <v>6</v>
      </c>
      <c r="D1625" s="27">
        <f t="shared" si="127"/>
        <v>11</v>
      </c>
      <c r="E1625" s="27">
        <f t="shared" si="128"/>
        <v>1</v>
      </c>
      <c r="F1625" s="27">
        <f>VLOOKUP(E1625,[2]t_calendarioPolitica!A:C,3,FALSE)</f>
        <v>0</v>
      </c>
      <c r="G1625" s="1">
        <v>1</v>
      </c>
      <c r="H1625" s="1">
        <v>1</v>
      </c>
      <c r="I1625" s="1">
        <f t="shared" si="129"/>
        <v>0</v>
      </c>
    </row>
    <row r="1626" spans="1:9" x14ac:dyDescent="0.25">
      <c r="A1626" s="26">
        <v>46916</v>
      </c>
      <c r="B1626" s="27">
        <f t="shared" si="125"/>
        <v>2028</v>
      </c>
      <c r="C1626" s="27">
        <f t="shared" si="126"/>
        <v>6</v>
      </c>
      <c r="D1626" s="27">
        <f t="shared" si="127"/>
        <v>12</v>
      </c>
      <c r="E1626" s="27">
        <f t="shared" si="128"/>
        <v>2</v>
      </c>
      <c r="F1626" s="27">
        <f>VLOOKUP(E1626,[2]t_calendarioPolitica!A:C,3,FALSE)</f>
        <v>1</v>
      </c>
      <c r="G1626" s="1">
        <v>1</v>
      </c>
      <c r="H1626" s="1">
        <v>1</v>
      </c>
      <c r="I1626" s="1">
        <f t="shared" si="129"/>
        <v>1</v>
      </c>
    </row>
    <row r="1627" spans="1:9" x14ac:dyDescent="0.25">
      <c r="A1627" s="26">
        <v>46917</v>
      </c>
      <c r="B1627" s="27">
        <f t="shared" si="125"/>
        <v>2028</v>
      </c>
      <c r="C1627" s="27">
        <f t="shared" si="126"/>
        <v>6</v>
      </c>
      <c r="D1627" s="27">
        <f t="shared" si="127"/>
        <v>13</v>
      </c>
      <c r="E1627" s="27">
        <f t="shared" si="128"/>
        <v>3</v>
      </c>
      <c r="F1627" s="27">
        <f>VLOOKUP(E1627,[2]t_calendarioPolitica!A:C,3,FALSE)</f>
        <v>1</v>
      </c>
      <c r="G1627" s="1">
        <v>1</v>
      </c>
      <c r="H1627" s="1">
        <v>1</v>
      </c>
      <c r="I1627" s="1">
        <f t="shared" si="129"/>
        <v>1</v>
      </c>
    </row>
    <row r="1628" spans="1:9" x14ac:dyDescent="0.25">
      <c r="A1628" s="26">
        <v>46918</v>
      </c>
      <c r="B1628" s="27">
        <f t="shared" si="125"/>
        <v>2028</v>
      </c>
      <c r="C1628" s="27">
        <f t="shared" si="126"/>
        <v>6</v>
      </c>
      <c r="D1628" s="27">
        <f t="shared" si="127"/>
        <v>14</v>
      </c>
      <c r="E1628" s="27">
        <f t="shared" si="128"/>
        <v>4</v>
      </c>
      <c r="F1628" s="27">
        <f>VLOOKUP(E1628,[2]t_calendarioPolitica!A:C,3,FALSE)</f>
        <v>1</v>
      </c>
      <c r="G1628" s="1">
        <v>1</v>
      </c>
      <c r="H1628" s="1">
        <v>1</v>
      </c>
      <c r="I1628" s="1">
        <f t="shared" si="129"/>
        <v>1</v>
      </c>
    </row>
    <row r="1629" spans="1:9" x14ac:dyDescent="0.25">
      <c r="A1629" s="26">
        <v>46919</v>
      </c>
      <c r="B1629" s="27">
        <f t="shared" si="125"/>
        <v>2028</v>
      </c>
      <c r="C1629" s="27">
        <f t="shared" si="126"/>
        <v>6</v>
      </c>
      <c r="D1629" s="27">
        <f t="shared" si="127"/>
        <v>15</v>
      </c>
      <c r="E1629" s="27">
        <f t="shared" si="128"/>
        <v>5</v>
      </c>
      <c r="F1629" s="27">
        <f>VLOOKUP(E1629,[2]t_calendarioPolitica!A:C,3,FALSE)</f>
        <v>1</v>
      </c>
      <c r="G1629" s="1">
        <v>1</v>
      </c>
      <c r="H1629" s="1">
        <v>1</v>
      </c>
      <c r="I1629" s="1">
        <f t="shared" si="129"/>
        <v>1</v>
      </c>
    </row>
    <row r="1630" spans="1:9" x14ac:dyDescent="0.25">
      <c r="A1630" s="26">
        <v>46920</v>
      </c>
      <c r="B1630" s="27">
        <f t="shared" si="125"/>
        <v>2028</v>
      </c>
      <c r="C1630" s="27">
        <f t="shared" si="126"/>
        <v>6</v>
      </c>
      <c r="D1630" s="27">
        <f t="shared" si="127"/>
        <v>16</v>
      </c>
      <c r="E1630" s="27">
        <f t="shared" si="128"/>
        <v>6</v>
      </c>
      <c r="F1630" s="27">
        <f>VLOOKUP(E1630,[2]t_calendarioPolitica!A:C,3,FALSE)</f>
        <v>1</v>
      </c>
      <c r="G1630" s="1">
        <v>1</v>
      </c>
      <c r="H1630" s="1">
        <v>1</v>
      </c>
      <c r="I1630" s="1">
        <f t="shared" si="129"/>
        <v>1</v>
      </c>
    </row>
    <row r="1631" spans="1:9" x14ac:dyDescent="0.25">
      <c r="A1631" s="26">
        <v>46921</v>
      </c>
      <c r="B1631" s="27">
        <f t="shared" si="125"/>
        <v>2028</v>
      </c>
      <c r="C1631" s="27">
        <f t="shared" si="126"/>
        <v>6</v>
      </c>
      <c r="D1631" s="27">
        <f t="shared" si="127"/>
        <v>17</v>
      </c>
      <c r="E1631" s="27">
        <f t="shared" si="128"/>
        <v>7</v>
      </c>
      <c r="F1631" s="27">
        <f>VLOOKUP(E1631,[2]t_calendarioPolitica!A:C,3,FALSE)</f>
        <v>2</v>
      </c>
      <c r="G1631" s="1">
        <v>1</v>
      </c>
      <c r="H1631" s="1">
        <v>1</v>
      </c>
      <c r="I1631" s="1">
        <f t="shared" si="129"/>
        <v>1</v>
      </c>
    </row>
    <row r="1632" spans="1:9" x14ac:dyDescent="0.25">
      <c r="A1632" s="26">
        <v>46922</v>
      </c>
      <c r="B1632" s="27">
        <f t="shared" si="125"/>
        <v>2028</v>
      </c>
      <c r="C1632" s="27">
        <f t="shared" si="126"/>
        <v>6</v>
      </c>
      <c r="D1632" s="27">
        <f t="shared" si="127"/>
        <v>18</v>
      </c>
      <c r="E1632" s="27">
        <f t="shared" si="128"/>
        <v>1</v>
      </c>
      <c r="F1632" s="27">
        <f>VLOOKUP(E1632,[2]t_calendarioPolitica!A:C,3,FALSE)</f>
        <v>0</v>
      </c>
      <c r="G1632" s="1">
        <v>1</v>
      </c>
      <c r="H1632" s="1">
        <v>1</v>
      </c>
      <c r="I1632" s="1">
        <f t="shared" si="129"/>
        <v>0</v>
      </c>
    </row>
    <row r="1633" spans="1:9" x14ac:dyDescent="0.25">
      <c r="A1633" s="26">
        <v>46923</v>
      </c>
      <c r="B1633" s="27">
        <f t="shared" si="125"/>
        <v>2028</v>
      </c>
      <c r="C1633" s="27">
        <f t="shared" si="126"/>
        <v>6</v>
      </c>
      <c r="D1633" s="27">
        <f t="shared" si="127"/>
        <v>19</v>
      </c>
      <c r="E1633" s="27">
        <f t="shared" si="128"/>
        <v>2</v>
      </c>
      <c r="F1633" s="27">
        <f>VLOOKUP(E1633,[2]t_calendarioPolitica!A:C,3,FALSE)</f>
        <v>1</v>
      </c>
      <c r="G1633" s="1">
        <v>1</v>
      </c>
      <c r="H1633" s="1">
        <v>1</v>
      </c>
      <c r="I1633" s="1">
        <f t="shared" si="129"/>
        <v>1</v>
      </c>
    </row>
    <row r="1634" spans="1:9" x14ac:dyDescent="0.25">
      <c r="A1634" s="26">
        <v>46924</v>
      </c>
      <c r="B1634" s="27">
        <f t="shared" si="125"/>
        <v>2028</v>
      </c>
      <c r="C1634" s="27">
        <f t="shared" si="126"/>
        <v>6</v>
      </c>
      <c r="D1634" s="27">
        <f t="shared" si="127"/>
        <v>20</v>
      </c>
      <c r="E1634" s="27">
        <f t="shared" si="128"/>
        <v>3</v>
      </c>
      <c r="F1634" s="27">
        <f>VLOOKUP(E1634,[2]t_calendarioPolitica!A:C,3,FALSE)</f>
        <v>1</v>
      </c>
      <c r="G1634" s="1">
        <v>1</v>
      </c>
      <c r="H1634" s="1">
        <v>1</v>
      </c>
      <c r="I1634" s="1">
        <f t="shared" si="129"/>
        <v>1</v>
      </c>
    </row>
    <row r="1635" spans="1:9" x14ac:dyDescent="0.25">
      <c r="A1635" s="26">
        <v>46925</v>
      </c>
      <c r="B1635" s="27">
        <f t="shared" si="125"/>
        <v>2028</v>
      </c>
      <c r="C1635" s="27">
        <f t="shared" si="126"/>
        <v>6</v>
      </c>
      <c r="D1635" s="27">
        <f t="shared" si="127"/>
        <v>21</v>
      </c>
      <c r="E1635" s="27">
        <f t="shared" si="128"/>
        <v>4</v>
      </c>
      <c r="F1635" s="27">
        <f>VLOOKUP(E1635,[2]t_calendarioPolitica!A:C,3,FALSE)</f>
        <v>1</v>
      </c>
      <c r="G1635" s="1">
        <v>1</v>
      </c>
      <c r="H1635" s="1">
        <v>1</v>
      </c>
      <c r="I1635" s="1">
        <f t="shared" si="129"/>
        <v>1</v>
      </c>
    </row>
    <row r="1636" spans="1:9" x14ac:dyDescent="0.25">
      <c r="A1636" s="26">
        <v>46926</v>
      </c>
      <c r="B1636" s="27">
        <f t="shared" si="125"/>
        <v>2028</v>
      </c>
      <c r="C1636" s="27">
        <f t="shared" si="126"/>
        <v>6</v>
      </c>
      <c r="D1636" s="27">
        <f t="shared" si="127"/>
        <v>22</v>
      </c>
      <c r="E1636" s="27">
        <f t="shared" si="128"/>
        <v>5</v>
      </c>
      <c r="F1636" s="27">
        <f>VLOOKUP(E1636,[2]t_calendarioPolitica!A:C,3,FALSE)</f>
        <v>1</v>
      </c>
      <c r="G1636" s="1">
        <v>1</v>
      </c>
      <c r="H1636" s="1">
        <v>1</v>
      </c>
      <c r="I1636" s="1">
        <f t="shared" si="129"/>
        <v>1</v>
      </c>
    </row>
    <row r="1637" spans="1:9" x14ac:dyDescent="0.25">
      <c r="A1637" s="26">
        <v>46927</v>
      </c>
      <c r="B1637" s="27">
        <f t="shared" si="125"/>
        <v>2028</v>
      </c>
      <c r="C1637" s="27">
        <f t="shared" si="126"/>
        <v>6</v>
      </c>
      <c r="D1637" s="27">
        <f t="shared" si="127"/>
        <v>23</v>
      </c>
      <c r="E1637" s="27">
        <f t="shared" si="128"/>
        <v>6</v>
      </c>
      <c r="F1637" s="27">
        <f>VLOOKUP(E1637,[2]t_calendarioPolitica!A:C,3,FALSE)</f>
        <v>1</v>
      </c>
      <c r="G1637" s="1">
        <v>1</v>
      </c>
      <c r="H1637" s="1">
        <v>1</v>
      </c>
      <c r="I1637" s="1">
        <f t="shared" si="129"/>
        <v>1</v>
      </c>
    </row>
    <row r="1638" spans="1:9" x14ac:dyDescent="0.25">
      <c r="A1638" s="26">
        <v>46928</v>
      </c>
      <c r="B1638" s="27">
        <f t="shared" si="125"/>
        <v>2028</v>
      </c>
      <c r="C1638" s="27">
        <f t="shared" si="126"/>
        <v>6</v>
      </c>
      <c r="D1638" s="27">
        <f t="shared" si="127"/>
        <v>24</v>
      </c>
      <c r="E1638" s="27">
        <f t="shared" si="128"/>
        <v>7</v>
      </c>
      <c r="F1638" s="27">
        <f>VLOOKUP(E1638,[2]t_calendarioPolitica!A:C,3,FALSE)</f>
        <v>2</v>
      </c>
      <c r="G1638" s="1">
        <v>1</v>
      </c>
      <c r="H1638" s="1">
        <v>1</v>
      </c>
      <c r="I1638" s="1">
        <f t="shared" si="129"/>
        <v>1</v>
      </c>
    </row>
    <row r="1639" spans="1:9" x14ac:dyDescent="0.25">
      <c r="A1639" s="26">
        <v>46929</v>
      </c>
      <c r="B1639" s="27">
        <f t="shared" si="125"/>
        <v>2028</v>
      </c>
      <c r="C1639" s="27">
        <f t="shared" si="126"/>
        <v>6</v>
      </c>
      <c r="D1639" s="27">
        <f t="shared" si="127"/>
        <v>25</v>
      </c>
      <c r="E1639" s="27">
        <f t="shared" si="128"/>
        <v>1</v>
      </c>
      <c r="F1639" s="27">
        <f>VLOOKUP(E1639,[2]t_calendarioPolitica!A:C,3,FALSE)</f>
        <v>0</v>
      </c>
      <c r="G1639" s="1">
        <v>1</v>
      </c>
      <c r="H1639" s="1">
        <v>1</v>
      </c>
      <c r="I1639" s="1">
        <f t="shared" si="129"/>
        <v>0</v>
      </c>
    </row>
    <row r="1640" spans="1:9" x14ac:dyDescent="0.25">
      <c r="A1640" s="26">
        <v>46930</v>
      </c>
      <c r="B1640" s="27">
        <f t="shared" si="125"/>
        <v>2028</v>
      </c>
      <c r="C1640" s="27">
        <f t="shared" si="126"/>
        <v>6</v>
      </c>
      <c r="D1640" s="27">
        <f t="shared" si="127"/>
        <v>26</v>
      </c>
      <c r="E1640" s="27">
        <f t="shared" si="128"/>
        <v>2</v>
      </c>
      <c r="F1640" s="27">
        <f>VLOOKUP(E1640,[2]t_calendarioPolitica!A:C,3,FALSE)</f>
        <v>1</v>
      </c>
      <c r="G1640" s="1">
        <v>1</v>
      </c>
      <c r="H1640" s="1">
        <v>1</v>
      </c>
      <c r="I1640" s="1">
        <f t="shared" si="129"/>
        <v>1</v>
      </c>
    </row>
    <row r="1641" spans="1:9" x14ac:dyDescent="0.25">
      <c r="A1641" s="26">
        <v>46931</v>
      </c>
      <c r="B1641" s="27">
        <f t="shared" si="125"/>
        <v>2028</v>
      </c>
      <c r="C1641" s="27">
        <f t="shared" si="126"/>
        <v>6</v>
      </c>
      <c r="D1641" s="27">
        <f t="shared" si="127"/>
        <v>27</v>
      </c>
      <c r="E1641" s="27">
        <f t="shared" si="128"/>
        <v>3</v>
      </c>
      <c r="F1641" s="27">
        <f>VLOOKUP(E1641,[2]t_calendarioPolitica!A:C,3,FALSE)</f>
        <v>1</v>
      </c>
      <c r="G1641" s="1">
        <v>1</v>
      </c>
      <c r="H1641" s="1">
        <v>1</v>
      </c>
      <c r="I1641" s="1">
        <f t="shared" si="129"/>
        <v>1</v>
      </c>
    </row>
    <row r="1642" spans="1:9" x14ac:dyDescent="0.25">
      <c r="A1642" s="26">
        <v>46932</v>
      </c>
      <c r="B1642" s="27">
        <f t="shared" si="125"/>
        <v>2028</v>
      </c>
      <c r="C1642" s="27">
        <f t="shared" si="126"/>
        <v>6</v>
      </c>
      <c r="D1642" s="27">
        <f t="shared" si="127"/>
        <v>28</v>
      </c>
      <c r="E1642" s="27">
        <f t="shared" si="128"/>
        <v>4</v>
      </c>
      <c r="F1642" s="27">
        <f>VLOOKUP(E1642,[2]t_calendarioPolitica!A:C,3,FALSE)</f>
        <v>1</v>
      </c>
      <c r="G1642" s="1">
        <v>1</v>
      </c>
      <c r="H1642" s="1">
        <v>1</v>
      </c>
      <c r="I1642" s="1">
        <f t="shared" si="129"/>
        <v>1</v>
      </c>
    </row>
    <row r="1643" spans="1:9" x14ac:dyDescent="0.25">
      <c r="A1643" s="26">
        <v>46933</v>
      </c>
      <c r="B1643" s="27">
        <f t="shared" si="125"/>
        <v>2028</v>
      </c>
      <c r="C1643" s="27">
        <f t="shared" si="126"/>
        <v>6</v>
      </c>
      <c r="D1643" s="27">
        <f t="shared" si="127"/>
        <v>29</v>
      </c>
      <c r="E1643" s="27">
        <f t="shared" si="128"/>
        <v>5</v>
      </c>
      <c r="F1643" s="27">
        <f>VLOOKUP(E1643,[2]t_calendarioPolitica!A:C,3,FALSE)</f>
        <v>1</v>
      </c>
      <c r="G1643" s="1">
        <v>1</v>
      </c>
      <c r="H1643" s="1">
        <v>1</v>
      </c>
      <c r="I1643" s="1">
        <f t="shared" si="129"/>
        <v>1</v>
      </c>
    </row>
    <row r="1644" spans="1:9" x14ac:dyDescent="0.25">
      <c r="A1644" s="26">
        <v>46934</v>
      </c>
      <c r="B1644" s="27">
        <f t="shared" si="125"/>
        <v>2028</v>
      </c>
      <c r="C1644" s="27">
        <f t="shared" si="126"/>
        <v>6</v>
      </c>
      <c r="D1644" s="27">
        <f t="shared" si="127"/>
        <v>30</v>
      </c>
      <c r="E1644" s="27">
        <f t="shared" si="128"/>
        <v>6</v>
      </c>
      <c r="F1644" s="27">
        <f>VLOOKUP(E1644,[2]t_calendarioPolitica!A:C,3,FALSE)</f>
        <v>1</v>
      </c>
      <c r="G1644" s="1">
        <v>1</v>
      </c>
      <c r="H1644" s="1">
        <v>1</v>
      </c>
      <c r="I1644" s="1">
        <f t="shared" si="129"/>
        <v>1</v>
      </c>
    </row>
    <row r="1645" spans="1:9" x14ac:dyDescent="0.25">
      <c r="A1645" s="26">
        <v>46935</v>
      </c>
      <c r="B1645" s="27">
        <f t="shared" si="125"/>
        <v>2028</v>
      </c>
      <c r="C1645" s="27">
        <f t="shared" si="126"/>
        <v>7</v>
      </c>
      <c r="D1645" s="27">
        <f t="shared" si="127"/>
        <v>1</v>
      </c>
      <c r="E1645" s="27">
        <f t="shared" si="128"/>
        <v>7</v>
      </c>
      <c r="F1645" s="27">
        <f>VLOOKUP(E1645,[2]t_calendarioPolitica!A:C,3,FALSE)</f>
        <v>2</v>
      </c>
      <c r="G1645" s="1">
        <v>1</v>
      </c>
      <c r="H1645" s="1">
        <v>1</v>
      </c>
      <c r="I1645" s="1">
        <f t="shared" si="129"/>
        <v>1</v>
      </c>
    </row>
    <row r="1646" spans="1:9" x14ac:dyDescent="0.25">
      <c r="A1646" s="26">
        <v>46936</v>
      </c>
      <c r="B1646" s="27">
        <f t="shared" si="125"/>
        <v>2028</v>
      </c>
      <c r="C1646" s="27">
        <f t="shared" si="126"/>
        <v>7</v>
      </c>
      <c r="D1646" s="27">
        <f t="shared" si="127"/>
        <v>2</v>
      </c>
      <c r="E1646" s="27">
        <f t="shared" si="128"/>
        <v>1</v>
      </c>
      <c r="F1646" s="27">
        <f>VLOOKUP(E1646,[2]t_calendarioPolitica!A:C,3,FALSE)</f>
        <v>0</v>
      </c>
      <c r="G1646" s="1">
        <v>1</v>
      </c>
      <c r="H1646" s="1">
        <v>1</v>
      </c>
      <c r="I1646" s="1">
        <f t="shared" si="129"/>
        <v>0</v>
      </c>
    </row>
    <row r="1647" spans="1:9" x14ac:dyDescent="0.25">
      <c r="A1647" s="26">
        <v>46937</v>
      </c>
      <c r="B1647" s="27">
        <f t="shared" si="125"/>
        <v>2028</v>
      </c>
      <c r="C1647" s="27">
        <f t="shared" si="126"/>
        <v>7</v>
      </c>
      <c r="D1647" s="27">
        <f t="shared" si="127"/>
        <v>3</v>
      </c>
      <c r="E1647" s="27">
        <f t="shared" si="128"/>
        <v>2</v>
      </c>
      <c r="F1647" s="27">
        <f>VLOOKUP(E1647,[2]t_calendarioPolitica!A:C,3,FALSE)</f>
        <v>1</v>
      </c>
      <c r="G1647" s="1">
        <v>1</v>
      </c>
      <c r="H1647" s="1">
        <v>1</v>
      </c>
      <c r="I1647" s="1">
        <f t="shared" si="129"/>
        <v>1</v>
      </c>
    </row>
    <row r="1648" spans="1:9" x14ac:dyDescent="0.25">
      <c r="A1648" s="26">
        <v>46938</v>
      </c>
      <c r="B1648" s="27">
        <f t="shared" si="125"/>
        <v>2028</v>
      </c>
      <c r="C1648" s="27">
        <f t="shared" si="126"/>
        <v>7</v>
      </c>
      <c r="D1648" s="27">
        <f t="shared" si="127"/>
        <v>4</v>
      </c>
      <c r="E1648" s="27">
        <f t="shared" si="128"/>
        <v>3</v>
      </c>
      <c r="F1648" s="27">
        <f>VLOOKUP(E1648,[2]t_calendarioPolitica!A:C,3,FALSE)</f>
        <v>1</v>
      </c>
      <c r="G1648" s="1">
        <v>1</v>
      </c>
      <c r="H1648" s="1">
        <v>1</v>
      </c>
      <c r="I1648" s="1">
        <f t="shared" si="129"/>
        <v>1</v>
      </c>
    </row>
    <row r="1649" spans="1:9" x14ac:dyDescent="0.25">
      <c r="A1649" s="26">
        <v>46939</v>
      </c>
      <c r="B1649" s="27">
        <f t="shared" si="125"/>
        <v>2028</v>
      </c>
      <c r="C1649" s="27">
        <f t="shared" si="126"/>
        <v>7</v>
      </c>
      <c r="D1649" s="27">
        <f t="shared" si="127"/>
        <v>5</v>
      </c>
      <c r="E1649" s="27">
        <f t="shared" si="128"/>
        <v>4</v>
      </c>
      <c r="F1649" s="27">
        <f>VLOOKUP(E1649,[2]t_calendarioPolitica!A:C,3,FALSE)</f>
        <v>1</v>
      </c>
      <c r="G1649" s="1">
        <v>1</v>
      </c>
      <c r="H1649" s="1">
        <v>1</v>
      </c>
      <c r="I1649" s="1">
        <f t="shared" si="129"/>
        <v>1</v>
      </c>
    </row>
    <row r="1650" spans="1:9" x14ac:dyDescent="0.25">
      <c r="A1650" s="26">
        <v>46940</v>
      </c>
      <c r="B1650" s="27">
        <f t="shared" si="125"/>
        <v>2028</v>
      </c>
      <c r="C1650" s="27">
        <f t="shared" si="126"/>
        <v>7</v>
      </c>
      <c r="D1650" s="27">
        <f t="shared" si="127"/>
        <v>6</v>
      </c>
      <c r="E1650" s="27">
        <f t="shared" si="128"/>
        <v>5</v>
      </c>
      <c r="F1650" s="27">
        <f>VLOOKUP(E1650,[2]t_calendarioPolitica!A:C,3,FALSE)</f>
        <v>1</v>
      </c>
      <c r="G1650" s="1">
        <v>1</v>
      </c>
      <c r="H1650" s="1">
        <v>1</v>
      </c>
      <c r="I1650" s="1">
        <f t="shared" si="129"/>
        <v>1</v>
      </c>
    </row>
    <row r="1651" spans="1:9" x14ac:dyDescent="0.25">
      <c r="A1651" s="26">
        <v>46941</v>
      </c>
      <c r="B1651" s="27">
        <f t="shared" si="125"/>
        <v>2028</v>
      </c>
      <c r="C1651" s="27">
        <f t="shared" si="126"/>
        <v>7</v>
      </c>
      <c r="D1651" s="27">
        <f t="shared" si="127"/>
        <v>7</v>
      </c>
      <c r="E1651" s="27">
        <f t="shared" si="128"/>
        <v>6</v>
      </c>
      <c r="F1651" s="27">
        <f>VLOOKUP(E1651,[2]t_calendarioPolitica!A:C,3,FALSE)</f>
        <v>1</v>
      </c>
      <c r="G1651" s="1">
        <v>1</v>
      </c>
      <c r="H1651" s="1">
        <v>1</v>
      </c>
      <c r="I1651" s="1">
        <f t="shared" si="129"/>
        <v>1</v>
      </c>
    </row>
    <row r="1652" spans="1:9" x14ac:dyDescent="0.25">
      <c r="A1652" s="26">
        <v>46942</v>
      </c>
      <c r="B1652" s="27">
        <f t="shared" si="125"/>
        <v>2028</v>
      </c>
      <c r="C1652" s="27">
        <f t="shared" si="126"/>
        <v>7</v>
      </c>
      <c r="D1652" s="27">
        <f t="shared" si="127"/>
        <v>8</v>
      </c>
      <c r="E1652" s="27">
        <f t="shared" si="128"/>
        <v>7</v>
      </c>
      <c r="F1652" s="27">
        <f>VLOOKUP(E1652,[2]t_calendarioPolitica!A:C,3,FALSE)</f>
        <v>2</v>
      </c>
      <c r="G1652" s="1">
        <v>1</v>
      </c>
      <c r="H1652" s="1">
        <v>1</v>
      </c>
      <c r="I1652" s="1">
        <f t="shared" si="129"/>
        <v>1</v>
      </c>
    </row>
    <row r="1653" spans="1:9" x14ac:dyDescent="0.25">
      <c r="A1653" s="26">
        <v>46943</v>
      </c>
      <c r="B1653" s="27">
        <f t="shared" si="125"/>
        <v>2028</v>
      </c>
      <c r="C1653" s="27">
        <f t="shared" si="126"/>
        <v>7</v>
      </c>
      <c r="D1653" s="27">
        <f t="shared" si="127"/>
        <v>9</v>
      </c>
      <c r="E1653" s="27">
        <f t="shared" si="128"/>
        <v>1</v>
      </c>
      <c r="F1653" s="27">
        <f>VLOOKUP(E1653,[2]t_calendarioPolitica!A:C,3,FALSE)</f>
        <v>0</v>
      </c>
      <c r="G1653" s="1">
        <v>1</v>
      </c>
      <c r="H1653" s="1">
        <v>1</v>
      </c>
      <c r="I1653" s="1">
        <f t="shared" si="129"/>
        <v>0</v>
      </c>
    </row>
    <row r="1654" spans="1:9" x14ac:dyDescent="0.25">
      <c r="A1654" s="26">
        <v>46944</v>
      </c>
      <c r="B1654" s="27">
        <f t="shared" si="125"/>
        <v>2028</v>
      </c>
      <c r="C1654" s="27">
        <f t="shared" si="126"/>
        <v>7</v>
      </c>
      <c r="D1654" s="27">
        <f t="shared" si="127"/>
        <v>10</v>
      </c>
      <c r="E1654" s="27">
        <f t="shared" si="128"/>
        <v>2</v>
      </c>
      <c r="F1654" s="27">
        <f>VLOOKUP(E1654,[2]t_calendarioPolitica!A:C,3,FALSE)</f>
        <v>1</v>
      </c>
      <c r="G1654" s="1">
        <v>1</v>
      </c>
      <c r="H1654" s="1">
        <v>1</v>
      </c>
      <c r="I1654" s="1">
        <f t="shared" si="129"/>
        <v>1</v>
      </c>
    </row>
    <row r="1655" spans="1:9" x14ac:dyDescent="0.25">
      <c r="A1655" s="26">
        <v>46945</v>
      </c>
      <c r="B1655" s="27">
        <f t="shared" si="125"/>
        <v>2028</v>
      </c>
      <c r="C1655" s="27">
        <f t="shared" si="126"/>
        <v>7</v>
      </c>
      <c r="D1655" s="27">
        <f t="shared" si="127"/>
        <v>11</v>
      </c>
      <c r="E1655" s="27">
        <f t="shared" si="128"/>
        <v>3</v>
      </c>
      <c r="F1655" s="27">
        <f>VLOOKUP(E1655,[2]t_calendarioPolitica!A:C,3,FALSE)</f>
        <v>1</v>
      </c>
      <c r="G1655" s="1">
        <v>1</v>
      </c>
      <c r="H1655" s="1">
        <v>1</v>
      </c>
      <c r="I1655" s="1">
        <f t="shared" si="129"/>
        <v>1</v>
      </c>
    </row>
    <row r="1656" spans="1:9" x14ac:dyDescent="0.25">
      <c r="A1656" s="26">
        <v>46946</v>
      </c>
      <c r="B1656" s="27">
        <f t="shared" si="125"/>
        <v>2028</v>
      </c>
      <c r="C1656" s="27">
        <f t="shared" si="126"/>
        <v>7</v>
      </c>
      <c r="D1656" s="27">
        <f t="shared" si="127"/>
        <v>12</v>
      </c>
      <c r="E1656" s="27">
        <f t="shared" si="128"/>
        <v>4</v>
      </c>
      <c r="F1656" s="27">
        <f>VLOOKUP(E1656,[2]t_calendarioPolitica!A:C,3,FALSE)</f>
        <v>1</v>
      </c>
      <c r="G1656" s="1">
        <v>1</v>
      </c>
      <c r="H1656" s="1">
        <v>1</v>
      </c>
      <c r="I1656" s="1">
        <f t="shared" si="129"/>
        <v>1</v>
      </c>
    </row>
    <row r="1657" spans="1:9" x14ac:dyDescent="0.25">
      <c r="A1657" s="26">
        <v>46947</v>
      </c>
      <c r="B1657" s="27">
        <f t="shared" si="125"/>
        <v>2028</v>
      </c>
      <c r="C1657" s="27">
        <f t="shared" si="126"/>
        <v>7</v>
      </c>
      <c r="D1657" s="27">
        <f t="shared" si="127"/>
        <v>13</v>
      </c>
      <c r="E1657" s="27">
        <f t="shared" si="128"/>
        <v>5</v>
      </c>
      <c r="F1657" s="27">
        <f>VLOOKUP(E1657,[2]t_calendarioPolitica!A:C,3,FALSE)</f>
        <v>1</v>
      </c>
      <c r="G1657" s="1">
        <v>1</v>
      </c>
      <c r="H1657" s="1">
        <v>1</v>
      </c>
      <c r="I1657" s="1">
        <f t="shared" si="129"/>
        <v>1</v>
      </c>
    </row>
    <row r="1658" spans="1:9" x14ac:dyDescent="0.25">
      <c r="A1658" s="26">
        <v>46948</v>
      </c>
      <c r="B1658" s="27">
        <f t="shared" si="125"/>
        <v>2028</v>
      </c>
      <c r="C1658" s="27">
        <f t="shared" si="126"/>
        <v>7</v>
      </c>
      <c r="D1658" s="27">
        <f t="shared" si="127"/>
        <v>14</v>
      </c>
      <c r="E1658" s="27">
        <f t="shared" si="128"/>
        <v>6</v>
      </c>
      <c r="F1658" s="27">
        <f>VLOOKUP(E1658,[2]t_calendarioPolitica!A:C,3,FALSE)</f>
        <v>1</v>
      </c>
      <c r="G1658" s="1">
        <v>1</v>
      </c>
      <c r="H1658" s="1">
        <v>1</v>
      </c>
      <c r="I1658" s="1">
        <f t="shared" si="129"/>
        <v>1</v>
      </c>
    </row>
    <row r="1659" spans="1:9" x14ac:dyDescent="0.25">
      <c r="A1659" s="26">
        <v>46949</v>
      </c>
      <c r="B1659" s="27">
        <f t="shared" si="125"/>
        <v>2028</v>
      </c>
      <c r="C1659" s="27">
        <f t="shared" si="126"/>
        <v>7</v>
      </c>
      <c r="D1659" s="27">
        <f t="shared" si="127"/>
        <v>15</v>
      </c>
      <c r="E1659" s="27">
        <f t="shared" si="128"/>
        <v>7</v>
      </c>
      <c r="F1659" s="27">
        <f>VLOOKUP(E1659,[2]t_calendarioPolitica!A:C,3,FALSE)</f>
        <v>2</v>
      </c>
      <c r="G1659" s="1">
        <v>1</v>
      </c>
      <c r="H1659" s="1">
        <v>1</v>
      </c>
      <c r="I1659" s="1">
        <f t="shared" si="129"/>
        <v>1</v>
      </c>
    </row>
    <row r="1660" spans="1:9" x14ac:dyDescent="0.25">
      <c r="A1660" s="26">
        <v>46950</v>
      </c>
      <c r="B1660" s="27">
        <f t="shared" si="125"/>
        <v>2028</v>
      </c>
      <c r="C1660" s="27">
        <f t="shared" si="126"/>
        <v>7</v>
      </c>
      <c r="D1660" s="27">
        <f t="shared" si="127"/>
        <v>16</v>
      </c>
      <c r="E1660" s="27">
        <f t="shared" si="128"/>
        <v>1</v>
      </c>
      <c r="F1660" s="27">
        <f>VLOOKUP(E1660,[2]t_calendarioPolitica!A:C,3,FALSE)</f>
        <v>0</v>
      </c>
      <c r="G1660" s="1">
        <v>1</v>
      </c>
      <c r="H1660" s="1">
        <v>1</v>
      </c>
      <c r="I1660" s="1">
        <f t="shared" si="129"/>
        <v>0</v>
      </c>
    </row>
    <row r="1661" spans="1:9" x14ac:dyDescent="0.25">
      <c r="A1661" s="26">
        <v>46951</v>
      </c>
      <c r="B1661" s="27">
        <f t="shared" si="125"/>
        <v>2028</v>
      </c>
      <c r="C1661" s="27">
        <f t="shared" si="126"/>
        <v>7</v>
      </c>
      <c r="D1661" s="27">
        <f t="shared" si="127"/>
        <v>17</v>
      </c>
      <c r="E1661" s="27">
        <f t="shared" si="128"/>
        <v>2</v>
      </c>
      <c r="F1661" s="27">
        <f>VLOOKUP(E1661,[2]t_calendarioPolitica!A:C,3,FALSE)</f>
        <v>1</v>
      </c>
      <c r="G1661" s="1">
        <v>1</v>
      </c>
      <c r="H1661" s="1">
        <v>1</v>
      </c>
      <c r="I1661" s="1">
        <f t="shared" si="129"/>
        <v>1</v>
      </c>
    </row>
    <row r="1662" spans="1:9" x14ac:dyDescent="0.25">
      <c r="A1662" s="26">
        <v>46952</v>
      </c>
      <c r="B1662" s="27">
        <f t="shared" si="125"/>
        <v>2028</v>
      </c>
      <c r="C1662" s="27">
        <f t="shared" si="126"/>
        <v>7</v>
      </c>
      <c r="D1662" s="27">
        <f t="shared" si="127"/>
        <v>18</v>
      </c>
      <c r="E1662" s="27">
        <f t="shared" si="128"/>
        <v>3</v>
      </c>
      <c r="F1662" s="27">
        <f>VLOOKUP(E1662,[2]t_calendarioPolitica!A:C,3,FALSE)</f>
        <v>1</v>
      </c>
      <c r="G1662" s="1">
        <v>1</v>
      </c>
      <c r="H1662" s="1">
        <v>1</v>
      </c>
      <c r="I1662" s="1">
        <f t="shared" si="129"/>
        <v>1</v>
      </c>
    </row>
    <row r="1663" spans="1:9" x14ac:dyDescent="0.25">
      <c r="A1663" s="26">
        <v>46953</v>
      </c>
      <c r="B1663" s="27">
        <f t="shared" si="125"/>
        <v>2028</v>
      </c>
      <c r="C1663" s="27">
        <f t="shared" si="126"/>
        <v>7</v>
      </c>
      <c r="D1663" s="27">
        <f t="shared" si="127"/>
        <v>19</v>
      </c>
      <c r="E1663" s="27">
        <f t="shared" si="128"/>
        <v>4</v>
      </c>
      <c r="F1663" s="27">
        <f>VLOOKUP(E1663,[2]t_calendarioPolitica!A:C,3,FALSE)</f>
        <v>1</v>
      </c>
      <c r="G1663" s="1">
        <v>1</v>
      </c>
      <c r="H1663" s="1">
        <v>1</v>
      </c>
      <c r="I1663" s="1">
        <f t="shared" si="129"/>
        <v>1</v>
      </c>
    </row>
    <row r="1664" spans="1:9" x14ac:dyDescent="0.25">
      <c r="A1664" s="26">
        <v>46954</v>
      </c>
      <c r="B1664" s="27">
        <f t="shared" si="125"/>
        <v>2028</v>
      </c>
      <c r="C1664" s="27">
        <f t="shared" si="126"/>
        <v>7</v>
      </c>
      <c r="D1664" s="27">
        <f t="shared" si="127"/>
        <v>20</v>
      </c>
      <c r="E1664" s="27">
        <f t="shared" si="128"/>
        <v>5</v>
      </c>
      <c r="F1664" s="27">
        <f>VLOOKUP(E1664,[2]t_calendarioPolitica!A:C,3,FALSE)</f>
        <v>1</v>
      </c>
      <c r="G1664" s="1">
        <v>1</v>
      </c>
      <c r="H1664" s="1">
        <v>1</v>
      </c>
      <c r="I1664" s="1">
        <f t="shared" si="129"/>
        <v>1</v>
      </c>
    </row>
    <row r="1665" spans="1:9" x14ac:dyDescent="0.25">
      <c r="A1665" s="26">
        <v>46955</v>
      </c>
      <c r="B1665" s="27">
        <f t="shared" si="125"/>
        <v>2028</v>
      </c>
      <c r="C1665" s="27">
        <f t="shared" si="126"/>
        <v>7</v>
      </c>
      <c r="D1665" s="27">
        <f t="shared" si="127"/>
        <v>21</v>
      </c>
      <c r="E1665" s="27">
        <f t="shared" si="128"/>
        <v>6</v>
      </c>
      <c r="F1665" s="27">
        <f>VLOOKUP(E1665,[2]t_calendarioPolitica!A:C,3,FALSE)</f>
        <v>1</v>
      </c>
      <c r="G1665" s="1">
        <v>1</v>
      </c>
      <c r="H1665" s="1">
        <v>1</v>
      </c>
      <c r="I1665" s="1">
        <f t="shared" si="129"/>
        <v>1</v>
      </c>
    </row>
    <row r="1666" spans="1:9" x14ac:dyDescent="0.25">
      <c r="A1666" s="26">
        <v>46956</v>
      </c>
      <c r="B1666" s="27">
        <f t="shared" si="125"/>
        <v>2028</v>
      </c>
      <c r="C1666" s="27">
        <f t="shared" si="126"/>
        <v>7</v>
      </c>
      <c r="D1666" s="27">
        <f t="shared" si="127"/>
        <v>22</v>
      </c>
      <c r="E1666" s="27">
        <f t="shared" si="128"/>
        <v>7</v>
      </c>
      <c r="F1666" s="27">
        <f>VLOOKUP(E1666,[2]t_calendarioPolitica!A:C,3,FALSE)</f>
        <v>2</v>
      </c>
      <c r="G1666" s="1">
        <v>1</v>
      </c>
      <c r="H1666" s="1">
        <v>1</v>
      </c>
      <c r="I1666" s="1">
        <f t="shared" si="129"/>
        <v>1</v>
      </c>
    </row>
    <row r="1667" spans="1:9" x14ac:dyDescent="0.25">
      <c r="A1667" s="26">
        <v>46957</v>
      </c>
      <c r="B1667" s="27">
        <f t="shared" ref="B1667:B1730" si="130">YEAR(A1667)</f>
        <v>2028</v>
      </c>
      <c r="C1667" s="27">
        <f t="shared" ref="C1667:C1730" si="131">MONTH(A1667)</f>
        <v>7</v>
      </c>
      <c r="D1667" s="27">
        <f t="shared" ref="D1667:D1730" si="132">DAY(A1667)</f>
        <v>23</v>
      </c>
      <c r="E1667" s="27">
        <f t="shared" ref="E1667:E1730" si="133">WEEKDAY(A1667)</f>
        <v>1</v>
      </c>
      <c r="F1667" s="27">
        <f>VLOOKUP(E1667,[2]t_calendarioPolitica!A:C,3,FALSE)</f>
        <v>0</v>
      </c>
      <c r="G1667" s="1">
        <v>1</v>
      </c>
      <c r="H1667" s="1">
        <v>1</v>
      </c>
      <c r="I1667" s="1">
        <f t="shared" ref="I1667:I1730" si="134">IF(AND(F1667&lt;&gt;0, H1667&lt;&gt;0,G1667&lt;&gt;0), 1, 0)</f>
        <v>0</v>
      </c>
    </row>
    <row r="1668" spans="1:9" x14ac:dyDescent="0.25">
      <c r="A1668" s="26">
        <v>46958</v>
      </c>
      <c r="B1668" s="27">
        <f t="shared" si="130"/>
        <v>2028</v>
      </c>
      <c r="C1668" s="27">
        <f t="shared" si="131"/>
        <v>7</v>
      </c>
      <c r="D1668" s="27">
        <f t="shared" si="132"/>
        <v>24</v>
      </c>
      <c r="E1668" s="27">
        <f t="shared" si="133"/>
        <v>2</v>
      </c>
      <c r="F1668" s="27">
        <f>VLOOKUP(E1668,[2]t_calendarioPolitica!A:C,3,FALSE)</f>
        <v>1</v>
      </c>
      <c r="G1668" s="1">
        <v>1</v>
      </c>
      <c r="H1668" s="1">
        <v>1</v>
      </c>
      <c r="I1668" s="1">
        <f t="shared" si="134"/>
        <v>1</v>
      </c>
    </row>
    <row r="1669" spans="1:9" x14ac:dyDescent="0.25">
      <c r="A1669" s="26">
        <v>46959</v>
      </c>
      <c r="B1669" s="27">
        <f t="shared" si="130"/>
        <v>2028</v>
      </c>
      <c r="C1669" s="27">
        <f t="shared" si="131"/>
        <v>7</v>
      </c>
      <c r="D1669" s="27">
        <f t="shared" si="132"/>
        <v>25</v>
      </c>
      <c r="E1669" s="27">
        <f t="shared" si="133"/>
        <v>3</v>
      </c>
      <c r="F1669" s="27">
        <f>VLOOKUP(E1669,[2]t_calendarioPolitica!A:C,3,FALSE)</f>
        <v>1</v>
      </c>
      <c r="G1669" s="1">
        <v>1</v>
      </c>
      <c r="H1669" s="1">
        <v>1</v>
      </c>
      <c r="I1669" s="1">
        <f t="shared" si="134"/>
        <v>1</v>
      </c>
    </row>
    <row r="1670" spans="1:9" x14ac:dyDescent="0.25">
      <c r="A1670" s="26">
        <v>46960</v>
      </c>
      <c r="B1670" s="27">
        <f t="shared" si="130"/>
        <v>2028</v>
      </c>
      <c r="C1670" s="27">
        <f t="shared" si="131"/>
        <v>7</v>
      </c>
      <c r="D1670" s="27">
        <f t="shared" si="132"/>
        <v>26</v>
      </c>
      <c r="E1670" s="27">
        <f t="shared" si="133"/>
        <v>4</v>
      </c>
      <c r="F1670" s="27">
        <f>VLOOKUP(E1670,[2]t_calendarioPolitica!A:C,3,FALSE)</f>
        <v>1</v>
      </c>
      <c r="G1670" s="1">
        <v>1</v>
      </c>
      <c r="H1670" s="1">
        <v>1</v>
      </c>
      <c r="I1670" s="1">
        <f t="shared" si="134"/>
        <v>1</v>
      </c>
    </row>
    <row r="1671" spans="1:9" x14ac:dyDescent="0.25">
      <c r="A1671" s="26">
        <v>46961</v>
      </c>
      <c r="B1671" s="27">
        <f t="shared" si="130"/>
        <v>2028</v>
      </c>
      <c r="C1671" s="27">
        <f t="shared" si="131"/>
        <v>7</v>
      </c>
      <c r="D1671" s="27">
        <f t="shared" si="132"/>
        <v>27</v>
      </c>
      <c r="E1671" s="27">
        <f t="shared" si="133"/>
        <v>5</v>
      </c>
      <c r="F1671" s="27">
        <f>VLOOKUP(E1671,[2]t_calendarioPolitica!A:C,3,FALSE)</f>
        <v>1</v>
      </c>
      <c r="G1671" s="1">
        <v>1</v>
      </c>
      <c r="H1671" s="1">
        <v>1</v>
      </c>
      <c r="I1671" s="1">
        <f t="shared" si="134"/>
        <v>1</v>
      </c>
    </row>
    <row r="1672" spans="1:9" x14ac:dyDescent="0.25">
      <c r="A1672" s="26">
        <v>46962</v>
      </c>
      <c r="B1672" s="27">
        <f t="shared" si="130"/>
        <v>2028</v>
      </c>
      <c r="C1672" s="27">
        <f t="shared" si="131"/>
        <v>7</v>
      </c>
      <c r="D1672" s="27">
        <f t="shared" si="132"/>
        <v>28</v>
      </c>
      <c r="E1672" s="27">
        <f t="shared" si="133"/>
        <v>6</v>
      </c>
      <c r="F1672" s="27">
        <f>VLOOKUP(E1672,[2]t_calendarioPolitica!A:C,3,FALSE)</f>
        <v>1</v>
      </c>
      <c r="G1672" s="1">
        <v>1</v>
      </c>
      <c r="H1672" s="1">
        <v>1</v>
      </c>
      <c r="I1672" s="1">
        <f t="shared" si="134"/>
        <v>1</v>
      </c>
    </row>
    <row r="1673" spans="1:9" x14ac:dyDescent="0.25">
      <c r="A1673" s="26">
        <v>46963</v>
      </c>
      <c r="B1673" s="27">
        <f t="shared" si="130"/>
        <v>2028</v>
      </c>
      <c r="C1673" s="27">
        <f t="shared" si="131"/>
        <v>7</v>
      </c>
      <c r="D1673" s="27">
        <f t="shared" si="132"/>
        <v>29</v>
      </c>
      <c r="E1673" s="27">
        <f t="shared" si="133"/>
        <v>7</v>
      </c>
      <c r="F1673" s="27">
        <f>VLOOKUP(E1673,[2]t_calendarioPolitica!A:C,3,FALSE)</f>
        <v>2</v>
      </c>
      <c r="G1673" s="1">
        <v>1</v>
      </c>
      <c r="H1673" s="1">
        <v>1</v>
      </c>
      <c r="I1673" s="1">
        <f t="shared" si="134"/>
        <v>1</v>
      </c>
    </row>
    <row r="1674" spans="1:9" x14ac:dyDescent="0.25">
      <c r="A1674" s="26">
        <v>46964</v>
      </c>
      <c r="B1674" s="27">
        <f t="shared" si="130"/>
        <v>2028</v>
      </c>
      <c r="C1674" s="27">
        <f t="shared" si="131"/>
        <v>7</v>
      </c>
      <c r="D1674" s="27">
        <f t="shared" si="132"/>
        <v>30</v>
      </c>
      <c r="E1674" s="27">
        <f t="shared" si="133"/>
        <v>1</v>
      </c>
      <c r="F1674" s="27">
        <f>VLOOKUP(E1674,[2]t_calendarioPolitica!A:C,3,FALSE)</f>
        <v>0</v>
      </c>
      <c r="G1674" s="1">
        <v>1</v>
      </c>
      <c r="H1674" s="1">
        <v>1</v>
      </c>
      <c r="I1674" s="1">
        <f t="shared" si="134"/>
        <v>0</v>
      </c>
    </row>
    <row r="1675" spans="1:9" x14ac:dyDescent="0.25">
      <c r="A1675" s="26">
        <v>46965</v>
      </c>
      <c r="B1675" s="27">
        <f t="shared" si="130"/>
        <v>2028</v>
      </c>
      <c r="C1675" s="27">
        <f t="shared" si="131"/>
        <v>7</v>
      </c>
      <c r="D1675" s="27">
        <f t="shared" si="132"/>
        <v>31</v>
      </c>
      <c r="E1675" s="27">
        <f t="shared" si="133"/>
        <v>2</v>
      </c>
      <c r="F1675" s="27">
        <f>VLOOKUP(E1675,[2]t_calendarioPolitica!A:C,3,FALSE)</f>
        <v>1</v>
      </c>
      <c r="G1675" s="1">
        <v>1</v>
      </c>
      <c r="H1675" s="1">
        <v>1</v>
      </c>
      <c r="I1675" s="1">
        <f t="shared" si="134"/>
        <v>1</v>
      </c>
    </row>
    <row r="1676" spans="1:9" x14ac:dyDescent="0.25">
      <c r="A1676" s="26">
        <v>46966</v>
      </c>
      <c r="B1676" s="27">
        <f t="shared" si="130"/>
        <v>2028</v>
      </c>
      <c r="C1676" s="27">
        <f t="shared" si="131"/>
        <v>8</v>
      </c>
      <c r="D1676" s="27">
        <f t="shared" si="132"/>
        <v>1</v>
      </c>
      <c r="E1676" s="27">
        <f t="shared" si="133"/>
        <v>3</v>
      </c>
      <c r="F1676" s="27">
        <f>VLOOKUP(E1676,[2]t_calendarioPolitica!A:C,3,FALSE)</f>
        <v>1</v>
      </c>
      <c r="G1676" s="1">
        <v>1</v>
      </c>
      <c r="H1676" s="1">
        <v>1</v>
      </c>
      <c r="I1676" s="1">
        <f t="shared" si="134"/>
        <v>1</v>
      </c>
    </row>
    <row r="1677" spans="1:9" x14ac:dyDescent="0.25">
      <c r="A1677" s="26">
        <v>46967</v>
      </c>
      <c r="B1677" s="27">
        <f t="shared" si="130"/>
        <v>2028</v>
      </c>
      <c r="C1677" s="27">
        <f t="shared" si="131"/>
        <v>8</v>
      </c>
      <c r="D1677" s="27">
        <f t="shared" si="132"/>
        <v>2</v>
      </c>
      <c r="E1677" s="27">
        <f t="shared" si="133"/>
        <v>4</v>
      </c>
      <c r="F1677" s="27">
        <f>VLOOKUP(E1677,[2]t_calendarioPolitica!A:C,3,FALSE)</f>
        <v>1</v>
      </c>
      <c r="G1677" s="1">
        <v>1</v>
      </c>
      <c r="H1677" s="1">
        <v>1</v>
      </c>
      <c r="I1677" s="1">
        <f t="shared" si="134"/>
        <v>1</v>
      </c>
    </row>
    <row r="1678" spans="1:9" x14ac:dyDescent="0.25">
      <c r="A1678" s="26">
        <v>46968</v>
      </c>
      <c r="B1678" s="27">
        <f t="shared" si="130"/>
        <v>2028</v>
      </c>
      <c r="C1678" s="27">
        <f t="shared" si="131"/>
        <v>8</v>
      </c>
      <c r="D1678" s="27">
        <f t="shared" si="132"/>
        <v>3</v>
      </c>
      <c r="E1678" s="27">
        <f t="shared" si="133"/>
        <v>5</v>
      </c>
      <c r="F1678" s="27">
        <f>VLOOKUP(E1678,[2]t_calendarioPolitica!A:C,3,FALSE)</f>
        <v>1</v>
      </c>
      <c r="G1678" s="1">
        <v>1</v>
      </c>
      <c r="H1678" s="1">
        <v>1</v>
      </c>
      <c r="I1678" s="1">
        <f t="shared" si="134"/>
        <v>1</v>
      </c>
    </row>
    <row r="1679" spans="1:9" x14ac:dyDescent="0.25">
      <c r="A1679" s="26">
        <v>46969</v>
      </c>
      <c r="B1679" s="27">
        <f t="shared" si="130"/>
        <v>2028</v>
      </c>
      <c r="C1679" s="27">
        <f t="shared" si="131"/>
        <v>8</v>
      </c>
      <c r="D1679" s="27">
        <f t="shared" si="132"/>
        <v>4</v>
      </c>
      <c r="E1679" s="27">
        <f t="shared" si="133"/>
        <v>6</v>
      </c>
      <c r="F1679" s="27">
        <f>VLOOKUP(E1679,[2]t_calendarioPolitica!A:C,3,FALSE)</f>
        <v>1</v>
      </c>
      <c r="G1679" s="1">
        <v>1</v>
      </c>
      <c r="H1679" s="1">
        <v>1</v>
      </c>
      <c r="I1679" s="1">
        <f t="shared" si="134"/>
        <v>1</v>
      </c>
    </row>
    <row r="1680" spans="1:9" x14ac:dyDescent="0.25">
      <c r="A1680" s="26">
        <v>46970</v>
      </c>
      <c r="B1680" s="27">
        <f t="shared" si="130"/>
        <v>2028</v>
      </c>
      <c r="C1680" s="27">
        <f t="shared" si="131"/>
        <v>8</v>
      </c>
      <c r="D1680" s="27">
        <f t="shared" si="132"/>
        <v>5</v>
      </c>
      <c r="E1680" s="27">
        <f t="shared" si="133"/>
        <v>7</v>
      </c>
      <c r="F1680" s="27">
        <f>VLOOKUP(E1680,[2]t_calendarioPolitica!A:C,3,FALSE)</f>
        <v>2</v>
      </c>
      <c r="G1680" s="1">
        <v>1</v>
      </c>
      <c r="H1680" s="1">
        <v>1</v>
      </c>
      <c r="I1680" s="1">
        <f t="shared" si="134"/>
        <v>1</v>
      </c>
    </row>
    <row r="1681" spans="1:9" x14ac:dyDescent="0.25">
      <c r="A1681" s="26">
        <v>46971</v>
      </c>
      <c r="B1681" s="27">
        <f t="shared" si="130"/>
        <v>2028</v>
      </c>
      <c r="C1681" s="27">
        <f t="shared" si="131"/>
        <v>8</v>
      </c>
      <c r="D1681" s="27">
        <f t="shared" si="132"/>
        <v>6</v>
      </c>
      <c r="E1681" s="27">
        <f t="shared" si="133"/>
        <v>1</v>
      </c>
      <c r="F1681" s="27">
        <f>VLOOKUP(E1681,[2]t_calendarioPolitica!A:C,3,FALSE)</f>
        <v>0</v>
      </c>
      <c r="G1681" s="1">
        <v>1</v>
      </c>
      <c r="H1681" s="1">
        <v>1</v>
      </c>
      <c r="I1681" s="1">
        <f t="shared" si="134"/>
        <v>0</v>
      </c>
    </row>
    <row r="1682" spans="1:9" x14ac:dyDescent="0.25">
      <c r="A1682" s="26">
        <v>46972</v>
      </c>
      <c r="B1682" s="27">
        <f t="shared" si="130"/>
        <v>2028</v>
      </c>
      <c r="C1682" s="27">
        <f t="shared" si="131"/>
        <v>8</v>
      </c>
      <c r="D1682" s="27">
        <f t="shared" si="132"/>
        <v>7</v>
      </c>
      <c r="E1682" s="27">
        <f t="shared" si="133"/>
        <v>2</v>
      </c>
      <c r="F1682" s="27">
        <f>VLOOKUP(E1682,[2]t_calendarioPolitica!A:C,3,FALSE)</f>
        <v>1</v>
      </c>
      <c r="G1682" s="1">
        <v>1</v>
      </c>
      <c r="H1682" s="1">
        <v>1</v>
      </c>
      <c r="I1682" s="1">
        <f t="shared" si="134"/>
        <v>1</v>
      </c>
    </row>
    <row r="1683" spans="1:9" x14ac:dyDescent="0.25">
      <c r="A1683" s="26">
        <v>46973</v>
      </c>
      <c r="B1683" s="27">
        <f t="shared" si="130"/>
        <v>2028</v>
      </c>
      <c r="C1683" s="27">
        <f t="shared" si="131"/>
        <v>8</v>
      </c>
      <c r="D1683" s="27">
        <f t="shared" si="132"/>
        <v>8</v>
      </c>
      <c r="E1683" s="27">
        <f t="shared" si="133"/>
        <v>3</v>
      </c>
      <c r="F1683" s="27">
        <f>VLOOKUP(E1683,[2]t_calendarioPolitica!A:C,3,FALSE)</f>
        <v>1</v>
      </c>
      <c r="G1683" s="1">
        <v>1</v>
      </c>
      <c r="H1683" s="1">
        <v>1</v>
      </c>
      <c r="I1683" s="1">
        <f t="shared" si="134"/>
        <v>1</v>
      </c>
    </row>
    <row r="1684" spans="1:9" x14ac:dyDescent="0.25">
      <c r="A1684" s="26">
        <v>46974</v>
      </c>
      <c r="B1684" s="27">
        <f t="shared" si="130"/>
        <v>2028</v>
      </c>
      <c r="C1684" s="27">
        <f t="shared" si="131"/>
        <v>8</v>
      </c>
      <c r="D1684" s="27">
        <f t="shared" si="132"/>
        <v>9</v>
      </c>
      <c r="E1684" s="27">
        <f t="shared" si="133"/>
        <v>4</v>
      </c>
      <c r="F1684" s="27">
        <f>VLOOKUP(E1684,[2]t_calendarioPolitica!A:C,3,FALSE)</f>
        <v>1</v>
      </c>
      <c r="G1684" s="1">
        <v>1</v>
      </c>
      <c r="H1684" s="1">
        <v>1</v>
      </c>
      <c r="I1684" s="1">
        <f t="shared" si="134"/>
        <v>1</v>
      </c>
    </row>
    <row r="1685" spans="1:9" x14ac:dyDescent="0.25">
      <c r="A1685" s="26">
        <v>46975</v>
      </c>
      <c r="B1685" s="27">
        <f t="shared" si="130"/>
        <v>2028</v>
      </c>
      <c r="C1685" s="27">
        <f t="shared" si="131"/>
        <v>8</v>
      </c>
      <c r="D1685" s="27">
        <f t="shared" si="132"/>
        <v>10</v>
      </c>
      <c r="E1685" s="27">
        <f t="shared" si="133"/>
        <v>5</v>
      </c>
      <c r="F1685" s="27">
        <f>VLOOKUP(E1685,[2]t_calendarioPolitica!A:C,3,FALSE)</f>
        <v>1</v>
      </c>
      <c r="G1685" s="1">
        <v>1</v>
      </c>
      <c r="H1685" s="1">
        <v>1</v>
      </c>
      <c r="I1685" s="1">
        <f t="shared" si="134"/>
        <v>1</v>
      </c>
    </row>
    <row r="1686" spans="1:9" x14ac:dyDescent="0.25">
      <c r="A1686" s="26">
        <v>46976</v>
      </c>
      <c r="B1686" s="27">
        <f t="shared" si="130"/>
        <v>2028</v>
      </c>
      <c r="C1686" s="27">
        <f t="shared" si="131"/>
        <v>8</v>
      </c>
      <c r="D1686" s="27">
        <f t="shared" si="132"/>
        <v>11</v>
      </c>
      <c r="E1686" s="27">
        <f t="shared" si="133"/>
        <v>6</v>
      </c>
      <c r="F1686" s="27">
        <f>VLOOKUP(E1686,[2]t_calendarioPolitica!A:C,3,FALSE)</f>
        <v>1</v>
      </c>
      <c r="G1686" s="1">
        <v>1</v>
      </c>
      <c r="H1686" s="1">
        <v>1</v>
      </c>
      <c r="I1686" s="1">
        <f t="shared" si="134"/>
        <v>1</v>
      </c>
    </row>
    <row r="1687" spans="1:9" x14ac:dyDescent="0.25">
      <c r="A1687" s="26">
        <v>46977</v>
      </c>
      <c r="B1687" s="27">
        <f t="shared" si="130"/>
        <v>2028</v>
      </c>
      <c r="C1687" s="27">
        <f t="shared" si="131"/>
        <v>8</v>
      </c>
      <c r="D1687" s="27">
        <f t="shared" si="132"/>
        <v>12</v>
      </c>
      <c r="E1687" s="27">
        <f t="shared" si="133"/>
        <v>7</v>
      </c>
      <c r="F1687" s="27">
        <f>VLOOKUP(E1687,[2]t_calendarioPolitica!A:C,3,FALSE)</f>
        <v>2</v>
      </c>
      <c r="G1687" s="1">
        <v>1</v>
      </c>
      <c r="H1687" s="1">
        <v>1</v>
      </c>
      <c r="I1687" s="1">
        <f t="shared" si="134"/>
        <v>1</v>
      </c>
    </row>
    <row r="1688" spans="1:9" x14ac:dyDescent="0.25">
      <c r="A1688" s="26">
        <v>46978</v>
      </c>
      <c r="B1688" s="27">
        <f t="shared" si="130"/>
        <v>2028</v>
      </c>
      <c r="C1688" s="27">
        <f t="shared" si="131"/>
        <v>8</v>
      </c>
      <c r="D1688" s="27">
        <f t="shared" si="132"/>
        <v>13</v>
      </c>
      <c r="E1688" s="27">
        <f t="shared" si="133"/>
        <v>1</v>
      </c>
      <c r="F1688" s="27">
        <f>VLOOKUP(E1688,[2]t_calendarioPolitica!A:C,3,FALSE)</f>
        <v>0</v>
      </c>
      <c r="G1688" s="1">
        <v>1</v>
      </c>
      <c r="H1688" s="1">
        <v>1</v>
      </c>
      <c r="I1688" s="1">
        <f t="shared" si="134"/>
        <v>0</v>
      </c>
    </row>
    <row r="1689" spans="1:9" x14ac:dyDescent="0.25">
      <c r="A1689" s="26">
        <v>46979</v>
      </c>
      <c r="B1689" s="27">
        <f t="shared" si="130"/>
        <v>2028</v>
      </c>
      <c r="C1689" s="27">
        <f t="shared" si="131"/>
        <v>8</v>
      </c>
      <c r="D1689" s="27">
        <f t="shared" si="132"/>
        <v>14</v>
      </c>
      <c r="E1689" s="27">
        <f t="shared" si="133"/>
        <v>2</v>
      </c>
      <c r="F1689" s="27">
        <f>VLOOKUP(E1689,[2]t_calendarioPolitica!A:C,3,FALSE)</f>
        <v>1</v>
      </c>
      <c r="G1689" s="1">
        <v>1</v>
      </c>
      <c r="H1689" s="1">
        <v>1</v>
      </c>
      <c r="I1689" s="1">
        <f t="shared" si="134"/>
        <v>1</v>
      </c>
    </row>
    <row r="1690" spans="1:9" x14ac:dyDescent="0.25">
      <c r="A1690" s="26">
        <v>46980</v>
      </c>
      <c r="B1690" s="27">
        <f t="shared" si="130"/>
        <v>2028</v>
      </c>
      <c r="C1690" s="27">
        <f t="shared" si="131"/>
        <v>8</v>
      </c>
      <c r="D1690" s="27">
        <f t="shared" si="132"/>
        <v>15</v>
      </c>
      <c r="E1690" s="27">
        <f t="shared" si="133"/>
        <v>3</v>
      </c>
      <c r="F1690" s="27">
        <f>VLOOKUP(E1690,[2]t_calendarioPolitica!A:C,3,FALSE)</f>
        <v>1</v>
      </c>
      <c r="G1690" s="1">
        <v>1</v>
      </c>
      <c r="H1690" s="1">
        <v>1</v>
      </c>
      <c r="I1690" s="1">
        <f t="shared" si="134"/>
        <v>1</v>
      </c>
    </row>
    <row r="1691" spans="1:9" x14ac:dyDescent="0.25">
      <c r="A1691" s="26">
        <v>46981</v>
      </c>
      <c r="B1691" s="27">
        <f t="shared" si="130"/>
        <v>2028</v>
      </c>
      <c r="C1691" s="27">
        <f t="shared" si="131"/>
        <v>8</v>
      </c>
      <c r="D1691" s="27">
        <f t="shared" si="132"/>
        <v>16</v>
      </c>
      <c r="E1691" s="27">
        <f t="shared" si="133"/>
        <v>4</v>
      </c>
      <c r="F1691" s="27">
        <f>VLOOKUP(E1691,[2]t_calendarioPolitica!A:C,3,FALSE)</f>
        <v>1</v>
      </c>
      <c r="G1691" s="1">
        <v>1</v>
      </c>
      <c r="H1691" s="1">
        <v>1</v>
      </c>
      <c r="I1691" s="1">
        <f t="shared" si="134"/>
        <v>1</v>
      </c>
    </row>
    <row r="1692" spans="1:9" x14ac:dyDescent="0.25">
      <c r="A1692" s="26">
        <v>46982</v>
      </c>
      <c r="B1692" s="27">
        <f t="shared" si="130"/>
        <v>2028</v>
      </c>
      <c r="C1692" s="27">
        <f t="shared" si="131"/>
        <v>8</v>
      </c>
      <c r="D1692" s="27">
        <f t="shared" si="132"/>
        <v>17</v>
      </c>
      <c r="E1692" s="27">
        <f t="shared" si="133"/>
        <v>5</v>
      </c>
      <c r="F1692" s="27">
        <f>VLOOKUP(E1692,[2]t_calendarioPolitica!A:C,3,FALSE)</f>
        <v>1</v>
      </c>
      <c r="G1692" s="1">
        <v>1</v>
      </c>
      <c r="H1692" s="1">
        <v>1</v>
      </c>
      <c r="I1692" s="1">
        <f t="shared" si="134"/>
        <v>1</v>
      </c>
    </row>
    <row r="1693" spans="1:9" x14ac:dyDescent="0.25">
      <c r="A1693" s="26">
        <v>46983</v>
      </c>
      <c r="B1693" s="27">
        <f t="shared" si="130"/>
        <v>2028</v>
      </c>
      <c r="C1693" s="27">
        <f t="shared" si="131"/>
        <v>8</v>
      </c>
      <c r="D1693" s="27">
        <f t="shared" si="132"/>
        <v>18</v>
      </c>
      <c r="E1693" s="27">
        <f t="shared" si="133"/>
        <v>6</v>
      </c>
      <c r="F1693" s="27">
        <f>VLOOKUP(E1693,[2]t_calendarioPolitica!A:C,3,FALSE)</f>
        <v>1</v>
      </c>
      <c r="G1693" s="1">
        <v>1</v>
      </c>
      <c r="H1693" s="1">
        <v>1</v>
      </c>
      <c r="I1693" s="1">
        <f t="shared" si="134"/>
        <v>1</v>
      </c>
    </row>
    <row r="1694" spans="1:9" x14ac:dyDescent="0.25">
      <c r="A1694" s="26">
        <v>46984</v>
      </c>
      <c r="B1694" s="27">
        <f t="shared" si="130"/>
        <v>2028</v>
      </c>
      <c r="C1694" s="27">
        <f t="shared" si="131"/>
        <v>8</v>
      </c>
      <c r="D1694" s="27">
        <f t="shared" si="132"/>
        <v>19</v>
      </c>
      <c r="E1694" s="27">
        <f t="shared" si="133"/>
        <v>7</v>
      </c>
      <c r="F1694" s="27">
        <f>VLOOKUP(E1694,[2]t_calendarioPolitica!A:C,3,FALSE)</f>
        <v>2</v>
      </c>
      <c r="G1694" s="1">
        <v>1</v>
      </c>
      <c r="H1694" s="1">
        <v>1</v>
      </c>
      <c r="I1694" s="1">
        <f t="shared" si="134"/>
        <v>1</v>
      </c>
    </row>
    <row r="1695" spans="1:9" x14ac:dyDescent="0.25">
      <c r="A1695" s="26">
        <v>46985</v>
      </c>
      <c r="B1695" s="27">
        <f t="shared" si="130"/>
        <v>2028</v>
      </c>
      <c r="C1695" s="27">
        <f t="shared" si="131"/>
        <v>8</v>
      </c>
      <c r="D1695" s="27">
        <f t="shared" si="132"/>
        <v>20</v>
      </c>
      <c r="E1695" s="27">
        <f t="shared" si="133"/>
        <v>1</v>
      </c>
      <c r="F1695" s="27">
        <f>VLOOKUP(E1695,[2]t_calendarioPolitica!A:C,3,FALSE)</f>
        <v>0</v>
      </c>
      <c r="G1695" s="1">
        <v>1</v>
      </c>
      <c r="H1695" s="1">
        <v>1</v>
      </c>
      <c r="I1695" s="1">
        <f t="shared" si="134"/>
        <v>0</v>
      </c>
    </row>
    <row r="1696" spans="1:9" x14ac:dyDescent="0.25">
      <c r="A1696" s="26">
        <v>46986</v>
      </c>
      <c r="B1696" s="27">
        <f t="shared" si="130"/>
        <v>2028</v>
      </c>
      <c r="C1696" s="27">
        <f t="shared" si="131"/>
        <v>8</v>
      </c>
      <c r="D1696" s="27">
        <f t="shared" si="132"/>
        <v>21</v>
      </c>
      <c r="E1696" s="27">
        <f t="shared" si="133"/>
        <v>2</v>
      </c>
      <c r="F1696" s="27">
        <f>VLOOKUP(E1696,[2]t_calendarioPolitica!A:C,3,FALSE)</f>
        <v>1</v>
      </c>
      <c r="G1696" s="1">
        <v>1</v>
      </c>
      <c r="H1696" s="1">
        <v>1</v>
      </c>
      <c r="I1696" s="1">
        <f t="shared" si="134"/>
        <v>1</v>
      </c>
    </row>
    <row r="1697" spans="1:9" x14ac:dyDescent="0.25">
      <c r="A1697" s="26">
        <v>46987</v>
      </c>
      <c r="B1697" s="27">
        <f t="shared" si="130"/>
        <v>2028</v>
      </c>
      <c r="C1697" s="27">
        <f t="shared" si="131"/>
        <v>8</v>
      </c>
      <c r="D1697" s="27">
        <f t="shared" si="132"/>
        <v>22</v>
      </c>
      <c r="E1697" s="27">
        <f t="shared" si="133"/>
        <v>3</v>
      </c>
      <c r="F1697" s="27">
        <f>VLOOKUP(E1697,[2]t_calendarioPolitica!A:C,3,FALSE)</f>
        <v>1</v>
      </c>
      <c r="G1697" s="1">
        <v>1</v>
      </c>
      <c r="H1697" s="1">
        <v>1</v>
      </c>
      <c r="I1697" s="1">
        <f t="shared" si="134"/>
        <v>1</v>
      </c>
    </row>
    <row r="1698" spans="1:9" x14ac:dyDescent="0.25">
      <c r="A1698" s="26">
        <v>46988</v>
      </c>
      <c r="B1698" s="27">
        <f t="shared" si="130"/>
        <v>2028</v>
      </c>
      <c r="C1698" s="27">
        <f t="shared" si="131"/>
        <v>8</v>
      </c>
      <c r="D1698" s="27">
        <f t="shared" si="132"/>
        <v>23</v>
      </c>
      <c r="E1698" s="27">
        <f t="shared" si="133"/>
        <v>4</v>
      </c>
      <c r="F1698" s="27">
        <f>VLOOKUP(E1698,[2]t_calendarioPolitica!A:C,3,FALSE)</f>
        <v>1</v>
      </c>
      <c r="G1698" s="1">
        <v>1</v>
      </c>
      <c r="H1698" s="1">
        <v>1</v>
      </c>
      <c r="I1698" s="1">
        <f t="shared" si="134"/>
        <v>1</v>
      </c>
    </row>
    <row r="1699" spans="1:9" x14ac:dyDescent="0.25">
      <c r="A1699" s="26">
        <v>46989</v>
      </c>
      <c r="B1699" s="27">
        <f t="shared" si="130"/>
        <v>2028</v>
      </c>
      <c r="C1699" s="27">
        <f t="shared" si="131"/>
        <v>8</v>
      </c>
      <c r="D1699" s="27">
        <f t="shared" si="132"/>
        <v>24</v>
      </c>
      <c r="E1699" s="27">
        <f t="shared" si="133"/>
        <v>5</v>
      </c>
      <c r="F1699" s="27">
        <f>VLOOKUP(E1699,[2]t_calendarioPolitica!A:C,3,FALSE)</f>
        <v>1</v>
      </c>
      <c r="G1699" s="1">
        <v>1</v>
      </c>
      <c r="H1699" s="1">
        <v>1</v>
      </c>
      <c r="I1699" s="1">
        <f t="shared" si="134"/>
        <v>1</v>
      </c>
    </row>
    <row r="1700" spans="1:9" x14ac:dyDescent="0.25">
      <c r="A1700" s="26">
        <v>46990</v>
      </c>
      <c r="B1700" s="27">
        <f t="shared" si="130"/>
        <v>2028</v>
      </c>
      <c r="C1700" s="27">
        <f t="shared" si="131"/>
        <v>8</v>
      </c>
      <c r="D1700" s="27">
        <f t="shared" si="132"/>
        <v>25</v>
      </c>
      <c r="E1700" s="27">
        <f t="shared" si="133"/>
        <v>6</v>
      </c>
      <c r="F1700" s="27">
        <f>VLOOKUP(E1700,[2]t_calendarioPolitica!A:C,3,FALSE)</f>
        <v>1</v>
      </c>
      <c r="G1700" s="1">
        <v>1</v>
      </c>
      <c r="H1700" s="1">
        <v>1</v>
      </c>
      <c r="I1700" s="1">
        <f t="shared" si="134"/>
        <v>1</v>
      </c>
    </row>
    <row r="1701" spans="1:9" x14ac:dyDescent="0.25">
      <c r="A1701" s="26">
        <v>46991</v>
      </c>
      <c r="B1701" s="27">
        <f t="shared" si="130"/>
        <v>2028</v>
      </c>
      <c r="C1701" s="27">
        <f t="shared" si="131"/>
        <v>8</v>
      </c>
      <c r="D1701" s="27">
        <f t="shared" si="132"/>
        <v>26</v>
      </c>
      <c r="E1701" s="27">
        <f t="shared" si="133"/>
        <v>7</v>
      </c>
      <c r="F1701" s="27">
        <f>VLOOKUP(E1701,[2]t_calendarioPolitica!A:C,3,FALSE)</f>
        <v>2</v>
      </c>
      <c r="G1701" s="1">
        <v>1</v>
      </c>
      <c r="H1701" s="1">
        <v>1</v>
      </c>
      <c r="I1701" s="1">
        <f t="shared" si="134"/>
        <v>1</v>
      </c>
    </row>
    <row r="1702" spans="1:9" x14ac:dyDescent="0.25">
      <c r="A1702" s="26">
        <v>46992</v>
      </c>
      <c r="B1702" s="27">
        <f t="shared" si="130"/>
        <v>2028</v>
      </c>
      <c r="C1702" s="27">
        <f t="shared" si="131"/>
        <v>8</v>
      </c>
      <c r="D1702" s="27">
        <f t="shared" si="132"/>
        <v>27</v>
      </c>
      <c r="E1702" s="27">
        <f t="shared" si="133"/>
        <v>1</v>
      </c>
      <c r="F1702" s="27">
        <f>VLOOKUP(E1702,[2]t_calendarioPolitica!A:C,3,FALSE)</f>
        <v>0</v>
      </c>
      <c r="G1702" s="1">
        <v>1</v>
      </c>
      <c r="H1702" s="1">
        <v>1</v>
      </c>
      <c r="I1702" s="1">
        <f t="shared" si="134"/>
        <v>0</v>
      </c>
    </row>
    <row r="1703" spans="1:9" x14ac:dyDescent="0.25">
      <c r="A1703" s="26">
        <v>46993</v>
      </c>
      <c r="B1703" s="27">
        <f t="shared" si="130"/>
        <v>2028</v>
      </c>
      <c r="C1703" s="27">
        <f t="shared" si="131"/>
        <v>8</v>
      </c>
      <c r="D1703" s="27">
        <f t="shared" si="132"/>
        <v>28</v>
      </c>
      <c r="E1703" s="27">
        <f t="shared" si="133"/>
        <v>2</v>
      </c>
      <c r="F1703" s="27">
        <f>VLOOKUP(E1703,[2]t_calendarioPolitica!A:C,3,FALSE)</f>
        <v>1</v>
      </c>
      <c r="G1703" s="1">
        <v>1</v>
      </c>
      <c r="H1703" s="1">
        <v>1</v>
      </c>
      <c r="I1703" s="1">
        <f t="shared" si="134"/>
        <v>1</v>
      </c>
    </row>
    <row r="1704" spans="1:9" x14ac:dyDescent="0.25">
      <c r="A1704" s="26">
        <v>46994</v>
      </c>
      <c r="B1704" s="27">
        <f t="shared" si="130"/>
        <v>2028</v>
      </c>
      <c r="C1704" s="27">
        <f t="shared" si="131"/>
        <v>8</v>
      </c>
      <c r="D1704" s="27">
        <f t="shared" si="132"/>
        <v>29</v>
      </c>
      <c r="E1704" s="27">
        <f t="shared" si="133"/>
        <v>3</v>
      </c>
      <c r="F1704" s="27">
        <f>VLOOKUP(E1704,[2]t_calendarioPolitica!A:C,3,FALSE)</f>
        <v>1</v>
      </c>
      <c r="G1704" s="1">
        <v>1</v>
      </c>
      <c r="H1704" s="1">
        <v>1</v>
      </c>
      <c r="I1704" s="1">
        <f t="shared" si="134"/>
        <v>1</v>
      </c>
    </row>
    <row r="1705" spans="1:9" x14ac:dyDescent="0.25">
      <c r="A1705" s="26">
        <v>46995</v>
      </c>
      <c r="B1705" s="27">
        <f t="shared" si="130"/>
        <v>2028</v>
      </c>
      <c r="C1705" s="27">
        <f t="shared" si="131"/>
        <v>8</v>
      </c>
      <c r="D1705" s="27">
        <f t="shared" si="132"/>
        <v>30</v>
      </c>
      <c r="E1705" s="27">
        <f t="shared" si="133"/>
        <v>4</v>
      </c>
      <c r="F1705" s="27">
        <f>VLOOKUP(E1705,[2]t_calendarioPolitica!A:C,3,FALSE)</f>
        <v>1</v>
      </c>
      <c r="G1705" s="1">
        <v>1</v>
      </c>
      <c r="H1705" s="1">
        <v>1</v>
      </c>
      <c r="I1705" s="1">
        <f t="shared" si="134"/>
        <v>1</v>
      </c>
    </row>
    <row r="1706" spans="1:9" x14ac:dyDescent="0.25">
      <c r="A1706" s="26">
        <v>46996</v>
      </c>
      <c r="B1706" s="27">
        <f t="shared" si="130"/>
        <v>2028</v>
      </c>
      <c r="C1706" s="27">
        <f t="shared" si="131"/>
        <v>8</v>
      </c>
      <c r="D1706" s="27">
        <f t="shared" si="132"/>
        <v>31</v>
      </c>
      <c r="E1706" s="27">
        <f t="shared" si="133"/>
        <v>5</v>
      </c>
      <c r="F1706" s="27">
        <f>VLOOKUP(E1706,[2]t_calendarioPolitica!A:C,3,FALSE)</f>
        <v>1</v>
      </c>
      <c r="G1706" s="1">
        <v>1</v>
      </c>
      <c r="H1706" s="1">
        <v>1</v>
      </c>
      <c r="I1706" s="1">
        <f t="shared" si="134"/>
        <v>1</v>
      </c>
    </row>
    <row r="1707" spans="1:9" x14ac:dyDescent="0.25">
      <c r="A1707" s="26">
        <v>46997</v>
      </c>
      <c r="B1707" s="27">
        <f t="shared" si="130"/>
        <v>2028</v>
      </c>
      <c r="C1707" s="27">
        <f t="shared" si="131"/>
        <v>9</v>
      </c>
      <c r="D1707" s="27">
        <f t="shared" si="132"/>
        <v>1</v>
      </c>
      <c r="E1707" s="27">
        <f t="shared" si="133"/>
        <v>6</v>
      </c>
      <c r="F1707" s="27">
        <f>VLOOKUP(E1707,[2]t_calendarioPolitica!A:C,3,FALSE)</f>
        <v>1</v>
      </c>
      <c r="G1707" s="1">
        <v>1</v>
      </c>
      <c r="H1707" s="1">
        <v>1</v>
      </c>
      <c r="I1707" s="1">
        <f t="shared" si="134"/>
        <v>1</v>
      </c>
    </row>
    <row r="1708" spans="1:9" x14ac:dyDescent="0.25">
      <c r="A1708" s="26">
        <v>46998</v>
      </c>
      <c r="B1708" s="27">
        <f t="shared" si="130"/>
        <v>2028</v>
      </c>
      <c r="C1708" s="27">
        <f t="shared" si="131"/>
        <v>9</v>
      </c>
      <c r="D1708" s="27">
        <f t="shared" si="132"/>
        <v>2</v>
      </c>
      <c r="E1708" s="27">
        <f t="shared" si="133"/>
        <v>7</v>
      </c>
      <c r="F1708" s="27">
        <f>VLOOKUP(E1708,[2]t_calendarioPolitica!A:C,3,FALSE)</f>
        <v>2</v>
      </c>
      <c r="G1708" s="1">
        <v>1</v>
      </c>
      <c r="H1708" s="1">
        <v>1</v>
      </c>
      <c r="I1708" s="1">
        <f t="shared" si="134"/>
        <v>1</v>
      </c>
    </row>
    <row r="1709" spans="1:9" x14ac:dyDescent="0.25">
      <c r="A1709" s="26">
        <v>46999</v>
      </c>
      <c r="B1709" s="27">
        <f t="shared" si="130"/>
        <v>2028</v>
      </c>
      <c r="C1709" s="27">
        <f t="shared" si="131"/>
        <v>9</v>
      </c>
      <c r="D1709" s="27">
        <f t="shared" si="132"/>
        <v>3</v>
      </c>
      <c r="E1709" s="27">
        <f t="shared" si="133"/>
        <v>1</v>
      </c>
      <c r="F1709" s="27">
        <f>VLOOKUP(E1709,[2]t_calendarioPolitica!A:C,3,FALSE)</f>
        <v>0</v>
      </c>
      <c r="G1709" s="1">
        <v>1</v>
      </c>
      <c r="H1709" s="1">
        <v>1</v>
      </c>
      <c r="I1709" s="1">
        <f t="shared" si="134"/>
        <v>0</v>
      </c>
    </row>
    <row r="1710" spans="1:9" x14ac:dyDescent="0.25">
      <c r="A1710" s="26">
        <v>47000</v>
      </c>
      <c r="B1710" s="27">
        <f t="shared" si="130"/>
        <v>2028</v>
      </c>
      <c r="C1710" s="27">
        <f t="shared" si="131"/>
        <v>9</v>
      </c>
      <c r="D1710" s="27">
        <f t="shared" si="132"/>
        <v>4</v>
      </c>
      <c r="E1710" s="27">
        <f t="shared" si="133"/>
        <v>2</v>
      </c>
      <c r="F1710" s="27">
        <f>VLOOKUP(E1710,[2]t_calendarioPolitica!A:C,3,FALSE)</f>
        <v>1</v>
      </c>
      <c r="G1710" s="1">
        <v>1</v>
      </c>
      <c r="H1710" s="1">
        <v>1</v>
      </c>
      <c r="I1710" s="1">
        <f t="shared" si="134"/>
        <v>1</v>
      </c>
    </row>
    <row r="1711" spans="1:9" x14ac:dyDescent="0.25">
      <c r="A1711" s="26">
        <v>47001</v>
      </c>
      <c r="B1711" s="27">
        <f t="shared" si="130"/>
        <v>2028</v>
      </c>
      <c r="C1711" s="27">
        <f t="shared" si="131"/>
        <v>9</v>
      </c>
      <c r="D1711" s="27">
        <f t="shared" si="132"/>
        <v>5</v>
      </c>
      <c r="E1711" s="27">
        <f t="shared" si="133"/>
        <v>3</v>
      </c>
      <c r="F1711" s="27">
        <f>VLOOKUP(E1711,[2]t_calendarioPolitica!A:C,3,FALSE)</f>
        <v>1</v>
      </c>
      <c r="G1711" s="1">
        <v>1</v>
      </c>
      <c r="H1711" s="1">
        <v>1</v>
      </c>
      <c r="I1711" s="1">
        <f t="shared" si="134"/>
        <v>1</v>
      </c>
    </row>
    <row r="1712" spans="1:9" x14ac:dyDescent="0.25">
      <c r="A1712" s="26">
        <v>47002</v>
      </c>
      <c r="B1712" s="27">
        <f t="shared" si="130"/>
        <v>2028</v>
      </c>
      <c r="C1712" s="27">
        <f t="shared" si="131"/>
        <v>9</v>
      </c>
      <c r="D1712" s="27">
        <f t="shared" si="132"/>
        <v>6</v>
      </c>
      <c r="E1712" s="27">
        <f t="shared" si="133"/>
        <v>4</v>
      </c>
      <c r="F1712" s="27">
        <f>VLOOKUP(E1712,[2]t_calendarioPolitica!A:C,3,FALSE)</f>
        <v>1</v>
      </c>
      <c r="G1712" s="1">
        <v>1</v>
      </c>
      <c r="H1712" s="1">
        <v>1</v>
      </c>
      <c r="I1712" s="1">
        <f t="shared" si="134"/>
        <v>1</v>
      </c>
    </row>
    <row r="1713" spans="1:9" x14ac:dyDescent="0.25">
      <c r="A1713" s="26">
        <v>47003</v>
      </c>
      <c r="B1713" s="27">
        <f t="shared" si="130"/>
        <v>2028</v>
      </c>
      <c r="C1713" s="27">
        <f t="shared" si="131"/>
        <v>9</v>
      </c>
      <c r="D1713" s="27">
        <f t="shared" si="132"/>
        <v>7</v>
      </c>
      <c r="E1713" s="27">
        <f t="shared" si="133"/>
        <v>5</v>
      </c>
      <c r="F1713" s="27">
        <f>VLOOKUP(E1713,[2]t_calendarioPolitica!A:C,3,FALSE)</f>
        <v>1</v>
      </c>
      <c r="G1713" s="1">
        <v>1</v>
      </c>
      <c r="H1713" s="1">
        <v>1</v>
      </c>
      <c r="I1713" s="1">
        <f t="shared" si="134"/>
        <v>1</v>
      </c>
    </row>
    <row r="1714" spans="1:9" x14ac:dyDescent="0.25">
      <c r="A1714" s="26">
        <v>47004</v>
      </c>
      <c r="B1714" s="27">
        <f t="shared" si="130"/>
        <v>2028</v>
      </c>
      <c r="C1714" s="27">
        <f t="shared" si="131"/>
        <v>9</v>
      </c>
      <c r="D1714" s="27">
        <f t="shared" si="132"/>
        <v>8</v>
      </c>
      <c r="E1714" s="27">
        <f t="shared" si="133"/>
        <v>6</v>
      </c>
      <c r="F1714" s="27">
        <f>VLOOKUP(E1714,[2]t_calendarioPolitica!A:C,3,FALSE)</f>
        <v>1</v>
      </c>
      <c r="G1714" s="1">
        <v>1</v>
      </c>
      <c r="H1714" s="1">
        <v>1</v>
      </c>
      <c r="I1714" s="1">
        <f t="shared" si="134"/>
        <v>1</v>
      </c>
    </row>
    <row r="1715" spans="1:9" x14ac:dyDescent="0.25">
      <c r="A1715" s="26">
        <v>47005</v>
      </c>
      <c r="B1715" s="27">
        <f t="shared" si="130"/>
        <v>2028</v>
      </c>
      <c r="C1715" s="27">
        <f t="shared" si="131"/>
        <v>9</v>
      </c>
      <c r="D1715" s="27">
        <f t="shared" si="132"/>
        <v>9</v>
      </c>
      <c r="E1715" s="27">
        <f t="shared" si="133"/>
        <v>7</v>
      </c>
      <c r="F1715" s="27">
        <f>VLOOKUP(E1715,[2]t_calendarioPolitica!A:C,3,FALSE)</f>
        <v>2</v>
      </c>
      <c r="G1715" s="1">
        <v>1</v>
      </c>
      <c r="H1715" s="1">
        <v>1</v>
      </c>
      <c r="I1715" s="1">
        <f t="shared" si="134"/>
        <v>1</v>
      </c>
    </row>
    <row r="1716" spans="1:9" x14ac:dyDescent="0.25">
      <c r="A1716" s="26">
        <v>47006</v>
      </c>
      <c r="B1716" s="27">
        <f t="shared" si="130"/>
        <v>2028</v>
      </c>
      <c r="C1716" s="27">
        <f t="shared" si="131"/>
        <v>9</v>
      </c>
      <c r="D1716" s="27">
        <f t="shared" si="132"/>
        <v>10</v>
      </c>
      <c r="E1716" s="27">
        <f t="shared" si="133"/>
        <v>1</v>
      </c>
      <c r="F1716" s="27">
        <f>VLOOKUP(E1716,[2]t_calendarioPolitica!A:C,3,FALSE)</f>
        <v>0</v>
      </c>
      <c r="G1716" s="1">
        <v>1</v>
      </c>
      <c r="H1716" s="1">
        <v>1</v>
      </c>
      <c r="I1716" s="1">
        <f t="shared" si="134"/>
        <v>0</v>
      </c>
    </row>
    <row r="1717" spans="1:9" x14ac:dyDescent="0.25">
      <c r="A1717" s="26">
        <v>47007</v>
      </c>
      <c r="B1717" s="27">
        <f t="shared" si="130"/>
        <v>2028</v>
      </c>
      <c r="C1717" s="27">
        <f t="shared" si="131"/>
        <v>9</v>
      </c>
      <c r="D1717" s="27">
        <f t="shared" si="132"/>
        <v>11</v>
      </c>
      <c r="E1717" s="27">
        <f t="shared" si="133"/>
        <v>2</v>
      </c>
      <c r="F1717" s="27">
        <f>VLOOKUP(E1717,[2]t_calendarioPolitica!A:C,3,FALSE)</f>
        <v>1</v>
      </c>
      <c r="G1717" s="1">
        <v>1</v>
      </c>
      <c r="H1717" s="1">
        <v>1</v>
      </c>
      <c r="I1717" s="1">
        <f t="shared" si="134"/>
        <v>1</v>
      </c>
    </row>
    <row r="1718" spans="1:9" x14ac:dyDescent="0.25">
      <c r="A1718" s="26">
        <v>47008</v>
      </c>
      <c r="B1718" s="27">
        <f t="shared" si="130"/>
        <v>2028</v>
      </c>
      <c r="C1718" s="27">
        <f t="shared" si="131"/>
        <v>9</v>
      </c>
      <c r="D1718" s="27">
        <f t="shared" si="132"/>
        <v>12</v>
      </c>
      <c r="E1718" s="27">
        <f t="shared" si="133"/>
        <v>3</v>
      </c>
      <c r="F1718" s="27">
        <f>VLOOKUP(E1718,[2]t_calendarioPolitica!A:C,3,FALSE)</f>
        <v>1</v>
      </c>
      <c r="G1718" s="1">
        <v>1</v>
      </c>
      <c r="H1718" s="1">
        <v>1</v>
      </c>
      <c r="I1718" s="1">
        <f t="shared" si="134"/>
        <v>1</v>
      </c>
    </row>
    <row r="1719" spans="1:9" x14ac:dyDescent="0.25">
      <c r="A1719" s="26">
        <v>47009</v>
      </c>
      <c r="B1719" s="27">
        <f t="shared" si="130"/>
        <v>2028</v>
      </c>
      <c r="C1719" s="27">
        <f t="shared" si="131"/>
        <v>9</v>
      </c>
      <c r="D1719" s="27">
        <f t="shared" si="132"/>
        <v>13</v>
      </c>
      <c r="E1719" s="27">
        <f t="shared" si="133"/>
        <v>4</v>
      </c>
      <c r="F1719" s="27">
        <f>VLOOKUP(E1719,[2]t_calendarioPolitica!A:C,3,FALSE)</f>
        <v>1</v>
      </c>
      <c r="G1719" s="1">
        <v>1</v>
      </c>
      <c r="H1719" s="1">
        <v>1</v>
      </c>
      <c r="I1719" s="1">
        <f t="shared" si="134"/>
        <v>1</v>
      </c>
    </row>
    <row r="1720" spans="1:9" x14ac:dyDescent="0.25">
      <c r="A1720" s="26">
        <v>47010</v>
      </c>
      <c r="B1720" s="27">
        <f t="shared" si="130"/>
        <v>2028</v>
      </c>
      <c r="C1720" s="27">
        <f t="shared" si="131"/>
        <v>9</v>
      </c>
      <c r="D1720" s="27">
        <f t="shared" si="132"/>
        <v>14</v>
      </c>
      <c r="E1720" s="27">
        <f t="shared" si="133"/>
        <v>5</v>
      </c>
      <c r="F1720" s="27">
        <f>VLOOKUP(E1720,[2]t_calendarioPolitica!A:C,3,FALSE)</f>
        <v>1</v>
      </c>
      <c r="G1720" s="1">
        <v>1</v>
      </c>
      <c r="H1720" s="1">
        <v>1</v>
      </c>
      <c r="I1720" s="1">
        <f t="shared" si="134"/>
        <v>1</v>
      </c>
    </row>
    <row r="1721" spans="1:9" x14ac:dyDescent="0.25">
      <c r="A1721" s="26">
        <v>47011</v>
      </c>
      <c r="B1721" s="27">
        <f t="shared" si="130"/>
        <v>2028</v>
      </c>
      <c r="C1721" s="27">
        <f t="shared" si="131"/>
        <v>9</v>
      </c>
      <c r="D1721" s="27">
        <f t="shared" si="132"/>
        <v>15</v>
      </c>
      <c r="E1721" s="27">
        <f t="shared" si="133"/>
        <v>6</v>
      </c>
      <c r="F1721" s="27">
        <f>VLOOKUP(E1721,[2]t_calendarioPolitica!A:C,3,FALSE)</f>
        <v>1</v>
      </c>
      <c r="G1721" s="1">
        <v>1</v>
      </c>
      <c r="H1721" s="1">
        <v>0</v>
      </c>
      <c r="I1721" s="1">
        <f t="shared" si="134"/>
        <v>0</v>
      </c>
    </row>
    <row r="1722" spans="1:9" x14ac:dyDescent="0.25">
      <c r="A1722" s="26">
        <v>47012</v>
      </c>
      <c r="B1722" s="27">
        <f t="shared" si="130"/>
        <v>2028</v>
      </c>
      <c r="C1722" s="27">
        <f t="shared" si="131"/>
        <v>9</v>
      </c>
      <c r="D1722" s="27">
        <f t="shared" si="132"/>
        <v>16</v>
      </c>
      <c r="E1722" s="27">
        <f t="shared" si="133"/>
        <v>7</v>
      </c>
      <c r="F1722" s="27">
        <f>VLOOKUP(E1722,[2]t_calendarioPolitica!A:C,3,FALSE)</f>
        <v>2</v>
      </c>
      <c r="G1722" s="1">
        <v>0</v>
      </c>
      <c r="H1722" s="1">
        <v>1</v>
      </c>
      <c r="I1722" s="1">
        <f t="shared" si="134"/>
        <v>0</v>
      </c>
    </row>
    <row r="1723" spans="1:9" x14ac:dyDescent="0.25">
      <c r="A1723" s="26">
        <v>47013</v>
      </c>
      <c r="B1723" s="27">
        <f t="shared" si="130"/>
        <v>2028</v>
      </c>
      <c r="C1723" s="27">
        <f t="shared" si="131"/>
        <v>9</v>
      </c>
      <c r="D1723" s="27">
        <f t="shared" si="132"/>
        <v>17</v>
      </c>
      <c r="E1723" s="27">
        <f t="shared" si="133"/>
        <v>1</v>
      </c>
      <c r="F1723" s="27">
        <f>VLOOKUP(E1723,[2]t_calendarioPolitica!A:C,3,FALSE)</f>
        <v>0</v>
      </c>
      <c r="G1723" s="1">
        <v>1</v>
      </c>
      <c r="H1723" s="1">
        <v>1</v>
      </c>
      <c r="I1723" s="1">
        <f t="shared" si="134"/>
        <v>0</v>
      </c>
    </row>
    <row r="1724" spans="1:9" x14ac:dyDescent="0.25">
      <c r="A1724" s="26">
        <v>47014</v>
      </c>
      <c r="B1724" s="27">
        <f t="shared" si="130"/>
        <v>2028</v>
      </c>
      <c r="C1724" s="27">
        <f t="shared" si="131"/>
        <v>9</v>
      </c>
      <c r="D1724" s="27">
        <f t="shared" si="132"/>
        <v>18</v>
      </c>
      <c r="E1724" s="27">
        <f t="shared" si="133"/>
        <v>2</v>
      </c>
      <c r="F1724" s="27">
        <f>VLOOKUP(E1724,[2]t_calendarioPolitica!A:C,3,FALSE)</f>
        <v>1</v>
      </c>
      <c r="G1724" s="1">
        <v>1</v>
      </c>
      <c r="H1724" s="1">
        <v>1</v>
      </c>
      <c r="I1724" s="1">
        <f t="shared" si="134"/>
        <v>1</v>
      </c>
    </row>
    <row r="1725" spans="1:9" x14ac:dyDescent="0.25">
      <c r="A1725" s="26">
        <v>47015</v>
      </c>
      <c r="B1725" s="27">
        <f t="shared" si="130"/>
        <v>2028</v>
      </c>
      <c r="C1725" s="27">
        <f t="shared" si="131"/>
        <v>9</v>
      </c>
      <c r="D1725" s="27">
        <f t="shared" si="132"/>
        <v>19</v>
      </c>
      <c r="E1725" s="27">
        <f t="shared" si="133"/>
        <v>3</v>
      </c>
      <c r="F1725" s="27">
        <f>VLOOKUP(E1725,[2]t_calendarioPolitica!A:C,3,FALSE)</f>
        <v>1</v>
      </c>
      <c r="G1725" s="1">
        <v>1</v>
      </c>
      <c r="H1725" s="1">
        <v>1</v>
      </c>
      <c r="I1725" s="1">
        <f t="shared" si="134"/>
        <v>1</v>
      </c>
    </row>
    <row r="1726" spans="1:9" x14ac:dyDescent="0.25">
      <c r="A1726" s="26">
        <v>47016</v>
      </c>
      <c r="B1726" s="27">
        <f t="shared" si="130"/>
        <v>2028</v>
      </c>
      <c r="C1726" s="27">
        <f t="shared" si="131"/>
        <v>9</v>
      </c>
      <c r="D1726" s="27">
        <f t="shared" si="132"/>
        <v>20</v>
      </c>
      <c r="E1726" s="27">
        <f t="shared" si="133"/>
        <v>4</v>
      </c>
      <c r="F1726" s="27">
        <f>VLOOKUP(E1726,[2]t_calendarioPolitica!A:C,3,FALSE)</f>
        <v>1</v>
      </c>
      <c r="G1726" s="1">
        <v>1</v>
      </c>
      <c r="H1726" s="1">
        <v>1</v>
      </c>
      <c r="I1726" s="1">
        <f t="shared" si="134"/>
        <v>1</v>
      </c>
    </row>
    <row r="1727" spans="1:9" x14ac:dyDescent="0.25">
      <c r="A1727" s="26">
        <v>47017</v>
      </c>
      <c r="B1727" s="27">
        <f t="shared" si="130"/>
        <v>2028</v>
      </c>
      <c r="C1727" s="27">
        <f t="shared" si="131"/>
        <v>9</v>
      </c>
      <c r="D1727" s="27">
        <f t="shared" si="132"/>
        <v>21</v>
      </c>
      <c r="E1727" s="27">
        <f t="shared" si="133"/>
        <v>5</v>
      </c>
      <c r="F1727" s="27">
        <f>VLOOKUP(E1727,[2]t_calendarioPolitica!A:C,3,FALSE)</f>
        <v>1</v>
      </c>
      <c r="G1727" s="1">
        <v>1</v>
      </c>
      <c r="H1727" s="1">
        <v>1</v>
      </c>
      <c r="I1727" s="1">
        <f t="shared" si="134"/>
        <v>1</v>
      </c>
    </row>
    <row r="1728" spans="1:9" x14ac:dyDescent="0.25">
      <c r="A1728" s="26">
        <v>47018</v>
      </c>
      <c r="B1728" s="27">
        <f t="shared" si="130"/>
        <v>2028</v>
      </c>
      <c r="C1728" s="27">
        <f t="shared" si="131"/>
        <v>9</v>
      </c>
      <c r="D1728" s="27">
        <f t="shared" si="132"/>
        <v>22</v>
      </c>
      <c r="E1728" s="27">
        <f t="shared" si="133"/>
        <v>6</v>
      </c>
      <c r="F1728" s="27">
        <f>VLOOKUP(E1728,[2]t_calendarioPolitica!A:C,3,FALSE)</f>
        <v>1</v>
      </c>
      <c r="G1728" s="1">
        <v>1</v>
      </c>
      <c r="H1728" s="1">
        <v>1</v>
      </c>
      <c r="I1728" s="1">
        <f t="shared" si="134"/>
        <v>1</v>
      </c>
    </row>
    <row r="1729" spans="1:9" x14ac:dyDescent="0.25">
      <c r="A1729" s="26">
        <v>47019</v>
      </c>
      <c r="B1729" s="27">
        <f t="shared" si="130"/>
        <v>2028</v>
      </c>
      <c r="C1729" s="27">
        <f t="shared" si="131"/>
        <v>9</v>
      </c>
      <c r="D1729" s="27">
        <f t="shared" si="132"/>
        <v>23</v>
      </c>
      <c r="E1729" s="27">
        <f t="shared" si="133"/>
        <v>7</v>
      </c>
      <c r="F1729" s="27">
        <f>VLOOKUP(E1729,[2]t_calendarioPolitica!A:C,3,FALSE)</f>
        <v>2</v>
      </c>
      <c r="G1729" s="1">
        <v>1</v>
      </c>
      <c r="H1729" s="1">
        <v>1</v>
      </c>
      <c r="I1729" s="1">
        <f t="shared" si="134"/>
        <v>1</v>
      </c>
    </row>
    <row r="1730" spans="1:9" x14ac:dyDescent="0.25">
      <c r="A1730" s="26">
        <v>47020</v>
      </c>
      <c r="B1730" s="27">
        <f t="shared" si="130"/>
        <v>2028</v>
      </c>
      <c r="C1730" s="27">
        <f t="shared" si="131"/>
        <v>9</v>
      </c>
      <c r="D1730" s="27">
        <f t="shared" si="132"/>
        <v>24</v>
      </c>
      <c r="E1730" s="27">
        <f t="shared" si="133"/>
        <v>1</v>
      </c>
      <c r="F1730" s="27">
        <f>VLOOKUP(E1730,[2]t_calendarioPolitica!A:C,3,FALSE)</f>
        <v>0</v>
      </c>
      <c r="G1730" s="1">
        <v>1</v>
      </c>
      <c r="H1730" s="1">
        <v>1</v>
      </c>
      <c r="I1730" s="1">
        <f t="shared" si="134"/>
        <v>0</v>
      </c>
    </row>
    <row r="1731" spans="1:9" x14ac:dyDescent="0.25">
      <c r="A1731" s="26">
        <v>47021</v>
      </c>
      <c r="B1731" s="27">
        <f t="shared" ref="B1731:B1794" si="135">YEAR(A1731)</f>
        <v>2028</v>
      </c>
      <c r="C1731" s="27">
        <f t="shared" ref="C1731:C1794" si="136">MONTH(A1731)</f>
        <v>9</v>
      </c>
      <c r="D1731" s="27">
        <f t="shared" ref="D1731:D1794" si="137">DAY(A1731)</f>
        <v>25</v>
      </c>
      <c r="E1731" s="27">
        <f t="shared" ref="E1731:E1794" si="138">WEEKDAY(A1731)</f>
        <v>2</v>
      </c>
      <c r="F1731" s="27">
        <f>VLOOKUP(E1731,[2]t_calendarioPolitica!A:C,3,FALSE)</f>
        <v>1</v>
      </c>
      <c r="G1731" s="1">
        <v>1</v>
      </c>
      <c r="H1731" s="1">
        <v>1</v>
      </c>
      <c r="I1731" s="1">
        <f t="shared" ref="I1731:I1794" si="139">IF(AND(F1731&lt;&gt;0, H1731&lt;&gt;0,G1731&lt;&gt;0), 1, 0)</f>
        <v>1</v>
      </c>
    </row>
    <row r="1732" spans="1:9" x14ac:dyDescent="0.25">
      <c r="A1732" s="26">
        <v>47022</v>
      </c>
      <c r="B1732" s="27">
        <f t="shared" si="135"/>
        <v>2028</v>
      </c>
      <c r="C1732" s="27">
        <f t="shared" si="136"/>
        <v>9</v>
      </c>
      <c r="D1732" s="27">
        <f t="shared" si="137"/>
        <v>26</v>
      </c>
      <c r="E1732" s="27">
        <f t="shared" si="138"/>
        <v>3</v>
      </c>
      <c r="F1732" s="27">
        <f>VLOOKUP(E1732,[2]t_calendarioPolitica!A:C,3,FALSE)</f>
        <v>1</v>
      </c>
      <c r="G1732" s="1">
        <v>1</v>
      </c>
      <c r="H1732" s="1">
        <v>1</v>
      </c>
      <c r="I1732" s="1">
        <f t="shared" si="139"/>
        <v>1</v>
      </c>
    </row>
    <row r="1733" spans="1:9" x14ac:dyDescent="0.25">
      <c r="A1733" s="26">
        <v>47023</v>
      </c>
      <c r="B1733" s="27">
        <f t="shared" si="135"/>
        <v>2028</v>
      </c>
      <c r="C1733" s="27">
        <f t="shared" si="136"/>
        <v>9</v>
      </c>
      <c r="D1733" s="27">
        <f t="shared" si="137"/>
        <v>27</v>
      </c>
      <c r="E1733" s="27">
        <f t="shared" si="138"/>
        <v>4</v>
      </c>
      <c r="F1733" s="27">
        <f>VLOOKUP(E1733,[2]t_calendarioPolitica!A:C,3,FALSE)</f>
        <v>1</v>
      </c>
      <c r="G1733" s="1">
        <v>1</v>
      </c>
      <c r="H1733" s="1">
        <v>1</v>
      </c>
      <c r="I1733" s="1">
        <f t="shared" si="139"/>
        <v>1</v>
      </c>
    </row>
    <row r="1734" spans="1:9" x14ac:dyDescent="0.25">
      <c r="A1734" s="26">
        <v>47024</v>
      </c>
      <c r="B1734" s="27">
        <f t="shared" si="135"/>
        <v>2028</v>
      </c>
      <c r="C1734" s="27">
        <f t="shared" si="136"/>
        <v>9</v>
      </c>
      <c r="D1734" s="27">
        <f t="shared" si="137"/>
        <v>28</v>
      </c>
      <c r="E1734" s="27">
        <f t="shared" si="138"/>
        <v>5</v>
      </c>
      <c r="F1734" s="27">
        <f>VLOOKUP(E1734,[2]t_calendarioPolitica!A:C,3,FALSE)</f>
        <v>1</v>
      </c>
      <c r="G1734" s="1">
        <v>1</v>
      </c>
      <c r="H1734" s="1">
        <v>1</v>
      </c>
      <c r="I1734" s="1">
        <f t="shared" si="139"/>
        <v>1</v>
      </c>
    </row>
    <row r="1735" spans="1:9" x14ac:dyDescent="0.25">
      <c r="A1735" s="26">
        <v>47025</v>
      </c>
      <c r="B1735" s="27">
        <f t="shared" si="135"/>
        <v>2028</v>
      </c>
      <c r="C1735" s="27">
        <f t="shared" si="136"/>
        <v>9</v>
      </c>
      <c r="D1735" s="27">
        <f t="shared" si="137"/>
        <v>29</v>
      </c>
      <c r="E1735" s="27">
        <f t="shared" si="138"/>
        <v>6</v>
      </c>
      <c r="F1735" s="27">
        <f>VLOOKUP(E1735,[2]t_calendarioPolitica!A:C,3,FALSE)</f>
        <v>1</v>
      </c>
      <c r="G1735" s="1">
        <v>1</v>
      </c>
      <c r="H1735" s="1">
        <v>1</v>
      </c>
      <c r="I1735" s="1">
        <f t="shared" si="139"/>
        <v>1</v>
      </c>
    </row>
    <row r="1736" spans="1:9" x14ac:dyDescent="0.25">
      <c r="A1736" s="26">
        <v>47026</v>
      </c>
      <c r="B1736" s="27">
        <f t="shared" si="135"/>
        <v>2028</v>
      </c>
      <c r="C1736" s="27">
        <f t="shared" si="136"/>
        <v>9</v>
      </c>
      <c r="D1736" s="27">
        <f t="shared" si="137"/>
        <v>30</v>
      </c>
      <c r="E1736" s="27">
        <f t="shared" si="138"/>
        <v>7</v>
      </c>
      <c r="F1736" s="27">
        <f>VLOOKUP(E1736,[2]t_calendarioPolitica!A:C,3,FALSE)</f>
        <v>2</v>
      </c>
      <c r="G1736" s="1">
        <v>1</v>
      </c>
      <c r="H1736" s="1">
        <v>1</v>
      </c>
      <c r="I1736" s="1">
        <f t="shared" si="139"/>
        <v>1</v>
      </c>
    </row>
    <row r="1737" spans="1:9" x14ac:dyDescent="0.25">
      <c r="A1737" s="26">
        <v>47027</v>
      </c>
      <c r="B1737" s="27">
        <f t="shared" si="135"/>
        <v>2028</v>
      </c>
      <c r="C1737" s="27">
        <f t="shared" si="136"/>
        <v>10</v>
      </c>
      <c r="D1737" s="27">
        <f t="shared" si="137"/>
        <v>1</v>
      </c>
      <c r="E1737" s="27">
        <f t="shared" si="138"/>
        <v>1</v>
      </c>
      <c r="F1737" s="27">
        <f>VLOOKUP(E1737,[2]t_calendarioPolitica!A:C,3,FALSE)</f>
        <v>0</v>
      </c>
      <c r="G1737" s="1">
        <v>1</v>
      </c>
      <c r="H1737" s="1">
        <v>1</v>
      </c>
      <c r="I1737" s="1">
        <f t="shared" si="139"/>
        <v>0</v>
      </c>
    </row>
    <row r="1738" spans="1:9" x14ac:dyDescent="0.25">
      <c r="A1738" s="26">
        <v>47028</v>
      </c>
      <c r="B1738" s="27">
        <f t="shared" si="135"/>
        <v>2028</v>
      </c>
      <c r="C1738" s="27">
        <f t="shared" si="136"/>
        <v>10</v>
      </c>
      <c r="D1738" s="27">
        <f t="shared" si="137"/>
        <v>2</v>
      </c>
      <c r="E1738" s="27">
        <f t="shared" si="138"/>
        <v>2</v>
      </c>
      <c r="F1738" s="27">
        <f>VLOOKUP(E1738,[2]t_calendarioPolitica!A:C,3,FALSE)</f>
        <v>1</v>
      </c>
      <c r="G1738" s="1">
        <v>1</v>
      </c>
      <c r="H1738" s="1">
        <v>1</v>
      </c>
      <c r="I1738" s="1">
        <f t="shared" si="139"/>
        <v>1</v>
      </c>
    </row>
    <row r="1739" spans="1:9" x14ac:dyDescent="0.25">
      <c r="A1739" s="26">
        <v>47029</v>
      </c>
      <c r="B1739" s="27">
        <f t="shared" si="135"/>
        <v>2028</v>
      </c>
      <c r="C1739" s="27">
        <f t="shared" si="136"/>
        <v>10</v>
      </c>
      <c r="D1739" s="27">
        <f t="shared" si="137"/>
        <v>3</v>
      </c>
      <c r="E1739" s="27">
        <f t="shared" si="138"/>
        <v>3</v>
      </c>
      <c r="F1739" s="27">
        <f>VLOOKUP(E1739,[2]t_calendarioPolitica!A:C,3,FALSE)</f>
        <v>1</v>
      </c>
      <c r="G1739" s="1">
        <v>1</v>
      </c>
      <c r="H1739" s="1">
        <v>1</v>
      </c>
      <c r="I1739" s="1">
        <f t="shared" si="139"/>
        <v>1</v>
      </c>
    </row>
    <row r="1740" spans="1:9" x14ac:dyDescent="0.25">
      <c r="A1740" s="26">
        <v>47030</v>
      </c>
      <c r="B1740" s="27">
        <f t="shared" si="135"/>
        <v>2028</v>
      </c>
      <c r="C1740" s="27">
        <f t="shared" si="136"/>
        <v>10</v>
      </c>
      <c r="D1740" s="27">
        <f t="shared" si="137"/>
        <v>4</v>
      </c>
      <c r="E1740" s="27">
        <f t="shared" si="138"/>
        <v>4</v>
      </c>
      <c r="F1740" s="27">
        <f>VLOOKUP(E1740,[2]t_calendarioPolitica!A:C,3,FALSE)</f>
        <v>1</v>
      </c>
      <c r="G1740" s="1">
        <v>1</v>
      </c>
      <c r="H1740" s="1">
        <v>1</v>
      </c>
      <c r="I1740" s="1">
        <f t="shared" si="139"/>
        <v>1</v>
      </c>
    </row>
    <row r="1741" spans="1:9" x14ac:dyDescent="0.25">
      <c r="A1741" s="26">
        <v>47031</v>
      </c>
      <c r="B1741" s="27">
        <f t="shared" si="135"/>
        <v>2028</v>
      </c>
      <c r="C1741" s="27">
        <f t="shared" si="136"/>
        <v>10</v>
      </c>
      <c r="D1741" s="27">
        <f t="shared" si="137"/>
        <v>5</v>
      </c>
      <c r="E1741" s="27">
        <f t="shared" si="138"/>
        <v>5</v>
      </c>
      <c r="F1741" s="27">
        <f>VLOOKUP(E1741,[2]t_calendarioPolitica!A:C,3,FALSE)</f>
        <v>1</v>
      </c>
      <c r="G1741" s="1">
        <v>1</v>
      </c>
      <c r="H1741" s="1">
        <v>1</v>
      </c>
      <c r="I1741" s="1">
        <f t="shared" si="139"/>
        <v>1</v>
      </c>
    </row>
    <row r="1742" spans="1:9" x14ac:dyDescent="0.25">
      <c r="A1742" s="26">
        <v>47032</v>
      </c>
      <c r="B1742" s="27">
        <f t="shared" si="135"/>
        <v>2028</v>
      </c>
      <c r="C1742" s="27">
        <f t="shared" si="136"/>
        <v>10</v>
      </c>
      <c r="D1742" s="27">
        <f t="shared" si="137"/>
        <v>6</v>
      </c>
      <c r="E1742" s="27">
        <f t="shared" si="138"/>
        <v>6</v>
      </c>
      <c r="F1742" s="27">
        <f>VLOOKUP(E1742,[2]t_calendarioPolitica!A:C,3,FALSE)</f>
        <v>1</v>
      </c>
      <c r="G1742" s="1">
        <v>1</v>
      </c>
      <c r="H1742" s="1">
        <v>1</v>
      </c>
      <c r="I1742" s="1">
        <f t="shared" si="139"/>
        <v>1</v>
      </c>
    </row>
    <row r="1743" spans="1:9" x14ac:dyDescent="0.25">
      <c r="A1743" s="26">
        <v>47033</v>
      </c>
      <c r="B1743" s="27">
        <f t="shared" si="135"/>
        <v>2028</v>
      </c>
      <c r="C1743" s="27">
        <f t="shared" si="136"/>
        <v>10</v>
      </c>
      <c r="D1743" s="27">
        <f t="shared" si="137"/>
        <v>7</v>
      </c>
      <c r="E1743" s="27">
        <f t="shared" si="138"/>
        <v>7</v>
      </c>
      <c r="F1743" s="27">
        <f>VLOOKUP(E1743,[2]t_calendarioPolitica!A:C,3,FALSE)</f>
        <v>2</v>
      </c>
      <c r="G1743" s="1">
        <v>1</v>
      </c>
      <c r="H1743" s="1">
        <v>1</v>
      </c>
      <c r="I1743" s="1">
        <f t="shared" si="139"/>
        <v>1</v>
      </c>
    </row>
    <row r="1744" spans="1:9" x14ac:dyDescent="0.25">
      <c r="A1744" s="26">
        <v>47034</v>
      </c>
      <c r="B1744" s="27">
        <f t="shared" si="135"/>
        <v>2028</v>
      </c>
      <c r="C1744" s="27">
        <f t="shared" si="136"/>
        <v>10</v>
      </c>
      <c r="D1744" s="27">
        <f t="shared" si="137"/>
        <v>8</v>
      </c>
      <c r="E1744" s="27">
        <f t="shared" si="138"/>
        <v>1</v>
      </c>
      <c r="F1744" s="27">
        <f>VLOOKUP(E1744,[2]t_calendarioPolitica!A:C,3,FALSE)</f>
        <v>0</v>
      </c>
      <c r="G1744" s="1">
        <v>1</v>
      </c>
      <c r="H1744" s="1">
        <v>1</v>
      </c>
      <c r="I1744" s="1">
        <f t="shared" si="139"/>
        <v>0</v>
      </c>
    </row>
    <row r="1745" spans="1:9" x14ac:dyDescent="0.25">
      <c r="A1745" s="26">
        <v>47035</v>
      </c>
      <c r="B1745" s="27">
        <f t="shared" si="135"/>
        <v>2028</v>
      </c>
      <c r="C1745" s="27">
        <f t="shared" si="136"/>
        <v>10</v>
      </c>
      <c r="D1745" s="27">
        <f t="shared" si="137"/>
        <v>9</v>
      </c>
      <c r="E1745" s="27">
        <f t="shared" si="138"/>
        <v>2</v>
      </c>
      <c r="F1745" s="27">
        <f>VLOOKUP(E1745,[2]t_calendarioPolitica!A:C,3,FALSE)</f>
        <v>1</v>
      </c>
      <c r="G1745" s="1">
        <v>1</v>
      </c>
      <c r="H1745" s="1">
        <v>1</v>
      </c>
      <c r="I1745" s="1">
        <f t="shared" si="139"/>
        <v>1</v>
      </c>
    </row>
    <row r="1746" spans="1:9" x14ac:dyDescent="0.25">
      <c r="A1746" s="26">
        <v>47036</v>
      </c>
      <c r="B1746" s="27">
        <f t="shared" si="135"/>
        <v>2028</v>
      </c>
      <c r="C1746" s="27">
        <f t="shared" si="136"/>
        <v>10</v>
      </c>
      <c r="D1746" s="27">
        <f t="shared" si="137"/>
        <v>10</v>
      </c>
      <c r="E1746" s="27">
        <f t="shared" si="138"/>
        <v>3</v>
      </c>
      <c r="F1746" s="27">
        <f>VLOOKUP(E1746,[2]t_calendarioPolitica!A:C,3,FALSE)</f>
        <v>1</v>
      </c>
      <c r="G1746" s="1">
        <v>1</v>
      </c>
      <c r="H1746" s="1">
        <v>1</v>
      </c>
      <c r="I1746" s="1">
        <f t="shared" si="139"/>
        <v>1</v>
      </c>
    </row>
    <row r="1747" spans="1:9" x14ac:dyDescent="0.25">
      <c r="A1747" s="26">
        <v>47037</v>
      </c>
      <c r="B1747" s="27">
        <f t="shared" si="135"/>
        <v>2028</v>
      </c>
      <c r="C1747" s="27">
        <f t="shared" si="136"/>
        <v>10</v>
      </c>
      <c r="D1747" s="27">
        <f t="shared" si="137"/>
        <v>11</v>
      </c>
      <c r="E1747" s="27">
        <f t="shared" si="138"/>
        <v>4</v>
      </c>
      <c r="F1747" s="27">
        <f>VLOOKUP(E1747,[2]t_calendarioPolitica!A:C,3,FALSE)</f>
        <v>1</v>
      </c>
      <c r="G1747" s="1">
        <v>1</v>
      </c>
      <c r="H1747" s="1">
        <v>1</v>
      </c>
      <c r="I1747" s="1">
        <f t="shared" si="139"/>
        <v>1</v>
      </c>
    </row>
    <row r="1748" spans="1:9" x14ac:dyDescent="0.25">
      <c r="A1748" s="26">
        <v>47038</v>
      </c>
      <c r="B1748" s="27">
        <f t="shared" si="135"/>
        <v>2028</v>
      </c>
      <c r="C1748" s="27">
        <f t="shared" si="136"/>
        <v>10</v>
      </c>
      <c r="D1748" s="27">
        <f t="shared" si="137"/>
        <v>12</v>
      </c>
      <c r="E1748" s="27">
        <f t="shared" si="138"/>
        <v>5</v>
      </c>
      <c r="F1748" s="27">
        <f>VLOOKUP(E1748,[2]t_calendarioPolitica!A:C,3,FALSE)</f>
        <v>1</v>
      </c>
      <c r="G1748" s="1">
        <v>1</v>
      </c>
      <c r="H1748" s="1">
        <v>1</v>
      </c>
      <c r="I1748" s="1">
        <f t="shared" si="139"/>
        <v>1</v>
      </c>
    </row>
    <row r="1749" spans="1:9" x14ac:dyDescent="0.25">
      <c r="A1749" s="26">
        <v>47039</v>
      </c>
      <c r="B1749" s="27">
        <f t="shared" si="135"/>
        <v>2028</v>
      </c>
      <c r="C1749" s="27">
        <f t="shared" si="136"/>
        <v>10</v>
      </c>
      <c r="D1749" s="27">
        <f t="shared" si="137"/>
        <v>13</v>
      </c>
      <c r="E1749" s="27">
        <f t="shared" si="138"/>
        <v>6</v>
      </c>
      <c r="F1749" s="27">
        <f>VLOOKUP(E1749,[2]t_calendarioPolitica!A:C,3,FALSE)</f>
        <v>1</v>
      </c>
      <c r="G1749" s="1">
        <v>1</v>
      </c>
      <c r="H1749" s="1">
        <v>1</v>
      </c>
      <c r="I1749" s="1">
        <f t="shared" si="139"/>
        <v>1</v>
      </c>
    </row>
    <row r="1750" spans="1:9" x14ac:dyDescent="0.25">
      <c r="A1750" s="26">
        <v>47040</v>
      </c>
      <c r="B1750" s="27">
        <f t="shared" si="135"/>
        <v>2028</v>
      </c>
      <c r="C1750" s="27">
        <f t="shared" si="136"/>
        <v>10</v>
      </c>
      <c r="D1750" s="27">
        <f t="shared" si="137"/>
        <v>14</v>
      </c>
      <c r="E1750" s="27">
        <f t="shared" si="138"/>
        <v>7</v>
      </c>
      <c r="F1750" s="27">
        <f>VLOOKUP(E1750,[2]t_calendarioPolitica!A:C,3,FALSE)</f>
        <v>2</v>
      </c>
      <c r="G1750" s="1">
        <v>1</v>
      </c>
      <c r="H1750" s="1">
        <v>1</v>
      </c>
      <c r="I1750" s="1">
        <f t="shared" si="139"/>
        <v>1</v>
      </c>
    </row>
    <row r="1751" spans="1:9" x14ac:dyDescent="0.25">
      <c r="A1751" s="26">
        <v>47041</v>
      </c>
      <c r="B1751" s="27">
        <f t="shared" si="135"/>
        <v>2028</v>
      </c>
      <c r="C1751" s="27">
        <f t="shared" si="136"/>
        <v>10</v>
      </c>
      <c r="D1751" s="27">
        <f t="shared" si="137"/>
        <v>15</v>
      </c>
      <c r="E1751" s="27">
        <f t="shared" si="138"/>
        <v>1</v>
      </c>
      <c r="F1751" s="27">
        <f>VLOOKUP(E1751,[2]t_calendarioPolitica!A:C,3,FALSE)</f>
        <v>0</v>
      </c>
      <c r="G1751" s="1">
        <v>1</v>
      </c>
      <c r="H1751" s="1">
        <v>1</v>
      </c>
      <c r="I1751" s="1">
        <f t="shared" si="139"/>
        <v>0</v>
      </c>
    </row>
    <row r="1752" spans="1:9" x14ac:dyDescent="0.25">
      <c r="A1752" s="26">
        <v>47042</v>
      </c>
      <c r="B1752" s="27">
        <f t="shared" si="135"/>
        <v>2028</v>
      </c>
      <c r="C1752" s="27">
        <f t="shared" si="136"/>
        <v>10</v>
      </c>
      <c r="D1752" s="27">
        <f t="shared" si="137"/>
        <v>16</v>
      </c>
      <c r="E1752" s="27">
        <f t="shared" si="138"/>
        <v>2</v>
      </c>
      <c r="F1752" s="27">
        <f>VLOOKUP(E1752,[2]t_calendarioPolitica!A:C,3,FALSE)</f>
        <v>1</v>
      </c>
      <c r="G1752" s="1">
        <v>1</v>
      </c>
      <c r="H1752" s="1">
        <v>1</v>
      </c>
      <c r="I1752" s="1">
        <f t="shared" si="139"/>
        <v>1</v>
      </c>
    </row>
    <row r="1753" spans="1:9" x14ac:dyDescent="0.25">
      <c r="A1753" s="26">
        <v>47043</v>
      </c>
      <c r="B1753" s="27">
        <f t="shared" si="135"/>
        <v>2028</v>
      </c>
      <c r="C1753" s="27">
        <f t="shared" si="136"/>
        <v>10</v>
      </c>
      <c r="D1753" s="27">
        <f t="shared" si="137"/>
        <v>17</v>
      </c>
      <c r="E1753" s="27">
        <f t="shared" si="138"/>
        <v>3</v>
      </c>
      <c r="F1753" s="27">
        <f>VLOOKUP(E1753,[2]t_calendarioPolitica!A:C,3,FALSE)</f>
        <v>1</v>
      </c>
      <c r="G1753" s="1">
        <v>1</v>
      </c>
      <c r="H1753" s="1">
        <v>1</v>
      </c>
      <c r="I1753" s="1">
        <f t="shared" si="139"/>
        <v>1</v>
      </c>
    </row>
    <row r="1754" spans="1:9" x14ac:dyDescent="0.25">
      <c r="A1754" s="26">
        <v>47044</v>
      </c>
      <c r="B1754" s="27">
        <f t="shared" si="135"/>
        <v>2028</v>
      </c>
      <c r="C1754" s="27">
        <f t="shared" si="136"/>
        <v>10</v>
      </c>
      <c r="D1754" s="27">
        <f t="shared" si="137"/>
        <v>18</v>
      </c>
      <c r="E1754" s="27">
        <f t="shared" si="138"/>
        <v>4</v>
      </c>
      <c r="F1754" s="27">
        <f>VLOOKUP(E1754,[2]t_calendarioPolitica!A:C,3,FALSE)</f>
        <v>1</v>
      </c>
      <c r="G1754" s="1">
        <v>1</v>
      </c>
      <c r="H1754" s="1">
        <v>1</v>
      </c>
      <c r="I1754" s="1">
        <f t="shared" si="139"/>
        <v>1</v>
      </c>
    </row>
    <row r="1755" spans="1:9" x14ac:dyDescent="0.25">
      <c r="A1755" s="26">
        <v>47045</v>
      </c>
      <c r="B1755" s="27">
        <f t="shared" si="135"/>
        <v>2028</v>
      </c>
      <c r="C1755" s="27">
        <f t="shared" si="136"/>
        <v>10</v>
      </c>
      <c r="D1755" s="27">
        <f t="shared" si="137"/>
        <v>19</v>
      </c>
      <c r="E1755" s="27">
        <f t="shared" si="138"/>
        <v>5</v>
      </c>
      <c r="F1755" s="27">
        <f>VLOOKUP(E1755,[2]t_calendarioPolitica!A:C,3,FALSE)</f>
        <v>1</v>
      </c>
      <c r="G1755" s="1">
        <v>1</v>
      </c>
      <c r="H1755" s="1">
        <v>1</v>
      </c>
      <c r="I1755" s="1">
        <f t="shared" si="139"/>
        <v>1</v>
      </c>
    </row>
    <row r="1756" spans="1:9" x14ac:dyDescent="0.25">
      <c r="A1756" s="26">
        <v>47046</v>
      </c>
      <c r="B1756" s="27">
        <f t="shared" si="135"/>
        <v>2028</v>
      </c>
      <c r="C1756" s="27">
        <f t="shared" si="136"/>
        <v>10</v>
      </c>
      <c r="D1756" s="27">
        <f t="shared" si="137"/>
        <v>20</v>
      </c>
      <c r="E1756" s="27">
        <f t="shared" si="138"/>
        <v>6</v>
      </c>
      <c r="F1756" s="27">
        <f>VLOOKUP(E1756,[2]t_calendarioPolitica!A:C,3,FALSE)</f>
        <v>1</v>
      </c>
      <c r="G1756" s="1">
        <v>1</v>
      </c>
      <c r="H1756" s="1">
        <v>1</v>
      </c>
      <c r="I1756" s="1">
        <f t="shared" si="139"/>
        <v>1</v>
      </c>
    </row>
    <row r="1757" spans="1:9" x14ac:dyDescent="0.25">
      <c r="A1757" s="26">
        <v>47047</v>
      </c>
      <c r="B1757" s="27">
        <f t="shared" si="135"/>
        <v>2028</v>
      </c>
      <c r="C1757" s="27">
        <f t="shared" si="136"/>
        <v>10</v>
      </c>
      <c r="D1757" s="27">
        <f t="shared" si="137"/>
        <v>21</v>
      </c>
      <c r="E1757" s="27">
        <f t="shared" si="138"/>
        <v>7</v>
      </c>
      <c r="F1757" s="27">
        <f>VLOOKUP(E1757,[2]t_calendarioPolitica!A:C,3,FALSE)</f>
        <v>2</v>
      </c>
      <c r="G1757" s="1">
        <v>1</v>
      </c>
      <c r="H1757" s="1">
        <v>1</v>
      </c>
      <c r="I1757" s="1">
        <f t="shared" si="139"/>
        <v>1</v>
      </c>
    </row>
    <row r="1758" spans="1:9" x14ac:dyDescent="0.25">
      <c r="A1758" s="26">
        <v>47048</v>
      </c>
      <c r="B1758" s="27">
        <f t="shared" si="135"/>
        <v>2028</v>
      </c>
      <c r="C1758" s="27">
        <f t="shared" si="136"/>
        <v>10</v>
      </c>
      <c r="D1758" s="27">
        <f t="shared" si="137"/>
        <v>22</v>
      </c>
      <c r="E1758" s="27">
        <f t="shared" si="138"/>
        <v>1</v>
      </c>
      <c r="F1758" s="27">
        <f>VLOOKUP(E1758,[2]t_calendarioPolitica!A:C,3,FALSE)</f>
        <v>0</v>
      </c>
      <c r="G1758" s="1">
        <v>1</v>
      </c>
      <c r="H1758" s="1">
        <v>1</v>
      </c>
      <c r="I1758" s="1">
        <f t="shared" si="139"/>
        <v>0</v>
      </c>
    </row>
    <row r="1759" spans="1:9" x14ac:dyDescent="0.25">
      <c r="A1759" s="26">
        <v>47049</v>
      </c>
      <c r="B1759" s="27">
        <f t="shared" si="135"/>
        <v>2028</v>
      </c>
      <c r="C1759" s="27">
        <f t="shared" si="136"/>
        <v>10</v>
      </c>
      <c r="D1759" s="27">
        <f t="shared" si="137"/>
        <v>23</v>
      </c>
      <c r="E1759" s="27">
        <f t="shared" si="138"/>
        <v>2</v>
      </c>
      <c r="F1759" s="27">
        <f>VLOOKUP(E1759,[2]t_calendarioPolitica!A:C,3,FALSE)</f>
        <v>1</v>
      </c>
      <c r="G1759" s="1">
        <v>1</v>
      </c>
      <c r="H1759" s="1">
        <v>1</v>
      </c>
      <c r="I1759" s="1">
        <f t="shared" si="139"/>
        <v>1</v>
      </c>
    </row>
    <row r="1760" spans="1:9" x14ac:dyDescent="0.25">
      <c r="A1760" s="26">
        <v>47050</v>
      </c>
      <c r="B1760" s="27">
        <f t="shared" si="135"/>
        <v>2028</v>
      </c>
      <c r="C1760" s="27">
        <f t="shared" si="136"/>
        <v>10</v>
      </c>
      <c r="D1760" s="27">
        <f t="shared" si="137"/>
        <v>24</v>
      </c>
      <c r="E1760" s="27">
        <f t="shared" si="138"/>
        <v>3</v>
      </c>
      <c r="F1760" s="27">
        <f>VLOOKUP(E1760,[2]t_calendarioPolitica!A:C,3,FALSE)</f>
        <v>1</v>
      </c>
      <c r="G1760" s="1">
        <v>1</v>
      </c>
      <c r="H1760" s="1">
        <v>1</v>
      </c>
      <c r="I1760" s="1">
        <f t="shared" si="139"/>
        <v>1</v>
      </c>
    </row>
    <row r="1761" spans="1:9" x14ac:dyDescent="0.25">
      <c r="A1761" s="26">
        <v>47051</v>
      </c>
      <c r="B1761" s="27">
        <f t="shared" si="135"/>
        <v>2028</v>
      </c>
      <c r="C1761" s="27">
        <f t="shared" si="136"/>
        <v>10</v>
      </c>
      <c r="D1761" s="27">
        <f t="shared" si="137"/>
        <v>25</v>
      </c>
      <c r="E1761" s="27">
        <f t="shared" si="138"/>
        <v>4</v>
      </c>
      <c r="F1761" s="27">
        <f>VLOOKUP(E1761,[2]t_calendarioPolitica!A:C,3,FALSE)</f>
        <v>1</v>
      </c>
      <c r="G1761" s="1">
        <v>1</v>
      </c>
      <c r="H1761" s="1">
        <v>1</v>
      </c>
      <c r="I1761" s="1">
        <f t="shared" si="139"/>
        <v>1</v>
      </c>
    </row>
    <row r="1762" spans="1:9" x14ac:dyDescent="0.25">
      <c r="A1762" s="26">
        <v>47052</v>
      </c>
      <c r="B1762" s="27">
        <f t="shared" si="135"/>
        <v>2028</v>
      </c>
      <c r="C1762" s="27">
        <f t="shared" si="136"/>
        <v>10</v>
      </c>
      <c r="D1762" s="27">
        <f t="shared" si="137"/>
        <v>26</v>
      </c>
      <c r="E1762" s="27">
        <f t="shared" si="138"/>
        <v>5</v>
      </c>
      <c r="F1762" s="27">
        <f>VLOOKUP(E1762,[2]t_calendarioPolitica!A:C,3,FALSE)</f>
        <v>1</v>
      </c>
      <c r="G1762" s="1">
        <v>1</v>
      </c>
      <c r="H1762" s="1">
        <v>1</v>
      </c>
      <c r="I1762" s="1">
        <f t="shared" si="139"/>
        <v>1</v>
      </c>
    </row>
    <row r="1763" spans="1:9" x14ac:dyDescent="0.25">
      <c r="A1763" s="26">
        <v>47053</v>
      </c>
      <c r="B1763" s="27">
        <f t="shared" si="135"/>
        <v>2028</v>
      </c>
      <c r="C1763" s="27">
        <f t="shared" si="136"/>
        <v>10</v>
      </c>
      <c r="D1763" s="27">
        <f t="shared" si="137"/>
        <v>27</v>
      </c>
      <c r="E1763" s="27">
        <f t="shared" si="138"/>
        <v>6</v>
      </c>
      <c r="F1763" s="27">
        <f>VLOOKUP(E1763,[2]t_calendarioPolitica!A:C,3,FALSE)</f>
        <v>1</v>
      </c>
      <c r="G1763" s="1">
        <v>1</v>
      </c>
      <c r="H1763" s="1">
        <v>1</v>
      </c>
      <c r="I1763" s="1">
        <f t="shared" si="139"/>
        <v>1</v>
      </c>
    </row>
    <row r="1764" spans="1:9" x14ac:dyDescent="0.25">
      <c r="A1764" s="26">
        <v>47054</v>
      </c>
      <c r="B1764" s="27">
        <f t="shared" si="135"/>
        <v>2028</v>
      </c>
      <c r="C1764" s="27">
        <f t="shared" si="136"/>
        <v>10</v>
      </c>
      <c r="D1764" s="27">
        <f t="shared" si="137"/>
        <v>28</v>
      </c>
      <c r="E1764" s="27">
        <f t="shared" si="138"/>
        <v>7</v>
      </c>
      <c r="F1764" s="27">
        <f>VLOOKUP(E1764,[2]t_calendarioPolitica!A:C,3,FALSE)</f>
        <v>2</v>
      </c>
      <c r="G1764" s="1">
        <v>1</v>
      </c>
      <c r="H1764" s="1">
        <v>1</v>
      </c>
      <c r="I1764" s="1">
        <f t="shared" si="139"/>
        <v>1</v>
      </c>
    </row>
    <row r="1765" spans="1:9" x14ac:dyDescent="0.25">
      <c r="A1765" s="26">
        <v>47055</v>
      </c>
      <c r="B1765" s="27">
        <f t="shared" si="135"/>
        <v>2028</v>
      </c>
      <c r="C1765" s="27">
        <f t="shared" si="136"/>
        <v>10</v>
      </c>
      <c r="D1765" s="27">
        <f t="shared" si="137"/>
        <v>29</v>
      </c>
      <c r="E1765" s="27">
        <f t="shared" si="138"/>
        <v>1</v>
      </c>
      <c r="F1765" s="27">
        <f>VLOOKUP(E1765,[2]t_calendarioPolitica!A:C,3,FALSE)</f>
        <v>0</v>
      </c>
      <c r="G1765" s="1">
        <v>1</v>
      </c>
      <c r="H1765" s="1">
        <v>1</v>
      </c>
      <c r="I1765" s="1">
        <f t="shared" si="139"/>
        <v>0</v>
      </c>
    </row>
    <row r="1766" spans="1:9" x14ac:dyDescent="0.25">
      <c r="A1766" s="26">
        <v>47056</v>
      </c>
      <c r="B1766" s="27">
        <f t="shared" si="135"/>
        <v>2028</v>
      </c>
      <c r="C1766" s="27">
        <f t="shared" si="136"/>
        <v>10</v>
      </c>
      <c r="D1766" s="27">
        <f t="shared" si="137"/>
        <v>30</v>
      </c>
      <c r="E1766" s="27">
        <f t="shared" si="138"/>
        <v>2</v>
      </c>
      <c r="F1766" s="27">
        <f>VLOOKUP(E1766,[2]t_calendarioPolitica!A:C,3,FALSE)</f>
        <v>1</v>
      </c>
      <c r="G1766" s="1">
        <v>1</v>
      </c>
      <c r="H1766" s="1">
        <v>1</v>
      </c>
      <c r="I1766" s="1">
        <f t="shared" si="139"/>
        <v>1</v>
      </c>
    </row>
    <row r="1767" spans="1:9" x14ac:dyDescent="0.25">
      <c r="A1767" s="26">
        <v>47057</v>
      </c>
      <c r="B1767" s="27">
        <f t="shared" si="135"/>
        <v>2028</v>
      </c>
      <c r="C1767" s="27">
        <f t="shared" si="136"/>
        <v>10</v>
      </c>
      <c r="D1767" s="27">
        <f t="shared" si="137"/>
        <v>31</v>
      </c>
      <c r="E1767" s="27">
        <f t="shared" si="138"/>
        <v>3</v>
      </c>
      <c r="F1767" s="27">
        <f>VLOOKUP(E1767,[2]t_calendarioPolitica!A:C,3,FALSE)</f>
        <v>1</v>
      </c>
      <c r="G1767" s="1">
        <v>1</v>
      </c>
      <c r="H1767" s="1">
        <v>1</v>
      </c>
      <c r="I1767" s="1">
        <f t="shared" si="139"/>
        <v>1</v>
      </c>
    </row>
    <row r="1768" spans="1:9" x14ac:dyDescent="0.25">
      <c r="A1768" s="26">
        <v>47058</v>
      </c>
      <c r="B1768" s="27">
        <f t="shared" si="135"/>
        <v>2028</v>
      </c>
      <c r="C1768" s="27">
        <f t="shared" si="136"/>
        <v>11</v>
      </c>
      <c r="D1768" s="27">
        <f t="shared" si="137"/>
        <v>1</v>
      </c>
      <c r="E1768" s="27">
        <f t="shared" si="138"/>
        <v>4</v>
      </c>
      <c r="F1768" s="27">
        <f>VLOOKUP(E1768,[2]t_calendarioPolitica!A:C,3,FALSE)</f>
        <v>1</v>
      </c>
      <c r="G1768" s="1">
        <v>1</v>
      </c>
      <c r="H1768" s="1">
        <v>1</v>
      </c>
      <c r="I1768" s="1">
        <f t="shared" si="139"/>
        <v>1</v>
      </c>
    </row>
    <row r="1769" spans="1:9" x14ac:dyDescent="0.25">
      <c r="A1769" s="26">
        <v>47059</v>
      </c>
      <c r="B1769" s="27">
        <f t="shared" si="135"/>
        <v>2028</v>
      </c>
      <c r="C1769" s="27">
        <f t="shared" si="136"/>
        <v>11</v>
      </c>
      <c r="D1769" s="27">
        <f t="shared" si="137"/>
        <v>2</v>
      </c>
      <c r="E1769" s="27">
        <f t="shared" si="138"/>
        <v>5</v>
      </c>
      <c r="F1769" s="27">
        <f>VLOOKUP(E1769,[2]t_calendarioPolitica!A:C,3,FALSE)</f>
        <v>1</v>
      </c>
      <c r="G1769" s="1">
        <v>1</v>
      </c>
      <c r="H1769" s="1">
        <v>0</v>
      </c>
      <c r="I1769" s="1">
        <f t="shared" si="139"/>
        <v>0</v>
      </c>
    </row>
    <row r="1770" spans="1:9" x14ac:dyDescent="0.25">
      <c r="A1770" s="26">
        <v>47060</v>
      </c>
      <c r="B1770" s="27">
        <f t="shared" si="135"/>
        <v>2028</v>
      </c>
      <c r="C1770" s="27">
        <f t="shared" si="136"/>
        <v>11</v>
      </c>
      <c r="D1770" s="27">
        <f t="shared" si="137"/>
        <v>3</v>
      </c>
      <c r="E1770" s="27">
        <f t="shared" si="138"/>
        <v>6</v>
      </c>
      <c r="F1770" s="27">
        <f>VLOOKUP(E1770,[2]t_calendarioPolitica!A:C,3,FALSE)</f>
        <v>1</v>
      </c>
      <c r="G1770" s="1">
        <v>1</v>
      </c>
      <c r="H1770" s="1">
        <v>1</v>
      </c>
      <c r="I1770" s="1">
        <f t="shared" si="139"/>
        <v>1</v>
      </c>
    </row>
    <row r="1771" spans="1:9" x14ac:dyDescent="0.25">
      <c r="A1771" s="26">
        <v>47061</v>
      </c>
      <c r="B1771" s="27">
        <f t="shared" si="135"/>
        <v>2028</v>
      </c>
      <c r="C1771" s="27">
        <f t="shared" si="136"/>
        <v>11</v>
      </c>
      <c r="D1771" s="27">
        <f t="shared" si="137"/>
        <v>4</v>
      </c>
      <c r="E1771" s="27">
        <f t="shared" si="138"/>
        <v>7</v>
      </c>
      <c r="F1771" s="27">
        <f>VLOOKUP(E1771,[2]t_calendarioPolitica!A:C,3,FALSE)</f>
        <v>2</v>
      </c>
      <c r="G1771" s="1">
        <v>1</v>
      </c>
      <c r="H1771" s="1">
        <v>1</v>
      </c>
      <c r="I1771" s="1">
        <f t="shared" si="139"/>
        <v>1</v>
      </c>
    </row>
    <row r="1772" spans="1:9" x14ac:dyDescent="0.25">
      <c r="A1772" s="26">
        <v>47062</v>
      </c>
      <c r="B1772" s="27">
        <f t="shared" si="135"/>
        <v>2028</v>
      </c>
      <c r="C1772" s="27">
        <f t="shared" si="136"/>
        <v>11</v>
      </c>
      <c r="D1772" s="27">
        <f t="shared" si="137"/>
        <v>5</v>
      </c>
      <c r="E1772" s="27">
        <f t="shared" si="138"/>
        <v>1</v>
      </c>
      <c r="F1772" s="27">
        <f>VLOOKUP(E1772,[2]t_calendarioPolitica!A:C,3,FALSE)</f>
        <v>0</v>
      </c>
      <c r="G1772" s="1">
        <v>1</v>
      </c>
      <c r="H1772" s="1">
        <v>1</v>
      </c>
      <c r="I1772" s="1">
        <f t="shared" si="139"/>
        <v>0</v>
      </c>
    </row>
    <row r="1773" spans="1:9" x14ac:dyDescent="0.25">
      <c r="A1773" s="26">
        <v>47063</v>
      </c>
      <c r="B1773" s="27">
        <f t="shared" si="135"/>
        <v>2028</v>
      </c>
      <c r="C1773" s="27">
        <f t="shared" si="136"/>
        <v>11</v>
      </c>
      <c r="D1773" s="27">
        <f t="shared" si="137"/>
        <v>6</v>
      </c>
      <c r="E1773" s="27">
        <f t="shared" si="138"/>
        <v>2</v>
      </c>
      <c r="F1773" s="27">
        <f>VLOOKUP(E1773,[2]t_calendarioPolitica!A:C,3,FALSE)</f>
        <v>1</v>
      </c>
      <c r="G1773" s="1">
        <v>1</v>
      </c>
      <c r="H1773" s="1">
        <v>1</v>
      </c>
      <c r="I1773" s="1">
        <f t="shared" si="139"/>
        <v>1</v>
      </c>
    </row>
    <row r="1774" spans="1:9" x14ac:dyDescent="0.25">
      <c r="A1774" s="26">
        <v>47064</v>
      </c>
      <c r="B1774" s="27">
        <f t="shared" si="135"/>
        <v>2028</v>
      </c>
      <c r="C1774" s="27">
        <f t="shared" si="136"/>
        <v>11</v>
      </c>
      <c r="D1774" s="27">
        <f t="shared" si="137"/>
        <v>7</v>
      </c>
      <c r="E1774" s="27">
        <f t="shared" si="138"/>
        <v>3</v>
      </c>
      <c r="F1774" s="27">
        <f>VLOOKUP(E1774,[2]t_calendarioPolitica!A:C,3,FALSE)</f>
        <v>1</v>
      </c>
      <c r="G1774" s="1">
        <v>1</v>
      </c>
      <c r="H1774" s="1">
        <v>1</v>
      </c>
      <c r="I1774" s="1">
        <f t="shared" si="139"/>
        <v>1</v>
      </c>
    </row>
    <row r="1775" spans="1:9" x14ac:dyDescent="0.25">
      <c r="A1775" s="26">
        <v>47065</v>
      </c>
      <c r="B1775" s="27">
        <f t="shared" si="135"/>
        <v>2028</v>
      </c>
      <c r="C1775" s="27">
        <f t="shared" si="136"/>
        <v>11</v>
      </c>
      <c r="D1775" s="27">
        <f t="shared" si="137"/>
        <v>8</v>
      </c>
      <c r="E1775" s="27">
        <f t="shared" si="138"/>
        <v>4</v>
      </c>
      <c r="F1775" s="27">
        <f>VLOOKUP(E1775,[2]t_calendarioPolitica!A:C,3,FALSE)</f>
        <v>1</v>
      </c>
      <c r="G1775" s="1">
        <v>1</v>
      </c>
      <c r="H1775" s="1">
        <v>1</v>
      </c>
      <c r="I1775" s="1">
        <f t="shared" si="139"/>
        <v>1</v>
      </c>
    </row>
    <row r="1776" spans="1:9" x14ac:dyDescent="0.25">
      <c r="A1776" s="26">
        <v>47066</v>
      </c>
      <c r="B1776" s="27">
        <f t="shared" si="135"/>
        <v>2028</v>
      </c>
      <c r="C1776" s="27">
        <f t="shared" si="136"/>
        <v>11</v>
      </c>
      <c r="D1776" s="27">
        <f t="shared" si="137"/>
        <v>9</v>
      </c>
      <c r="E1776" s="27">
        <f t="shared" si="138"/>
        <v>5</v>
      </c>
      <c r="F1776" s="27">
        <f>VLOOKUP(E1776,[2]t_calendarioPolitica!A:C,3,FALSE)</f>
        <v>1</v>
      </c>
      <c r="G1776" s="1">
        <v>1</v>
      </c>
      <c r="H1776" s="1">
        <v>1</v>
      </c>
      <c r="I1776" s="1">
        <f t="shared" si="139"/>
        <v>1</v>
      </c>
    </row>
    <row r="1777" spans="1:9" x14ac:dyDescent="0.25">
      <c r="A1777" s="26">
        <v>47067</v>
      </c>
      <c r="B1777" s="27">
        <f t="shared" si="135"/>
        <v>2028</v>
      </c>
      <c r="C1777" s="27">
        <f t="shared" si="136"/>
        <v>11</v>
      </c>
      <c r="D1777" s="27">
        <f t="shared" si="137"/>
        <v>10</v>
      </c>
      <c r="E1777" s="27">
        <f t="shared" si="138"/>
        <v>6</v>
      </c>
      <c r="F1777" s="27">
        <f>VLOOKUP(E1777,[2]t_calendarioPolitica!A:C,3,FALSE)</f>
        <v>1</v>
      </c>
      <c r="G1777" s="1">
        <v>1</v>
      </c>
      <c r="H1777" s="1">
        <v>1</v>
      </c>
      <c r="I1777" s="1">
        <f t="shared" si="139"/>
        <v>1</v>
      </c>
    </row>
    <row r="1778" spans="1:9" x14ac:dyDescent="0.25">
      <c r="A1778" s="26">
        <v>47068</v>
      </c>
      <c r="B1778" s="27">
        <f t="shared" si="135"/>
        <v>2028</v>
      </c>
      <c r="C1778" s="27">
        <f t="shared" si="136"/>
        <v>11</v>
      </c>
      <c r="D1778" s="27">
        <f t="shared" si="137"/>
        <v>11</v>
      </c>
      <c r="E1778" s="27">
        <f t="shared" si="138"/>
        <v>7</v>
      </c>
      <c r="F1778" s="27">
        <f>VLOOKUP(E1778,[2]t_calendarioPolitica!A:C,3,FALSE)</f>
        <v>2</v>
      </c>
      <c r="G1778" s="1">
        <v>1</v>
      </c>
      <c r="H1778" s="1">
        <v>1</v>
      </c>
      <c r="I1778" s="1">
        <f t="shared" si="139"/>
        <v>1</v>
      </c>
    </row>
    <row r="1779" spans="1:9" x14ac:dyDescent="0.25">
      <c r="A1779" s="26">
        <v>47069</v>
      </c>
      <c r="B1779" s="27">
        <f t="shared" si="135"/>
        <v>2028</v>
      </c>
      <c r="C1779" s="27">
        <f t="shared" si="136"/>
        <v>11</v>
      </c>
      <c r="D1779" s="27">
        <f t="shared" si="137"/>
        <v>12</v>
      </c>
      <c r="E1779" s="27">
        <f t="shared" si="138"/>
        <v>1</v>
      </c>
      <c r="F1779" s="27">
        <f>VLOOKUP(E1779,[2]t_calendarioPolitica!A:C,3,FALSE)</f>
        <v>0</v>
      </c>
      <c r="G1779" s="1">
        <v>1</v>
      </c>
      <c r="H1779" s="1">
        <v>1</v>
      </c>
      <c r="I1779" s="1">
        <f t="shared" si="139"/>
        <v>0</v>
      </c>
    </row>
    <row r="1780" spans="1:9" x14ac:dyDescent="0.25">
      <c r="A1780" s="26">
        <v>47070</v>
      </c>
      <c r="B1780" s="27">
        <f t="shared" si="135"/>
        <v>2028</v>
      </c>
      <c r="C1780" s="27">
        <f t="shared" si="136"/>
        <v>11</v>
      </c>
      <c r="D1780" s="27">
        <f t="shared" si="137"/>
        <v>13</v>
      </c>
      <c r="E1780" s="27">
        <f t="shared" si="138"/>
        <v>2</v>
      </c>
      <c r="F1780" s="27">
        <f>VLOOKUP(E1780,[2]t_calendarioPolitica!A:C,3,FALSE)</f>
        <v>1</v>
      </c>
      <c r="G1780" s="1">
        <v>1</v>
      </c>
      <c r="H1780" s="1">
        <v>1</v>
      </c>
      <c r="I1780" s="1">
        <f t="shared" si="139"/>
        <v>1</v>
      </c>
    </row>
    <row r="1781" spans="1:9" x14ac:dyDescent="0.25">
      <c r="A1781" s="26">
        <v>47071</v>
      </c>
      <c r="B1781" s="27">
        <f t="shared" si="135"/>
        <v>2028</v>
      </c>
      <c r="C1781" s="27">
        <f t="shared" si="136"/>
        <v>11</v>
      </c>
      <c r="D1781" s="27">
        <f t="shared" si="137"/>
        <v>14</v>
      </c>
      <c r="E1781" s="27">
        <f t="shared" si="138"/>
        <v>3</v>
      </c>
      <c r="F1781" s="27">
        <f>VLOOKUP(E1781,[2]t_calendarioPolitica!A:C,3,FALSE)</f>
        <v>1</v>
      </c>
      <c r="G1781" s="1">
        <v>1</v>
      </c>
      <c r="H1781" s="1">
        <v>1</v>
      </c>
      <c r="I1781" s="1">
        <f t="shared" si="139"/>
        <v>1</v>
      </c>
    </row>
    <row r="1782" spans="1:9" x14ac:dyDescent="0.25">
      <c r="A1782" s="26">
        <v>47072</v>
      </c>
      <c r="B1782" s="27">
        <f t="shared" si="135"/>
        <v>2028</v>
      </c>
      <c r="C1782" s="27">
        <f t="shared" si="136"/>
        <v>11</v>
      </c>
      <c r="D1782" s="27">
        <f t="shared" si="137"/>
        <v>15</v>
      </c>
      <c r="E1782" s="27">
        <f t="shared" si="138"/>
        <v>4</v>
      </c>
      <c r="F1782" s="27">
        <f>VLOOKUP(E1782,[2]t_calendarioPolitica!A:C,3,FALSE)</f>
        <v>1</v>
      </c>
      <c r="G1782" s="1">
        <v>1</v>
      </c>
      <c r="H1782" s="1">
        <v>1</v>
      </c>
      <c r="I1782" s="1">
        <f t="shared" si="139"/>
        <v>1</v>
      </c>
    </row>
    <row r="1783" spans="1:9" x14ac:dyDescent="0.25">
      <c r="A1783" s="26">
        <v>47073</v>
      </c>
      <c r="B1783" s="27">
        <f t="shared" si="135"/>
        <v>2028</v>
      </c>
      <c r="C1783" s="27">
        <f t="shared" si="136"/>
        <v>11</v>
      </c>
      <c r="D1783" s="27">
        <f t="shared" si="137"/>
        <v>16</v>
      </c>
      <c r="E1783" s="27">
        <f t="shared" si="138"/>
        <v>5</v>
      </c>
      <c r="F1783" s="27">
        <f>VLOOKUP(E1783,[2]t_calendarioPolitica!A:C,3,FALSE)</f>
        <v>1</v>
      </c>
      <c r="G1783" s="1">
        <v>1</v>
      </c>
      <c r="H1783" s="1">
        <v>1</v>
      </c>
      <c r="I1783" s="1">
        <f t="shared" si="139"/>
        <v>1</v>
      </c>
    </row>
    <row r="1784" spans="1:9" x14ac:dyDescent="0.25">
      <c r="A1784" s="26">
        <v>47074</v>
      </c>
      <c r="B1784" s="27">
        <f t="shared" si="135"/>
        <v>2028</v>
      </c>
      <c r="C1784" s="27">
        <f t="shared" si="136"/>
        <v>11</v>
      </c>
      <c r="D1784" s="27">
        <f t="shared" si="137"/>
        <v>17</v>
      </c>
      <c r="E1784" s="27">
        <f t="shared" si="138"/>
        <v>6</v>
      </c>
      <c r="F1784" s="27">
        <f>VLOOKUP(E1784,[2]t_calendarioPolitica!A:C,3,FALSE)</f>
        <v>1</v>
      </c>
      <c r="G1784" s="1">
        <v>1</v>
      </c>
      <c r="H1784" s="1">
        <v>1</v>
      </c>
      <c r="I1784" s="1">
        <f t="shared" si="139"/>
        <v>1</v>
      </c>
    </row>
    <row r="1785" spans="1:9" x14ac:dyDescent="0.25">
      <c r="A1785" s="26">
        <v>47075</v>
      </c>
      <c r="B1785" s="27">
        <f t="shared" si="135"/>
        <v>2028</v>
      </c>
      <c r="C1785" s="27">
        <f t="shared" si="136"/>
        <v>11</v>
      </c>
      <c r="D1785" s="27">
        <f t="shared" si="137"/>
        <v>18</v>
      </c>
      <c r="E1785" s="27">
        <f t="shared" si="138"/>
        <v>7</v>
      </c>
      <c r="F1785" s="27">
        <f>VLOOKUP(E1785,[2]t_calendarioPolitica!A:C,3,FALSE)</f>
        <v>2</v>
      </c>
      <c r="G1785" s="1">
        <v>1</v>
      </c>
      <c r="H1785" s="1">
        <v>1</v>
      </c>
      <c r="I1785" s="1">
        <f t="shared" si="139"/>
        <v>1</v>
      </c>
    </row>
    <row r="1786" spans="1:9" x14ac:dyDescent="0.25">
      <c r="A1786" s="26">
        <v>47076</v>
      </c>
      <c r="B1786" s="27">
        <f t="shared" si="135"/>
        <v>2028</v>
      </c>
      <c r="C1786" s="27">
        <f t="shared" si="136"/>
        <v>11</v>
      </c>
      <c r="D1786" s="27">
        <f t="shared" si="137"/>
        <v>19</v>
      </c>
      <c r="E1786" s="27">
        <f t="shared" si="138"/>
        <v>1</v>
      </c>
      <c r="F1786" s="27">
        <f>VLOOKUP(E1786,[2]t_calendarioPolitica!A:C,3,FALSE)</f>
        <v>0</v>
      </c>
      <c r="G1786" s="1">
        <v>1</v>
      </c>
      <c r="H1786" s="1">
        <v>1</v>
      </c>
      <c r="I1786" s="1">
        <f t="shared" si="139"/>
        <v>0</v>
      </c>
    </row>
    <row r="1787" spans="1:9" x14ac:dyDescent="0.25">
      <c r="A1787" s="26">
        <v>47077</v>
      </c>
      <c r="B1787" s="27">
        <f t="shared" si="135"/>
        <v>2028</v>
      </c>
      <c r="C1787" s="27">
        <f t="shared" si="136"/>
        <v>11</v>
      </c>
      <c r="D1787" s="27">
        <f t="shared" si="137"/>
        <v>20</v>
      </c>
      <c r="E1787" s="27">
        <f t="shared" si="138"/>
        <v>2</v>
      </c>
      <c r="F1787" s="27">
        <f>VLOOKUP(E1787,[2]t_calendarioPolitica!A:C,3,FALSE)</f>
        <v>1</v>
      </c>
      <c r="G1787" s="1">
        <v>1</v>
      </c>
      <c r="H1787" s="1">
        <v>1</v>
      </c>
      <c r="I1787" s="1">
        <f t="shared" si="139"/>
        <v>1</v>
      </c>
    </row>
    <row r="1788" spans="1:9" x14ac:dyDescent="0.25">
      <c r="A1788" s="26">
        <v>47078</v>
      </c>
      <c r="B1788" s="27">
        <f t="shared" si="135"/>
        <v>2028</v>
      </c>
      <c r="C1788" s="27">
        <f t="shared" si="136"/>
        <v>11</v>
      </c>
      <c r="D1788" s="27">
        <f t="shared" si="137"/>
        <v>21</v>
      </c>
      <c r="E1788" s="27">
        <f t="shared" si="138"/>
        <v>3</v>
      </c>
      <c r="F1788" s="27">
        <f>VLOOKUP(E1788,[2]t_calendarioPolitica!A:C,3,FALSE)</f>
        <v>1</v>
      </c>
      <c r="G1788" s="1">
        <v>1</v>
      </c>
      <c r="H1788" s="1">
        <v>1</v>
      </c>
      <c r="I1788" s="1">
        <f t="shared" si="139"/>
        <v>1</v>
      </c>
    </row>
    <row r="1789" spans="1:9" x14ac:dyDescent="0.25">
      <c r="A1789" s="26">
        <v>47079</v>
      </c>
      <c r="B1789" s="27">
        <f t="shared" si="135"/>
        <v>2028</v>
      </c>
      <c r="C1789" s="27">
        <f t="shared" si="136"/>
        <v>11</v>
      </c>
      <c r="D1789" s="27">
        <f t="shared" si="137"/>
        <v>22</v>
      </c>
      <c r="E1789" s="27">
        <f t="shared" si="138"/>
        <v>4</v>
      </c>
      <c r="F1789" s="27">
        <f>VLOOKUP(E1789,[2]t_calendarioPolitica!A:C,3,FALSE)</f>
        <v>1</v>
      </c>
      <c r="G1789" s="1">
        <v>1</v>
      </c>
      <c r="H1789" s="1">
        <v>1</v>
      </c>
      <c r="I1789" s="1">
        <f t="shared" si="139"/>
        <v>1</v>
      </c>
    </row>
    <row r="1790" spans="1:9" x14ac:dyDescent="0.25">
      <c r="A1790" s="26">
        <v>47080</v>
      </c>
      <c r="B1790" s="27">
        <f t="shared" si="135"/>
        <v>2028</v>
      </c>
      <c r="C1790" s="27">
        <f t="shared" si="136"/>
        <v>11</v>
      </c>
      <c r="D1790" s="27">
        <f t="shared" si="137"/>
        <v>23</v>
      </c>
      <c r="E1790" s="27">
        <f t="shared" si="138"/>
        <v>5</v>
      </c>
      <c r="F1790" s="27">
        <f>VLOOKUP(E1790,[2]t_calendarioPolitica!A:C,3,FALSE)</f>
        <v>1</v>
      </c>
      <c r="G1790" s="1">
        <v>1</v>
      </c>
      <c r="H1790" s="1">
        <v>1</v>
      </c>
      <c r="I1790" s="1">
        <f t="shared" si="139"/>
        <v>1</v>
      </c>
    </row>
    <row r="1791" spans="1:9" x14ac:dyDescent="0.25">
      <c r="A1791" s="26">
        <v>47081</v>
      </c>
      <c r="B1791" s="27">
        <f t="shared" si="135"/>
        <v>2028</v>
      </c>
      <c r="C1791" s="27">
        <f t="shared" si="136"/>
        <v>11</v>
      </c>
      <c r="D1791" s="27">
        <f t="shared" si="137"/>
        <v>24</v>
      </c>
      <c r="E1791" s="27">
        <f t="shared" si="138"/>
        <v>6</v>
      </c>
      <c r="F1791" s="27">
        <f>VLOOKUP(E1791,[2]t_calendarioPolitica!A:C,3,FALSE)</f>
        <v>1</v>
      </c>
      <c r="G1791" s="1">
        <v>1</v>
      </c>
      <c r="H1791" s="1">
        <v>1</v>
      </c>
      <c r="I1791" s="1">
        <f t="shared" si="139"/>
        <v>1</v>
      </c>
    </row>
    <row r="1792" spans="1:9" x14ac:dyDescent="0.25">
      <c r="A1792" s="26">
        <v>47082</v>
      </c>
      <c r="B1792" s="27">
        <f t="shared" si="135"/>
        <v>2028</v>
      </c>
      <c r="C1792" s="27">
        <f t="shared" si="136"/>
        <v>11</v>
      </c>
      <c r="D1792" s="27">
        <f t="shared" si="137"/>
        <v>25</v>
      </c>
      <c r="E1792" s="27">
        <f t="shared" si="138"/>
        <v>7</v>
      </c>
      <c r="F1792" s="27">
        <f>VLOOKUP(E1792,[2]t_calendarioPolitica!A:C,3,FALSE)</f>
        <v>2</v>
      </c>
      <c r="G1792" s="1">
        <v>1</v>
      </c>
      <c r="H1792" s="1">
        <v>1</v>
      </c>
      <c r="I1792" s="1">
        <f t="shared" si="139"/>
        <v>1</v>
      </c>
    </row>
    <row r="1793" spans="1:9" x14ac:dyDescent="0.25">
      <c r="A1793" s="26">
        <v>47083</v>
      </c>
      <c r="B1793" s="27">
        <f t="shared" si="135"/>
        <v>2028</v>
      </c>
      <c r="C1793" s="27">
        <f t="shared" si="136"/>
        <v>11</v>
      </c>
      <c r="D1793" s="27">
        <f t="shared" si="137"/>
        <v>26</v>
      </c>
      <c r="E1793" s="27">
        <f t="shared" si="138"/>
        <v>1</v>
      </c>
      <c r="F1793" s="27">
        <f>VLOOKUP(E1793,[2]t_calendarioPolitica!A:C,3,FALSE)</f>
        <v>0</v>
      </c>
      <c r="G1793" s="1">
        <v>1</v>
      </c>
      <c r="H1793" s="1">
        <v>1</v>
      </c>
      <c r="I1793" s="1">
        <f t="shared" si="139"/>
        <v>0</v>
      </c>
    </row>
    <row r="1794" spans="1:9" x14ac:dyDescent="0.25">
      <c r="A1794" s="26">
        <v>47084</v>
      </c>
      <c r="B1794" s="27">
        <f t="shared" si="135"/>
        <v>2028</v>
      </c>
      <c r="C1794" s="27">
        <f t="shared" si="136"/>
        <v>11</v>
      </c>
      <c r="D1794" s="27">
        <f t="shared" si="137"/>
        <v>27</v>
      </c>
      <c r="E1794" s="27">
        <f t="shared" si="138"/>
        <v>2</v>
      </c>
      <c r="F1794" s="27">
        <f>VLOOKUP(E1794,[2]t_calendarioPolitica!A:C,3,FALSE)</f>
        <v>1</v>
      </c>
      <c r="G1794" s="1">
        <v>1</v>
      </c>
      <c r="H1794" s="1">
        <v>1</v>
      </c>
      <c r="I1794" s="1">
        <f t="shared" si="139"/>
        <v>1</v>
      </c>
    </row>
    <row r="1795" spans="1:9" x14ac:dyDescent="0.25">
      <c r="A1795" s="26">
        <v>47085</v>
      </c>
      <c r="B1795" s="27">
        <f t="shared" ref="B1795:B1858" si="140">YEAR(A1795)</f>
        <v>2028</v>
      </c>
      <c r="C1795" s="27">
        <f t="shared" ref="C1795:C1858" si="141">MONTH(A1795)</f>
        <v>11</v>
      </c>
      <c r="D1795" s="27">
        <f t="shared" ref="D1795:D1858" si="142">DAY(A1795)</f>
        <v>28</v>
      </c>
      <c r="E1795" s="27">
        <f t="shared" ref="E1795:E1858" si="143">WEEKDAY(A1795)</f>
        <v>3</v>
      </c>
      <c r="F1795" s="27">
        <f>VLOOKUP(E1795,[2]t_calendarioPolitica!A:C,3,FALSE)</f>
        <v>1</v>
      </c>
      <c r="G1795" s="1">
        <v>1</v>
      </c>
      <c r="H1795" s="1">
        <v>1</v>
      </c>
      <c r="I1795" s="1">
        <f t="shared" ref="I1795:I1858" si="144">IF(AND(F1795&lt;&gt;0, H1795&lt;&gt;0,G1795&lt;&gt;0), 1, 0)</f>
        <v>1</v>
      </c>
    </row>
    <row r="1796" spans="1:9" x14ac:dyDescent="0.25">
      <c r="A1796" s="26">
        <v>47086</v>
      </c>
      <c r="B1796" s="27">
        <f t="shared" si="140"/>
        <v>2028</v>
      </c>
      <c r="C1796" s="27">
        <f t="shared" si="141"/>
        <v>11</v>
      </c>
      <c r="D1796" s="27">
        <f t="shared" si="142"/>
        <v>29</v>
      </c>
      <c r="E1796" s="27">
        <f t="shared" si="143"/>
        <v>4</v>
      </c>
      <c r="F1796" s="27">
        <f>VLOOKUP(E1796,[2]t_calendarioPolitica!A:C,3,FALSE)</f>
        <v>1</v>
      </c>
      <c r="G1796" s="1">
        <v>1</v>
      </c>
      <c r="H1796" s="1">
        <v>1</v>
      </c>
      <c r="I1796" s="1">
        <f t="shared" si="144"/>
        <v>1</v>
      </c>
    </row>
    <row r="1797" spans="1:9" x14ac:dyDescent="0.25">
      <c r="A1797" s="26">
        <v>47087</v>
      </c>
      <c r="B1797" s="27">
        <f t="shared" si="140"/>
        <v>2028</v>
      </c>
      <c r="C1797" s="27">
        <f t="shared" si="141"/>
        <v>11</v>
      </c>
      <c r="D1797" s="27">
        <f t="shared" si="142"/>
        <v>30</v>
      </c>
      <c r="E1797" s="27">
        <f t="shared" si="143"/>
        <v>5</v>
      </c>
      <c r="F1797" s="27">
        <f>VLOOKUP(E1797,[2]t_calendarioPolitica!A:C,3,FALSE)</f>
        <v>1</v>
      </c>
      <c r="G1797" s="1">
        <v>1</v>
      </c>
      <c r="H1797" s="1">
        <v>1</v>
      </c>
      <c r="I1797" s="1">
        <f t="shared" si="144"/>
        <v>1</v>
      </c>
    </row>
    <row r="1798" spans="1:9" x14ac:dyDescent="0.25">
      <c r="A1798" s="26">
        <v>47088</v>
      </c>
      <c r="B1798" s="27">
        <f t="shared" si="140"/>
        <v>2028</v>
      </c>
      <c r="C1798" s="27">
        <f t="shared" si="141"/>
        <v>12</v>
      </c>
      <c r="D1798" s="27">
        <f t="shared" si="142"/>
        <v>1</v>
      </c>
      <c r="E1798" s="27">
        <f t="shared" si="143"/>
        <v>6</v>
      </c>
      <c r="F1798" s="27">
        <f>VLOOKUP(E1798,[2]t_calendarioPolitica!A:C,3,FALSE)</f>
        <v>1</v>
      </c>
      <c r="G1798" s="1">
        <v>1</v>
      </c>
      <c r="H1798" s="1">
        <v>1</v>
      </c>
      <c r="I1798" s="1">
        <f t="shared" si="144"/>
        <v>1</v>
      </c>
    </row>
    <row r="1799" spans="1:9" x14ac:dyDescent="0.25">
      <c r="A1799" s="26">
        <v>47089</v>
      </c>
      <c r="B1799" s="27">
        <f t="shared" si="140"/>
        <v>2028</v>
      </c>
      <c r="C1799" s="27">
        <f t="shared" si="141"/>
        <v>12</v>
      </c>
      <c r="D1799" s="27">
        <f t="shared" si="142"/>
        <v>2</v>
      </c>
      <c r="E1799" s="27">
        <f t="shared" si="143"/>
        <v>7</v>
      </c>
      <c r="F1799" s="27">
        <f>VLOOKUP(E1799,[2]t_calendarioPolitica!A:C,3,FALSE)</f>
        <v>2</v>
      </c>
      <c r="G1799" s="1">
        <v>1</v>
      </c>
      <c r="H1799" s="1">
        <v>1</v>
      </c>
      <c r="I1799" s="1">
        <f t="shared" si="144"/>
        <v>1</v>
      </c>
    </row>
    <row r="1800" spans="1:9" x14ac:dyDescent="0.25">
      <c r="A1800" s="26">
        <v>47090</v>
      </c>
      <c r="B1800" s="27">
        <f t="shared" si="140"/>
        <v>2028</v>
      </c>
      <c r="C1800" s="27">
        <f t="shared" si="141"/>
        <v>12</v>
      </c>
      <c r="D1800" s="27">
        <f t="shared" si="142"/>
        <v>3</v>
      </c>
      <c r="E1800" s="27">
        <f t="shared" si="143"/>
        <v>1</v>
      </c>
      <c r="F1800" s="27">
        <f>VLOOKUP(E1800,[2]t_calendarioPolitica!A:C,3,FALSE)</f>
        <v>0</v>
      </c>
      <c r="G1800" s="1">
        <v>1</v>
      </c>
      <c r="H1800" s="1">
        <v>1</v>
      </c>
      <c r="I1800" s="1">
        <f t="shared" si="144"/>
        <v>0</v>
      </c>
    </row>
    <row r="1801" spans="1:9" x14ac:dyDescent="0.25">
      <c r="A1801" s="26">
        <v>47091</v>
      </c>
      <c r="B1801" s="27">
        <f t="shared" si="140"/>
        <v>2028</v>
      </c>
      <c r="C1801" s="27">
        <f t="shared" si="141"/>
        <v>12</v>
      </c>
      <c r="D1801" s="27">
        <f t="shared" si="142"/>
        <v>4</v>
      </c>
      <c r="E1801" s="27">
        <f t="shared" si="143"/>
        <v>2</v>
      </c>
      <c r="F1801" s="27">
        <f>VLOOKUP(E1801,[2]t_calendarioPolitica!A:C,3,FALSE)</f>
        <v>1</v>
      </c>
      <c r="G1801" s="1">
        <v>1</v>
      </c>
      <c r="H1801" s="1">
        <v>1</v>
      </c>
      <c r="I1801" s="1">
        <f t="shared" si="144"/>
        <v>1</v>
      </c>
    </row>
    <row r="1802" spans="1:9" x14ac:dyDescent="0.25">
      <c r="A1802" s="26">
        <v>47092</v>
      </c>
      <c r="B1802" s="27">
        <f t="shared" si="140"/>
        <v>2028</v>
      </c>
      <c r="C1802" s="27">
        <f t="shared" si="141"/>
        <v>12</v>
      </c>
      <c r="D1802" s="27">
        <f t="shared" si="142"/>
        <v>5</v>
      </c>
      <c r="E1802" s="27">
        <f t="shared" si="143"/>
        <v>3</v>
      </c>
      <c r="F1802" s="27">
        <f>VLOOKUP(E1802,[2]t_calendarioPolitica!A:C,3,FALSE)</f>
        <v>1</v>
      </c>
      <c r="G1802" s="1">
        <v>1</v>
      </c>
      <c r="H1802" s="1">
        <v>1</v>
      </c>
      <c r="I1802" s="1">
        <f t="shared" si="144"/>
        <v>1</v>
      </c>
    </row>
    <row r="1803" spans="1:9" x14ac:dyDescent="0.25">
      <c r="A1803" s="26">
        <v>47093</v>
      </c>
      <c r="B1803" s="27">
        <f t="shared" si="140"/>
        <v>2028</v>
      </c>
      <c r="C1803" s="27">
        <f t="shared" si="141"/>
        <v>12</v>
      </c>
      <c r="D1803" s="27">
        <f t="shared" si="142"/>
        <v>6</v>
      </c>
      <c r="E1803" s="27">
        <f t="shared" si="143"/>
        <v>4</v>
      </c>
      <c r="F1803" s="27">
        <f>VLOOKUP(E1803,[2]t_calendarioPolitica!A:C,3,FALSE)</f>
        <v>1</v>
      </c>
      <c r="G1803" s="1">
        <v>1</v>
      </c>
      <c r="H1803" s="1">
        <v>1</v>
      </c>
      <c r="I1803" s="1">
        <f t="shared" si="144"/>
        <v>1</v>
      </c>
    </row>
    <row r="1804" spans="1:9" x14ac:dyDescent="0.25">
      <c r="A1804" s="26">
        <v>47094</v>
      </c>
      <c r="B1804" s="27">
        <f t="shared" si="140"/>
        <v>2028</v>
      </c>
      <c r="C1804" s="27">
        <f t="shared" si="141"/>
        <v>12</v>
      </c>
      <c r="D1804" s="27">
        <f t="shared" si="142"/>
        <v>7</v>
      </c>
      <c r="E1804" s="27">
        <f t="shared" si="143"/>
        <v>5</v>
      </c>
      <c r="F1804" s="27">
        <f>VLOOKUP(E1804,[2]t_calendarioPolitica!A:C,3,FALSE)</f>
        <v>1</v>
      </c>
      <c r="G1804" s="1">
        <v>1</v>
      </c>
      <c r="H1804" s="1">
        <v>1</v>
      </c>
      <c r="I1804" s="1">
        <f t="shared" si="144"/>
        <v>1</v>
      </c>
    </row>
    <row r="1805" spans="1:9" x14ac:dyDescent="0.25">
      <c r="A1805" s="26">
        <v>47095</v>
      </c>
      <c r="B1805" s="27">
        <f t="shared" si="140"/>
        <v>2028</v>
      </c>
      <c r="C1805" s="27">
        <f t="shared" si="141"/>
        <v>12</v>
      </c>
      <c r="D1805" s="27">
        <f t="shared" si="142"/>
        <v>8</v>
      </c>
      <c r="E1805" s="27">
        <f t="shared" si="143"/>
        <v>6</v>
      </c>
      <c r="F1805" s="27">
        <f>VLOOKUP(E1805,[2]t_calendarioPolitica!A:C,3,FALSE)</f>
        <v>1</v>
      </c>
      <c r="G1805" s="1">
        <v>1</v>
      </c>
      <c r="H1805" s="1">
        <v>1</v>
      </c>
      <c r="I1805" s="1">
        <f t="shared" si="144"/>
        <v>1</v>
      </c>
    </row>
    <row r="1806" spans="1:9" x14ac:dyDescent="0.25">
      <c r="A1806" s="26">
        <v>47096</v>
      </c>
      <c r="B1806" s="27">
        <f t="shared" si="140"/>
        <v>2028</v>
      </c>
      <c r="C1806" s="27">
        <f t="shared" si="141"/>
        <v>12</v>
      </c>
      <c r="D1806" s="27">
        <f t="shared" si="142"/>
        <v>9</v>
      </c>
      <c r="E1806" s="27">
        <f t="shared" si="143"/>
        <v>7</v>
      </c>
      <c r="F1806" s="27">
        <f>VLOOKUP(E1806,[2]t_calendarioPolitica!A:C,3,FALSE)</f>
        <v>2</v>
      </c>
      <c r="G1806" s="1">
        <v>1</v>
      </c>
      <c r="H1806" s="1">
        <v>1</v>
      </c>
      <c r="I1806" s="1">
        <f t="shared" si="144"/>
        <v>1</v>
      </c>
    </row>
    <row r="1807" spans="1:9" x14ac:dyDescent="0.25">
      <c r="A1807" s="26">
        <v>47097</v>
      </c>
      <c r="B1807" s="27">
        <f t="shared" si="140"/>
        <v>2028</v>
      </c>
      <c r="C1807" s="27">
        <f t="shared" si="141"/>
        <v>12</v>
      </c>
      <c r="D1807" s="27">
        <f t="shared" si="142"/>
        <v>10</v>
      </c>
      <c r="E1807" s="27">
        <f t="shared" si="143"/>
        <v>1</v>
      </c>
      <c r="F1807" s="27">
        <f>VLOOKUP(E1807,[2]t_calendarioPolitica!A:C,3,FALSE)</f>
        <v>0</v>
      </c>
      <c r="G1807" s="1">
        <v>1</v>
      </c>
      <c r="H1807" s="1">
        <v>1</v>
      </c>
      <c r="I1807" s="1">
        <f t="shared" si="144"/>
        <v>0</v>
      </c>
    </row>
    <row r="1808" spans="1:9" x14ac:dyDescent="0.25">
      <c r="A1808" s="26">
        <v>47098</v>
      </c>
      <c r="B1808" s="27">
        <f t="shared" si="140"/>
        <v>2028</v>
      </c>
      <c r="C1808" s="27">
        <f t="shared" si="141"/>
        <v>12</v>
      </c>
      <c r="D1808" s="27">
        <f t="shared" si="142"/>
        <v>11</v>
      </c>
      <c r="E1808" s="27">
        <f t="shared" si="143"/>
        <v>2</v>
      </c>
      <c r="F1808" s="27">
        <f>VLOOKUP(E1808,[2]t_calendarioPolitica!A:C,3,FALSE)</f>
        <v>1</v>
      </c>
      <c r="G1808" s="1">
        <v>1</v>
      </c>
      <c r="H1808" s="1">
        <v>1</v>
      </c>
      <c r="I1808" s="1">
        <f t="shared" si="144"/>
        <v>1</v>
      </c>
    </row>
    <row r="1809" spans="1:9" x14ac:dyDescent="0.25">
      <c r="A1809" s="26">
        <v>47099</v>
      </c>
      <c r="B1809" s="27">
        <f t="shared" si="140"/>
        <v>2028</v>
      </c>
      <c r="C1809" s="27">
        <f t="shared" si="141"/>
        <v>12</v>
      </c>
      <c r="D1809" s="27">
        <f t="shared" si="142"/>
        <v>12</v>
      </c>
      <c r="E1809" s="27">
        <f t="shared" si="143"/>
        <v>3</v>
      </c>
      <c r="F1809" s="27">
        <f>VLOOKUP(E1809,[2]t_calendarioPolitica!A:C,3,FALSE)</f>
        <v>1</v>
      </c>
      <c r="G1809" s="1">
        <v>1</v>
      </c>
      <c r="H1809" s="1">
        <v>0</v>
      </c>
      <c r="I1809" s="1">
        <f t="shared" si="144"/>
        <v>0</v>
      </c>
    </row>
    <row r="1810" spans="1:9" x14ac:dyDescent="0.25">
      <c r="A1810" s="26">
        <v>47100</v>
      </c>
      <c r="B1810" s="27">
        <f t="shared" si="140"/>
        <v>2028</v>
      </c>
      <c r="C1810" s="27">
        <f t="shared" si="141"/>
        <v>12</v>
      </c>
      <c r="D1810" s="27">
        <f t="shared" si="142"/>
        <v>13</v>
      </c>
      <c r="E1810" s="27">
        <f t="shared" si="143"/>
        <v>4</v>
      </c>
      <c r="F1810" s="27">
        <f>VLOOKUP(E1810,[2]t_calendarioPolitica!A:C,3,FALSE)</f>
        <v>1</v>
      </c>
      <c r="G1810" s="1">
        <v>1</v>
      </c>
      <c r="H1810" s="1">
        <v>1</v>
      </c>
      <c r="I1810" s="1">
        <f t="shared" si="144"/>
        <v>1</v>
      </c>
    </row>
    <row r="1811" spans="1:9" x14ac:dyDescent="0.25">
      <c r="A1811" s="26">
        <v>47101</v>
      </c>
      <c r="B1811" s="27">
        <f t="shared" si="140"/>
        <v>2028</v>
      </c>
      <c r="C1811" s="27">
        <f t="shared" si="141"/>
        <v>12</v>
      </c>
      <c r="D1811" s="27">
        <f t="shared" si="142"/>
        <v>14</v>
      </c>
      <c r="E1811" s="27">
        <f t="shared" si="143"/>
        <v>5</v>
      </c>
      <c r="F1811" s="27">
        <f>VLOOKUP(E1811,[2]t_calendarioPolitica!A:C,3,FALSE)</f>
        <v>1</v>
      </c>
      <c r="G1811" s="1">
        <v>1</v>
      </c>
      <c r="H1811" s="1">
        <v>1</v>
      </c>
      <c r="I1811" s="1">
        <f t="shared" si="144"/>
        <v>1</v>
      </c>
    </row>
    <row r="1812" spans="1:9" x14ac:dyDescent="0.25">
      <c r="A1812" s="26">
        <v>47102</v>
      </c>
      <c r="B1812" s="27">
        <f t="shared" si="140"/>
        <v>2028</v>
      </c>
      <c r="C1812" s="27">
        <f t="shared" si="141"/>
        <v>12</v>
      </c>
      <c r="D1812" s="27">
        <f t="shared" si="142"/>
        <v>15</v>
      </c>
      <c r="E1812" s="27">
        <f t="shared" si="143"/>
        <v>6</v>
      </c>
      <c r="F1812" s="27">
        <f>VLOOKUP(E1812,[2]t_calendarioPolitica!A:C,3,FALSE)</f>
        <v>1</v>
      </c>
      <c r="G1812" s="1">
        <v>1</v>
      </c>
      <c r="H1812" s="1">
        <v>1</v>
      </c>
      <c r="I1812" s="1">
        <f t="shared" si="144"/>
        <v>1</v>
      </c>
    </row>
    <row r="1813" spans="1:9" x14ac:dyDescent="0.25">
      <c r="A1813" s="26">
        <v>47103</v>
      </c>
      <c r="B1813" s="27">
        <f t="shared" si="140"/>
        <v>2028</v>
      </c>
      <c r="C1813" s="27">
        <f t="shared" si="141"/>
        <v>12</v>
      </c>
      <c r="D1813" s="27">
        <f t="shared" si="142"/>
        <v>16</v>
      </c>
      <c r="E1813" s="27">
        <f t="shared" si="143"/>
        <v>7</v>
      </c>
      <c r="F1813" s="27">
        <f>VLOOKUP(E1813,[2]t_calendarioPolitica!A:C,3,FALSE)</f>
        <v>2</v>
      </c>
      <c r="G1813" s="1">
        <v>1</v>
      </c>
      <c r="H1813" s="1">
        <v>1</v>
      </c>
      <c r="I1813" s="1">
        <f t="shared" si="144"/>
        <v>1</v>
      </c>
    </row>
    <row r="1814" spans="1:9" x14ac:dyDescent="0.25">
      <c r="A1814" s="26">
        <v>47104</v>
      </c>
      <c r="B1814" s="27">
        <f t="shared" si="140"/>
        <v>2028</v>
      </c>
      <c r="C1814" s="27">
        <f t="shared" si="141"/>
        <v>12</v>
      </c>
      <c r="D1814" s="27">
        <f t="shared" si="142"/>
        <v>17</v>
      </c>
      <c r="E1814" s="27">
        <f t="shared" si="143"/>
        <v>1</v>
      </c>
      <c r="F1814" s="27">
        <f>VLOOKUP(E1814,[2]t_calendarioPolitica!A:C,3,FALSE)</f>
        <v>0</v>
      </c>
      <c r="G1814" s="1">
        <v>1</v>
      </c>
      <c r="H1814" s="1">
        <v>1</v>
      </c>
      <c r="I1814" s="1">
        <f t="shared" si="144"/>
        <v>0</v>
      </c>
    </row>
    <row r="1815" spans="1:9" x14ac:dyDescent="0.25">
      <c r="A1815" s="26">
        <v>47105</v>
      </c>
      <c r="B1815" s="27">
        <f t="shared" si="140"/>
        <v>2028</v>
      </c>
      <c r="C1815" s="27">
        <f t="shared" si="141"/>
        <v>12</v>
      </c>
      <c r="D1815" s="27">
        <f t="shared" si="142"/>
        <v>18</v>
      </c>
      <c r="E1815" s="27">
        <f t="shared" si="143"/>
        <v>2</v>
      </c>
      <c r="F1815" s="27">
        <f>VLOOKUP(E1815,[2]t_calendarioPolitica!A:C,3,FALSE)</f>
        <v>1</v>
      </c>
      <c r="G1815" s="1">
        <v>1</v>
      </c>
      <c r="H1815" s="1">
        <v>1</v>
      </c>
      <c r="I1815" s="1">
        <f t="shared" si="144"/>
        <v>1</v>
      </c>
    </row>
    <row r="1816" spans="1:9" x14ac:dyDescent="0.25">
      <c r="A1816" s="26">
        <v>47106</v>
      </c>
      <c r="B1816" s="27">
        <f t="shared" si="140"/>
        <v>2028</v>
      </c>
      <c r="C1816" s="27">
        <f t="shared" si="141"/>
        <v>12</v>
      </c>
      <c r="D1816" s="27">
        <f t="shared" si="142"/>
        <v>19</v>
      </c>
      <c r="E1816" s="27">
        <f t="shared" si="143"/>
        <v>3</v>
      </c>
      <c r="F1816" s="27">
        <f>VLOOKUP(E1816,[2]t_calendarioPolitica!A:C,3,FALSE)</f>
        <v>1</v>
      </c>
      <c r="G1816" s="1">
        <v>1</v>
      </c>
      <c r="H1816" s="1">
        <v>1</v>
      </c>
      <c r="I1816" s="1">
        <f t="shared" si="144"/>
        <v>1</v>
      </c>
    </row>
    <row r="1817" spans="1:9" x14ac:dyDescent="0.25">
      <c r="A1817" s="26">
        <v>47107</v>
      </c>
      <c r="B1817" s="27">
        <f t="shared" si="140"/>
        <v>2028</v>
      </c>
      <c r="C1817" s="27">
        <f t="shared" si="141"/>
        <v>12</v>
      </c>
      <c r="D1817" s="27">
        <f t="shared" si="142"/>
        <v>20</v>
      </c>
      <c r="E1817" s="27">
        <f t="shared" si="143"/>
        <v>4</v>
      </c>
      <c r="F1817" s="27">
        <f>VLOOKUP(E1817,[2]t_calendarioPolitica!A:C,3,FALSE)</f>
        <v>1</v>
      </c>
      <c r="G1817" s="1">
        <v>1</v>
      </c>
      <c r="H1817" s="1">
        <v>1</v>
      </c>
      <c r="I1817" s="1">
        <f t="shared" si="144"/>
        <v>1</v>
      </c>
    </row>
    <row r="1818" spans="1:9" x14ac:dyDescent="0.25">
      <c r="A1818" s="26">
        <v>47108</v>
      </c>
      <c r="B1818" s="27">
        <f t="shared" si="140"/>
        <v>2028</v>
      </c>
      <c r="C1818" s="27">
        <f t="shared" si="141"/>
        <v>12</v>
      </c>
      <c r="D1818" s="27">
        <f t="shared" si="142"/>
        <v>21</v>
      </c>
      <c r="E1818" s="27">
        <f t="shared" si="143"/>
        <v>5</v>
      </c>
      <c r="F1818" s="27">
        <f>VLOOKUP(E1818,[2]t_calendarioPolitica!A:C,3,FALSE)</f>
        <v>1</v>
      </c>
      <c r="G1818" s="1">
        <v>1</v>
      </c>
      <c r="H1818" s="1">
        <v>1</v>
      </c>
      <c r="I1818" s="1">
        <f t="shared" si="144"/>
        <v>1</v>
      </c>
    </row>
    <row r="1819" spans="1:9" x14ac:dyDescent="0.25">
      <c r="A1819" s="26">
        <v>47109</v>
      </c>
      <c r="B1819" s="27">
        <f t="shared" si="140"/>
        <v>2028</v>
      </c>
      <c r="C1819" s="27">
        <f t="shared" si="141"/>
        <v>12</v>
      </c>
      <c r="D1819" s="27">
        <f t="shared" si="142"/>
        <v>22</v>
      </c>
      <c r="E1819" s="27">
        <f t="shared" si="143"/>
        <v>6</v>
      </c>
      <c r="F1819" s="27">
        <f>VLOOKUP(E1819,[2]t_calendarioPolitica!A:C,3,FALSE)</f>
        <v>1</v>
      </c>
      <c r="G1819" s="1">
        <v>1</v>
      </c>
      <c r="H1819" s="1">
        <v>1</v>
      </c>
      <c r="I1819" s="1">
        <f t="shared" si="144"/>
        <v>1</v>
      </c>
    </row>
    <row r="1820" spans="1:9" x14ac:dyDescent="0.25">
      <c r="A1820" s="26">
        <v>47110</v>
      </c>
      <c r="B1820" s="27">
        <f t="shared" si="140"/>
        <v>2028</v>
      </c>
      <c r="C1820" s="27">
        <f t="shared" si="141"/>
        <v>12</v>
      </c>
      <c r="D1820" s="27">
        <f t="shared" si="142"/>
        <v>23</v>
      </c>
      <c r="E1820" s="27">
        <f t="shared" si="143"/>
        <v>7</v>
      </c>
      <c r="F1820" s="27">
        <f>VLOOKUP(E1820,[2]t_calendarioPolitica!A:C,3,FALSE)</f>
        <v>2</v>
      </c>
      <c r="G1820" s="1">
        <v>1</v>
      </c>
      <c r="H1820" s="1">
        <v>1</v>
      </c>
      <c r="I1820" s="1">
        <f t="shared" si="144"/>
        <v>1</v>
      </c>
    </row>
    <row r="1821" spans="1:9" x14ac:dyDescent="0.25">
      <c r="A1821" s="26">
        <v>47111</v>
      </c>
      <c r="B1821" s="27">
        <f t="shared" si="140"/>
        <v>2028</v>
      </c>
      <c r="C1821" s="27">
        <f t="shared" si="141"/>
        <v>12</v>
      </c>
      <c r="D1821" s="27">
        <f t="shared" si="142"/>
        <v>24</v>
      </c>
      <c r="E1821" s="27">
        <f t="shared" si="143"/>
        <v>1</v>
      </c>
      <c r="F1821" s="27">
        <f>VLOOKUP(E1821,[2]t_calendarioPolitica!A:C,3,FALSE)</f>
        <v>0</v>
      </c>
      <c r="G1821" s="1">
        <v>1</v>
      </c>
      <c r="H1821" s="1">
        <v>0</v>
      </c>
      <c r="I1821" s="1">
        <f t="shared" si="144"/>
        <v>0</v>
      </c>
    </row>
    <row r="1822" spans="1:9" x14ac:dyDescent="0.25">
      <c r="A1822" s="26">
        <v>47112</v>
      </c>
      <c r="B1822" s="27">
        <f t="shared" si="140"/>
        <v>2028</v>
      </c>
      <c r="C1822" s="27">
        <f t="shared" si="141"/>
        <v>12</v>
      </c>
      <c r="D1822" s="27">
        <f t="shared" si="142"/>
        <v>25</v>
      </c>
      <c r="E1822" s="27">
        <f t="shared" si="143"/>
        <v>2</v>
      </c>
      <c r="F1822" s="27">
        <f>VLOOKUP(E1822,[2]t_calendarioPolitica!A:C,3,FALSE)</f>
        <v>1</v>
      </c>
      <c r="G1822" s="1">
        <v>0</v>
      </c>
      <c r="H1822" s="1">
        <v>0</v>
      </c>
      <c r="I1822" s="1">
        <f t="shared" si="144"/>
        <v>0</v>
      </c>
    </row>
    <row r="1823" spans="1:9" x14ac:dyDescent="0.25">
      <c r="A1823" s="26">
        <v>47113</v>
      </c>
      <c r="B1823" s="27">
        <f t="shared" si="140"/>
        <v>2028</v>
      </c>
      <c r="C1823" s="27">
        <f t="shared" si="141"/>
        <v>12</v>
      </c>
      <c r="D1823" s="27">
        <f t="shared" si="142"/>
        <v>26</v>
      </c>
      <c r="E1823" s="27">
        <f t="shared" si="143"/>
        <v>3</v>
      </c>
      <c r="F1823" s="27">
        <f>VLOOKUP(E1823,[2]t_calendarioPolitica!A:C,3,FALSE)</f>
        <v>1</v>
      </c>
      <c r="G1823" s="1">
        <v>1</v>
      </c>
      <c r="H1823" s="1">
        <v>1</v>
      </c>
      <c r="I1823" s="1">
        <f t="shared" si="144"/>
        <v>1</v>
      </c>
    </row>
    <row r="1824" spans="1:9" x14ac:dyDescent="0.25">
      <c r="A1824" s="26">
        <v>47114</v>
      </c>
      <c r="B1824" s="27">
        <f t="shared" si="140"/>
        <v>2028</v>
      </c>
      <c r="C1824" s="27">
        <f t="shared" si="141"/>
        <v>12</v>
      </c>
      <c r="D1824" s="27">
        <f t="shared" si="142"/>
        <v>27</v>
      </c>
      <c r="E1824" s="27">
        <f t="shared" si="143"/>
        <v>4</v>
      </c>
      <c r="F1824" s="27">
        <f>VLOOKUP(E1824,[2]t_calendarioPolitica!A:C,3,FALSE)</f>
        <v>1</v>
      </c>
      <c r="G1824" s="1">
        <v>1</v>
      </c>
      <c r="H1824" s="1">
        <v>1</v>
      </c>
      <c r="I1824" s="1">
        <f t="shared" si="144"/>
        <v>1</v>
      </c>
    </row>
    <row r="1825" spans="1:9" x14ac:dyDescent="0.25">
      <c r="A1825" s="26">
        <v>47115</v>
      </c>
      <c r="B1825" s="27">
        <f t="shared" si="140"/>
        <v>2028</v>
      </c>
      <c r="C1825" s="27">
        <f t="shared" si="141"/>
        <v>12</v>
      </c>
      <c r="D1825" s="27">
        <f t="shared" si="142"/>
        <v>28</v>
      </c>
      <c r="E1825" s="27">
        <f t="shared" si="143"/>
        <v>5</v>
      </c>
      <c r="F1825" s="27">
        <f>VLOOKUP(E1825,[2]t_calendarioPolitica!A:C,3,FALSE)</f>
        <v>1</v>
      </c>
      <c r="G1825" s="1">
        <v>1</v>
      </c>
      <c r="H1825" s="1">
        <v>1</v>
      </c>
      <c r="I1825" s="1">
        <f t="shared" si="144"/>
        <v>1</v>
      </c>
    </row>
    <row r="1826" spans="1:9" x14ac:dyDescent="0.25">
      <c r="A1826" s="26">
        <v>47116</v>
      </c>
      <c r="B1826" s="27">
        <f t="shared" si="140"/>
        <v>2028</v>
      </c>
      <c r="C1826" s="27">
        <f t="shared" si="141"/>
        <v>12</v>
      </c>
      <c r="D1826" s="27">
        <f t="shared" si="142"/>
        <v>29</v>
      </c>
      <c r="E1826" s="27">
        <f t="shared" si="143"/>
        <v>6</v>
      </c>
      <c r="F1826" s="27">
        <f>VLOOKUP(E1826,[2]t_calendarioPolitica!A:C,3,FALSE)</f>
        <v>1</v>
      </c>
      <c r="G1826" s="1">
        <v>1</v>
      </c>
      <c r="H1826" s="1">
        <v>1</v>
      </c>
      <c r="I1826" s="1">
        <f t="shared" si="144"/>
        <v>1</v>
      </c>
    </row>
    <row r="1827" spans="1:9" x14ac:dyDescent="0.25">
      <c r="A1827" s="26">
        <v>47117</v>
      </c>
      <c r="B1827" s="27">
        <f t="shared" si="140"/>
        <v>2028</v>
      </c>
      <c r="C1827" s="27">
        <f t="shared" si="141"/>
        <v>12</v>
      </c>
      <c r="D1827" s="27">
        <f t="shared" si="142"/>
        <v>30</v>
      </c>
      <c r="E1827" s="27">
        <f t="shared" si="143"/>
        <v>7</v>
      </c>
      <c r="F1827" s="27">
        <f>VLOOKUP(E1827,[2]t_calendarioPolitica!A:C,3,FALSE)</f>
        <v>2</v>
      </c>
      <c r="G1827" s="1">
        <v>1</v>
      </c>
      <c r="H1827" s="1">
        <v>1</v>
      </c>
      <c r="I1827" s="1">
        <f t="shared" si="144"/>
        <v>1</v>
      </c>
    </row>
    <row r="1828" spans="1:9" x14ac:dyDescent="0.25">
      <c r="A1828" s="26">
        <v>47118</v>
      </c>
      <c r="B1828" s="27">
        <f t="shared" si="140"/>
        <v>2028</v>
      </c>
      <c r="C1828" s="27">
        <f t="shared" si="141"/>
        <v>12</v>
      </c>
      <c r="D1828" s="27">
        <f t="shared" si="142"/>
        <v>31</v>
      </c>
      <c r="E1828" s="27">
        <f t="shared" si="143"/>
        <v>1</v>
      </c>
      <c r="F1828" s="27">
        <f>VLOOKUP(E1828,[2]t_calendarioPolitica!A:C,3,FALSE)</f>
        <v>0</v>
      </c>
      <c r="G1828" s="1">
        <v>1</v>
      </c>
      <c r="H1828" s="1">
        <v>0</v>
      </c>
      <c r="I1828" s="1">
        <f t="shared" si="144"/>
        <v>0</v>
      </c>
    </row>
    <row r="1829" spans="1:9" x14ac:dyDescent="0.25">
      <c r="A1829" s="26">
        <v>47119</v>
      </c>
      <c r="B1829" s="27">
        <f t="shared" si="140"/>
        <v>2029</v>
      </c>
      <c r="C1829" s="27">
        <f t="shared" si="141"/>
        <v>1</v>
      </c>
      <c r="D1829" s="27">
        <f t="shared" si="142"/>
        <v>1</v>
      </c>
      <c r="E1829" s="27">
        <f t="shared" si="143"/>
        <v>2</v>
      </c>
      <c r="F1829" s="27">
        <f>VLOOKUP(E1829,[2]t_calendarioPolitica!A:C,3,FALSE)</f>
        <v>1</v>
      </c>
      <c r="G1829" s="1">
        <v>0</v>
      </c>
      <c r="H1829" s="1">
        <v>1</v>
      </c>
      <c r="I1829" s="1">
        <f t="shared" si="144"/>
        <v>0</v>
      </c>
    </row>
    <row r="1830" spans="1:9" x14ac:dyDescent="0.25">
      <c r="A1830" s="26">
        <v>47120</v>
      </c>
      <c r="B1830" s="27">
        <f t="shared" si="140"/>
        <v>2029</v>
      </c>
      <c r="C1830" s="27">
        <f t="shared" si="141"/>
        <v>1</v>
      </c>
      <c r="D1830" s="27">
        <f t="shared" si="142"/>
        <v>2</v>
      </c>
      <c r="E1830" s="27">
        <f t="shared" si="143"/>
        <v>3</v>
      </c>
      <c r="F1830" s="27">
        <f>VLOOKUP(E1830,[2]t_calendarioPolitica!A:C,3,FALSE)</f>
        <v>1</v>
      </c>
      <c r="G1830" s="1">
        <v>1</v>
      </c>
      <c r="H1830" s="1">
        <v>1</v>
      </c>
      <c r="I1830" s="1">
        <f t="shared" si="144"/>
        <v>1</v>
      </c>
    </row>
    <row r="1831" spans="1:9" x14ac:dyDescent="0.25">
      <c r="A1831" s="26">
        <v>47121</v>
      </c>
      <c r="B1831" s="27">
        <f t="shared" si="140"/>
        <v>2029</v>
      </c>
      <c r="C1831" s="27">
        <f t="shared" si="141"/>
        <v>1</v>
      </c>
      <c r="D1831" s="27">
        <f t="shared" si="142"/>
        <v>3</v>
      </c>
      <c r="E1831" s="27">
        <f t="shared" si="143"/>
        <v>4</v>
      </c>
      <c r="F1831" s="27">
        <f>VLOOKUP(E1831,[2]t_calendarioPolitica!A:C,3,FALSE)</f>
        <v>1</v>
      </c>
      <c r="G1831" s="1">
        <v>1</v>
      </c>
      <c r="H1831" s="1">
        <v>1</v>
      </c>
      <c r="I1831" s="1">
        <f t="shared" si="144"/>
        <v>1</v>
      </c>
    </row>
    <row r="1832" spans="1:9" x14ac:dyDescent="0.25">
      <c r="A1832" s="26">
        <v>47122</v>
      </c>
      <c r="B1832" s="27">
        <f t="shared" si="140"/>
        <v>2029</v>
      </c>
      <c r="C1832" s="27">
        <f t="shared" si="141"/>
        <v>1</v>
      </c>
      <c r="D1832" s="27">
        <f t="shared" si="142"/>
        <v>4</v>
      </c>
      <c r="E1832" s="27">
        <f t="shared" si="143"/>
        <v>5</v>
      </c>
      <c r="F1832" s="27">
        <f>VLOOKUP(E1832,[2]t_calendarioPolitica!A:C,3,FALSE)</f>
        <v>1</v>
      </c>
      <c r="G1832" s="1">
        <v>1</v>
      </c>
      <c r="H1832" s="1">
        <v>1</v>
      </c>
      <c r="I1832" s="1">
        <f t="shared" si="144"/>
        <v>1</v>
      </c>
    </row>
    <row r="1833" spans="1:9" x14ac:dyDescent="0.25">
      <c r="A1833" s="26">
        <v>47123</v>
      </c>
      <c r="B1833" s="27">
        <f t="shared" si="140"/>
        <v>2029</v>
      </c>
      <c r="C1833" s="27">
        <f t="shared" si="141"/>
        <v>1</v>
      </c>
      <c r="D1833" s="27">
        <f t="shared" si="142"/>
        <v>5</v>
      </c>
      <c r="E1833" s="27">
        <f t="shared" si="143"/>
        <v>6</v>
      </c>
      <c r="F1833" s="27">
        <f>VLOOKUP(E1833,[2]t_calendarioPolitica!A:C,3,FALSE)</f>
        <v>1</v>
      </c>
      <c r="G1833" s="1">
        <v>1</v>
      </c>
      <c r="H1833" s="1">
        <v>1</v>
      </c>
      <c r="I1833" s="1">
        <f t="shared" si="144"/>
        <v>1</v>
      </c>
    </row>
    <row r="1834" spans="1:9" x14ac:dyDescent="0.25">
      <c r="A1834" s="26">
        <v>47124</v>
      </c>
      <c r="B1834" s="27">
        <f t="shared" si="140"/>
        <v>2029</v>
      </c>
      <c r="C1834" s="27">
        <f t="shared" si="141"/>
        <v>1</v>
      </c>
      <c r="D1834" s="27">
        <f t="shared" si="142"/>
        <v>6</v>
      </c>
      <c r="E1834" s="27">
        <f t="shared" si="143"/>
        <v>7</v>
      </c>
      <c r="F1834" s="27">
        <f>VLOOKUP(E1834,[2]t_calendarioPolitica!A:C,3,FALSE)</f>
        <v>2</v>
      </c>
      <c r="G1834" s="1">
        <v>1</v>
      </c>
      <c r="H1834" s="1">
        <v>1</v>
      </c>
      <c r="I1834" s="1">
        <f t="shared" si="144"/>
        <v>1</v>
      </c>
    </row>
    <row r="1835" spans="1:9" x14ac:dyDescent="0.25">
      <c r="A1835" s="26">
        <v>47125</v>
      </c>
      <c r="B1835" s="27">
        <f t="shared" si="140"/>
        <v>2029</v>
      </c>
      <c r="C1835" s="27">
        <f t="shared" si="141"/>
        <v>1</v>
      </c>
      <c r="D1835" s="27">
        <f t="shared" si="142"/>
        <v>7</v>
      </c>
      <c r="E1835" s="27">
        <f t="shared" si="143"/>
        <v>1</v>
      </c>
      <c r="F1835" s="27">
        <f>VLOOKUP(E1835,[2]t_calendarioPolitica!A:C,3,FALSE)</f>
        <v>0</v>
      </c>
      <c r="G1835" s="1">
        <v>1</v>
      </c>
      <c r="H1835" s="1">
        <v>1</v>
      </c>
      <c r="I1835" s="1">
        <f t="shared" si="144"/>
        <v>0</v>
      </c>
    </row>
    <row r="1836" spans="1:9" x14ac:dyDescent="0.25">
      <c r="A1836" s="26">
        <v>47126</v>
      </c>
      <c r="B1836" s="27">
        <f t="shared" si="140"/>
        <v>2029</v>
      </c>
      <c r="C1836" s="27">
        <f t="shared" si="141"/>
        <v>1</v>
      </c>
      <c r="D1836" s="27">
        <f t="shared" si="142"/>
        <v>8</v>
      </c>
      <c r="E1836" s="27">
        <f t="shared" si="143"/>
        <v>2</v>
      </c>
      <c r="F1836" s="27">
        <f>VLOOKUP(E1836,[2]t_calendarioPolitica!A:C,3,FALSE)</f>
        <v>1</v>
      </c>
      <c r="G1836" s="1">
        <v>1</v>
      </c>
      <c r="H1836" s="1">
        <v>1</v>
      </c>
      <c r="I1836" s="1">
        <f t="shared" si="144"/>
        <v>1</v>
      </c>
    </row>
    <row r="1837" spans="1:9" x14ac:dyDescent="0.25">
      <c r="A1837" s="26">
        <v>47127</v>
      </c>
      <c r="B1837" s="27">
        <f t="shared" si="140"/>
        <v>2029</v>
      </c>
      <c r="C1837" s="27">
        <f t="shared" si="141"/>
        <v>1</v>
      </c>
      <c r="D1837" s="27">
        <f t="shared" si="142"/>
        <v>9</v>
      </c>
      <c r="E1837" s="27">
        <f t="shared" si="143"/>
        <v>3</v>
      </c>
      <c r="F1837" s="27">
        <f>VLOOKUP(E1837,[2]t_calendarioPolitica!A:C,3,FALSE)</f>
        <v>1</v>
      </c>
      <c r="G1837" s="1">
        <v>1</v>
      </c>
      <c r="H1837" s="1">
        <v>1</v>
      </c>
      <c r="I1837" s="1">
        <f t="shared" si="144"/>
        <v>1</v>
      </c>
    </row>
    <row r="1838" spans="1:9" x14ac:dyDescent="0.25">
      <c r="A1838" s="26">
        <v>47128</v>
      </c>
      <c r="B1838" s="27">
        <f t="shared" si="140"/>
        <v>2029</v>
      </c>
      <c r="C1838" s="27">
        <f t="shared" si="141"/>
        <v>1</v>
      </c>
      <c r="D1838" s="27">
        <f t="shared" si="142"/>
        <v>10</v>
      </c>
      <c r="E1838" s="27">
        <f t="shared" si="143"/>
        <v>4</v>
      </c>
      <c r="F1838" s="27">
        <f>VLOOKUP(E1838,[2]t_calendarioPolitica!A:C,3,FALSE)</f>
        <v>1</v>
      </c>
      <c r="G1838" s="1">
        <v>1</v>
      </c>
      <c r="H1838" s="1">
        <v>1</v>
      </c>
      <c r="I1838" s="1">
        <f t="shared" si="144"/>
        <v>1</v>
      </c>
    </row>
    <row r="1839" spans="1:9" x14ac:dyDescent="0.25">
      <c r="A1839" s="26">
        <v>47129</v>
      </c>
      <c r="B1839" s="27">
        <f t="shared" si="140"/>
        <v>2029</v>
      </c>
      <c r="C1839" s="27">
        <f t="shared" si="141"/>
        <v>1</v>
      </c>
      <c r="D1839" s="27">
        <f t="shared" si="142"/>
        <v>11</v>
      </c>
      <c r="E1839" s="27">
        <f t="shared" si="143"/>
        <v>5</v>
      </c>
      <c r="F1839" s="27">
        <f>VLOOKUP(E1839,[2]t_calendarioPolitica!A:C,3,FALSE)</f>
        <v>1</v>
      </c>
      <c r="G1839" s="1">
        <v>1</v>
      </c>
      <c r="H1839" s="1">
        <v>1</v>
      </c>
      <c r="I1839" s="1">
        <f t="shared" si="144"/>
        <v>1</v>
      </c>
    </row>
    <row r="1840" spans="1:9" x14ac:dyDescent="0.25">
      <c r="A1840" s="26">
        <v>47130</v>
      </c>
      <c r="B1840" s="27">
        <f t="shared" si="140"/>
        <v>2029</v>
      </c>
      <c r="C1840" s="27">
        <f t="shared" si="141"/>
        <v>1</v>
      </c>
      <c r="D1840" s="27">
        <f t="shared" si="142"/>
        <v>12</v>
      </c>
      <c r="E1840" s="27">
        <f t="shared" si="143"/>
        <v>6</v>
      </c>
      <c r="F1840" s="27">
        <f>VLOOKUP(E1840,[2]t_calendarioPolitica!A:C,3,FALSE)</f>
        <v>1</v>
      </c>
      <c r="G1840" s="1">
        <v>1</v>
      </c>
      <c r="H1840" s="1">
        <v>1</v>
      </c>
      <c r="I1840" s="1">
        <f t="shared" si="144"/>
        <v>1</v>
      </c>
    </row>
    <row r="1841" spans="1:9" x14ac:dyDescent="0.25">
      <c r="A1841" s="26">
        <v>47131</v>
      </c>
      <c r="B1841" s="27">
        <f t="shared" si="140"/>
        <v>2029</v>
      </c>
      <c r="C1841" s="27">
        <f t="shared" si="141"/>
        <v>1</v>
      </c>
      <c r="D1841" s="27">
        <f t="shared" si="142"/>
        <v>13</v>
      </c>
      <c r="E1841" s="27">
        <f t="shared" si="143"/>
        <v>7</v>
      </c>
      <c r="F1841" s="27">
        <f>VLOOKUP(E1841,[2]t_calendarioPolitica!A:C,3,FALSE)</f>
        <v>2</v>
      </c>
      <c r="G1841" s="1">
        <v>1</v>
      </c>
      <c r="H1841" s="1">
        <v>1</v>
      </c>
      <c r="I1841" s="1">
        <f t="shared" si="144"/>
        <v>1</v>
      </c>
    </row>
    <row r="1842" spans="1:9" x14ac:dyDescent="0.25">
      <c r="A1842" s="26">
        <v>47132</v>
      </c>
      <c r="B1842" s="27">
        <f t="shared" si="140"/>
        <v>2029</v>
      </c>
      <c r="C1842" s="27">
        <f t="shared" si="141"/>
        <v>1</v>
      </c>
      <c r="D1842" s="27">
        <f t="shared" si="142"/>
        <v>14</v>
      </c>
      <c r="E1842" s="27">
        <f t="shared" si="143"/>
        <v>1</v>
      </c>
      <c r="F1842" s="27">
        <f>VLOOKUP(E1842,[2]t_calendarioPolitica!A:C,3,FALSE)</f>
        <v>0</v>
      </c>
      <c r="G1842" s="1">
        <v>1</v>
      </c>
      <c r="H1842" s="1">
        <v>1</v>
      </c>
      <c r="I1842" s="1">
        <f t="shared" si="144"/>
        <v>0</v>
      </c>
    </row>
    <row r="1843" spans="1:9" x14ac:dyDescent="0.25">
      <c r="A1843" s="26">
        <v>47133</v>
      </c>
      <c r="B1843" s="27">
        <f t="shared" si="140"/>
        <v>2029</v>
      </c>
      <c r="C1843" s="27">
        <f t="shared" si="141"/>
        <v>1</v>
      </c>
      <c r="D1843" s="27">
        <f t="shared" si="142"/>
        <v>15</v>
      </c>
      <c r="E1843" s="27">
        <f t="shared" si="143"/>
        <v>2</v>
      </c>
      <c r="F1843" s="27">
        <f>VLOOKUP(E1843,[2]t_calendarioPolitica!A:C,3,FALSE)</f>
        <v>1</v>
      </c>
      <c r="G1843" s="1">
        <v>1</v>
      </c>
      <c r="H1843" s="1">
        <v>1</v>
      </c>
      <c r="I1843" s="1">
        <f t="shared" si="144"/>
        <v>1</v>
      </c>
    </row>
    <row r="1844" spans="1:9" x14ac:dyDescent="0.25">
      <c r="A1844" s="26">
        <v>47134</v>
      </c>
      <c r="B1844" s="27">
        <f t="shared" si="140"/>
        <v>2029</v>
      </c>
      <c r="C1844" s="27">
        <f t="shared" si="141"/>
        <v>1</v>
      </c>
      <c r="D1844" s="27">
        <f t="shared" si="142"/>
        <v>16</v>
      </c>
      <c r="E1844" s="27">
        <f t="shared" si="143"/>
        <v>3</v>
      </c>
      <c r="F1844" s="27">
        <f>VLOOKUP(E1844,[2]t_calendarioPolitica!A:C,3,FALSE)</f>
        <v>1</v>
      </c>
      <c r="G1844" s="1">
        <v>1</v>
      </c>
      <c r="H1844" s="1">
        <v>1</v>
      </c>
      <c r="I1844" s="1">
        <f t="shared" si="144"/>
        <v>1</v>
      </c>
    </row>
    <row r="1845" spans="1:9" x14ac:dyDescent="0.25">
      <c r="A1845" s="26">
        <v>47135</v>
      </c>
      <c r="B1845" s="27">
        <f t="shared" si="140"/>
        <v>2029</v>
      </c>
      <c r="C1845" s="27">
        <f t="shared" si="141"/>
        <v>1</v>
      </c>
      <c r="D1845" s="27">
        <f t="shared" si="142"/>
        <v>17</v>
      </c>
      <c r="E1845" s="27">
        <f t="shared" si="143"/>
        <v>4</v>
      </c>
      <c r="F1845" s="27">
        <f>VLOOKUP(E1845,[2]t_calendarioPolitica!A:C,3,FALSE)</f>
        <v>1</v>
      </c>
      <c r="G1845" s="1">
        <v>1</v>
      </c>
      <c r="H1845" s="1">
        <v>1</v>
      </c>
      <c r="I1845" s="1">
        <f t="shared" si="144"/>
        <v>1</v>
      </c>
    </row>
    <row r="1846" spans="1:9" x14ac:dyDescent="0.25">
      <c r="A1846" s="26">
        <v>47136</v>
      </c>
      <c r="B1846" s="27">
        <f t="shared" si="140"/>
        <v>2029</v>
      </c>
      <c r="C1846" s="27">
        <f t="shared" si="141"/>
        <v>1</v>
      </c>
      <c r="D1846" s="27">
        <f t="shared" si="142"/>
        <v>18</v>
      </c>
      <c r="E1846" s="27">
        <f t="shared" si="143"/>
        <v>5</v>
      </c>
      <c r="F1846" s="27">
        <f>VLOOKUP(E1846,[2]t_calendarioPolitica!A:C,3,FALSE)</f>
        <v>1</v>
      </c>
      <c r="G1846" s="1">
        <v>1</v>
      </c>
      <c r="H1846" s="1">
        <v>1</v>
      </c>
      <c r="I1846" s="1">
        <f t="shared" si="144"/>
        <v>1</v>
      </c>
    </row>
    <row r="1847" spans="1:9" x14ac:dyDescent="0.25">
      <c r="A1847" s="26">
        <v>47137</v>
      </c>
      <c r="B1847" s="27">
        <f t="shared" si="140"/>
        <v>2029</v>
      </c>
      <c r="C1847" s="27">
        <f t="shared" si="141"/>
        <v>1</v>
      </c>
      <c r="D1847" s="27">
        <f t="shared" si="142"/>
        <v>19</v>
      </c>
      <c r="E1847" s="27">
        <f t="shared" si="143"/>
        <v>6</v>
      </c>
      <c r="F1847" s="27">
        <f>VLOOKUP(E1847,[2]t_calendarioPolitica!A:C,3,FALSE)</f>
        <v>1</v>
      </c>
      <c r="G1847" s="1">
        <v>1</v>
      </c>
      <c r="H1847" s="1">
        <v>1</v>
      </c>
      <c r="I1847" s="1">
        <f t="shared" si="144"/>
        <v>1</v>
      </c>
    </row>
    <row r="1848" spans="1:9" x14ac:dyDescent="0.25">
      <c r="A1848" s="26">
        <v>47138</v>
      </c>
      <c r="B1848" s="27">
        <f t="shared" si="140"/>
        <v>2029</v>
      </c>
      <c r="C1848" s="27">
        <f t="shared" si="141"/>
        <v>1</v>
      </c>
      <c r="D1848" s="27">
        <f t="shared" si="142"/>
        <v>20</v>
      </c>
      <c r="E1848" s="27">
        <f t="shared" si="143"/>
        <v>7</v>
      </c>
      <c r="F1848" s="27">
        <f>VLOOKUP(E1848,[2]t_calendarioPolitica!A:C,3,FALSE)</f>
        <v>2</v>
      </c>
      <c r="G1848" s="1">
        <v>1</v>
      </c>
      <c r="H1848" s="1">
        <v>1</v>
      </c>
      <c r="I1848" s="1">
        <f t="shared" si="144"/>
        <v>1</v>
      </c>
    </row>
    <row r="1849" spans="1:9" x14ac:dyDescent="0.25">
      <c r="A1849" s="26">
        <v>47139</v>
      </c>
      <c r="B1849" s="27">
        <f t="shared" si="140"/>
        <v>2029</v>
      </c>
      <c r="C1849" s="27">
        <f t="shared" si="141"/>
        <v>1</v>
      </c>
      <c r="D1849" s="27">
        <f t="shared" si="142"/>
        <v>21</v>
      </c>
      <c r="E1849" s="27">
        <f t="shared" si="143"/>
        <v>1</v>
      </c>
      <c r="F1849" s="27">
        <f>VLOOKUP(E1849,[2]t_calendarioPolitica!A:C,3,FALSE)</f>
        <v>0</v>
      </c>
      <c r="G1849" s="1">
        <v>1</v>
      </c>
      <c r="H1849" s="1">
        <v>1</v>
      </c>
      <c r="I1849" s="1">
        <f t="shared" si="144"/>
        <v>0</v>
      </c>
    </row>
    <row r="1850" spans="1:9" x14ac:dyDescent="0.25">
      <c r="A1850" s="26">
        <v>47140</v>
      </c>
      <c r="B1850" s="27">
        <f t="shared" si="140"/>
        <v>2029</v>
      </c>
      <c r="C1850" s="27">
        <f t="shared" si="141"/>
        <v>1</v>
      </c>
      <c r="D1850" s="27">
        <f t="shared" si="142"/>
        <v>22</v>
      </c>
      <c r="E1850" s="27">
        <f t="shared" si="143"/>
        <v>2</v>
      </c>
      <c r="F1850" s="27">
        <f>VLOOKUP(E1850,[2]t_calendarioPolitica!A:C,3,FALSE)</f>
        <v>1</v>
      </c>
      <c r="G1850" s="1">
        <v>1</v>
      </c>
      <c r="H1850" s="1">
        <v>1</v>
      </c>
      <c r="I1850" s="1">
        <f t="shared" si="144"/>
        <v>1</v>
      </c>
    </row>
    <row r="1851" spans="1:9" x14ac:dyDescent="0.25">
      <c r="A1851" s="26">
        <v>47141</v>
      </c>
      <c r="B1851" s="27">
        <f t="shared" si="140"/>
        <v>2029</v>
      </c>
      <c r="C1851" s="27">
        <f t="shared" si="141"/>
        <v>1</v>
      </c>
      <c r="D1851" s="27">
        <f t="shared" si="142"/>
        <v>23</v>
      </c>
      <c r="E1851" s="27">
        <f t="shared" si="143"/>
        <v>3</v>
      </c>
      <c r="F1851" s="27">
        <f>VLOOKUP(E1851,[2]t_calendarioPolitica!A:C,3,FALSE)</f>
        <v>1</v>
      </c>
      <c r="G1851" s="1">
        <v>1</v>
      </c>
      <c r="H1851" s="1">
        <v>1</v>
      </c>
      <c r="I1851" s="1">
        <f t="shared" si="144"/>
        <v>1</v>
      </c>
    </row>
    <row r="1852" spans="1:9" x14ac:dyDescent="0.25">
      <c r="A1852" s="26">
        <v>47142</v>
      </c>
      <c r="B1852" s="27">
        <f t="shared" si="140"/>
        <v>2029</v>
      </c>
      <c r="C1852" s="27">
        <f t="shared" si="141"/>
        <v>1</v>
      </c>
      <c r="D1852" s="27">
        <f t="shared" si="142"/>
        <v>24</v>
      </c>
      <c r="E1852" s="27">
        <f t="shared" si="143"/>
        <v>4</v>
      </c>
      <c r="F1852" s="27">
        <f>VLOOKUP(E1852,[2]t_calendarioPolitica!A:C,3,FALSE)</f>
        <v>1</v>
      </c>
      <c r="G1852" s="1">
        <v>1</v>
      </c>
      <c r="H1852" s="1">
        <v>1</v>
      </c>
      <c r="I1852" s="1">
        <f t="shared" si="144"/>
        <v>1</v>
      </c>
    </row>
    <row r="1853" spans="1:9" x14ac:dyDescent="0.25">
      <c r="A1853" s="26">
        <v>47143</v>
      </c>
      <c r="B1853" s="27">
        <f t="shared" si="140"/>
        <v>2029</v>
      </c>
      <c r="C1853" s="27">
        <f t="shared" si="141"/>
        <v>1</v>
      </c>
      <c r="D1853" s="27">
        <f t="shared" si="142"/>
        <v>25</v>
      </c>
      <c r="E1853" s="27">
        <f t="shared" si="143"/>
        <v>5</v>
      </c>
      <c r="F1853" s="27">
        <f>VLOOKUP(E1853,[2]t_calendarioPolitica!A:C,3,FALSE)</f>
        <v>1</v>
      </c>
      <c r="G1853" s="1">
        <v>1</v>
      </c>
      <c r="H1853" s="1">
        <v>1</v>
      </c>
      <c r="I1853" s="1">
        <f t="shared" si="144"/>
        <v>1</v>
      </c>
    </row>
    <row r="1854" spans="1:9" x14ac:dyDescent="0.25">
      <c r="A1854" s="26">
        <v>47144</v>
      </c>
      <c r="B1854" s="27">
        <f t="shared" si="140"/>
        <v>2029</v>
      </c>
      <c r="C1854" s="27">
        <f t="shared" si="141"/>
        <v>1</v>
      </c>
      <c r="D1854" s="27">
        <f t="shared" si="142"/>
        <v>26</v>
      </c>
      <c r="E1854" s="27">
        <f t="shared" si="143"/>
        <v>6</v>
      </c>
      <c r="F1854" s="27">
        <f>VLOOKUP(E1854,[2]t_calendarioPolitica!A:C,3,FALSE)</f>
        <v>1</v>
      </c>
      <c r="G1854" s="1">
        <v>1</v>
      </c>
      <c r="H1854" s="1">
        <v>1</v>
      </c>
      <c r="I1854" s="1">
        <f t="shared" si="144"/>
        <v>1</v>
      </c>
    </row>
    <row r="1855" spans="1:9" x14ac:dyDescent="0.25">
      <c r="A1855" s="26">
        <v>47145</v>
      </c>
      <c r="B1855" s="27">
        <f t="shared" si="140"/>
        <v>2029</v>
      </c>
      <c r="C1855" s="27">
        <f t="shared" si="141"/>
        <v>1</v>
      </c>
      <c r="D1855" s="27">
        <f t="shared" si="142"/>
        <v>27</v>
      </c>
      <c r="E1855" s="27">
        <f t="shared" si="143"/>
        <v>7</v>
      </c>
      <c r="F1855" s="27">
        <f>VLOOKUP(E1855,[2]t_calendarioPolitica!A:C,3,FALSE)</f>
        <v>2</v>
      </c>
      <c r="G1855" s="1">
        <v>1</v>
      </c>
      <c r="H1855" s="1">
        <v>1</v>
      </c>
      <c r="I1855" s="1">
        <f t="shared" si="144"/>
        <v>1</v>
      </c>
    </row>
    <row r="1856" spans="1:9" x14ac:dyDescent="0.25">
      <c r="A1856" s="26">
        <v>47146</v>
      </c>
      <c r="B1856" s="27">
        <f t="shared" si="140"/>
        <v>2029</v>
      </c>
      <c r="C1856" s="27">
        <f t="shared" si="141"/>
        <v>1</v>
      </c>
      <c r="D1856" s="27">
        <f t="shared" si="142"/>
        <v>28</v>
      </c>
      <c r="E1856" s="27">
        <f t="shared" si="143"/>
        <v>1</v>
      </c>
      <c r="F1856" s="27">
        <f>VLOOKUP(E1856,[2]t_calendarioPolitica!A:C,3,FALSE)</f>
        <v>0</v>
      </c>
      <c r="G1856" s="1">
        <v>1</v>
      </c>
      <c r="H1856" s="1">
        <v>1</v>
      </c>
      <c r="I1856" s="1">
        <f t="shared" si="144"/>
        <v>0</v>
      </c>
    </row>
    <row r="1857" spans="1:9" x14ac:dyDescent="0.25">
      <c r="A1857" s="26">
        <v>47147</v>
      </c>
      <c r="B1857" s="27">
        <f t="shared" si="140"/>
        <v>2029</v>
      </c>
      <c r="C1857" s="27">
        <f t="shared" si="141"/>
        <v>1</v>
      </c>
      <c r="D1857" s="27">
        <f t="shared" si="142"/>
        <v>29</v>
      </c>
      <c r="E1857" s="27">
        <f t="shared" si="143"/>
        <v>2</v>
      </c>
      <c r="F1857" s="27">
        <f>VLOOKUP(E1857,[2]t_calendarioPolitica!A:C,3,FALSE)</f>
        <v>1</v>
      </c>
      <c r="G1857" s="1">
        <v>1</v>
      </c>
      <c r="H1857" s="1">
        <v>1</v>
      </c>
      <c r="I1857" s="1">
        <f t="shared" si="144"/>
        <v>1</v>
      </c>
    </row>
    <row r="1858" spans="1:9" x14ac:dyDescent="0.25">
      <c r="A1858" s="26">
        <v>47148</v>
      </c>
      <c r="B1858" s="27">
        <f t="shared" si="140"/>
        <v>2029</v>
      </c>
      <c r="C1858" s="27">
        <f t="shared" si="141"/>
        <v>1</v>
      </c>
      <c r="D1858" s="27">
        <f t="shared" si="142"/>
        <v>30</v>
      </c>
      <c r="E1858" s="27">
        <f t="shared" si="143"/>
        <v>3</v>
      </c>
      <c r="F1858" s="27">
        <f>VLOOKUP(E1858,[2]t_calendarioPolitica!A:C,3,FALSE)</f>
        <v>1</v>
      </c>
      <c r="G1858" s="1">
        <v>1</v>
      </c>
      <c r="H1858" s="1">
        <v>1</v>
      </c>
      <c r="I1858" s="1">
        <f t="shared" si="144"/>
        <v>1</v>
      </c>
    </row>
    <row r="1859" spans="1:9" x14ac:dyDescent="0.25">
      <c r="A1859" s="26">
        <v>47149</v>
      </c>
      <c r="B1859" s="27">
        <f t="shared" ref="B1859:B1922" si="145">YEAR(A1859)</f>
        <v>2029</v>
      </c>
      <c r="C1859" s="27">
        <f t="shared" ref="C1859:C1922" si="146">MONTH(A1859)</f>
        <v>1</v>
      </c>
      <c r="D1859" s="27">
        <f t="shared" ref="D1859:D1922" si="147">DAY(A1859)</f>
        <v>31</v>
      </c>
      <c r="E1859" s="27">
        <f t="shared" ref="E1859:E1922" si="148">WEEKDAY(A1859)</f>
        <v>4</v>
      </c>
      <c r="F1859" s="27">
        <f>VLOOKUP(E1859,[2]t_calendarioPolitica!A:C,3,FALSE)</f>
        <v>1</v>
      </c>
      <c r="G1859" s="1">
        <v>1</v>
      </c>
      <c r="H1859" s="1">
        <v>1</v>
      </c>
      <c r="I1859" s="1">
        <f t="shared" ref="I1859:I1922" si="149">IF(AND(F1859&lt;&gt;0, H1859&lt;&gt;0,G1859&lt;&gt;0), 1, 0)</f>
        <v>1</v>
      </c>
    </row>
    <row r="1860" spans="1:9" x14ac:dyDescent="0.25">
      <c r="A1860" s="26">
        <v>47150</v>
      </c>
      <c r="B1860" s="27">
        <f t="shared" si="145"/>
        <v>2029</v>
      </c>
      <c r="C1860" s="27">
        <f t="shared" si="146"/>
        <v>2</v>
      </c>
      <c r="D1860" s="27">
        <f t="shared" si="147"/>
        <v>1</v>
      </c>
      <c r="E1860" s="27">
        <f t="shared" si="148"/>
        <v>5</v>
      </c>
      <c r="F1860" s="27">
        <f>VLOOKUP(E1860,[2]t_calendarioPolitica!A:C,3,FALSE)</f>
        <v>1</v>
      </c>
      <c r="G1860" s="1">
        <v>1</v>
      </c>
      <c r="H1860" s="1">
        <v>1</v>
      </c>
      <c r="I1860" s="1">
        <f t="shared" si="149"/>
        <v>1</v>
      </c>
    </row>
    <row r="1861" spans="1:9" x14ac:dyDescent="0.25">
      <c r="A1861" s="26">
        <v>47151</v>
      </c>
      <c r="B1861" s="27">
        <f t="shared" si="145"/>
        <v>2029</v>
      </c>
      <c r="C1861" s="27">
        <f t="shared" si="146"/>
        <v>2</v>
      </c>
      <c r="D1861" s="27">
        <f t="shared" si="147"/>
        <v>2</v>
      </c>
      <c r="E1861" s="27">
        <f t="shared" si="148"/>
        <v>6</v>
      </c>
      <c r="F1861" s="27">
        <f>VLOOKUP(E1861,[2]t_calendarioPolitica!A:C,3,FALSE)</f>
        <v>1</v>
      </c>
      <c r="G1861" s="1">
        <v>1</v>
      </c>
      <c r="H1861" s="1">
        <v>1</v>
      </c>
      <c r="I1861" s="1">
        <f t="shared" si="149"/>
        <v>1</v>
      </c>
    </row>
    <row r="1862" spans="1:9" x14ac:dyDescent="0.25">
      <c r="A1862" s="26">
        <v>47152</v>
      </c>
      <c r="B1862" s="27">
        <f t="shared" si="145"/>
        <v>2029</v>
      </c>
      <c r="C1862" s="27">
        <f t="shared" si="146"/>
        <v>2</v>
      </c>
      <c r="D1862" s="27">
        <f t="shared" si="147"/>
        <v>3</v>
      </c>
      <c r="E1862" s="27">
        <f t="shared" si="148"/>
        <v>7</v>
      </c>
      <c r="F1862" s="27">
        <f>VLOOKUP(E1862,[2]t_calendarioPolitica!A:C,3,FALSE)</f>
        <v>2</v>
      </c>
      <c r="G1862" s="1">
        <v>1</v>
      </c>
      <c r="H1862" s="1">
        <v>1</v>
      </c>
      <c r="I1862" s="1">
        <f t="shared" si="149"/>
        <v>1</v>
      </c>
    </row>
    <row r="1863" spans="1:9" x14ac:dyDescent="0.25">
      <c r="A1863" s="26">
        <v>47153</v>
      </c>
      <c r="B1863" s="27">
        <f t="shared" si="145"/>
        <v>2029</v>
      </c>
      <c r="C1863" s="27">
        <f t="shared" si="146"/>
        <v>2</v>
      </c>
      <c r="D1863" s="27">
        <f t="shared" si="147"/>
        <v>4</v>
      </c>
      <c r="E1863" s="27">
        <f t="shared" si="148"/>
        <v>1</v>
      </c>
      <c r="F1863" s="27">
        <f>VLOOKUP(E1863,[2]t_calendarioPolitica!A:C,3,FALSE)</f>
        <v>0</v>
      </c>
      <c r="G1863" s="1">
        <v>1</v>
      </c>
      <c r="H1863" s="1">
        <v>1</v>
      </c>
      <c r="I1863" s="1">
        <f t="shared" si="149"/>
        <v>0</v>
      </c>
    </row>
    <row r="1864" spans="1:9" x14ac:dyDescent="0.25">
      <c r="A1864" s="26">
        <v>47154</v>
      </c>
      <c r="B1864" s="27">
        <f t="shared" si="145"/>
        <v>2029</v>
      </c>
      <c r="C1864" s="27">
        <f t="shared" si="146"/>
        <v>2</v>
      </c>
      <c r="D1864" s="27">
        <f t="shared" si="147"/>
        <v>5</v>
      </c>
      <c r="E1864" s="27">
        <f t="shared" si="148"/>
        <v>2</v>
      </c>
      <c r="F1864" s="27">
        <f>VLOOKUP(E1864,[2]t_calendarioPolitica!A:C,3,FALSE)</f>
        <v>1</v>
      </c>
      <c r="G1864" s="1">
        <v>1</v>
      </c>
      <c r="H1864" s="1">
        <v>1</v>
      </c>
      <c r="I1864" s="1">
        <f t="shared" si="149"/>
        <v>1</v>
      </c>
    </row>
    <row r="1865" spans="1:9" x14ac:dyDescent="0.25">
      <c r="A1865" s="26">
        <v>47155</v>
      </c>
      <c r="B1865" s="27">
        <f t="shared" si="145"/>
        <v>2029</v>
      </c>
      <c r="C1865" s="27">
        <f t="shared" si="146"/>
        <v>2</v>
      </c>
      <c r="D1865" s="27">
        <f t="shared" si="147"/>
        <v>6</v>
      </c>
      <c r="E1865" s="27">
        <f t="shared" si="148"/>
        <v>3</v>
      </c>
      <c r="F1865" s="27">
        <f>VLOOKUP(E1865,[2]t_calendarioPolitica!A:C,3,FALSE)</f>
        <v>1</v>
      </c>
      <c r="G1865" s="1">
        <v>1</v>
      </c>
      <c r="H1865" s="1">
        <v>1</v>
      </c>
      <c r="I1865" s="1">
        <f t="shared" si="149"/>
        <v>1</v>
      </c>
    </row>
    <row r="1866" spans="1:9" x14ac:dyDescent="0.25">
      <c r="A1866" s="26">
        <v>47156</v>
      </c>
      <c r="B1866" s="27">
        <f t="shared" si="145"/>
        <v>2029</v>
      </c>
      <c r="C1866" s="27">
        <f t="shared" si="146"/>
        <v>2</v>
      </c>
      <c r="D1866" s="27">
        <f t="shared" si="147"/>
        <v>7</v>
      </c>
      <c r="E1866" s="27">
        <f t="shared" si="148"/>
        <v>4</v>
      </c>
      <c r="F1866" s="27">
        <f>VLOOKUP(E1866,[2]t_calendarioPolitica!A:C,3,FALSE)</f>
        <v>1</v>
      </c>
      <c r="G1866" s="1">
        <v>1</v>
      </c>
      <c r="H1866" s="1">
        <v>1</v>
      </c>
      <c r="I1866" s="1">
        <f t="shared" si="149"/>
        <v>1</v>
      </c>
    </row>
    <row r="1867" spans="1:9" x14ac:dyDescent="0.25">
      <c r="A1867" s="26">
        <v>47157</v>
      </c>
      <c r="B1867" s="27">
        <f t="shared" si="145"/>
        <v>2029</v>
      </c>
      <c r="C1867" s="27">
        <f t="shared" si="146"/>
        <v>2</v>
      </c>
      <c r="D1867" s="27">
        <f t="shared" si="147"/>
        <v>8</v>
      </c>
      <c r="E1867" s="27">
        <f t="shared" si="148"/>
        <v>5</v>
      </c>
      <c r="F1867" s="27">
        <f>VLOOKUP(E1867,[2]t_calendarioPolitica!A:C,3,FALSE)</f>
        <v>1</v>
      </c>
      <c r="G1867" s="1">
        <v>1</v>
      </c>
      <c r="H1867" s="1">
        <v>1</v>
      </c>
      <c r="I1867" s="1">
        <f t="shared" si="149"/>
        <v>1</v>
      </c>
    </row>
    <row r="1868" spans="1:9" x14ac:dyDescent="0.25">
      <c r="A1868" s="26">
        <v>47158</v>
      </c>
      <c r="B1868" s="27">
        <f t="shared" si="145"/>
        <v>2029</v>
      </c>
      <c r="C1868" s="27">
        <f t="shared" si="146"/>
        <v>2</v>
      </c>
      <c r="D1868" s="27">
        <f t="shared" si="147"/>
        <v>9</v>
      </c>
      <c r="E1868" s="27">
        <f t="shared" si="148"/>
        <v>6</v>
      </c>
      <c r="F1868" s="27">
        <f>VLOOKUP(E1868,[2]t_calendarioPolitica!A:C,3,FALSE)</f>
        <v>1</v>
      </c>
      <c r="G1868" s="1">
        <v>1</v>
      </c>
      <c r="H1868" s="1">
        <v>1</v>
      </c>
      <c r="I1868" s="1">
        <f t="shared" si="149"/>
        <v>1</v>
      </c>
    </row>
    <row r="1869" spans="1:9" x14ac:dyDescent="0.25">
      <c r="A1869" s="26">
        <v>47159</v>
      </c>
      <c r="B1869" s="27">
        <f t="shared" si="145"/>
        <v>2029</v>
      </c>
      <c r="C1869" s="27">
        <f t="shared" si="146"/>
        <v>2</v>
      </c>
      <c r="D1869" s="27">
        <f t="shared" si="147"/>
        <v>10</v>
      </c>
      <c r="E1869" s="27">
        <f t="shared" si="148"/>
        <v>7</v>
      </c>
      <c r="F1869" s="27">
        <f>VLOOKUP(E1869,[2]t_calendarioPolitica!A:C,3,FALSE)</f>
        <v>2</v>
      </c>
      <c r="G1869" s="1">
        <v>1</v>
      </c>
      <c r="H1869" s="1">
        <v>1</v>
      </c>
      <c r="I1869" s="1">
        <f t="shared" si="149"/>
        <v>1</v>
      </c>
    </row>
    <row r="1870" spans="1:9" x14ac:dyDescent="0.25">
      <c r="A1870" s="26">
        <v>47160</v>
      </c>
      <c r="B1870" s="27">
        <f t="shared" si="145"/>
        <v>2029</v>
      </c>
      <c r="C1870" s="27">
        <f t="shared" si="146"/>
        <v>2</v>
      </c>
      <c r="D1870" s="27">
        <f t="shared" si="147"/>
        <v>11</v>
      </c>
      <c r="E1870" s="27">
        <f t="shared" si="148"/>
        <v>1</v>
      </c>
      <c r="F1870" s="27">
        <f>VLOOKUP(E1870,[2]t_calendarioPolitica!A:C,3,FALSE)</f>
        <v>0</v>
      </c>
      <c r="G1870" s="1">
        <v>1</v>
      </c>
      <c r="H1870" s="1">
        <v>1</v>
      </c>
      <c r="I1870" s="1">
        <f t="shared" si="149"/>
        <v>0</v>
      </c>
    </row>
    <row r="1871" spans="1:9" x14ac:dyDescent="0.25">
      <c r="A1871" s="26">
        <v>47161</v>
      </c>
      <c r="B1871" s="27">
        <f t="shared" si="145"/>
        <v>2029</v>
      </c>
      <c r="C1871" s="27">
        <f t="shared" si="146"/>
        <v>2</v>
      </c>
      <c r="D1871" s="27">
        <f t="shared" si="147"/>
        <v>12</v>
      </c>
      <c r="E1871" s="27">
        <f t="shared" si="148"/>
        <v>2</v>
      </c>
      <c r="F1871" s="27">
        <f>VLOOKUP(E1871,[2]t_calendarioPolitica!A:C,3,FALSE)</f>
        <v>1</v>
      </c>
      <c r="G1871" s="1">
        <v>1</v>
      </c>
      <c r="H1871" s="1">
        <v>1</v>
      </c>
      <c r="I1871" s="1">
        <f t="shared" si="149"/>
        <v>1</v>
      </c>
    </row>
    <row r="1872" spans="1:9" x14ac:dyDescent="0.25">
      <c r="A1872" s="26">
        <v>47162</v>
      </c>
      <c r="B1872" s="27">
        <f t="shared" si="145"/>
        <v>2029</v>
      </c>
      <c r="C1872" s="27">
        <f t="shared" si="146"/>
        <v>2</v>
      </c>
      <c r="D1872" s="27">
        <f t="shared" si="147"/>
        <v>13</v>
      </c>
      <c r="E1872" s="27">
        <f t="shared" si="148"/>
        <v>3</v>
      </c>
      <c r="F1872" s="27">
        <f>VLOOKUP(E1872,[2]t_calendarioPolitica!A:C,3,FALSE)</f>
        <v>1</v>
      </c>
      <c r="G1872" s="1">
        <v>1</v>
      </c>
      <c r="H1872" s="1">
        <v>1</v>
      </c>
      <c r="I1872" s="1">
        <f t="shared" si="149"/>
        <v>1</v>
      </c>
    </row>
    <row r="1873" spans="1:9" x14ac:dyDescent="0.25">
      <c r="A1873" s="26">
        <v>47163</v>
      </c>
      <c r="B1873" s="27">
        <f t="shared" si="145"/>
        <v>2029</v>
      </c>
      <c r="C1873" s="27">
        <f t="shared" si="146"/>
        <v>2</v>
      </c>
      <c r="D1873" s="27">
        <f t="shared" si="147"/>
        <v>14</v>
      </c>
      <c r="E1873" s="27">
        <f t="shared" si="148"/>
        <v>4</v>
      </c>
      <c r="F1873" s="27">
        <f>VLOOKUP(E1873,[2]t_calendarioPolitica!A:C,3,FALSE)</f>
        <v>1</v>
      </c>
      <c r="G1873" s="1">
        <v>1</v>
      </c>
      <c r="H1873" s="1">
        <v>1</v>
      </c>
      <c r="I1873" s="1">
        <f t="shared" si="149"/>
        <v>1</v>
      </c>
    </row>
    <row r="1874" spans="1:9" x14ac:dyDescent="0.25">
      <c r="A1874" s="26">
        <v>47164</v>
      </c>
      <c r="B1874" s="27">
        <f t="shared" si="145"/>
        <v>2029</v>
      </c>
      <c r="C1874" s="27">
        <f t="shared" si="146"/>
        <v>2</v>
      </c>
      <c r="D1874" s="27">
        <f t="shared" si="147"/>
        <v>15</v>
      </c>
      <c r="E1874" s="27">
        <f t="shared" si="148"/>
        <v>5</v>
      </c>
      <c r="F1874" s="27">
        <f>VLOOKUP(E1874,[2]t_calendarioPolitica!A:C,3,FALSE)</f>
        <v>1</v>
      </c>
      <c r="G1874" s="1">
        <v>1</v>
      </c>
      <c r="H1874" s="1">
        <v>1</v>
      </c>
      <c r="I1874" s="1">
        <f t="shared" si="149"/>
        <v>1</v>
      </c>
    </row>
    <row r="1875" spans="1:9" x14ac:dyDescent="0.25">
      <c r="A1875" s="26">
        <v>47165</v>
      </c>
      <c r="B1875" s="27">
        <f t="shared" si="145"/>
        <v>2029</v>
      </c>
      <c r="C1875" s="27">
        <f t="shared" si="146"/>
        <v>2</v>
      </c>
      <c r="D1875" s="27">
        <f t="shared" si="147"/>
        <v>16</v>
      </c>
      <c r="E1875" s="27">
        <f t="shared" si="148"/>
        <v>6</v>
      </c>
      <c r="F1875" s="27">
        <f>VLOOKUP(E1875,[2]t_calendarioPolitica!A:C,3,FALSE)</f>
        <v>1</v>
      </c>
      <c r="G1875" s="1">
        <v>1</v>
      </c>
      <c r="H1875" s="1">
        <v>1</v>
      </c>
      <c r="I1875" s="1">
        <f t="shared" si="149"/>
        <v>1</v>
      </c>
    </row>
    <row r="1876" spans="1:9" x14ac:dyDescent="0.25">
      <c r="A1876" s="26">
        <v>47166</v>
      </c>
      <c r="B1876" s="27">
        <f t="shared" si="145"/>
        <v>2029</v>
      </c>
      <c r="C1876" s="27">
        <f t="shared" si="146"/>
        <v>2</v>
      </c>
      <c r="D1876" s="27">
        <f t="shared" si="147"/>
        <v>17</v>
      </c>
      <c r="E1876" s="27">
        <f t="shared" si="148"/>
        <v>7</v>
      </c>
      <c r="F1876" s="27">
        <f>VLOOKUP(E1876,[2]t_calendarioPolitica!A:C,3,FALSE)</f>
        <v>2</v>
      </c>
      <c r="G1876" s="1">
        <v>1</v>
      </c>
      <c r="H1876" s="1">
        <v>1</v>
      </c>
      <c r="I1876" s="1">
        <f t="shared" si="149"/>
        <v>1</v>
      </c>
    </row>
    <row r="1877" spans="1:9" x14ac:dyDescent="0.25">
      <c r="A1877" s="26">
        <v>47167</v>
      </c>
      <c r="B1877" s="27">
        <f t="shared" si="145"/>
        <v>2029</v>
      </c>
      <c r="C1877" s="27">
        <f t="shared" si="146"/>
        <v>2</v>
      </c>
      <c r="D1877" s="27">
        <f t="shared" si="147"/>
        <v>18</v>
      </c>
      <c r="E1877" s="27">
        <f t="shared" si="148"/>
        <v>1</v>
      </c>
      <c r="F1877" s="27">
        <f>VLOOKUP(E1877,[2]t_calendarioPolitica!A:C,3,FALSE)</f>
        <v>0</v>
      </c>
      <c r="G1877" s="1">
        <v>1</v>
      </c>
      <c r="H1877" s="1">
        <v>1</v>
      </c>
      <c r="I1877" s="1">
        <f t="shared" si="149"/>
        <v>0</v>
      </c>
    </row>
    <row r="1878" spans="1:9" x14ac:dyDescent="0.25">
      <c r="A1878" s="26">
        <v>47168</v>
      </c>
      <c r="B1878" s="27">
        <f t="shared" si="145"/>
        <v>2029</v>
      </c>
      <c r="C1878" s="27">
        <f t="shared" si="146"/>
        <v>2</v>
      </c>
      <c r="D1878" s="27">
        <f t="shared" si="147"/>
        <v>19</v>
      </c>
      <c r="E1878" s="27">
        <f t="shared" si="148"/>
        <v>2</v>
      </c>
      <c r="F1878" s="27">
        <f>VLOOKUP(E1878,[2]t_calendarioPolitica!A:C,3,FALSE)</f>
        <v>1</v>
      </c>
      <c r="G1878" s="1">
        <v>1</v>
      </c>
      <c r="H1878" s="1">
        <v>1</v>
      </c>
      <c r="I1878" s="1">
        <f t="shared" si="149"/>
        <v>1</v>
      </c>
    </row>
    <row r="1879" spans="1:9" x14ac:dyDescent="0.25">
      <c r="A1879" s="26">
        <v>47169</v>
      </c>
      <c r="B1879" s="27">
        <f t="shared" si="145"/>
        <v>2029</v>
      </c>
      <c r="C1879" s="27">
        <f t="shared" si="146"/>
        <v>2</v>
      </c>
      <c r="D1879" s="27">
        <f t="shared" si="147"/>
        <v>20</v>
      </c>
      <c r="E1879" s="27">
        <f t="shared" si="148"/>
        <v>3</v>
      </c>
      <c r="F1879" s="27">
        <f>VLOOKUP(E1879,[2]t_calendarioPolitica!A:C,3,FALSE)</f>
        <v>1</v>
      </c>
      <c r="G1879" s="1">
        <v>1</v>
      </c>
      <c r="H1879" s="1">
        <v>1</v>
      </c>
      <c r="I1879" s="1">
        <f t="shared" si="149"/>
        <v>1</v>
      </c>
    </row>
    <row r="1880" spans="1:9" x14ac:dyDescent="0.25">
      <c r="A1880" s="26">
        <v>47170</v>
      </c>
      <c r="B1880" s="27">
        <f t="shared" si="145"/>
        <v>2029</v>
      </c>
      <c r="C1880" s="27">
        <f t="shared" si="146"/>
        <v>2</v>
      </c>
      <c r="D1880" s="27">
        <f t="shared" si="147"/>
        <v>21</v>
      </c>
      <c r="E1880" s="27">
        <f t="shared" si="148"/>
        <v>4</v>
      </c>
      <c r="F1880" s="27">
        <f>VLOOKUP(E1880,[2]t_calendarioPolitica!A:C,3,FALSE)</f>
        <v>1</v>
      </c>
      <c r="G1880" s="1">
        <v>1</v>
      </c>
      <c r="H1880" s="1">
        <v>1</v>
      </c>
      <c r="I1880" s="1">
        <f t="shared" si="149"/>
        <v>1</v>
      </c>
    </row>
    <row r="1881" spans="1:9" x14ac:dyDescent="0.25">
      <c r="A1881" s="26">
        <v>47171</v>
      </c>
      <c r="B1881" s="27">
        <f t="shared" si="145"/>
        <v>2029</v>
      </c>
      <c r="C1881" s="27">
        <f t="shared" si="146"/>
        <v>2</v>
      </c>
      <c r="D1881" s="27">
        <f t="shared" si="147"/>
        <v>22</v>
      </c>
      <c r="E1881" s="27">
        <f t="shared" si="148"/>
        <v>5</v>
      </c>
      <c r="F1881" s="27">
        <f>VLOOKUP(E1881,[2]t_calendarioPolitica!A:C,3,FALSE)</f>
        <v>1</v>
      </c>
      <c r="G1881" s="1">
        <v>1</v>
      </c>
      <c r="H1881" s="1">
        <v>1</v>
      </c>
      <c r="I1881" s="1">
        <f t="shared" si="149"/>
        <v>1</v>
      </c>
    </row>
    <row r="1882" spans="1:9" x14ac:dyDescent="0.25">
      <c r="A1882" s="26">
        <v>47172</v>
      </c>
      <c r="B1882" s="27">
        <f t="shared" si="145"/>
        <v>2029</v>
      </c>
      <c r="C1882" s="27">
        <f t="shared" si="146"/>
        <v>2</v>
      </c>
      <c r="D1882" s="27">
        <f t="shared" si="147"/>
        <v>23</v>
      </c>
      <c r="E1882" s="27">
        <f t="shared" si="148"/>
        <v>6</v>
      </c>
      <c r="F1882" s="27">
        <f>VLOOKUP(E1882,[2]t_calendarioPolitica!A:C,3,FALSE)</f>
        <v>1</v>
      </c>
      <c r="G1882" s="1">
        <v>1</v>
      </c>
      <c r="H1882" s="1">
        <v>1</v>
      </c>
      <c r="I1882" s="1">
        <f t="shared" si="149"/>
        <v>1</v>
      </c>
    </row>
    <row r="1883" spans="1:9" x14ac:dyDescent="0.25">
      <c r="A1883" s="26">
        <v>47173</v>
      </c>
      <c r="B1883" s="27">
        <f t="shared" si="145"/>
        <v>2029</v>
      </c>
      <c r="C1883" s="27">
        <f t="shared" si="146"/>
        <v>2</v>
      </c>
      <c r="D1883" s="27">
        <f t="shared" si="147"/>
        <v>24</v>
      </c>
      <c r="E1883" s="27">
        <f t="shared" si="148"/>
        <v>7</v>
      </c>
      <c r="F1883" s="27">
        <f>VLOOKUP(E1883,[2]t_calendarioPolitica!A:C,3,FALSE)</f>
        <v>2</v>
      </c>
      <c r="G1883" s="1">
        <v>1</v>
      </c>
      <c r="H1883" s="1">
        <v>1</v>
      </c>
      <c r="I1883" s="1">
        <f t="shared" si="149"/>
        <v>1</v>
      </c>
    </row>
    <row r="1884" spans="1:9" x14ac:dyDescent="0.25">
      <c r="A1884" s="26">
        <v>47174</v>
      </c>
      <c r="B1884" s="27">
        <f t="shared" si="145"/>
        <v>2029</v>
      </c>
      <c r="C1884" s="27">
        <f t="shared" si="146"/>
        <v>2</v>
      </c>
      <c r="D1884" s="27">
        <f t="shared" si="147"/>
        <v>25</v>
      </c>
      <c r="E1884" s="27">
        <f t="shared" si="148"/>
        <v>1</v>
      </c>
      <c r="F1884" s="27">
        <f>VLOOKUP(E1884,[2]t_calendarioPolitica!A:C,3,FALSE)</f>
        <v>0</v>
      </c>
      <c r="G1884" s="1">
        <v>1</v>
      </c>
      <c r="H1884" s="1">
        <v>1</v>
      </c>
      <c r="I1884" s="1">
        <f t="shared" si="149"/>
        <v>0</v>
      </c>
    </row>
    <row r="1885" spans="1:9" x14ac:dyDescent="0.25">
      <c r="A1885" s="26">
        <v>47175</v>
      </c>
      <c r="B1885" s="27">
        <f t="shared" si="145"/>
        <v>2029</v>
      </c>
      <c r="C1885" s="27">
        <f t="shared" si="146"/>
        <v>2</v>
      </c>
      <c r="D1885" s="27">
        <f t="shared" si="147"/>
        <v>26</v>
      </c>
      <c r="E1885" s="27">
        <f t="shared" si="148"/>
        <v>2</v>
      </c>
      <c r="F1885" s="27">
        <f>VLOOKUP(E1885,[2]t_calendarioPolitica!A:C,3,FALSE)</f>
        <v>1</v>
      </c>
      <c r="G1885" s="1">
        <v>1</v>
      </c>
      <c r="H1885" s="1">
        <v>1</v>
      </c>
      <c r="I1885" s="1">
        <f t="shared" si="149"/>
        <v>1</v>
      </c>
    </row>
    <row r="1886" spans="1:9" x14ac:dyDescent="0.25">
      <c r="A1886" s="26">
        <v>47176</v>
      </c>
      <c r="B1886" s="27">
        <f t="shared" si="145"/>
        <v>2029</v>
      </c>
      <c r="C1886" s="27">
        <f t="shared" si="146"/>
        <v>2</v>
      </c>
      <c r="D1886" s="27">
        <f t="shared" si="147"/>
        <v>27</v>
      </c>
      <c r="E1886" s="27">
        <f t="shared" si="148"/>
        <v>3</v>
      </c>
      <c r="F1886" s="27">
        <f>VLOOKUP(E1886,[2]t_calendarioPolitica!A:C,3,FALSE)</f>
        <v>1</v>
      </c>
      <c r="G1886" s="1">
        <v>1</v>
      </c>
      <c r="H1886" s="1">
        <v>1</v>
      </c>
      <c r="I1886" s="1">
        <f t="shared" si="149"/>
        <v>1</v>
      </c>
    </row>
    <row r="1887" spans="1:9" x14ac:dyDescent="0.25">
      <c r="A1887" s="26">
        <v>47177</v>
      </c>
      <c r="B1887" s="27">
        <f t="shared" si="145"/>
        <v>2029</v>
      </c>
      <c r="C1887" s="27">
        <f t="shared" si="146"/>
        <v>2</v>
      </c>
      <c r="D1887" s="27">
        <f t="shared" si="147"/>
        <v>28</v>
      </c>
      <c r="E1887" s="27">
        <f t="shared" si="148"/>
        <v>4</v>
      </c>
      <c r="F1887" s="27">
        <f>VLOOKUP(E1887,[2]t_calendarioPolitica!A:C,3,FALSE)</f>
        <v>1</v>
      </c>
      <c r="G1887" s="1">
        <v>1</v>
      </c>
      <c r="H1887" s="1">
        <v>1</v>
      </c>
      <c r="I1887" s="1">
        <f t="shared" si="149"/>
        <v>1</v>
      </c>
    </row>
    <row r="1888" spans="1:9" x14ac:dyDescent="0.25">
      <c r="A1888" s="26">
        <v>47178</v>
      </c>
      <c r="B1888" s="27">
        <f t="shared" si="145"/>
        <v>2029</v>
      </c>
      <c r="C1888" s="27">
        <f t="shared" si="146"/>
        <v>3</v>
      </c>
      <c r="D1888" s="27">
        <f t="shared" si="147"/>
        <v>1</v>
      </c>
      <c r="E1888" s="27">
        <f t="shared" si="148"/>
        <v>5</v>
      </c>
      <c r="F1888" s="27">
        <f>VLOOKUP(E1888,[2]t_calendarioPolitica!A:C,3,FALSE)</f>
        <v>1</v>
      </c>
      <c r="G1888" s="1">
        <v>1</v>
      </c>
      <c r="H1888" s="1">
        <v>1</v>
      </c>
      <c r="I1888" s="1">
        <f t="shared" si="149"/>
        <v>1</v>
      </c>
    </row>
    <row r="1889" spans="1:9" x14ac:dyDescent="0.25">
      <c r="A1889" s="26">
        <v>47179</v>
      </c>
      <c r="B1889" s="27">
        <f t="shared" si="145"/>
        <v>2029</v>
      </c>
      <c r="C1889" s="27">
        <f t="shared" si="146"/>
        <v>3</v>
      </c>
      <c r="D1889" s="27">
        <f t="shared" si="147"/>
        <v>2</v>
      </c>
      <c r="E1889" s="27">
        <f t="shared" si="148"/>
        <v>6</v>
      </c>
      <c r="F1889" s="27">
        <f>VLOOKUP(E1889,[2]t_calendarioPolitica!A:C,3,FALSE)</f>
        <v>1</v>
      </c>
      <c r="G1889" s="1">
        <v>1</v>
      </c>
      <c r="H1889" s="1">
        <v>1</v>
      </c>
      <c r="I1889" s="1">
        <f t="shared" si="149"/>
        <v>1</v>
      </c>
    </row>
    <row r="1890" spans="1:9" x14ac:dyDescent="0.25">
      <c r="A1890" s="26">
        <v>47180</v>
      </c>
      <c r="B1890" s="27">
        <f t="shared" si="145"/>
        <v>2029</v>
      </c>
      <c r="C1890" s="27">
        <f t="shared" si="146"/>
        <v>3</v>
      </c>
      <c r="D1890" s="27">
        <f t="shared" si="147"/>
        <v>3</v>
      </c>
      <c r="E1890" s="27">
        <f t="shared" si="148"/>
        <v>7</v>
      </c>
      <c r="F1890" s="27">
        <f>VLOOKUP(E1890,[2]t_calendarioPolitica!A:C,3,FALSE)</f>
        <v>2</v>
      </c>
      <c r="G1890" s="1">
        <v>1</v>
      </c>
      <c r="H1890" s="1">
        <v>1</v>
      </c>
      <c r="I1890" s="1">
        <f t="shared" si="149"/>
        <v>1</v>
      </c>
    </row>
    <row r="1891" spans="1:9" x14ac:dyDescent="0.25">
      <c r="A1891" s="26">
        <v>47181</v>
      </c>
      <c r="B1891" s="27">
        <f t="shared" si="145"/>
        <v>2029</v>
      </c>
      <c r="C1891" s="27">
        <f t="shared" si="146"/>
        <v>3</v>
      </c>
      <c r="D1891" s="27">
        <f t="shared" si="147"/>
        <v>4</v>
      </c>
      <c r="E1891" s="27">
        <f t="shared" si="148"/>
        <v>1</v>
      </c>
      <c r="F1891" s="27">
        <f>VLOOKUP(E1891,[2]t_calendarioPolitica!A:C,3,FALSE)</f>
        <v>0</v>
      </c>
      <c r="G1891" s="1">
        <v>1</v>
      </c>
      <c r="H1891" s="1">
        <v>1</v>
      </c>
      <c r="I1891" s="1">
        <f t="shared" si="149"/>
        <v>0</v>
      </c>
    </row>
    <row r="1892" spans="1:9" x14ac:dyDescent="0.25">
      <c r="A1892" s="26">
        <v>47182</v>
      </c>
      <c r="B1892" s="27">
        <f t="shared" si="145"/>
        <v>2029</v>
      </c>
      <c r="C1892" s="27">
        <f t="shared" si="146"/>
        <v>3</v>
      </c>
      <c r="D1892" s="27">
        <f t="shared" si="147"/>
        <v>5</v>
      </c>
      <c r="E1892" s="27">
        <f t="shared" si="148"/>
        <v>2</v>
      </c>
      <c r="F1892" s="27">
        <f>VLOOKUP(E1892,[2]t_calendarioPolitica!A:C,3,FALSE)</f>
        <v>1</v>
      </c>
      <c r="G1892" s="1">
        <v>1</v>
      </c>
      <c r="H1892" s="1">
        <v>1</v>
      </c>
      <c r="I1892" s="1">
        <f t="shared" si="149"/>
        <v>1</v>
      </c>
    </row>
    <row r="1893" spans="1:9" x14ac:dyDescent="0.25">
      <c r="A1893" s="26">
        <v>47183</v>
      </c>
      <c r="B1893" s="27">
        <f t="shared" si="145"/>
        <v>2029</v>
      </c>
      <c r="C1893" s="27">
        <f t="shared" si="146"/>
        <v>3</v>
      </c>
      <c r="D1893" s="27">
        <f t="shared" si="147"/>
        <v>6</v>
      </c>
      <c r="E1893" s="27">
        <f t="shared" si="148"/>
        <v>3</v>
      </c>
      <c r="F1893" s="27">
        <f>VLOOKUP(E1893,[2]t_calendarioPolitica!A:C,3,FALSE)</f>
        <v>1</v>
      </c>
      <c r="G1893" s="1">
        <v>1</v>
      </c>
      <c r="H1893" s="1">
        <v>1</v>
      </c>
      <c r="I1893" s="1">
        <f t="shared" si="149"/>
        <v>1</v>
      </c>
    </row>
    <row r="1894" spans="1:9" x14ac:dyDescent="0.25">
      <c r="A1894" s="26">
        <v>47184</v>
      </c>
      <c r="B1894" s="27">
        <f t="shared" si="145"/>
        <v>2029</v>
      </c>
      <c r="C1894" s="27">
        <f t="shared" si="146"/>
        <v>3</v>
      </c>
      <c r="D1894" s="27">
        <f t="shared" si="147"/>
        <v>7</v>
      </c>
      <c r="E1894" s="27">
        <f t="shared" si="148"/>
        <v>4</v>
      </c>
      <c r="F1894" s="27">
        <f>VLOOKUP(E1894,[2]t_calendarioPolitica!A:C,3,FALSE)</f>
        <v>1</v>
      </c>
      <c r="G1894" s="1">
        <v>1</v>
      </c>
      <c r="H1894" s="1">
        <v>1</v>
      </c>
      <c r="I1894" s="1">
        <f t="shared" si="149"/>
        <v>1</v>
      </c>
    </row>
    <row r="1895" spans="1:9" x14ac:dyDescent="0.25">
      <c r="A1895" s="26">
        <v>47185</v>
      </c>
      <c r="B1895" s="27">
        <f t="shared" si="145"/>
        <v>2029</v>
      </c>
      <c r="C1895" s="27">
        <f t="shared" si="146"/>
        <v>3</v>
      </c>
      <c r="D1895" s="27">
        <f t="shared" si="147"/>
        <v>8</v>
      </c>
      <c r="E1895" s="27">
        <f t="shared" si="148"/>
        <v>5</v>
      </c>
      <c r="F1895" s="27">
        <f>VLOOKUP(E1895,[2]t_calendarioPolitica!A:C,3,FALSE)</f>
        <v>1</v>
      </c>
      <c r="G1895" s="1">
        <v>1</v>
      </c>
      <c r="H1895" s="1">
        <v>1</v>
      </c>
      <c r="I1895" s="1">
        <f t="shared" si="149"/>
        <v>1</v>
      </c>
    </row>
    <row r="1896" spans="1:9" x14ac:dyDescent="0.25">
      <c r="A1896" s="26">
        <v>47186</v>
      </c>
      <c r="B1896" s="27">
        <f t="shared" si="145"/>
        <v>2029</v>
      </c>
      <c r="C1896" s="27">
        <f t="shared" si="146"/>
        <v>3</v>
      </c>
      <c r="D1896" s="27">
        <f t="shared" si="147"/>
        <v>9</v>
      </c>
      <c r="E1896" s="27">
        <f t="shared" si="148"/>
        <v>6</v>
      </c>
      <c r="F1896" s="27">
        <f>VLOOKUP(E1896,[2]t_calendarioPolitica!A:C,3,FALSE)</f>
        <v>1</v>
      </c>
      <c r="G1896" s="1">
        <v>1</v>
      </c>
      <c r="H1896" s="1">
        <v>1</v>
      </c>
      <c r="I1896" s="1">
        <f t="shared" si="149"/>
        <v>1</v>
      </c>
    </row>
    <row r="1897" spans="1:9" x14ac:dyDescent="0.25">
      <c r="A1897" s="26">
        <v>47187</v>
      </c>
      <c r="B1897" s="27">
        <f t="shared" si="145"/>
        <v>2029</v>
      </c>
      <c r="C1897" s="27">
        <f t="shared" si="146"/>
        <v>3</v>
      </c>
      <c r="D1897" s="27">
        <f t="shared" si="147"/>
        <v>10</v>
      </c>
      <c r="E1897" s="27">
        <f t="shared" si="148"/>
        <v>7</v>
      </c>
      <c r="F1897" s="27">
        <f>VLOOKUP(E1897,[2]t_calendarioPolitica!A:C,3,FALSE)</f>
        <v>2</v>
      </c>
      <c r="G1897" s="1">
        <v>1</v>
      </c>
      <c r="H1897" s="1">
        <v>1</v>
      </c>
      <c r="I1897" s="1">
        <f t="shared" si="149"/>
        <v>1</v>
      </c>
    </row>
    <row r="1898" spans="1:9" x14ac:dyDescent="0.25">
      <c r="A1898" s="26">
        <v>47188</v>
      </c>
      <c r="B1898" s="27">
        <f t="shared" si="145"/>
        <v>2029</v>
      </c>
      <c r="C1898" s="27">
        <f t="shared" si="146"/>
        <v>3</v>
      </c>
      <c r="D1898" s="27">
        <f t="shared" si="147"/>
        <v>11</v>
      </c>
      <c r="E1898" s="27">
        <f t="shared" si="148"/>
        <v>1</v>
      </c>
      <c r="F1898" s="27">
        <f>VLOOKUP(E1898,[2]t_calendarioPolitica!A:C,3,FALSE)</f>
        <v>0</v>
      </c>
      <c r="G1898" s="1">
        <v>1</v>
      </c>
      <c r="H1898" s="1">
        <v>1</v>
      </c>
      <c r="I1898" s="1">
        <f t="shared" si="149"/>
        <v>0</v>
      </c>
    </row>
    <row r="1899" spans="1:9" x14ac:dyDescent="0.25">
      <c r="A1899" s="26">
        <v>47189</v>
      </c>
      <c r="B1899" s="27">
        <f t="shared" si="145"/>
        <v>2029</v>
      </c>
      <c r="C1899" s="27">
        <f t="shared" si="146"/>
        <v>3</v>
      </c>
      <c r="D1899" s="27">
        <f t="shared" si="147"/>
        <v>12</v>
      </c>
      <c r="E1899" s="27">
        <f t="shared" si="148"/>
        <v>2</v>
      </c>
      <c r="F1899" s="27">
        <f>VLOOKUP(E1899,[2]t_calendarioPolitica!A:C,3,FALSE)</f>
        <v>1</v>
      </c>
      <c r="G1899" s="1">
        <v>1</v>
      </c>
      <c r="H1899" s="1">
        <v>1</v>
      </c>
      <c r="I1899" s="1">
        <f t="shared" si="149"/>
        <v>1</v>
      </c>
    </row>
    <row r="1900" spans="1:9" x14ac:dyDescent="0.25">
      <c r="A1900" s="26">
        <v>47190</v>
      </c>
      <c r="B1900" s="27">
        <f t="shared" si="145"/>
        <v>2029</v>
      </c>
      <c r="C1900" s="27">
        <f t="shared" si="146"/>
        <v>3</v>
      </c>
      <c r="D1900" s="27">
        <f t="shared" si="147"/>
        <v>13</v>
      </c>
      <c r="E1900" s="27">
        <f t="shared" si="148"/>
        <v>3</v>
      </c>
      <c r="F1900" s="27">
        <f>VLOOKUP(E1900,[2]t_calendarioPolitica!A:C,3,FALSE)</f>
        <v>1</v>
      </c>
      <c r="G1900" s="1">
        <v>1</v>
      </c>
      <c r="H1900" s="1">
        <v>1</v>
      </c>
      <c r="I1900" s="1">
        <f t="shared" si="149"/>
        <v>1</v>
      </c>
    </row>
    <row r="1901" spans="1:9" x14ac:dyDescent="0.25">
      <c r="A1901" s="26">
        <v>47191</v>
      </c>
      <c r="B1901" s="27">
        <f t="shared" si="145"/>
        <v>2029</v>
      </c>
      <c r="C1901" s="27">
        <f t="shared" si="146"/>
        <v>3</v>
      </c>
      <c r="D1901" s="27">
        <f t="shared" si="147"/>
        <v>14</v>
      </c>
      <c r="E1901" s="27">
        <f t="shared" si="148"/>
        <v>4</v>
      </c>
      <c r="F1901" s="27">
        <f>VLOOKUP(E1901,[2]t_calendarioPolitica!A:C,3,FALSE)</f>
        <v>1</v>
      </c>
      <c r="G1901" s="1">
        <v>1</v>
      </c>
      <c r="H1901" s="1">
        <v>1</v>
      </c>
      <c r="I1901" s="1">
        <f t="shared" si="149"/>
        <v>1</v>
      </c>
    </row>
    <row r="1902" spans="1:9" x14ac:dyDescent="0.25">
      <c r="A1902" s="26">
        <v>47192</v>
      </c>
      <c r="B1902" s="27">
        <f t="shared" si="145"/>
        <v>2029</v>
      </c>
      <c r="C1902" s="27">
        <f t="shared" si="146"/>
        <v>3</v>
      </c>
      <c r="D1902" s="27">
        <f t="shared" si="147"/>
        <v>15</v>
      </c>
      <c r="E1902" s="27">
        <f t="shared" si="148"/>
        <v>5</v>
      </c>
      <c r="F1902" s="27">
        <f>VLOOKUP(E1902,[2]t_calendarioPolitica!A:C,3,FALSE)</f>
        <v>1</v>
      </c>
      <c r="G1902" s="1">
        <v>1</v>
      </c>
      <c r="H1902" s="1">
        <v>1</v>
      </c>
      <c r="I1902" s="1">
        <f t="shared" si="149"/>
        <v>1</v>
      </c>
    </row>
    <row r="1903" spans="1:9" x14ac:dyDescent="0.25">
      <c r="A1903" s="26">
        <v>47193</v>
      </c>
      <c r="B1903" s="27">
        <f t="shared" si="145"/>
        <v>2029</v>
      </c>
      <c r="C1903" s="27">
        <f t="shared" si="146"/>
        <v>3</v>
      </c>
      <c r="D1903" s="27">
        <f t="shared" si="147"/>
        <v>16</v>
      </c>
      <c r="E1903" s="27">
        <f t="shared" si="148"/>
        <v>6</v>
      </c>
      <c r="F1903" s="27">
        <f>VLOOKUP(E1903,[2]t_calendarioPolitica!A:C,3,FALSE)</f>
        <v>1</v>
      </c>
      <c r="G1903" s="1">
        <v>1</v>
      </c>
      <c r="H1903" s="1">
        <v>1</v>
      </c>
      <c r="I1903" s="1">
        <f t="shared" si="149"/>
        <v>1</v>
      </c>
    </row>
    <row r="1904" spans="1:9" x14ac:dyDescent="0.25">
      <c r="A1904" s="26">
        <v>47194</v>
      </c>
      <c r="B1904" s="27">
        <f t="shared" si="145"/>
        <v>2029</v>
      </c>
      <c r="C1904" s="27">
        <f t="shared" si="146"/>
        <v>3</v>
      </c>
      <c r="D1904" s="27">
        <f t="shared" si="147"/>
        <v>17</v>
      </c>
      <c r="E1904" s="27">
        <f t="shared" si="148"/>
        <v>7</v>
      </c>
      <c r="F1904" s="27">
        <f>VLOOKUP(E1904,[2]t_calendarioPolitica!A:C,3,FALSE)</f>
        <v>2</v>
      </c>
      <c r="G1904" s="1">
        <v>1</v>
      </c>
      <c r="H1904" s="1">
        <v>1</v>
      </c>
      <c r="I1904" s="1">
        <f t="shared" si="149"/>
        <v>1</v>
      </c>
    </row>
    <row r="1905" spans="1:9" x14ac:dyDescent="0.25">
      <c r="A1905" s="26">
        <v>47195</v>
      </c>
      <c r="B1905" s="27">
        <f t="shared" si="145"/>
        <v>2029</v>
      </c>
      <c r="C1905" s="27">
        <f t="shared" si="146"/>
        <v>3</v>
      </c>
      <c r="D1905" s="27">
        <f t="shared" si="147"/>
        <v>18</v>
      </c>
      <c r="E1905" s="27">
        <f t="shared" si="148"/>
        <v>1</v>
      </c>
      <c r="F1905" s="27">
        <f>VLOOKUP(E1905,[2]t_calendarioPolitica!A:C,3,FALSE)</f>
        <v>0</v>
      </c>
      <c r="G1905" s="1">
        <v>1</v>
      </c>
      <c r="H1905" s="1">
        <v>1</v>
      </c>
      <c r="I1905" s="1">
        <f t="shared" si="149"/>
        <v>0</v>
      </c>
    </row>
    <row r="1906" spans="1:9" x14ac:dyDescent="0.25">
      <c r="A1906" s="26">
        <v>47196</v>
      </c>
      <c r="B1906" s="27">
        <f t="shared" si="145"/>
        <v>2029</v>
      </c>
      <c r="C1906" s="27">
        <f t="shared" si="146"/>
        <v>3</v>
      </c>
      <c r="D1906" s="27">
        <f t="shared" si="147"/>
        <v>19</v>
      </c>
      <c r="E1906" s="27">
        <f t="shared" si="148"/>
        <v>2</v>
      </c>
      <c r="F1906" s="27">
        <f>VLOOKUP(E1906,[2]t_calendarioPolitica!A:C,3,FALSE)</f>
        <v>1</v>
      </c>
      <c r="G1906" s="1">
        <v>1</v>
      </c>
      <c r="H1906" s="1">
        <v>1</v>
      </c>
      <c r="I1906" s="1">
        <f t="shared" si="149"/>
        <v>1</v>
      </c>
    </row>
    <row r="1907" spans="1:9" x14ac:dyDescent="0.25">
      <c r="A1907" s="26">
        <v>47197</v>
      </c>
      <c r="B1907" s="27">
        <f t="shared" si="145"/>
        <v>2029</v>
      </c>
      <c r="C1907" s="27">
        <f t="shared" si="146"/>
        <v>3</v>
      </c>
      <c r="D1907" s="27">
        <f t="shared" si="147"/>
        <v>20</v>
      </c>
      <c r="E1907" s="27">
        <f t="shared" si="148"/>
        <v>3</v>
      </c>
      <c r="F1907" s="27">
        <f>VLOOKUP(E1907,[2]t_calendarioPolitica!A:C,3,FALSE)</f>
        <v>1</v>
      </c>
      <c r="G1907" s="1">
        <v>1</v>
      </c>
      <c r="H1907" s="1">
        <v>1</v>
      </c>
      <c r="I1907" s="1">
        <f t="shared" si="149"/>
        <v>1</v>
      </c>
    </row>
    <row r="1908" spans="1:9" x14ac:dyDescent="0.25">
      <c r="A1908" s="26">
        <v>47198</v>
      </c>
      <c r="B1908" s="27">
        <f t="shared" si="145"/>
        <v>2029</v>
      </c>
      <c r="C1908" s="27">
        <f t="shared" si="146"/>
        <v>3</v>
      </c>
      <c r="D1908" s="27">
        <f t="shared" si="147"/>
        <v>21</v>
      </c>
      <c r="E1908" s="27">
        <f t="shared" si="148"/>
        <v>4</v>
      </c>
      <c r="F1908" s="27">
        <f>VLOOKUP(E1908,[2]t_calendarioPolitica!A:C,3,FALSE)</f>
        <v>1</v>
      </c>
      <c r="G1908" s="1">
        <v>1</v>
      </c>
      <c r="H1908" s="1">
        <v>1</v>
      </c>
      <c r="I1908" s="1">
        <f t="shared" si="149"/>
        <v>1</v>
      </c>
    </row>
    <row r="1909" spans="1:9" x14ac:dyDescent="0.25">
      <c r="A1909" s="26">
        <v>47199</v>
      </c>
      <c r="B1909" s="27">
        <f t="shared" si="145"/>
        <v>2029</v>
      </c>
      <c r="C1909" s="27">
        <f t="shared" si="146"/>
        <v>3</v>
      </c>
      <c r="D1909" s="27">
        <f t="shared" si="147"/>
        <v>22</v>
      </c>
      <c r="E1909" s="27">
        <f t="shared" si="148"/>
        <v>5</v>
      </c>
      <c r="F1909" s="27">
        <f>VLOOKUP(E1909,[2]t_calendarioPolitica!A:C,3,FALSE)</f>
        <v>1</v>
      </c>
      <c r="G1909" s="1">
        <v>1</v>
      </c>
      <c r="H1909" s="1">
        <v>1</v>
      </c>
      <c r="I1909" s="1">
        <f t="shared" si="149"/>
        <v>1</v>
      </c>
    </row>
    <row r="1910" spans="1:9" x14ac:dyDescent="0.25">
      <c r="A1910" s="26">
        <v>47200</v>
      </c>
      <c r="B1910" s="27">
        <f t="shared" si="145"/>
        <v>2029</v>
      </c>
      <c r="C1910" s="27">
        <f t="shared" si="146"/>
        <v>3</v>
      </c>
      <c r="D1910" s="27">
        <f t="shared" si="147"/>
        <v>23</v>
      </c>
      <c r="E1910" s="27">
        <f t="shared" si="148"/>
        <v>6</v>
      </c>
      <c r="F1910" s="27">
        <f>VLOOKUP(E1910,[2]t_calendarioPolitica!A:C,3,FALSE)</f>
        <v>1</v>
      </c>
      <c r="G1910" s="1">
        <v>1</v>
      </c>
      <c r="H1910" s="1">
        <v>1</v>
      </c>
      <c r="I1910" s="1">
        <f t="shared" si="149"/>
        <v>1</v>
      </c>
    </row>
    <row r="1911" spans="1:9" x14ac:dyDescent="0.25">
      <c r="A1911" s="26">
        <v>47201</v>
      </c>
      <c r="B1911" s="27">
        <f t="shared" si="145"/>
        <v>2029</v>
      </c>
      <c r="C1911" s="27">
        <f t="shared" si="146"/>
        <v>3</v>
      </c>
      <c r="D1911" s="27">
        <f t="shared" si="147"/>
        <v>24</v>
      </c>
      <c r="E1911" s="27">
        <f t="shared" si="148"/>
        <v>7</v>
      </c>
      <c r="F1911" s="27">
        <f>VLOOKUP(E1911,[2]t_calendarioPolitica!A:C,3,FALSE)</f>
        <v>2</v>
      </c>
      <c r="G1911" s="1">
        <v>1</v>
      </c>
      <c r="H1911" s="1">
        <v>1</v>
      </c>
      <c r="I1911" s="1">
        <f t="shared" si="149"/>
        <v>1</v>
      </c>
    </row>
    <row r="1912" spans="1:9" x14ac:dyDescent="0.25">
      <c r="A1912" s="26">
        <v>47202</v>
      </c>
      <c r="B1912" s="27">
        <f t="shared" si="145"/>
        <v>2029</v>
      </c>
      <c r="C1912" s="27">
        <f t="shared" si="146"/>
        <v>3</v>
      </c>
      <c r="D1912" s="27">
        <f t="shared" si="147"/>
        <v>25</v>
      </c>
      <c r="E1912" s="27">
        <f t="shared" si="148"/>
        <v>1</v>
      </c>
      <c r="F1912" s="27">
        <f>VLOOKUP(E1912,[2]t_calendarioPolitica!A:C,3,FALSE)</f>
        <v>0</v>
      </c>
      <c r="G1912" s="1">
        <v>1</v>
      </c>
      <c r="H1912" s="1">
        <v>1</v>
      </c>
      <c r="I1912" s="1">
        <f t="shared" si="149"/>
        <v>0</v>
      </c>
    </row>
    <row r="1913" spans="1:9" x14ac:dyDescent="0.25">
      <c r="A1913" s="26">
        <v>47203</v>
      </c>
      <c r="B1913" s="27">
        <f t="shared" si="145"/>
        <v>2029</v>
      </c>
      <c r="C1913" s="27">
        <f t="shared" si="146"/>
        <v>3</v>
      </c>
      <c r="D1913" s="27">
        <f t="shared" si="147"/>
        <v>26</v>
      </c>
      <c r="E1913" s="27">
        <f t="shared" si="148"/>
        <v>2</v>
      </c>
      <c r="F1913" s="27">
        <f>VLOOKUP(E1913,[2]t_calendarioPolitica!A:C,3,FALSE)</f>
        <v>1</v>
      </c>
      <c r="G1913" s="1">
        <v>1</v>
      </c>
      <c r="H1913" s="1">
        <v>1</v>
      </c>
      <c r="I1913" s="1">
        <f t="shared" si="149"/>
        <v>1</v>
      </c>
    </row>
    <row r="1914" spans="1:9" x14ac:dyDescent="0.25">
      <c r="A1914" s="26">
        <v>47204</v>
      </c>
      <c r="B1914" s="27">
        <f t="shared" si="145"/>
        <v>2029</v>
      </c>
      <c r="C1914" s="27">
        <f t="shared" si="146"/>
        <v>3</v>
      </c>
      <c r="D1914" s="27">
        <f t="shared" si="147"/>
        <v>27</v>
      </c>
      <c r="E1914" s="27">
        <f t="shared" si="148"/>
        <v>3</v>
      </c>
      <c r="F1914" s="27">
        <f>VLOOKUP(E1914,[2]t_calendarioPolitica!A:C,3,FALSE)</f>
        <v>1</v>
      </c>
      <c r="G1914" s="1">
        <v>1</v>
      </c>
      <c r="H1914" s="1">
        <v>1</v>
      </c>
      <c r="I1914" s="1">
        <f t="shared" si="149"/>
        <v>1</v>
      </c>
    </row>
    <row r="1915" spans="1:9" x14ac:dyDescent="0.25">
      <c r="A1915" s="26">
        <v>47205</v>
      </c>
      <c r="B1915" s="27">
        <f t="shared" si="145"/>
        <v>2029</v>
      </c>
      <c r="C1915" s="27">
        <f t="shared" si="146"/>
        <v>3</v>
      </c>
      <c r="D1915" s="27">
        <f t="shared" si="147"/>
        <v>28</v>
      </c>
      <c r="E1915" s="27">
        <f t="shared" si="148"/>
        <v>4</v>
      </c>
      <c r="F1915" s="27">
        <f>VLOOKUP(E1915,[2]t_calendarioPolitica!A:C,3,FALSE)</f>
        <v>1</v>
      </c>
      <c r="G1915" s="1">
        <v>1</v>
      </c>
      <c r="H1915" s="1">
        <v>1</v>
      </c>
      <c r="I1915" s="1">
        <f t="shared" si="149"/>
        <v>1</v>
      </c>
    </row>
    <row r="1916" spans="1:9" x14ac:dyDescent="0.25">
      <c r="A1916" s="26">
        <v>47206</v>
      </c>
      <c r="B1916" s="27">
        <f t="shared" si="145"/>
        <v>2029</v>
      </c>
      <c r="C1916" s="27">
        <f t="shared" si="146"/>
        <v>3</v>
      </c>
      <c r="D1916" s="27">
        <f t="shared" si="147"/>
        <v>29</v>
      </c>
      <c r="E1916" s="27">
        <f t="shared" si="148"/>
        <v>5</v>
      </c>
      <c r="F1916" s="27">
        <f>VLOOKUP(E1916,[2]t_calendarioPolitica!A:C,3,FALSE)</f>
        <v>1</v>
      </c>
      <c r="G1916" s="1">
        <v>1</v>
      </c>
      <c r="H1916" s="1">
        <v>1</v>
      </c>
      <c r="I1916" s="1">
        <f t="shared" si="149"/>
        <v>1</v>
      </c>
    </row>
    <row r="1917" spans="1:9" x14ac:dyDescent="0.25">
      <c r="A1917" s="26">
        <v>47207</v>
      </c>
      <c r="B1917" s="27">
        <f t="shared" si="145"/>
        <v>2029</v>
      </c>
      <c r="C1917" s="27">
        <f t="shared" si="146"/>
        <v>3</v>
      </c>
      <c r="D1917" s="27">
        <f t="shared" si="147"/>
        <v>30</v>
      </c>
      <c r="E1917" s="27">
        <f t="shared" si="148"/>
        <v>6</v>
      </c>
      <c r="F1917" s="27">
        <f>VLOOKUP(E1917,[2]t_calendarioPolitica!A:C,3,FALSE)</f>
        <v>1</v>
      </c>
      <c r="G1917" s="1">
        <v>1</v>
      </c>
      <c r="H1917" s="1">
        <v>1</v>
      </c>
      <c r="I1917" s="1">
        <f t="shared" si="149"/>
        <v>1</v>
      </c>
    </row>
    <row r="1918" spans="1:9" x14ac:dyDescent="0.25">
      <c r="A1918" s="26">
        <v>47208</v>
      </c>
      <c r="B1918" s="27">
        <f t="shared" si="145"/>
        <v>2029</v>
      </c>
      <c r="C1918" s="27">
        <f t="shared" si="146"/>
        <v>3</v>
      </c>
      <c r="D1918" s="27">
        <f t="shared" si="147"/>
        <v>31</v>
      </c>
      <c r="E1918" s="27">
        <f t="shared" si="148"/>
        <v>7</v>
      </c>
      <c r="F1918" s="27">
        <f>VLOOKUP(E1918,[2]t_calendarioPolitica!A:C,3,FALSE)</f>
        <v>2</v>
      </c>
      <c r="G1918" s="1">
        <v>1</v>
      </c>
      <c r="H1918" s="1">
        <v>1</v>
      </c>
      <c r="I1918" s="1">
        <f t="shared" si="149"/>
        <v>1</v>
      </c>
    </row>
    <row r="1919" spans="1:9" x14ac:dyDescent="0.25">
      <c r="A1919" s="26">
        <v>47209</v>
      </c>
      <c r="B1919" s="27">
        <f t="shared" si="145"/>
        <v>2029</v>
      </c>
      <c r="C1919" s="27">
        <f t="shared" si="146"/>
        <v>4</v>
      </c>
      <c r="D1919" s="27">
        <f t="shared" si="147"/>
        <v>1</v>
      </c>
      <c r="E1919" s="27">
        <f t="shared" si="148"/>
        <v>1</v>
      </c>
      <c r="F1919" s="27">
        <f>VLOOKUP(E1919,[2]t_calendarioPolitica!A:C,3,FALSE)</f>
        <v>0</v>
      </c>
      <c r="G1919" s="1">
        <v>1</v>
      </c>
      <c r="H1919" s="1">
        <v>1</v>
      </c>
      <c r="I1919" s="1">
        <f t="shared" si="149"/>
        <v>0</v>
      </c>
    </row>
    <row r="1920" spans="1:9" x14ac:dyDescent="0.25">
      <c r="A1920" s="26">
        <v>47210</v>
      </c>
      <c r="B1920" s="27">
        <f t="shared" si="145"/>
        <v>2029</v>
      </c>
      <c r="C1920" s="27">
        <f t="shared" si="146"/>
        <v>4</v>
      </c>
      <c r="D1920" s="27">
        <f t="shared" si="147"/>
        <v>2</v>
      </c>
      <c r="E1920" s="27">
        <f t="shared" si="148"/>
        <v>2</v>
      </c>
      <c r="F1920" s="27">
        <f>VLOOKUP(E1920,[2]t_calendarioPolitica!A:C,3,FALSE)</f>
        <v>1</v>
      </c>
      <c r="G1920" s="1">
        <v>1</v>
      </c>
      <c r="H1920" s="1">
        <v>1</v>
      </c>
      <c r="I1920" s="1">
        <f t="shared" si="149"/>
        <v>1</v>
      </c>
    </row>
    <row r="1921" spans="1:9" x14ac:dyDescent="0.25">
      <c r="A1921" s="26">
        <v>47211</v>
      </c>
      <c r="B1921" s="27">
        <f t="shared" si="145"/>
        <v>2029</v>
      </c>
      <c r="C1921" s="27">
        <f t="shared" si="146"/>
        <v>4</v>
      </c>
      <c r="D1921" s="27">
        <f t="shared" si="147"/>
        <v>3</v>
      </c>
      <c r="E1921" s="27">
        <f t="shared" si="148"/>
        <v>3</v>
      </c>
      <c r="F1921" s="27">
        <f>VLOOKUP(E1921,[2]t_calendarioPolitica!A:C,3,FALSE)</f>
        <v>1</v>
      </c>
      <c r="G1921" s="1">
        <v>1</v>
      </c>
      <c r="H1921" s="1">
        <v>1</v>
      </c>
      <c r="I1921" s="1">
        <f t="shared" si="149"/>
        <v>1</v>
      </c>
    </row>
    <row r="1922" spans="1:9" x14ac:dyDescent="0.25">
      <c r="A1922" s="26">
        <v>47212</v>
      </c>
      <c r="B1922" s="27">
        <f t="shared" si="145"/>
        <v>2029</v>
      </c>
      <c r="C1922" s="27">
        <f t="shared" si="146"/>
        <v>4</v>
      </c>
      <c r="D1922" s="27">
        <f t="shared" si="147"/>
        <v>4</v>
      </c>
      <c r="E1922" s="27">
        <f t="shared" si="148"/>
        <v>4</v>
      </c>
      <c r="F1922" s="27">
        <f>VLOOKUP(E1922,[2]t_calendarioPolitica!A:C,3,FALSE)</f>
        <v>1</v>
      </c>
      <c r="G1922" s="1">
        <v>1</v>
      </c>
      <c r="H1922" s="1">
        <v>1</v>
      </c>
      <c r="I1922" s="1">
        <f t="shared" si="149"/>
        <v>1</v>
      </c>
    </row>
    <row r="1923" spans="1:9" x14ac:dyDescent="0.25">
      <c r="A1923" s="26">
        <v>47213</v>
      </c>
      <c r="B1923" s="27">
        <f t="shared" ref="B1923:B1986" si="150">YEAR(A1923)</f>
        <v>2029</v>
      </c>
      <c r="C1923" s="27">
        <f t="shared" ref="C1923:C1986" si="151">MONTH(A1923)</f>
        <v>4</v>
      </c>
      <c r="D1923" s="27">
        <f t="shared" ref="D1923:D1986" si="152">DAY(A1923)</f>
        <v>5</v>
      </c>
      <c r="E1923" s="27">
        <f t="shared" ref="E1923:E1986" si="153">WEEKDAY(A1923)</f>
        <v>5</v>
      </c>
      <c r="F1923" s="27">
        <f>VLOOKUP(E1923,[2]t_calendarioPolitica!A:C,3,FALSE)</f>
        <v>1</v>
      </c>
      <c r="G1923" s="1">
        <v>1</v>
      </c>
      <c r="H1923" s="1">
        <v>1</v>
      </c>
      <c r="I1923" s="1">
        <f t="shared" ref="I1923:I1986" si="154">IF(AND(F1923&lt;&gt;0, H1923&lt;&gt;0,G1923&lt;&gt;0), 1, 0)</f>
        <v>1</v>
      </c>
    </row>
    <row r="1924" spans="1:9" x14ac:dyDescent="0.25">
      <c r="A1924" s="26">
        <v>47214</v>
      </c>
      <c r="B1924" s="27">
        <f t="shared" si="150"/>
        <v>2029</v>
      </c>
      <c r="C1924" s="27">
        <f t="shared" si="151"/>
        <v>4</v>
      </c>
      <c r="D1924" s="27">
        <f t="shared" si="152"/>
        <v>6</v>
      </c>
      <c r="E1924" s="27">
        <f t="shared" si="153"/>
        <v>6</v>
      </c>
      <c r="F1924" s="27">
        <f>VLOOKUP(E1924,[2]t_calendarioPolitica!A:C,3,FALSE)</f>
        <v>1</v>
      </c>
      <c r="G1924" s="1">
        <v>1</v>
      </c>
      <c r="H1924" s="1">
        <v>1</v>
      </c>
      <c r="I1924" s="1">
        <f t="shared" si="154"/>
        <v>1</v>
      </c>
    </row>
    <row r="1925" spans="1:9" x14ac:dyDescent="0.25">
      <c r="A1925" s="26">
        <v>47215</v>
      </c>
      <c r="B1925" s="27">
        <f t="shared" si="150"/>
        <v>2029</v>
      </c>
      <c r="C1925" s="27">
        <f t="shared" si="151"/>
        <v>4</v>
      </c>
      <c r="D1925" s="27">
        <f t="shared" si="152"/>
        <v>7</v>
      </c>
      <c r="E1925" s="27">
        <f t="shared" si="153"/>
        <v>7</v>
      </c>
      <c r="F1925" s="27">
        <f>VLOOKUP(E1925,[2]t_calendarioPolitica!A:C,3,FALSE)</f>
        <v>2</v>
      </c>
      <c r="G1925" s="1">
        <v>1</v>
      </c>
      <c r="H1925" s="1">
        <v>1</v>
      </c>
      <c r="I1925" s="1">
        <f t="shared" si="154"/>
        <v>1</v>
      </c>
    </row>
    <row r="1926" spans="1:9" x14ac:dyDescent="0.25">
      <c r="A1926" s="26">
        <v>47216</v>
      </c>
      <c r="B1926" s="27">
        <f t="shared" si="150"/>
        <v>2029</v>
      </c>
      <c r="C1926" s="27">
        <f t="shared" si="151"/>
        <v>4</v>
      </c>
      <c r="D1926" s="27">
        <f t="shared" si="152"/>
        <v>8</v>
      </c>
      <c r="E1926" s="27">
        <f t="shared" si="153"/>
        <v>1</v>
      </c>
      <c r="F1926" s="27">
        <f>VLOOKUP(E1926,[2]t_calendarioPolitica!A:C,3,FALSE)</f>
        <v>0</v>
      </c>
      <c r="G1926" s="1">
        <v>1</v>
      </c>
      <c r="H1926" s="1">
        <v>1</v>
      </c>
      <c r="I1926" s="1">
        <f t="shared" si="154"/>
        <v>0</v>
      </c>
    </row>
    <row r="1927" spans="1:9" x14ac:dyDescent="0.25">
      <c r="A1927" s="26">
        <v>47217</v>
      </c>
      <c r="B1927" s="27">
        <f t="shared" si="150"/>
        <v>2029</v>
      </c>
      <c r="C1927" s="27">
        <f t="shared" si="151"/>
        <v>4</v>
      </c>
      <c r="D1927" s="27">
        <f t="shared" si="152"/>
        <v>9</v>
      </c>
      <c r="E1927" s="27">
        <f t="shared" si="153"/>
        <v>2</v>
      </c>
      <c r="F1927" s="27">
        <f>VLOOKUP(E1927,[2]t_calendarioPolitica!A:C,3,FALSE)</f>
        <v>1</v>
      </c>
      <c r="G1927" s="1">
        <v>1</v>
      </c>
      <c r="H1927" s="1">
        <v>1</v>
      </c>
      <c r="I1927" s="1">
        <f t="shared" si="154"/>
        <v>1</v>
      </c>
    </row>
    <row r="1928" spans="1:9" x14ac:dyDescent="0.25">
      <c r="A1928" s="26">
        <v>47218</v>
      </c>
      <c r="B1928" s="27">
        <f t="shared" si="150"/>
        <v>2029</v>
      </c>
      <c r="C1928" s="27">
        <f t="shared" si="151"/>
        <v>4</v>
      </c>
      <c r="D1928" s="27">
        <f t="shared" si="152"/>
        <v>10</v>
      </c>
      <c r="E1928" s="27">
        <f t="shared" si="153"/>
        <v>3</v>
      </c>
      <c r="F1928" s="27">
        <f>VLOOKUP(E1928,[2]t_calendarioPolitica!A:C,3,FALSE)</f>
        <v>1</v>
      </c>
      <c r="G1928" s="1">
        <v>1</v>
      </c>
      <c r="H1928" s="1">
        <v>1</v>
      </c>
      <c r="I1928" s="1">
        <f t="shared" si="154"/>
        <v>1</v>
      </c>
    </row>
    <row r="1929" spans="1:9" x14ac:dyDescent="0.25">
      <c r="A1929" s="26">
        <v>47219</v>
      </c>
      <c r="B1929" s="27">
        <f t="shared" si="150"/>
        <v>2029</v>
      </c>
      <c r="C1929" s="27">
        <f t="shared" si="151"/>
        <v>4</v>
      </c>
      <c r="D1929" s="27">
        <f t="shared" si="152"/>
        <v>11</v>
      </c>
      <c r="E1929" s="27">
        <f t="shared" si="153"/>
        <v>4</v>
      </c>
      <c r="F1929" s="27">
        <f>VLOOKUP(E1929,[2]t_calendarioPolitica!A:C,3,FALSE)</f>
        <v>1</v>
      </c>
      <c r="G1929" s="1">
        <v>1</v>
      </c>
      <c r="H1929" s="1">
        <v>1</v>
      </c>
      <c r="I1929" s="1">
        <f t="shared" si="154"/>
        <v>1</v>
      </c>
    </row>
    <row r="1930" spans="1:9" x14ac:dyDescent="0.25">
      <c r="A1930" s="26">
        <v>47220</v>
      </c>
      <c r="B1930" s="27">
        <f t="shared" si="150"/>
        <v>2029</v>
      </c>
      <c r="C1930" s="27">
        <f t="shared" si="151"/>
        <v>4</v>
      </c>
      <c r="D1930" s="27">
        <f t="shared" si="152"/>
        <v>12</v>
      </c>
      <c r="E1930" s="27">
        <f t="shared" si="153"/>
        <v>5</v>
      </c>
      <c r="F1930" s="27">
        <f>VLOOKUP(E1930,[2]t_calendarioPolitica!A:C,3,FALSE)</f>
        <v>1</v>
      </c>
      <c r="G1930" s="1">
        <v>1</v>
      </c>
      <c r="H1930" s="1">
        <v>1</v>
      </c>
      <c r="I1930" s="1">
        <f t="shared" si="154"/>
        <v>1</v>
      </c>
    </row>
    <row r="1931" spans="1:9" x14ac:dyDescent="0.25">
      <c r="A1931" s="26">
        <v>47221</v>
      </c>
      <c r="B1931" s="27">
        <f t="shared" si="150"/>
        <v>2029</v>
      </c>
      <c r="C1931" s="27">
        <f t="shared" si="151"/>
        <v>4</v>
      </c>
      <c r="D1931" s="27">
        <f t="shared" si="152"/>
        <v>13</v>
      </c>
      <c r="E1931" s="27">
        <f t="shared" si="153"/>
        <v>6</v>
      </c>
      <c r="F1931" s="27">
        <f>VLOOKUP(E1931,[2]t_calendarioPolitica!A:C,3,FALSE)</f>
        <v>1</v>
      </c>
      <c r="G1931" s="1">
        <v>1</v>
      </c>
      <c r="H1931" s="1">
        <v>1</v>
      </c>
      <c r="I1931" s="1">
        <f t="shared" si="154"/>
        <v>1</v>
      </c>
    </row>
    <row r="1932" spans="1:9" x14ac:dyDescent="0.25">
      <c r="A1932" s="26">
        <v>47222</v>
      </c>
      <c r="B1932" s="27">
        <f t="shared" si="150"/>
        <v>2029</v>
      </c>
      <c r="C1932" s="27">
        <f t="shared" si="151"/>
        <v>4</v>
      </c>
      <c r="D1932" s="27">
        <f t="shared" si="152"/>
        <v>14</v>
      </c>
      <c r="E1932" s="27">
        <f t="shared" si="153"/>
        <v>7</v>
      </c>
      <c r="F1932" s="27">
        <f>VLOOKUP(E1932,[2]t_calendarioPolitica!A:C,3,FALSE)</f>
        <v>2</v>
      </c>
      <c r="G1932" s="1">
        <v>1</v>
      </c>
      <c r="H1932" s="1">
        <v>1</v>
      </c>
      <c r="I1932" s="1">
        <f t="shared" si="154"/>
        <v>1</v>
      </c>
    </row>
    <row r="1933" spans="1:9" x14ac:dyDescent="0.25">
      <c r="A1933" s="26">
        <v>47223</v>
      </c>
      <c r="B1933" s="27">
        <f t="shared" si="150"/>
        <v>2029</v>
      </c>
      <c r="C1933" s="27">
        <f t="shared" si="151"/>
        <v>4</v>
      </c>
      <c r="D1933" s="27">
        <f t="shared" si="152"/>
        <v>15</v>
      </c>
      <c r="E1933" s="27">
        <f t="shared" si="153"/>
        <v>1</v>
      </c>
      <c r="F1933" s="27">
        <f>VLOOKUP(E1933,[2]t_calendarioPolitica!A:C,3,FALSE)</f>
        <v>0</v>
      </c>
      <c r="G1933" s="1">
        <v>1</v>
      </c>
      <c r="H1933" s="1">
        <v>1</v>
      </c>
      <c r="I1933" s="1">
        <f t="shared" si="154"/>
        <v>0</v>
      </c>
    </row>
    <row r="1934" spans="1:9" x14ac:dyDescent="0.25">
      <c r="A1934" s="26">
        <v>47224</v>
      </c>
      <c r="B1934" s="27">
        <f t="shared" si="150"/>
        <v>2029</v>
      </c>
      <c r="C1934" s="27">
        <f t="shared" si="151"/>
        <v>4</v>
      </c>
      <c r="D1934" s="27">
        <f t="shared" si="152"/>
        <v>16</v>
      </c>
      <c r="E1934" s="27">
        <f t="shared" si="153"/>
        <v>2</v>
      </c>
      <c r="F1934" s="27">
        <f>VLOOKUP(E1934,[2]t_calendarioPolitica!A:C,3,FALSE)</f>
        <v>1</v>
      </c>
      <c r="G1934" s="1">
        <v>1</v>
      </c>
      <c r="H1934" s="1">
        <v>1</v>
      </c>
      <c r="I1934" s="1">
        <f t="shared" si="154"/>
        <v>1</v>
      </c>
    </row>
    <row r="1935" spans="1:9" x14ac:dyDescent="0.25">
      <c r="A1935" s="26">
        <v>47225</v>
      </c>
      <c r="B1935" s="27">
        <f t="shared" si="150"/>
        <v>2029</v>
      </c>
      <c r="C1935" s="27">
        <f t="shared" si="151"/>
        <v>4</v>
      </c>
      <c r="D1935" s="27">
        <f t="shared" si="152"/>
        <v>17</v>
      </c>
      <c r="E1935" s="27">
        <f t="shared" si="153"/>
        <v>3</v>
      </c>
      <c r="F1935" s="27">
        <f>VLOOKUP(E1935,[2]t_calendarioPolitica!A:C,3,FALSE)</f>
        <v>1</v>
      </c>
      <c r="G1935" s="1">
        <v>1</v>
      </c>
      <c r="H1935" s="1">
        <v>1</v>
      </c>
      <c r="I1935" s="1">
        <f t="shared" si="154"/>
        <v>1</v>
      </c>
    </row>
    <row r="1936" spans="1:9" x14ac:dyDescent="0.25">
      <c r="A1936" s="26">
        <v>47226</v>
      </c>
      <c r="B1936" s="27">
        <f t="shared" si="150"/>
        <v>2029</v>
      </c>
      <c r="C1936" s="27">
        <f t="shared" si="151"/>
        <v>4</v>
      </c>
      <c r="D1936" s="27">
        <f t="shared" si="152"/>
        <v>18</v>
      </c>
      <c r="E1936" s="27">
        <f t="shared" si="153"/>
        <v>4</v>
      </c>
      <c r="F1936" s="27">
        <f>VLOOKUP(E1936,[2]t_calendarioPolitica!A:C,3,FALSE)</f>
        <v>1</v>
      </c>
      <c r="G1936" s="1">
        <v>1</v>
      </c>
      <c r="H1936" s="1">
        <v>1</v>
      </c>
      <c r="I1936" s="1">
        <f t="shared" si="154"/>
        <v>1</v>
      </c>
    </row>
    <row r="1937" spans="1:9" x14ac:dyDescent="0.25">
      <c r="A1937" s="26">
        <v>47227</v>
      </c>
      <c r="B1937" s="27">
        <f t="shared" si="150"/>
        <v>2029</v>
      </c>
      <c r="C1937" s="27">
        <f t="shared" si="151"/>
        <v>4</v>
      </c>
      <c r="D1937" s="27">
        <f t="shared" si="152"/>
        <v>19</v>
      </c>
      <c r="E1937" s="27">
        <f t="shared" si="153"/>
        <v>5</v>
      </c>
      <c r="F1937" s="27">
        <f>VLOOKUP(E1937,[2]t_calendarioPolitica!A:C,3,FALSE)</f>
        <v>1</v>
      </c>
      <c r="G1937" s="1">
        <v>1</v>
      </c>
      <c r="H1937" s="1">
        <v>1</v>
      </c>
      <c r="I1937" s="1">
        <f t="shared" si="154"/>
        <v>1</v>
      </c>
    </row>
    <row r="1938" spans="1:9" x14ac:dyDescent="0.25">
      <c r="A1938" s="26">
        <v>47228</v>
      </c>
      <c r="B1938" s="27">
        <f t="shared" si="150"/>
        <v>2029</v>
      </c>
      <c r="C1938" s="27">
        <f t="shared" si="151"/>
        <v>4</v>
      </c>
      <c r="D1938" s="27">
        <f t="shared" si="152"/>
        <v>20</v>
      </c>
      <c r="E1938" s="27">
        <f t="shared" si="153"/>
        <v>6</v>
      </c>
      <c r="F1938" s="27">
        <f>VLOOKUP(E1938,[2]t_calendarioPolitica!A:C,3,FALSE)</f>
        <v>1</v>
      </c>
      <c r="G1938" s="1">
        <v>1</v>
      </c>
      <c r="H1938" s="1">
        <v>1</v>
      </c>
      <c r="I1938" s="1">
        <f t="shared" si="154"/>
        <v>1</v>
      </c>
    </row>
    <row r="1939" spans="1:9" x14ac:dyDescent="0.25">
      <c r="A1939" s="26">
        <v>47229</v>
      </c>
      <c r="B1939" s="27">
        <f t="shared" si="150"/>
        <v>2029</v>
      </c>
      <c r="C1939" s="27">
        <f t="shared" si="151"/>
        <v>4</v>
      </c>
      <c r="D1939" s="27">
        <f t="shared" si="152"/>
        <v>21</v>
      </c>
      <c r="E1939" s="27">
        <f t="shared" si="153"/>
        <v>7</v>
      </c>
      <c r="F1939" s="27">
        <f>VLOOKUP(E1939,[2]t_calendarioPolitica!A:C,3,FALSE)</f>
        <v>2</v>
      </c>
      <c r="G1939" s="1">
        <v>1</v>
      </c>
      <c r="H1939" s="1">
        <v>1</v>
      </c>
      <c r="I1939" s="1">
        <f t="shared" si="154"/>
        <v>1</v>
      </c>
    </row>
    <row r="1940" spans="1:9" x14ac:dyDescent="0.25">
      <c r="A1940" s="26">
        <v>47230</v>
      </c>
      <c r="B1940" s="27">
        <f t="shared" si="150"/>
        <v>2029</v>
      </c>
      <c r="C1940" s="27">
        <f t="shared" si="151"/>
        <v>4</v>
      </c>
      <c r="D1940" s="27">
        <f t="shared" si="152"/>
        <v>22</v>
      </c>
      <c r="E1940" s="27">
        <f t="shared" si="153"/>
        <v>1</v>
      </c>
      <c r="F1940" s="27">
        <f>VLOOKUP(E1940,[2]t_calendarioPolitica!A:C,3,FALSE)</f>
        <v>0</v>
      </c>
      <c r="G1940" s="1">
        <v>1</v>
      </c>
      <c r="H1940" s="1">
        <v>1</v>
      </c>
      <c r="I1940" s="1">
        <f t="shared" si="154"/>
        <v>0</v>
      </c>
    </row>
    <row r="1941" spans="1:9" x14ac:dyDescent="0.25">
      <c r="A1941" s="26">
        <v>47231</v>
      </c>
      <c r="B1941" s="27">
        <f t="shared" si="150"/>
        <v>2029</v>
      </c>
      <c r="C1941" s="27">
        <f t="shared" si="151"/>
        <v>4</v>
      </c>
      <c r="D1941" s="27">
        <f t="shared" si="152"/>
        <v>23</v>
      </c>
      <c r="E1941" s="27">
        <f t="shared" si="153"/>
        <v>2</v>
      </c>
      <c r="F1941" s="27">
        <f>VLOOKUP(E1941,[2]t_calendarioPolitica!A:C,3,FALSE)</f>
        <v>1</v>
      </c>
      <c r="G1941" s="1">
        <v>1</v>
      </c>
      <c r="H1941" s="1">
        <v>1</v>
      </c>
      <c r="I1941" s="1">
        <f t="shared" si="154"/>
        <v>1</v>
      </c>
    </row>
    <row r="1942" spans="1:9" x14ac:dyDescent="0.25">
      <c r="A1942" s="26">
        <v>47232</v>
      </c>
      <c r="B1942" s="27">
        <f t="shared" si="150"/>
        <v>2029</v>
      </c>
      <c r="C1942" s="27">
        <f t="shared" si="151"/>
        <v>4</v>
      </c>
      <c r="D1942" s="27">
        <f t="shared" si="152"/>
        <v>24</v>
      </c>
      <c r="E1942" s="27">
        <f t="shared" si="153"/>
        <v>3</v>
      </c>
      <c r="F1942" s="27">
        <f>VLOOKUP(E1942,[2]t_calendarioPolitica!A:C,3,FALSE)</f>
        <v>1</v>
      </c>
      <c r="G1942" s="1">
        <v>1</v>
      </c>
      <c r="H1942" s="1">
        <v>1</v>
      </c>
      <c r="I1942" s="1">
        <f t="shared" si="154"/>
        <v>1</v>
      </c>
    </row>
    <row r="1943" spans="1:9" x14ac:dyDescent="0.25">
      <c r="A1943" s="26">
        <v>47233</v>
      </c>
      <c r="B1943" s="27">
        <f t="shared" si="150"/>
        <v>2029</v>
      </c>
      <c r="C1943" s="27">
        <f t="shared" si="151"/>
        <v>4</v>
      </c>
      <c r="D1943" s="27">
        <f t="shared" si="152"/>
        <v>25</v>
      </c>
      <c r="E1943" s="27">
        <f t="shared" si="153"/>
        <v>4</v>
      </c>
      <c r="F1943" s="27">
        <f>VLOOKUP(E1943,[2]t_calendarioPolitica!A:C,3,FALSE)</f>
        <v>1</v>
      </c>
      <c r="G1943" s="1">
        <v>1</v>
      </c>
      <c r="H1943" s="1">
        <v>1</v>
      </c>
      <c r="I1943" s="1">
        <f t="shared" si="154"/>
        <v>1</v>
      </c>
    </row>
    <row r="1944" spans="1:9" x14ac:dyDescent="0.25">
      <c r="A1944" s="26">
        <v>47234</v>
      </c>
      <c r="B1944" s="27">
        <f t="shared" si="150"/>
        <v>2029</v>
      </c>
      <c r="C1944" s="27">
        <f t="shared" si="151"/>
        <v>4</v>
      </c>
      <c r="D1944" s="27">
        <f t="shared" si="152"/>
        <v>26</v>
      </c>
      <c r="E1944" s="27">
        <f t="shared" si="153"/>
        <v>5</v>
      </c>
      <c r="F1944" s="27">
        <f>VLOOKUP(E1944,[2]t_calendarioPolitica!A:C,3,FALSE)</f>
        <v>1</v>
      </c>
      <c r="G1944" s="1">
        <v>1</v>
      </c>
      <c r="H1944" s="1">
        <v>1</v>
      </c>
      <c r="I1944" s="1">
        <f t="shared" si="154"/>
        <v>1</v>
      </c>
    </row>
    <row r="1945" spans="1:9" x14ac:dyDescent="0.25">
      <c r="A1945" s="26">
        <v>47235</v>
      </c>
      <c r="B1945" s="27">
        <f t="shared" si="150"/>
        <v>2029</v>
      </c>
      <c r="C1945" s="27">
        <f t="shared" si="151"/>
        <v>4</v>
      </c>
      <c r="D1945" s="27">
        <f t="shared" si="152"/>
        <v>27</v>
      </c>
      <c r="E1945" s="27">
        <f t="shared" si="153"/>
        <v>6</v>
      </c>
      <c r="F1945" s="27">
        <f>VLOOKUP(E1945,[2]t_calendarioPolitica!A:C,3,FALSE)</f>
        <v>1</v>
      </c>
      <c r="G1945" s="1">
        <v>1</v>
      </c>
      <c r="H1945" s="1">
        <v>1</v>
      </c>
      <c r="I1945" s="1">
        <f t="shared" si="154"/>
        <v>1</v>
      </c>
    </row>
    <row r="1946" spans="1:9" x14ac:dyDescent="0.25">
      <c r="A1946" s="26">
        <v>47236</v>
      </c>
      <c r="B1946" s="27">
        <f t="shared" si="150"/>
        <v>2029</v>
      </c>
      <c r="C1946" s="27">
        <f t="shared" si="151"/>
        <v>4</v>
      </c>
      <c r="D1946" s="27">
        <f t="shared" si="152"/>
        <v>28</v>
      </c>
      <c r="E1946" s="27">
        <f t="shared" si="153"/>
        <v>7</v>
      </c>
      <c r="F1946" s="27">
        <f>VLOOKUP(E1946,[2]t_calendarioPolitica!A:C,3,FALSE)</f>
        <v>2</v>
      </c>
      <c r="G1946" s="1">
        <v>1</v>
      </c>
      <c r="H1946" s="1">
        <v>1</v>
      </c>
      <c r="I1946" s="1">
        <f t="shared" si="154"/>
        <v>1</v>
      </c>
    </row>
    <row r="1947" spans="1:9" x14ac:dyDescent="0.25">
      <c r="A1947" s="26">
        <v>47237</v>
      </c>
      <c r="B1947" s="27">
        <f t="shared" si="150"/>
        <v>2029</v>
      </c>
      <c r="C1947" s="27">
        <f t="shared" si="151"/>
        <v>4</v>
      </c>
      <c r="D1947" s="27">
        <f t="shared" si="152"/>
        <v>29</v>
      </c>
      <c r="E1947" s="27">
        <f t="shared" si="153"/>
        <v>1</v>
      </c>
      <c r="F1947" s="27">
        <f>VLOOKUP(E1947,[2]t_calendarioPolitica!A:C,3,FALSE)</f>
        <v>0</v>
      </c>
      <c r="G1947" s="1">
        <v>1</v>
      </c>
      <c r="H1947" s="1">
        <v>1</v>
      </c>
      <c r="I1947" s="1">
        <f t="shared" si="154"/>
        <v>0</v>
      </c>
    </row>
    <row r="1948" spans="1:9" x14ac:dyDescent="0.25">
      <c r="A1948" s="26">
        <v>47238</v>
      </c>
      <c r="B1948" s="27">
        <f t="shared" si="150"/>
        <v>2029</v>
      </c>
      <c r="C1948" s="27">
        <f t="shared" si="151"/>
        <v>4</v>
      </c>
      <c r="D1948" s="27">
        <f t="shared" si="152"/>
        <v>30</v>
      </c>
      <c r="E1948" s="27">
        <f t="shared" si="153"/>
        <v>2</v>
      </c>
      <c r="F1948" s="27">
        <f>VLOOKUP(E1948,[2]t_calendarioPolitica!A:C,3,FALSE)</f>
        <v>1</v>
      </c>
      <c r="G1948" s="1">
        <v>1</v>
      </c>
      <c r="H1948" s="1">
        <v>1</v>
      </c>
      <c r="I1948" s="1">
        <f t="shared" si="154"/>
        <v>1</v>
      </c>
    </row>
    <row r="1949" spans="1:9" x14ac:dyDescent="0.25">
      <c r="A1949" s="26">
        <v>47239</v>
      </c>
      <c r="B1949" s="27">
        <f t="shared" si="150"/>
        <v>2029</v>
      </c>
      <c r="C1949" s="27">
        <f t="shared" si="151"/>
        <v>5</v>
      </c>
      <c r="D1949" s="27">
        <f t="shared" si="152"/>
        <v>1</v>
      </c>
      <c r="E1949" s="27">
        <f t="shared" si="153"/>
        <v>3</v>
      </c>
      <c r="F1949" s="27">
        <f>VLOOKUP(E1949,[2]t_calendarioPolitica!A:C,3,FALSE)</f>
        <v>1</v>
      </c>
      <c r="G1949" s="1">
        <v>1</v>
      </c>
      <c r="H1949" s="1">
        <v>1</v>
      </c>
      <c r="I1949" s="1">
        <f t="shared" si="154"/>
        <v>1</v>
      </c>
    </row>
    <row r="1950" spans="1:9" x14ac:dyDescent="0.25">
      <c r="A1950" s="26">
        <v>47240</v>
      </c>
      <c r="B1950" s="27">
        <f t="shared" si="150"/>
        <v>2029</v>
      </c>
      <c r="C1950" s="27">
        <f t="shared" si="151"/>
        <v>5</v>
      </c>
      <c r="D1950" s="27">
        <f t="shared" si="152"/>
        <v>2</v>
      </c>
      <c r="E1950" s="27">
        <f t="shared" si="153"/>
        <v>4</v>
      </c>
      <c r="F1950" s="27">
        <f>VLOOKUP(E1950,[2]t_calendarioPolitica!A:C,3,FALSE)</f>
        <v>1</v>
      </c>
      <c r="G1950" s="1">
        <v>1</v>
      </c>
      <c r="H1950" s="1">
        <v>1</v>
      </c>
      <c r="I1950" s="1">
        <f t="shared" si="154"/>
        <v>1</v>
      </c>
    </row>
    <row r="1951" spans="1:9" x14ac:dyDescent="0.25">
      <c r="A1951" s="26">
        <v>47241</v>
      </c>
      <c r="B1951" s="27">
        <f t="shared" si="150"/>
        <v>2029</v>
      </c>
      <c r="C1951" s="27">
        <f t="shared" si="151"/>
        <v>5</v>
      </c>
      <c r="D1951" s="27">
        <f t="shared" si="152"/>
        <v>3</v>
      </c>
      <c r="E1951" s="27">
        <f t="shared" si="153"/>
        <v>5</v>
      </c>
      <c r="F1951" s="27">
        <f>VLOOKUP(E1951,[2]t_calendarioPolitica!A:C,3,FALSE)</f>
        <v>1</v>
      </c>
      <c r="G1951" s="1">
        <v>1</v>
      </c>
      <c r="H1951" s="1">
        <v>1</v>
      </c>
      <c r="I1951" s="1">
        <f t="shared" si="154"/>
        <v>1</v>
      </c>
    </row>
    <row r="1952" spans="1:9" x14ac:dyDescent="0.25">
      <c r="A1952" s="26">
        <v>47242</v>
      </c>
      <c r="B1952" s="27">
        <f t="shared" si="150"/>
        <v>2029</v>
      </c>
      <c r="C1952" s="27">
        <f t="shared" si="151"/>
        <v>5</v>
      </c>
      <c r="D1952" s="27">
        <f t="shared" si="152"/>
        <v>4</v>
      </c>
      <c r="E1952" s="27">
        <f t="shared" si="153"/>
        <v>6</v>
      </c>
      <c r="F1952" s="27">
        <f>VLOOKUP(E1952,[2]t_calendarioPolitica!A:C,3,FALSE)</f>
        <v>1</v>
      </c>
      <c r="G1952" s="1">
        <v>1</v>
      </c>
      <c r="H1952" s="1">
        <v>1</v>
      </c>
      <c r="I1952" s="1">
        <f t="shared" si="154"/>
        <v>1</v>
      </c>
    </row>
    <row r="1953" spans="1:9" x14ac:dyDescent="0.25">
      <c r="A1953" s="26">
        <v>47243</v>
      </c>
      <c r="B1953" s="27">
        <f t="shared" si="150"/>
        <v>2029</v>
      </c>
      <c r="C1953" s="27">
        <f t="shared" si="151"/>
        <v>5</v>
      </c>
      <c r="D1953" s="27">
        <f t="shared" si="152"/>
        <v>5</v>
      </c>
      <c r="E1953" s="27">
        <f t="shared" si="153"/>
        <v>7</v>
      </c>
      <c r="F1953" s="27">
        <f>VLOOKUP(E1953,[2]t_calendarioPolitica!A:C,3,FALSE)</f>
        <v>2</v>
      </c>
      <c r="G1953" s="1">
        <v>1</v>
      </c>
      <c r="H1953" s="1">
        <v>1</v>
      </c>
      <c r="I1953" s="1">
        <f t="shared" si="154"/>
        <v>1</v>
      </c>
    </row>
    <row r="1954" spans="1:9" x14ac:dyDescent="0.25">
      <c r="A1954" s="26">
        <v>47244</v>
      </c>
      <c r="B1954" s="27">
        <f t="shared" si="150"/>
        <v>2029</v>
      </c>
      <c r="C1954" s="27">
        <f t="shared" si="151"/>
        <v>5</v>
      </c>
      <c r="D1954" s="27">
        <f t="shared" si="152"/>
        <v>6</v>
      </c>
      <c r="E1954" s="27">
        <f t="shared" si="153"/>
        <v>1</v>
      </c>
      <c r="F1954" s="27">
        <f>VLOOKUP(E1954,[2]t_calendarioPolitica!A:C,3,FALSE)</f>
        <v>0</v>
      </c>
      <c r="G1954" s="1">
        <v>1</v>
      </c>
      <c r="H1954" s="1">
        <v>1</v>
      </c>
      <c r="I1954" s="1">
        <f t="shared" si="154"/>
        <v>0</v>
      </c>
    </row>
    <row r="1955" spans="1:9" x14ac:dyDescent="0.25">
      <c r="A1955" s="26">
        <v>47245</v>
      </c>
      <c r="B1955" s="27">
        <f t="shared" si="150"/>
        <v>2029</v>
      </c>
      <c r="C1955" s="27">
        <f t="shared" si="151"/>
        <v>5</v>
      </c>
      <c r="D1955" s="27">
        <f t="shared" si="152"/>
        <v>7</v>
      </c>
      <c r="E1955" s="27">
        <f t="shared" si="153"/>
        <v>2</v>
      </c>
      <c r="F1955" s="27">
        <f>VLOOKUP(E1955,[2]t_calendarioPolitica!A:C,3,FALSE)</f>
        <v>1</v>
      </c>
      <c r="G1955" s="1">
        <v>1</v>
      </c>
      <c r="H1955" s="1">
        <v>1</v>
      </c>
      <c r="I1955" s="1">
        <f t="shared" si="154"/>
        <v>1</v>
      </c>
    </row>
    <row r="1956" spans="1:9" x14ac:dyDescent="0.25">
      <c r="A1956" s="26">
        <v>47246</v>
      </c>
      <c r="B1956" s="27">
        <f t="shared" si="150"/>
        <v>2029</v>
      </c>
      <c r="C1956" s="27">
        <f t="shared" si="151"/>
        <v>5</v>
      </c>
      <c r="D1956" s="27">
        <f t="shared" si="152"/>
        <v>8</v>
      </c>
      <c r="E1956" s="27">
        <f t="shared" si="153"/>
        <v>3</v>
      </c>
      <c r="F1956" s="27">
        <f>VLOOKUP(E1956,[2]t_calendarioPolitica!A:C,3,FALSE)</f>
        <v>1</v>
      </c>
      <c r="G1956" s="1">
        <v>1</v>
      </c>
      <c r="H1956" s="1">
        <v>1</v>
      </c>
      <c r="I1956" s="1">
        <f t="shared" si="154"/>
        <v>1</v>
      </c>
    </row>
    <row r="1957" spans="1:9" x14ac:dyDescent="0.25">
      <c r="A1957" s="26">
        <v>47247</v>
      </c>
      <c r="B1957" s="27">
        <f t="shared" si="150"/>
        <v>2029</v>
      </c>
      <c r="C1957" s="27">
        <f t="shared" si="151"/>
        <v>5</v>
      </c>
      <c r="D1957" s="27">
        <f t="shared" si="152"/>
        <v>9</v>
      </c>
      <c r="E1957" s="27">
        <f t="shared" si="153"/>
        <v>4</v>
      </c>
      <c r="F1957" s="27">
        <f>VLOOKUP(E1957,[2]t_calendarioPolitica!A:C,3,FALSE)</f>
        <v>1</v>
      </c>
      <c r="G1957" s="1">
        <v>1</v>
      </c>
      <c r="H1957" s="1">
        <v>1</v>
      </c>
      <c r="I1957" s="1">
        <f t="shared" si="154"/>
        <v>1</v>
      </c>
    </row>
    <row r="1958" spans="1:9" x14ac:dyDescent="0.25">
      <c r="A1958" s="26">
        <v>47248</v>
      </c>
      <c r="B1958" s="27">
        <f t="shared" si="150"/>
        <v>2029</v>
      </c>
      <c r="C1958" s="27">
        <f t="shared" si="151"/>
        <v>5</v>
      </c>
      <c r="D1958" s="27">
        <f t="shared" si="152"/>
        <v>10</v>
      </c>
      <c r="E1958" s="27">
        <f t="shared" si="153"/>
        <v>5</v>
      </c>
      <c r="F1958" s="27">
        <f>VLOOKUP(E1958,[2]t_calendarioPolitica!A:C,3,FALSE)</f>
        <v>1</v>
      </c>
      <c r="G1958" s="1">
        <v>1</v>
      </c>
      <c r="H1958" s="1">
        <v>0</v>
      </c>
      <c r="I1958" s="1">
        <f t="shared" si="154"/>
        <v>0</v>
      </c>
    </row>
    <row r="1959" spans="1:9" x14ac:dyDescent="0.25">
      <c r="A1959" s="26">
        <v>47249</v>
      </c>
      <c r="B1959" s="27">
        <f t="shared" si="150"/>
        <v>2029</v>
      </c>
      <c r="C1959" s="27">
        <f t="shared" si="151"/>
        <v>5</v>
      </c>
      <c r="D1959" s="27">
        <f t="shared" si="152"/>
        <v>11</v>
      </c>
      <c r="E1959" s="27">
        <f t="shared" si="153"/>
        <v>6</v>
      </c>
      <c r="F1959" s="27">
        <f>VLOOKUP(E1959,[2]t_calendarioPolitica!A:C,3,FALSE)</f>
        <v>1</v>
      </c>
      <c r="G1959" s="1">
        <v>1</v>
      </c>
      <c r="H1959" s="1">
        <v>1</v>
      </c>
      <c r="I1959" s="1">
        <f t="shared" si="154"/>
        <v>1</v>
      </c>
    </row>
    <row r="1960" spans="1:9" x14ac:dyDescent="0.25">
      <c r="A1960" s="26">
        <v>47250</v>
      </c>
      <c r="B1960" s="27">
        <f t="shared" si="150"/>
        <v>2029</v>
      </c>
      <c r="C1960" s="27">
        <f t="shared" si="151"/>
        <v>5</v>
      </c>
      <c r="D1960" s="27">
        <f t="shared" si="152"/>
        <v>12</v>
      </c>
      <c r="E1960" s="27">
        <f t="shared" si="153"/>
        <v>7</v>
      </c>
      <c r="F1960" s="27">
        <f>VLOOKUP(E1960,[2]t_calendarioPolitica!A:C,3,FALSE)</f>
        <v>2</v>
      </c>
      <c r="G1960" s="1">
        <v>1</v>
      </c>
      <c r="H1960" s="1">
        <v>1</v>
      </c>
      <c r="I1960" s="1">
        <f t="shared" si="154"/>
        <v>1</v>
      </c>
    </row>
    <row r="1961" spans="1:9" x14ac:dyDescent="0.25">
      <c r="A1961" s="26">
        <v>47251</v>
      </c>
      <c r="B1961" s="27">
        <f t="shared" si="150"/>
        <v>2029</v>
      </c>
      <c r="C1961" s="27">
        <f t="shared" si="151"/>
        <v>5</v>
      </c>
      <c r="D1961" s="27">
        <f t="shared" si="152"/>
        <v>13</v>
      </c>
      <c r="E1961" s="27">
        <f t="shared" si="153"/>
        <v>1</v>
      </c>
      <c r="F1961" s="27">
        <f>VLOOKUP(E1961,[2]t_calendarioPolitica!A:C,3,FALSE)</f>
        <v>0</v>
      </c>
      <c r="G1961" s="1">
        <v>1</v>
      </c>
      <c r="H1961" s="1">
        <v>1</v>
      </c>
      <c r="I1961" s="1">
        <f t="shared" si="154"/>
        <v>0</v>
      </c>
    </row>
    <row r="1962" spans="1:9" x14ac:dyDescent="0.25">
      <c r="A1962" s="26">
        <v>47252</v>
      </c>
      <c r="B1962" s="27">
        <f t="shared" si="150"/>
        <v>2029</v>
      </c>
      <c r="C1962" s="27">
        <f t="shared" si="151"/>
        <v>5</v>
      </c>
      <c r="D1962" s="27">
        <f t="shared" si="152"/>
        <v>14</v>
      </c>
      <c r="E1962" s="27">
        <f t="shared" si="153"/>
        <v>2</v>
      </c>
      <c r="F1962" s="27">
        <f>VLOOKUP(E1962,[2]t_calendarioPolitica!A:C,3,FALSE)</f>
        <v>1</v>
      </c>
      <c r="G1962" s="1">
        <v>1</v>
      </c>
      <c r="H1962" s="1">
        <v>1</v>
      </c>
      <c r="I1962" s="1">
        <f t="shared" si="154"/>
        <v>1</v>
      </c>
    </row>
    <row r="1963" spans="1:9" x14ac:dyDescent="0.25">
      <c r="A1963" s="26">
        <v>47253</v>
      </c>
      <c r="B1963" s="27">
        <f t="shared" si="150"/>
        <v>2029</v>
      </c>
      <c r="C1963" s="27">
        <f t="shared" si="151"/>
        <v>5</v>
      </c>
      <c r="D1963" s="27">
        <f t="shared" si="152"/>
        <v>15</v>
      </c>
      <c r="E1963" s="27">
        <f t="shared" si="153"/>
        <v>3</v>
      </c>
      <c r="F1963" s="27">
        <f>VLOOKUP(E1963,[2]t_calendarioPolitica!A:C,3,FALSE)</f>
        <v>1</v>
      </c>
      <c r="G1963" s="1">
        <v>1</v>
      </c>
      <c r="H1963" s="1">
        <v>1</v>
      </c>
      <c r="I1963" s="1">
        <f t="shared" si="154"/>
        <v>1</v>
      </c>
    </row>
    <row r="1964" spans="1:9" x14ac:dyDescent="0.25">
      <c r="A1964" s="26">
        <v>47254</v>
      </c>
      <c r="B1964" s="27">
        <f t="shared" si="150"/>
        <v>2029</v>
      </c>
      <c r="C1964" s="27">
        <f t="shared" si="151"/>
        <v>5</v>
      </c>
      <c r="D1964" s="27">
        <f t="shared" si="152"/>
        <v>16</v>
      </c>
      <c r="E1964" s="27">
        <f t="shared" si="153"/>
        <v>4</v>
      </c>
      <c r="F1964" s="27">
        <f>VLOOKUP(E1964,[2]t_calendarioPolitica!A:C,3,FALSE)</f>
        <v>1</v>
      </c>
      <c r="G1964" s="1">
        <v>1</v>
      </c>
      <c r="H1964" s="1">
        <v>1</v>
      </c>
      <c r="I1964" s="1">
        <f t="shared" si="154"/>
        <v>1</v>
      </c>
    </row>
    <row r="1965" spans="1:9" x14ac:dyDescent="0.25">
      <c r="A1965" s="26">
        <v>47255</v>
      </c>
      <c r="B1965" s="27">
        <f t="shared" si="150"/>
        <v>2029</v>
      </c>
      <c r="C1965" s="27">
        <f t="shared" si="151"/>
        <v>5</v>
      </c>
      <c r="D1965" s="27">
        <f t="shared" si="152"/>
        <v>17</v>
      </c>
      <c r="E1965" s="27">
        <f t="shared" si="153"/>
        <v>5</v>
      </c>
      <c r="F1965" s="27">
        <f>VLOOKUP(E1965,[2]t_calendarioPolitica!A:C,3,FALSE)</f>
        <v>1</v>
      </c>
      <c r="G1965" s="1">
        <v>1</v>
      </c>
      <c r="H1965" s="1">
        <v>1</v>
      </c>
      <c r="I1965" s="1">
        <f t="shared" si="154"/>
        <v>1</v>
      </c>
    </row>
    <row r="1966" spans="1:9" x14ac:dyDescent="0.25">
      <c r="A1966" s="26">
        <v>47256</v>
      </c>
      <c r="B1966" s="27">
        <f t="shared" si="150"/>
        <v>2029</v>
      </c>
      <c r="C1966" s="27">
        <f t="shared" si="151"/>
        <v>5</v>
      </c>
      <c r="D1966" s="27">
        <f t="shared" si="152"/>
        <v>18</v>
      </c>
      <c r="E1966" s="27">
        <f t="shared" si="153"/>
        <v>6</v>
      </c>
      <c r="F1966" s="27">
        <f>VLOOKUP(E1966,[2]t_calendarioPolitica!A:C,3,FALSE)</f>
        <v>1</v>
      </c>
      <c r="G1966" s="1">
        <v>1</v>
      </c>
      <c r="H1966" s="1">
        <v>1</v>
      </c>
      <c r="I1966" s="1">
        <f t="shared" si="154"/>
        <v>1</v>
      </c>
    </row>
    <row r="1967" spans="1:9" x14ac:dyDescent="0.25">
      <c r="A1967" s="26">
        <v>47257</v>
      </c>
      <c r="B1967" s="27">
        <f t="shared" si="150"/>
        <v>2029</v>
      </c>
      <c r="C1967" s="27">
        <f t="shared" si="151"/>
        <v>5</v>
      </c>
      <c r="D1967" s="27">
        <f t="shared" si="152"/>
        <v>19</v>
      </c>
      <c r="E1967" s="27">
        <f t="shared" si="153"/>
        <v>7</v>
      </c>
      <c r="F1967" s="27">
        <f>VLOOKUP(E1967,[2]t_calendarioPolitica!A:C,3,FALSE)</f>
        <v>2</v>
      </c>
      <c r="G1967" s="1">
        <v>1</v>
      </c>
      <c r="H1967" s="1">
        <v>1</v>
      </c>
      <c r="I1967" s="1">
        <f t="shared" si="154"/>
        <v>1</v>
      </c>
    </row>
    <row r="1968" spans="1:9" x14ac:dyDescent="0.25">
      <c r="A1968" s="26">
        <v>47258</v>
      </c>
      <c r="B1968" s="27">
        <f t="shared" si="150"/>
        <v>2029</v>
      </c>
      <c r="C1968" s="27">
        <f t="shared" si="151"/>
        <v>5</v>
      </c>
      <c r="D1968" s="27">
        <f t="shared" si="152"/>
        <v>20</v>
      </c>
      <c r="E1968" s="27">
        <f t="shared" si="153"/>
        <v>1</v>
      </c>
      <c r="F1968" s="27">
        <f>VLOOKUP(E1968,[2]t_calendarioPolitica!A:C,3,FALSE)</f>
        <v>0</v>
      </c>
      <c r="G1968" s="1">
        <v>1</v>
      </c>
      <c r="H1968" s="1">
        <v>1</v>
      </c>
      <c r="I1968" s="1">
        <f t="shared" si="154"/>
        <v>0</v>
      </c>
    </row>
    <row r="1969" spans="1:9" x14ac:dyDescent="0.25">
      <c r="A1969" s="26">
        <v>47259</v>
      </c>
      <c r="B1969" s="27">
        <f t="shared" si="150"/>
        <v>2029</v>
      </c>
      <c r="C1969" s="27">
        <f t="shared" si="151"/>
        <v>5</v>
      </c>
      <c r="D1969" s="27">
        <f t="shared" si="152"/>
        <v>21</v>
      </c>
      <c r="E1969" s="27">
        <f t="shared" si="153"/>
        <v>2</v>
      </c>
      <c r="F1969" s="27">
        <f>VLOOKUP(E1969,[2]t_calendarioPolitica!A:C,3,FALSE)</f>
        <v>1</v>
      </c>
      <c r="G1969" s="1">
        <v>1</v>
      </c>
      <c r="H1969" s="1">
        <v>1</v>
      </c>
      <c r="I1969" s="1">
        <f t="shared" si="154"/>
        <v>1</v>
      </c>
    </row>
    <row r="1970" spans="1:9" x14ac:dyDescent="0.25">
      <c r="A1970" s="26">
        <v>47260</v>
      </c>
      <c r="B1970" s="27">
        <f t="shared" si="150"/>
        <v>2029</v>
      </c>
      <c r="C1970" s="27">
        <f t="shared" si="151"/>
        <v>5</v>
      </c>
      <c r="D1970" s="27">
        <f t="shared" si="152"/>
        <v>22</v>
      </c>
      <c r="E1970" s="27">
        <f t="shared" si="153"/>
        <v>3</v>
      </c>
      <c r="F1970" s="27">
        <f>VLOOKUP(E1970,[2]t_calendarioPolitica!A:C,3,FALSE)</f>
        <v>1</v>
      </c>
      <c r="G1970" s="1">
        <v>1</v>
      </c>
      <c r="H1970" s="1">
        <v>1</v>
      </c>
      <c r="I1970" s="1">
        <f t="shared" si="154"/>
        <v>1</v>
      </c>
    </row>
    <row r="1971" spans="1:9" x14ac:dyDescent="0.25">
      <c r="A1971" s="26">
        <v>47261</v>
      </c>
      <c r="B1971" s="27">
        <f t="shared" si="150"/>
        <v>2029</v>
      </c>
      <c r="C1971" s="27">
        <f t="shared" si="151"/>
        <v>5</v>
      </c>
      <c r="D1971" s="27">
        <f t="shared" si="152"/>
        <v>23</v>
      </c>
      <c r="E1971" s="27">
        <f t="shared" si="153"/>
        <v>4</v>
      </c>
      <c r="F1971" s="27">
        <f>VLOOKUP(E1971,[2]t_calendarioPolitica!A:C,3,FALSE)</f>
        <v>1</v>
      </c>
      <c r="G1971" s="1">
        <v>1</v>
      </c>
      <c r="H1971" s="1">
        <v>1</v>
      </c>
      <c r="I1971" s="1">
        <f t="shared" si="154"/>
        <v>1</v>
      </c>
    </row>
    <row r="1972" spans="1:9" x14ac:dyDescent="0.25">
      <c r="A1972" s="26">
        <v>47262</v>
      </c>
      <c r="B1972" s="27">
        <f t="shared" si="150"/>
        <v>2029</v>
      </c>
      <c r="C1972" s="27">
        <f t="shared" si="151"/>
        <v>5</v>
      </c>
      <c r="D1972" s="27">
        <f t="shared" si="152"/>
        <v>24</v>
      </c>
      <c r="E1972" s="27">
        <f t="shared" si="153"/>
        <v>5</v>
      </c>
      <c r="F1972" s="27">
        <f>VLOOKUP(E1972,[2]t_calendarioPolitica!A:C,3,FALSE)</f>
        <v>1</v>
      </c>
      <c r="G1972" s="1">
        <v>1</v>
      </c>
      <c r="H1972" s="1">
        <v>1</v>
      </c>
      <c r="I1972" s="1">
        <f t="shared" si="154"/>
        <v>1</v>
      </c>
    </row>
    <row r="1973" spans="1:9" x14ac:dyDescent="0.25">
      <c r="A1973" s="26">
        <v>47263</v>
      </c>
      <c r="B1973" s="27">
        <f t="shared" si="150"/>
        <v>2029</v>
      </c>
      <c r="C1973" s="27">
        <f t="shared" si="151"/>
        <v>5</v>
      </c>
      <c r="D1973" s="27">
        <f t="shared" si="152"/>
        <v>25</v>
      </c>
      <c r="E1973" s="27">
        <f t="shared" si="153"/>
        <v>6</v>
      </c>
      <c r="F1973" s="27">
        <f>VLOOKUP(E1973,[2]t_calendarioPolitica!A:C,3,FALSE)</f>
        <v>1</v>
      </c>
      <c r="G1973" s="1">
        <v>1</v>
      </c>
      <c r="H1973" s="1">
        <v>1</v>
      </c>
      <c r="I1973" s="1">
        <f t="shared" si="154"/>
        <v>1</v>
      </c>
    </row>
    <row r="1974" spans="1:9" x14ac:dyDescent="0.25">
      <c r="A1974" s="26">
        <v>47264</v>
      </c>
      <c r="B1974" s="27">
        <f t="shared" si="150"/>
        <v>2029</v>
      </c>
      <c r="C1974" s="27">
        <f t="shared" si="151"/>
        <v>5</v>
      </c>
      <c r="D1974" s="27">
        <f t="shared" si="152"/>
        <v>26</v>
      </c>
      <c r="E1974" s="27">
        <f t="shared" si="153"/>
        <v>7</v>
      </c>
      <c r="F1974" s="27">
        <f>VLOOKUP(E1974,[2]t_calendarioPolitica!A:C,3,FALSE)</f>
        <v>2</v>
      </c>
      <c r="G1974" s="1">
        <v>1</v>
      </c>
      <c r="H1974" s="1">
        <v>1</v>
      </c>
      <c r="I1974" s="1">
        <f t="shared" si="154"/>
        <v>1</v>
      </c>
    </row>
    <row r="1975" spans="1:9" x14ac:dyDescent="0.25">
      <c r="A1975" s="26">
        <v>47265</v>
      </c>
      <c r="B1975" s="27">
        <f t="shared" si="150"/>
        <v>2029</v>
      </c>
      <c r="C1975" s="27">
        <f t="shared" si="151"/>
        <v>5</v>
      </c>
      <c r="D1975" s="27">
        <f t="shared" si="152"/>
        <v>27</v>
      </c>
      <c r="E1975" s="27">
        <f t="shared" si="153"/>
        <v>1</v>
      </c>
      <c r="F1975" s="27">
        <f>VLOOKUP(E1975,[2]t_calendarioPolitica!A:C,3,FALSE)</f>
        <v>0</v>
      </c>
      <c r="G1975" s="1">
        <v>1</v>
      </c>
      <c r="H1975" s="1">
        <v>1</v>
      </c>
      <c r="I1975" s="1">
        <f t="shared" si="154"/>
        <v>0</v>
      </c>
    </row>
    <row r="1976" spans="1:9" x14ac:dyDescent="0.25">
      <c r="A1976" s="26">
        <v>47266</v>
      </c>
      <c r="B1976" s="27">
        <f t="shared" si="150"/>
        <v>2029</v>
      </c>
      <c r="C1976" s="27">
        <f t="shared" si="151"/>
        <v>5</v>
      </c>
      <c r="D1976" s="27">
        <f t="shared" si="152"/>
        <v>28</v>
      </c>
      <c r="E1976" s="27">
        <f t="shared" si="153"/>
        <v>2</v>
      </c>
      <c r="F1976" s="27">
        <f>VLOOKUP(E1976,[2]t_calendarioPolitica!A:C,3,FALSE)</f>
        <v>1</v>
      </c>
      <c r="G1976" s="1">
        <v>1</v>
      </c>
      <c r="H1976" s="1">
        <v>1</v>
      </c>
      <c r="I1976" s="1">
        <f t="shared" si="154"/>
        <v>1</v>
      </c>
    </row>
    <row r="1977" spans="1:9" x14ac:dyDescent="0.25">
      <c r="A1977" s="26">
        <v>47267</v>
      </c>
      <c r="B1977" s="27">
        <f t="shared" si="150"/>
        <v>2029</v>
      </c>
      <c r="C1977" s="27">
        <f t="shared" si="151"/>
        <v>5</v>
      </c>
      <c r="D1977" s="27">
        <f t="shared" si="152"/>
        <v>29</v>
      </c>
      <c r="E1977" s="27">
        <f t="shared" si="153"/>
        <v>3</v>
      </c>
      <c r="F1977" s="27">
        <f>VLOOKUP(E1977,[2]t_calendarioPolitica!A:C,3,FALSE)</f>
        <v>1</v>
      </c>
      <c r="G1977" s="1">
        <v>1</v>
      </c>
      <c r="H1977" s="1">
        <v>1</v>
      </c>
      <c r="I1977" s="1">
        <f t="shared" si="154"/>
        <v>1</v>
      </c>
    </row>
    <row r="1978" spans="1:9" x14ac:dyDescent="0.25">
      <c r="A1978" s="26">
        <v>47268</v>
      </c>
      <c r="B1978" s="27">
        <f t="shared" si="150"/>
        <v>2029</v>
      </c>
      <c r="C1978" s="27">
        <f t="shared" si="151"/>
        <v>5</v>
      </c>
      <c r="D1978" s="27">
        <f t="shared" si="152"/>
        <v>30</v>
      </c>
      <c r="E1978" s="27">
        <f t="shared" si="153"/>
        <v>4</v>
      </c>
      <c r="F1978" s="27">
        <f>VLOOKUP(E1978,[2]t_calendarioPolitica!A:C,3,FALSE)</f>
        <v>1</v>
      </c>
      <c r="G1978" s="1">
        <v>1</v>
      </c>
      <c r="H1978" s="1">
        <v>1</v>
      </c>
      <c r="I1978" s="1">
        <f t="shared" si="154"/>
        <v>1</v>
      </c>
    </row>
    <row r="1979" spans="1:9" x14ac:dyDescent="0.25">
      <c r="A1979" s="26">
        <v>47269</v>
      </c>
      <c r="B1979" s="27">
        <f t="shared" si="150"/>
        <v>2029</v>
      </c>
      <c r="C1979" s="27">
        <f t="shared" si="151"/>
        <v>5</v>
      </c>
      <c r="D1979" s="27">
        <f t="shared" si="152"/>
        <v>31</v>
      </c>
      <c r="E1979" s="27">
        <f t="shared" si="153"/>
        <v>5</v>
      </c>
      <c r="F1979" s="27">
        <f>VLOOKUP(E1979,[2]t_calendarioPolitica!A:C,3,FALSE)</f>
        <v>1</v>
      </c>
      <c r="G1979" s="1">
        <v>1</v>
      </c>
      <c r="H1979" s="1">
        <v>1</v>
      </c>
      <c r="I1979" s="1">
        <f t="shared" si="154"/>
        <v>1</v>
      </c>
    </row>
    <row r="1980" spans="1:9" x14ac:dyDescent="0.25">
      <c r="A1980" s="26">
        <v>47270</v>
      </c>
      <c r="B1980" s="27">
        <f t="shared" si="150"/>
        <v>2029</v>
      </c>
      <c r="C1980" s="27">
        <f t="shared" si="151"/>
        <v>6</v>
      </c>
      <c r="D1980" s="27">
        <f t="shared" si="152"/>
        <v>1</v>
      </c>
      <c r="E1980" s="27">
        <f t="shared" si="153"/>
        <v>6</v>
      </c>
      <c r="F1980" s="27">
        <f>VLOOKUP(E1980,[2]t_calendarioPolitica!A:C,3,FALSE)</f>
        <v>1</v>
      </c>
      <c r="G1980" s="1">
        <v>1</v>
      </c>
      <c r="H1980" s="1">
        <v>1</v>
      </c>
      <c r="I1980" s="1">
        <f t="shared" si="154"/>
        <v>1</v>
      </c>
    </row>
    <row r="1981" spans="1:9" x14ac:dyDescent="0.25">
      <c r="A1981" s="26">
        <v>47271</v>
      </c>
      <c r="B1981" s="27">
        <f t="shared" si="150"/>
        <v>2029</v>
      </c>
      <c r="C1981" s="27">
        <f t="shared" si="151"/>
        <v>6</v>
      </c>
      <c r="D1981" s="27">
        <f t="shared" si="152"/>
        <v>2</v>
      </c>
      <c r="E1981" s="27">
        <f t="shared" si="153"/>
        <v>7</v>
      </c>
      <c r="F1981" s="27">
        <f>VLOOKUP(E1981,[2]t_calendarioPolitica!A:C,3,FALSE)</f>
        <v>2</v>
      </c>
      <c r="G1981" s="1">
        <v>1</v>
      </c>
      <c r="H1981" s="1">
        <v>1</v>
      </c>
      <c r="I1981" s="1">
        <f t="shared" si="154"/>
        <v>1</v>
      </c>
    </row>
    <row r="1982" spans="1:9" x14ac:dyDescent="0.25">
      <c r="A1982" s="26">
        <v>47272</v>
      </c>
      <c r="B1982" s="27">
        <f t="shared" si="150"/>
        <v>2029</v>
      </c>
      <c r="C1982" s="27">
        <f t="shared" si="151"/>
        <v>6</v>
      </c>
      <c r="D1982" s="27">
        <f t="shared" si="152"/>
        <v>3</v>
      </c>
      <c r="E1982" s="27">
        <f t="shared" si="153"/>
        <v>1</v>
      </c>
      <c r="F1982" s="27">
        <f>VLOOKUP(E1982,[2]t_calendarioPolitica!A:C,3,FALSE)</f>
        <v>0</v>
      </c>
      <c r="G1982" s="1">
        <v>1</v>
      </c>
      <c r="H1982" s="1">
        <v>1</v>
      </c>
      <c r="I1982" s="1">
        <f t="shared" si="154"/>
        <v>0</v>
      </c>
    </row>
    <row r="1983" spans="1:9" x14ac:dyDescent="0.25">
      <c r="A1983" s="26">
        <v>47273</v>
      </c>
      <c r="B1983" s="27">
        <f t="shared" si="150"/>
        <v>2029</v>
      </c>
      <c r="C1983" s="27">
        <f t="shared" si="151"/>
        <v>6</v>
      </c>
      <c r="D1983" s="27">
        <f t="shared" si="152"/>
        <v>4</v>
      </c>
      <c r="E1983" s="27">
        <f t="shared" si="153"/>
        <v>2</v>
      </c>
      <c r="F1983" s="27">
        <f>VLOOKUP(E1983,[2]t_calendarioPolitica!A:C,3,FALSE)</f>
        <v>1</v>
      </c>
      <c r="G1983" s="1">
        <v>1</v>
      </c>
      <c r="H1983" s="1">
        <v>1</v>
      </c>
      <c r="I1983" s="1">
        <f t="shared" si="154"/>
        <v>1</v>
      </c>
    </row>
    <row r="1984" spans="1:9" x14ac:dyDescent="0.25">
      <c r="A1984" s="26">
        <v>47274</v>
      </c>
      <c r="B1984" s="27">
        <f t="shared" si="150"/>
        <v>2029</v>
      </c>
      <c r="C1984" s="27">
        <f t="shared" si="151"/>
        <v>6</v>
      </c>
      <c r="D1984" s="27">
        <f t="shared" si="152"/>
        <v>5</v>
      </c>
      <c r="E1984" s="27">
        <f t="shared" si="153"/>
        <v>3</v>
      </c>
      <c r="F1984" s="27">
        <f>VLOOKUP(E1984,[2]t_calendarioPolitica!A:C,3,FALSE)</f>
        <v>1</v>
      </c>
      <c r="G1984" s="1">
        <v>1</v>
      </c>
      <c r="H1984" s="1">
        <v>1</v>
      </c>
      <c r="I1984" s="1">
        <f t="shared" si="154"/>
        <v>1</v>
      </c>
    </row>
    <row r="1985" spans="1:9" x14ac:dyDescent="0.25">
      <c r="A1985" s="26">
        <v>47275</v>
      </c>
      <c r="B1985" s="27">
        <f t="shared" si="150"/>
        <v>2029</v>
      </c>
      <c r="C1985" s="27">
        <f t="shared" si="151"/>
        <v>6</v>
      </c>
      <c r="D1985" s="27">
        <f t="shared" si="152"/>
        <v>6</v>
      </c>
      <c r="E1985" s="27">
        <f t="shared" si="153"/>
        <v>4</v>
      </c>
      <c r="F1985" s="27">
        <f>VLOOKUP(E1985,[2]t_calendarioPolitica!A:C,3,FALSE)</f>
        <v>1</v>
      </c>
      <c r="G1985" s="1">
        <v>1</v>
      </c>
      <c r="H1985" s="1">
        <v>1</v>
      </c>
      <c r="I1985" s="1">
        <f t="shared" si="154"/>
        <v>1</v>
      </c>
    </row>
    <row r="1986" spans="1:9" x14ac:dyDescent="0.25">
      <c r="A1986" s="26">
        <v>47276</v>
      </c>
      <c r="B1986" s="27">
        <f t="shared" si="150"/>
        <v>2029</v>
      </c>
      <c r="C1986" s="27">
        <f t="shared" si="151"/>
        <v>6</v>
      </c>
      <c r="D1986" s="27">
        <f t="shared" si="152"/>
        <v>7</v>
      </c>
      <c r="E1986" s="27">
        <f t="shared" si="153"/>
        <v>5</v>
      </c>
      <c r="F1986" s="27">
        <f>VLOOKUP(E1986,[2]t_calendarioPolitica!A:C,3,FALSE)</f>
        <v>1</v>
      </c>
      <c r="G1986" s="1">
        <v>1</v>
      </c>
      <c r="H1986" s="1">
        <v>1</v>
      </c>
      <c r="I1986" s="1">
        <f t="shared" si="154"/>
        <v>1</v>
      </c>
    </row>
    <row r="1987" spans="1:9" x14ac:dyDescent="0.25">
      <c r="A1987" s="26">
        <v>47277</v>
      </c>
      <c r="B1987" s="27">
        <f t="shared" ref="B1987:B2050" si="155">YEAR(A1987)</f>
        <v>2029</v>
      </c>
      <c r="C1987" s="27">
        <f t="shared" ref="C1987:C2050" si="156">MONTH(A1987)</f>
        <v>6</v>
      </c>
      <c r="D1987" s="27">
        <f t="shared" ref="D1987:D2050" si="157">DAY(A1987)</f>
        <v>8</v>
      </c>
      <c r="E1987" s="27">
        <f t="shared" ref="E1987:E2050" si="158">WEEKDAY(A1987)</f>
        <v>6</v>
      </c>
      <c r="F1987" s="27">
        <f>VLOOKUP(E1987,[2]t_calendarioPolitica!A:C,3,FALSE)</f>
        <v>1</v>
      </c>
      <c r="G1987" s="1">
        <v>1</v>
      </c>
      <c r="H1987" s="1">
        <v>1</v>
      </c>
      <c r="I1987" s="1">
        <f t="shared" ref="I1987:I2050" si="159">IF(AND(F1987&lt;&gt;0, H1987&lt;&gt;0,G1987&lt;&gt;0), 1, 0)</f>
        <v>1</v>
      </c>
    </row>
    <row r="1988" spans="1:9" x14ac:dyDescent="0.25">
      <c r="A1988" s="26">
        <v>47278</v>
      </c>
      <c r="B1988" s="27">
        <f t="shared" si="155"/>
        <v>2029</v>
      </c>
      <c r="C1988" s="27">
        <f t="shared" si="156"/>
        <v>6</v>
      </c>
      <c r="D1988" s="27">
        <f t="shared" si="157"/>
        <v>9</v>
      </c>
      <c r="E1988" s="27">
        <f t="shared" si="158"/>
        <v>7</v>
      </c>
      <c r="F1988" s="27">
        <f>VLOOKUP(E1988,[2]t_calendarioPolitica!A:C,3,FALSE)</f>
        <v>2</v>
      </c>
      <c r="G1988" s="1">
        <v>1</v>
      </c>
      <c r="H1988" s="1">
        <v>1</v>
      </c>
      <c r="I1988" s="1">
        <f t="shared" si="159"/>
        <v>1</v>
      </c>
    </row>
    <row r="1989" spans="1:9" x14ac:dyDescent="0.25">
      <c r="A1989" s="26">
        <v>47279</v>
      </c>
      <c r="B1989" s="27">
        <f t="shared" si="155"/>
        <v>2029</v>
      </c>
      <c r="C1989" s="27">
        <f t="shared" si="156"/>
        <v>6</v>
      </c>
      <c r="D1989" s="27">
        <f t="shared" si="157"/>
        <v>10</v>
      </c>
      <c r="E1989" s="27">
        <f t="shared" si="158"/>
        <v>1</v>
      </c>
      <c r="F1989" s="27">
        <f>VLOOKUP(E1989,[2]t_calendarioPolitica!A:C,3,FALSE)</f>
        <v>0</v>
      </c>
      <c r="G1989" s="1">
        <v>1</v>
      </c>
      <c r="H1989" s="1">
        <v>1</v>
      </c>
      <c r="I1989" s="1">
        <f t="shared" si="159"/>
        <v>0</v>
      </c>
    </row>
    <row r="1990" spans="1:9" x14ac:dyDescent="0.25">
      <c r="A1990" s="26">
        <v>47280</v>
      </c>
      <c r="B1990" s="27">
        <f t="shared" si="155"/>
        <v>2029</v>
      </c>
      <c r="C1990" s="27">
        <f t="shared" si="156"/>
        <v>6</v>
      </c>
      <c r="D1990" s="27">
        <f t="shared" si="157"/>
        <v>11</v>
      </c>
      <c r="E1990" s="27">
        <f t="shared" si="158"/>
        <v>2</v>
      </c>
      <c r="F1990" s="27">
        <f>VLOOKUP(E1990,[2]t_calendarioPolitica!A:C,3,FALSE)</f>
        <v>1</v>
      </c>
      <c r="G1990" s="1">
        <v>1</v>
      </c>
      <c r="H1990" s="1">
        <v>1</v>
      </c>
      <c r="I1990" s="1">
        <f t="shared" si="159"/>
        <v>1</v>
      </c>
    </row>
    <row r="1991" spans="1:9" x14ac:dyDescent="0.25">
      <c r="A1991" s="26">
        <v>47281</v>
      </c>
      <c r="B1991" s="27">
        <f t="shared" si="155"/>
        <v>2029</v>
      </c>
      <c r="C1991" s="27">
        <f t="shared" si="156"/>
        <v>6</v>
      </c>
      <c r="D1991" s="27">
        <f t="shared" si="157"/>
        <v>12</v>
      </c>
      <c r="E1991" s="27">
        <f t="shared" si="158"/>
        <v>3</v>
      </c>
      <c r="F1991" s="27">
        <f>VLOOKUP(E1991,[2]t_calendarioPolitica!A:C,3,FALSE)</f>
        <v>1</v>
      </c>
      <c r="G1991" s="1">
        <v>1</v>
      </c>
      <c r="H1991" s="1">
        <v>1</v>
      </c>
      <c r="I1991" s="1">
        <f t="shared" si="159"/>
        <v>1</v>
      </c>
    </row>
    <row r="1992" spans="1:9" x14ac:dyDescent="0.25">
      <c r="A1992" s="26">
        <v>47282</v>
      </c>
      <c r="B1992" s="27">
        <f t="shared" si="155"/>
        <v>2029</v>
      </c>
      <c r="C1992" s="27">
        <f t="shared" si="156"/>
        <v>6</v>
      </c>
      <c r="D1992" s="27">
        <f t="shared" si="157"/>
        <v>13</v>
      </c>
      <c r="E1992" s="27">
        <f t="shared" si="158"/>
        <v>4</v>
      </c>
      <c r="F1992" s="27">
        <f>VLOOKUP(E1992,[2]t_calendarioPolitica!A:C,3,FALSE)</f>
        <v>1</v>
      </c>
      <c r="G1992" s="1">
        <v>1</v>
      </c>
      <c r="H1992" s="1">
        <v>1</v>
      </c>
      <c r="I1992" s="1">
        <f t="shared" si="159"/>
        <v>1</v>
      </c>
    </row>
    <row r="1993" spans="1:9" x14ac:dyDescent="0.25">
      <c r="A1993" s="26">
        <v>47283</v>
      </c>
      <c r="B1993" s="27">
        <f t="shared" si="155"/>
        <v>2029</v>
      </c>
      <c r="C1993" s="27">
        <f t="shared" si="156"/>
        <v>6</v>
      </c>
      <c r="D1993" s="27">
        <f t="shared" si="157"/>
        <v>14</v>
      </c>
      <c r="E1993" s="27">
        <f t="shared" si="158"/>
        <v>5</v>
      </c>
      <c r="F1993" s="27">
        <f>VLOOKUP(E1993,[2]t_calendarioPolitica!A:C,3,FALSE)</f>
        <v>1</v>
      </c>
      <c r="G1993" s="1">
        <v>1</v>
      </c>
      <c r="H1993" s="1">
        <v>1</v>
      </c>
      <c r="I1993" s="1">
        <f t="shared" si="159"/>
        <v>1</v>
      </c>
    </row>
    <row r="1994" spans="1:9" x14ac:dyDescent="0.25">
      <c r="A1994" s="26">
        <v>47284</v>
      </c>
      <c r="B1994" s="27">
        <f t="shared" si="155"/>
        <v>2029</v>
      </c>
      <c r="C1994" s="27">
        <f t="shared" si="156"/>
        <v>6</v>
      </c>
      <c r="D1994" s="27">
        <f t="shared" si="157"/>
        <v>15</v>
      </c>
      <c r="E1994" s="27">
        <f t="shared" si="158"/>
        <v>6</v>
      </c>
      <c r="F1994" s="27">
        <f>VLOOKUP(E1994,[2]t_calendarioPolitica!A:C,3,FALSE)</f>
        <v>1</v>
      </c>
      <c r="G1994" s="1">
        <v>1</v>
      </c>
      <c r="H1994" s="1">
        <v>1</v>
      </c>
      <c r="I1994" s="1">
        <f t="shared" si="159"/>
        <v>1</v>
      </c>
    </row>
    <row r="1995" spans="1:9" x14ac:dyDescent="0.25">
      <c r="A1995" s="26">
        <v>47285</v>
      </c>
      <c r="B1995" s="27">
        <f t="shared" si="155"/>
        <v>2029</v>
      </c>
      <c r="C1995" s="27">
        <f t="shared" si="156"/>
        <v>6</v>
      </c>
      <c r="D1995" s="27">
        <f t="shared" si="157"/>
        <v>16</v>
      </c>
      <c r="E1995" s="27">
        <f t="shared" si="158"/>
        <v>7</v>
      </c>
      <c r="F1995" s="27">
        <f>VLOOKUP(E1995,[2]t_calendarioPolitica!A:C,3,FALSE)</f>
        <v>2</v>
      </c>
      <c r="G1995" s="1">
        <v>1</v>
      </c>
      <c r="H1995" s="1">
        <v>1</v>
      </c>
      <c r="I1995" s="1">
        <f t="shared" si="159"/>
        <v>1</v>
      </c>
    </row>
    <row r="1996" spans="1:9" x14ac:dyDescent="0.25">
      <c r="A1996" s="26">
        <v>47286</v>
      </c>
      <c r="B1996" s="27">
        <f t="shared" si="155"/>
        <v>2029</v>
      </c>
      <c r="C1996" s="27">
        <f t="shared" si="156"/>
        <v>6</v>
      </c>
      <c r="D1996" s="27">
        <f t="shared" si="157"/>
        <v>17</v>
      </c>
      <c r="E1996" s="27">
        <f t="shared" si="158"/>
        <v>1</v>
      </c>
      <c r="F1996" s="27">
        <f>VLOOKUP(E1996,[2]t_calendarioPolitica!A:C,3,FALSE)</f>
        <v>0</v>
      </c>
      <c r="G1996" s="1">
        <v>1</v>
      </c>
      <c r="H1996" s="1">
        <v>1</v>
      </c>
      <c r="I1996" s="1">
        <f t="shared" si="159"/>
        <v>0</v>
      </c>
    </row>
    <row r="1997" spans="1:9" x14ac:dyDescent="0.25">
      <c r="A1997" s="26">
        <v>47287</v>
      </c>
      <c r="B1997" s="27">
        <f t="shared" si="155"/>
        <v>2029</v>
      </c>
      <c r="C1997" s="27">
        <f t="shared" si="156"/>
        <v>6</v>
      </c>
      <c r="D1997" s="27">
        <f t="shared" si="157"/>
        <v>18</v>
      </c>
      <c r="E1997" s="27">
        <f t="shared" si="158"/>
        <v>2</v>
      </c>
      <c r="F1997" s="27">
        <f>VLOOKUP(E1997,[2]t_calendarioPolitica!A:C,3,FALSE)</f>
        <v>1</v>
      </c>
      <c r="G1997" s="1">
        <v>1</v>
      </c>
      <c r="H1997" s="1">
        <v>1</v>
      </c>
      <c r="I1997" s="1">
        <f t="shared" si="159"/>
        <v>1</v>
      </c>
    </row>
    <row r="1998" spans="1:9" x14ac:dyDescent="0.25">
      <c r="A1998" s="26">
        <v>47288</v>
      </c>
      <c r="B1998" s="27">
        <f t="shared" si="155"/>
        <v>2029</v>
      </c>
      <c r="C1998" s="27">
        <f t="shared" si="156"/>
        <v>6</v>
      </c>
      <c r="D1998" s="27">
        <f t="shared" si="157"/>
        <v>19</v>
      </c>
      <c r="E1998" s="27">
        <f t="shared" si="158"/>
        <v>3</v>
      </c>
      <c r="F1998" s="27">
        <f>VLOOKUP(E1998,[2]t_calendarioPolitica!A:C,3,FALSE)</f>
        <v>1</v>
      </c>
      <c r="G1998" s="1">
        <v>1</v>
      </c>
      <c r="H1998" s="1">
        <v>1</v>
      </c>
      <c r="I1998" s="1">
        <f t="shared" si="159"/>
        <v>1</v>
      </c>
    </row>
    <row r="1999" spans="1:9" x14ac:dyDescent="0.25">
      <c r="A1999" s="26">
        <v>47289</v>
      </c>
      <c r="B1999" s="27">
        <f t="shared" si="155"/>
        <v>2029</v>
      </c>
      <c r="C1999" s="27">
        <f t="shared" si="156"/>
        <v>6</v>
      </c>
      <c r="D1999" s="27">
        <f t="shared" si="157"/>
        <v>20</v>
      </c>
      <c r="E1999" s="27">
        <f t="shared" si="158"/>
        <v>4</v>
      </c>
      <c r="F1999" s="27">
        <f>VLOOKUP(E1999,[2]t_calendarioPolitica!A:C,3,FALSE)</f>
        <v>1</v>
      </c>
      <c r="G1999" s="1">
        <v>1</v>
      </c>
      <c r="H1999" s="1">
        <v>1</v>
      </c>
      <c r="I1999" s="1">
        <f t="shared" si="159"/>
        <v>1</v>
      </c>
    </row>
    <row r="2000" spans="1:9" x14ac:dyDescent="0.25">
      <c r="A2000" s="26">
        <v>47290</v>
      </c>
      <c r="B2000" s="27">
        <f t="shared" si="155"/>
        <v>2029</v>
      </c>
      <c r="C2000" s="27">
        <f t="shared" si="156"/>
        <v>6</v>
      </c>
      <c r="D2000" s="27">
        <f t="shared" si="157"/>
        <v>21</v>
      </c>
      <c r="E2000" s="27">
        <f t="shared" si="158"/>
        <v>5</v>
      </c>
      <c r="F2000" s="27">
        <f>VLOOKUP(E2000,[2]t_calendarioPolitica!A:C,3,FALSE)</f>
        <v>1</v>
      </c>
      <c r="G2000" s="1">
        <v>1</v>
      </c>
      <c r="H2000" s="1">
        <v>1</v>
      </c>
      <c r="I2000" s="1">
        <f t="shared" si="159"/>
        <v>1</v>
      </c>
    </row>
    <row r="2001" spans="1:9" x14ac:dyDescent="0.25">
      <c r="A2001" s="26">
        <v>47291</v>
      </c>
      <c r="B2001" s="27">
        <f t="shared" si="155"/>
        <v>2029</v>
      </c>
      <c r="C2001" s="27">
        <f t="shared" si="156"/>
        <v>6</v>
      </c>
      <c r="D2001" s="27">
        <f t="shared" si="157"/>
        <v>22</v>
      </c>
      <c r="E2001" s="27">
        <f t="shared" si="158"/>
        <v>6</v>
      </c>
      <c r="F2001" s="27">
        <f>VLOOKUP(E2001,[2]t_calendarioPolitica!A:C,3,FALSE)</f>
        <v>1</v>
      </c>
      <c r="G2001" s="1">
        <v>1</v>
      </c>
      <c r="H2001" s="1">
        <v>1</v>
      </c>
      <c r="I2001" s="1">
        <f t="shared" si="159"/>
        <v>1</v>
      </c>
    </row>
    <row r="2002" spans="1:9" x14ac:dyDescent="0.25">
      <c r="A2002" s="26">
        <v>47292</v>
      </c>
      <c r="B2002" s="27">
        <f t="shared" si="155"/>
        <v>2029</v>
      </c>
      <c r="C2002" s="27">
        <f t="shared" si="156"/>
        <v>6</v>
      </c>
      <c r="D2002" s="27">
        <f t="shared" si="157"/>
        <v>23</v>
      </c>
      <c r="E2002" s="27">
        <f t="shared" si="158"/>
        <v>7</v>
      </c>
      <c r="F2002" s="27">
        <f>VLOOKUP(E2002,[2]t_calendarioPolitica!A:C,3,FALSE)</f>
        <v>2</v>
      </c>
      <c r="G2002" s="1">
        <v>1</v>
      </c>
      <c r="H2002" s="1">
        <v>1</v>
      </c>
      <c r="I2002" s="1">
        <f t="shared" si="159"/>
        <v>1</v>
      </c>
    </row>
    <row r="2003" spans="1:9" x14ac:dyDescent="0.25">
      <c r="A2003" s="26">
        <v>47293</v>
      </c>
      <c r="B2003" s="27">
        <f t="shared" si="155"/>
        <v>2029</v>
      </c>
      <c r="C2003" s="27">
        <f t="shared" si="156"/>
        <v>6</v>
      </c>
      <c r="D2003" s="27">
        <f t="shared" si="157"/>
        <v>24</v>
      </c>
      <c r="E2003" s="27">
        <f t="shared" si="158"/>
        <v>1</v>
      </c>
      <c r="F2003" s="27">
        <f>VLOOKUP(E2003,[2]t_calendarioPolitica!A:C,3,FALSE)</f>
        <v>0</v>
      </c>
      <c r="G2003" s="1">
        <v>1</v>
      </c>
      <c r="H2003" s="1">
        <v>1</v>
      </c>
      <c r="I2003" s="1">
        <f t="shared" si="159"/>
        <v>0</v>
      </c>
    </row>
    <row r="2004" spans="1:9" x14ac:dyDescent="0.25">
      <c r="A2004" s="26">
        <v>47294</v>
      </c>
      <c r="B2004" s="27">
        <f t="shared" si="155"/>
        <v>2029</v>
      </c>
      <c r="C2004" s="27">
        <f t="shared" si="156"/>
        <v>6</v>
      </c>
      <c r="D2004" s="27">
        <f t="shared" si="157"/>
        <v>25</v>
      </c>
      <c r="E2004" s="27">
        <f t="shared" si="158"/>
        <v>2</v>
      </c>
      <c r="F2004" s="27">
        <f>VLOOKUP(E2004,[2]t_calendarioPolitica!A:C,3,FALSE)</f>
        <v>1</v>
      </c>
      <c r="G2004" s="1">
        <v>1</v>
      </c>
      <c r="H2004" s="1">
        <v>1</v>
      </c>
      <c r="I2004" s="1">
        <f t="shared" si="159"/>
        <v>1</v>
      </c>
    </row>
    <row r="2005" spans="1:9" x14ac:dyDescent="0.25">
      <c r="A2005" s="26">
        <v>47295</v>
      </c>
      <c r="B2005" s="27">
        <f t="shared" si="155"/>
        <v>2029</v>
      </c>
      <c r="C2005" s="27">
        <f t="shared" si="156"/>
        <v>6</v>
      </c>
      <c r="D2005" s="27">
        <f t="shared" si="157"/>
        <v>26</v>
      </c>
      <c r="E2005" s="27">
        <f t="shared" si="158"/>
        <v>3</v>
      </c>
      <c r="F2005" s="27">
        <f>VLOOKUP(E2005,[2]t_calendarioPolitica!A:C,3,FALSE)</f>
        <v>1</v>
      </c>
      <c r="G2005" s="1">
        <v>1</v>
      </c>
      <c r="H2005" s="1">
        <v>1</v>
      </c>
      <c r="I2005" s="1">
        <f t="shared" si="159"/>
        <v>1</v>
      </c>
    </row>
    <row r="2006" spans="1:9" x14ac:dyDescent="0.25">
      <c r="A2006" s="26">
        <v>47296</v>
      </c>
      <c r="B2006" s="27">
        <f t="shared" si="155"/>
        <v>2029</v>
      </c>
      <c r="C2006" s="27">
        <f t="shared" si="156"/>
        <v>6</v>
      </c>
      <c r="D2006" s="27">
        <f t="shared" si="157"/>
        <v>27</v>
      </c>
      <c r="E2006" s="27">
        <f t="shared" si="158"/>
        <v>4</v>
      </c>
      <c r="F2006" s="27">
        <f>VLOOKUP(E2006,[2]t_calendarioPolitica!A:C,3,FALSE)</f>
        <v>1</v>
      </c>
      <c r="G2006" s="1">
        <v>1</v>
      </c>
      <c r="H2006" s="1">
        <v>1</v>
      </c>
      <c r="I2006" s="1">
        <f t="shared" si="159"/>
        <v>1</v>
      </c>
    </row>
    <row r="2007" spans="1:9" x14ac:dyDescent="0.25">
      <c r="A2007" s="26">
        <v>47297</v>
      </c>
      <c r="B2007" s="27">
        <f t="shared" si="155"/>
        <v>2029</v>
      </c>
      <c r="C2007" s="27">
        <f t="shared" si="156"/>
        <v>6</v>
      </c>
      <c r="D2007" s="27">
        <f t="shared" si="157"/>
        <v>28</v>
      </c>
      <c r="E2007" s="27">
        <f t="shared" si="158"/>
        <v>5</v>
      </c>
      <c r="F2007" s="27">
        <f>VLOOKUP(E2007,[2]t_calendarioPolitica!A:C,3,FALSE)</f>
        <v>1</v>
      </c>
      <c r="G2007" s="1">
        <v>1</v>
      </c>
      <c r="H2007" s="1">
        <v>1</v>
      </c>
      <c r="I2007" s="1">
        <f t="shared" si="159"/>
        <v>1</v>
      </c>
    </row>
    <row r="2008" spans="1:9" x14ac:dyDescent="0.25">
      <c r="A2008" s="26">
        <v>47298</v>
      </c>
      <c r="B2008" s="27">
        <f t="shared" si="155"/>
        <v>2029</v>
      </c>
      <c r="C2008" s="27">
        <f t="shared" si="156"/>
        <v>6</v>
      </c>
      <c r="D2008" s="27">
        <f t="shared" si="157"/>
        <v>29</v>
      </c>
      <c r="E2008" s="27">
        <f t="shared" si="158"/>
        <v>6</v>
      </c>
      <c r="F2008" s="27">
        <f>VLOOKUP(E2008,[2]t_calendarioPolitica!A:C,3,FALSE)</f>
        <v>1</v>
      </c>
      <c r="G2008" s="1">
        <v>1</v>
      </c>
      <c r="H2008" s="1">
        <v>1</v>
      </c>
      <c r="I2008" s="1">
        <f t="shared" si="159"/>
        <v>1</v>
      </c>
    </row>
    <row r="2009" spans="1:9" x14ac:dyDescent="0.25">
      <c r="A2009" s="26">
        <v>47299</v>
      </c>
      <c r="B2009" s="27">
        <f t="shared" si="155"/>
        <v>2029</v>
      </c>
      <c r="C2009" s="27">
        <f t="shared" si="156"/>
        <v>6</v>
      </c>
      <c r="D2009" s="27">
        <f t="shared" si="157"/>
        <v>30</v>
      </c>
      <c r="E2009" s="27">
        <f t="shared" si="158"/>
        <v>7</v>
      </c>
      <c r="F2009" s="27">
        <f>VLOOKUP(E2009,[2]t_calendarioPolitica!A:C,3,FALSE)</f>
        <v>2</v>
      </c>
      <c r="G2009" s="1">
        <v>1</v>
      </c>
      <c r="H2009" s="1">
        <v>1</v>
      </c>
      <c r="I2009" s="1">
        <f t="shared" si="159"/>
        <v>1</v>
      </c>
    </row>
    <row r="2010" spans="1:9" x14ac:dyDescent="0.25">
      <c r="A2010" s="26">
        <v>47300</v>
      </c>
      <c r="B2010" s="27">
        <f t="shared" si="155"/>
        <v>2029</v>
      </c>
      <c r="C2010" s="27">
        <f t="shared" si="156"/>
        <v>7</v>
      </c>
      <c r="D2010" s="27">
        <f t="shared" si="157"/>
        <v>1</v>
      </c>
      <c r="E2010" s="27">
        <f t="shared" si="158"/>
        <v>1</v>
      </c>
      <c r="F2010" s="27">
        <f>VLOOKUP(E2010,[2]t_calendarioPolitica!A:C,3,FALSE)</f>
        <v>0</v>
      </c>
      <c r="G2010" s="1">
        <v>1</v>
      </c>
      <c r="H2010" s="1">
        <v>1</v>
      </c>
      <c r="I2010" s="1">
        <f t="shared" si="159"/>
        <v>0</v>
      </c>
    </row>
    <row r="2011" spans="1:9" x14ac:dyDescent="0.25">
      <c r="A2011" s="26">
        <v>47301</v>
      </c>
      <c r="B2011" s="27">
        <f t="shared" si="155"/>
        <v>2029</v>
      </c>
      <c r="C2011" s="27">
        <f t="shared" si="156"/>
        <v>7</v>
      </c>
      <c r="D2011" s="27">
        <f t="shared" si="157"/>
        <v>2</v>
      </c>
      <c r="E2011" s="27">
        <f t="shared" si="158"/>
        <v>2</v>
      </c>
      <c r="F2011" s="27">
        <f>VLOOKUP(E2011,[2]t_calendarioPolitica!A:C,3,FALSE)</f>
        <v>1</v>
      </c>
      <c r="G2011" s="1">
        <v>1</v>
      </c>
      <c r="H2011" s="1">
        <v>1</v>
      </c>
      <c r="I2011" s="1">
        <f t="shared" si="159"/>
        <v>1</v>
      </c>
    </row>
    <row r="2012" spans="1:9" x14ac:dyDescent="0.25">
      <c r="A2012" s="26">
        <v>47302</v>
      </c>
      <c r="B2012" s="27">
        <f t="shared" si="155"/>
        <v>2029</v>
      </c>
      <c r="C2012" s="27">
        <f t="shared" si="156"/>
        <v>7</v>
      </c>
      <c r="D2012" s="27">
        <f t="shared" si="157"/>
        <v>3</v>
      </c>
      <c r="E2012" s="27">
        <f t="shared" si="158"/>
        <v>3</v>
      </c>
      <c r="F2012" s="27">
        <f>VLOOKUP(E2012,[2]t_calendarioPolitica!A:C,3,FALSE)</f>
        <v>1</v>
      </c>
      <c r="G2012" s="1">
        <v>1</v>
      </c>
      <c r="H2012" s="1">
        <v>1</v>
      </c>
      <c r="I2012" s="1">
        <f t="shared" si="159"/>
        <v>1</v>
      </c>
    </row>
    <row r="2013" spans="1:9" x14ac:dyDescent="0.25">
      <c r="A2013" s="26">
        <v>47303</v>
      </c>
      <c r="B2013" s="27">
        <f t="shared" si="155"/>
        <v>2029</v>
      </c>
      <c r="C2013" s="27">
        <f t="shared" si="156"/>
        <v>7</v>
      </c>
      <c r="D2013" s="27">
        <f t="shared" si="157"/>
        <v>4</v>
      </c>
      <c r="E2013" s="27">
        <f t="shared" si="158"/>
        <v>4</v>
      </c>
      <c r="F2013" s="27">
        <f>VLOOKUP(E2013,[2]t_calendarioPolitica!A:C,3,FALSE)</f>
        <v>1</v>
      </c>
      <c r="G2013" s="1">
        <v>1</v>
      </c>
      <c r="H2013" s="1">
        <v>1</v>
      </c>
      <c r="I2013" s="1">
        <f t="shared" si="159"/>
        <v>1</v>
      </c>
    </row>
    <row r="2014" spans="1:9" x14ac:dyDescent="0.25">
      <c r="A2014" s="26">
        <v>47304</v>
      </c>
      <c r="B2014" s="27">
        <f t="shared" si="155"/>
        <v>2029</v>
      </c>
      <c r="C2014" s="27">
        <f t="shared" si="156"/>
        <v>7</v>
      </c>
      <c r="D2014" s="27">
        <f t="shared" si="157"/>
        <v>5</v>
      </c>
      <c r="E2014" s="27">
        <f t="shared" si="158"/>
        <v>5</v>
      </c>
      <c r="F2014" s="27">
        <f>VLOOKUP(E2014,[2]t_calendarioPolitica!A:C,3,FALSE)</f>
        <v>1</v>
      </c>
      <c r="G2014" s="1">
        <v>1</v>
      </c>
      <c r="H2014" s="1">
        <v>1</v>
      </c>
      <c r="I2014" s="1">
        <f t="shared" si="159"/>
        <v>1</v>
      </c>
    </row>
    <row r="2015" spans="1:9" x14ac:dyDescent="0.25">
      <c r="A2015" s="26">
        <v>47305</v>
      </c>
      <c r="B2015" s="27">
        <f t="shared" si="155"/>
        <v>2029</v>
      </c>
      <c r="C2015" s="27">
        <f t="shared" si="156"/>
        <v>7</v>
      </c>
      <c r="D2015" s="27">
        <f t="shared" si="157"/>
        <v>6</v>
      </c>
      <c r="E2015" s="27">
        <f t="shared" si="158"/>
        <v>6</v>
      </c>
      <c r="F2015" s="27">
        <f>VLOOKUP(E2015,[2]t_calendarioPolitica!A:C,3,FALSE)</f>
        <v>1</v>
      </c>
      <c r="G2015" s="1">
        <v>1</v>
      </c>
      <c r="H2015" s="1">
        <v>1</v>
      </c>
      <c r="I2015" s="1">
        <f t="shared" si="159"/>
        <v>1</v>
      </c>
    </row>
    <row r="2016" spans="1:9" x14ac:dyDescent="0.25">
      <c r="A2016" s="26">
        <v>47306</v>
      </c>
      <c r="B2016" s="27">
        <f t="shared" si="155"/>
        <v>2029</v>
      </c>
      <c r="C2016" s="27">
        <f t="shared" si="156"/>
        <v>7</v>
      </c>
      <c r="D2016" s="27">
        <f t="shared" si="157"/>
        <v>7</v>
      </c>
      <c r="E2016" s="27">
        <f t="shared" si="158"/>
        <v>7</v>
      </c>
      <c r="F2016" s="27">
        <f>VLOOKUP(E2016,[2]t_calendarioPolitica!A:C,3,FALSE)</f>
        <v>2</v>
      </c>
      <c r="G2016" s="1">
        <v>1</v>
      </c>
      <c r="H2016" s="1">
        <v>1</v>
      </c>
      <c r="I2016" s="1">
        <f t="shared" si="159"/>
        <v>1</v>
      </c>
    </row>
    <row r="2017" spans="1:9" x14ac:dyDescent="0.25">
      <c r="A2017" s="26">
        <v>47307</v>
      </c>
      <c r="B2017" s="27">
        <f t="shared" si="155"/>
        <v>2029</v>
      </c>
      <c r="C2017" s="27">
        <f t="shared" si="156"/>
        <v>7</v>
      </c>
      <c r="D2017" s="27">
        <f t="shared" si="157"/>
        <v>8</v>
      </c>
      <c r="E2017" s="27">
        <f t="shared" si="158"/>
        <v>1</v>
      </c>
      <c r="F2017" s="27">
        <f>VLOOKUP(E2017,[2]t_calendarioPolitica!A:C,3,FALSE)</f>
        <v>0</v>
      </c>
      <c r="G2017" s="1">
        <v>1</v>
      </c>
      <c r="H2017" s="1">
        <v>1</v>
      </c>
      <c r="I2017" s="1">
        <f t="shared" si="159"/>
        <v>0</v>
      </c>
    </row>
    <row r="2018" spans="1:9" x14ac:dyDescent="0.25">
      <c r="A2018" s="26">
        <v>47308</v>
      </c>
      <c r="B2018" s="27">
        <f t="shared" si="155"/>
        <v>2029</v>
      </c>
      <c r="C2018" s="27">
        <f t="shared" si="156"/>
        <v>7</v>
      </c>
      <c r="D2018" s="27">
        <f t="shared" si="157"/>
        <v>9</v>
      </c>
      <c r="E2018" s="27">
        <f t="shared" si="158"/>
        <v>2</v>
      </c>
      <c r="F2018" s="27">
        <f>VLOOKUP(E2018,[2]t_calendarioPolitica!A:C,3,FALSE)</f>
        <v>1</v>
      </c>
      <c r="G2018" s="1">
        <v>1</v>
      </c>
      <c r="H2018" s="1">
        <v>1</v>
      </c>
      <c r="I2018" s="1">
        <f t="shared" si="159"/>
        <v>1</v>
      </c>
    </row>
    <row r="2019" spans="1:9" x14ac:dyDescent="0.25">
      <c r="A2019" s="26">
        <v>47309</v>
      </c>
      <c r="B2019" s="27">
        <f t="shared" si="155"/>
        <v>2029</v>
      </c>
      <c r="C2019" s="27">
        <f t="shared" si="156"/>
        <v>7</v>
      </c>
      <c r="D2019" s="27">
        <f t="shared" si="157"/>
        <v>10</v>
      </c>
      <c r="E2019" s="27">
        <f t="shared" si="158"/>
        <v>3</v>
      </c>
      <c r="F2019" s="27">
        <f>VLOOKUP(E2019,[2]t_calendarioPolitica!A:C,3,FALSE)</f>
        <v>1</v>
      </c>
      <c r="G2019" s="1">
        <v>1</v>
      </c>
      <c r="H2019" s="1">
        <v>1</v>
      </c>
      <c r="I2019" s="1">
        <f t="shared" si="159"/>
        <v>1</v>
      </c>
    </row>
    <row r="2020" spans="1:9" x14ac:dyDescent="0.25">
      <c r="A2020" s="26">
        <v>47310</v>
      </c>
      <c r="B2020" s="27">
        <f t="shared" si="155"/>
        <v>2029</v>
      </c>
      <c r="C2020" s="27">
        <f t="shared" si="156"/>
        <v>7</v>
      </c>
      <c r="D2020" s="27">
        <f t="shared" si="157"/>
        <v>11</v>
      </c>
      <c r="E2020" s="27">
        <f t="shared" si="158"/>
        <v>4</v>
      </c>
      <c r="F2020" s="27">
        <f>VLOOKUP(E2020,[2]t_calendarioPolitica!A:C,3,FALSE)</f>
        <v>1</v>
      </c>
      <c r="G2020" s="1">
        <v>1</v>
      </c>
      <c r="H2020" s="1">
        <v>1</v>
      </c>
      <c r="I2020" s="1">
        <f t="shared" si="159"/>
        <v>1</v>
      </c>
    </row>
    <row r="2021" spans="1:9" x14ac:dyDescent="0.25">
      <c r="A2021" s="26">
        <v>47311</v>
      </c>
      <c r="B2021" s="27">
        <f t="shared" si="155"/>
        <v>2029</v>
      </c>
      <c r="C2021" s="27">
        <f t="shared" si="156"/>
        <v>7</v>
      </c>
      <c r="D2021" s="27">
        <f t="shared" si="157"/>
        <v>12</v>
      </c>
      <c r="E2021" s="27">
        <f t="shared" si="158"/>
        <v>5</v>
      </c>
      <c r="F2021" s="27">
        <f>VLOOKUP(E2021,[2]t_calendarioPolitica!A:C,3,FALSE)</f>
        <v>1</v>
      </c>
      <c r="G2021" s="1">
        <v>1</v>
      </c>
      <c r="H2021" s="1">
        <v>1</v>
      </c>
      <c r="I2021" s="1">
        <f t="shared" si="159"/>
        <v>1</v>
      </c>
    </row>
    <row r="2022" spans="1:9" x14ac:dyDescent="0.25">
      <c r="A2022" s="26">
        <v>47312</v>
      </c>
      <c r="B2022" s="27">
        <f t="shared" si="155"/>
        <v>2029</v>
      </c>
      <c r="C2022" s="27">
        <f t="shared" si="156"/>
        <v>7</v>
      </c>
      <c r="D2022" s="27">
        <f t="shared" si="157"/>
        <v>13</v>
      </c>
      <c r="E2022" s="27">
        <f t="shared" si="158"/>
        <v>6</v>
      </c>
      <c r="F2022" s="27">
        <f>VLOOKUP(E2022,[2]t_calendarioPolitica!A:C,3,FALSE)</f>
        <v>1</v>
      </c>
      <c r="G2022" s="1">
        <v>1</v>
      </c>
      <c r="H2022" s="1">
        <v>1</v>
      </c>
      <c r="I2022" s="1">
        <f t="shared" si="159"/>
        <v>1</v>
      </c>
    </row>
    <row r="2023" spans="1:9" x14ac:dyDescent="0.25">
      <c r="A2023" s="26">
        <v>47313</v>
      </c>
      <c r="B2023" s="27">
        <f t="shared" si="155"/>
        <v>2029</v>
      </c>
      <c r="C2023" s="27">
        <f t="shared" si="156"/>
        <v>7</v>
      </c>
      <c r="D2023" s="27">
        <f t="shared" si="157"/>
        <v>14</v>
      </c>
      <c r="E2023" s="27">
        <f t="shared" si="158"/>
        <v>7</v>
      </c>
      <c r="F2023" s="27">
        <f>VLOOKUP(E2023,[2]t_calendarioPolitica!A:C,3,FALSE)</f>
        <v>2</v>
      </c>
      <c r="G2023" s="1">
        <v>1</v>
      </c>
      <c r="H2023" s="1">
        <v>1</v>
      </c>
      <c r="I2023" s="1">
        <f t="shared" si="159"/>
        <v>1</v>
      </c>
    </row>
    <row r="2024" spans="1:9" x14ac:dyDescent="0.25">
      <c r="A2024" s="26">
        <v>47314</v>
      </c>
      <c r="B2024" s="27">
        <f t="shared" si="155"/>
        <v>2029</v>
      </c>
      <c r="C2024" s="27">
        <f t="shared" si="156"/>
        <v>7</v>
      </c>
      <c r="D2024" s="27">
        <f t="shared" si="157"/>
        <v>15</v>
      </c>
      <c r="E2024" s="27">
        <f t="shared" si="158"/>
        <v>1</v>
      </c>
      <c r="F2024" s="27">
        <f>VLOOKUP(E2024,[2]t_calendarioPolitica!A:C,3,FALSE)</f>
        <v>0</v>
      </c>
      <c r="G2024" s="1">
        <v>1</v>
      </c>
      <c r="H2024" s="1">
        <v>1</v>
      </c>
      <c r="I2024" s="1">
        <f t="shared" si="159"/>
        <v>0</v>
      </c>
    </row>
    <row r="2025" spans="1:9" x14ac:dyDescent="0.25">
      <c r="A2025" s="26">
        <v>47315</v>
      </c>
      <c r="B2025" s="27">
        <f t="shared" si="155"/>
        <v>2029</v>
      </c>
      <c r="C2025" s="27">
        <f t="shared" si="156"/>
        <v>7</v>
      </c>
      <c r="D2025" s="27">
        <f t="shared" si="157"/>
        <v>16</v>
      </c>
      <c r="E2025" s="27">
        <f t="shared" si="158"/>
        <v>2</v>
      </c>
      <c r="F2025" s="27">
        <f>VLOOKUP(E2025,[2]t_calendarioPolitica!A:C,3,FALSE)</f>
        <v>1</v>
      </c>
      <c r="G2025" s="1">
        <v>1</v>
      </c>
      <c r="H2025" s="1">
        <v>1</v>
      </c>
      <c r="I2025" s="1">
        <f t="shared" si="159"/>
        <v>1</v>
      </c>
    </row>
    <row r="2026" spans="1:9" x14ac:dyDescent="0.25">
      <c r="A2026" s="26">
        <v>47316</v>
      </c>
      <c r="B2026" s="27">
        <f t="shared" si="155"/>
        <v>2029</v>
      </c>
      <c r="C2026" s="27">
        <f t="shared" si="156"/>
        <v>7</v>
      </c>
      <c r="D2026" s="27">
        <f t="shared" si="157"/>
        <v>17</v>
      </c>
      <c r="E2026" s="27">
        <f t="shared" si="158"/>
        <v>3</v>
      </c>
      <c r="F2026" s="27">
        <f>VLOOKUP(E2026,[2]t_calendarioPolitica!A:C,3,FALSE)</f>
        <v>1</v>
      </c>
      <c r="G2026" s="1">
        <v>1</v>
      </c>
      <c r="H2026" s="1">
        <v>1</v>
      </c>
      <c r="I2026" s="1">
        <f t="shared" si="159"/>
        <v>1</v>
      </c>
    </row>
    <row r="2027" spans="1:9" x14ac:dyDescent="0.25">
      <c r="A2027" s="26">
        <v>47317</v>
      </c>
      <c r="B2027" s="27">
        <f t="shared" si="155"/>
        <v>2029</v>
      </c>
      <c r="C2027" s="27">
        <f t="shared" si="156"/>
        <v>7</v>
      </c>
      <c r="D2027" s="27">
        <f t="shared" si="157"/>
        <v>18</v>
      </c>
      <c r="E2027" s="27">
        <f t="shared" si="158"/>
        <v>4</v>
      </c>
      <c r="F2027" s="27">
        <f>VLOOKUP(E2027,[2]t_calendarioPolitica!A:C,3,FALSE)</f>
        <v>1</v>
      </c>
      <c r="G2027" s="1">
        <v>1</v>
      </c>
      <c r="H2027" s="1">
        <v>1</v>
      </c>
      <c r="I2027" s="1">
        <f t="shared" si="159"/>
        <v>1</v>
      </c>
    </row>
    <row r="2028" spans="1:9" x14ac:dyDescent="0.25">
      <c r="A2028" s="26">
        <v>47318</v>
      </c>
      <c r="B2028" s="27">
        <f t="shared" si="155"/>
        <v>2029</v>
      </c>
      <c r="C2028" s="27">
        <f t="shared" si="156"/>
        <v>7</v>
      </c>
      <c r="D2028" s="27">
        <f t="shared" si="157"/>
        <v>19</v>
      </c>
      <c r="E2028" s="27">
        <f t="shared" si="158"/>
        <v>5</v>
      </c>
      <c r="F2028" s="27">
        <f>VLOOKUP(E2028,[2]t_calendarioPolitica!A:C,3,FALSE)</f>
        <v>1</v>
      </c>
      <c r="G2028" s="1">
        <v>1</v>
      </c>
      <c r="H2028" s="1">
        <v>1</v>
      </c>
      <c r="I2028" s="1">
        <f t="shared" si="159"/>
        <v>1</v>
      </c>
    </row>
    <row r="2029" spans="1:9" x14ac:dyDescent="0.25">
      <c r="A2029" s="26">
        <v>47319</v>
      </c>
      <c r="B2029" s="27">
        <f t="shared" si="155"/>
        <v>2029</v>
      </c>
      <c r="C2029" s="27">
        <f t="shared" si="156"/>
        <v>7</v>
      </c>
      <c r="D2029" s="27">
        <f t="shared" si="157"/>
        <v>20</v>
      </c>
      <c r="E2029" s="27">
        <f t="shared" si="158"/>
        <v>6</v>
      </c>
      <c r="F2029" s="27">
        <f>VLOOKUP(E2029,[2]t_calendarioPolitica!A:C,3,FALSE)</f>
        <v>1</v>
      </c>
      <c r="G2029" s="1">
        <v>1</v>
      </c>
      <c r="H2029" s="1">
        <v>1</v>
      </c>
      <c r="I2029" s="1">
        <f t="shared" si="159"/>
        <v>1</v>
      </c>
    </row>
    <row r="2030" spans="1:9" x14ac:dyDescent="0.25">
      <c r="A2030" s="26">
        <v>47320</v>
      </c>
      <c r="B2030" s="27">
        <f t="shared" si="155"/>
        <v>2029</v>
      </c>
      <c r="C2030" s="27">
        <f t="shared" si="156"/>
        <v>7</v>
      </c>
      <c r="D2030" s="27">
        <f t="shared" si="157"/>
        <v>21</v>
      </c>
      <c r="E2030" s="27">
        <f t="shared" si="158"/>
        <v>7</v>
      </c>
      <c r="F2030" s="27">
        <f>VLOOKUP(E2030,[2]t_calendarioPolitica!A:C,3,FALSE)</f>
        <v>2</v>
      </c>
      <c r="G2030" s="1">
        <v>1</v>
      </c>
      <c r="H2030" s="1">
        <v>1</v>
      </c>
      <c r="I2030" s="1">
        <f t="shared" si="159"/>
        <v>1</v>
      </c>
    </row>
    <row r="2031" spans="1:9" x14ac:dyDescent="0.25">
      <c r="A2031" s="26">
        <v>47321</v>
      </c>
      <c r="B2031" s="27">
        <f t="shared" si="155"/>
        <v>2029</v>
      </c>
      <c r="C2031" s="27">
        <f t="shared" si="156"/>
        <v>7</v>
      </c>
      <c r="D2031" s="27">
        <f t="shared" si="157"/>
        <v>22</v>
      </c>
      <c r="E2031" s="27">
        <f t="shared" si="158"/>
        <v>1</v>
      </c>
      <c r="F2031" s="27">
        <f>VLOOKUP(E2031,[2]t_calendarioPolitica!A:C,3,FALSE)</f>
        <v>0</v>
      </c>
      <c r="G2031" s="1">
        <v>1</v>
      </c>
      <c r="H2031" s="1">
        <v>1</v>
      </c>
      <c r="I2031" s="1">
        <f t="shared" si="159"/>
        <v>0</v>
      </c>
    </row>
    <row r="2032" spans="1:9" x14ac:dyDescent="0.25">
      <c r="A2032" s="26">
        <v>47322</v>
      </c>
      <c r="B2032" s="27">
        <f t="shared" si="155"/>
        <v>2029</v>
      </c>
      <c r="C2032" s="27">
        <f t="shared" si="156"/>
        <v>7</v>
      </c>
      <c r="D2032" s="27">
        <f t="shared" si="157"/>
        <v>23</v>
      </c>
      <c r="E2032" s="27">
        <f t="shared" si="158"/>
        <v>2</v>
      </c>
      <c r="F2032" s="27">
        <f>VLOOKUP(E2032,[2]t_calendarioPolitica!A:C,3,FALSE)</f>
        <v>1</v>
      </c>
      <c r="G2032" s="1">
        <v>1</v>
      </c>
      <c r="H2032" s="1">
        <v>1</v>
      </c>
      <c r="I2032" s="1">
        <f t="shared" si="159"/>
        <v>1</v>
      </c>
    </row>
    <row r="2033" spans="1:9" x14ac:dyDescent="0.25">
      <c r="A2033" s="26">
        <v>47323</v>
      </c>
      <c r="B2033" s="27">
        <f t="shared" si="155"/>
        <v>2029</v>
      </c>
      <c r="C2033" s="27">
        <f t="shared" si="156"/>
        <v>7</v>
      </c>
      <c r="D2033" s="27">
        <f t="shared" si="157"/>
        <v>24</v>
      </c>
      <c r="E2033" s="27">
        <f t="shared" si="158"/>
        <v>3</v>
      </c>
      <c r="F2033" s="27">
        <f>VLOOKUP(E2033,[2]t_calendarioPolitica!A:C,3,FALSE)</f>
        <v>1</v>
      </c>
      <c r="G2033" s="1">
        <v>1</v>
      </c>
      <c r="H2033" s="1">
        <v>1</v>
      </c>
      <c r="I2033" s="1">
        <f t="shared" si="159"/>
        <v>1</v>
      </c>
    </row>
    <row r="2034" spans="1:9" x14ac:dyDescent="0.25">
      <c r="A2034" s="26">
        <v>47324</v>
      </c>
      <c r="B2034" s="27">
        <f t="shared" si="155"/>
        <v>2029</v>
      </c>
      <c r="C2034" s="27">
        <f t="shared" si="156"/>
        <v>7</v>
      </c>
      <c r="D2034" s="27">
        <f t="shared" si="157"/>
        <v>25</v>
      </c>
      <c r="E2034" s="27">
        <f t="shared" si="158"/>
        <v>4</v>
      </c>
      <c r="F2034" s="27">
        <f>VLOOKUP(E2034,[2]t_calendarioPolitica!A:C,3,FALSE)</f>
        <v>1</v>
      </c>
      <c r="G2034" s="1">
        <v>1</v>
      </c>
      <c r="H2034" s="1">
        <v>1</v>
      </c>
      <c r="I2034" s="1">
        <f t="shared" si="159"/>
        <v>1</v>
      </c>
    </row>
    <row r="2035" spans="1:9" x14ac:dyDescent="0.25">
      <c r="A2035" s="26">
        <v>47325</v>
      </c>
      <c r="B2035" s="27">
        <f t="shared" si="155"/>
        <v>2029</v>
      </c>
      <c r="C2035" s="27">
        <f t="shared" si="156"/>
        <v>7</v>
      </c>
      <c r="D2035" s="27">
        <f t="shared" si="157"/>
        <v>26</v>
      </c>
      <c r="E2035" s="27">
        <f t="shared" si="158"/>
        <v>5</v>
      </c>
      <c r="F2035" s="27">
        <f>VLOOKUP(E2035,[2]t_calendarioPolitica!A:C,3,FALSE)</f>
        <v>1</v>
      </c>
      <c r="G2035" s="1">
        <v>1</v>
      </c>
      <c r="H2035" s="1">
        <v>1</v>
      </c>
      <c r="I2035" s="1">
        <f t="shared" si="159"/>
        <v>1</v>
      </c>
    </row>
    <row r="2036" spans="1:9" x14ac:dyDescent="0.25">
      <c r="A2036" s="26">
        <v>47326</v>
      </c>
      <c r="B2036" s="27">
        <f t="shared" si="155"/>
        <v>2029</v>
      </c>
      <c r="C2036" s="27">
        <f t="shared" si="156"/>
        <v>7</v>
      </c>
      <c r="D2036" s="27">
        <f t="shared" si="157"/>
        <v>27</v>
      </c>
      <c r="E2036" s="27">
        <f t="shared" si="158"/>
        <v>6</v>
      </c>
      <c r="F2036" s="27">
        <f>VLOOKUP(E2036,[2]t_calendarioPolitica!A:C,3,FALSE)</f>
        <v>1</v>
      </c>
      <c r="G2036" s="1">
        <v>1</v>
      </c>
      <c r="H2036" s="1">
        <v>1</v>
      </c>
      <c r="I2036" s="1">
        <f t="shared" si="159"/>
        <v>1</v>
      </c>
    </row>
    <row r="2037" spans="1:9" x14ac:dyDescent="0.25">
      <c r="A2037" s="26">
        <v>47327</v>
      </c>
      <c r="B2037" s="27">
        <f t="shared" si="155"/>
        <v>2029</v>
      </c>
      <c r="C2037" s="27">
        <f t="shared" si="156"/>
        <v>7</v>
      </c>
      <c r="D2037" s="27">
        <f t="shared" si="157"/>
        <v>28</v>
      </c>
      <c r="E2037" s="27">
        <f t="shared" si="158"/>
        <v>7</v>
      </c>
      <c r="F2037" s="27">
        <f>VLOOKUP(E2037,[2]t_calendarioPolitica!A:C,3,FALSE)</f>
        <v>2</v>
      </c>
      <c r="G2037" s="1">
        <v>1</v>
      </c>
      <c r="H2037" s="1">
        <v>1</v>
      </c>
      <c r="I2037" s="1">
        <f t="shared" si="159"/>
        <v>1</v>
      </c>
    </row>
    <row r="2038" spans="1:9" x14ac:dyDescent="0.25">
      <c r="A2038" s="26">
        <v>47328</v>
      </c>
      <c r="B2038" s="27">
        <f t="shared" si="155"/>
        <v>2029</v>
      </c>
      <c r="C2038" s="27">
        <f t="shared" si="156"/>
        <v>7</v>
      </c>
      <c r="D2038" s="27">
        <f t="shared" si="157"/>
        <v>29</v>
      </c>
      <c r="E2038" s="27">
        <f t="shared" si="158"/>
        <v>1</v>
      </c>
      <c r="F2038" s="27">
        <f>VLOOKUP(E2038,[2]t_calendarioPolitica!A:C,3,FALSE)</f>
        <v>0</v>
      </c>
      <c r="G2038" s="1">
        <v>1</v>
      </c>
      <c r="H2038" s="1">
        <v>1</v>
      </c>
      <c r="I2038" s="1">
        <f t="shared" si="159"/>
        <v>0</v>
      </c>
    </row>
    <row r="2039" spans="1:9" x14ac:dyDescent="0.25">
      <c r="A2039" s="26">
        <v>47329</v>
      </c>
      <c r="B2039" s="27">
        <f t="shared" si="155"/>
        <v>2029</v>
      </c>
      <c r="C2039" s="27">
        <f t="shared" si="156"/>
        <v>7</v>
      </c>
      <c r="D2039" s="27">
        <f t="shared" si="157"/>
        <v>30</v>
      </c>
      <c r="E2039" s="27">
        <f t="shared" si="158"/>
        <v>2</v>
      </c>
      <c r="F2039" s="27">
        <f>VLOOKUP(E2039,[2]t_calendarioPolitica!A:C,3,FALSE)</f>
        <v>1</v>
      </c>
      <c r="G2039" s="1">
        <v>1</v>
      </c>
      <c r="H2039" s="1">
        <v>1</v>
      </c>
      <c r="I2039" s="1">
        <f t="shared" si="159"/>
        <v>1</v>
      </c>
    </row>
    <row r="2040" spans="1:9" x14ac:dyDescent="0.25">
      <c r="A2040" s="26">
        <v>47330</v>
      </c>
      <c r="B2040" s="27">
        <f t="shared" si="155"/>
        <v>2029</v>
      </c>
      <c r="C2040" s="27">
        <f t="shared" si="156"/>
        <v>7</v>
      </c>
      <c r="D2040" s="27">
        <f t="shared" si="157"/>
        <v>31</v>
      </c>
      <c r="E2040" s="27">
        <f t="shared" si="158"/>
        <v>3</v>
      </c>
      <c r="F2040" s="27">
        <f>VLOOKUP(E2040,[2]t_calendarioPolitica!A:C,3,FALSE)</f>
        <v>1</v>
      </c>
      <c r="G2040" s="1">
        <v>1</v>
      </c>
      <c r="H2040" s="1">
        <v>1</v>
      </c>
      <c r="I2040" s="1">
        <f t="shared" si="159"/>
        <v>1</v>
      </c>
    </row>
    <row r="2041" spans="1:9" x14ac:dyDescent="0.25">
      <c r="A2041" s="26">
        <v>47331</v>
      </c>
      <c r="B2041" s="27">
        <f t="shared" si="155"/>
        <v>2029</v>
      </c>
      <c r="C2041" s="27">
        <f t="shared" si="156"/>
        <v>8</v>
      </c>
      <c r="D2041" s="27">
        <f t="shared" si="157"/>
        <v>1</v>
      </c>
      <c r="E2041" s="27">
        <f t="shared" si="158"/>
        <v>4</v>
      </c>
      <c r="F2041" s="27">
        <f>VLOOKUP(E2041,[2]t_calendarioPolitica!A:C,3,FALSE)</f>
        <v>1</v>
      </c>
      <c r="G2041" s="1">
        <v>1</v>
      </c>
      <c r="H2041" s="1">
        <v>1</v>
      </c>
      <c r="I2041" s="1">
        <f t="shared" si="159"/>
        <v>1</v>
      </c>
    </row>
    <row r="2042" spans="1:9" x14ac:dyDescent="0.25">
      <c r="A2042" s="26">
        <v>47332</v>
      </c>
      <c r="B2042" s="27">
        <f t="shared" si="155"/>
        <v>2029</v>
      </c>
      <c r="C2042" s="27">
        <f t="shared" si="156"/>
        <v>8</v>
      </c>
      <c r="D2042" s="27">
        <f t="shared" si="157"/>
        <v>2</v>
      </c>
      <c r="E2042" s="27">
        <f t="shared" si="158"/>
        <v>5</v>
      </c>
      <c r="F2042" s="27">
        <f>VLOOKUP(E2042,[2]t_calendarioPolitica!A:C,3,FALSE)</f>
        <v>1</v>
      </c>
      <c r="G2042" s="1">
        <v>1</v>
      </c>
      <c r="H2042" s="1">
        <v>1</v>
      </c>
      <c r="I2042" s="1">
        <f t="shared" si="159"/>
        <v>1</v>
      </c>
    </row>
    <row r="2043" spans="1:9" x14ac:dyDescent="0.25">
      <c r="A2043" s="26">
        <v>47333</v>
      </c>
      <c r="B2043" s="27">
        <f t="shared" si="155"/>
        <v>2029</v>
      </c>
      <c r="C2043" s="27">
        <f t="shared" si="156"/>
        <v>8</v>
      </c>
      <c r="D2043" s="27">
        <f t="shared" si="157"/>
        <v>3</v>
      </c>
      <c r="E2043" s="27">
        <f t="shared" si="158"/>
        <v>6</v>
      </c>
      <c r="F2043" s="27">
        <f>VLOOKUP(E2043,[2]t_calendarioPolitica!A:C,3,FALSE)</f>
        <v>1</v>
      </c>
      <c r="G2043" s="1">
        <v>1</v>
      </c>
      <c r="H2043" s="1">
        <v>1</v>
      </c>
      <c r="I2043" s="1">
        <f t="shared" si="159"/>
        <v>1</v>
      </c>
    </row>
    <row r="2044" spans="1:9" x14ac:dyDescent="0.25">
      <c r="A2044" s="26">
        <v>47334</v>
      </c>
      <c r="B2044" s="27">
        <f t="shared" si="155"/>
        <v>2029</v>
      </c>
      <c r="C2044" s="27">
        <f t="shared" si="156"/>
        <v>8</v>
      </c>
      <c r="D2044" s="27">
        <f t="shared" si="157"/>
        <v>4</v>
      </c>
      <c r="E2044" s="27">
        <f t="shared" si="158"/>
        <v>7</v>
      </c>
      <c r="F2044" s="27">
        <f>VLOOKUP(E2044,[2]t_calendarioPolitica!A:C,3,FALSE)</f>
        <v>2</v>
      </c>
      <c r="G2044" s="1">
        <v>1</v>
      </c>
      <c r="H2044" s="1">
        <v>1</v>
      </c>
      <c r="I2044" s="1">
        <f t="shared" si="159"/>
        <v>1</v>
      </c>
    </row>
    <row r="2045" spans="1:9" x14ac:dyDescent="0.25">
      <c r="A2045" s="26">
        <v>47335</v>
      </c>
      <c r="B2045" s="27">
        <f t="shared" si="155"/>
        <v>2029</v>
      </c>
      <c r="C2045" s="27">
        <f t="shared" si="156"/>
        <v>8</v>
      </c>
      <c r="D2045" s="27">
        <f t="shared" si="157"/>
        <v>5</v>
      </c>
      <c r="E2045" s="27">
        <f t="shared" si="158"/>
        <v>1</v>
      </c>
      <c r="F2045" s="27">
        <f>VLOOKUP(E2045,[2]t_calendarioPolitica!A:C,3,FALSE)</f>
        <v>0</v>
      </c>
      <c r="G2045" s="1">
        <v>1</v>
      </c>
      <c r="H2045" s="1">
        <v>1</v>
      </c>
      <c r="I2045" s="1">
        <f t="shared" si="159"/>
        <v>0</v>
      </c>
    </row>
    <row r="2046" spans="1:9" x14ac:dyDescent="0.25">
      <c r="A2046" s="26">
        <v>47336</v>
      </c>
      <c r="B2046" s="27">
        <f t="shared" si="155"/>
        <v>2029</v>
      </c>
      <c r="C2046" s="27">
        <f t="shared" si="156"/>
        <v>8</v>
      </c>
      <c r="D2046" s="27">
        <f t="shared" si="157"/>
        <v>6</v>
      </c>
      <c r="E2046" s="27">
        <f t="shared" si="158"/>
        <v>2</v>
      </c>
      <c r="F2046" s="27">
        <f>VLOOKUP(E2046,[2]t_calendarioPolitica!A:C,3,FALSE)</f>
        <v>1</v>
      </c>
      <c r="G2046" s="1">
        <v>1</v>
      </c>
      <c r="H2046" s="1">
        <v>1</v>
      </c>
      <c r="I2046" s="1">
        <f t="shared" si="159"/>
        <v>1</v>
      </c>
    </row>
    <row r="2047" spans="1:9" x14ac:dyDescent="0.25">
      <c r="A2047" s="26">
        <v>47337</v>
      </c>
      <c r="B2047" s="27">
        <f t="shared" si="155"/>
        <v>2029</v>
      </c>
      <c r="C2047" s="27">
        <f t="shared" si="156"/>
        <v>8</v>
      </c>
      <c r="D2047" s="27">
        <f t="shared" si="157"/>
        <v>7</v>
      </c>
      <c r="E2047" s="27">
        <f t="shared" si="158"/>
        <v>3</v>
      </c>
      <c r="F2047" s="27">
        <f>VLOOKUP(E2047,[2]t_calendarioPolitica!A:C,3,FALSE)</f>
        <v>1</v>
      </c>
      <c r="G2047" s="1">
        <v>1</v>
      </c>
      <c r="H2047" s="1">
        <v>1</v>
      </c>
      <c r="I2047" s="1">
        <f t="shared" si="159"/>
        <v>1</v>
      </c>
    </row>
    <row r="2048" spans="1:9" x14ac:dyDescent="0.25">
      <c r="A2048" s="26">
        <v>47338</v>
      </c>
      <c r="B2048" s="27">
        <f t="shared" si="155"/>
        <v>2029</v>
      </c>
      <c r="C2048" s="27">
        <f t="shared" si="156"/>
        <v>8</v>
      </c>
      <c r="D2048" s="27">
        <f t="shared" si="157"/>
        <v>8</v>
      </c>
      <c r="E2048" s="27">
        <f t="shared" si="158"/>
        <v>4</v>
      </c>
      <c r="F2048" s="27">
        <f>VLOOKUP(E2048,[2]t_calendarioPolitica!A:C,3,FALSE)</f>
        <v>1</v>
      </c>
      <c r="G2048" s="1">
        <v>1</v>
      </c>
      <c r="H2048" s="1">
        <v>1</v>
      </c>
      <c r="I2048" s="1">
        <f t="shared" si="159"/>
        <v>1</v>
      </c>
    </row>
    <row r="2049" spans="1:9" x14ac:dyDescent="0.25">
      <c r="A2049" s="26">
        <v>47339</v>
      </c>
      <c r="B2049" s="27">
        <f t="shared" si="155"/>
        <v>2029</v>
      </c>
      <c r="C2049" s="27">
        <f t="shared" si="156"/>
        <v>8</v>
      </c>
      <c r="D2049" s="27">
        <f t="shared" si="157"/>
        <v>9</v>
      </c>
      <c r="E2049" s="27">
        <f t="shared" si="158"/>
        <v>5</v>
      </c>
      <c r="F2049" s="27">
        <f>VLOOKUP(E2049,[2]t_calendarioPolitica!A:C,3,FALSE)</f>
        <v>1</v>
      </c>
      <c r="G2049" s="1">
        <v>1</v>
      </c>
      <c r="H2049" s="1">
        <v>1</v>
      </c>
      <c r="I2049" s="1">
        <f t="shared" si="159"/>
        <v>1</v>
      </c>
    </row>
    <row r="2050" spans="1:9" x14ac:dyDescent="0.25">
      <c r="A2050" s="26">
        <v>47340</v>
      </c>
      <c r="B2050" s="27">
        <f t="shared" si="155"/>
        <v>2029</v>
      </c>
      <c r="C2050" s="27">
        <f t="shared" si="156"/>
        <v>8</v>
      </c>
      <c r="D2050" s="27">
        <f t="shared" si="157"/>
        <v>10</v>
      </c>
      <c r="E2050" s="27">
        <f t="shared" si="158"/>
        <v>6</v>
      </c>
      <c r="F2050" s="27">
        <f>VLOOKUP(E2050,[2]t_calendarioPolitica!A:C,3,FALSE)</f>
        <v>1</v>
      </c>
      <c r="G2050" s="1">
        <v>1</v>
      </c>
      <c r="H2050" s="1">
        <v>1</v>
      </c>
      <c r="I2050" s="1">
        <f t="shared" si="159"/>
        <v>1</v>
      </c>
    </row>
    <row r="2051" spans="1:9" x14ac:dyDescent="0.25">
      <c r="A2051" s="26">
        <v>47341</v>
      </c>
      <c r="B2051" s="27">
        <f t="shared" ref="B2051:B2114" si="160">YEAR(A2051)</f>
        <v>2029</v>
      </c>
      <c r="C2051" s="27">
        <f t="shared" ref="C2051:C2114" si="161">MONTH(A2051)</f>
        <v>8</v>
      </c>
      <c r="D2051" s="27">
        <f t="shared" ref="D2051:D2114" si="162">DAY(A2051)</f>
        <v>11</v>
      </c>
      <c r="E2051" s="27">
        <f t="shared" ref="E2051:E2114" si="163">WEEKDAY(A2051)</f>
        <v>7</v>
      </c>
      <c r="F2051" s="27">
        <f>VLOOKUP(E2051,[2]t_calendarioPolitica!A:C,3,FALSE)</f>
        <v>2</v>
      </c>
      <c r="G2051" s="1">
        <v>1</v>
      </c>
      <c r="H2051" s="1">
        <v>1</v>
      </c>
      <c r="I2051" s="1">
        <f t="shared" ref="I2051:I2114" si="164">IF(AND(F2051&lt;&gt;0, H2051&lt;&gt;0,G2051&lt;&gt;0), 1, 0)</f>
        <v>1</v>
      </c>
    </row>
    <row r="2052" spans="1:9" x14ac:dyDescent="0.25">
      <c r="A2052" s="26">
        <v>47342</v>
      </c>
      <c r="B2052" s="27">
        <f t="shared" si="160"/>
        <v>2029</v>
      </c>
      <c r="C2052" s="27">
        <f t="shared" si="161"/>
        <v>8</v>
      </c>
      <c r="D2052" s="27">
        <f t="shared" si="162"/>
        <v>12</v>
      </c>
      <c r="E2052" s="27">
        <f t="shared" si="163"/>
        <v>1</v>
      </c>
      <c r="F2052" s="27">
        <f>VLOOKUP(E2052,[2]t_calendarioPolitica!A:C,3,FALSE)</f>
        <v>0</v>
      </c>
      <c r="G2052" s="1">
        <v>1</v>
      </c>
      <c r="H2052" s="1">
        <v>1</v>
      </c>
      <c r="I2052" s="1">
        <f t="shared" si="164"/>
        <v>0</v>
      </c>
    </row>
    <row r="2053" spans="1:9" x14ac:dyDescent="0.25">
      <c r="A2053" s="26">
        <v>47343</v>
      </c>
      <c r="B2053" s="27">
        <f t="shared" si="160"/>
        <v>2029</v>
      </c>
      <c r="C2053" s="27">
        <f t="shared" si="161"/>
        <v>8</v>
      </c>
      <c r="D2053" s="27">
        <f t="shared" si="162"/>
        <v>13</v>
      </c>
      <c r="E2053" s="27">
        <f t="shared" si="163"/>
        <v>2</v>
      </c>
      <c r="F2053" s="27">
        <f>VLOOKUP(E2053,[2]t_calendarioPolitica!A:C,3,FALSE)</f>
        <v>1</v>
      </c>
      <c r="G2053" s="1">
        <v>1</v>
      </c>
      <c r="H2053" s="1">
        <v>1</v>
      </c>
      <c r="I2053" s="1">
        <f t="shared" si="164"/>
        <v>1</v>
      </c>
    </row>
    <row r="2054" spans="1:9" x14ac:dyDescent="0.25">
      <c r="A2054" s="26">
        <v>47344</v>
      </c>
      <c r="B2054" s="27">
        <f t="shared" si="160"/>
        <v>2029</v>
      </c>
      <c r="C2054" s="27">
        <f t="shared" si="161"/>
        <v>8</v>
      </c>
      <c r="D2054" s="27">
        <f t="shared" si="162"/>
        <v>14</v>
      </c>
      <c r="E2054" s="27">
        <f t="shared" si="163"/>
        <v>3</v>
      </c>
      <c r="F2054" s="27">
        <f>VLOOKUP(E2054,[2]t_calendarioPolitica!A:C,3,FALSE)</f>
        <v>1</v>
      </c>
      <c r="G2054" s="1">
        <v>1</v>
      </c>
      <c r="H2054" s="1">
        <v>1</v>
      </c>
      <c r="I2054" s="1">
        <f t="shared" si="164"/>
        <v>1</v>
      </c>
    </row>
    <row r="2055" spans="1:9" x14ac:dyDescent="0.25">
      <c r="A2055" s="26">
        <v>47345</v>
      </c>
      <c r="B2055" s="27">
        <f t="shared" si="160"/>
        <v>2029</v>
      </c>
      <c r="C2055" s="27">
        <f t="shared" si="161"/>
        <v>8</v>
      </c>
      <c r="D2055" s="27">
        <f t="shared" si="162"/>
        <v>15</v>
      </c>
      <c r="E2055" s="27">
        <f t="shared" si="163"/>
        <v>4</v>
      </c>
      <c r="F2055" s="27">
        <f>VLOOKUP(E2055,[2]t_calendarioPolitica!A:C,3,FALSE)</f>
        <v>1</v>
      </c>
      <c r="G2055" s="1">
        <v>1</v>
      </c>
      <c r="H2055" s="1">
        <v>1</v>
      </c>
      <c r="I2055" s="1">
        <f t="shared" si="164"/>
        <v>1</v>
      </c>
    </row>
    <row r="2056" spans="1:9" x14ac:dyDescent="0.25">
      <c r="A2056" s="26">
        <v>47346</v>
      </c>
      <c r="B2056" s="27">
        <f t="shared" si="160"/>
        <v>2029</v>
      </c>
      <c r="C2056" s="27">
        <f t="shared" si="161"/>
        <v>8</v>
      </c>
      <c r="D2056" s="27">
        <f t="shared" si="162"/>
        <v>16</v>
      </c>
      <c r="E2056" s="27">
        <f t="shared" si="163"/>
        <v>5</v>
      </c>
      <c r="F2056" s="27">
        <f>VLOOKUP(E2056,[2]t_calendarioPolitica!A:C,3,FALSE)</f>
        <v>1</v>
      </c>
      <c r="G2056" s="1">
        <v>1</v>
      </c>
      <c r="H2056" s="1">
        <v>1</v>
      </c>
      <c r="I2056" s="1">
        <f t="shared" si="164"/>
        <v>1</v>
      </c>
    </row>
    <row r="2057" spans="1:9" x14ac:dyDescent="0.25">
      <c r="A2057" s="26">
        <v>47347</v>
      </c>
      <c r="B2057" s="27">
        <f t="shared" si="160"/>
        <v>2029</v>
      </c>
      <c r="C2057" s="27">
        <f t="shared" si="161"/>
        <v>8</v>
      </c>
      <c r="D2057" s="27">
        <f t="shared" si="162"/>
        <v>17</v>
      </c>
      <c r="E2057" s="27">
        <f t="shared" si="163"/>
        <v>6</v>
      </c>
      <c r="F2057" s="27">
        <f>VLOOKUP(E2057,[2]t_calendarioPolitica!A:C,3,FALSE)</f>
        <v>1</v>
      </c>
      <c r="G2057" s="1">
        <v>1</v>
      </c>
      <c r="H2057" s="1">
        <v>1</v>
      </c>
      <c r="I2057" s="1">
        <f t="shared" si="164"/>
        <v>1</v>
      </c>
    </row>
    <row r="2058" spans="1:9" x14ac:dyDescent="0.25">
      <c r="A2058" s="26">
        <v>47348</v>
      </c>
      <c r="B2058" s="27">
        <f t="shared" si="160"/>
        <v>2029</v>
      </c>
      <c r="C2058" s="27">
        <f t="shared" si="161"/>
        <v>8</v>
      </c>
      <c r="D2058" s="27">
        <f t="shared" si="162"/>
        <v>18</v>
      </c>
      <c r="E2058" s="27">
        <f t="shared" si="163"/>
        <v>7</v>
      </c>
      <c r="F2058" s="27">
        <f>VLOOKUP(E2058,[2]t_calendarioPolitica!A:C,3,FALSE)</f>
        <v>2</v>
      </c>
      <c r="G2058" s="1">
        <v>1</v>
      </c>
      <c r="H2058" s="1">
        <v>1</v>
      </c>
      <c r="I2058" s="1">
        <f t="shared" si="164"/>
        <v>1</v>
      </c>
    </row>
    <row r="2059" spans="1:9" x14ac:dyDescent="0.25">
      <c r="A2059" s="26">
        <v>47349</v>
      </c>
      <c r="B2059" s="27">
        <f t="shared" si="160"/>
        <v>2029</v>
      </c>
      <c r="C2059" s="27">
        <f t="shared" si="161"/>
        <v>8</v>
      </c>
      <c r="D2059" s="27">
        <f t="shared" si="162"/>
        <v>19</v>
      </c>
      <c r="E2059" s="27">
        <f t="shared" si="163"/>
        <v>1</v>
      </c>
      <c r="F2059" s="27">
        <f>VLOOKUP(E2059,[2]t_calendarioPolitica!A:C,3,FALSE)</f>
        <v>0</v>
      </c>
      <c r="G2059" s="1">
        <v>1</v>
      </c>
      <c r="H2059" s="1">
        <v>1</v>
      </c>
      <c r="I2059" s="1">
        <f t="shared" si="164"/>
        <v>0</v>
      </c>
    </row>
    <row r="2060" spans="1:9" x14ac:dyDescent="0.25">
      <c r="A2060" s="26">
        <v>47350</v>
      </c>
      <c r="B2060" s="27">
        <f t="shared" si="160"/>
        <v>2029</v>
      </c>
      <c r="C2060" s="27">
        <f t="shared" si="161"/>
        <v>8</v>
      </c>
      <c r="D2060" s="27">
        <f t="shared" si="162"/>
        <v>20</v>
      </c>
      <c r="E2060" s="27">
        <f t="shared" si="163"/>
        <v>2</v>
      </c>
      <c r="F2060" s="27">
        <f>VLOOKUP(E2060,[2]t_calendarioPolitica!A:C,3,FALSE)</f>
        <v>1</v>
      </c>
      <c r="G2060" s="1">
        <v>1</v>
      </c>
      <c r="H2060" s="1">
        <v>1</v>
      </c>
      <c r="I2060" s="1">
        <f t="shared" si="164"/>
        <v>1</v>
      </c>
    </row>
    <row r="2061" spans="1:9" x14ac:dyDescent="0.25">
      <c r="A2061" s="26">
        <v>47351</v>
      </c>
      <c r="B2061" s="27">
        <f t="shared" si="160"/>
        <v>2029</v>
      </c>
      <c r="C2061" s="27">
        <f t="shared" si="161"/>
        <v>8</v>
      </c>
      <c r="D2061" s="27">
        <f t="shared" si="162"/>
        <v>21</v>
      </c>
      <c r="E2061" s="27">
        <f t="shared" si="163"/>
        <v>3</v>
      </c>
      <c r="F2061" s="27">
        <f>VLOOKUP(E2061,[2]t_calendarioPolitica!A:C,3,FALSE)</f>
        <v>1</v>
      </c>
      <c r="G2061" s="1">
        <v>1</v>
      </c>
      <c r="H2061" s="1">
        <v>1</v>
      </c>
      <c r="I2061" s="1">
        <f t="shared" si="164"/>
        <v>1</v>
      </c>
    </row>
    <row r="2062" spans="1:9" x14ac:dyDescent="0.25">
      <c r="A2062" s="26">
        <v>47352</v>
      </c>
      <c r="B2062" s="27">
        <f t="shared" si="160"/>
        <v>2029</v>
      </c>
      <c r="C2062" s="27">
        <f t="shared" si="161"/>
        <v>8</v>
      </c>
      <c r="D2062" s="27">
        <f t="shared" si="162"/>
        <v>22</v>
      </c>
      <c r="E2062" s="27">
        <f t="shared" si="163"/>
        <v>4</v>
      </c>
      <c r="F2062" s="27">
        <f>VLOOKUP(E2062,[2]t_calendarioPolitica!A:C,3,FALSE)</f>
        <v>1</v>
      </c>
      <c r="G2062" s="1">
        <v>1</v>
      </c>
      <c r="H2062" s="1">
        <v>1</v>
      </c>
      <c r="I2062" s="1">
        <f t="shared" si="164"/>
        <v>1</v>
      </c>
    </row>
    <row r="2063" spans="1:9" x14ac:dyDescent="0.25">
      <c r="A2063" s="26">
        <v>47353</v>
      </c>
      <c r="B2063" s="27">
        <f t="shared" si="160"/>
        <v>2029</v>
      </c>
      <c r="C2063" s="27">
        <f t="shared" si="161"/>
        <v>8</v>
      </c>
      <c r="D2063" s="27">
        <f t="shared" si="162"/>
        <v>23</v>
      </c>
      <c r="E2063" s="27">
        <f t="shared" si="163"/>
        <v>5</v>
      </c>
      <c r="F2063" s="27">
        <f>VLOOKUP(E2063,[2]t_calendarioPolitica!A:C,3,FALSE)</f>
        <v>1</v>
      </c>
      <c r="G2063" s="1">
        <v>1</v>
      </c>
      <c r="H2063" s="1">
        <v>1</v>
      </c>
      <c r="I2063" s="1">
        <f t="shared" si="164"/>
        <v>1</v>
      </c>
    </row>
    <row r="2064" spans="1:9" x14ac:dyDescent="0.25">
      <c r="A2064" s="26">
        <v>47354</v>
      </c>
      <c r="B2064" s="27">
        <f t="shared" si="160"/>
        <v>2029</v>
      </c>
      <c r="C2064" s="27">
        <f t="shared" si="161"/>
        <v>8</v>
      </c>
      <c r="D2064" s="27">
        <f t="shared" si="162"/>
        <v>24</v>
      </c>
      <c r="E2064" s="27">
        <f t="shared" si="163"/>
        <v>6</v>
      </c>
      <c r="F2064" s="27">
        <f>VLOOKUP(E2064,[2]t_calendarioPolitica!A:C,3,FALSE)</f>
        <v>1</v>
      </c>
      <c r="G2064" s="1">
        <v>1</v>
      </c>
      <c r="H2064" s="1">
        <v>1</v>
      </c>
      <c r="I2064" s="1">
        <f t="shared" si="164"/>
        <v>1</v>
      </c>
    </row>
    <row r="2065" spans="1:9" x14ac:dyDescent="0.25">
      <c r="A2065" s="26">
        <v>47355</v>
      </c>
      <c r="B2065" s="27">
        <f t="shared" si="160"/>
        <v>2029</v>
      </c>
      <c r="C2065" s="27">
        <f t="shared" si="161"/>
        <v>8</v>
      </c>
      <c r="D2065" s="27">
        <f t="shared" si="162"/>
        <v>25</v>
      </c>
      <c r="E2065" s="27">
        <f t="shared" si="163"/>
        <v>7</v>
      </c>
      <c r="F2065" s="27">
        <f>VLOOKUP(E2065,[2]t_calendarioPolitica!A:C,3,FALSE)</f>
        <v>2</v>
      </c>
      <c r="G2065" s="1">
        <v>1</v>
      </c>
      <c r="H2065" s="1">
        <v>1</v>
      </c>
      <c r="I2065" s="1">
        <f t="shared" si="164"/>
        <v>1</v>
      </c>
    </row>
    <row r="2066" spans="1:9" x14ac:dyDescent="0.25">
      <c r="A2066" s="26">
        <v>47356</v>
      </c>
      <c r="B2066" s="27">
        <f t="shared" si="160"/>
        <v>2029</v>
      </c>
      <c r="C2066" s="27">
        <f t="shared" si="161"/>
        <v>8</v>
      </c>
      <c r="D2066" s="27">
        <f t="shared" si="162"/>
        <v>26</v>
      </c>
      <c r="E2066" s="27">
        <f t="shared" si="163"/>
        <v>1</v>
      </c>
      <c r="F2066" s="27">
        <f>VLOOKUP(E2066,[2]t_calendarioPolitica!A:C,3,FALSE)</f>
        <v>0</v>
      </c>
      <c r="G2066" s="1">
        <v>1</v>
      </c>
      <c r="H2066" s="1">
        <v>1</v>
      </c>
      <c r="I2066" s="1">
        <f t="shared" si="164"/>
        <v>0</v>
      </c>
    </row>
    <row r="2067" spans="1:9" x14ac:dyDescent="0.25">
      <c r="A2067" s="26">
        <v>47357</v>
      </c>
      <c r="B2067" s="27">
        <f t="shared" si="160"/>
        <v>2029</v>
      </c>
      <c r="C2067" s="27">
        <f t="shared" si="161"/>
        <v>8</v>
      </c>
      <c r="D2067" s="27">
        <f t="shared" si="162"/>
        <v>27</v>
      </c>
      <c r="E2067" s="27">
        <f t="shared" si="163"/>
        <v>2</v>
      </c>
      <c r="F2067" s="27">
        <f>VLOOKUP(E2067,[2]t_calendarioPolitica!A:C,3,FALSE)</f>
        <v>1</v>
      </c>
      <c r="G2067" s="1">
        <v>1</v>
      </c>
      <c r="H2067" s="1">
        <v>1</v>
      </c>
      <c r="I2067" s="1">
        <f t="shared" si="164"/>
        <v>1</v>
      </c>
    </row>
    <row r="2068" spans="1:9" x14ac:dyDescent="0.25">
      <c r="A2068" s="26">
        <v>47358</v>
      </c>
      <c r="B2068" s="27">
        <f t="shared" si="160"/>
        <v>2029</v>
      </c>
      <c r="C2068" s="27">
        <f t="shared" si="161"/>
        <v>8</v>
      </c>
      <c r="D2068" s="27">
        <f t="shared" si="162"/>
        <v>28</v>
      </c>
      <c r="E2068" s="27">
        <f t="shared" si="163"/>
        <v>3</v>
      </c>
      <c r="F2068" s="27">
        <f>VLOOKUP(E2068,[2]t_calendarioPolitica!A:C,3,FALSE)</f>
        <v>1</v>
      </c>
      <c r="G2068" s="1">
        <v>1</v>
      </c>
      <c r="H2068" s="1">
        <v>1</v>
      </c>
      <c r="I2068" s="1">
        <f t="shared" si="164"/>
        <v>1</v>
      </c>
    </row>
    <row r="2069" spans="1:9" x14ac:dyDescent="0.25">
      <c r="A2069" s="26">
        <v>47359</v>
      </c>
      <c r="B2069" s="27">
        <f t="shared" si="160"/>
        <v>2029</v>
      </c>
      <c r="C2069" s="27">
        <f t="shared" si="161"/>
        <v>8</v>
      </c>
      <c r="D2069" s="27">
        <f t="shared" si="162"/>
        <v>29</v>
      </c>
      <c r="E2069" s="27">
        <f t="shared" si="163"/>
        <v>4</v>
      </c>
      <c r="F2069" s="27">
        <f>VLOOKUP(E2069,[2]t_calendarioPolitica!A:C,3,FALSE)</f>
        <v>1</v>
      </c>
      <c r="G2069" s="1">
        <v>1</v>
      </c>
      <c r="H2069" s="1">
        <v>1</v>
      </c>
      <c r="I2069" s="1">
        <f t="shared" si="164"/>
        <v>1</v>
      </c>
    </row>
    <row r="2070" spans="1:9" x14ac:dyDescent="0.25">
      <c r="A2070" s="26">
        <v>47360</v>
      </c>
      <c r="B2070" s="27">
        <f t="shared" si="160"/>
        <v>2029</v>
      </c>
      <c r="C2070" s="27">
        <f t="shared" si="161"/>
        <v>8</v>
      </c>
      <c r="D2070" s="27">
        <f t="shared" si="162"/>
        <v>30</v>
      </c>
      <c r="E2070" s="27">
        <f t="shared" si="163"/>
        <v>5</v>
      </c>
      <c r="F2070" s="27">
        <f>VLOOKUP(E2070,[2]t_calendarioPolitica!A:C,3,FALSE)</f>
        <v>1</v>
      </c>
      <c r="G2070" s="1">
        <v>1</v>
      </c>
      <c r="H2070" s="1">
        <v>1</v>
      </c>
      <c r="I2070" s="1">
        <f t="shared" si="164"/>
        <v>1</v>
      </c>
    </row>
    <row r="2071" spans="1:9" x14ac:dyDescent="0.25">
      <c r="A2071" s="26">
        <v>47361</v>
      </c>
      <c r="B2071" s="27">
        <f t="shared" si="160"/>
        <v>2029</v>
      </c>
      <c r="C2071" s="27">
        <f t="shared" si="161"/>
        <v>8</v>
      </c>
      <c r="D2071" s="27">
        <f t="shared" si="162"/>
        <v>31</v>
      </c>
      <c r="E2071" s="27">
        <f t="shared" si="163"/>
        <v>6</v>
      </c>
      <c r="F2071" s="27">
        <f>VLOOKUP(E2071,[2]t_calendarioPolitica!A:C,3,FALSE)</f>
        <v>1</v>
      </c>
      <c r="G2071" s="1">
        <v>1</v>
      </c>
      <c r="H2071" s="1">
        <v>1</v>
      </c>
      <c r="I2071" s="1">
        <f t="shared" si="164"/>
        <v>1</v>
      </c>
    </row>
    <row r="2072" spans="1:9" x14ac:dyDescent="0.25">
      <c r="A2072" s="26">
        <v>47362</v>
      </c>
      <c r="B2072" s="27">
        <f t="shared" si="160"/>
        <v>2029</v>
      </c>
      <c r="C2072" s="27">
        <f t="shared" si="161"/>
        <v>9</v>
      </c>
      <c r="D2072" s="27">
        <f t="shared" si="162"/>
        <v>1</v>
      </c>
      <c r="E2072" s="27">
        <f t="shared" si="163"/>
        <v>7</v>
      </c>
      <c r="F2072" s="27">
        <f>VLOOKUP(E2072,[2]t_calendarioPolitica!A:C,3,FALSE)</f>
        <v>2</v>
      </c>
      <c r="G2072" s="1">
        <v>1</v>
      </c>
      <c r="H2072" s="1">
        <v>1</v>
      </c>
      <c r="I2072" s="1">
        <f t="shared" si="164"/>
        <v>1</v>
      </c>
    </row>
    <row r="2073" spans="1:9" x14ac:dyDescent="0.25">
      <c r="A2073" s="26">
        <v>47363</v>
      </c>
      <c r="B2073" s="27">
        <f t="shared" si="160"/>
        <v>2029</v>
      </c>
      <c r="C2073" s="27">
        <f t="shared" si="161"/>
        <v>9</v>
      </c>
      <c r="D2073" s="27">
        <f t="shared" si="162"/>
        <v>2</v>
      </c>
      <c r="E2073" s="27">
        <f t="shared" si="163"/>
        <v>1</v>
      </c>
      <c r="F2073" s="27">
        <f>VLOOKUP(E2073,[2]t_calendarioPolitica!A:C,3,FALSE)</f>
        <v>0</v>
      </c>
      <c r="G2073" s="1">
        <v>1</v>
      </c>
      <c r="H2073" s="1">
        <v>1</v>
      </c>
      <c r="I2073" s="1">
        <f t="shared" si="164"/>
        <v>0</v>
      </c>
    </row>
    <row r="2074" spans="1:9" x14ac:dyDescent="0.25">
      <c r="A2074" s="26">
        <v>47364</v>
      </c>
      <c r="B2074" s="27">
        <f t="shared" si="160"/>
        <v>2029</v>
      </c>
      <c r="C2074" s="27">
        <f t="shared" si="161"/>
        <v>9</v>
      </c>
      <c r="D2074" s="27">
        <f t="shared" si="162"/>
        <v>3</v>
      </c>
      <c r="E2074" s="27">
        <f t="shared" si="163"/>
        <v>2</v>
      </c>
      <c r="F2074" s="27">
        <f>VLOOKUP(E2074,[2]t_calendarioPolitica!A:C,3,FALSE)</f>
        <v>1</v>
      </c>
      <c r="G2074" s="1">
        <v>1</v>
      </c>
      <c r="H2074" s="1">
        <v>1</v>
      </c>
      <c r="I2074" s="1">
        <f t="shared" si="164"/>
        <v>1</v>
      </c>
    </row>
    <row r="2075" spans="1:9" x14ac:dyDescent="0.25">
      <c r="A2075" s="26">
        <v>47365</v>
      </c>
      <c r="B2075" s="27">
        <f t="shared" si="160"/>
        <v>2029</v>
      </c>
      <c r="C2075" s="27">
        <f t="shared" si="161"/>
        <v>9</v>
      </c>
      <c r="D2075" s="27">
        <f t="shared" si="162"/>
        <v>4</v>
      </c>
      <c r="E2075" s="27">
        <f t="shared" si="163"/>
        <v>3</v>
      </c>
      <c r="F2075" s="27">
        <f>VLOOKUP(E2075,[2]t_calendarioPolitica!A:C,3,FALSE)</f>
        <v>1</v>
      </c>
      <c r="G2075" s="1">
        <v>1</v>
      </c>
      <c r="H2075" s="1">
        <v>1</v>
      </c>
      <c r="I2075" s="1">
        <f t="shared" si="164"/>
        <v>1</v>
      </c>
    </row>
    <row r="2076" spans="1:9" x14ac:dyDescent="0.25">
      <c r="A2076" s="26">
        <v>47366</v>
      </c>
      <c r="B2076" s="27">
        <f t="shared" si="160"/>
        <v>2029</v>
      </c>
      <c r="C2076" s="27">
        <f t="shared" si="161"/>
        <v>9</v>
      </c>
      <c r="D2076" s="27">
        <f t="shared" si="162"/>
        <v>5</v>
      </c>
      <c r="E2076" s="27">
        <f t="shared" si="163"/>
        <v>4</v>
      </c>
      <c r="F2076" s="27">
        <f>VLOOKUP(E2076,[2]t_calendarioPolitica!A:C,3,FALSE)</f>
        <v>1</v>
      </c>
      <c r="G2076" s="1">
        <v>1</v>
      </c>
      <c r="H2076" s="1">
        <v>1</v>
      </c>
      <c r="I2076" s="1">
        <f t="shared" si="164"/>
        <v>1</v>
      </c>
    </row>
    <row r="2077" spans="1:9" x14ac:dyDescent="0.25">
      <c r="A2077" s="26">
        <v>47367</v>
      </c>
      <c r="B2077" s="27">
        <f t="shared" si="160"/>
        <v>2029</v>
      </c>
      <c r="C2077" s="27">
        <f t="shared" si="161"/>
        <v>9</v>
      </c>
      <c r="D2077" s="27">
        <f t="shared" si="162"/>
        <v>6</v>
      </c>
      <c r="E2077" s="27">
        <f t="shared" si="163"/>
        <v>5</v>
      </c>
      <c r="F2077" s="27">
        <f>VLOOKUP(E2077,[2]t_calendarioPolitica!A:C,3,FALSE)</f>
        <v>1</v>
      </c>
      <c r="G2077" s="1">
        <v>1</v>
      </c>
      <c r="H2077" s="1">
        <v>1</v>
      </c>
      <c r="I2077" s="1">
        <f t="shared" si="164"/>
        <v>1</v>
      </c>
    </row>
    <row r="2078" spans="1:9" x14ac:dyDescent="0.25">
      <c r="A2078" s="26">
        <v>47368</v>
      </c>
      <c r="B2078" s="27">
        <f t="shared" si="160"/>
        <v>2029</v>
      </c>
      <c r="C2078" s="27">
        <f t="shared" si="161"/>
        <v>9</v>
      </c>
      <c r="D2078" s="27">
        <f t="shared" si="162"/>
        <v>7</v>
      </c>
      <c r="E2078" s="27">
        <f t="shared" si="163"/>
        <v>6</v>
      </c>
      <c r="F2078" s="27">
        <f>VLOOKUP(E2078,[2]t_calendarioPolitica!A:C,3,FALSE)</f>
        <v>1</v>
      </c>
      <c r="G2078" s="1">
        <v>1</v>
      </c>
      <c r="H2078" s="1">
        <v>1</v>
      </c>
      <c r="I2078" s="1">
        <f t="shared" si="164"/>
        <v>1</v>
      </c>
    </row>
    <row r="2079" spans="1:9" x14ac:dyDescent="0.25">
      <c r="A2079" s="26">
        <v>47369</v>
      </c>
      <c r="B2079" s="27">
        <f t="shared" si="160"/>
        <v>2029</v>
      </c>
      <c r="C2079" s="27">
        <f t="shared" si="161"/>
        <v>9</v>
      </c>
      <c r="D2079" s="27">
        <f t="shared" si="162"/>
        <v>8</v>
      </c>
      <c r="E2079" s="27">
        <f t="shared" si="163"/>
        <v>7</v>
      </c>
      <c r="F2079" s="27">
        <f>VLOOKUP(E2079,[2]t_calendarioPolitica!A:C,3,FALSE)</f>
        <v>2</v>
      </c>
      <c r="G2079" s="1">
        <v>1</v>
      </c>
      <c r="H2079" s="1">
        <v>1</v>
      </c>
      <c r="I2079" s="1">
        <f t="shared" si="164"/>
        <v>1</v>
      </c>
    </row>
    <row r="2080" spans="1:9" x14ac:dyDescent="0.25">
      <c r="A2080" s="26">
        <v>47370</v>
      </c>
      <c r="B2080" s="27">
        <f t="shared" si="160"/>
        <v>2029</v>
      </c>
      <c r="C2080" s="27">
        <f t="shared" si="161"/>
        <v>9</v>
      </c>
      <c r="D2080" s="27">
        <f t="shared" si="162"/>
        <v>9</v>
      </c>
      <c r="E2080" s="27">
        <f t="shared" si="163"/>
        <v>1</v>
      </c>
      <c r="F2080" s="27">
        <f>VLOOKUP(E2080,[2]t_calendarioPolitica!A:C,3,FALSE)</f>
        <v>0</v>
      </c>
      <c r="G2080" s="1">
        <v>1</v>
      </c>
      <c r="H2080" s="1">
        <v>1</v>
      </c>
      <c r="I2080" s="1">
        <f t="shared" si="164"/>
        <v>0</v>
      </c>
    </row>
    <row r="2081" spans="1:9" x14ac:dyDescent="0.25">
      <c r="A2081" s="26">
        <v>47371</v>
      </c>
      <c r="B2081" s="27">
        <f t="shared" si="160"/>
        <v>2029</v>
      </c>
      <c r="C2081" s="27">
        <f t="shared" si="161"/>
        <v>9</v>
      </c>
      <c r="D2081" s="27">
        <f t="shared" si="162"/>
        <v>10</v>
      </c>
      <c r="E2081" s="27">
        <f t="shared" si="163"/>
        <v>2</v>
      </c>
      <c r="F2081" s="27">
        <f>VLOOKUP(E2081,[2]t_calendarioPolitica!A:C,3,FALSE)</f>
        <v>1</v>
      </c>
      <c r="G2081" s="1">
        <v>1</v>
      </c>
      <c r="H2081" s="1">
        <v>1</v>
      </c>
      <c r="I2081" s="1">
        <f t="shared" si="164"/>
        <v>1</v>
      </c>
    </row>
    <row r="2082" spans="1:9" x14ac:dyDescent="0.25">
      <c r="A2082" s="26">
        <v>47372</v>
      </c>
      <c r="B2082" s="27">
        <f t="shared" si="160"/>
        <v>2029</v>
      </c>
      <c r="C2082" s="27">
        <f t="shared" si="161"/>
        <v>9</v>
      </c>
      <c r="D2082" s="27">
        <f t="shared" si="162"/>
        <v>11</v>
      </c>
      <c r="E2082" s="27">
        <f t="shared" si="163"/>
        <v>3</v>
      </c>
      <c r="F2082" s="27">
        <f>VLOOKUP(E2082,[2]t_calendarioPolitica!A:C,3,FALSE)</f>
        <v>1</v>
      </c>
      <c r="G2082" s="1">
        <v>1</v>
      </c>
      <c r="H2082" s="1">
        <v>1</v>
      </c>
      <c r="I2082" s="1">
        <f t="shared" si="164"/>
        <v>1</v>
      </c>
    </row>
    <row r="2083" spans="1:9" x14ac:dyDescent="0.25">
      <c r="A2083" s="26">
        <v>47373</v>
      </c>
      <c r="B2083" s="27">
        <f t="shared" si="160"/>
        <v>2029</v>
      </c>
      <c r="C2083" s="27">
        <f t="shared" si="161"/>
        <v>9</v>
      </c>
      <c r="D2083" s="27">
        <f t="shared" si="162"/>
        <v>12</v>
      </c>
      <c r="E2083" s="27">
        <f t="shared" si="163"/>
        <v>4</v>
      </c>
      <c r="F2083" s="27">
        <f>VLOOKUP(E2083,[2]t_calendarioPolitica!A:C,3,FALSE)</f>
        <v>1</v>
      </c>
      <c r="G2083" s="1">
        <v>1</v>
      </c>
      <c r="H2083" s="1">
        <v>1</v>
      </c>
      <c r="I2083" s="1">
        <f t="shared" si="164"/>
        <v>1</v>
      </c>
    </row>
    <row r="2084" spans="1:9" x14ac:dyDescent="0.25">
      <c r="A2084" s="26">
        <v>47374</v>
      </c>
      <c r="B2084" s="27">
        <f t="shared" si="160"/>
        <v>2029</v>
      </c>
      <c r="C2084" s="27">
        <f t="shared" si="161"/>
        <v>9</v>
      </c>
      <c r="D2084" s="27">
        <f t="shared" si="162"/>
        <v>13</v>
      </c>
      <c r="E2084" s="27">
        <f t="shared" si="163"/>
        <v>5</v>
      </c>
      <c r="F2084" s="27">
        <f>VLOOKUP(E2084,[2]t_calendarioPolitica!A:C,3,FALSE)</f>
        <v>1</v>
      </c>
      <c r="G2084" s="1">
        <v>1</v>
      </c>
      <c r="H2084" s="1">
        <v>1</v>
      </c>
      <c r="I2084" s="1">
        <f t="shared" si="164"/>
        <v>1</v>
      </c>
    </row>
    <row r="2085" spans="1:9" x14ac:dyDescent="0.25">
      <c r="A2085" s="26">
        <v>47375</v>
      </c>
      <c r="B2085" s="27">
        <f t="shared" si="160"/>
        <v>2029</v>
      </c>
      <c r="C2085" s="27">
        <f t="shared" si="161"/>
        <v>9</v>
      </c>
      <c r="D2085" s="27">
        <f t="shared" si="162"/>
        <v>14</v>
      </c>
      <c r="E2085" s="27">
        <f t="shared" si="163"/>
        <v>6</v>
      </c>
      <c r="F2085" s="27">
        <f>VLOOKUP(E2085,[2]t_calendarioPolitica!A:C,3,FALSE)</f>
        <v>1</v>
      </c>
      <c r="G2085" s="1">
        <v>1</v>
      </c>
      <c r="H2085" s="1">
        <v>1</v>
      </c>
      <c r="I2085" s="1">
        <f t="shared" si="164"/>
        <v>1</v>
      </c>
    </row>
    <row r="2086" spans="1:9" x14ac:dyDescent="0.25">
      <c r="A2086" s="26">
        <v>47376</v>
      </c>
      <c r="B2086" s="27">
        <f t="shared" si="160"/>
        <v>2029</v>
      </c>
      <c r="C2086" s="27">
        <f t="shared" si="161"/>
        <v>9</v>
      </c>
      <c r="D2086" s="27">
        <f t="shared" si="162"/>
        <v>15</v>
      </c>
      <c r="E2086" s="27">
        <f t="shared" si="163"/>
        <v>7</v>
      </c>
      <c r="F2086" s="27">
        <f>VLOOKUP(E2086,[2]t_calendarioPolitica!A:C,3,FALSE)</f>
        <v>2</v>
      </c>
      <c r="G2086" s="1">
        <v>1</v>
      </c>
      <c r="H2086" s="1">
        <v>0</v>
      </c>
      <c r="I2086" s="1">
        <f t="shared" si="164"/>
        <v>0</v>
      </c>
    </row>
    <row r="2087" spans="1:9" x14ac:dyDescent="0.25">
      <c r="A2087" s="26">
        <v>47377</v>
      </c>
      <c r="B2087" s="27">
        <f t="shared" si="160"/>
        <v>2029</v>
      </c>
      <c r="C2087" s="27">
        <f t="shared" si="161"/>
        <v>9</v>
      </c>
      <c r="D2087" s="27">
        <f t="shared" si="162"/>
        <v>16</v>
      </c>
      <c r="E2087" s="27">
        <f t="shared" si="163"/>
        <v>1</v>
      </c>
      <c r="F2087" s="27">
        <f>VLOOKUP(E2087,[2]t_calendarioPolitica!A:C,3,FALSE)</f>
        <v>0</v>
      </c>
      <c r="G2087" s="1">
        <v>0</v>
      </c>
      <c r="H2087" s="1">
        <v>1</v>
      </c>
      <c r="I2087" s="1">
        <f t="shared" si="164"/>
        <v>0</v>
      </c>
    </row>
    <row r="2088" spans="1:9" x14ac:dyDescent="0.25">
      <c r="A2088" s="26">
        <v>47378</v>
      </c>
      <c r="B2088" s="27">
        <f t="shared" si="160"/>
        <v>2029</v>
      </c>
      <c r="C2088" s="27">
        <f t="shared" si="161"/>
        <v>9</v>
      </c>
      <c r="D2088" s="27">
        <f t="shared" si="162"/>
        <v>17</v>
      </c>
      <c r="E2088" s="27">
        <f t="shared" si="163"/>
        <v>2</v>
      </c>
      <c r="F2088" s="27">
        <f>VLOOKUP(E2088,[2]t_calendarioPolitica!A:C,3,FALSE)</f>
        <v>1</v>
      </c>
      <c r="G2088" s="1">
        <v>1</v>
      </c>
      <c r="H2088" s="1">
        <v>1</v>
      </c>
      <c r="I2088" s="1">
        <f t="shared" si="164"/>
        <v>1</v>
      </c>
    </row>
    <row r="2089" spans="1:9" x14ac:dyDescent="0.25">
      <c r="A2089" s="26">
        <v>47379</v>
      </c>
      <c r="B2089" s="27">
        <f t="shared" si="160"/>
        <v>2029</v>
      </c>
      <c r="C2089" s="27">
        <f t="shared" si="161"/>
        <v>9</v>
      </c>
      <c r="D2089" s="27">
        <f t="shared" si="162"/>
        <v>18</v>
      </c>
      <c r="E2089" s="27">
        <f t="shared" si="163"/>
        <v>3</v>
      </c>
      <c r="F2089" s="27">
        <f>VLOOKUP(E2089,[2]t_calendarioPolitica!A:C,3,FALSE)</f>
        <v>1</v>
      </c>
      <c r="G2089" s="1">
        <v>1</v>
      </c>
      <c r="H2089" s="1">
        <v>1</v>
      </c>
      <c r="I2089" s="1">
        <f t="shared" si="164"/>
        <v>1</v>
      </c>
    </row>
    <row r="2090" spans="1:9" x14ac:dyDescent="0.25">
      <c r="A2090" s="26">
        <v>47380</v>
      </c>
      <c r="B2090" s="27">
        <f t="shared" si="160"/>
        <v>2029</v>
      </c>
      <c r="C2090" s="27">
        <f t="shared" si="161"/>
        <v>9</v>
      </c>
      <c r="D2090" s="27">
        <f t="shared" si="162"/>
        <v>19</v>
      </c>
      <c r="E2090" s="27">
        <f t="shared" si="163"/>
        <v>4</v>
      </c>
      <c r="F2090" s="27">
        <f>VLOOKUP(E2090,[2]t_calendarioPolitica!A:C,3,FALSE)</f>
        <v>1</v>
      </c>
      <c r="G2090" s="1">
        <v>1</v>
      </c>
      <c r="H2090" s="1">
        <v>1</v>
      </c>
      <c r="I2090" s="1">
        <f t="shared" si="164"/>
        <v>1</v>
      </c>
    </row>
    <row r="2091" spans="1:9" x14ac:dyDescent="0.25">
      <c r="A2091" s="26">
        <v>47381</v>
      </c>
      <c r="B2091" s="27">
        <f t="shared" si="160"/>
        <v>2029</v>
      </c>
      <c r="C2091" s="27">
        <f t="shared" si="161"/>
        <v>9</v>
      </c>
      <c r="D2091" s="27">
        <f t="shared" si="162"/>
        <v>20</v>
      </c>
      <c r="E2091" s="27">
        <f t="shared" si="163"/>
        <v>5</v>
      </c>
      <c r="F2091" s="27">
        <f>VLOOKUP(E2091,[2]t_calendarioPolitica!A:C,3,FALSE)</f>
        <v>1</v>
      </c>
      <c r="G2091" s="1">
        <v>1</v>
      </c>
      <c r="H2091" s="1">
        <v>1</v>
      </c>
      <c r="I2091" s="1">
        <f t="shared" si="164"/>
        <v>1</v>
      </c>
    </row>
    <row r="2092" spans="1:9" x14ac:dyDescent="0.25">
      <c r="A2092" s="26">
        <v>47382</v>
      </c>
      <c r="B2092" s="27">
        <f t="shared" si="160"/>
        <v>2029</v>
      </c>
      <c r="C2092" s="27">
        <f t="shared" si="161"/>
        <v>9</v>
      </c>
      <c r="D2092" s="27">
        <f t="shared" si="162"/>
        <v>21</v>
      </c>
      <c r="E2092" s="27">
        <f t="shared" si="163"/>
        <v>6</v>
      </c>
      <c r="F2092" s="27">
        <f>VLOOKUP(E2092,[2]t_calendarioPolitica!A:C,3,FALSE)</f>
        <v>1</v>
      </c>
      <c r="G2092" s="1">
        <v>1</v>
      </c>
      <c r="H2092" s="1">
        <v>1</v>
      </c>
      <c r="I2092" s="1">
        <f t="shared" si="164"/>
        <v>1</v>
      </c>
    </row>
    <row r="2093" spans="1:9" x14ac:dyDescent="0.25">
      <c r="A2093" s="26">
        <v>47383</v>
      </c>
      <c r="B2093" s="27">
        <f t="shared" si="160"/>
        <v>2029</v>
      </c>
      <c r="C2093" s="27">
        <f t="shared" si="161"/>
        <v>9</v>
      </c>
      <c r="D2093" s="27">
        <f t="shared" si="162"/>
        <v>22</v>
      </c>
      <c r="E2093" s="27">
        <f t="shared" si="163"/>
        <v>7</v>
      </c>
      <c r="F2093" s="27">
        <f>VLOOKUP(E2093,[2]t_calendarioPolitica!A:C,3,FALSE)</f>
        <v>2</v>
      </c>
      <c r="G2093" s="1">
        <v>1</v>
      </c>
      <c r="H2093" s="1">
        <v>1</v>
      </c>
      <c r="I2093" s="1">
        <f t="shared" si="164"/>
        <v>1</v>
      </c>
    </row>
    <row r="2094" spans="1:9" x14ac:dyDescent="0.25">
      <c r="A2094" s="26">
        <v>47384</v>
      </c>
      <c r="B2094" s="27">
        <f t="shared" si="160"/>
        <v>2029</v>
      </c>
      <c r="C2094" s="27">
        <f t="shared" si="161"/>
        <v>9</v>
      </c>
      <c r="D2094" s="27">
        <f t="shared" si="162"/>
        <v>23</v>
      </c>
      <c r="E2094" s="27">
        <f t="shared" si="163"/>
        <v>1</v>
      </c>
      <c r="F2094" s="27">
        <f>VLOOKUP(E2094,[2]t_calendarioPolitica!A:C,3,FALSE)</f>
        <v>0</v>
      </c>
      <c r="G2094" s="1">
        <v>1</v>
      </c>
      <c r="H2094" s="1">
        <v>1</v>
      </c>
      <c r="I2094" s="1">
        <f t="shared" si="164"/>
        <v>0</v>
      </c>
    </row>
    <row r="2095" spans="1:9" x14ac:dyDescent="0.25">
      <c r="A2095" s="26">
        <v>47385</v>
      </c>
      <c r="B2095" s="27">
        <f t="shared" si="160"/>
        <v>2029</v>
      </c>
      <c r="C2095" s="27">
        <f t="shared" si="161"/>
        <v>9</v>
      </c>
      <c r="D2095" s="27">
        <f t="shared" si="162"/>
        <v>24</v>
      </c>
      <c r="E2095" s="27">
        <f t="shared" si="163"/>
        <v>2</v>
      </c>
      <c r="F2095" s="27">
        <f>VLOOKUP(E2095,[2]t_calendarioPolitica!A:C,3,FALSE)</f>
        <v>1</v>
      </c>
      <c r="G2095" s="1">
        <v>1</v>
      </c>
      <c r="H2095" s="1">
        <v>1</v>
      </c>
      <c r="I2095" s="1">
        <f t="shared" si="164"/>
        <v>1</v>
      </c>
    </row>
    <row r="2096" spans="1:9" x14ac:dyDescent="0.25">
      <c r="A2096" s="26">
        <v>47386</v>
      </c>
      <c r="B2096" s="27">
        <f t="shared" si="160"/>
        <v>2029</v>
      </c>
      <c r="C2096" s="27">
        <f t="shared" si="161"/>
        <v>9</v>
      </c>
      <c r="D2096" s="27">
        <f t="shared" si="162"/>
        <v>25</v>
      </c>
      <c r="E2096" s="27">
        <f t="shared" si="163"/>
        <v>3</v>
      </c>
      <c r="F2096" s="27">
        <f>VLOOKUP(E2096,[2]t_calendarioPolitica!A:C,3,FALSE)</f>
        <v>1</v>
      </c>
      <c r="G2096" s="1">
        <v>1</v>
      </c>
      <c r="H2096" s="1">
        <v>1</v>
      </c>
      <c r="I2096" s="1">
        <f t="shared" si="164"/>
        <v>1</v>
      </c>
    </row>
    <row r="2097" spans="1:9" x14ac:dyDescent="0.25">
      <c r="A2097" s="26">
        <v>47387</v>
      </c>
      <c r="B2097" s="27">
        <f t="shared" si="160"/>
        <v>2029</v>
      </c>
      <c r="C2097" s="27">
        <f t="shared" si="161"/>
        <v>9</v>
      </c>
      <c r="D2097" s="27">
        <f t="shared" si="162"/>
        <v>26</v>
      </c>
      <c r="E2097" s="27">
        <f t="shared" si="163"/>
        <v>4</v>
      </c>
      <c r="F2097" s="27">
        <f>VLOOKUP(E2097,[2]t_calendarioPolitica!A:C,3,FALSE)</f>
        <v>1</v>
      </c>
      <c r="G2097" s="1">
        <v>1</v>
      </c>
      <c r="H2097" s="1">
        <v>1</v>
      </c>
      <c r="I2097" s="1">
        <f t="shared" si="164"/>
        <v>1</v>
      </c>
    </row>
    <row r="2098" spans="1:9" x14ac:dyDescent="0.25">
      <c r="A2098" s="26">
        <v>47388</v>
      </c>
      <c r="B2098" s="27">
        <f t="shared" si="160"/>
        <v>2029</v>
      </c>
      <c r="C2098" s="27">
        <f t="shared" si="161"/>
        <v>9</v>
      </c>
      <c r="D2098" s="27">
        <f t="shared" si="162"/>
        <v>27</v>
      </c>
      <c r="E2098" s="27">
        <f t="shared" si="163"/>
        <v>5</v>
      </c>
      <c r="F2098" s="27">
        <f>VLOOKUP(E2098,[2]t_calendarioPolitica!A:C,3,FALSE)</f>
        <v>1</v>
      </c>
      <c r="G2098" s="1">
        <v>1</v>
      </c>
      <c r="H2098" s="1">
        <v>1</v>
      </c>
      <c r="I2098" s="1">
        <f t="shared" si="164"/>
        <v>1</v>
      </c>
    </row>
    <row r="2099" spans="1:9" x14ac:dyDescent="0.25">
      <c r="A2099" s="26">
        <v>47389</v>
      </c>
      <c r="B2099" s="27">
        <f t="shared" si="160"/>
        <v>2029</v>
      </c>
      <c r="C2099" s="27">
        <f t="shared" si="161"/>
        <v>9</v>
      </c>
      <c r="D2099" s="27">
        <f t="shared" si="162"/>
        <v>28</v>
      </c>
      <c r="E2099" s="27">
        <f t="shared" si="163"/>
        <v>6</v>
      </c>
      <c r="F2099" s="27">
        <f>VLOOKUP(E2099,[2]t_calendarioPolitica!A:C,3,FALSE)</f>
        <v>1</v>
      </c>
      <c r="G2099" s="1">
        <v>1</v>
      </c>
      <c r="H2099" s="1">
        <v>1</v>
      </c>
      <c r="I2099" s="1">
        <f t="shared" si="164"/>
        <v>1</v>
      </c>
    </row>
    <row r="2100" spans="1:9" x14ac:dyDescent="0.25">
      <c r="A2100" s="26">
        <v>47390</v>
      </c>
      <c r="B2100" s="27">
        <f t="shared" si="160"/>
        <v>2029</v>
      </c>
      <c r="C2100" s="27">
        <f t="shared" si="161"/>
        <v>9</v>
      </c>
      <c r="D2100" s="27">
        <f t="shared" si="162"/>
        <v>29</v>
      </c>
      <c r="E2100" s="27">
        <f t="shared" si="163"/>
        <v>7</v>
      </c>
      <c r="F2100" s="27">
        <f>VLOOKUP(E2100,[2]t_calendarioPolitica!A:C,3,FALSE)</f>
        <v>2</v>
      </c>
      <c r="G2100" s="1">
        <v>1</v>
      </c>
      <c r="H2100" s="1">
        <v>1</v>
      </c>
      <c r="I2100" s="1">
        <f t="shared" si="164"/>
        <v>1</v>
      </c>
    </row>
    <row r="2101" spans="1:9" x14ac:dyDescent="0.25">
      <c r="A2101" s="26">
        <v>47391</v>
      </c>
      <c r="B2101" s="27">
        <f t="shared" si="160"/>
        <v>2029</v>
      </c>
      <c r="C2101" s="27">
        <f t="shared" si="161"/>
        <v>9</v>
      </c>
      <c r="D2101" s="27">
        <f t="shared" si="162"/>
        <v>30</v>
      </c>
      <c r="E2101" s="27">
        <f t="shared" si="163"/>
        <v>1</v>
      </c>
      <c r="F2101" s="27">
        <f>VLOOKUP(E2101,[2]t_calendarioPolitica!A:C,3,FALSE)</f>
        <v>0</v>
      </c>
      <c r="G2101" s="1">
        <v>1</v>
      </c>
      <c r="H2101" s="1">
        <v>1</v>
      </c>
      <c r="I2101" s="1">
        <f t="shared" si="164"/>
        <v>0</v>
      </c>
    </row>
    <row r="2102" spans="1:9" x14ac:dyDescent="0.25">
      <c r="A2102" s="26">
        <v>47392</v>
      </c>
      <c r="B2102" s="27">
        <f t="shared" si="160"/>
        <v>2029</v>
      </c>
      <c r="C2102" s="27">
        <f t="shared" si="161"/>
        <v>10</v>
      </c>
      <c r="D2102" s="27">
        <f t="shared" si="162"/>
        <v>1</v>
      </c>
      <c r="E2102" s="27">
        <f t="shared" si="163"/>
        <v>2</v>
      </c>
      <c r="F2102" s="27">
        <f>VLOOKUP(E2102,[2]t_calendarioPolitica!A:C,3,FALSE)</f>
        <v>1</v>
      </c>
      <c r="G2102" s="1">
        <v>1</v>
      </c>
      <c r="H2102" s="1">
        <v>1</v>
      </c>
      <c r="I2102" s="1">
        <f t="shared" si="164"/>
        <v>1</v>
      </c>
    </row>
    <row r="2103" spans="1:9" x14ac:dyDescent="0.25">
      <c r="A2103" s="26">
        <v>47393</v>
      </c>
      <c r="B2103" s="27">
        <f t="shared" si="160"/>
        <v>2029</v>
      </c>
      <c r="C2103" s="27">
        <f t="shared" si="161"/>
        <v>10</v>
      </c>
      <c r="D2103" s="27">
        <f t="shared" si="162"/>
        <v>2</v>
      </c>
      <c r="E2103" s="27">
        <f t="shared" si="163"/>
        <v>3</v>
      </c>
      <c r="F2103" s="27">
        <f>VLOOKUP(E2103,[2]t_calendarioPolitica!A:C,3,FALSE)</f>
        <v>1</v>
      </c>
      <c r="G2103" s="1">
        <v>1</v>
      </c>
      <c r="H2103" s="1">
        <v>1</v>
      </c>
      <c r="I2103" s="1">
        <f t="shared" si="164"/>
        <v>1</v>
      </c>
    </row>
    <row r="2104" spans="1:9" x14ac:dyDescent="0.25">
      <c r="A2104" s="26">
        <v>47394</v>
      </c>
      <c r="B2104" s="27">
        <f t="shared" si="160"/>
        <v>2029</v>
      </c>
      <c r="C2104" s="27">
        <f t="shared" si="161"/>
        <v>10</v>
      </c>
      <c r="D2104" s="27">
        <f t="shared" si="162"/>
        <v>3</v>
      </c>
      <c r="E2104" s="27">
        <f t="shared" si="163"/>
        <v>4</v>
      </c>
      <c r="F2104" s="27">
        <f>VLOOKUP(E2104,[2]t_calendarioPolitica!A:C,3,FALSE)</f>
        <v>1</v>
      </c>
      <c r="G2104" s="1">
        <v>1</v>
      </c>
      <c r="H2104" s="1">
        <v>1</v>
      </c>
      <c r="I2104" s="1">
        <f t="shared" si="164"/>
        <v>1</v>
      </c>
    </row>
    <row r="2105" spans="1:9" x14ac:dyDescent="0.25">
      <c r="A2105" s="26">
        <v>47395</v>
      </c>
      <c r="B2105" s="27">
        <f t="shared" si="160"/>
        <v>2029</v>
      </c>
      <c r="C2105" s="27">
        <f t="shared" si="161"/>
        <v>10</v>
      </c>
      <c r="D2105" s="27">
        <f t="shared" si="162"/>
        <v>4</v>
      </c>
      <c r="E2105" s="27">
        <f t="shared" si="163"/>
        <v>5</v>
      </c>
      <c r="F2105" s="27">
        <f>VLOOKUP(E2105,[2]t_calendarioPolitica!A:C,3,FALSE)</f>
        <v>1</v>
      </c>
      <c r="G2105" s="1">
        <v>1</v>
      </c>
      <c r="H2105" s="1">
        <v>1</v>
      </c>
      <c r="I2105" s="1">
        <f t="shared" si="164"/>
        <v>1</v>
      </c>
    </row>
    <row r="2106" spans="1:9" x14ac:dyDescent="0.25">
      <c r="A2106" s="26">
        <v>47396</v>
      </c>
      <c r="B2106" s="27">
        <f t="shared" si="160"/>
        <v>2029</v>
      </c>
      <c r="C2106" s="27">
        <f t="shared" si="161"/>
        <v>10</v>
      </c>
      <c r="D2106" s="27">
        <f t="shared" si="162"/>
        <v>5</v>
      </c>
      <c r="E2106" s="27">
        <f t="shared" si="163"/>
        <v>6</v>
      </c>
      <c r="F2106" s="27">
        <f>VLOOKUP(E2106,[2]t_calendarioPolitica!A:C,3,FALSE)</f>
        <v>1</v>
      </c>
      <c r="G2106" s="1">
        <v>1</v>
      </c>
      <c r="H2106" s="1">
        <v>1</v>
      </c>
      <c r="I2106" s="1">
        <f t="shared" si="164"/>
        <v>1</v>
      </c>
    </row>
    <row r="2107" spans="1:9" x14ac:dyDescent="0.25">
      <c r="A2107" s="26">
        <v>47397</v>
      </c>
      <c r="B2107" s="27">
        <f t="shared" si="160"/>
        <v>2029</v>
      </c>
      <c r="C2107" s="27">
        <f t="shared" si="161"/>
        <v>10</v>
      </c>
      <c r="D2107" s="27">
        <f t="shared" si="162"/>
        <v>6</v>
      </c>
      <c r="E2107" s="27">
        <f t="shared" si="163"/>
        <v>7</v>
      </c>
      <c r="F2107" s="27">
        <f>VLOOKUP(E2107,[2]t_calendarioPolitica!A:C,3,FALSE)</f>
        <v>2</v>
      </c>
      <c r="G2107" s="1">
        <v>1</v>
      </c>
      <c r="H2107" s="1">
        <v>1</v>
      </c>
      <c r="I2107" s="1">
        <f t="shared" si="164"/>
        <v>1</v>
      </c>
    </row>
    <row r="2108" spans="1:9" x14ac:dyDescent="0.25">
      <c r="A2108" s="26">
        <v>47398</v>
      </c>
      <c r="B2108" s="27">
        <f t="shared" si="160"/>
        <v>2029</v>
      </c>
      <c r="C2108" s="27">
        <f t="shared" si="161"/>
        <v>10</v>
      </c>
      <c r="D2108" s="27">
        <f t="shared" si="162"/>
        <v>7</v>
      </c>
      <c r="E2108" s="27">
        <f t="shared" si="163"/>
        <v>1</v>
      </c>
      <c r="F2108" s="27">
        <f>VLOOKUP(E2108,[2]t_calendarioPolitica!A:C,3,FALSE)</f>
        <v>0</v>
      </c>
      <c r="G2108" s="1">
        <v>1</v>
      </c>
      <c r="H2108" s="1">
        <v>1</v>
      </c>
      <c r="I2108" s="1">
        <f t="shared" si="164"/>
        <v>0</v>
      </c>
    </row>
    <row r="2109" spans="1:9" x14ac:dyDescent="0.25">
      <c r="A2109" s="26">
        <v>47399</v>
      </c>
      <c r="B2109" s="27">
        <f t="shared" si="160"/>
        <v>2029</v>
      </c>
      <c r="C2109" s="27">
        <f t="shared" si="161"/>
        <v>10</v>
      </c>
      <c r="D2109" s="27">
        <f t="shared" si="162"/>
        <v>8</v>
      </c>
      <c r="E2109" s="27">
        <f t="shared" si="163"/>
        <v>2</v>
      </c>
      <c r="F2109" s="27">
        <f>VLOOKUP(E2109,[2]t_calendarioPolitica!A:C,3,FALSE)</f>
        <v>1</v>
      </c>
      <c r="G2109" s="1">
        <v>1</v>
      </c>
      <c r="H2109" s="1">
        <v>1</v>
      </c>
      <c r="I2109" s="1">
        <f t="shared" si="164"/>
        <v>1</v>
      </c>
    </row>
    <row r="2110" spans="1:9" x14ac:dyDescent="0.25">
      <c r="A2110" s="26">
        <v>47400</v>
      </c>
      <c r="B2110" s="27">
        <f t="shared" si="160"/>
        <v>2029</v>
      </c>
      <c r="C2110" s="27">
        <f t="shared" si="161"/>
        <v>10</v>
      </c>
      <c r="D2110" s="27">
        <f t="shared" si="162"/>
        <v>9</v>
      </c>
      <c r="E2110" s="27">
        <f t="shared" si="163"/>
        <v>3</v>
      </c>
      <c r="F2110" s="27">
        <f>VLOOKUP(E2110,[2]t_calendarioPolitica!A:C,3,FALSE)</f>
        <v>1</v>
      </c>
      <c r="G2110" s="1">
        <v>1</v>
      </c>
      <c r="H2110" s="1">
        <v>1</v>
      </c>
      <c r="I2110" s="1">
        <f t="shared" si="164"/>
        <v>1</v>
      </c>
    </row>
    <row r="2111" spans="1:9" x14ac:dyDescent="0.25">
      <c r="A2111" s="26">
        <v>47401</v>
      </c>
      <c r="B2111" s="27">
        <f t="shared" si="160"/>
        <v>2029</v>
      </c>
      <c r="C2111" s="27">
        <f t="shared" si="161"/>
        <v>10</v>
      </c>
      <c r="D2111" s="27">
        <f t="shared" si="162"/>
        <v>10</v>
      </c>
      <c r="E2111" s="27">
        <f t="shared" si="163"/>
        <v>4</v>
      </c>
      <c r="F2111" s="27">
        <f>VLOOKUP(E2111,[2]t_calendarioPolitica!A:C,3,FALSE)</f>
        <v>1</v>
      </c>
      <c r="G2111" s="1">
        <v>1</v>
      </c>
      <c r="H2111" s="1">
        <v>1</v>
      </c>
      <c r="I2111" s="1">
        <f t="shared" si="164"/>
        <v>1</v>
      </c>
    </row>
    <row r="2112" spans="1:9" x14ac:dyDescent="0.25">
      <c r="A2112" s="26">
        <v>47402</v>
      </c>
      <c r="B2112" s="27">
        <f t="shared" si="160"/>
        <v>2029</v>
      </c>
      <c r="C2112" s="27">
        <f t="shared" si="161"/>
        <v>10</v>
      </c>
      <c r="D2112" s="27">
        <f t="shared" si="162"/>
        <v>11</v>
      </c>
      <c r="E2112" s="27">
        <f t="shared" si="163"/>
        <v>5</v>
      </c>
      <c r="F2112" s="27">
        <f>VLOOKUP(E2112,[2]t_calendarioPolitica!A:C,3,FALSE)</f>
        <v>1</v>
      </c>
      <c r="G2112" s="1">
        <v>1</v>
      </c>
      <c r="H2112" s="1">
        <v>1</v>
      </c>
      <c r="I2112" s="1">
        <f t="shared" si="164"/>
        <v>1</v>
      </c>
    </row>
    <row r="2113" spans="1:9" x14ac:dyDescent="0.25">
      <c r="A2113" s="26">
        <v>47403</v>
      </c>
      <c r="B2113" s="27">
        <f t="shared" si="160"/>
        <v>2029</v>
      </c>
      <c r="C2113" s="27">
        <f t="shared" si="161"/>
        <v>10</v>
      </c>
      <c r="D2113" s="27">
        <f t="shared" si="162"/>
        <v>12</v>
      </c>
      <c r="E2113" s="27">
        <f t="shared" si="163"/>
        <v>6</v>
      </c>
      <c r="F2113" s="27">
        <f>VLOOKUP(E2113,[2]t_calendarioPolitica!A:C,3,FALSE)</f>
        <v>1</v>
      </c>
      <c r="G2113" s="1">
        <v>1</v>
      </c>
      <c r="H2113" s="1">
        <v>1</v>
      </c>
      <c r="I2113" s="1">
        <f t="shared" si="164"/>
        <v>1</v>
      </c>
    </row>
    <row r="2114" spans="1:9" x14ac:dyDescent="0.25">
      <c r="A2114" s="26">
        <v>47404</v>
      </c>
      <c r="B2114" s="27">
        <f t="shared" si="160"/>
        <v>2029</v>
      </c>
      <c r="C2114" s="27">
        <f t="shared" si="161"/>
        <v>10</v>
      </c>
      <c r="D2114" s="27">
        <f t="shared" si="162"/>
        <v>13</v>
      </c>
      <c r="E2114" s="27">
        <f t="shared" si="163"/>
        <v>7</v>
      </c>
      <c r="F2114" s="27">
        <f>VLOOKUP(E2114,[2]t_calendarioPolitica!A:C,3,FALSE)</f>
        <v>2</v>
      </c>
      <c r="G2114" s="1">
        <v>1</v>
      </c>
      <c r="H2114" s="1">
        <v>1</v>
      </c>
      <c r="I2114" s="1">
        <f t="shared" si="164"/>
        <v>1</v>
      </c>
    </row>
    <row r="2115" spans="1:9" x14ac:dyDescent="0.25">
      <c r="A2115" s="26">
        <v>47405</v>
      </c>
      <c r="B2115" s="27">
        <f t="shared" ref="B2115:B2178" si="165">YEAR(A2115)</f>
        <v>2029</v>
      </c>
      <c r="C2115" s="27">
        <f t="shared" ref="C2115:C2178" si="166">MONTH(A2115)</f>
        <v>10</v>
      </c>
      <c r="D2115" s="27">
        <f t="shared" ref="D2115:D2178" si="167">DAY(A2115)</f>
        <v>14</v>
      </c>
      <c r="E2115" s="27">
        <f t="shared" ref="E2115:E2178" si="168">WEEKDAY(A2115)</f>
        <v>1</v>
      </c>
      <c r="F2115" s="27">
        <f>VLOOKUP(E2115,[2]t_calendarioPolitica!A:C,3,FALSE)</f>
        <v>0</v>
      </c>
      <c r="G2115" s="1">
        <v>1</v>
      </c>
      <c r="H2115" s="1">
        <v>1</v>
      </c>
      <c r="I2115" s="1">
        <f t="shared" ref="I2115:I2178" si="169">IF(AND(F2115&lt;&gt;0, H2115&lt;&gt;0,G2115&lt;&gt;0), 1, 0)</f>
        <v>0</v>
      </c>
    </row>
    <row r="2116" spans="1:9" x14ac:dyDescent="0.25">
      <c r="A2116" s="26">
        <v>47406</v>
      </c>
      <c r="B2116" s="27">
        <f t="shared" si="165"/>
        <v>2029</v>
      </c>
      <c r="C2116" s="27">
        <f t="shared" si="166"/>
        <v>10</v>
      </c>
      <c r="D2116" s="27">
        <f t="shared" si="167"/>
        <v>15</v>
      </c>
      <c r="E2116" s="27">
        <f t="shared" si="168"/>
        <v>2</v>
      </c>
      <c r="F2116" s="27">
        <f>VLOOKUP(E2116,[2]t_calendarioPolitica!A:C,3,FALSE)</f>
        <v>1</v>
      </c>
      <c r="G2116" s="1">
        <v>1</v>
      </c>
      <c r="H2116" s="1">
        <v>1</v>
      </c>
      <c r="I2116" s="1">
        <f t="shared" si="169"/>
        <v>1</v>
      </c>
    </row>
    <row r="2117" spans="1:9" x14ac:dyDescent="0.25">
      <c r="A2117" s="26">
        <v>47407</v>
      </c>
      <c r="B2117" s="27">
        <f t="shared" si="165"/>
        <v>2029</v>
      </c>
      <c r="C2117" s="27">
        <f t="shared" si="166"/>
        <v>10</v>
      </c>
      <c r="D2117" s="27">
        <f t="shared" si="167"/>
        <v>16</v>
      </c>
      <c r="E2117" s="27">
        <f t="shared" si="168"/>
        <v>3</v>
      </c>
      <c r="F2117" s="27">
        <f>VLOOKUP(E2117,[2]t_calendarioPolitica!A:C,3,FALSE)</f>
        <v>1</v>
      </c>
      <c r="G2117" s="1">
        <v>1</v>
      </c>
      <c r="H2117" s="1">
        <v>1</v>
      </c>
      <c r="I2117" s="1">
        <f t="shared" si="169"/>
        <v>1</v>
      </c>
    </row>
    <row r="2118" spans="1:9" x14ac:dyDescent="0.25">
      <c r="A2118" s="26">
        <v>47408</v>
      </c>
      <c r="B2118" s="27">
        <f t="shared" si="165"/>
        <v>2029</v>
      </c>
      <c r="C2118" s="27">
        <f t="shared" si="166"/>
        <v>10</v>
      </c>
      <c r="D2118" s="27">
        <f t="shared" si="167"/>
        <v>17</v>
      </c>
      <c r="E2118" s="27">
        <f t="shared" si="168"/>
        <v>4</v>
      </c>
      <c r="F2118" s="27">
        <f>VLOOKUP(E2118,[2]t_calendarioPolitica!A:C,3,FALSE)</f>
        <v>1</v>
      </c>
      <c r="G2118" s="1">
        <v>1</v>
      </c>
      <c r="H2118" s="1">
        <v>1</v>
      </c>
      <c r="I2118" s="1">
        <f t="shared" si="169"/>
        <v>1</v>
      </c>
    </row>
    <row r="2119" spans="1:9" x14ac:dyDescent="0.25">
      <c r="A2119" s="26">
        <v>47409</v>
      </c>
      <c r="B2119" s="27">
        <f t="shared" si="165"/>
        <v>2029</v>
      </c>
      <c r="C2119" s="27">
        <f t="shared" si="166"/>
        <v>10</v>
      </c>
      <c r="D2119" s="27">
        <f t="shared" si="167"/>
        <v>18</v>
      </c>
      <c r="E2119" s="27">
        <f t="shared" si="168"/>
        <v>5</v>
      </c>
      <c r="F2119" s="27">
        <f>VLOOKUP(E2119,[2]t_calendarioPolitica!A:C,3,FALSE)</f>
        <v>1</v>
      </c>
      <c r="G2119" s="1">
        <v>1</v>
      </c>
      <c r="H2119" s="1">
        <v>1</v>
      </c>
      <c r="I2119" s="1">
        <f t="shared" si="169"/>
        <v>1</v>
      </c>
    </row>
    <row r="2120" spans="1:9" x14ac:dyDescent="0.25">
      <c r="A2120" s="26">
        <v>47410</v>
      </c>
      <c r="B2120" s="27">
        <f t="shared" si="165"/>
        <v>2029</v>
      </c>
      <c r="C2120" s="27">
        <f t="shared" si="166"/>
        <v>10</v>
      </c>
      <c r="D2120" s="27">
        <f t="shared" si="167"/>
        <v>19</v>
      </c>
      <c r="E2120" s="27">
        <f t="shared" si="168"/>
        <v>6</v>
      </c>
      <c r="F2120" s="27">
        <f>VLOOKUP(E2120,[2]t_calendarioPolitica!A:C,3,FALSE)</f>
        <v>1</v>
      </c>
      <c r="G2120" s="1">
        <v>1</v>
      </c>
      <c r="H2120" s="1">
        <v>1</v>
      </c>
      <c r="I2120" s="1">
        <f t="shared" si="169"/>
        <v>1</v>
      </c>
    </row>
    <row r="2121" spans="1:9" x14ac:dyDescent="0.25">
      <c r="A2121" s="26">
        <v>47411</v>
      </c>
      <c r="B2121" s="27">
        <f t="shared" si="165"/>
        <v>2029</v>
      </c>
      <c r="C2121" s="27">
        <f t="shared" si="166"/>
        <v>10</v>
      </c>
      <c r="D2121" s="27">
        <f t="shared" si="167"/>
        <v>20</v>
      </c>
      <c r="E2121" s="27">
        <f t="shared" si="168"/>
        <v>7</v>
      </c>
      <c r="F2121" s="27">
        <f>VLOOKUP(E2121,[2]t_calendarioPolitica!A:C,3,FALSE)</f>
        <v>2</v>
      </c>
      <c r="G2121" s="1">
        <v>1</v>
      </c>
      <c r="H2121" s="1">
        <v>1</v>
      </c>
      <c r="I2121" s="1">
        <f t="shared" si="169"/>
        <v>1</v>
      </c>
    </row>
    <row r="2122" spans="1:9" x14ac:dyDescent="0.25">
      <c r="A2122" s="26">
        <v>47412</v>
      </c>
      <c r="B2122" s="27">
        <f t="shared" si="165"/>
        <v>2029</v>
      </c>
      <c r="C2122" s="27">
        <f t="shared" si="166"/>
        <v>10</v>
      </c>
      <c r="D2122" s="27">
        <f t="shared" si="167"/>
        <v>21</v>
      </c>
      <c r="E2122" s="27">
        <f t="shared" si="168"/>
        <v>1</v>
      </c>
      <c r="F2122" s="27">
        <f>VLOOKUP(E2122,[2]t_calendarioPolitica!A:C,3,FALSE)</f>
        <v>0</v>
      </c>
      <c r="G2122" s="1">
        <v>1</v>
      </c>
      <c r="H2122" s="1">
        <v>1</v>
      </c>
      <c r="I2122" s="1">
        <f t="shared" si="169"/>
        <v>0</v>
      </c>
    </row>
    <row r="2123" spans="1:9" x14ac:dyDescent="0.25">
      <c r="A2123" s="26">
        <v>47413</v>
      </c>
      <c r="B2123" s="27">
        <f t="shared" si="165"/>
        <v>2029</v>
      </c>
      <c r="C2123" s="27">
        <f t="shared" si="166"/>
        <v>10</v>
      </c>
      <c r="D2123" s="27">
        <f t="shared" si="167"/>
        <v>22</v>
      </c>
      <c r="E2123" s="27">
        <f t="shared" si="168"/>
        <v>2</v>
      </c>
      <c r="F2123" s="27">
        <f>VLOOKUP(E2123,[2]t_calendarioPolitica!A:C,3,FALSE)</f>
        <v>1</v>
      </c>
      <c r="G2123" s="1">
        <v>1</v>
      </c>
      <c r="H2123" s="1">
        <v>1</v>
      </c>
      <c r="I2123" s="1">
        <f t="shared" si="169"/>
        <v>1</v>
      </c>
    </row>
    <row r="2124" spans="1:9" x14ac:dyDescent="0.25">
      <c r="A2124" s="26">
        <v>47414</v>
      </c>
      <c r="B2124" s="27">
        <f t="shared" si="165"/>
        <v>2029</v>
      </c>
      <c r="C2124" s="27">
        <f t="shared" si="166"/>
        <v>10</v>
      </c>
      <c r="D2124" s="27">
        <f t="shared" si="167"/>
        <v>23</v>
      </c>
      <c r="E2124" s="27">
        <f t="shared" si="168"/>
        <v>3</v>
      </c>
      <c r="F2124" s="27">
        <f>VLOOKUP(E2124,[2]t_calendarioPolitica!A:C,3,FALSE)</f>
        <v>1</v>
      </c>
      <c r="G2124" s="1">
        <v>1</v>
      </c>
      <c r="H2124" s="1">
        <v>1</v>
      </c>
      <c r="I2124" s="1">
        <f t="shared" si="169"/>
        <v>1</v>
      </c>
    </row>
    <row r="2125" spans="1:9" x14ac:dyDescent="0.25">
      <c r="A2125" s="26">
        <v>47415</v>
      </c>
      <c r="B2125" s="27">
        <f t="shared" si="165"/>
        <v>2029</v>
      </c>
      <c r="C2125" s="27">
        <f t="shared" si="166"/>
        <v>10</v>
      </c>
      <c r="D2125" s="27">
        <f t="shared" si="167"/>
        <v>24</v>
      </c>
      <c r="E2125" s="27">
        <f t="shared" si="168"/>
        <v>4</v>
      </c>
      <c r="F2125" s="27">
        <f>VLOOKUP(E2125,[2]t_calendarioPolitica!A:C,3,FALSE)</f>
        <v>1</v>
      </c>
      <c r="G2125" s="1">
        <v>1</v>
      </c>
      <c r="H2125" s="1">
        <v>1</v>
      </c>
      <c r="I2125" s="1">
        <f t="shared" si="169"/>
        <v>1</v>
      </c>
    </row>
    <row r="2126" spans="1:9" x14ac:dyDescent="0.25">
      <c r="A2126" s="26">
        <v>47416</v>
      </c>
      <c r="B2126" s="27">
        <f t="shared" si="165"/>
        <v>2029</v>
      </c>
      <c r="C2126" s="27">
        <f t="shared" si="166"/>
        <v>10</v>
      </c>
      <c r="D2126" s="27">
        <f t="shared" si="167"/>
        <v>25</v>
      </c>
      <c r="E2126" s="27">
        <f t="shared" si="168"/>
        <v>5</v>
      </c>
      <c r="F2126" s="27">
        <f>VLOOKUP(E2126,[2]t_calendarioPolitica!A:C,3,FALSE)</f>
        <v>1</v>
      </c>
      <c r="G2126" s="1">
        <v>1</v>
      </c>
      <c r="H2126" s="1">
        <v>1</v>
      </c>
      <c r="I2126" s="1">
        <f t="shared" si="169"/>
        <v>1</v>
      </c>
    </row>
    <row r="2127" spans="1:9" x14ac:dyDescent="0.25">
      <c r="A2127" s="26">
        <v>47417</v>
      </c>
      <c r="B2127" s="27">
        <f t="shared" si="165"/>
        <v>2029</v>
      </c>
      <c r="C2127" s="27">
        <f t="shared" si="166"/>
        <v>10</v>
      </c>
      <c r="D2127" s="27">
        <f t="shared" si="167"/>
        <v>26</v>
      </c>
      <c r="E2127" s="27">
        <f t="shared" si="168"/>
        <v>6</v>
      </c>
      <c r="F2127" s="27">
        <f>VLOOKUP(E2127,[2]t_calendarioPolitica!A:C,3,FALSE)</f>
        <v>1</v>
      </c>
      <c r="G2127" s="1">
        <v>1</v>
      </c>
      <c r="H2127" s="1">
        <v>1</v>
      </c>
      <c r="I2127" s="1">
        <f t="shared" si="169"/>
        <v>1</v>
      </c>
    </row>
    <row r="2128" spans="1:9" x14ac:dyDescent="0.25">
      <c r="A2128" s="26">
        <v>47418</v>
      </c>
      <c r="B2128" s="27">
        <f t="shared" si="165"/>
        <v>2029</v>
      </c>
      <c r="C2128" s="27">
        <f t="shared" si="166"/>
        <v>10</v>
      </c>
      <c r="D2128" s="27">
        <f t="shared" si="167"/>
        <v>27</v>
      </c>
      <c r="E2128" s="27">
        <f t="shared" si="168"/>
        <v>7</v>
      </c>
      <c r="F2128" s="27">
        <f>VLOOKUP(E2128,[2]t_calendarioPolitica!A:C,3,FALSE)</f>
        <v>2</v>
      </c>
      <c r="G2128" s="1">
        <v>1</v>
      </c>
      <c r="H2128" s="1">
        <v>1</v>
      </c>
      <c r="I2128" s="1">
        <f t="shared" si="169"/>
        <v>1</v>
      </c>
    </row>
    <row r="2129" spans="1:9" x14ac:dyDescent="0.25">
      <c r="A2129" s="26">
        <v>47419</v>
      </c>
      <c r="B2129" s="27">
        <f t="shared" si="165"/>
        <v>2029</v>
      </c>
      <c r="C2129" s="27">
        <f t="shared" si="166"/>
        <v>10</v>
      </c>
      <c r="D2129" s="27">
        <f t="shared" si="167"/>
        <v>28</v>
      </c>
      <c r="E2129" s="27">
        <f t="shared" si="168"/>
        <v>1</v>
      </c>
      <c r="F2129" s="27">
        <f>VLOOKUP(E2129,[2]t_calendarioPolitica!A:C,3,FALSE)</f>
        <v>0</v>
      </c>
      <c r="G2129" s="1">
        <v>1</v>
      </c>
      <c r="H2129" s="1">
        <v>1</v>
      </c>
      <c r="I2129" s="1">
        <f t="shared" si="169"/>
        <v>0</v>
      </c>
    </row>
    <row r="2130" spans="1:9" x14ac:dyDescent="0.25">
      <c r="A2130" s="26">
        <v>47420</v>
      </c>
      <c r="B2130" s="27">
        <f t="shared" si="165"/>
        <v>2029</v>
      </c>
      <c r="C2130" s="27">
        <f t="shared" si="166"/>
        <v>10</v>
      </c>
      <c r="D2130" s="27">
        <f t="shared" si="167"/>
        <v>29</v>
      </c>
      <c r="E2130" s="27">
        <f t="shared" si="168"/>
        <v>2</v>
      </c>
      <c r="F2130" s="27">
        <f>VLOOKUP(E2130,[2]t_calendarioPolitica!A:C,3,FALSE)</f>
        <v>1</v>
      </c>
      <c r="G2130" s="1">
        <v>1</v>
      </c>
      <c r="H2130" s="1">
        <v>1</v>
      </c>
      <c r="I2130" s="1">
        <f t="shared" si="169"/>
        <v>1</v>
      </c>
    </row>
    <row r="2131" spans="1:9" x14ac:dyDescent="0.25">
      <c r="A2131" s="26">
        <v>47421</v>
      </c>
      <c r="B2131" s="27">
        <f t="shared" si="165"/>
        <v>2029</v>
      </c>
      <c r="C2131" s="27">
        <f t="shared" si="166"/>
        <v>10</v>
      </c>
      <c r="D2131" s="27">
        <f t="shared" si="167"/>
        <v>30</v>
      </c>
      <c r="E2131" s="27">
        <f t="shared" si="168"/>
        <v>3</v>
      </c>
      <c r="F2131" s="27">
        <f>VLOOKUP(E2131,[2]t_calendarioPolitica!A:C,3,FALSE)</f>
        <v>1</v>
      </c>
      <c r="G2131" s="1">
        <v>1</v>
      </c>
      <c r="H2131" s="1">
        <v>1</v>
      </c>
      <c r="I2131" s="1">
        <f t="shared" si="169"/>
        <v>1</v>
      </c>
    </row>
    <row r="2132" spans="1:9" x14ac:dyDescent="0.25">
      <c r="A2132" s="26">
        <v>47422</v>
      </c>
      <c r="B2132" s="27">
        <f t="shared" si="165"/>
        <v>2029</v>
      </c>
      <c r="C2132" s="27">
        <f t="shared" si="166"/>
        <v>10</v>
      </c>
      <c r="D2132" s="27">
        <f t="shared" si="167"/>
        <v>31</v>
      </c>
      <c r="E2132" s="27">
        <f t="shared" si="168"/>
        <v>4</v>
      </c>
      <c r="F2132" s="27">
        <f>VLOOKUP(E2132,[2]t_calendarioPolitica!A:C,3,FALSE)</f>
        <v>1</v>
      </c>
      <c r="G2132" s="1">
        <v>1</v>
      </c>
      <c r="H2132" s="1">
        <v>1</v>
      </c>
      <c r="I2132" s="1">
        <f t="shared" si="169"/>
        <v>1</v>
      </c>
    </row>
    <row r="2133" spans="1:9" x14ac:dyDescent="0.25">
      <c r="A2133" s="26">
        <v>47423</v>
      </c>
      <c r="B2133" s="27">
        <f t="shared" si="165"/>
        <v>2029</v>
      </c>
      <c r="C2133" s="27">
        <f t="shared" si="166"/>
        <v>11</v>
      </c>
      <c r="D2133" s="27">
        <f t="shared" si="167"/>
        <v>1</v>
      </c>
      <c r="E2133" s="27">
        <f t="shared" si="168"/>
        <v>5</v>
      </c>
      <c r="F2133" s="27">
        <f>VLOOKUP(E2133,[2]t_calendarioPolitica!A:C,3,FALSE)</f>
        <v>1</v>
      </c>
      <c r="G2133" s="1">
        <v>1</v>
      </c>
      <c r="H2133" s="1">
        <v>1</v>
      </c>
      <c r="I2133" s="1">
        <f t="shared" si="169"/>
        <v>1</v>
      </c>
    </row>
    <row r="2134" spans="1:9" x14ac:dyDescent="0.25">
      <c r="A2134" s="26">
        <v>47424</v>
      </c>
      <c r="B2134" s="27">
        <f t="shared" si="165"/>
        <v>2029</v>
      </c>
      <c r="C2134" s="27">
        <f t="shared" si="166"/>
        <v>11</v>
      </c>
      <c r="D2134" s="27">
        <f t="shared" si="167"/>
        <v>2</v>
      </c>
      <c r="E2134" s="27">
        <f t="shared" si="168"/>
        <v>6</v>
      </c>
      <c r="F2134" s="27">
        <f>VLOOKUP(E2134,[2]t_calendarioPolitica!A:C,3,FALSE)</f>
        <v>1</v>
      </c>
      <c r="G2134" s="1">
        <v>1</v>
      </c>
      <c r="H2134" s="1">
        <v>0</v>
      </c>
      <c r="I2134" s="1">
        <f t="shared" si="169"/>
        <v>0</v>
      </c>
    </row>
    <row r="2135" spans="1:9" x14ac:dyDescent="0.25">
      <c r="A2135" s="26">
        <v>47425</v>
      </c>
      <c r="B2135" s="27">
        <f t="shared" si="165"/>
        <v>2029</v>
      </c>
      <c r="C2135" s="27">
        <f t="shared" si="166"/>
        <v>11</v>
      </c>
      <c r="D2135" s="27">
        <f t="shared" si="167"/>
        <v>3</v>
      </c>
      <c r="E2135" s="27">
        <f t="shared" si="168"/>
        <v>7</v>
      </c>
      <c r="F2135" s="27">
        <f>VLOOKUP(E2135,[2]t_calendarioPolitica!A:C,3,FALSE)</f>
        <v>2</v>
      </c>
      <c r="G2135" s="1">
        <v>1</v>
      </c>
      <c r="H2135" s="1">
        <v>1</v>
      </c>
      <c r="I2135" s="1">
        <f t="shared" si="169"/>
        <v>1</v>
      </c>
    </row>
    <row r="2136" spans="1:9" x14ac:dyDescent="0.25">
      <c r="A2136" s="26">
        <v>47426</v>
      </c>
      <c r="B2136" s="27">
        <f t="shared" si="165"/>
        <v>2029</v>
      </c>
      <c r="C2136" s="27">
        <f t="shared" si="166"/>
        <v>11</v>
      </c>
      <c r="D2136" s="27">
        <f t="shared" si="167"/>
        <v>4</v>
      </c>
      <c r="E2136" s="27">
        <f t="shared" si="168"/>
        <v>1</v>
      </c>
      <c r="F2136" s="27">
        <f>VLOOKUP(E2136,[2]t_calendarioPolitica!A:C,3,FALSE)</f>
        <v>0</v>
      </c>
      <c r="G2136" s="1">
        <v>1</v>
      </c>
      <c r="H2136" s="1">
        <v>1</v>
      </c>
      <c r="I2136" s="1">
        <f t="shared" si="169"/>
        <v>0</v>
      </c>
    </row>
    <row r="2137" spans="1:9" x14ac:dyDescent="0.25">
      <c r="A2137" s="26">
        <v>47427</v>
      </c>
      <c r="B2137" s="27">
        <f t="shared" si="165"/>
        <v>2029</v>
      </c>
      <c r="C2137" s="27">
        <f t="shared" si="166"/>
        <v>11</v>
      </c>
      <c r="D2137" s="27">
        <f t="shared" si="167"/>
        <v>5</v>
      </c>
      <c r="E2137" s="27">
        <f t="shared" si="168"/>
        <v>2</v>
      </c>
      <c r="F2137" s="27">
        <f>VLOOKUP(E2137,[2]t_calendarioPolitica!A:C,3,FALSE)</f>
        <v>1</v>
      </c>
      <c r="G2137" s="1">
        <v>1</v>
      </c>
      <c r="H2137" s="1">
        <v>1</v>
      </c>
      <c r="I2137" s="1">
        <f t="shared" si="169"/>
        <v>1</v>
      </c>
    </row>
    <row r="2138" spans="1:9" x14ac:dyDescent="0.25">
      <c r="A2138" s="26">
        <v>47428</v>
      </c>
      <c r="B2138" s="27">
        <f t="shared" si="165"/>
        <v>2029</v>
      </c>
      <c r="C2138" s="27">
        <f t="shared" si="166"/>
        <v>11</v>
      </c>
      <c r="D2138" s="27">
        <f t="shared" si="167"/>
        <v>6</v>
      </c>
      <c r="E2138" s="27">
        <f t="shared" si="168"/>
        <v>3</v>
      </c>
      <c r="F2138" s="27">
        <f>VLOOKUP(E2138,[2]t_calendarioPolitica!A:C,3,FALSE)</f>
        <v>1</v>
      </c>
      <c r="G2138" s="1">
        <v>1</v>
      </c>
      <c r="H2138" s="1">
        <v>1</v>
      </c>
      <c r="I2138" s="1">
        <f t="shared" si="169"/>
        <v>1</v>
      </c>
    </row>
    <row r="2139" spans="1:9" x14ac:dyDescent="0.25">
      <c r="A2139" s="26">
        <v>47429</v>
      </c>
      <c r="B2139" s="27">
        <f t="shared" si="165"/>
        <v>2029</v>
      </c>
      <c r="C2139" s="27">
        <f t="shared" si="166"/>
        <v>11</v>
      </c>
      <c r="D2139" s="27">
        <f t="shared" si="167"/>
        <v>7</v>
      </c>
      <c r="E2139" s="27">
        <f t="shared" si="168"/>
        <v>4</v>
      </c>
      <c r="F2139" s="27">
        <f>VLOOKUP(E2139,[2]t_calendarioPolitica!A:C,3,FALSE)</f>
        <v>1</v>
      </c>
      <c r="G2139" s="1">
        <v>1</v>
      </c>
      <c r="H2139" s="1">
        <v>1</v>
      </c>
      <c r="I2139" s="1">
        <f t="shared" si="169"/>
        <v>1</v>
      </c>
    </row>
    <row r="2140" spans="1:9" x14ac:dyDescent="0.25">
      <c r="A2140" s="26">
        <v>47430</v>
      </c>
      <c r="B2140" s="27">
        <f t="shared" si="165"/>
        <v>2029</v>
      </c>
      <c r="C2140" s="27">
        <f t="shared" si="166"/>
        <v>11</v>
      </c>
      <c r="D2140" s="27">
        <f t="shared" si="167"/>
        <v>8</v>
      </c>
      <c r="E2140" s="27">
        <f t="shared" si="168"/>
        <v>5</v>
      </c>
      <c r="F2140" s="27">
        <f>VLOOKUP(E2140,[2]t_calendarioPolitica!A:C,3,FALSE)</f>
        <v>1</v>
      </c>
      <c r="G2140" s="1">
        <v>1</v>
      </c>
      <c r="H2140" s="1">
        <v>1</v>
      </c>
      <c r="I2140" s="1">
        <f t="shared" si="169"/>
        <v>1</v>
      </c>
    </row>
    <row r="2141" spans="1:9" x14ac:dyDescent="0.25">
      <c r="A2141" s="26">
        <v>47431</v>
      </c>
      <c r="B2141" s="27">
        <f t="shared" si="165"/>
        <v>2029</v>
      </c>
      <c r="C2141" s="27">
        <f t="shared" si="166"/>
        <v>11</v>
      </c>
      <c r="D2141" s="27">
        <f t="shared" si="167"/>
        <v>9</v>
      </c>
      <c r="E2141" s="27">
        <f t="shared" si="168"/>
        <v>6</v>
      </c>
      <c r="F2141" s="27">
        <f>VLOOKUP(E2141,[2]t_calendarioPolitica!A:C,3,FALSE)</f>
        <v>1</v>
      </c>
      <c r="G2141" s="1">
        <v>1</v>
      </c>
      <c r="H2141" s="1">
        <v>1</v>
      </c>
      <c r="I2141" s="1">
        <f t="shared" si="169"/>
        <v>1</v>
      </c>
    </row>
    <row r="2142" spans="1:9" x14ac:dyDescent="0.25">
      <c r="A2142" s="26">
        <v>47432</v>
      </c>
      <c r="B2142" s="27">
        <f t="shared" si="165"/>
        <v>2029</v>
      </c>
      <c r="C2142" s="27">
        <f t="shared" si="166"/>
        <v>11</v>
      </c>
      <c r="D2142" s="27">
        <f t="shared" si="167"/>
        <v>10</v>
      </c>
      <c r="E2142" s="27">
        <f t="shared" si="168"/>
        <v>7</v>
      </c>
      <c r="F2142" s="27">
        <f>VLOOKUP(E2142,[2]t_calendarioPolitica!A:C,3,FALSE)</f>
        <v>2</v>
      </c>
      <c r="G2142" s="1">
        <v>1</v>
      </c>
      <c r="H2142" s="1">
        <v>1</v>
      </c>
      <c r="I2142" s="1">
        <f t="shared" si="169"/>
        <v>1</v>
      </c>
    </row>
    <row r="2143" spans="1:9" x14ac:dyDescent="0.25">
      <c r="A2143" s="26">
        <v>47433</v>
      </c>
      <c r="B2143" s="27">
        <f t="shared" si="165"/>
        <v>2029</v>
      </c>
      <c r="C2143" s="27">
        <f t="shared" si="166"/>
        <v>11</v>
      </c>
      <c r="D2143" s="27">
        <f t="shared" si="167"/>
        <v>11</v>
      </c>
      <c r="E2143" s="27">
        <f t="shared" si="168"/>
        <v>1</v>
      </c>
      <c r="F2143" s="27">
        <f>VLOOKUP(E2143,[2]t_calendarioPolitica!A:C,3,FALSE)</f>
        <v>0</v>
      </c>
      <c r="G2143" s="1">
        <v>1</v>
      </c>
      <c r="H2143" s="1">
        <v>1</v>
      </c>
      <c r="I2143" s="1">
        <f t="shared" si="169"/>
        <v>0</v>
      </c>
    </row>
    <row r="2144" spans="1:9" x14ac:dyDescent="0.25">
      <c r="A2144" s="26">
        <v>47434</v>
      </c>
      <c r="B2144" s="27">
        <f t="shared" si="165"/>
        <v>2029</v>
      </c>
      <c r="C2144" s="27">
        <f t="shared" si="166"/>
        <v>11</v>
      </c>
      <c r="D2144" s="27">
        <f t="shared" si="167"/>
        <v>12</v>
      </c>
      <c r="E2144" s="27">
        <f t="shared" si="168"/>
        <v>2</v>
      </c>
      <c r="F2144" s="27">
        <f>VLOOKUP(E2144,[2]t_calendarioPolitica!A:C,3,FALSE)</f>
        <v>1</v>
      </c>
      <c r="G2144" s="1">
        <v>1</v>
      </c>
      <c r="H2144" s="1">
        <v>1</v>
      </c>
      <c r="I2144" s="1">
        <f t="shared" si="169"/>
        <v>1</v>
      </c>
    </row>
    <row r="2145" spans="1:9" x14ac:dyDescent="0.25">
      <c r="A2145" s="26">
        <v>47435</v>
      </c>
      <c r="B2145" s="27">
        <f t="shared" si="165"/>
        <v>2029</v>
      </c>
      <c r="C2145" s="27">
        <f t="shared" si="166"/>
        <v>11</v>
      </c>
      <c r="D2145" s="27">
        <f t="shared" si="167"/>
        <v>13</v>
      </c>
      <c r="E2145" s="27">
        <f t="shared" si="168"/>
        <v>3</v>
      </c>
      <c r="F2145" s="27">
        <f>VLOOKUP(E2145,[2]t_calendarioPolitica!A:C,3,FALSE)</f>
        <v>1</v>
      </c>
      <c r="G2145" s="1">
        <v>1</v>
      </c>
      <c r="H2145" s="1">
        <v>1</v>
      </c>
      <c r="I2145" s="1">
        <f t="shared" si="169"/>
        <v>1</v>
      </c>
    </row>
    <row r="2146" spans="1:9" x14ac:dyDescent="0.25">
      <c r="A2146" s="26">
        <v>47436</v>
      </c>
      <c r="B2146" s="27">
        <f t="shared" si="165"/>
        <v>2029</v>
      </c>
      <c r="C2146" s="27">
        <f t="shared" si="166"/>
        <v>11</v>
      </c>
      <c r="D2146" s="27">
        <f t="shared" si="167"/>
        <v>14</v>
      </c>
      <c r="E2146" s="27">
        <f t="shared" si="168"/>
        <v>4</v>
      </c>
      <c r="F2146" s="27">
        <f>VLOOKUP(E2146,[2]t_calendarioPolitica!A:C,3,FALSE)</f>
        <v>1</v>
      </c>
      <c r="G2146" s="1">
        <v>1</v>
      </c>
      <c r="H2146" s="1">
        <v>1</v>
      </c>
      <c r="I2146" s="1">
        <f t="shared" si="169"/>
        <v>1</v>
      </c>
    </row>
    <row r="2147" spans="1:9" x14ac:dyDescent="0.25">
      <c r="A2147" s="26">
        <v>47437</v>
      </c>
      <c r="B2147" s="27">
        <f t="shared" si="165"/>
        <v>2029</v>
      </c>
      <c r="C2147" s="27">
        <f t="shared" si="166"/>
        <v>11</v>
      </c>
      <c r="D2147" s="27">
        <f t="shared" si="167"/>
        <v>15</v>
      </c>
      <c r="E2147" s="27">
        <f t="shared" si="168"/>
        <v>5</v>
      </c>
      <c r="F2147" s="27">
        <f>VLOOKUP(E2147,[2]t_calendarioPolitica!A:C,3,FALSE)</f>
        <v>1</v>
      </c>
      <c r="G2147" s="1">
        <v>1</v>
      </c>
      <c r="H2147" s="1">
        <v>1</v>
      </c>
      <c r="I2147" s="1">
        <f t="shared" si="169"/>
        <v>1</v>
      </c>
    </row>
    <row r="2148" spans="1:9" x14ac:dyDescent="0.25">
      <c r="A2148" s="26">
        <v>47438</v>
      </c>
      <c r="B2148" s="27">
        <f t="shared" si="165"/>
        <v>2029</v>
      </c>
      <c r="C2148" s="27">
        <f t="shared" si="166"/>
        <v>11</v>
      </c>
      <c r="D2148" s="27">
        <f t="shared" si="167"/>
        <v>16</v>
      </c>
      <c r="E2148" s="27">
        <f t="shared" si="168"/>
        <v>6</v>
      </c>
      <c r="F2148" s="27">
        <f>VLOOKUP(E2148,[2]t_calendarioPolitica!A:C,3,FALSE)</f>
        <v>1</v>
      </c>
      <c r="G2148" s="1">
        <v>1</v>
      </c>
      <c r="H2148" s="1">
        <v>1</v>
      </c>
      <c r="I2148" s="1">
        <f t="shared" si="169"/>
        <v>1</v>
      </c>
    </row>
    <row r="2149" spans="1:9" x14ac:dyDescent="0.25">
      <c r="A2149" s="26">
        <v>47439</v>
      </c>
      <c r="B2149" s="27">
        <f t="shared" si="165"/>
        <v>2029</v>
      </c>
      <c r="C2149" s="27">
        <f t="shared" si="166"/>
        <v>11</v>
      </c>
      <c r="D2149" s="27">
        <f t="shared" si="167"/>
        <v>17</v>
      </c>
      <c r="E2149" s="27">
        <f t="shared" si="168"/>
        <v>7</v>
      </c>
      <c r="F2149" s="27">
        <f>VLOOKUP(E2149,[2]t_calendarioPolitica!A:C,3,FALSE)</f>
        <v>2</v>
      </c>
      <c r="G2149" s="1">
        <v>1</v>
      </c>
      <c r="H2149" s="1">
        <v>1</v>
      </c>
      <c r="I2149" s="1">
        <f t="shared" si="169"/>
        <v>1</v>
      </c>
    </row>
    <row r="2150" spans="1:9" x14ac:dyDescent="0.25">
      <c r="A2150" s="26">
        <v>47440</v>
      </c>
      <c r="B2150" s="27">
        <f t="shared" si="165"/>
        <v>2029</v>
      </c>
      <c r="C2150" s="27">
        <f t="shared" si="166"/>
        <v>11</v>
      </c>
      <c r="D2150" s="27">
        <f t="shared" si="167"/>
        <v>18</v>
      </c>
      <c r="E2150" s="27">
        <f t="shared" si="168"/>
        <v>1</v>
      </c>
      <c r="F2150" s="27">
        <f>VLOOKUP(E2150,[2]t_calendarioPolitica!A:C,3,FALSE)</f>
        <v>0</v>
      </c>
      <c r="G2150" s="1">
        <v>1</v>
      </c>
      <c r="H2150" s="1">
        <v>1</v>
      </c>
      <c r="I2150" s="1">
        <f t="shared" si="169"/>
        <v>0</v>
      </c>
    </row>
    <row r="2151" spans="1:9" x14ac:dyDescent="0.25">
      <c r="A2151" s="26">
        <v>47441</v>
      </c>
      <c r="B2151" s="27">
        <f t="shared" si="165"/>
        <v>2029</v>
      </c>
      <c r="C2151" s="27">
        <f t="shared" si="166"/>
        <v>11</v>
      </c>
      <c r="D2151" s="27">
        <f t="shared" si="167"/>
        <v>19</v>
      </c>
      <c r="E2151" s="27">
        <f t="shared" si="168"/>
        <v>2</v>
      </c>
      <c r="F2151" s="27">
        <f>VLOOKUP(E2151,[2]t_calendarioPolitica!A:C,3,FALSE)</f>
        <v>1</v>
      </c>
      <c r="G2151" s="1">
        <v>1</v>
      </c>
      <c r="H2151" s="1">
        <v>1</v>
      </c>
      <c r="I2151" s="1">
        <f t="shared" si="169"/>
        <v>1</v>
      </c>
    </row>
    <row r="2152" spans="1:9" x14ac:dyDescent="0.25">
      <c r="A2152" s="26">
        <v>47442</v>
      </c>
      <c r="B2152" s="27">
        <f t="shared" si="165"/>
        <v>2029</v>
      </c>
      <c r="C2152" s="27">
        <f t="shared" si="166"/>
        <v>11</v>
      </c>
      <c r="D2152" s="27">
        <f t="shared" si="167"/>
        <v>20</v>
      </c>
      <c r="E2152" s="27">
        <f t="shared" si="168"/>
        <v>3</v>
      </c>
      <c r="F2152" s="27">
        <f>VLOOKUP(E2152,[2]t_calendarioPolitica!A:C,3,FALSE)</f>
        <v>1</v>
      </c>
      <c r="G2152" s="1">
        <v>1</v>
      </c>
      <c r="H2152" s="1">
        <v>1</v>
      </c>
      <c r="I2152" s="1">
        <f t="shared" si="169"/>
        <v>1</v>
      </c>
    </row>
    <row r="2153" spans="1:9" x14ac:dyDescent="0.25">
      <c r="A2153" s="26">
        <v>47443</v>
      </c>
      <c r="B2153" s="27">
        <f t="shared" si="165"/>
        <v>2029</v>
      </c>
      <c r="C2153" s="27">
        <f t="shared" si="166"/>
        <v>11</v>
      </c>
      <c r="D2153" s="27">
        <f t="shared" si="167"/>
        <v>21</v>
      </c>
      <c r="E2153" s="27">
        <f t="shared" si="168"/>
        <v>4</v>
      </c>
      <c r="F2153" s="27">
        <f>VLOOKUP(E2153,[2]t_calendarioPolitica!A:C,3,FALSE)</f>
        <v>1</v>
      </c>
      <c r="G2153" s="1">
        <v>1</v>
      </c>
      <c r="H2153" s="1">
        <v>1</v>
      </c>
      <c r="I2153" s="1">
        <f t="shared" si="169"/>
        <v>1</v>
      </c>
    </row>
    <row r="2154" spans="1:9" x14ac:dyDescent="0.25">
      <c r="A2154" s="26">
        <v>47444</v>
      </c>
      <c r="B2154" s="27">
        <f t="shared" si="165"/>
        <v>2029</v>
      </c>
      <c r="C2154" s="27">
        <f t="shared" si="166"/>
        <v>11</v>
      </c>
      <c r="D2154" s="27">
        <f t="shared" si="167"/>
        <v>22</v>
      </c>
      <c r="E2154" s="27">
        <f t="shared" si="168"/>
        <v>5</v>
      </c>
      <c r="F2154" s="27">
        <f>VLOOKUP(E2154,[2]t_calendarioPolitica!A:C,3,FALSE)</f>
        <v>1</v>
      </c>
      <c r="G2154" s="1">
        <v>1</v>
      </c>
      <c r="H2154" s="1">
        <v>1</v>
      </c>
      <c r="I2154" s="1">
        <f t="shared" si="169"/>
        <v>1</v>
      </c>
    </row>
    <row r="2155" spans="1:9" x14ac:dyDescent="0.25">
      <c r="A2155" s="26">
        <v>47445</v>
      </c>
      <c r="B2155" s="27">
        <f t="shared" si="165"/>
        <v>2029</v>
      </c>
      <c r="C2155" s="27">
        <f t="shared" si="166"/>
        <v>11</v>
      </c>
      <c r="D2155" s="27">
        <f t="shared" si="167"/>
        <v>23</v>
      </c>
      <c r="E2155" s="27">
        <f t="shared" si="168"/>
        <v>6</v>
      </c>
      <c r="F2155" s="27">
        <f>VLOOKUP(E2155,[2]t_calendarioPolitica!A:C,3,FALSE)</f>
        <v>1</v>
      </c>
      <c r="G2155" s="1">
        <v>1</v>
      </c>
      <c r="H2155" s="1">
        <v>1</v>
      </c>
      <c r="I2155" s="1">
        <f t="shared" si="169"/>
        <v>1</v>
      </c>
    </row>
    <row r="2156" spans="1:9" x14ac:dyDescent="0.25">
      <c r="A2156" s="26">
        <v>47446</v>
      </c>
      <c r="B2156" s="27">
        <f t="shared" si="165"/>
        <v>2029</v>
      </c>
      <c r="C2156" s="27">
        <f t="shared" si="166"/>
        <v>11</v>
      </c>
      <c r="D2156" s="27">
        <f t="shared" si="167"/>
        <v>24</v>
      </c>
      <c r="E2156" s="27">
        <f t="shared" si="168"/>
        <v>7</v>
      </c>
      <c r="F2156" s="27">
        <f>VLOOKUP(E2156,[2]t_calendarioPolitica!A:C,3,FALSE)</f>
        <v>2</v>
      </c>
      <c r="G2156" s="1">
        <v>1</v>
      </c>
      <c r="H2156" s="1">
        <v>1</v>
      </c>
      <c r="I2156" s="1">
        <f t="shared" si="169"/>
        <v>1</v>
      </c>
    </row>
    <row r="2157" spans="1:9" x14ac:dyDescent="0.25">
      <c r="A2157" s="26">
        <v>47447</v>
      </c>
      <c r="B2157" s="27">
        <f t="shared" si="165"/>
        <v>2029</v>
      </c>
      <c r="C2157" s="27">
        <f t="shared" si="166"/>
        <v>11</v>
      </c>
      <c r="D2157" s="27">
        <f t="shared" si="167"/>
        <v>25</v>
      </c>
      <c r="E2157" s="27">
        <f t="shared" si="168"/>
        <v>1</v>
      </c>
      <c r="F2157" s="27">
        <f>VLOOKUP(E2157,[2]t_calendarioPolitica!A:C,3,FALSE)</f>
        <v>0</v>
      </c>
      <c r="G2157" s="1">
        <v>1</v>
      </c>
      <c r="H2157" s="1">
        <v>1</v>
      </c>
      <c r="I2157" s="1">
        <f t="shared" si="169"/>
        <v>0</v>
      </c>
    </row>
    <row r="2158" spans="1:9" x14ac:dyDescent="0.25">
      <c r="A2158" s="26">
        <v>47448</v>
      </c>
      <c r="B2158" s="27">
        <f t="shared" si="165"/>
        <v>2029</v>
      </c>
      <c r="C2158" s="27">
        <f t="shared" si="166"/>
        <v>11</v>
      </c>
      <c r="D2158" s="27">
        <f t="shared" si="167"/>
        <v>26</v>
      </c>
      <c r="E2158" s="27">
        <f t="shared" si="168"/>
        <v>2</v>
      </c>
      <c r="F2158" s="27">
        <f>VLOOKUP(E2158,[2]t_calendarioPolitica!A:C,3,FALSE)</f>
        <v>1</v>
      </c>
      <c r="G2158" s="1">
        <v>1</v>
      </c>
      <c r="H2158" s="1">
        <v>1</v>
      </c>
      <c r="I2158" s="1">
        <f t="shared" si="169"/>
        <v>1</v>
      </c>
    </row>
    <row r="2159" spans="1:9" x14ac:dyDescent="0.25">
      <c r="A2159" s="26">
        <v>47449</v>
      </c>
      <c r="B2159" s="27">
        <f t="shared" si="165"/>
        <v>2029</v>
      </c>
      <c r="C2159" s="27">
        <f t="shared" si="166"/>
        <v>11</v>
      </c>
      <c r="D2159" s="27">
        <f t="shared" si="167"/>
        <v>27</v>
      </c>
      <c r="E2159" s="27">
        <f t="shared" si="168"/>
        <v>3</v>
      </c>
      <c r="F2159" s="27">
        <f>VLOOKUP(E2159,[2]t_calendarioPolitica!A:C,3,FALSE)</f>
        <v>1</v>
      </c>
      <c r="G2159" s="1">
        <v>1</v>
      </c>
      <c r="H2159" s="1">
        <v>1</v>
      </c>
      <c r="I2159" s="1">
        <f t="shared" si="169"/>
        <v>1</v>
      </c>
    </row>
    <row r="2160" spans="1:9" x14ac:dyDescent="0.25">
      <c r="A2160" s="26">
        <v>47450</v>
      </c>
      <c r="B2160" s="27">
        <f t="shared" si="165"/>
        <v>2029</v>
      </c>
      <c r="C2160" s="27">
        <f t="shared" si="166"/>
        <v>11</v>
      </c>
      <c r="D2160" s="27">
        <f t="shared" si="167"/>
        <v>28</v>
      </c>
      <c r="E2160" s="27">
        <f t="shared" si="168"/>
        <v>4</v>
      </c>
      <c r="F2160" s="27">
        <f>VLOOKUP(E2160,[2]t_calendarioPolitica!A:C,3,FALSE)</f>
        <v>1</v>
      </c>
      <c r="G2160" s="1">
        <v>1</v>
      </c>
      <c r="H2160" s="1">
        <v>1</v>
      </c>
      <c r="I2160" s="1">
        <f t="shared" si="169"/>
        <v>1</v>
      </c>
    </row>
    <row r="2161" spans="1:9" x14ac:dyDescent="0.25">
      <c r="A2161" s="26">
        <v>47451</v>
      </c>
      <c r="B2161" s="27">
        <f t="shared" si="165"/>
        <v>2029</v>
      </c>
      <c r="C2161" s="27">
        <f t="shared" si="166"/>
        <v>11</v>
      </c>
      <c r="D2161" s="27">
        <f t="shared" si="167"/>
        <v>29</v>
      </c>
      <c r="E2161" s="27">
        <f t="shared" si="168"/>
        <v>5</v>
      </c>
      <c r="F2161" s="27">
        <f>VLOOKUP(E2161,[2]t_calendarioPolitica!A:C,3,FALSE)</f>
        <v>1</v>
      </c>
      <c r="G2161" s="1">
        <v>1</v>
      </c>
      <c r="H2161" s="1">
        <v>1</v>
      </c>
      <c r="I2161" s="1">
        <f t="shared" si="169"/>
        <v>1</v>
      </c>
    </row>
    <row r="2162" spans="1:9" x14ac:dyDescent="0.25">
      <c r="A2162" s="26">
        <v>47452</v>
      </c>
      <c r="B2162" s="27">
        <f t="shared" si="165"/>
        <v>2029</v>
      </c>
      <c r="C2162" s="27">
        <f t="shared" si="166"/>
        <v>11</v>
      </c>
      <c r="D2162" s="27">
        <f t="shared" si="167"/>
        <v>30</v>
      </c>
      <c r="E2162" s="27">
        <f t="shared" si="168"/>
        <v>6</v>
      </c>
      <c r="F2162" s="27">
        <f>VLOOKUP(E2162,[2]t_calendarioPolitica!A:C,3,FALSE)</f>
        <v>1</v>
      </c>
      <c r="G2162" s="1">
        <v>1</v>
      </c>
      <c r="H2162" s="1">
        <v>1</v>
      </c>
      <c r="I2162" s="1">
        <f t="shared" si="169"/>
        <v>1</v>
      </c>
    </row>
    <row r="2163" spans="1:9" x14ac:dyDescent="0.25">
      <c r="A2163" s="26">
        <v>47453</v>
      </c>
      <c r="B2163" s="27">
        <f t="shared" si="165"/>
        <v>2029</v>
      </c>
      <c r="C2163" s="27">
        <f t="shared" si="166"/>
        <v>12</v>
      </c>
      <c r="D2163" s="27">
        <f t="shared" si="167"/>
        <v>1</v>
      </c>
      <c r="E2163" s="27">
        <f t="shared" si="168"/>
        <v>7</v>
      </c>
      <c r="F2163" s="27">
        <f>VLOOKUP(E2163,[2]t_calendarioPolitica!A:C,3,FALSE)</f>
        <v>2</v>
      </c>
      <c r="G2163" s="1">
        <v>1</v>
      </c>
      <c r="H2163" s="1">
        <v>1</v>
      </c>
      <c r="I2163" s="1">
        <f t="shared" si="169"/>
        <v>1</v>
      </c>
    </row>
    <row r="2164" spans="1:9" x14ac:dyDescent="0.25">
      <c r="A2164" s="26">
        <v>47454</v>
      </c>
      <c r="B2164" s="27">
        <f t="shared" si="165"/>
        <v>2029</v>
      </c>
      <c r="C2164" s="27">
        <f t="shared" si="166"/>
        <v>12</v>
      </c>
      <c r="D2164" s="27">
        <f t="shared" si="167"/>
        <v>2</v>
      </c>
      <c r="E2164" s="27">
        <f t="shared" si="168"/>
        <v>1</v>
      </c>
      <c r="F2164" s="27">
        <f>VLOOKUP(E2164,[2]t_calendarioPolitica!A:C,3,FALSE)</f>
        <v>0</v>
      </c>
      <c r="G2164" s="1">
        <v>1</v>
      </c>
      <c r="H2164" s="1">
        <v>1</v>
      </c>
      <c r="I2164" s="1">
        <f t="shared" si="169"/>
        <v>0</v>
      </c>
    </row>
    <row r="2165" spans="1:9" x14ac:dyDescent="0.25">
      <c r="A2165" s="26">
        <v>47455</v>
      </c>
      <c r="B2165" s="27">
        <f t="shared" si="165"/>
        <v>2029</v>
      </c>
      <c r="C2165" s="27">
        <f t="shared" si="166"/>
        <v>12</v>
      </c>
      <c r="D2165" s="27">
        <f t="shared" si="167"/>
        <v>3</v>
      </c>
      <c r="E2165" s="27">
        <f t="shared" si="168"/>
        <v>2</v>
      </c>
      <c r="F2165" s="27">
        <f>VLOOKUP(E2165,[2]t_calendarioPolitica!A:C,3,FALSE)</f>
        <v>1</v>
      </c>
      <c r="G2165" s="1">
        <v>1</v>
      </c>
      <c r="H2165" s="1">
        <v>1</v>
      </c>
      <c r="I2165" s="1">
        <f t="shared" si="169"/>
        <v>1</v>
      </c>
    </row>
    <row r="2166" spans="1:9" x14ac:dyDescent="0.25">
      <c r="A2166" s="26">
        <v>47456</v>
      </c>
      <c r="B2166" s="27">
        <f t="shared" si="165"/>
        <v>2029</v>
      </c>
      <c r="C2166" s="27">
        <f t="shared" si="166"/>
        <v>12</v>
      </c>
      <c r="D2166" s="27">
        <f t="shared" si="167"/>
        <v>4</v>
      </c>
      <c r="E2166" s="27">
        <f t="shared" si="168"/>
        <v>3</v>
      </c>
      <c r="F2166" s="27">
        <f>VLOOKUP(E2166,[2]t_calendarioPolitica!A:C,3,FALSE)</f>
        <v>1</v>
      </c>
      <c r="G2166" s="1">
        <v>1</v>
      </c>
      <c r="H2166" s="1">
        <v>1</v>
      </c>
      <c r="I2166" s="1">
        <f t="shared" si="169"/>
        <v>1</v>
      </c>
    </row>
    <row r="2167" spans="1:9" x14ac:dyDescent="0.25">
      <c r="A2167" s="26">
        <v>47457</v>
      </c>
      <c r="B2167" s="27">
        <f t="shared" si="165"/>
        <v>2029</v>
      </c>
      <c r="C2167" s="27">
        <f t="shared" si="166"/>
        <v>12</v>
      </c>
      <c r="D2167" s="27">
        <f t="shared" si="167"/>
        <v>5</v>
      </c>
      <c r="E2167" s="27">
        <f t="shared" si="168"/>
        <v>4</v>
      </c>
      <c r="F2167" s="27">
        <f>VLOOKUP(E2167,[2]t_calendarioPolitica!A:C,3,FALSE)</f>
        <v>1</v>
      </c>
      <c r="G2167" s="1">
        <v>1</v>
      </c>
      <c r="H2167" s="1">
        <v>1</v>
      </c>
      <c r="I2167" s="1">
        <f t="shared" si="169"/>
        <v>1</v>
      </c>
    </row>
    <row r="2168" spans="1:9" x14ac:dyDescent="0.25">
      <c r="A2168" s="26">
        <v>47458</v>
      </c>
      <c r="B2168" s="27">
        <f t="shared" si="165"/>
        <v>2029</v>
      </c>
      <c r="C2168" s="27">
        <f t="shared" si="166"/>
        <v>12</v>
      </c>
      <c r="D2168" s="27">
        <f t="shared" si="167"/>
        <v>6</v>
      </c>
      <c r="E2168" s="27">
        <f t="shared" si="168"/>
        <v>5</v>
      </c>
      <c r="F2168" s="27">
        <f>VLOOKUP(E2168,[2]t_calendarioPolitica!A:C,3,FALSE)</f>
        <v>1</v>
      </c>
      <c r="G2168" s="1">
        <v>1</v>
      </c>
      <c r="H2168" s="1">
        <v>1</v>
      </c>
      <c r="I2168" s="1">
        <f t="shared" si="169"/>
        <v>1</v>
      </c>
    </row>
    <row r="2169" spans="1:9" x14ac:dyDescent="0.25">
      <c r="A2169" s="26">
        <v>47459</v>
      </c>
      <c r="B2169" s="27">
        <f t="shared" si="165"/>
        <v>2029</v>
      </c>
      <c r="C2169" s="27">
        <f t="shared" si="166"/>
        <v>12</v>
      </c>
      <c r="D2169" s="27">
        <f t="shared" si="167"/>
        <v>7</v>
      </c>
      <c r="E2169" s="27">
        <f t="shared" si="168"/>
        <v>6</v>
      </c>
      <c r="F2169" s="27">
        <f>VLOOKUP(E2169,[2]t_calendarioPolitica!A:C,3,FALSE)</f>
        <v>1</v>
      </c>
      <c r="G2169" s="1">
        <v>1</v>
      </c>
      <c r="H2169" s="1">
        <v>1</v>
      </c>
      <c r="I2169" s="1">
        <f t="shared" si="169"/>
        <v>1</v>
      </c>
    </row>
    <row r="2170" spans="1:9" x14ac:dyDescent="0.25">
      <c r="A2170" s="26">
        <v>47460</v>
      </c>
      <c r="B2170" s="27">
        <f t="shared" si="165"/>
        <v>2029</v>
      </c>
      <c r="C2170" s="27">
        <f t="shared" si="166"/>
        <v>12</v>
      </c>
      <c r="D2170" s="27">
        <f t="shared" si="167"/>
        <v>8</v>
      </c>
      <c r="E2170" s="27">
        <f t="shared" si="168"/>
        <v>7</v>
      </c>
      <c r="F2170" s="27">
        <f>VLOOKUP(E2170,[2]t_calendarioPolitica!A:C,3,FALSE)</f>
        <v>2</v>
      </c>
      <c r="G2170" s="1">
        <v>1</v>
      </c>
      <c r="H2170" s="1">
        <v>1</v>
      </c>
      <c r="I2170" s="1">
        <f t="shared" si="169"/>
        <v>1</v>
      </c>
    </row>
    <row r="2171" spans="1:9" x14ac:dyDescent="0.25">
      <c r="A2171" s="26">
        <v>47461</v>
      </c>
      <c r="B2171" s="27">
        <f t="shared" si="165"/>
        <v>2029</v>
      </c>
      <c r="C2171" s="27">
        <f t="shared" si="166"/>
        <v>12</v>
      </c>
      <c r="D2171" s="27">
        <f t="shared" si="167"/>
        <v>9</v>
      </c>
      <c r="E2171" s="27">
        <f t="shared" si="168"/>
        <v>1</v>
      </c>
      <c r="F2171" s="27">
        <f>VLOOKUP(E2171,[2]t_calendarioPolitica!A:C,3,FALSE)</f>
        <v>0</v>
      </c>
      <c r="G2171" s="1">
        <v>1</v>
      </c>
      <c r="H2171" s="1">
        <v>1</v>
      </c>
      <c r="I2171" s="1">
        <f t="shared" si="169"/>
        <v>0</v>
      </c>
    </row>
    <row r="2172" spans="1:9" x14ac:dyDescent="0.25">
      <c r="A2172" s="26">
        <v>47462</v>
      </c>
      <c r="B2172" s="27">
        <f t="shared" si="165"/>
        <v>2029</v>
      </c>
      <c r="C2172" s="27">
        <f t="shared" si="166"/>
        <v>12</v>
      </c>
      <c r="D2172" s="27">
        <f t="shared" si="167"/>
        <v>10</v>
      </c>
      <c r="E2172" s="27">
        <f t="shared" si="168"/>
        <v>2</v>
      </c>
      <c r="F2172" s="27">
        <f>VLOOKUP(E2172,[2]t_calendarioPolitica!A:C,3,FALSE)</f>
        <v>1</v>
      </c>
      <c r="G2172" s="1">
        <v>1</v>
      </c>
      <c r="H2172" s="1">
        <v>1</v>
      </c>
      <c r="I2172" s="1">
        <f t="shared" si="169"/>
        <v>1</v>
      </c>
    </row>
    <row r="2173" spans="1:9" x14ac:dyDescent="0.25">
      <c r="A2173" s="26">
        <v>47463</v>
      </c>
      <c r="B2173" s="27">
        <f t="shared" si="165"/>
        <v>2029</v>
      </c>
      <c r="C2173" s="27">
        <f t="shared" si="166"/>
        <v>12</v>
      </c>
      <c r="D2173" s="27">
        <f t="shared" si="167"/>
        <v>11</v>
      </c>
      <c r="E2173" s="27">
        <f t="shared" si="168"/>
        <v>3</v>
      </c>
      <c r="F2173" s="27">
        <f>VLOOKUP(E2173,[2]t_calendarioPolitica!A:C,3,FALSE)</f>
        <v>1</v>
      </c>
      <c r="G2173" s="1">
        <v>1</v>
      </c>
      <c r="H2173" s="1">
        <v>1</v>
      </c>
      <c r="I2173" s="1">
        <f t="shared" si="169"/>
        <v>1</v>
      </c>
    </row>
    <row r="2174" spans="1:9" x14ac:dyDescent="0.25">
      <c r="A2174" s="26">
        <v>47464</v>
      </c>
      <c r="B2174" s="27">
        <f t="shared" si="165"/>
        <v>2029</v>
      </c>
      <c r="C2174" s="27">
        <f t="shared" si="166"/>
        <v>12</v>
      </c>
      <c r="D2174" s="27">
        <f t="shared" si="167"/>
        <v>12</v>
      </c>
      <c r="E2174" s="27">
        <f t="shared" si="168"/>
        <v>4</v>
      </c>
      <c r="F2174" s="27">
        <f>VLOOKUP(E2174,[2]t_calendarioPolitica!A:C,3,FALSE)</f>
        <v>1</v>
      </c>
      <c r="G2174" s="1">
        <v>1</v>
      </c>
      <c r="H2174" s="1">
        <v>0</v>
      </c>
      <c r="I2174" s="1">
        <f t="shared" si="169"/>
        <v>0</v>
      </c>
    </row>
    <row r="2175" spans="1:9" x14ac:dyDescent="0.25">
      <c r="A2175" s="26">
        <v>47465</v>
      </c>
      <c r="B2175" s="27">
        <f t="shared" si="165"/>
        <v>2029</v>
      </c>
      <c r="C2175" s="27">
        <f t="shared" si="166"/>
        <v>12</v>
      </c>
      <c r="D2175" s="27">
        <f t="shared" si="167"/>
        <v>13</v>
      </c>
      <c r="E2175" s="27">
        <f t="shared" si="168"/>
        <v>5</v>
      </c>
      <c r="F2175" s="27">
        <f>VLOOKUP(E2175,[2]t_calendarioPolitica!A:C,3,FALSE)</f>
        <v>1</v>
      </c>
      <c r="G2175" s="1">
        <v>1</v>
      </c>
      <c r="H2175" s="1">
        <v>1</v>
      </c>
      <c r="I2175" s="1">
        <f t="shared" si="169"/>
        <v>1</v>
      </c>
    </row>
    <row r="2176" spans="1:9" x14ac:dyDescent="0.25">
      <c r="A2176" s="26">
        <v>47466</v>
      </c>
      <c r="B2176" s="27">
        <f t="shared" si="165"/>
        <v>2029</v>
      </c>
      <c r="C2176" s="27">
        <f t="shared" si="166"/>
        <v>12</v>
      </c>
      <c r="D2176" s="27">
        <f t="shared" si="167"/>
        <v>14</v>
      </c>
      <c r="E2176" s="27">
        <f t="shared" si="168"/>
        <v>6</v>
      </c>
      <c r="F2176" s="27">
        <f>VLOOKUP(E2176,[2]t_calendarioPolitica!A:C,3,FALSE)</f>
        <v>1</v>
      </c>
      <c r="G2176" s="1">
        <v>1</v>
      </c>
      <c r="H2176" s="1">
        <v>1</v>
      </c>
      <c r="I2176" s="1">
        <f t="shared" si="169"/>
        <v>1</v>
      </c>
    </row>
    <row r="2177" spans="1:9" x14ac:dyDescent="0.25">
      <c r="A2177" s="26">
        <v>47467</v>
      </c>
      <c r="B2177" s="27">
        <f t="shared" si="165"/>
        <v>2029</v>
      </c>
      <c r="C2177" s="27">
        <f t="shared" si="166"/>
        <v>12</v>
      </c>
      <c r="D2177" s="27">
        <f t="shared" si="167"/>
        <v>15</v>
      </c>
      <c r="E2177" s="27">
        <f t="shared" si="168"/>
        <v>7</v>
      </c>
      <c r="F2177" s="27">
        <f>VLOOKUP(E2177,[2]t_calendarioPolitica!A:C,3,FALSE)</f>
        <v>2</v>
      </c>
      <c r="G2177" s="1">
        <v>1</v>
      </c>
      <c r="H2177" s="1">
        <v>1</v>
      </c>
      <c r="I2177" s="1">
        <f t="shared" si="169"/>
        <v>1</v>
      </c>
    </row>
    <row r="2178" spans="1:9" x14ac:dyDescent="0.25">
      <c r="A2178" s="26">
        <v>47468</v>
      </c>
      <c r="B2178" s="27">
        <f t="shared" si="165"/>
        <v>2029</v>
      </c>
      <c r="C2178" s="27">
        <f t="shared" si="166"/>
        <v>12</v>
      </c>
      <c r="D2178" s="27">
        <f t="shared" si="167"/>
        <v>16</v>
      </c>
      <c r="E2178" s="27">
        <f t="shared" si="168"/>
        <v>1</v>
      </c>
      <c r="F2178" s="27">
        <f>VLOOKUP(E2178,[2]t_calendarioPolitica!A:C,3,FALSE)</f>
        <v>0</v>
      </c>
      <c r="G2178" s="1">
        <v>1</v>
      </c>
      <c r="H2178" s="1">
        <v>1</v>
      </c>
      <c r="I2178" s="1">
        <f t="shared" si="169"/>
        <v>0</v>
      </c>
    </row>
    <row r="2179" spans="1:9" x14ac:dyDescent="0.25">
      <c r="A2179" s="26">
        <v>47469</v>
      </c>
      <c r="B2179" s="27">
        <f t="shared" ref="B2179:B2193" si="170">YEAR(A2179)</f>
        <v>2029</v>
      </c>
      <c r="C2179" s="27">
        <f t="shared" ref="C2179:C2193" si="171">MONTH(A2179)</f>
        <v>12</v>
      </c>
      <c r="D2179" s="27">
        <f t="shared" ref="D2179:D2193" si="172">DAY(A2179)</f>
        <v>17</v>
      </c>
      <c r="E2179" s="27">
        <f t="shared" ref="E2179:E2193" si="173">WEEKDAY(A2179)</f>
        <v>2</v>
      </c>
      <c r="F2179" s="27">
        <f>VLOOKUP(E2179,[2]t_calendarioPolitica!A:C,3,FALSE)</f>
        <v>1</v>
      </c>
      <c r="G2179" s="1">
        <v>1</v>
      </c>
      <c r="H2179" s="1">
        <v>1</v>
      </c>
      <c r="I2179" s="1">
        <f t="shared" ref="I2179:I2193" si="174">IF(AND(F2179&lt;&gt;0, H2179&lt;&gt;0,G2179&lt;&gt;0), 1, 0)</f>
        <v>1</v>
      </c>
    </row>
    <row r="2180" spans="1:9" x14ac:dyDescent="0.25">
      <c r="A2180" s="26">
        <v>47470</v>
      </c>
      <c r="B2180" s="27">
        <f t="shared" si="170"/>
        <v>2029</v>
      </c>
      <c r="C2180" s="27">
        <f t="shared" si="171"/>
        <v>12</v>
      </c>
      <c r="D2180" s="27">
        <f t="shared" si="172"/>
        <v>18</v>
      </c>
      <c r="E2180" s="27">
        <f t="shared" si="173"/>
        <v>3</v>
      </c>
      <c r="F2180" s="27">
        <f>VLOOKUP(E2180,[2]t_calendarioPolitica!A:C,3,FALSE)</f>
        <v>1</v>
      </c>
      <c r="G2180" s="1">
        <v>1</v>
      </c>
      <c r="H2180" s="1">
        <v>1</v>
      </c>
      <c r="I2180" s="1">
        <f t="shared" si="174"/>
        <v>1</v>
      </c>
    </row>
    <row r="2181" spans="1:9" x14ac:dyDescent="0.25">
      <c r="A2181" s="26">
        <v>47471</v>
      </c>
      <c r="B2181" s="27">
        <f t="shared" si="170"/>
        <v>2029</v>
      </c>
      <c r="C2181" s="27">
        <f t="shared" si="171"/>
        <v>12</v>
      </c>
      <c r="D2181" s="27">
        <f t="shared" si="172"/>
        <v>19</v>
      </c>
      <c r="E2181" s="27">
        <f t="shared" si="173"/>
        <v>4</v>
      </c>
      <c r="F2181" s="27">
        <f>VLOOKUP(E2181,[2]t_calendarioPolitica!A:C,3,FALSE)</f>
        <v>1</v>
      </c>
      <c r="G2181" s="1">
        <v>1</v>
      </c>
      <c r="H2181" s="1">
        <v>1</v>
      </c>
      <c r="I2181" s="1">
        <f t="shared" si="174"/>
        <v>1</v>
      </c>
    </row>
    <row r="2182" spans="1:9" x14ac:dyDescent="0.25">
      <c r="A2182" s="26">
        <v>47472</v>
      </c>
      <c r="B2182" s="27">
        <f t="shared" si="170"/>
        <v>2029</v>
      </c>
      <c r="C2182" s="27">
        <f t="shared" si="171"/>
        <v>12</v>
      </c>
      <c r="D2182" s="27">
        <f t="shared" si="172"/>
        <v>20</v>
      </c>
      <c r="E2182" s="27">
        <f t="shared" si="173"/>
        <v>5</v>
      </c>
      <c r="F2182" s="27">
        <f>VLOOKUP(E2182,[2]t_calendarioPolitica!A:C,3,FALSE)</f>
        <v>1</v>
      </c>
      <c r="G2182" s="1">
        <v>1</v>
      </c>
      <c r="H2182" s="1">
        <v>1</v>
      </c>
      <c r="I2182" s="1">
        <f t="shared" si="174"/>
        <v>1</v>
      </c>
    </row>
    <row r="2183" spans="1:9" x14ac:dyDescent="0.25">
      <c r="A2183" s="26">
        <v>47473</v>
      </c>
      <c r="B2183" s="27">
        <f t="shared" si="170"/>
        <v>2029</v>
      </c>
      <c r="C2183" s="27">
        <f t="shared" si="171"/>
        <v>12</v>
      </c>
      <c r="D2183" s="27">
        <f t="shared" si="172"/>
        <v>21</v>
      </c>
      <c r="E2183" s="27">
        <f t="shared" si="173"/>
        <v>6</v>
      </c>
      <c r="F2183" s="27">
        <f>VLOOKUP(E2183,[2]t_calendarioPolitica!A:C,3,FALSE)</f>
        <v>1</v>
      </c>
      <c r="G2183" s="1">
        <v>1</v>
      </c>
      <c r="H2183" s="1">
        <v>1</v>
      </c>
      <c r="I2183" s="1">
        <f t="shared" si="174"/>
        <v>1</v>
      </c>
    </row>
    <row r="2184" spans="1:9" x14ac:dyDescent="0.25">
      <c r="A2184" s="26">
        <v>47474</v>
      </c>
      <c r="B2184" s="27">
        <f t="shared" si="170"/>
        <v>2029</v>
      </c>
      <c r="C2184" s="27">
        <f t="shared" si="171"/>
        <v>12</v>
      </c>
      <c r="D2184" s="27">
        <f t="shared" si="172"/>
        <v>22</v>
      </c>
      <c r="E2184" s="27">
        <f t="shared" si="173"/>
        <v>7</v>
      </c>
      <c r="F2184" s="27">
        <f>VLOOKUP(E2184,[2]t_calendarioPolitica!A:C,3,FALSE)</f>
        <v>2</v>
      </c>
      <c r="G2184" s="1">
        <v>1</v>
      </c>
      <c r="H2184" s="1">
        <v>1</v>
      </c>
      <c r="I2184" s="1">
        <f t="shared" si="174"/>
        <v>1</v>
      </c>
    </row>
    <row r="2185" spans="1:9" x14ac:dyDescent="0.25">
      <c r="A2185" s="26">
        <v>47475</v>
      </c>
      <c r="B2185" s="27">
        <f t="shared" si="170"/>
        <v>2029</v>
      </c>
      <c r="C2185" s="27">
        <f t="shared" si="171"/>
        <v>12</v>
      </c>
      <c r="D2185" s="27">
        <f t="shared" si="172"/>
        <v>23</v>
      </c>
      <c r="E2185" s="27">
        <f t="shared" si="173"/>
        <v>1</v>
      </c>
      <c r="F2185" s="27">
        <f>VLOOKUP(E2185,[2]t_calendarioPolitica!A:C,3,FALSE)</f>
        <v>0</v>
      </c>
      <c r="G2185" s="1">
        <v>1</v>
      </c>
      <c r="H2185" s="1">
        <v>1</v>
      </c>
      <c r="I2185" s="1">
        <f t="shared" si="174"/>
        <v>0</v>
      </c>
    </row>
    <row r="2186" spans="1:9" x14ac:dyDescent="0.25">
      <c r="A2186" s="26">
        <v>47476</v>
      </c>
      <c r="B2186" s="27">
        <f t="shared" si="170"/>
        <v>2029</v>
      </c>
      <c r="C2186" s="27">
        <f t="shared" si="171"/>
        <v>12</v>
      </c>
      <c r="D2186" s="27">
        <f t="shared" si="172"/>
        <v>24</v>
      </c>
      <c r="E2186" s="27">
        <f t="shared" si="173"/>
        <v>2</v>
      </c>
      <c r="F2186" s="27">
        <f>VLOOKUP(E2186,[2]t_calendarioPolitica!A:C,3,FALSE)</f>
        <v>1</v>
      </c>
      <c r="G2186" s="1">
        <v>1</v>
      </c>
      <c r="H2186" s="1">
        <v>0</v>
      </c>
      <c r="I2186" s="1">
        <f t="shared" si="174"/>
        <v>0</v>
      </c>
    </row>
    <row r="2187" spans="1:9" x14ac:dyDescent="0.25">
      <c r="A2187" s="26">
        <v>47477</v>
      </c>
      <c r="B2187" s="27">
        <f t="shared" si="170"/>
        <v>2029</v>
      </c>
      <c r="C2187" s="27">
        <f t="shared" si="171"/>
        <v>12</v>
      </c>
      <c r="D2187" s="27">
        <f t="shared" si="172"/>
        <v>25</v>
      </c>
      <c r="E2187" s="27">
        <f t="shared" si="173"/>
        <v>3</v>
      </c>
      <c r="F2187" s="27">
        <f>VLOOKUP(E2187,[2]t_calendarioPolitica!A:C,3,FALSE)</f>
        <v>1</v>
      </c>
      <c r="G2187" s="1">
        <v>0</v>
      </c>
      <c r="H2187" s="1">
        <v>0</v>
      </c>
      <c r="I2187" s="1">
        <f t="shared" si="174"/>
        <v>0</v>
      </c>
    </row>
    <row r="2188" spans="1:9" x14ac:dyDescent="0.25">
      <c r="A2188" s="26">
        <v>47478</v>
      </c>
      <c r="B2188" s="27">
        <f t="shared" si="170"/>
        <v>2029</v>
      </c>
      <c r="C2188" s="27">
        <f t="shared" si="171"/>
        <v>12</v>
      </c>
      <c r="D2188" s="27">
        <f t="shared" si="172"/>
        <v>26</v>
      </c>
      <c r="E2188" s="27">
        <f t="shared" si="173"/>
        <v>4</v>
      </c>
      <c r="F2188" s="27">
        <f>VLOOKUP(E2188,[2]t_calendarioPolitica!A:C,3,FALSE)</f>
        <v>1</v>
      </c>
      <c r="G2188" s="1">
        <v>1</v>
      </c>
      <c r="H2188" s="1">
        <v>1</v>
      </c>
      <c r="I2188" s="1">
        <f t="shared" si="174"/>
        <v>1</v>
      </c>
    </row>
    <row r="2189" spans="1:9" x14ac:dyDescent="0.25">
      <c r="A2189" s="26">
        <v>47479</v>
      </c>
      <c r="B2189" s="27">
        <f t="shared" si="170"/>
        <v>2029</v>
      </c>
      <c r="C2189" s="27">
        <f t="shared" si="171"/>
        <v>12</v>
      </c>
      <c r="D2189" s="27">
        <f t="shared" si="172"/>
        <v>27</v>
      </c>
      <c r="E2189" s="27">
        <f t="shared" si="173"/>
        <v>5</v>
      </c>
      <c r="F2189" s="27">
        <f>VLOOKUP(E2189,[2]t_calendarioPolitica!A:C,3,FALSE)</f>
        <v>1</v>
      </c>
      <c r="G2189" s="1">
        <v>1</v>
      </c>
      <c r="H2189" s="1">
        <v>1</v>
      </c>
      <c r="I2189" s="1">
        <f t="shared" si="174"/>
        <v>1</v>
      </c>
    </row>
    <row r="2190" spans="1:9" x14ac:dyDescent="0.25">
      <c r="A2190" s="26">
        <v>47480</v>
      </c>
      <c r="B2190" s="27">
        <f t="shared" si="170"/>
        <v>2029</v>
      </c>
      <c r="C2190" s="27">
        <f t="shared" si="171"/>
        <v>12</v>
      </c>
      <c r="D2190" s="27">
        <f t="shared" si="172"/>
        <v>28</v>
      </c>
      <c r="E2190" s="27">
        <f t="shared" si="173"/>
        <v>6</v>
      </c>
      <c r="F2190" s="27">
        <f>VLOOKUP(E2190,[2]t_calendarioPolitica!A:C,3,FALSE)</f>
        <v>1</v>
      </c>
      <c r="G2190" s="1">
        <v>1</v>
      </c>
      <c r="H2190" s="1">
        <v>1</v>
      </c>
      <c r="I2190" s="1">
        <f t="shared" si="174"/>
        <v>1</v>
      </c>
    </row>
    <row r="2191" spans="1:9" x14ac:dyDescent="0.25">
      <c r="A2191" s="26">
        <v>47481</v>
      </c>
      <c r="B2191" s="27">
        <f t="shared" si="170"/>
        <v>2029</v>
      </c>
      <c r="C2191" s="27">
        <f t="shared" si="171"/>
        <v>12</v>
      </c>
      <c r="D2191" s="27">
        <f t="shared" si="172"/>
        <v>29</v>
      </c>
      <c r="E2191" s="27">
        <f t="shared" si="173"/>
        <v>7</v>
      </c>
      <c r="F2191" s="27">
        <f>VLOOKUP(E2191,[2]t_calendarioPolitica!A:C,3,FALSE)</f>
        <v>2</v>
      </c>
      <c r="G2191" s="1">
        <v>1</v>
      </c>
      <c r="H2191" s="1">
        <v>1</v>
      </c>
      <c r="I2191" s="1">
        <f t="shared" si="174"/>
        <v>1</v>
      </c>
    </row>
    <row r="2192" spans="1:9" x14ac:dyDescent="0.25">
      <c r="A2192" s="26">
        <v>47482</v>
      </c>
      <c r="B2192" s="27">
        <f t="shared" si="170"/>
        <v>2029</v>
      </c>
      <c r="C2192" s="27">
        <f t="shared" si="171"/>
        <v>12</v>
      </c>
      <c r="D2192" s="27">
        <f t="shared" si="172"/>
        <v>30</v>
      </c>
      <c r="E2192" s="27">
        <f t="shared" si="173"/>
        <v>1</v>
      </c>
      <c r="F2192" s="27">
        <f>VLOOKUP(E2192,[2]t_calendarioPolitica!A:C,3,FALSE)</f>
        <v>0</v>
      </c>
      <c r="G2192" s="1">
        <v>1</v>
      </c>
      <c r="H2192" s="1">
        <v>1</v>
      </c>
      <c r="I2192" s="1">
        <f t="shared" si="174"/>
        <v>0</v>
      </c>
    </row>
    <row r="2193" spans="1:9" x14ac:dyDescent="0.25">
      <c r="A2193" s="26">
        <v>47483</v>
      </c>
      <c r="B2193" s="27">
        <f t="shared" si="170"/>
        <v>2029</v>
      </c>
      <c r="C2193" s="27">
        <f t="shared" si="171"/>
        <v>12</v>
      </c>
      <c r="D2193" s="27">
        <f t="shared" si="172"/>
        <v>31</v>
      </c>
      <c r="E2193" s="27">
        <f t="shared" si="173"/>
        <v>2</v>
      </c>
      <c r="F2193" s="27">
        <f>VLOOKUP(E2193,[2]t_calendarioPolitica!A:C,3,FALSE)</f>
        <v>1</v>
      </c>
      <c r="G2193" s="1">
        <v>1</v>
      </c>
      <c r="H2193" s="1">
        <v>0</v>
      </c>
      <c r="I2193" s="1">
        <f t="shared" si="174"/>
        <v>0</v>
      </c>
    </row>
  </sheetData>
  <autoFilter ref="A1:I2193" xr:uid="{0061A1A0-6C70-4585-AB8D-F6E9EF4187C9}"/>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B57B7-C93D-4AA5-BC1E-CF6EA3DBE3F4}">
  <dimension ref="A1:O8"/>
  <sheetViews>
    <sheetView zoomScale="80" zoomScaleNormal="80" workbookViewId="0">
      <selection activeCell="H3" sqref="H3"/>
    </sheetView>
  </sheetViews>
  <sheetFormatPr baseColWidth="10" defaultColWidth="11.5703125" defaultRowHeight="15" x14ac:dyDescent="0.25"/>
  <cols>
    <col min="1" max="1" width="15.28515625" style="1" bestFit="1" customWidth="1"/>
    <col min="2" max="2" width="11.28515625" style="1" bestFit="1" customWidth="1"/>
    <col min="3" max="3" width="11.5703125" style="1"/>
    <col min="4" max="4" width="26.5703125" style="1" bestFit="1" customWidth="1"/>
    <col min="5" max="5" width="29.28515625" style="1" bestFit="1" customWidth="1"/>
    <col min="6" max="6" width="27" style="1" bestFit="1" customWidth="1"/>
    <col min="7" max="7" width="32.140625" style="1" bestFit="1" customWidth="1"/>
    <col min="8" max="8" width="35.28515625" style="1" bestFit="1" customWidth="1"/>
    <col min="9" max="9" width="32.5703125" style="1" bestFit="1" customWidth="1"/>
    <col min="10" max="10" width="13.140625" style="1" bestFit="1" customWidth="1"/>
    <col min="11" max="11" width="22.28515625" style="1" bestFit="1" customWidth="1"/>
    <col min="12" max="12" width="15.5703125" style="1" bestFit="1" customWidth="1"/>
    <col min="13" max="13" width="14" style="1" bestFit="1" customWidth="1"/>
    <col min="14" max="14" width="15.5703125" style="1" bestFit="1" customWidth="1"/>
    <col min="15" max="15" width="14" style="1" bestFit="1" customWidth="1"/>
    <col min="16" max="16384" width="11.5703125" style="1"/>
  </cols>
  <sheetData>
    <row r="1" spans="1:15" s="5" customFormat="1" x14ac:dyDescent="0.25">
      <c r="A1" s="5" t="s">
        <v>7434</v>
      </c>
      <c r="B1" s="5" t="s">
        <v>7435</v>
      </c>
      <c r="C1" s="5" t="s">
        <v>7411</v>
      </c>
      <c r="D1" s="5" t="s">
        <v>7427</v>
      </c>
      <c r="E1" s="5" t="s">
        <v>7428</v>
      </c>
      <c r="F1" s="5" t="s">
        <v>7429</v>
      </c>
      <c r="G1" s="5" t="s">
        <v>7430</v>
      </c>
      <c r="H1" s="5" t="s">
        <v>7431</v>
      </c>
      <c r="I1" s="5" t="s">
        <v>7432</v>
      </c>
      <c r="J1" s="5" t="s">
        <v>24</v>
      </c>
      <c r="K1" s="5" t="s">
        <v>43</v>
      </c>
      <c r="L1" s="5" t="s">
        <v>44</v>
      </c>
      <c r="M1" s="5" t="s">
        <v>45</v>
      </c>
      <c r="N1" s="5" t="s">
        <v>46</v>
      </c>
      <c r="O1" s="5" t="s">
        <v>47</v>
      </c>
    </row>
    <row r="2" spans="1:15" x14ac:dyDescent="0.25">
      <c r="A2" s="1">
        <v>1</v>
      </c>
      <c r="B2" s="1" t="s">
        <v>7415</v>
      </c>
      <c r="C2" s="1">
        <v>0</v>
      </c>
      <c r="D2" s="28">
        <v>0</v>
      </c>
      <c r="E2" s="28">
        <v>0</v>
      </c>
      <c r="F2" s="29">
        <f>HOUR(E2-D2)</f>
        <v>0</v>
      </c>
      <c r="G2" s="28">
        <v>0</v>
      </c>
      <c r="H2" s="28">
        <v>0</v>
      </c>
      <c r="I2" s="29">
        <f>HOUR(H2-G2)</f>
        <v>0</v>
      </c>
      <c r="J2" s="1">
        <v>8</v>
      </c>
      <c r="K2" s="1" t="str">
        <f>VLOOKUP(J2,t_entry_status!A:G,2,FALSE)</f>
        <v>PENDING</v>
      </c>
      <c r="L2" s="7">
        <v>45560</v>
      </c>
      <c r="M2" s="1" t="s">
        <v>7449</v>
      </c>
      <c r="N2" s="7">
        <v>45560</v>
      </c>
      <c r="O2" s="1" t="s">
        <v>7449</v>
      </c>
    </row>
    <row r="3" spans="1:15" x14ac:dyDescent="0.25">
      <c r="A3" s="1">
        <v>2</v>
      </c>
      <c r="B3" s="1" t="s">
        <v>7416</v>
      </c>
      <c r="C3" s="1">
        <v>1</v>
      </c>
      <c r="D3" s="28">
        <v>0.33333333333333331</v>
      </c>
      <c r="E3" s="28">
        <v>0.70833333333333337</v>
      </c>
      <c r="F3" s="29">
        <f>HOUR(E3-D3)</f>
        <v>9</v>
      </c>
      <c r="G3" s="28">
        <v>0.70833333333333337</v>
      </c>
      <c r="H3" s="28">
        <v>0.99930555555555556</v>
      </c>
      <c r="I3" s="29">
        <f t="shared" ref="I3:I8" si="0">HOUR(H3-G3)</f>
        <v>6</v>
      </c>
      <c r="J3" s="1">
        <v>8</v>
      </c>
      <c r="K3" s="1" t="str">
        <f>VLOOKUP(J3,t_entry_status!A:G,2,FALSE)</f>
        <v>PENDING</v>
      </c>
      <c r="L3" s="7">
        <v>45560</v>
      </c>
      <c r="M3" s="1" t="s">
        <v>7449</v>
      </c>
      <c r="N3" s="7">
        <v>45560</v>
      </c>
      <c r="O3" s="1" t="s">
        <v>7449</v>
      </c>
    </row>
    <row r="4" spans="1:15" x14ac:dyDescent="0.25">
      <c r="A4" s="1">
        <v>3</v>
      </c>
      <c r="B4" s="1" t="s">
        <v>7417</v>
      </c>
      <c r="C4" s="1">
        <v>1</v>
      </c>
      <c r="D4" s="28">
        <v>0.33333333333333331</v>
      </c>
      <c r="E4" s="28">
        <v>0.70833333333333337</v>
      </c>
      <c r="F4" s="29">
        <f t="shared" ref="F4:F8" si="1">HOUR(E4-D4)</f>
        <v>9</v>
      </c>
      <c r="G4" s="28">
        <v>0.70833333333333337</v>
      </c>
      <c r="H4" s="28">
        <v>0.99930555555555556</v>
      </c>
      <c r="I4" s="29">
        <f t="shared" si="0"/>
        <v>6</v>
      </c>
      <c r="J4" s="1">
        <v>8</v>
      </c>
      <c r="K4" s="1" t="str">
        <f>VLOOKUP(J4,t_entry_status!A:G,2,FALSE)</f>
        <v>PENDING</v>
      </c>
      <c r="L4" s="7">
        <v>45560</v>
      </c>
      <c r="M4" s="1" t="s">
        <v>7449</v>
      </c>
      <c r="N4" s="7">
        <v>45560</v>
      </c>
      <c r="O4" s="1" t="s">
        <v>7449</v>
      </c>
    </row>
    <row r="5" spans="1:15" x14ac:dyDescent="0.25">
      <c r="A5" s="1">
        <v>4</v>
      </c>
      <c r="B5" s="1" t="s">
        <v>7418</v>
      </c>
      <c r="C5" s="1">
        <v>1</v>
      </c>
      <c r="D5" s="28">
        <v>0.33333333333333331</v>
      </c>
      <c r="E5" s="28">
        <v>0.70833333333333337</v>
      </c>
      <c r="F5" s="29">
        <f t="shared" si="1"/>
        <v>9</v>
      </c>
      <c r="G5" s="28">
        <v>0.70833333333333337</v>
      </c>
      <c r="H5" s="28">
        <v>0.99930555555555556</v>
      </c>
      <c r="I5" s="29">
        <f t="shared" si="0"/>
        <v>6</v>
      </c>
      <c r="J5" s="1">
        <v>8</v>
      </c>
      <c r="K5" s="1" t="str">
        <f>VLOOKUP(J5,t_entry_status!A:G,2,FALSE)</f>
        <v>PENDING</v>
      </c>
      <c r="L5" s="7">
        <v>45560</v>
      </c>
      <c r="M5" s="1" t="s">
        <v>7449</v>
      </c>
      <c r="N5" s="7">
        <v>45560</v>
      </c>
      <c r="O5" s="1" t="s">
        <v>7449</v>
      </c>
    </row>
    <row r="6" spans="1:15" x14ac:dyDescent="0.25">
      <c r="A6" s="1">
        <v>5</v>
      </c>
      <c r="B6" s="1" t="s">
        <v>7419</v>
      </c>
      <c r="C6" s="1">
        <v>1</v>
      </c>
      <c r="D6" s="28">
        <v>0.33333333333333331</v>
      </c>
      <c r="E6" s="28">
        <v>0.70833333333333337</v>
      </c>
      <c r="F6" s="29">
        <f t="shared" si="1"/>
        <v>9</v>
      </c>
      <c r="G6" s="28">
        <v>0.70833333333333337</v>
      </c>
      <c r="H6" s="28">
        <v>0.99930555555555556</v>
      </c>
      <c r="I6" s="29">
        <f t="shared" si="0"/>
        <v>6</v>
      </c>
      <c r="J6" s="1">
        <v>8</v>
      </c>
      <c r="K6" s="1" t="str">
        <f>VLOOKUP(J6,t_entry_status!A:G,2,FALSE)</f>
        <v>PENDING</v>
      </c>
      <c r="L6" s="7">
        <v>45560</v>
      </c>
      <c r="M6" s="1" t="s">
        <v>7449</v>
      </c>
      <c r="N6" s="7">
        <v>45560</v>
      </c>
      <c r="O6" s="1" t="s">
        <v>7449</v>
      </c>
    </row>
    <row r="7" spans="1:15" x14ac:dyDescent="0.25">
      <c r="A7" s="1">
        <v>6</v>
      </c>
      <c r="B7" s="1" t="s">
        <v>7420</v>
      </c>
      <c r="C7" s="1">
        <v>1</v>
      </c>
      <c r="D7" s="28">
        <v>0.33333333333333331</v>
      </c>
      <c r="E7" s="28">
        <v>0.70833333333333337</v>
      </c>
      <c r="F7" s="29">
        <f t="shared" si="1"/>
        <v>9</v>
      </c>
      <c r="G7" s="28">
        <v>0.70833333333333337</v>
      </c>
      <c r="H7" s="28">
        <v>0.99930555555555556</v>
      </c>
      <c r="I7" s="29">
        <f t="shared" si="0"/>
        <v>6</v>
      </c>
      <c r="J7" s="1">
        <v>8</v>
      </c>
      <c r="K7" s="1" t="str">
        <f>VLOOKUP(J7,t_entry_status!A:G,2,FALSE)</f>
        <v>PENDING</v>
      </c>
      <c r="L7" s="7">
        <v>45560</v>
      </c>
      <c r="M7" s="1" t="s">
        <v>7449</v>
      </c>
      <c r="N7" s="7">
        <v>45560</v>
      </c>
      <c r="O7" s="1" t="s">
        <v>7449</v>
      </c>
    </row>
    <row r="8" spans="1:15" x14ac:dyDescent="0.25">
      <c r="A8" s="1">
        <v>7</v>
      </c>
      <c r="B8" s="1" t="s">
        <v>7421</v>
      </c>
      <c r="C8" s="1">
        <v>2</v>
      </c>
      <c r="D8" s="28">
        <v>0.33333333333333331</v>
      </c>
      <c r="E8" s="28">
        <v>0.54166666666666663</v>
      </c>
      <c r="F8" s="29">
        <f t="shared" si="1"/>
        <v>5</v>
      </c>
      <c r="G8" s="28">
        <v>0.54166666666666663</v>
      </c>
      <c r="H8" s="28">
        <v>0.99930555555555556</v>
      </c>
      <c r="I8" s="29">
        <f t="shared" si="0"/>
        <v>10</v>
      </c>
      <c r="J8" s="1">
        <v>8</v>
      </c>
      <c r="K8" s="1" t="str">
        <f>VLOOKUP(J8,t_entry_status!A:G,2,FALSE)</f>
        <v>PENDING</v>
      </c>
      <c r="L8" s="7">
        <v>45560</v>
      </c>
      <c r="M8" s="1" t="s">
        <v>7449</v>
      </c>
      <c r="N8" s="7">
        <v>45560</v>
      </c>
      <c r="O8" s="1" t="s">
        <v>7449</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6AF20D1-D4CB-4265-B09A-721488C7D8D3}">
          <x14:formula1>
            <xm:f>t_entry_status!$A:$A</xm:f>
          </x14:formula1>
          <xm:sqref>J2:J8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B4C9B-ED12-4B02-8F6B-5C32A9C9C3E9}">
  <dimension ref="A1:J546"/>
  <sheetViews>
    <sheetView topLeftCell="A513" workbookViewId="0">
      <selection activeCell="A2" sqref="A2:A546"/>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4.7109375" style="1" bestFit="1" customWidth="1"/>
    <col min="5" max="5" width="12.7109375" style="1" bestFit="1" customWidth="1"/>
    <col min="6" max="6" width="21.5703125" style="1" bestFit="1" customWidth="1"/>
    <col min="7" max="7" width="15.42578125" style="1" bestFit="1" customWidth="1"/>
    <col min="8" max="8" width="14" style="1" bestFit="1" customWidth="1"/>
    <col min="9" max="9" width="16.28515625" style="1" bestFit="1" customWidth="1"/>
    <col min="10" max="10" width="14.5703125" style="1" bestFit="1" customWidth="1"/>
    <col min="11" max="16384" width="8.85546875" style="1"/>
  </cols>
  <sheetData>
    <row r="1" spans="1:10" s="6" customFormat="1" x14ac:dyDescent="0.25">
      <c r="A1" s="5" t="s">
        <v>7286</v>
      </c>
      <c r="B1" s="5" t="s">
        <v>7452</v>
      </c>
      <c r="C1" s="5" t="s">
        <v>7333</v>
      </c>
      <c r="D1" s="5" t="s">
        <v>7287</v>
      </c>
      <c r="E1" s="5" t="s">
        <v>24</v>
      </c>
      <c r="F1" s="5" t="s">
        <v>43</v>
      </c>
      <c r="G1" s="5" t="s">
        <v>44</v>
      </c>
      <c r="H1" s="5" t="s">
        <v>45</v>
      </c>
      <c r="I1" s="5" t="s">
        <v>46</v>
      </c>
      <c r="J1" s="5" t="s">
        <v>47</v>
      </c>
    </row>
    <row r="2" spans="1:10" x14ac:dyDescent="0.25">
      <c r="A2" s="1">
        <v>1</v>
      </c>
      <c r="B2" s="2" t="str">
        <f>_xlfn.CONCAT(C2,"-",VLOOKUP(C2,t_objeto!B:D,3,FALSE),"-",A2)</f>
        <v>KKMM-PERCCO-1</v>
      </c>
      <c r="C2" s="1" t="s">
        <v>7458</v>
      </c>
      <c r="D2" s="1" t="str">
        <f>VLOOKUP(C2,t_objeto!B:C,2,FALSE)</f>
        <v>KIT_MATERIAL</v>
      </c>
      <c r="E2" s="1">
        <v>8</v>
      </c>
      <c r="F2" s="1" t="str">
        <f>VLOOKUP(E2,t_entry_status!A:C,2,FALSE)</f>
        <v>PENDING</v>
      </c>
      <c r="G2" s="7">
        <v>45560</v>
      </c>
      <c r="H2" s="1" t="s">
        <v>7449</v>
      </c>
      <c r="I2" s="7">
        <v>45560</v>
      </c>
      <c r="J2" s="1" t="s">
        <v>7449</v>
      </c>
    </row>
    <row r="3" spans="1:10" x14ac:dyDescent="0.25">
      <c r="A3" s="1">
        <v>2</v>
      </c>
      <c r="B3" s="2" t="str">
        <f>_xlfn.CONCAT(C3,"-",VLOOKUP(C3,t_objeto!B:D,3,FALSE),"-",A3)</f>
        <v>KKMM-PERCCO-2</v>
      </c>
      <c r="C3" s="1" t="s">
        <v>7458</v>
      </c>
      <c r="D3" s="1" t="str">
        <f>VLOOKUP(C3,t_objeto!B:C,2,FALSE)</f>
        <v>KIT_MATERIAL</v>
      </c>
      <c r="E3" s="1">
        <v>8</v>
      </c>
      <c r="F3" s="1" t="str">
        <f>VLOOKUP(E3,t_entry_status!A:C,2,FALSE)</f>
        <v>PENDING</v>
      </c>
      <c r="G3" s="7">
        <v>45560</v>
      </c>
      <c r="H3" s="1" t="s">
        <v>7449</v>
      </c>
      <c r="I3" s="7">
        <v>45560</v>
      </c>
      <c r="J3" s="1" t="s">
        <v>7449</v>
      </c>
    </row>
    <row r="4" spans="1:10" x14ac:dyDescent="0.25">
      <c r="A4" s="1">
        <v>3</v>
      </c>
      <c r="B4" s="2" t="str">
        <f>_xlfn.CONCAT(C4,"-",VLOOKUP(C4,t_objeto!B:D,3,FALSE),"-",A4)</f>
        <v>KKMM-PERCCO-3</v>
      </c>
      <c r="C4" s="1" t="s">
        <v>7458</v>
      </c>
      <c r="D4" s="1" t="str">
        <f>VLOOKUP(C4,t_objeto!B:C,2,FALSE)</f>
        <v>KIT_MATERIAL</v>
      </c>
      <c r="E4" s="1">
        <v>8</v>
      </c>
      <c r="F4" s="1" t="str">
        <f>VLOOKUP(E4,t_entry_status!A:C,2,FALSE)</f>
        <v>PENDING</v>
      </c>
      <c r="G4" s="7">
        <v>45560</v>
      </c>
      <c r="H4" s="1" t="s">
        <v>7449</v>
      </c>
      <c r="I4" s="7">
        <v>45560</v>
      </c>
      <c r="J4" s="1" t="s">
        <v>7449</v>
      </c>
    </row>
    <row r="5" spans="1:10" x14ac:dyDescent="0.25">
      <c r="A5" s="1">
        <v>4</v>
      </c>
      <c r="B5" s="2" t="str">
        <f>_xlfn.CONCAT(C5,"-",VLOOKUP(C5,t_objeto!B:D,3,FALSE),"-",A5)</f>
        <v>KKMM-PERCCO-4</v>
      </c>
      <c r="C5" s="1" t="s">
        <v>7458</v>
      </c>
      <c r="D5" s="1" t="str">
        <f>VLOOKUP(C5,t_objeto!B:C,2,FALSE)</f>
        <v>KIT_MATERIAL</v>
      </c>
      <c r="E5" s="1">
        <v>8</v>
      </c>
      <c r="F5" s="1" t="str">
        <f>VLOOKUP(E5,t_entry_status!A:C,2,FALSE)</f>
        <v>PENDING</v>
      </c>
      <c r="G5" s="7">
        <v>45560</v>
      </c>
      <c r="H5" s="1" t="s">
        <v>7449</v>
      </c>
      <c r="I5" s="7">
        <v>45560</v>
      </c>
      <c r="J5" s="1" t="s">
        <v>7449</v>
      </c>
    </row>
    <row r="6" spans="1:10" x14ac:dyDescent="0.25">
      <c r="A6" s="1">
        <v>5</v>
      </c>
      <c r="B6" s="2" t="str">
        <f>_xlfn.CONCAT(C6,"-",VLOOKUP(C6,t_objeto!B:D,3,FALSE),"-",A6)</f>
        <v>KKMM-PERCCO-5</v>
      </c>
      <c r="C6" s="1" t="s">
        <v>7458</v>
      </c>
      <c r="D6" s="1" t="str">
        <f>VLOOKUP(C6,t_objeto!B:C,2,FALSE)</f>
        <v>KIT_MATERIAL</v>
      </c>
      <c r="E6" s="1">
        <v>8</v>
      </c>
      <c r="F6" s="1" t="str">
        <f>VLOOKUP(E6,t_entry_status!A:C,2,FALSE)</f>
        <v>PENDING</v>
      </c>
      <c r="G6" s="7">
        <v>45560</v>
      </c>
      <c r="H6" s="1" t="s">
        <v>7449</v>
      </c>
      <c r="I6" s="7">
        <v>45560</v>
      </c>
      <c r="J6" s="1" t="s">
        <v>7449</v>
      </c>
    </row>
    <row r="7" spans="1:10" x14ac:dyDescent="0.25">
      <c r="A7" s="1">
        <v>6</v>
      </c>
      <c r="B7" s="2" t="str">
        <f>_xlfn.CONCAT(C7,"-",VLOOKUP(C7,t_objeto!B:D,3,FALSE),"-",A7)</f>
        <v>KKMM-PERCCO-6</v>
      </c>
      <c r="C7" s="1" t="s">
        <v>7458</v>
      </c>
      <c r="D7" s="1" t="str">
        <f>VLOOKUP(C7,t_objeto!B:C,2,FALSE)</f>
        <v>KIT_MATERIAL</v>
      </c>
      <c r="E7" s="1">
        <v>8</v>
      </c>
      <c r="F7" s="1" t="str">
        <f>VLOOKUP(E7,t_entry_status!A:C,2,FALSE)</f>
        <v>PENDING</v>
      </c>
      <c r="G7" s="7">
        <v>45560</v>
      </c>
      <c r="H7" s="1" t="s">
        <v>7449</v>
      </c>
      <c r="I7" s="7">
        <v>45560</v>
      </c>
      <c r="J7" s="1" t="s">
        <v>7449</v>
      </c>
    </row>
    <row r="8" spans="1:10" x14ac:dyDescent="0.25">
      <c r="A8" s="1">
        <v>7</v>
      </c>
      <c r="B8" s="2" t="str">
        <f>_xlfn.CONCAT(C8,"-",VLOOKUP(C8,t_objeto!B:D,3,FALSE),"-",A8)</f>
        <v>KKMM-PERCCO-7</v>
      </c>
      <c r="C8" s="1" t="s">
        <v>7458</v>
      </c>
      <c r="D8" s="1" t="str">
        <f>VLOOKUP(C8,t_objeto!B:C,2,FALSE)</f>
        <v>KIT_MATERIAL</v>
      </c>
      <c r="E8" s="1">
        <v>8</v>
      </c>
      <c r="F8" s="1" t="str">
        <f>VLOOKUP(E8,t_entry_status!A:C,2,FALSE)</f>
        <v>PENDING</v>
      </c>
      <c r="G8" s="7">
        <v>45560</v>
      </c>
      <c r="H8" s="1" t="s">
        <v>7449</v>
      </c>
      <c r="I8" s="7">
        <v>45560</v>
      </c>
      <c r="J8" s="1" t="s">
        <v>7449</v>
      </c>
    </row>
    <row r="9" spans="1:10" x14ac:dyDescent="0.25">
      <c r="A9" s="1">
        <v>8</v>
      </c>
      <c r="B9" s="2" t="str">
        <f>_xlfn.CONCAT(C9,"-",VLOOKUP(C9,t_objeto!B:D,3,FALSE),"-",A9)</f>
        <v>KKMM-PERCCO-8</v>
      </c>
      <c r="C9" s="1" t="s">
        <v>7458</v>
      </c>
      <c r="D9" s="1" t="str">
        <f>VLOOKUP(C9,t_objeto!B:C,2,FALSE)</f>
        <v>KIT_MATERIAL</v>
      </c>
      <c r="E9" s="1">
        <v>8</v>
      </c>
      <c r="F9" s="1" t="str">
        <f>VLOOKUP(E9,t_entry_status!A:C,2,FALSE)</f>
        <v>PENDING</v>
      </c>
      <c r="G9" s="7">
        <v>45560</v>
      </c>
      <c r="H9" s="1" t="s">
        <v>7449</v>
      </c>
      <c r="I9" s="7">
        <v>45560</v>
      </c>
      <c r="J9" s="1" t="s">
        <v>7449</v>
      </c>
    </row>
    <row r="10" spans="1:10" x14ac:dyDescent="0.25">
      <c r="A10" s="1">
        <v>9</v>
      </c>
      <c r="B10" s="2" t="str">
        <f>_xlfn.CONCAT(C10,"-",VLOOKUP(C10,t_objeto!B:D,3,FALSE),"-",A10)</f>
        <v>KKMM-PERCCO-9</v>
      </c>
      <c r="C10" s="1" t="s">
        <v>7458</v>
      </c>
      <c r="D10" s="1" t="str">
        <f>VLOOKUP(C10,t_objeto!B:C,2,FALSE)</f>
        <v>KIT_MATERIAL</v>
      </c>
      <c r="E10" s="1">
        <v>8</v>
      </c>
      <c r="F10" s="1" t="str">
        <f>VLOOKUP(E10,t_entry_status!A:C,2,FALSE)</f>
        <v>PENDING</v>
      </c>
      <c r="G10" s="7">
        <v>45560</v>
      </c>
      <c r="H10" s="1" t="s">
        <v>7449</v>
      </c>
      <c r="I10" s="7">
        <v>45560</v>
      </c>
      <c r="J10" s="1" t="s">
        <v>7449</v>
      </c>
    </row>
    <row r="11" spans="1:10" x14ac:dyDescent="0.25">
      <c r="A11" s="1">
        <v>10</v>
      </c>
      <c r="B11" s="2" t="str">
        <f>_xlfn.CONCAT(C11,"-",VLOOKUP(C11,t_objeto!B:D,3,FALSE),"-",A11)</f>
        <v>KKMM-PERCCO-10</v>
      </c>
      <c r="C11" s="1" t="s">
        <v>7458</v>
      </c>
      <c r="D11" s="1" t="str">
        <f>VLOOKUP(C11,t_objeto!B:C,2,FALSE)</f>
        <v>KIT_MATERIAL</v>
      </c>
      <c r="E11" s="1">
        <v>8</v>
      </c>
      <c r="F11" s="1" t="str">
        <f>VLOOKUP(E11,t_entry_status!A:C,2,FALSE)</f>
        <v>PENDING</v>
      </c>
      <c r="G11" s="7">
        <v>45560</v>
      </c>
      <c r="H11" s="1" t="s">
        <v>7449</v>
      </c>
      <c r="I11" s="7">
        <v>45560</v>
      </c>
      <c r="J11" s="1" t="s">
        <v>7449</v>
      </c>
    </row>
    <row r="12" spans="1:10" x14ac:dyDescent="0.25">
      <c r="A12" s="1">
        <v>11</v>
      </c>
      <c r="B12" s="2" t="str">
        <f>_xlfn.CONCAT(C12,"-",VLOOKUP(C12,t_objeto!B:D,3,FALSE),"-",A12)</f>
        <v>KKMM-PERCCO-11</v>
      </c>
      <c r="C12" s="1" t="s">
        <v>7458</v>
      </c>
      <c r="D12" s="1" t="str">
        <f>VLOOKUP(C12,t_objeto!B:C,2,FALSE)</f>
        <v>KIT_MATERIAL</v>
      </c>
      <c r="E12" s="1">
        <v>8</v>
      </c>
      <c r="F12" s="1" t="str">
        <f>VLOOKUP(E12,t_entry_status!A:C,2,FALSE)</f>
        <v>PENDING</v>
      </c>
      <c r="G12" s="7">
        <v>45560</v>
      </c>
      <c r="H12" s="1" t="s">
        <v>7449</v>
      </c>
      <c r="I12" s="7">
        <v>45560</v>
      </c>
      <c r="J12" s="1" t="s">
        <v>7449</v>
      </c>
    </row>
    <row r="13" spans="1:10" x14ac:dyDescent="0.25">
      <c r="A13" s="1">
        <v>12</v>
      </c>
      <c r="B13" s="2" t="str">
        <f>_xlfn.CONCAT(C13,"-",VLOOKUP(C13,t_objeto!B:D,3,FALSE),"-",A13)</f>
        <v>KKMM-PERCCO-12</v>
      </c>
      <c r="C13" s="1" t="s">
        <v>7458</v>
      </c>
      <c r="D13" s="1" t="str">
        <f>VLOOKUP(C13,t_objeto!B:C,2,FALSE)</f>
        <v>KIT_MATERIAL</v>
      </c>
      <c r="E13" s="1">
        <v>8</v>
      </c>
      <c r="F13" s="1" t="str">
        <f>VLOOKUP(E13,t_entry_status!A:C,2,FALSE)</f>
        <v>PENDING</v>
      </c>
      <c r="G13" s="7">
        <v>45560</v>
      </c>
      <c r="H13" s="1" t="s">
        <v>7449</v>
      </c>
      <c r="I13" s="7">
        <v>45560</v>
      </c>
      <c r="J13" s="1" t="s">
        <v>7449</v>
      </c>
    </row>
    <row r="14" spans="1:10" x14ac:dyDescent="0.25">
      <c r="A14" s="1">
        <v>13</v>
      </c>
      <c r="B14" s="2" t="str">
        <f>_xlfn.CONCAT(C14,"-",VLOOKUP(C14,t_objeto!B:D,3,FALSE),"-",A14)</f>
        <v>KKMM-PERCCO-13</v>
      </c>
      <c r="C14" s="1" t="s">
        <v>7458</v>
      </c>
      <c r="D14" s="1" t="str">
        <f>VLOOKUP(C14,t_objeto!B:C,2,FALSE)</f>
        <v>KIT_MATERIAL</v>
      </c>
      <c r="E14" s="1">
        <v>8</v>
      </c>
      <c r="F14" s="1" t="str">
        <f>VLOOKUP(E14,t_entry_status!A:C,2,FALSE)</f>
        <v>PENDING</v>
      </c>
      <c r="G14" s="7">
        <v>45560</v>
      </c>
      <c r="H14" s="1" t="s">
        <v>7449</v>
      </c>
      <c r="I14" s="7">
        <v>45560</v>
      </c>
      <c r="J14" s="1" t="s">
        <v>7449</v>
      </c>
    </row>
    <row r="15" spans="1:10" x14ac:dyDescent="0.25">
      <c r="A15" s="1">
        <v>14</v>
      </c>
      <c r="B15" s="2" t="str">
        <f>_xlfn.CONCAT(C15,"-",VLOOKUP(C15,t_objeto!B:D,3,FALSE),"-",A15)</f>
        <v>KKMM-PERCCO-14</v>
      </c>
      <c r="C15" s="1" t="s">
        <v>7458</v>
      </c>
      <c r="D15" s="1" t="str">
        <f>VLOOKUP(C15,t_objeto!B:C,2,FALSE)</f>
        <v>KIT_MATERIAL</v>
      </c>
      <c r="E15" s="1">
        <v>8</v>
      </c>
      <c r="F15" s="1" t="str">
        <f>VLOOKUP(E15,t_entry_status!A:C,2,FALSE)</f>
        <v>PENDING</v>
      </c>
      <c r="G15" s="7">
        <v>45560</v>
      </c>
      <c r="H15" s="1" t="s">
        <v>7449</v>
      </c>
      <c r="I15" s="7">
        <v>45560</v>
      </c>
      <c r="J15" s="1" t="s">
        <v>7449</v>
      </c>
    </row>
    <row r="16" spans="1:10" x14ac:dyDescent="0.25">
      <c r="A16" s="1">
        <v>15</v>
      </c>
      <c r="B16" s="2" t="str">
        <f>_xlfn.CONCAT(C16,"-",VLOOKUP(C16,t_objeto!B:D,3,FALSE),"-",A16)</f>
        <v>KKMM-PERCCO-15</v>
      </c>
      <c r="C16" s="1" t="s">
        <v>7458</v>
      </c>
      <c r="D16" s="1" t="str">
        <f>VLOOKUP(C16,t_objeto!B:C,2,FALSE)</f>
        <v>KIT_MATERIAL</v>
      </c>
      <c r="E16" s="1">
        <v>8</v>
      </c>
      <c r="F16" s="1" t="str">
        <f>VLOOKUP(E16,t_entry_status!A:C,2,FALSE)</f>
        <v>PENDING</v>
      </c>
      <c r="G16" s="7">
        <v>45560</v>
      </c>
      <c r="H16" s="1" t="s">
        <v>7449</v>
      </c>
      <c r="I16" s="7">
        <v>45560</v>
      </c>
      <c r="J16" s="1" t="s">
        <v>7449</v>
      </c>
    </row>
    <row r="17" spans="1:10" x14ac:dyDescent="0.25">
      <c r="A17" s="1">
        <v>16</v>
      </c>
      <c r="B17" s="2" t="str">
        <f>_xlfn.CONCAT(C17,"-",VLOOKUP(C17,t_objeto!B:D,3,FALSE),"-",A17)</f>
        <v>KKMM-PERCCO-16</v>
      </c>
      <c r="C17" s="1" t="s">
        <v>7458</v>
      </c>
      <c r="D17" s="1" t="str">
        <f>VLOOKUP(C17,t_objeto!B:C,2,FALSE)</f>
        <v>KIT_MATERIAL</v>
      </c>
      <c r="E17" s="1">
        <v>8</v>
      </c>
      <c r="F17" s="1" t="str">
        <f>VLOOKUP(E17,t_entry_status!A:C,2,FALSE)</f>
        <v>PENDING</v>
      </c>
      <c r="G17" s="7">
        <v>45560</v>
      </c>
      <c r="H17" s="1" t="s">
        <v>7449</v>
      </c>
      <c r="I17" s="7">
        <v>45560</v>
      </c>
      <c r="J17" s="1" t="s">
        <v>7449</v>
      </c>
    </row>
    <row r="18" spans="1:10" x14ac:dyDescent="0.25">
      <c r="A18" s="1">
        <v>17</v>
      </c>
      <c r="B18" s="2" t="str">
        <f>_xlfn.CONCAT(C18,"-",VLOOKUP(C18,t_objeto!B:D,3,FALSE),"-",A18)</f>
        <v>KKMM-PERCCO-17</v>
      </c>
      <c r="C18" s="1" t="s">
        <v>7458</v>
      </c>
      <c r="D18" s="1" t="str">
        <f>VLOOKUP(C18,t_objeto!B:C,2,FALSE)</f>
        <v>KIT_MATERIAL</v>
      </c>
      <c r="E18" s="1">
        <v>8</v>
      </c>
      <c r="F18" s="1" t="str">
        <f>VLOOKUP(E18,t_entry_status!A:C,2,FALSE)</f>
        <v>PENDING</v>
      </c>
      <c r="G18" s="7">
        <v>45560</v>
      </c>
      <c r="H18" s="1" t="s">
        <v>7449</v>
      </c>
      <c r="I18" s="7">
        <v>45560</v>
      </c>
      <c r="J18" s="1" t="s">
        <v>7449</v>
      </c>
    </row>
    <row r="19" spans="1:10" x14ac:dyDescent="0.25">
      <c r="A19" s="1">
        <v>18</v>
      </c>
      <c r="B19" s="2" t="str">
        <f>_xlfn.CONCAT(C19,"-",VLOOKUP(C19,t_objeto!B:D,3,FALSE),"-",A19)</f>
        <v>KKMM-PERCCO-18</v>
      </c>
      <c r="C19" s="1" t="s">
        <v>7458</v>
      </c>
      <c r="D19" s="1" t="str">
        <f>VLOOKUP(C19,t_objeto!B:C,2,FALSE)</f>
        <v>KIT_MATERIAL</v>
      </c>
      <c r="E19" s="1">
        <v>8</v>
      </c>
      <c r="F19" s="1" t="str">
        <f>VLOOKUP(E19,t_entry_status!A:C,2,FALSE)</f>
        <v>PENDING</v>
      </c>
      <c r="G19" s="7">
        <v>45560</v>
      </c>
      <c r="H19" s="1" t="s">
        <v>7449</v>
      </c>
      <c r="I19" s="7">
        <v>45560</v>
      </c>
      <c r="J19" s="1" t="s">
        <v>7449</v>
      </c>
    </row>
    <row r="20" spans="1:10" x14ac:dyDescent="0.25">
      <c r="A20" s="1">
        <v>19</v>
      </c>
      <c r="B20" s="2" t="str">
        <f>_xlfn.CONCAT(C20,"-",VLOOKUP(C20,t_objeto!B:D,3,FALSE),"-",A20)</f>
        <v>KKMM-PERCCO-19</v>
      </c>
      <c r="C20" s="1" t="s">
        <v>7458</v>
      </c>
      <c r="D20" s="1" t="str">
        <f>VLOOKUP(C20,t_objeto!B:C,2,FALSE)</f>
        <v>KIT_MATERIAL</v>
      </c>
      <c r="E20" s="1">
        <v>8</v>
      </c>
      <c r="F20" s="1" t="str">
        <f>VLOOKUP(E20,t_entry_status!A:C,2,FALSE)</f>
        <v>PENDING</v>
      </c>
      <c r="G20" s="7">
        <v>45560</v>
      </c>
      <c r="H20" s="1" t="s">
        <v>7449</v>
      </c>
      <c r="I20" s="7">
        <v>45560</v>
      </c>
      <c r="J20" s="1" t="s">
        <v>7449</v>
      </c>
    </row>
    <row r="21" spans="1:10" x14ac:dyDescent="0.25">
      <c r="A21" s="1">
        <v>20</v>
      </c>
      <c r="B21" s="2" t="str">
        <f>_xlfn.CONCAT(C21,"-",VLOOKUP(C21,t_objeto!B:D,3,FALSE),"-",A21)</f>
        <v>KKMM-PERCCO-20</v>
      </c>
      <c r="C21" s="1" t="s">
        <v>7458</v>
      </c>
      <c r="D21" s="1" t="str">
        <f>VLOOKUP(C21,t_objeto!B:C,2,FALSE)</f>
        <v>KIT_MATERIAL</v>
      </c>
      <c r="E21" s="1">
        <v>8</v>
      </c>
      <c r="F21" s="1" t="str">
        <f>VLOOKUP(E21,t_entry_status!A:C,2,FALSE)</f>
        <v>PENDING</v>
      </c>
      <c r="G21" s="7">
        <v>45560</v>
      </c>
      <c r="H21" s="1" t="s">
        <v>7449</v>
      </c>
      <c r="I21" s="7">
        <v>45560</v>
      </c>
      <c r="J21" s="1" t="s">
        <v>7449</v>
      </c>
    </row>
    <row r="22" spans="1:10" x14ac:dyDescent="0.25">
      <c r="A22" s="1">
        <v>21</v>
      </c>
      <c r="B22" s="2" t="str">
        <f>_xlfn.CONCAT(C22,"-",VLOOKUP(C22,t_objeto!B:D,3,FALSE),"-",A22)</f>
        <v>KKMM-PERCCO-21</v>
      </c>
      <c r="C22" s="1" t="s">
        <v>7458</v>
      </c>
      <c r="D22" s="1" t="str">
        <f>VLOOKUP(C22,t_objeto!B:C,2,FALSE)</f>
        <v>KIT_MATERIAL</v>
      </c>
      <c r="E22" s="1">
        <v>8</v>
      </c>
      <c r="F22" s="1" t="str">
        <f>VLOOKUP(E22,t_entry_status!A:C,2,FALSE)</f>
        <v>PENDING</v>
      </c>
      <c r="G22" s="7">
        <v>45560</v>
      </c>
      <c r="H22" s="1" t="s">
        <v>7449</v>
      </c>
      <c r="I22" s="7">
        <v>45560</v>
      </c>
      <c r="J22" s="1" t="s">
        <v>7449</v>
      </c>
    </row>
    <row r="23" spans="1:10" x14ac:dyDescent="0.25">
      <c r="A23" s="1">
        <v>22</v>
      </c>
      <c r="B23" s="2" t="str">
        <f>_xlfn.CONCAT(C23,"-",VLOOKUP(C23,t_objeto!B:D,3,FALSE),"-",A23)</f>
        <v>KKMM-PERCCO-22</v>
      </c>
      <c r="C23" s="1" t="s">
        <v>7458</v>
      </c>
      <c r="D23" s="1" t="str">
        <f>VLOOKUP(C23,t_objeto!B:C,2,FALSE)</f>
        <v>KIT_MATERIAL</v>
      </c>
      <c r="E23" s="1">
        <v>8</v>
      </c>
      <c r="F23" s="1" t="str">
        <f>VLOOKUP(E23,t_entry_status!A:C,2,FALSE)</f>
        <v>PENDING</v>
      </c>
      <c r="G23" s="7">
        <v>45560</v>
      </c>
      <c r="H23" s="1" t="s">
        <v>7449</v>
      </c>
      <c r="I23" s="7">
        <v>45560</v>
      </c>
      <c r="J23" s="1" t="s">
        <v>7449</v>
      </c>
    </row>
    <row r="24" spans="1:10" x14ac:dyDescent="0.25">
      <c r="A24" s="1">
        <v>23</v>
      </c>
      <c r="B24" s="2" t="str">
        <f>_xlfn.CONCAT(C24,"-",VLOOKUP(C24,t_objeto!B:D,3,FALSE),"-",A24)</f>
        <v>KKMM-PERCCO-23</v>
      </c>
      <c r="C24" s="1" t="s">
        <v>7458</v>
      </c>
      <c r="D24" s="1" t="str">
        <f>VLOOKUP(C24,t_objeto!B:C,2,FALSE)</f>
        <v>KIT_MATERIAL</v>
      </c>
      <c r="E24" s="1">
        <v>8</v>
      </c>
      <c r="F24" s="1" t="str">
        <f>VLOOKUP(E24,t_entry_status!A:C,2,FALSE)</f>
        <v>PENDING</v>
      </c>
      <c r="G24" s="7">
        <v>45560</v>
      </c>
      <c r="H24" s="1" t="s">
        <v>7449</v>
      </c>
      <c r="I24" s="7">
        <v>45560</v>
      </c>
      <c r="J24" s="1" t="s">
        <v>7449</v>
      </c>
    </row>
    <row r="25" spans="1:10" x14ac:dyDescent="0.25">
      <c r="A25" s="1">
        <v>24</v>
      </c>
      <c r="B25" s="2" t="str">
        <f>_xlfn.CONCAT(C25,"-",VLOOKUP(C25,t_objeto!B:D,3,FALSE),"-",A25)</f>
        <v>KKMM-PERCCO-24</v>
      </c>
      <c r="C25" s="1" t="s">
        <v>7458</v>
      </c>
      <c r="D25" s="1" t="str">
        <f>VLOOKUP(C25,t_objeto!B:C,2,FALSE)</f>
        <v>KIT_MATERIAL</v>
      </c>
      <c r="E25" s="1">
        <v>8</v>
      </c>
      <c r="F25" s="1" t="str">
        <f>VLOOKUP(E25,t_entry_status!A:C,2,FALSE)</f>
        <v>PENDING</v>
      </c>
      <c r="G25" s="7">
        <v>45560</v>
      </c>
      <c r="H25" s="1" t="s">
        <v>7449</v>
      </c>
      <c r="I25" s="7">
        <v>45560</v>
      </c>
      <c r="J25" s="1" t="s">
        <v>7449</v>
      </c>
    </row>
    <row r="26" spans="1:10" x14ac:dyDescent="0.25">
      <c r="A26" s="1">
        <v>25</v>
      </c>
      <c r="B26" s="2" t="str">
        <f>_xlfn.CONCAT(C26,"-",VLOOKUP(C26,t_objeto!B:D,3,FALSE),"-",A26)</f>
        <v>KKMM-PERCCO-25</v>
      </c>
      <c r="C26" s="1" t="s">
        <v>7458</v>
      </c>
      <c r="D26" s="1" t="str">
        <f>VLOOKUP(C26,t_objeto!B:C,2,FALSE)</f>
        <v>KIT_MATERIAL</v>
      </c>
      <c r="E26" s="1">
        <v>8</v>
      </c>
      <c r="F26" s="1" t="str">
        <f>VLOOKUP(E26,t_entry_status!A:C,2,FALSE)</f>
        <v>PENDING</v>
      </c>
      <c r="G26" s="7">
        <v>45560</v>
      </c>
      <c r="H26" s="1" t="s">
        <v>7449</v>
      </c>
      <c r="I26" s="7">
        <v>45560</v>
      </c>
      <c r="J26" s="1" t="s">
        <v>7449</v>
      </c>
    </row>
    <row r="27" spans="1:10" x14ac:dyDescent="0.25">
      <c r="A27" s="1">
        <v>26</v>
      </c>
      <c r="B27" s="2" t="str">
        <f>_xlfn.CONCAT(C27,"-",VLOOKUP(C27,t_objeto!B:D,3,FALSE),"-",A27)</f>
        <v>KKMM-PERCCO-26</v>
      </c>
      <c r="C27" s="1" t="s">
        <v>7458</v>
      </c>
      <c r="D27" s="1" t="str">
        <f>VLOOKUP(C27,t_objeto!B:C,2,FALSE)</f>
        <v>KIT_MATERIAL</v>
      </c>
      <c r="E27" s="1">
        <v>8</v>
      </c>
      <c r="F27" s="1" t="str">
        <f>VLOOKUP(E27,t_entry_status!A:C,2,FALSE)</f>
        <v>PENDING</v>
      </c>
      <c r="G27" s="7">
        <v>45560</v>
      </c>
      <c r="H27" s="1" t="s">
        <v>7449</v>
      </c>
      <c r="I27" s="7">
        <v>45560</v>
      </c>
      <c r="J27" s="1" t="s">
        <v>7449</v>
      </c>
    </row>
    <row r="28" spans="1:10" x14ac:dyDescent="0.25">
      <c r="A28" s="1">
        <v>27</v>
      </c>
      <c r="B28" s="2" t="str">
        <f>_xlfn.CONCAT(C28,"-",VLOOKUP(C28,t_objeto!B:D,3,FALSE),"-",A28)</f>
        <v>KKMM-PERCCO-27</v>
      </c>
      <c r="C28" s="1" t="s">
        <v>7458</v>
      </c>
      <c r="D28" s="1" t="str">
        <f>VLOOKUP(C28,t_objeto!B:C,2,FALSE)</f>
        <v>KIT_MATERIAL</v>
      </c>
      <c r="E28" s="1">
        <v>8</v>
      </c>
      <c r="F28" s="1" t="str">
        <f>VLOOKUP(E28,t_entry_status!A:C,2,FALSE)</f>
        <v>PENDING</v>
      </c>
      <c r="G28" s="7">
        <v>45560</v>
      </c>
      <c r="H28" s="1" t="s">
        <v>7449</v>
      </c>
      <c r="I28" s="7">
        <v>45560</v>
      </c>
      <c r="J28" s="1" t="s">
        <v>7449</v>
      </c>
    </row>
    <row r="29" spans="1:10" x14ac:dyDescent="0.25">
      <c r="A29" s="1">
        <v>28</v>
      </c>
      <c r="B29" s="2" t="str">
        <f>_xlfn.CONCAT(C29,"-",VLOOKUP(C29,t_objeto!B:D,3,FALSE),"-",A29)</f>
        <v>KKMM-PERCCO-28</v>
      </c>
      <c r="C29" s="1" t="s">
        <v>7458</v>
      </c>
      <c r="D29" s="1" t="str">
        <f>VLOOKUP(C29,t_objeto!B:C,2,FALSE)</f>
        <v>KIT_MATERIAL</v>
      </c>
      <c r="E29" s="1">
        <v>8</v>
      </c>
      <c r="F29" s="1" t="str">
        <f>VLOOKUP(E29,t_entry_status!A:C,2,FALSE)</f>
        <v>PENDING</v>
      </c>
      <c r="G29" s="7">
        <v>45560</v>
      </c>
      <c r="H29" s="1" t="s">
        <v>7449</v>
      </c>
      <c r="I29" s="7">
        <v>45560</v>
      </c>
      <c r="J29" s="1" t="s">
        <v>7449</v>
      </c>
    </row>
    <row r="30" spans="1:10" x14ac:dyDescent="0.25">
      <c r="A30" s="1">
        <v>29</v>
      </c>
      <c r="B30" s="2" t="str">
        <f>_xlfn.CONCAT(C30,"-",VLOOKUP(C30,t_objeto!B:D,3,FALSE),"-",A30)</f>
        <v>KKMM-PERCCO-29</v>
      </c>
      <c r="C30" s="1" t="s">
        <v>7458</v>
      </c>
      <c r="D30" s="1" t="str">
        <f>VLOOKUP(C30,t_objeto!B:C,2,FALSE)</f>
        <v>KIT_MATERIAL</v>
      </c>
      <c r="E30" s="1">
        <v>8</v>
      </c>
      <c r="F30" s="1" t="str">
        <f>VLOOKUP(E30,t_entry_status!A:C,2,FALSE)</f>
        <v>PENDING</v>
      </c>
      <c r="G30" s="7">
        <v>45560</v>
      </c>
      <c r="H30" s="1" t="s">
        <v>7449</v>
      </c>
      <c r="I30" s="7">
        <v>45560</v>
      </c>
      <c r="J30" s="1" t="s">
        <v>7449</v>
      </c>
    </row>
    <row r="31" spans="1:10" x14ac:dyDescent="0.25">
      <c r="A31" s="1">
        <v>30</v>
      </c>
      <c r="B31" s="2" t="str">
        <f>_xlfn.CONCAT(C31,"-",VLOOKUP(C31,t_objeto!B:D,3,FALSE),"-",A31)</f>
        <v>KKMM-PERCCO-30</v>
      </c>
      <c r="C31" s="1" t="s">
        <v>7458</v>
      </c>
      <c r="D31" s="1" t="str">
        <f>VLOOKUP(C31,t_objeto!B:C,2,FALSE)</f>
        <v>KIT_MATERIAL</v>
      </c>
      <c r="E31" s="1">
        <v>8</v>
      </c>
      <c r="F31" s="1" t="str">
        <f>VLOOKUP(E31,t_entry_status!A:C,2,FALSE)</f>
        <v>PENDING</v>
      </c>
      <c r="G31" s="7">
        <v>45560</v>
      </c>
      <c r="H31" s="1" t="s">
        <v>7449</v>
      </c>
      <c r="I31" s="7">
        <v>45560</v>
      </c>
      <c r="J31" s="1" t="s">
        <v>7449</v>
      </c>
    </row>
    <row r="32" spans="1:10" x14ac:dyDescent="0.25">
      <c r="A32" s="1">
        <v>31</v>
      </c>
      <c r="B32" s="2" t="str">
        <f>_xlfn.CONCAT(C32,"-",VLOOKUP(C32,t_objeto!B:D,3,FALSE),"-",A32)</f>
        <v>KKMM-PERCCO-31</v>
      </c>
      <c r="C32" s="1" t="s">
        <v>7458</v>
      </c>
      <c r="D32" s="1" t="str">
        <f>VLOOKUP(C32,t_objeto!B:C,2,FALSE)</f>
        <v>KIT_MATERIAL</v>
      </c>
      <c r="E32" s="1">
        <v>8</v>
      </c>
      <c r="F32" s="1" t="str">
        <f>VLOOKUP(E32,t_entry_status!A:C,2,FALSE)</f>
        <v>PENDING</v>
      </c>
      <c r="G32" s="7">
        <v>45560</v>
      </c>
      <c r="H32" s="1" t="s">
        <v>7449</v>
      </c>
      <c r="I32" s="7">
        <v>45560</v>
      </c>
      <c r="J32" s="1" t="s">
        <v>7449</v>
      </c>
    </row>
    <row r="33" spans="1:10" x14ac:dyDescent="0.25">
      <c r="A33" s="1">
        <v>32</v>
      </c>
      <c r="B33" s="2" t="str">
        <f>_xlfn.CONCAT(C33,"-",VLOOKUP(C33,t_objeto!B:D,3,FALSE),"-",A33)</f>
        <v>KKMM-PERCCO-32</v>
      </c>
      <c r="C33" s="1" t="s">
        <v>7458</v>
      </c>
      <c r="D33" s="1" t="str">
        <f>VLOOKUP(C33,t_objeto!B:C,2,FALSE)</f>
        <v>KIT_MATERIAL</v>
      </c>
      <c r="E33" s="1">
        <v>8</v>
      </c>
      <c r="F33" s="1" t="str">
        <f>VLOOKUP(E33,t_entry_status!A:C,2,FALSE)</f>
        <v>PENDING</v>
      </c>
      <c r="G33" s="7">
        <v>45560</v>
      </c>
      <c r="H33" s="1" t="s">
        <v>7449</v>
      </c>
      <c r="I33" s="7">
        <v>45560</v>
      </c>
      <c r="J33" s="1" t="s">
        <v>7449</v>
      </c>
    </row>
    <row r="34" spans="1:10" x14ac:dyDescent="0.25">
      <c r="A34" s="1">
        <v>33</v>
      </c>
      <c r="B34" s="2" t="str">
        <f>_xlfn.CONCAT(C34,"-",VLOOKUP(C34,t_objeto!B:D,3,FALSE),"-",A34)</f>
        <v>KKMM-PERCCO-33</v>
      </c>
      <c r="C34" s="1" t="s">
        <v>7458</v>
      </c>
      <c r="D34" s="1" t="str">
        <f>VLOOKUP(C34,t_objeto!B:C,2,FALSE)</f>
        <v>KIT_MATERIAL</v>
      </c>
      <c r="E34" s="1">
        <v>8</v>
      </c>
      <c r="F34" s="1" t="str">
        <f>VLOOKUP(E34,t_entry_status!A:C,2,FALSE)</f>
        <v>PENDING</v>
      </c>
      <c r="G34" s="7">
        <v>45560</v>
      </c>
      <c r="H34" s="1" t="s">
        <v>7449</v>
      </c>
      <c r="I34" s="7">
        <v>45560</v>
      </c>
      <c r="J34" s="1" t="s">
        <v>7449</v>
      </c>
    </row>
    <row r="35" spans="1:10" x14ac:dyDescent="0.25">
      <c r="A35" s="1">
        <v>34</v>
      </c>
      <c r="B35" s="2" t="str">
        <f>_xlfn.CONCAT(C35,"-",VLOOKUP(C35,t_objeto!B:D,3,FALSE),"-",A35)</f>
        <v>KKMM-PERCCO-34</v>
      </c>
      <c r="C35" s="1" t="s">
        <v>7458</v>
      </c>
      <c r="D35" s="1" t="str">
        <f>VLOOKUP(C35,t_objeto!B:C,2,FALSE)</f>
        <v>KIT_MATERIAL</v>
      </c>
      <c r="E35" s="1">
        <v>8</v>
      </c>
      <c r="F35" s="1" t="str">
        <f>VLOOKUP(E35,t_entry_status!A:C,2,FALSE)</f>
        <v>PENDING</v>
      </c>
      <c r="G35" s="7">
        <v>45560</v>
      </c>
      <c r="H35" s="1" t="s">
        <v>7449</v>
      </c>
      <c r="I35" s="7">
        <v>45560</v>
      </c>
      <c r="J35" s="1" t="s">
        <v>7449</v>
      </c>
    </row>
    <row r="36" spans="1:10" x14ac:dyDescent="0.25">
      <c r="A36" s="1">
        <v>35</v>
      </c>
      <c r="B36" s="2" t="str">
        <f>_xlfn.CONCAT(C36,"-",VLOOKUP(C36,t_objeto!B:D,3,FALSE),"-",A36)</f>
        <v>KKMM-PERCCO-35</v>
      </c>
      <c r="C36" s="1" t="s">
        <v>7458</v>
      </c>
      <c r="D36" s="1" t="str">
        <f>VLOOKUP(C36,t_objeto!B:C,2,FALSE)</f>
        <v>KIT_MATERIAL</v>
      </c>
      <c r="E36" s="1">
        <v>8</v>
      </c>
      <c r="F36" s="1" t="str">
        <f>VLOOKUP(E36,t_entry_status!A:C,2,FALSE)</f>
        <v>PENDING</v>
      </c>
      <c r="G36" s="7">
        <v>45560</v>
      </c>
      <c r="H36" s="1" t="s">
        <v>7449</v>
      </c>
      <c r="I36" s="7">
        <v>45560</v>
      </c>
      <c r="J36" s="1" t="s">
        <v>7449</v>
      </c>
    </row>
    <row r="37" spans="1:10" x14ac:dyDescent="0.25">
      <c r="A37" s="1">
        <v>36</v>
      </c>
      <c r="B37" s="2" t="str">
        <f>_xlfn.CONCAT(C37,"-",VLOOKUP(C37,t_objeto!B:D,3,FALSE),"-",A37)</f>
        <v>KKMM-PERCCO-36</v>
      </c>
      <c r="C37" s="1" t="s">
        <v>7458</v>
      </c>
      <c r="D37" s="1" t="str">
        <f>VLOOKUP(C37,t_objeto!B:C,2,FALSE)</f>
        <v>KIT_MATERIAL</v>
      </c>
      <c r="E37" s="1">
        <v>8</v>
      </c>
      <c r="F37" s="1" t="str">
        <f>VLOOKUP(E37,t_entry_status!A:C,2,FALSE)</f>
        <v>PENDING</v>
      </c>
      <c r="G37" s="7">
        <v>45560</v>
      </c>
      <c r="H37" s="1" t="s">
        <v>7449</v>
      </c>
      <c r="I37" s="7">
        <v>45560</v>
      </c>
      <c r="J37" s="1" t="s">
        <v>7449</v>
      </c>
    </row>
    <row r="38" spans="1:10" x14ac:dyDescent="0.25">
      <c r="A38" s="1">
        <v>37</v>
      </c>
      <c r="B38" s="2" t="str">
        <f>_xlfn.CONCAT(C38,"-",VLOOKUP(C38,t_objeto!B:D,3,FALSE),"-",A38)</f>
        <v>KKMM-PERCCO-37</v>
      </c>
      <c r="C38" s="1" t="s">
        <v>7458</v>
      </c>
      <c r="D38" s="1" t="str">
        <f>VLOOKUP(C38,t_objeto!B:C,2,FALSE)</f>
        <v>KIT_MATERIAL</v>
      </c>
      <c r="E38" s="1">
        <v>8</v>
      </c>
      <c r="F38" s="1" t="str">
        <f>VLOOKUP(E38,t_entry_status!A:C,2,FALSE)</f>
        <v>PENDING</v>
      </c>
      <c r="G38" s="7">
        <v>45560</v>
      </c>
      <c r="H38" s="1" t="s">
        <v>7449</v>
      </c>
      <c r="I38" s="7">
        <v>45560</v>
      </c>
      <c r="J38" s="1" t="s">
        <v>7449</v>
      </c>
    </row>
    <row r="39" spans="1:10" x14ac:dyDescent="0.25">
      <c r="A39" s="1">
        <v>38</v>
      </c>
      <c r="B39" s="2" t="str">
        <f>_xlfn.CONCAT(C39,"-",VLOOKUP(C39,t_objeto!B:D,3,FALSE),"-",A39)</f>
        <v>KKMM-PERCCO-38</v>
      </c>
      <c r="C39" s="1" t="s">
        <v>7458</v>
      </c>
      <c r="D39" s="1" t="str">
        <f>VLOOKUP(C39,t_objeto!B:C,2,FALSE)</f>
        <v>KIT_MATERIAL</v>
      </c>
      <c r="E39" s="1">
        <v>8</v>
      </c>
      <c r="F39" s="1" t="str">
        <f>VLOOKUP(E39,t_entry_status!A:C,2,FALSE)</f>
        <v>PENDING</v>
      </c>
      <c r="G39" s="7">
        <v>45560</v>
      </c>
      <c r="H39" s="1" t="s">
        <v>7449</v>
      </c>
      <c r="I39" s="7">
        <v>45560</v>
      </c>
      <c r="J39" s="1" t="s">
        <v>7449</v>
      </c>
    </row>
    <row r="40" spans="1:10" x14ac:dyDescent="0.25">
      <c r="A40" s="1">
        <v>39</v>
      </c>
      <c r="B40" s="2" t="str">
        <f>_xlfn.CONCAT(C40,"-",VLOOKUP(C40,t_objeto!B:D,3,FALSE),"-",A40)</f>
        <v>KKMM-PERCCO-39</v>
      </c>
      <c r="C40" s="1" t="s">
        <v>7458</v>
      </c>
      <c r="D40" s="1" t="str">
        <f>VLOOKUP(C40,t_objeto!B:C,2,FALSE)</f>
        <v>KIT_MATERIAL</v>
      </c>
      <c r="E40" s="1">
        <v>8</v>
      </c>
      <c r="F40" s="1" t="str">
        <f>VLOOKUP(E40,t_entry_status!A:C,2,FALSE)</f>
        <v>PENDING</v>
      </c>
      <c r="G40" s="7">
        <v>45560</v>
      </c>
      <c r="H40" s="1" t="s">
        <v>7449</v>
      </c>
      <c r="I40" s="7">
        <v>45560</v>
      </c>
      <c r="J40" s="1" t="s">
        <v>7449</v>
      </c>
    </row>
    <row r="41" spans="1:10" x14ac:dyDescent="0.25">
      <c r="A41" s="1">
        <v>40</v>
      </c>
      <c r="B41" s="2" t="str">
        <f>_xlfn.CONCAT(C41,"-",VLOOKUP(C41,t_objeto!B:D,3,FALSE),"-",A41)</f>
        <v>KKMM-PERCCO-40</v>
      </c>
      <c r="C41" s="1" t="s">
        <v>7458</v>
      </c>
      <c r="D41" s="1" t="str">
        <f>VLOOKUP(C41,t_objeto!B:C,2,FALSE)</f>
        <v>KIT_MATERIAL</v>
      </c>
      <c r="E41" s="1">
        <v>8</v>
      </c>
      <c r="F41" s="1" t="str">
        <f>VLOOKUP(E41,t_entry_status!A:C,2,FALSE)</f>
        <v>PENDING</v>
      </c>
      <c r="G41" s="7">
        <v>45560</v>
      </c>
      <c r="H41" s="1" t="s">
        <v>7449</v>
      </c>
      <c r="I41" s="7">
        <v>45560</v>
      </c>
      <c r="J41" s="1" t="s">
        <v>7449</v>
      </c>
    </row>
    <row r="42" spans="1:10" x14ac:dyDescent="0.25">
      <c r="A42" s="1">
        <v>41</v>
      </c>
      <c r="B42" s="2" t="str">
        <f>_xlfn.CONCAT(C42,"-",VLOOKUP(C42,t_objeto!B:D,3,FALSE),"-",A42)</f>
        <v>KKMM-PERCCO-41</v>
      </c>
      <c r="C42" s="1" t="s">
        <v>7458</v>
      </c>
      <c r="D42" s="1" t="str">
        <f>VLOOKUP(C42,t_objeto!B:C,2,FALSE)</f>
        <v>KIT_MATERIAL</v>
      </c>
      <c r="E42" s="1">
        <v>8</v>
      </c>
      <c r="F42" s="1" t="str">
        <f>VLOOKUP(E42,t_entry_status!A:C,2,FALSE)</f>
        <v>PENDING</v>
      </c>
      <c r="G42" s="7">
        <v>45560</v>
      </c>
      <c r="H42" s="1" t="s">
        <v>7449</v>
      </c>
      <c r="I42" s="7">
        <v>45560</v>
      </c>
      <c r="J42" s="1" t="s">
        <v>7449</v>
      </c>
    </row>
    <row r="43" spans="1:10" x14ac:dyDescent="0.25">
      <c r="A43" s="1">
        <v>42</v>
      </c>
      <c r="B43" s="2" t="str">
        <f>_xlfn.CONCAT(C43,"-",VLOOKUP(C43,t_objeto!B:D,3,FALSE),"-",A43)</f>
        <v>KKMM-PERCCO-42</v>
      </c>
      <c r="C43" s="1" t="s">
        <v>7458</v>
      </c>
      <c r="D43" s="1" t="str">
        <f>VLOOKUP(C43,t_objeto!B:C,2,FALSE)</f>
        <v>KIT_MATERIAL</v>
      </c>
      <c r="E43" s="1">
        <v>8</v>
      </c>
      <c r="F43" s="1" t="str">
        <f>VLOOKUP(E43,t_entry_status!A:C,2,FALSE)</f>
        <v>PENDING</v>
      </c>
      <c r="G43" s="7">
        <v>45560</v>
      </c>
      <c r="H43" s="1" t="s">
        <v>7449</v>
      </c>
      <c r="I43" s="7">
        <v>45560</v>
      </c>
      <c r="J43" s="1" t="s">
        <v>7449</v>
      </c>
    </row>
    <row r="44" spans="1:10" x14ac:dyDescent="0.25">
      <c r="A44" s="1">
        <v>43</v>
      </c>
      <c r="B44" s="2" t="str">
        <f>_xlfn.CONCAT(C44,"-",VLOOKUP(C44,t_objeto!B:D,3,FALSE),"-",A44)</f>
        <v>KKMM-PERCCO-43</v>
      </c>
      <c r="C44" s="1" t="s">
        <v>7458</v>
      </c>
      <c r="D44" s="1" t="str">
        <f>VLOOKUP(C44,t_objeto!B:C,2,FALSE)</f>
        <v>KIT_MATERIAL</v>
      </c>
      <c r="E44" s="1">
        <v>8</v>
      </c>
      <c r="F44" s="1" t="str">
        <f>VLOOKUP(E44,t_entry_status!A:C,2,FALSE)</f>
        <v>PENDING</v>
      </c>
      <c r="G44" s="7">
        <v>45560</v>
      </c>
      <c r="H44" s="1" t="s">
        <v>7449</v>
      </c>
      <c r="I44" s="7">
        <v>45560</v>
      </c>
      <c r="J44" s="1" t="s">
        <v>7449</v>
      </c>
    </row>
    <row r="45" spans="1:10" x14ac:dyDescent="0.25">
      <c r="A45" s="1">
        <v>44</v>
      </c>
      <c r="B45" s="2" t="str">
        <f>_xlfn.CONCAT(C45,"-",VLOOKUP(C45,t_objeto!B:D,3,FALSE),"-",A45)</f>
        <v>KKMM-PERCCO-44</v>
      </c>
      <c r="C45" s="1" t="s">
        <v>7458</v>
      </c>
      <c r="D45" s="1" t="str">
        <f>VLOOKUP(C45,t_objeto!B:C,2,FALSE)</f>
        <v>KIT_MATERIAL</v>
      </c>
      <c r="E45" s="1">
        <v>8</v>
      </c>
      <c r="F45" s="1" t="str">
        <f>VLOOKUP(E45,t_entry_status!A:C,2,FALSE)</f>
        <v>PENDING</v>
      </c>
      <c r="G45" s="7">
        <v>45560</v>
      </c>
      <c r="H45" s="1" t="s">
        <v>7449</v>
      </c>
      <c r="I45" s="7">
        <v>45560</v>
      </c>
      <c r="J45" s="1" t="s">
        <v>7449</v>
      </c>
    </row>
    <row r="46" spans="1:10" x14ac:dyDescent="0.25">
      <c r="A46" s="1">
        <v>45</v>
      </c>
      <c r="B46" s="2" t="str">
        <f>_xlfn.CONCAT(C46,"-",VLOOKUP(C46,t_objeto!B:D,3,FALSE),"-",A46)</f>
        <v>KKMM-PERCCO-45</v>
      </c>
      <c r="C46" s="1" t="s">
        <v>7458</v>
      </c>
      <c r="D46" s="1" t="str">
        <f>VLOOKUP(C46,t_objeto!B:C,2,FALSE)</f>
        <v>KIT_MATERIAL</v>
      </c>
      <c r="E46" s="1">
        <v>8</v>
      </c>
      <c r="F46" s="1" t="str">
        <f>VLOOKUP(E46,t_entry_status!A:C,2,FALSE)</f>
        <v>PENDING</v>
      </c>
      <c r="G46" s="7">
        <v>45560</v>
      </c>
      <c r="H46" s="1" t="s">
        <v>7449</v>
      </c>
      <c r="I46" s="7">
        <v>45560</v>
      </c>
      <c r="J46" s="1" t="s">
        <v>7449</v>
      </c>
    </row>
    <row r="47" spans="1:10" x14ac:dyDescent="0.25">
      <c r="A47" s="1">
        <v>46</v>
      </c>
      <c r="B47" s="2" t="str">
        <f>_xlfn.CONCAT(C47,"-",VLOOKUP(C47,t_objeto!B:D,3,FALSE),"-",A47)</f>
        <v>KKMM-PERCCO-46</v>
      </c>
      <c r="C47" s="1" t="s">
        <v>7458</v>
      </c>
      <c r="D47" s="1" t="str">
        <f>VLOOKUP(C47,t_objeto!B:C,2,FALSE)</f>
        <v>KIT_MATERIAL</v>
      </c>
      <c r="E47" s="1">
        <v>8</v>
      </c>
      <c r="F47" s="1" t="str">
        <f>VLOOKUP(E47,t_entry_status!A:C,2,FALSE)</f>
        <v>PENDING</v>
      </c>
      <c r="G47" s="7">
        <v>45560</v>
      </c>
      <c r="H47" s="1" t="s">
        <v>7449</v>
      </c>
      <c r="I47" s="7">
        <v>45560</v>
      </c>
      <c r="J47" s="1" t="s">
        <v>7449</v>
      </c>
    </row>
    <row r="48" spans="1:10" x14ac:dyDescent="0.25">
      <c r="A48" s="1">
        <v>47</v>
      </c>
      <c r="B48" s="2" t="str">
        <f>_xlfn.CONCAT(C48,"-",VLOOKUP(C48,t_objeto!B:D,3,FALSE),"-",A48)</f>
        <v>KKMM-PERCCO-47</v>
      </c>
      <c r="C48" s="1" t="s">
        <v>7458</v>
      </c>
      <c r="D48" s="1" t="str">
        <f>VLOOKUP(C48,t_objeto!B:C,2,FALSE)</f>
        <v>KIT_MATERIAL</v>
      </c>
      <c r="E48" s="1">
        <v>8</v>
      </c>
      <c r="F48" s="1" t="str">
        <f>VLOOKUP(E48,t_entry_status!A:C,2,FALSE)</f>
        <v>PENDING</v>
      </c>
      <c r="G48" s="7">
        <v>45560</v>
      </c>
      <c r="H48" s="1" t="s">
        <v>7449</v>
      </c>
      <c r="I48" s="7">
        <v>45560</v>
      </c>
      <c r="J48" s="1" t="s">
        <v>7449</v>
      </c>
    </row>
    <row r="49" spans="1:10" x14ac:dyDescent="0.25">
      <c r="A49" s="1">
        <v>48</v>
      </c>
      <c r="B49" s="2" t="str">
        <f>_xlfn.CONCAT(C49,"-",VLOOKUP(C49,t_objeto!B:D,3,FALSE),"-",A49)</f>
        <v>KKMM-PERCCO-48</v>
      </c>
      <c r="C49" s="1" t="s">
        <v>7458</v>
      </c>
      <c r="D49" s="1" t="str">
        <f>VLOOKUP(C49,t_objeto!B:C,2,FALSE)</f>
        <v>KIT_MATERIAL</v>
      </c>
      <c r="E49" s="1">
        <v>8</v>
      </c>
      <c r="F49" s="1" t="str">
        <f>VLOOKUP(E49,t_entry_status!A:C,2,FALSE)</f>
        <v>PENDING</v>
      </c>
      <c r="G49" s="7">
        <v>45560</v>
      </c>
      <c r="H49" s="1" t="s">
        <v>7449</v>
      </c>
      <c r="I49" s="7">
        <v>45560</v>
      </c>
      <c r="J49" s="1" t="s">
        <v>7449</v>
      </c>
    </row>
    <row r="50" spans="1:10" x14ac:dyDescent="0.25">
      <c r="A50" s="1">
        <v>49</v>
      </c>
      <c r="B50" s="2" t="str">
        <f>_xlfn.CONCAT(C50,"-",VLOOKUP(C50,t_objeto!B:D,3,FALSE),"-",A50)</f>
        <v>KKMM-PERCCO-49</v>
      </c>
      <c r="C50" s="1" t="s">
        <v>7458</v>
      </c>
      <c r="D50" s="1" t="str">
        <f>VLOOKUP(C50,t_objeto!B:C,2,FALSE)</f>
        <v>KIT_MATERIAL</v>
      </c>
      <c r="E50" s="1">
        <v>8</v>
      </c>
      <c r="F50" s="1" t="str">
        <f>VLOOKUP(E50,t_entry_status!A:C,2,FALSE)</f>
        <v>PENDING</v>
      </c>
      <c r="G50" s="7">
        <v>45560</v>
      </c>
      <c r="H50" s="1" t="s">
        <v>7449</v>
      </c>
      <c r="I50" s="7">
        <v>45560</v>
      </c>
      <c r="J50" s="1" t="s">
        <v>7449</v>
      </c>
    </row>
    <row r="51" spans="1:10" x14ac:dyDescent="0.25">
      <c r="A51" s="1">
        <v>50</v>
      </c>
      <c r="B51" s="2" t="str">
        <f>_xlfn.CONCAT(C51,"-",VLOOKUP(C51,t_objeto!B:D,3,FALSE),"-",A51)</f>
        <v>KKMM-PERCCO-50</v>
      </c>
      <c r="C51" s="1" t="s">
        <v>7458</v>
      </c>
      <c r="D51" s="1" t="str">
        <f>VLOOKUP(C51,t_objeto!B:C,2,FALSE)</f>
        <v>KIT_MATERIAL</v>
      </c>
      <c r="E51" s="1">
        <v>8</v>
      </c>
      <c r="F51" s="1" t="str">
        <f>VLOOKUP(E51,t_entry_status!A:C,2,FALSE)</f>
        <v>PENDING</v>
      </c>
      <c r="G51" s="7">
        <v>45560</v>
      </c>
      <c r="H51" s="1" t="s">
        <v>7449</v>
      </c>
      <c r="I51" s="7">
        <v>45560</v>
      </c>
      <c r="J51" s="1" t="s">
        <v>7449</v>
      </c>
    </row>
    <row r="52" spans="1:10" x14ac:dyDescent="0.25">
      <c r="A52" s="1">
        <v>51</v>
      </c>
      <c r="B52" s="2" t="str">
        <f>_xlfn.CONCAT(C52,"-",VLOOKUP(C52,t_objeto!B:D,3,FALSE),"-",A52)</f>
        <v>KKMM-PERCCO-51</v>
      </c>
      <c r="C52" s="1" t="s">
        <v>7458</v>
      </c>
      <c r="D52" s="1" t="str">
        <f>VLOOKUP(C52,t_objeto!B:C,2,FALSE)</f>
        <v>KIT_MATERIAL</v>
      </c>
      <c r="E52" s="1">
        <v>8</v>
      </c>
      <c r="F52" s="1" t="str">
        <f>VLOOKUP(E52,t_entry_status!A:C,2,FALSE)</f>
        <v>PENDING</v>
      </c>
      <c r="G52" s="7">
        <v>45560</v>
      </c>
      <c r="H52" s="1" t="s">
        <v>7449</v>
      </c>
      <c r="I52" s="7">
        <v>45560</v>
      </c>
      <c r="J52" s="1" t="s">
        <v>7449</v>
      </c>
    </row>
    <row r="53" spans="1:10" x14ac:dyDescent="0.25">
      <c r="A53" s="1">
        <v>52</v>
      </c>
      <c r="B53" s="2" t="str">
        <f>_xlfn.CONCAT(C53,"-",VLOOKUP(C53,t_objeto!B:D,3,FALSE),"-",A53)</f>
        <v>KKMM-PERCCO-52</v>
      </c>
      <c r="C53" s="1" t="s">
        <v>7458</v>
      </c>
      <c r="D53" s="1" t="str">
        <f>VLOOKUP(C53,t_objeto!B:C,2,FALSE)</f>
        <v>KIT_MATERIAL</v>
      </c>
      <c r="E53" s="1">
        <v>8</v>
      </c>
      <c r="F53" s="1" t="str">
        <f>VLOOKUP(E53,t_entry_status!A:C,2,FALSE)</f>
        <v>PENDING</v>
      </c>
      <c r="G53" s="7">
        <v>45560</v>
      </c>
      <c r="H53" s="1" t="s">
        <v>7449</v>
      </c>
      <c r="I53" s="7">
        <v>45560</v>
      </c>
      <c r="J53" s="1" t="s">
        <v>7449</v>
      </c>
    </row>
    <row r="54" spans="1:10" x14ac:dyDescent="0.25">
      <c r="A54" s="1">
        <v>53</v>
      </c>
      <c r="B54" s="2" t="str">
        <f>_xlfn.CONCAT(C54,"-",VLOOKUP(C54,t_objeto!B:D,3,FALSE),"-",A54)</f>
        <v>KKMM-PERCCO-53</v>
      </c>
      <c r="C54" s="1" t="s">
        <v>7458</v>
      </c>
      <c r="D54" s="1" t="str">
        <f>VLOOKUP(C54,t_objeto!B:C,2,FALSE)</f>
        <v>KIT_MATERIAL</v>
      </c>
      <c r="E54" s="1">
        <v>8</v>
      </c>
      <c r="F54" s="1" t="str">
        <f>VLOOKUP(E54,t_entry_status!A:C,2,FALSE)</f>
        <v>PENDING</v>
      </c>
      <c r="G54" s="7">
        <v>45560</v>
      </c>
      <c r="H54" s="1" t="s">
        <v>7449</v>
      </c>
      <c r="I54" s="7">
        <v>45560</v>
      </c>
      <c r="J54" s="1" t="s">
        <v>7449</v>
      </c>
    </row>
    <row r="55" spans="1:10" x14ac:dyDescent="0.25">
      <c r="A55" s="1">
        <v>54</v>
      </c>
      <c r="B55" s="2" t="str">
        <f>_xlfn.CONCAT(C55,"-",VLOOKUP(C55,t_objeto!B:D,3,FALSE),"-",A55)</f>
        <v>KKMM-PERCCO-54</v>
      </c>
      <c r="C55" s="1" t="s">
        <v>7458</v>
      </c>
      <c r="D55" s="1" t="str">
        <f>VLOOKUP(C55,t_objeto!B:C,2,FALSE)</f>
        <v>KIT_MATERIAL</v>
      </c>
      <c r="E55" s="1">
        <v>8</v>
      </c>
      <c r="F55" s="1" t="str">
        <f>VLOOKUP(E55,t_entry_status!A:C,2,FALSE)</f>
        <v>PENDING</v>
      </c>
      <c r="G55" s="7">
        <v>45560</v>
      </c>
      <c r="H55" s="1" t="s">
        <v>7449</v>
      </c>
      <c r="I55" s="7">
        <v>45560</v>
      </c>
      <c r="J55" s="1" t="s">
        <v>7449</v>
      </c>
    </row>
    <row r="56" spans="1:10" x14ac:dyDescent="0.25">
      <c r="A56" s="1">
        <v>55</v>
      </c>
      <c r="B56" s="2" t="str">
        <f>_xlfn.CONCAT(C56,"-",VLOOKUP(C56,t_objeto!B:D,3,FALSE),"-",A56)</f>
        <v>KKMM-PERCCO-55</v>
      </c>
      <c r="C56" s="1" t="s">
        <v>7458</v>
      </c>
      <c r="D56" s="1" t="str">
        <f>VLOOKUP(C56,t_objeto!B:C,2,FALSE)</f>
        <v>KIT_MATERIAL</v>
      </c>
      <c r="E56" s="1">
        <v>8</v>
      </c>
      <c r="F56" s="1" t="str">
        <f>VLOOKUP(E56,t_entry_status!A:C,2,FALSE)</f>
        <v>PENDING</v>
      </c>
      <c r="G56" s="7">
        <v>45560</v>
      </c>
      <c r="H56" s="1" t="s">
        <v>7449</v>
      </c>
      <c r="I56" s="7">
        <v>45560</v>
      </c>
      <c r="J56" s="1" t="s">
        <v>7449</v>
      </c>
    </row>
    <row r="57" spans="1:10" x14ac:dyDescent="0.25">
      <c r="A57" s="1">
        <v>56</v>
      </c>
      <c r="B57" s="2" t="str">
        <f>_xlfn.CONCAT(C57,"-",VLOOKUP(C57,t_objeto!B:D,3,FALSE),"-",A57)</f>
        <v>KKMM-PERCCO-56</v>
      </c>
      <c r="C57" s="1" t="s">
        <v>7458</v>
      </c>
      <c r="D57" s="1" t="str">
        <f>VLOOKUP(C57,t_objeto!B:C,2,FALSE)</f>
        <v>KIT_MATERIAL</v>
      </c>
      <c r="E57" s="1">
        <v>8</v>
      </c>
      <c r="F57" s="1" t="str">
        <f>VLOOKUP(E57,t_entry_status!A:C,2,FALSE)</f>
        <v>PENDING</v>
      </c>
      <c r="G57" s="7">
        <v>45560</v>
      </c>
      <c r="H57" s="1" t="s">
        <v>7449</v>
      </c>
      <c r="I57" s="7">
        <v>45560</v>
      </c>
      <c r="J57" s="1" t="s">
        <v>7449</v>
      </c>
    </row>
    <row r="58" spans="1:10" x14ac:dyDescent="0.25">
      <c r="A58" s="1">
        <v>57</v>
      </c>
      <c r="B58" s="2" t="str">
        <f>_xlfn.CONCAT(C58,"-",VLOOKUP(C58,t_objeto!B:D,3,FALSE),"-",A58)</f>
        <v>KKMM-PERCCO-57</v>
      </c>
      <c r="C58" s="1" t="s">
        <v>7458</v>
      </c>
      <c r="D58" s="1" t="str">
        <f>VLOOKUP(C58,t_objeto!B:C,2,FALSE)</f>
        <v>KIT_MATERIAL</v>
      </c>
      <c r="E58" s="1">
        <v>8</v>
      </c>
      <c r="F58" s="1" t="str">
        <f>VLOOKUP(E58,t_entry_status!A:C,2,FALSE)</f>
        <v>PENDING</v>
      </c>
      <c r="G58" s="7">
        <v>45560</v>
      </c>
      <c r="H58" s="1" t="s">
        <v>7449</v>
      </c>
      <c r="I58" s="7">
        <v>45560</v>
      </c>
      <c r="J58" s="1" t="s">
        <v>7449</v>
      </c>
    </row>
    <row r="59" spans="1:10" x14ac:dyDescent="0.25">
      <c r="A59" s="1">
        <v>58</v>
      </c>
      <c r="B59" s="2" t="str">
        <f>_xlfn.CONCAT(C59,"-",VLOOKUP(C59,t_objeto!B:D,3,FALSE),"-",A59)</f>
        <v>KKMM-PERCCO-58</v>
      </c>
      <c r="C59" s="1" t="s">
        <v>7458</v>
      </c>
      <c r="D59" s="1" t="str">
        <f>VLOOKUP(C59,t_objeto!B:C,2,FALSE)</f>
        <v>KIT_MATERIAL</v>
      </c>
      <c r="E59" s="1">
        <v>8</v>
      </c>
      <c r="F59" s="1" t="str">
        <f>VLOOKUP(E59,t_entry_status!A:C,2,FALSE)</f>
        <v>PENDING</v>
      </c>
      <c r="G59" s="7">
        <v>45560</v>
      </c>
      <c r="H59" s="1" t="s">
        <v>7449</v>
      </c>
      <c r="I59" s="7">
        <v>45560</v>
      </c>
      <c r="J59" s="1" t="s">
        <v>7449</v>
      </c>
    </row>
    <row r="60" spans="1:10" x14ac:dyDescent="0.25">
      <c r="A60" s="1">
        <v>59</v>
      </c>
      <c r="B60" s="2" t="str">
        <f>_xlfn.CONCAT(C60,"-",VLOOKUP(C60,t_objeto!B:D,3,FALSE),"-",A60)</f>
        <v>KKMM-PERCCO-59</v>
      </c>
      <c r="C60" s="1" t="s">
        <v>7458</v>
      </c>
      <c r="D60" s="1" t="str">
        <f>VLOOKUP(C60,t_objeto!B:C,2,FALSE)</f>
        <v>KIT_MATERIAL</v>
      </c>
      <c r="E60" s="1">
        <v>8</v>
      </c>
      <c r="F60" s="1" t="str">
        <f>VLOOKUP(E60,t_entry_status!A:C,2,FALSE)</f>
        <v>PENDING</v>
      </c>
      <c r="G60" s="7">
        <v>45560</v>
      </c>
      <c r="H60" s="1" t="s">
        <v>7449</v>
      </c>
      <c r="I60" s="7">
        <v>45560</v>
      </c>
      <c r="J60" s="1" t="s">
        <v>7449</v>
      </c>
    </row>
    <row r="61" spans="1:10" x14ac:dyDescent="0.25">
      <c r="A61" s="1">
        <v>60</v>
      </c>
      <c r="B61" s="2" t="str">
        <f>_xlfn.CONCAT(C61,"-",VLOOKUP(C61,t_objeto!B:D,3,FALSE),"-",A61)</f>
        <v>KKMM-PERCCO-60</v>
      </c>
      <c r="C61" s="1" t="s">
        <v>7458</v>
      </c>
      <c r="D61" s="1" t="str">
        <f>VLOOKUP(C61,t_objeto!B:C,2,FALSE)</f>
        <v>KIT_MATERIAL</v>
      </c>
      <c r="E61" s="1">
        <v>8</v>
      </c>
      <c r="F61" s="1" t="str">
        <f>VLOOKUP(E61,t_entry_status!A:C,2,FALSE)</f>
        <v>PENDING</v>
      </c>
      <c r="G61" s="7">
        <v>45560</v>
      </c>
      <c r="H61" s="1" t="s">
        <v>7449</v>
      </c>
      <c r="I61" s="7">
        <v>45560</v>
      </c>
      <c r="J61" s="1" t="s">
        <v>7449</v>
      </c>
    </row>
    <row r="62" spans="1:10" x14ac:dyDescent="0.25">
      <c r="A62" s="1">
        <v>61</v>
      </c>
      <c r="B62" s="2" t="str">
        <f>_xlfn.CONCAT(C62,"-",VLOOKUP(C62,t_objeto!B:D,3,FALSE),"-",A62)</f>
        <v>KKMM-PERCCO-61</v>
      </c>
      <c r="C62" s="1" t="s">
        <v>7458</v>
      </c>
      <c r="D62" s="1" t="str">
        <f>VLOOKUP(C62,t_objeto!B:C,2,FALSE)</f>
        <v>KIT_MATERIAL</v>
      </c>
      <c r="E62" s="1">
        <v>8</v>
      </c>
      <c r="F62" s="1" t="str">
        <f>VLOOKUP(E62,t_entry_status!A:C,2,FALSE)</f>
        <v>PENDING</v>
      </c>
      <c r="G62" s="7">
        <v>45560</v>
      </c>
      <c r="H62" s="1" t="s">
        <v>7449</v>
      </c>
      <c r="I62" s="7">
        <v>45560</v>
      </c>
      <c r="J62" s="1" t="s">
        <v>7449</v>
      </c>
    </row>
    <row r="63" spans="1:10" x14ac:dyDescent="0.25">
      <c r="A63" s="1">
        <v>62</v>
      </c>
      <c r="B63" s="2" t="str">
        <f>_xlfn.CONCAT(C63,"-",VLOOKUP(C63,t_objeto!B:D,3,FALSE),"-",A63)</f>
        <v>KKMM-PERCCO-62</v>
      </c>
      <c r="C63" s="1" t="s">
        <v>7458</v>
      </c>
      <c r="D63" s="1" t="str">
        <f>VLOOKUP(C63,t_objeto!B:C,2,FALSE)</f>
        <v>KIT_MATERIAL</v>
      </c>
      <c r="E63" s="1">
        <v>8</v>
      </c>
      <c r="F63" s="1" t="str">
        <f>VLOOKUP(E63,t_entry_status!A:C,2,FALSE)</f>
        <v>PENDING</v>
      </c>
      <c r="G63" s="7">
        <v>45560</v>
      </c>
      <c r="H63" s="1" t="s">
        <v>7449</v>
      </c>
      <c r="I63" s="7">
        <v>45560</v>
      </c>
      <c r="J63" s="1" t="s">
        <v>7449</v>
      </c>
    </row>
    <row r="64" spans="1:10" x14ac:dyDescent="0.25">
      <c r="A64" s="1">
        <v>63</v>
      </c>
      <c r="B64" s="2" t="str">
        <f>_xlfn.CONCAT(C64,"-",VLOOKUP(C64,t_objeto!B:D,3,FALSE),"-",A64)</f>
        <v>KKMM-PERCCO-63</v>
      </c>
      <c r="C64" s="1" t="s">
        <v>7458</v>
      </c>
      <c r="D64" s="1" t="str">
        <f>VLOOKUP(C64,t_objeto!B:C,2,FALSE)</f>
        <v>KIT_MATERIAL</v>
      </c>
      <c r="E64" s="1">
        <v>8</v>
      </c>
      <c r="F64" s="1" t="str">
        <f>VLOOKUP(E64,t_entry_status!A:C,2,FALSE)</f>
        <v>PENDING</v>
      </c>
      <c r="G64" s="7">
        <v>45560</v>
      </c>
      <c r="H64" s="1" t="s">
        <v>7449</v>
      </c>
      <c r="I64" s="7">
        <v>45560</v>
      </c>
      <c r="J64" s="1" t="s">
        <v>7449</v>
      </c>
    </row>
    <row r="65" spans="1:10" x14ac:dyDescent="0.25">
      <c r="A65" s="1">
        <v>64</v>
      </c>
      <c r="B65" s="2" t="str">
        <f>_xlfn.CONCAT(C65,"-",VLOOKUP(C65,t_objeto!B:D,3,FALSE),"-",A65)</f>
        <v>KKMM-PERCCO-64</v>
      </c>
      <c r="C65" s="1" t="s">
        <v>7458</v>
      </c>
      <c r="D65" s="1" t="str">
        <f>VLOOKUP(C65,t_objeto!B:C,2,FALSE)</f>
        <v>KIT_MATERIAL</v>
      </c>
      <c r="E65" s="1">
        <v>8</v>
      </c>
      <c r="F65" s="1" t="str">
        <f>VLOOKUP(E65,t_entry_status!A:C,2,FALSE)</f>
        <v>PENDING</v>
      </c>
      <c r="G65" s="7">
        <v>45560</v>
      </c>
      <c r="H65" s="1" t="s">
        <v>7449</v>
      </c>
      <c r="I65" s="7">
        <v>45560</v>
      </c>
      <c r="J65" s="1" t="s">
        <v>7449</v>
      </c>
    </row>
    <row r="66" spans="1:10" x14ac:dyDescent="0.25">
      <c r="A66" s="1">
        <v>65</v>
      </c>
      <c r="B66" s="2" t="str">
        <f>_xlfn.CONCAT(C66,"-",VLOOKUP(C66,t_objeto!B:D,3,FALSE),"-",A66)</f>
        <v>KKMM-PERCCO-65</v>
      </c>
      <c r="C66" s="1" t="s">
        <v>7458</v>
      </c>
      <c r="D66" s="1" t="str">
        <f>VLOOKUP(C66,t_objeto!B:C,2,FALSE)</f>
        <v>KIT_MATERIAL</v>
      </c>
      <c r="E66" s="1">
        <v>8</v>
      </c>
      <c r="F66" s="1" t="str">
        <f>VLOOKUP(E66,t_entry_status!A:C,2,FALSE)</f>
        <v>PENDING</v>
      </c>
      <c r="G66" s="7">
        <v>45560</v>
      </c>
      <c r="H66" s="1" t="s">
        <v>7449</v>
      </c>
      <c r="I66" s="7">
        <v>45560</v>
      </c>
      <c r="J66" s="1" t="s">
        <v>7449</v>
      </c>
    </row>
    <row r="67" spans="1:10" x14ac:dyDescent="0.25">
      <c r="A67" s="1">
        <v>66</v>
      </c>
      <c r="B67" s="2" t="str">
        <f>_xlfn.CONCAT(C67,"-",VLOOKUP(C67,t_objeto!B:D,3,FALSE),"-",A67)</f>
        <v>KKMM-PERCCO-66</v>
      </c>
      <c r="C67" s="1" t="s">
        <v>7458</v>
      </c>
      <c r="D67" s="1" t="str">
        <f>VLOOKUP(C67,t_objeto!B:C,2,FALSE)</f>
        <v>KIT_MATERIAL</v>
      </c>
      <c r="E67" s="1">
        <v>8</v>
      </c>
      <c r="F67" s="1" t="str">
        <f>VLOOKUP(E67,t_entry_status!A:C,2,FALSE)</f>
        <v>PENDING</v>
      </c>
      <c r="G67" s="7">
        <v>45560</v>
      </c>
      <c r="H67" s="1" t="s">
        <v>7449</v>
      </c>
      <c r="I67" s="7">
        <v>45560</v>
      </c>
      <c r="J67" s="1" t="s">
        <v>7449</v>
      </c>
    </row>
    <row r="68" spans="1:10" x14ac:dyDescent="0.25">
      <c r="A68" s="1">
        <v>67</v>
      </c>
      <c r="B68" s="2" t="str">
        <f>_xlfn.CONCAT(C68,"-",VLOOKUP(C68,t_objeto!B:D,3,FALSE),"-",A68)</f>
        <v>KKMM-PERCCO-67</v>
      </c>
      <c r="C68" s="1" t="s">
        <v>7458</v>
      </c>
      <c r="D68" s="1" t="str">
        <f>VLOOKUP(C68,t_objeto!B:C,2,FALSE)</f>
        <v>KIT_MATERIAL</v>
      </c>
      <c r="E68" s="1">
        <v>8</v>
      </c>
      <c r="F68" s="1" t="str">
        <f>VLOOKUP(E68,t_entry_status!A:C,2,FALSE)</f>
        <v>PENDING</v>
      </c>
      <c r="G68" s="7">
        <v>45560</v>
      </c>
      <c r="H68" s="1" t="s">
        <v>7449</v>
      </c>
      <c r="I68" s="7">
        <v>45560</v>
      </c>
      <c r="J68" s="1" t="s">
        <v>7449</v>
      </c>
    </row>
    <row r="69" spans="1:10" x14ac:dyDescent="0.25">
      <c r="A69" s="1">
        <v>68</v>
      </c>
      <c r="B69" s="2" t="str">
        <f>_xlfn.CONCAT(C69,"-",VLOOKUP(C69,t_objeto!B:D,3,FALSE),"-",A69)</f>
        <v>KKMM-PERCCO-68</v>
      </c>
      <c r="C69" s="1" t="s">
        <v>7458</v>
      </c>
      <c r="D69" s="1" t="str">
        <f>VLOOKUP(C69,t_objeto!B:C,2,FALSE)</f>
        <v>KIT_MATERIAL</v>
      </c>
      <c r="E69" s="1">
        <v>8</v>
      </c>
      <c r="F69" s="1" t="str">
        <f>VLOOKUP(E69,t_entry_status!A:C,2,FALSE)</f>
        <v>PENDING</v>
      </c>
      <c r="G69" s="7">
        <v>45560</v>
      </c>
      <c r="H69" s="1" t="s">
        <v>7449</v>
      </c>
      <c r="I69" s="7">
        <v>45560</v>
      </c>
      <c r="J69" s="1" t="s">
        <v>7449</v>
      </c>
    </row>
    <row r="70" spans="1:10" x14ac:dyDescent="0.25">
      <c r="A70" s="1">
        <v>69</v>
      </c>
      <c r="B70" s="2" t="str">
        <f>_xlfn.CONCAT(C70,"-",VLOOKUP(C70,t_objeto!B:D,3,FALSE),"-",A70)</f>
        <v>KKMM-PERCCO-69</v>
      </c>
      <c r="C70" s="1" t="s">
        <v>7458</v>
      </c>
      <c r="D70" s="1" t="str">
        <f>VLOOKUP(C70,t_objeto!B:C,2,FALSE)</f>
        <v>KIT_MATERIAL</v>
      </c>
      <c r="E70" s="1">
        <v>8</v>
      </c>
      <c r="F70" s="1" t="str">
        <f>VLOOKUP(E70,t_entry_status!A:C,2,FALSE)</f>
        <v>PENDING</v>
      </c>
      <c r="G70" s="7">
        <v>45560</v>
      </c>
      <c r="H70" s="1" t="s">
        <v>7449</v>
      </c>
      <c r="I70" s="7">
        <v>45560</v>
      </c>
      <c r="J70" s="1" t="s">
        <v>7449</v>
      </c>
    </row>
    <row r="71" spans="1:10" x14ac:dyDescent="0.25">
      <c r="A71" s="1">
        <v>70</v>
      </c>
      <c r="B71" s="2" t="str">
        <f>_xlfn.CONCAT(C71,"-",VLOOKUP(C71,t_objeto!B:D,3,FALSE),"-",A71)</f>
        <v>KKMM-PERCCO-70</v>
      </c>
      <c r="C71" s="1" t="s">
        <v>7458</v>
      </c>
      <c r="D71" s="1" t="str">
        <f>VLOOKUP(C71,t_objeto!B:C,2,FALSE)</f>
        <v>KIT_MATERIAL</v>
      </c>
      <c r="E71" s="1">
        <v>8</v>
      </c>
      <c r="F71" s="1" t="str">
        <f>VLOOKUP(E71,t_entry_status!A:C,2,FALSE)</f>
        <v>PENDING</v>
      </c>
      <c r="G71" s="7">
        <v>45560</v>
      </c>
      <c r="H71" s="1" t="s">
        <v>7449</v>
      </c>
      <c r="I71" s="7">
        <v>45560</v>
      </c>
      <c r="J71" s="1" t="s">
        <v>7449</v>
      </c>
    </row>
    <row r="72" spans="1:10" x14ac:dyDescent="0.25">
      <c r="A72" s="1">
        <v>71</v>
      </c>
      <c r="B72" s="2" t="str">
        <f>_xlfn.CONCAT(C72,"-",VLOOKUP(C72,t_objeto!B:D,3,FALSE),"-",A72)</f>
        <v>KKMM-PERCCO-71</v>
      </c>
      <c r="C72" s="1" t="s">
        <v>7458</v>
      </c>
      <c r="D72" s="1" t="str">
        <f>VLOOKUP(C72,t_objeto!B:C,2,FALSE)</f>
        <v>KIT_MATERIAL</v>
      </c>
      <c r="E72" s="1">
        <v>8</v>
      </c>
      <c r="F72" s="1" t="str">
        <f>VLOOKUP(E72,t_entry_status!A:C,2,FALSE)</f>
        <v>PENDING</v>
      </c>
      <c r="G72" s="7">
        <v>45560</v>
      </c>
      <c r="H72" s="1" t="s">
        <v>7449</v>
      </c>
      <c r="I72" s="7">
        <v>45560</v>
      </c>
      <c r="J72" s="1" t="s">
        <v>7449</v>
      </c>
    </row>
    <row r="73" spans="1:10" x14ac:dyDescent="0.25">
      <c r="A73" s="1">
        <v>72</v>
      </c>
      <c r="B73" s="2" t="str">
        <f>_xlfn.CONCAT(C73,"-",VLOOKUP(C73,t_objeto!B:D,3,FALSE),"-",A73)</f>
        <v>KKMM-PERCCO-72</v>
      </c>
      <c r="C73" s="1" t="s">
        <v>7458</v>
      </c>
      <c r="D73" s="1" t="str">
        <f>VLOOKUP(C73,t_objeto!B:C,2,FALSE)</f>
        <v>KIT_MATERIAL</v>
      </c>
      <c r="E73" s="1">
        <v>8</v>
      </c>
      <c r="F73" s="1" t="str">
        <f>VLOOKUP(E73,t_entry_status!A:C,2,FALSE)</f>
        <v>PENDING</v>
      </c>
      <c r="G73" s="7">
        <v>45560</v>
      </c>
      <c r="H73" s="1" t="s">
        <v>7449</v>
      </c>
      <c r="I73" s="7">
        <v>45560</v>
      </c>
      <c r="J73" s="1" t="s">
        <v>7449</v>
      </c>
    </row>
    <row r="74" spans="1:10" x14ac:dyDescent="0.25">
      <c r="A74" s="1">
        <v>73</v>
      </c>
      <c r="B74" s="2" t="str">
        <f>_xlfn.CONCAT(C74,"-",VLOOKUP(C74,t_objeto!B:D,3,FALSE),"-",A74)</f>
        <v>KKMM-PERCCO-73</v>
      </c>
      <c r="C74" s="1" t="s">
        <v>7458</v>
      </c>
      <c r="D74" s="1" t="str">
        <f>VLOOKUP(C74,t_objeto!B:C,2,FALSE)</f>
        <v>KIT_MATERIAL</v>
      </c>
      <c r="E74" s="1">
        <v>8</v>
      </c>
      <c r="F74" s="1" t="str">
        <f>VLOOKUP(E74,t_entry_status!A:C,2,FALSE)</f>
        <v>PENDING</v>
      </c>
      <c r="G74" s="7">
        <v>45560</v>
      </c>
      <c r="H74" s="1" t="s">
        <v>7449</v>
      </c>
      <c r="I74" s="7">
        <v>45560</v>
      </c>
      <c r="J74" s="1" t="s">
        <v>7449</v>
      </c>
    </row>
    <row r="75" spans="1:10" x14ac:dyDescent="0.25">
      <c r="A75" s="1">
        <v>74</v>
      </c>
      <c r="B75" s="2" t="str">
        <f>_xlfn.CONCAT(C75,"-",VLOOKUP(C75,t_objeto!B:D,3,FALSE),"-",A75)</f>
        <v>KKMM-PERCCO-74</v>
      </c>
      <c r="C75" s="1" t="s">
        <v>7458</v>
      </c>
      <c r="D75" s="1" t="str">
        <f>VLOOKUP(C75,t_objeto!B:C,2,FALSE)</f>
        <v>KIT_MATERIAL</v>
      </c>
      <c r="E75" s="1">
        <v>8</v>
      </c>
      <c r="F75" s="1" t="str">
        <f>VLOOKUP(E75,t_entry_status!A:C,2,FALSE)</f>
        <v>PENDING</v>
      </c>
      <c r="G75" s="7">
        <v>45560</v>
      </c>
      <c r="H75" s="1" t="s">
        <v>7449</v>
      </c>
      <c r="I75" s="7">
        <v>45560</v>
      </c>
      <c r="J75" s="1" t="s">
        <v>7449</v>
      </c>
    </row>
    <row r="76" spans="1:10" x14ac:dyDescent="0.25">
      <c r="A76" s="1">
        <v>75</v>
      </c>
      <c r="B76" s="2" t="str">
        <f>_xlfn.CONCAT(C76,"-",VLOOKUP(C76,t_objeto!B:D,3,FALSE),"-",A76)</f>
        <v>KKMM-PERCCO-75</v>
      </c>
      <c r="C76" s="1" t="s">
        <v>7458</v>
      </c>
      <c r="D76" s="1" t="str">
        <f>VLOOKUP(C76,t_objeto!B:C,2,FALSE)</f>
        <v>KIT_MATERIAL</v>
      </c>
      <c r="E76" s="1">
        <v>8</v>
      </c>
      <c r="F76" s="1" t="str">
        <f>VLOOKUP(E76,t_entry_status!A:C,2,FALSE)</f>
        <v>PENDING</v>
      </c>
      <c r="G76" s="7">
        <v>45560</v>
      </c>
      <c r="H76" s="1" t="s">
        <v>7449</v>
      </c>
      <c r="I76" s="7">
        <v>45560</v>
      </c>
      <c r="J76" s="1" t="s">
        <v>7449</v>
      </c>
    </row>
    <row r="77" spans="1:10" x14ac:dyDescent="0.25">
      <c r="A77" s="1">
        <v>76</v>
      </c>
      <c r="B77" s="2" t="str">
        <f>_xlfn.CONCAT(C77,"-",VLOOKUP(C77,t_objeto!B:D,3,FALSE),"-",A77)</f>
        <v>KKMM-PERCCO-76</v>
      </c>
      <c r="C77" s="1" t="s">
        <v>7458</v>
      </c>
      <c r="D77" s="1" t="str">
        <f>VLOOKUP(C77,t_objeto!B:C,2,FALSE)</f>
        <v>KIT_MATERIAL</v>
      </c>
      <c r="E77" s="1">
        <v>8</v>
      </c>
      <c r="F77" s="1" t="str">
        <f>VLOOKUP(E77,t_entry_status!A:C,2,FALSE)</f>
        <v>PENDING</v>
      </c>
      <c r="G77" s="7">
        <v>45560</v>
      </c>
      <c r="H77" s="1" t="s">
        <v>7449</v>
      </c>
      <c r="I77" s="7">
        <v>45560</v>
      </c>
      <c r="J77" s="1" t="s">
        <v>7449</v>
      </c>
    </row>
    <row r="78" spans="1:10" x14ac:dyDescent="0.25">
      <c r="A78" s="1">
        <v>77</v>
      </c>
      <c r="B78" s="2" t="str">
        <f>_xlfn.CONCAT(C78,"-",VLOOKUP(C78,t_objeto!B:D,3,FALSE),"-",A78)</f>
        <v>KKMM-PERCCO-77</v>
      </c>
      <c r="C78" s="1" t="s">
        <v>7458</v>
      </c>
      <c r="D78" s="1" t="str">
        <f>VLOOKUP(C78,t_objeto!B:C,2,FALSE)</f>
        <v>KIT_MATERIAL</v>
      </c>
      <c r="E78" s="1">
        <v>8</v>
      </c>
      <c r="F78" s="1" t="str">
        <f>VLOOKUP(E78,t_entry_status!A:C,2,FALSE)</f>
        <v>PENDING</v>
      </c>
      <c r="G78" s="7">
        <v>45560</v>
      </c>
      <c r="H78" s="1" t="s">
        <v>7449</v>
      </c>
      <c r="I78" s="7">
        <v>45560</v>
      </c>
      <c r="J78" s="1" t="s">
        <v>7449</v>
      </c>
    </row>
    <row r="79" spans="1:10" x14ac:dyDescent="0.25">
      <c r="A79" s="1">
        <v>78</v>
      </c>
      <c r="B79" s="2" t="str">
        <f>_xlfn.CONCAT(C79,"-",VLOOKUP(C79,t_objeto!B:D,3,FALSE),"-",A79)</f>
        <v>KKMM-PERCCO-78</v>
      </c>
      <c r="C79" s="1" t="s">
        <v>7458</v>
      </c>
      <c r="D79" s="1" t="str">
        <f>VLOOKUP(C79,t_objeto!B:C,2,FALSE)</f>
        <v>KIT_MATERIAL</v>
      </c>
      <c r="E79" s="1">
        <v>8</v>
      </c>
      <c r="F79" s="1" t="str">
        <f>VLOOKUP(E79,t_entry_status!A:C,2,FALSE)</f>
        <v>PENDING</v>
      </c>
      <c r="G79" s="7">
        <v>45560</v>
      </c>
      <c r="H79" s="1" t="s">
        <v>7449</v>
      </c>
      <c r="I79" s="7">
        <v>45560</v>
      </c>
      <c r="J79" s="1" t="s">
        <v>7449</v>
      </c>
    </row>
    <row r="80" spans="1:10" x14ac:dyDescent="0.25">
      <c r="A80" s="1">
        <v>79</v>
      </c>
      <c r="B80" s="2" t="str">
        <f>_xlfn.CONCAT(C80,"-",VLOOKUP(C80,t_objeto!B:D,3,FALSE),"-",A80)</f>
        <v>KKMM-PERCCO-79</v>
      </c>
      <c r="C80" s="1" t="s">
        <v>7458</v>
      </c>
      <c r="D80" s="1" t="str">
        <f>VLOOKUP(C80,t_objeto!B:C,2,FALSE)</f>
        <v>KIT_MATERIAL</v>
      </c>
      <c r="E80" s="1">
        <v>8</v>
      </c>
      <c r="F80" s="1" t="str">
        <f>VLOOKUP(E80,t_entry_status!A:C,2,FALSE)</f>
        <v>PENDING</v>
      </c>
      <c r="G80" s="7">
        <v>45560</v>
      </c>
      <c r="H80" s="1" t="s">
        <v>7449</v>
      </c>
      <c r="I80" s="7">
        <v>45560</v>
      </c>
      <c r="J80" s="1" t="s">
        <v>7449</v>
      </c>
    </row>
    <row r="81" spans="1:10" x14ac:dyDescent="0.25">
      <c r="A81" s="1">
        <v>80</v>
      </c>
      <c r="B81" s="2" t="str">
        <f>_xlfn.CONCAT(C81,"-",VLOOKUP(C81,t_objeto!B:D,3,FALSE),"-",A81)</f>
        <v>KKMM-PERCCO-80</v>
      </c>
      <c r="C81" s="1" t="s">
        <v>7458</v>
      </c>
      <c r="D81" s="1" t="str">
        <f>VLOOKUP(C81,t_objeto!B:C,2,FALSE)</f>
        <v>KIT_MATERIAL</v>
      </c>
      <c r="E81" s="1">
        <v>8</v>
      </c>
      <c r="F81" s="1" t="str">
        <f>VLOOKUP(E81,t_entry_status!A:C,2,FALSE)</f>
        <v>PENDING</v>
      </c>
      <c r="G81" s="7">
        <v>45560</v>
      </c>
      <c r="H81" s="1" t="s">
        <v>7449</v>
      </c>
      <c r="I81" s="7">
        <v>45560</v>
      </c>
      <c r="J81" s="1" t="s">
        <v>7449</v>
      </c>
    </row>
    <row r="82" spans="1:10" x14ac:dyDescent="0.25">
      <c r="A82" s="1">
        <v>81</v>
      </c>
      <c r="B82" s="2" t="str">
        <f>_xlfn.CONCAT(C82,"-",VLOOKUP(C82,t_objeto!B:D,3,FALSE),"-",A82)</f>
        <v>KKMM-PERCCO-81</v>
      </c>
      <c r="C82" s="1" t="s">
        <v>7458</v>
      </c>
      <c r="D82" s="1" t="str">
        <f>VLOOKUP(C82,t_objeto!B:C,2,FALSE)</f>
        <v>KIT_MATERIAL</v>
      </c>
      <c r="E82" s="1">
        <v>8</v>
      </c>
      <c r="F82" s="1" t="str">
        <f>VLOOKUP(E82,t_entry_status!A:C,2,FALSE)</f>
        <v>PENDING</v>
      </c>
      <c r="G82" s="7">
        <v>45560</v>
      </c>
      <c r="H82" s="1" t="s">
        <v>7449</v>
      </c>
      <c r="I82" s="7">
        <v>45560</v>
      </c>
      <c r="J82" s="1" t="s">
        <v>7449</v>
      </c>
    </row>
    <row r="83" spans="1:10" x14ac:dyDescent="0.25">
      <c r="A83" s="1">
        <v>82</v>
      </c>
      <c r="B83" s="2" t="str">
        <f>_xlfn.CONCAT(C83,"-",VLOOKUP(C83,t_objeto!B:D,3,FALSE),"-",A83)</f>
        <v>KKMM-PERCCO-82</v>
      </c>
      <c r="C83" s="1" t="s">
        <v>7458</v>
      </c>
      <c r="D83" s="1" t="str">
        <f>VLOOKUP(C83,t_objeto!B:C,2,FALSE)</f>
        <v>KIT_MATERIAL</v>
      </c>
      <c r="E83" s="1">
        <v>8</v>
      </c>
      <c r="F83" s="1" t="str">
        <f>VLOOKUP(E83,t_entry_status!A:C,2,FALSE)</f>
        <v>PENDING</v>
      </c>
      <c r="G83" s="7">
        <v>45560</v>
      </c>
      <c r="H83" s="1" t="s">
        <v>7449</v>
      </c>
      <c r="I83" s="7">
        <v>45560</v>
      </c>
      <c r="J83" s="1" t="s">
        <v>7449</v>
      </c>
    </row>
    <row r="84" spans="1:10" x14ac:dyDescent="0.25">
      <c r="A84" s="1">
        <v>83</v>
      </c>
      <c r="B84" s="2" t="str">
        <f>_xlfn.CONCAT(C84,"-",VLOOKUP(C84,t_objeto!B:D,3,FALSE),"-",A84)</f>
        <v>KKMM-PERCCO-83</v>
      </c>
      <c r="C84" s="1" t="s">
        <v>7458</v>
      </c>
      <c r="D84" s="1" t="str">
        <f>VLOOKUP(C84,t_objeto!B:C,2,FALSE)</f>
        <v>KIT_MATERIAL</v>
      </c>
      <c r="E84" s="1">
        <v>8</v>
      </c>
      <c r="F84" s="1" t="str">
        <f>VLOOKUP(E84,t_entry_status!A:C,2,FALSE)</f>
        <v>PENDING</v>
      </c>
      <c r="G84" s="7">
        <v>45560</v>
      </c>
      <c r="H84" s="1" t="s">
        <v>7449</v>
      </c>
      <c r="I84" s="7">
        <v>45560</v>
      </c>
      <c r="J84" s="1" t="s">
        <v>7449</v>
      </c>
    </row>
    <row r="85" spans="1:10" x14ac:dyDescent="0.25">
      <c r="A85" s="1">
        <v>84</v>
      </c>
      <c r="B85" s="2" t="str">
        <f>_xlfn.CONCAT(C85,"-",VLOOKUP(C85,t_objeto!B:D,3,FALSE),"-",A85)</f>
        <v>KKMM-PERCCO-84</v>
      </c>
      <c r="C85" s="1" t="s">
        <v>7458</v>
      </c>
      <c r="D85" s="1" t="str">
        <f>VLOOKUP(C85,t_objeto!B:C,2,FALSE)</f>
        <v>KIT_MATERIAL</v>
      </c>
      <c r="E85" s="1">
        <v>8</v>
      </c>
      <c r="F85" s="1" t="str">
        <f>VLOOKUP(E85,t_entry_status!A:C,2,FALSE)</f>
        <v>PENDING</v>
      </c>
      <c r="G85" s="7">
        <v>45560</v>
      </c>
      <c r="H85" s="1" t="s">
        <v>7449</v>
      </c>
      <c r="I85" s="7">
        <v>45560</v>
      </c>
      <c r="J85" s="1" t="s">
        <v>7449</v>
      </c>
    </row>
    <row r="86" spans="1:10" x14ac:dyDescent="0.25">
      <c r="A86" s="1">
        <v>85</v>
      </c>
      <c r="B86" s="2" t="str">
        <f>_xlfn.CONCAT(C86,"-",VLOOKUP(C86,t_objeto!B:D,3,FALSE),"-",A86)</f>
        <v>KKMM-PERCCO-85</v>
      </c>
      <c r="C86" s="1" t="s">
        <v>7458</v>
      </c>
      <c r="D86" s="1" t="str">
        <f>VLOOKUP(C86,t_objeto!B:C,2,FALSE)</f>
        <v>KIT_MATERIAL</v>
      </c>
      <c r="E86" s="1">
        <v>8</v>
      </c>
      <c r="F86" s="1" t="str">
        <f>VLOOKUP(E86,t_entry_status!A:C,2,FALSE)</f>
        <v>PENDING</v>
      </c>
      <c r="G86" s="7">
        <v>45560</v>
      </c>
      <c r="H86" s="1" t="s">
        <v>7449</v>
      </c>
      <c r="I86" s="7">
        <v>45560</v>
      </c>
      <c r="J86" s="1" t="s">
        <v>7449</v>
      </c>
    </row>
    <row r="87" spans="1:10" x14ac:dyDescent="0.25">
      <c r="A87" s="1">
        <v>86</v>
      </c>
      <c r="B87" s="2" t="str">
        <f>_xlfn.CONCAT(C87,"-",VLOOKUP(C87,t_objeto!B:D,3,FALSE),"-",A87)</f>
        <v>KKMM-PERCCO-86</v>
      </c>
      <c r="C87" s="1" t="s">
        <v>7458</v>
      </c>
      <c r="D87" s="1" t="str">
        <f>VLOOKUP(C87,t_objeto!B:C,2,FALSE)</f>
        <v>KIT_MATERIAL</v>
      </c>
      <c r="E87" s="1">
        <v>8</v>
      </c>
      <c r="F87" s="1" t="str">
        <f>VLOOKUP(E87,t_entry_status!A:C,2,FALSE)</f>
        <v>PENDING</v>
      </c>
      <c r="G87" s="7">
        <v>45560</v>
      </c>
      <c r="H87" s="1" t="s">
        <v>7449</v>
      </c>
      <c r="I87" s="7">
        <v>45560</v>
      </c>
      <c r="J87" s="1" t="s">
        <v>7449</v>
      </c>
    </row>
    <row r="88" spans="1:10" x14ac:dyDescent="0.25">
      <c r="A88" s="1">
        <v>87</v>
      </c>
      <c r="B88" s="2" t="str">
        <f>_xlfn.CONCAT(C88,"-",VLOOKUP(C88,t_objeto!B:D,3,FALSE),"-",A88)</f>
        <v>KKMM-PERCCO-87</v>
      </c>
      <c r="C88" s="1" t="s">
        <v>7458</v>
      </c>
      <c r="D88" s="1" t="str">
        <f>VLOOKUP(C88,t_objeto!B:C,2,FALSE)</f>
        <v>KIT_MATERIAL</v>
      </c>
      <c r="E88" s="1">
        <v>8</v>
      </c>
      <c r="F88" s="1" t="str">
        <f>VLOOKUP(E88,t_entry_status!A:C,2,FALSE)</f>
        <v>PENDING</v>
      </c>
      <c r="G88" s="7">
        <v>45560</v>
      </c>
      <c r="H88" s="1" t="s">
        <v>7449</v>
      </c>
      <c r="I88" s="7">
        <v>45560</v>
      </c>
      <c r="J88" s="1" t="s">
        <v>7449</v>
      </c>
    </row>
    <row r="89" spans="1:10" x14ac:dyDescent="0.25">
      <c r="A89" s="1">
        <v>88</v>
      </c>
      <c r="B89" s="2" t="str">
        <f>_xlfn.CONCAT(C89,"-",VLOOKUP(C89,t_objeto!B:D,3,FALSE),"-",A89)</f>
        <v>KKMM-PERCCO-88</v>
      </c>
      <c r="C89" s="1" t="s">
        <v>7458</v>
      </c>
      <c r="D89" s="1" t="str">
        <f>VLOOKUP(C89,t_objeto!B:C,2,FALSE)</f>
        <v>KIT_MATERIAL</v>
      </c>
      <c r="E89" s="1">
        <v>8</v>
      </c>
      <c r="F89" s="1" t="str">
        <f>VLOOKUP(E89,t_entry_status!A:C,2,FALSE)</f>
        <v>PENDING</v>
      </c>
      <c r="G89" s="7">
        <v>45560</v>
      </c>
      <c r="H89" s="1" t="s">
        <v>7449</v>
      </c>
      <c r="I89" s="7">
        <v>45560</v>
      </c>
      <c r="J89" s="1" t="s">
        <v>7449</v>
      </c>
    </row>
    <row r="90" spans="1:10" x14ac:dyDescent="0.25">
      <c r="A90" s="1">
        <v>89</v>
      </c>
      <c r="B90" s="2" t="str">
        <f>_xlfn.CONCAT(C90,"-",VLOOKUP(C90,t_objeto!B:D,3,FALSE),"-",A90)</f>
        <v>KKMM-PERCCO-89</v>
      </c>
      <c r="C90" s="1" t="s">
        <v>7458</v>
      </c>
      <c r="D90" s="1" t="str">
        <f>VLOOKUP(C90,t_objeto!B:C,2,FALSE)</f>
        <v>KIT_MATERIAL</v>
      </c>
      <c r="E90" s="1">
        <v>8</v>
      </c>
      <c r="F90" s="1" t="str">
        <f>VLOOKUP(E90,t_entry_status!A:C,2,FALSE)</f>
        <v>PENDING</v>
      </c>
      <c r="G90" s="7">
        <v>45560</v>
      </c>
      <c r="H90" s="1" t="s">
        <v>7449</v>
      </c>
      <c r="I90" s="7">
        <v>45560</v>
      </c>
      <c r="J90" s="1" t="s">
        <v>7449</v>
      </c>
    </row>
    <row r="91" spans="1:10" x14ac:dyDescent="0.25">
      <c r="A91" s="1">
        <v>90</v>
      </c>
      <c r="B91" s="2" t="str">
        <f>_xlfn.CONCAT(C91,"-",VLOOKUP(C91,t_objeto!B:D,3,FALSE),"-",A91)</f>
        <v>KKMM-PERCCO-90</v>
      </c>
      <c r="C91" s="1" t="s">
        <v>7458</v>
      </c>
      <c r="D91" s="1" t="str">
        <f>VLOOKUP(C91,t_objeto!B:C,2,FALSE)</f>
        <v>KIT_MATERIAL</v>
      </c>
      <c r="E91" s="1">
        <v>8</v>
      </c>
      <c r="F91" s="1" t="str">
        <f>VLOOKUP(E91,t_entry_status!A:C,2,FALSE)</f>
        <v>PENDING</v>
      </c>
      <c r="G91" s="7">
        <v>45560</v>
      </c>
      <c r="H91" s="1" t="s">
        <v>7449</v>
      </c>
      <c r="I91" s="7">
        <v>45560</v>
      </c>
      <c r="J91" s="1" t="s">
        <v>7449</v>
      </c>
    </row>
    <row r="92" spans="1:10" x14ac:dyDescent="0.25">
      <c r="A92" s="1">
        <v>91</v>
      </c>
      <c r="B92" s="2" t="str">
        <f>_xlfn.CONCAT(C92,"-",VLOOKUP(C92,t_objeto!B:D,3,FALSE),"-",A92)</f>
        <v>KKMM-PERCCO-91</v>
      </c>
      <c r="C92" s="1" t="s">
        <v>7458</v>
      </c>
      <c r="D92" s="1" t="str">
        <f>VLOOKUP(C92,t_objeto!B:C,2,FALSE)</f>
        <v>KIT_MATERIAL</v>
      </c>
      <c r="E92" s="1">
        <v>8</v>
      </c>
      <c r="F92" s="1" t="str">
        <f>VLOOKUP(E92,t_entry_status!A:C,2,FALSE)</f>
        <v>PENDING</v>
      </c>
      <c r="G92" s="7">
        <v>45560</v>
      </c>
      <c r="H92" s="1" t="s">
        <v>7449</v>
      </c>
      <c r="I92" s="7">
        <v>45560</v>
      </c>
      <c r="J92" s="1" t="s">
        <v>7449</v>
      </c>
    </row>
    <row r="93" spans="1:10" x14ac:dyDescent="0.25">
      <c r="A93" s="1">
        <v>92</v>
      </c>
      <c r="B93" s="2" t="str">
        <f>_xlfn.CONCAT(C93,"-",VLOOKUP(C93,t_objeto!B:D,3,FALSE),"-",A93)</f>
        <v>KKMM-PERCCO-92</v>
      </c>
      <c r="C93" s="1" t="s">
        <v>7458</v>
      </c>
      <c r="D93" s="1" t="str">
        <f>VLOOKUP(C93,t_objeto!B:C,2,FALSE)</f>
        <v>KIT_MATERIAL</v>
      </c>
      <c r="E93" s="1">
        <v>8</v>
      </c>
      <c r="F93" s="1" t="str">
        <f>VLOOKUP(E93,t_entry_status!A:C,2,FALSE)</f>
        <v>PENDING</v>
      </c>
      <c r="G93" s="7">
        <v>45560</v>
      </c>
      <c r="H93" s="1" t="s">
        <v>7449</v>
      </c>
      <c r="I93" s="7">
        <v>45560</v>
      </c>
      <c r="J93" s="1" t="s">
        <v>7449</v>
      </c>
    </row>
    <row r="94" spans="1:10" x14ac:dyDescent="0.25">
      <c r="A94" s="1">
        <v>93</v>
      </c>
      <c r="B94" s="2" t="str">
        <f>_xlfn.CONCAT(C94,"-",VLOOKUP(C94,t_objeto!B:D,3,FALSE),"-",A94)</f>
        <v>KKMM-PERCCO-93</v>
      </c>
      <c r="C94" s="1" t="s">
        <v>7458</v>
      </c>
      <c r="D94" s="1" t="str">
        <f>VLOOKUP(C94,t_objeto!B:C,2,FALSE)</f>
        <v>KIT_MATERIAL</v>
      </c>
      <c r="E94" s="1">
        <v>8</v>
      </c>
      <c r="F94" s="1" t="str">
        <f>VLOOKUP(E94,t_entry_status!A:C,2,FALSE)</f>
        <v>PENDING</v>
      </c>
      <c r="G94" s="7">
        <v>45560</v>
      </c>
      <c r="H94" s="1" t="s">
        <v>7449</v>
      </c>
      <c r="I94" s="7">
        <v>45560</v>
      </c>
      <c r="J94" s="1" t="s">
        <v>7449</v>
      </c>
    </row>
    <row r="95" spans="1:10" x14ac:dyDescent="0.25">
      <c r="A95" s="1">
        <v>94</v>
      </c>
      <c r="B95" s="2" t="str">
        <f>_xlfn.CONCAT(C95,"-",VLOOKUP(C95,t_objeto!B:D,3,FALSE),"-",A95)</f>
        <v>KKMM-PERCCO-94</v>
      </c>
      <c r="C95" s="1" t="s">
        <v>7458</v>
      </c>
      <c r="D95" s="1" t="str">
        <f>VLOOKUP(C95,t_objeto!B:C,2,FALSE)</f>
        <v>KIT_MATERIAL</v>
      </c>
      <c r="E95" s="1">
        <v>8</v>
      </c>
      <c r="F95" s="1" t="str">
        <f>VLOOKUP(E95,t_entry_status!A:C,2,FALSE)</f>
        <v>PENDING</v>
      </c>
      <c r="G95" s="7">
        <v>45560</v>
      </c>
      <c r="H95" s="1" t="s">
        <v>7449</v>
      </c>
      <c r="I95" s="7">
        <v>45560</v>
      </c>
      <c r="J95" s="1" t="s">
        <v>7449</v>
      </c>
    </row>
    <row r="96" spans="1:10" x14ac:dyDescent="0.25">
      <c r="A96" s="1">
        <v>95</v>
      </c>
      <c r="B96" s="2" t="str">
        <f>_xlfn.CONCAT(C96,"-",VLOOKUP(C96,t_objeto!B:D,3,FALSE),"-",A96)</f>
        <v>KKMM-PERCCO-95</v>
      </c>
      <c r="C96" s="1" t="s">
        <v>7458</v>
      </c>
      <c r="D96" s="1" t="str">
        <f>VLOOKUP(C96,t_objeto!B:C,2,FALSE)</f>
        <v>KIT_MATERIAL</v>
      </c>
      <c r="E96" s="1">
        <v>8</v>
      </c>
      <c r="F96" s="1" t="str">
        <f>VLOOKUP(E96,t_entry_status!A:C,2,FALSE)</f>
        <v>PENDING</v>
      </c>
      <c r="G96" s="7">
        <v>45560</v>
      </c>
      <c r="H96" s="1" t="s">
        <v>7449</v>
      </c>
      <c r="I96" s="7">
        <v>45560</v>
      </c>
      <c r="J96" s="1" t="s">
        <v>7449</v>
      </c>
    </row>
    <row r="97" spans="1:10" x14ac:dyDescent="0.25">
      <c r="A97" s="1">
        <v>96</v>
      </c>
      <c r="B97" s="2" t="str">
        <f>_xlfn.CONCAT(C97,"-",VLOOKUP(C97,t_objeto!B:D,3,FALSE),"-",A97)</f>
        <v>KKMM-PERCCO-96</v>
      </c>
      <c r="C97" s="1" t="s">
        <v>7458</v>
      </c>
      <c r="D97" s="1" t="str">
        <f>VLOOKUP(C97,t_objeto!B:C,2,FALSE)</f>
        <v>KIT_MATERIAL</v>
      </c>
      <c r="E97" s="1">
        <v>8</v>
      </c>
      <c r="F97" s="1" t="str">
        <f>VLOOKUP(E97,t_entry_status!A:C,2,FALSE)</f>
        <v>PENDING</v>
      </c>
      <c r="G97" s="7">
        <v>45560</v>
      </c>
      <c r="H97" s="1" t="s">
        <v>7449</v>
      </c>
      <c r="I97" s="7">
        <v>45560</v>
      </c>
      <c r="J97" s="1" t="s">
        <v>7449</v>
      </c>
    </row>
    <row r="98" spans="1:10" x14ac:dyDescent="0.25">
      <c r="A98" s="1">
        <v>97</v>
      </c>
      <c r="B98" s="2" t="str">
        <f>_xlfn.CONCAT(C98,"-",VLOOKUP(C98,t_objeto!B:D,3,FALSE),"-",A98)</f>
        <v>KKMM-PERCCO-97</v>
      </c>
      <c r="C98" s="1" t="s">
        <v>7458</v>
      </c>
      <c r="D98" s="1" t="str">
        <f>VLOOKUP(C98,t_objeto!B:C,2,FALSE)</f>
        <v>KIT_MATERIAL</v>
      </c>
      <c r="E98" s="1">
        <v>8</v>
      </c>
      <c r="F98" s="1" t="str">
        <f>VLOOKUP(E98,t_entry_status!A:C,2,FALSE)</f>
        <v>PENDING</v>
      </c>
      <c r="G98" s="7">
        <v>45560</v>
      </c>
      <c r="H98" s="1" t="s">
        <v>7449</v>
      </c>
      <c r="I98" s="7">
        <v>45560</v>
      </c>
      <c r="J98" s="1" t="s">
        <v>7449</v>
      </c>
    </row>
    <row r="99" spans="1:10" x14ac:dyDescent="0.25">
      <c r="A99" s="1">
        <v>98</v>
      </c>
      <c r="B99" s="2" t="str">
        <f>_xlfn.CONCAT(C99,"-",VLOOKUP(C99,t_objeto!B:D,3,FALSE),"-",A99)</f>
        <v>KKMM-PERCCO-98</v>
      </c>
      <c r="C99" s="1" t="s">
        <v>7458</v>
      </c>
      <c r="D99" s="1" t="str">
        <f>VLOOKUP(C99,t_objeto!B:C,2,FALSE)</f>
        <v>KIT_MATERIAL</v>
      </c>
      <c r="E99" s="1">
        <v>8</v>
      </c>
      <c r="F99" s="1" t="str">
        <f>VLOOKUP(E99,t_entry_status!A:C,2,FALSE)</f>
        <v>PENDING</v>
      </c>
      <c r="G99" s="7">
        <v>45560</v>
      </c>
      <c r="H99" s="1" t="s">
        <v>7449</v>
      </c>
      <c r="I99" s="7">
        <v>45560</v>
      </c>
      <c r="J99" s="1" t="s">
        <v>7449</v>
      </c>
    </row>
    <row r="100" spans="1:10" x14ac:dyDescent="0.25">
      <c r="A100" s="1">
        <v>99</v>
      </c>
      <c r="B100" s="2" t="str">
        <f>_xlfn.CONCAT(C100,"-",VLOOKUP(C100,t_objeto!B:D,3,FALSE),"-",A100)</f>
        <v>KKMM-PERCCO-99</v>
      </c>
      <c r="C100" s="1" t="s">
        <v>7458</v>
      </c>
      <c r="D100" s="1" t="str">
        <f>VLOOKUP(C100,t_objeto!B:C,2,FALSE)</f>
        <v>KIT_MATERIAL</v>
      </c>
      <c r="E100" s="1">
        <v>8</v>
      </c>
      <c r="F100" s="1" t="str">
        <f>VLOOKUP(E100,t_entry_status!A:C,2,FALSE)</f>
        <v>PENDING</v>
      </c>
      <c r="G100" s="7">
        <v>45560</v>
      </c>
      <c r="H100" s="1" t="s">
        <v>7449</v>
      </c>
      <c r="I100" s="7">
        <v>45560</v>
      </c>
      <c r="J100" s="1" t="s">
        <v>7449</v>
      </c>
    </row>
    <row r="101" spans="1:10" x14ac:dyDescent="0.25">
      <c r="A101" s="1">
        <v>100</v>
      </c>
      <c r="B101" s="2" t="str">
        <f>_xlfn.CONCAT(C101,"-",VLOOKUP(C101,t_objeto!B:D,3,FALSE),"-",A101)</f>
        <v>KKMM-PERCCO-100</v>
      </c>
      <c r="C101" s="1" t="s">
        <v>7458</v>
      </c>
      <c r="D101" s="1" t="str">
        <f>VLOOKUP(C101,t_objeto!B:C,2,FALSE)</f>
        <v>KIT_MATERIAL</v>
      </c>
      <c r="E101" s="1">
        <v>8</v>
      </c>
      <c r="F101" s="1" t="str">
        <f>VLOOKUP(E101,t_entry_status!A:C,2,FALSE)</f>
        <v>PENDING</v>
      </c>
      <c r="G101" s="7">
        <v>45560</v>
      </c>
      <c r="H101" s="1" t="s">
        <v>7449</v>
      </c>
      <c r="I101" s="7">
        <v>45560</v>
      </c>
      <c r="J101" s="1" t="s">
        <v>7449</v>
      </c>
    </row>
    <row r="102" spans="1:10" x14ac:dyDescent="0.25">
      <c r="A102" s="1">
        <v>101</v>
      </c>
      <c r="B102" s="2" t="str">
        <f>_xlfn.CONCAT(C102,"-",VLOOKUP(C102,t_objeto!B:D,3,FALSE),"-",A102)</f>
        <v>KKMM-PERCCO-101</v>
      </c>
      <c r="C102" s="1" t="s">
        <v>7458</v>
      </c>
      <c r="D102" s="1" t="str">
        <f>VLOOKUP(C102,t_objeto!B:C,2,FALSE)</f>
        <v>KIT_MATERIAL</v>
      </c>
      <c r="E102" s="1">
        <v>8</v>
      </c>
      <c r="F102" s="1" t="str">
        <f>VLOOKUP(E102,t_entry_status!A:C,2,FALSE)</f>
        <v>PENDING</v>
      </c>
      <c r="G102" s="7">
        <v>45560</v>
      </c>
      <c r="H102" s="1" t="s">
        <v>7449</v>
      </c>
      <c r="I102" s="7">
        <v>45560</v>
      </c>
      <c r="J102" s="1" t="s">
        <v>7449</v>
      </c>
    </row>
    <row r="103" spans="1:10" x14ac:dyDescent="0.25">
      <c r="A103" s="1">
        <v>102</v>
      </c>
      <c r="B103" s="2" t="str">
        <f>_xlfn.CONCAT(C103,"-",VLOOKUP(C103,t_objeto!B:D,3,FALSE),"-",A103)</f>
        <v>KKMM-PERCCO-102</v>
      </c>
      <c r="C103" s="1" t="s">
        <v>7458</v>
      </c>
      <c r="D103" s="1" t="str">
        <f>VLOOKUP(C103,t_objeto!B:C,2,FALSE)</f>
        <v>KIT_MATERIAL</v>
      </c>
      <c r="E103" s="1">
        <v>8</v>
      </c>
      <c r="F103" s="1" t="str">
        <f>VLOOKUP(E103,t_entry_status!A:C,2,FALSE)</f>
        <v>PENDING</v>
      </c>
      <c r="G103" s="7">
        <v>45560</v>
      </c>
      <c r="H103" s="1" t="s">
        <v>7449</v>
      </c>
      <c r="I103" s="7">
        <v>45560</v>
      </c>
      <c r="J103" s="1" t="s">
        <v>7449</v>
      </c>
    </row>
    <row r="104" spans="1:10" x14ac:dyDescent="0.25">
      <c r="A104" s="1">
        <v>103</v>
      </c>
      <c r="B104" s="2" t="str">
        <f>_xlfn.CONCAT(C104,"-",VLOOKUP(C104,t_objeto!B:D,3,FALSE),"-",A104)</f>
        <v>KKMM-PERCCO-103</v>
      </c>
      <c r="C104" s="1" t="s">
        <v>7458</v>
      </c>
      <c r="D104" s="1" t="str">
        <f>VLOOKUP(C104,t_objeto!B:C,2,FALSE)</f>
        <v>KIT_MATERIAL</v>
      </c>
      <c r="E104" s="1">
        <v>8</v>
      </c>
      <c r="F104" s="1" t="str">
        <f>VLOOKUP(E104,t_entry_status!A:C,2,FALSE)</f>
        <v>PENDING</v>
      </c>
      <c r="G104" s="7">
        <v>45560</v>
      </c>
      <c r="H104" s="1" t="s">
        <v>7449</v>
      </c>
      <c r="I104" s="7">
        <v>45560</v>
      </c>
      <c r="J104" s="1" t="s">
        <v>7449</v>
      </c>
    </row>
    <row r="105" spans="1:10" x14ac:dyDescent="0.25">
      <c r="A105" s="1">
        <v>104</v>
      </c>
      <c r="B105" s="2" t="str">
        <f>_xlfn.CONCAT(C105,"-",VLOOKUP(C105,t_objeto!B:D,3,FALSE),"-",A105)</f>
        <v>KKMM-PERCCO-104</v>
      </c>
      <c r="C105" s="1" t="s">
        <v>7458</v>
      </c>
      <c r="D105" s="1" t="str">
        <f>VLOOKUP(C105,t_objeto!B:C,2,FALSE)</f>
        <v>KIT_MATERIAL</v>
      </c>
      <c r="E105" s="1">
        <v>8</v>
      </c>
      <c r="F105" s="1" t="str">
        <f>VLOOKUP(E105,t_entry_status!A:C,2,FALSE)</f>
        <v>PENDING</v>
      </c>
      <c r="G105" s="7">
        <v>45560</v>
      </c>
      <c r="H105" s="1" t="s">
        <v>7449</v>
      </c>
      <c r="I105" s="7">
        <v>45560</v>
      </c>
      <c r="J105" s="1" t="s">
        <v>7449</v>
      </c>
    </row>
    <row r="106" spans="1:10" x14ac:dyDescent="0.25">
      <c r="A106" s="1">
        <v>105</v>
      </c>
      <c r="B106" s="2" t="str">
        <f>_xlfn.CONCAT(C106,"-",VLOOKUP(C106,t_objeto!B:D,3,FALSE),"-",A106)</f>
        <v>KKMM-PERCCO-105</v>
      </c>
      <c r="C106" s="1" t="s">
        <v>7458</v>
      </c>
      <c r="D106" s="1" t="str">
        <f>VLOOKUP(C106,t_objeto!B:C,2,FALSE)</f>
        <v>KIT_MATERIAL</v>
      </c>
      <c r="E106" s="1">
        <v>8</v>
      </c>
      <c r="F106" s="1" t="str">
        <f>VLOOKUP(E106,t_entry_status!A:C,2,FALSE)</f>
        <v>PENDING</v>
      </c>
      <c r="G106" s="7">
        <v>45560</v>
      </c>
      <c r="H106" s="1" t="s">
        <v>7449</v>
      </c>
      <c r="I106" s="7">
        <v>45560</v>
      </c>
      <c r="J106" s="1" t="s">
        <v>7449</v>
      </c>
    </row>
    <row r="107" spans="1:10" x14ac:dyDescent="0.25">
      <c r="A107" s="1">
        <v>106</v>
      </c>
      <c r="B107" s="2" t="str">
        <f>_xlfn.CONCAT(C107,"-",VLOOKUP(C107,t_objeto!B:D,3,FALSE),"-",A107)</f>
        <v>KKMM-PERCCO-106</v>
      </c>
      <c r="C107" s="1" t="s">
        <v>7458</v>
      </c>
      <c r="D107" s="1" t="str">
        <f>VLOOKUP(C107,t_objeto!B:C,2,FALSE)</f>
        <v>KIT_MATERIAL</v>
      </c>
      <c r="E107" s="1">
        <v>8</v>
      </c>
      <c r="F107" s="1" t="str">
        <f>VLOOKUP(E107,t_entry_status!A:C,2,FALSE)</f>
        <v>PENDING</v>
      </c>
      <c r="G107" s="7">
        <v>45560</v>
      </c>
      <c r="H107" s="1" t="s">
        <v>7449</v>
      </c>
      <c r="I107" s="7">
        <v>45560</v>
      </c>
      <c r="J107" s="1" t="s">
        <v>7449</v>
      </c>
    </row>
    <row r="108" spans="1:10" x14ac:dyDescent="0.25">
      <c r="A108" s="1">
        <v>107</v>
      </c>
      <c r="B108" s="2" t="str">
        <f>_xlfn.CONCAT(C108,"-",VLOOKUP(C108,t_objeto!B:D,3,FALSE),"-",A108)</f>
        <v>KKMM-PERCCO-107</v>
      </c>
      <c r="C108" s="1" t="s">
        <v>7458</v>
      </c>
      <c r="D108" s="1" t="str">
        <f>VLOOKUP(C108,t_objeto!B:C,2,FALSE)</f>
        <v>KIT_MATERIAL</v>
      </c>
      <c r="E108" s="1">
        <v>8</v>
      </c>
      <c r="F108" s="1" t="str">
        <f>VLOOKUP(E108,t_entry_status!A:C,2,FALSE)</f>
        <v>PENDING</v>
      </c>
      <c r="G108" s="7">
        <v>45560</v>
      </c>
      <c r="H108" s="1" t="s">
        <v>7449</v>
      </c>
      <c r="I108" s="7">
        <v>45560</v>
      </c>
      <c r="J108" s="1" t="s">
        <v>7449</v>
      </c>
    </row>
    <row r="109" spans="1:10" x14ac:dyDescent="0.25">
      <c r="A109" s="1">
        <v>108</v>
      </c>
      <c r="B109" s="2" t="str">
        <f>_xlfn.CONCAT(C109,"-",VLOOKUP(C109,t_objeto!B:D,3,FALSE),"-",A109)</f>
        <v>KKMM-PERCCO-108</v>
      </c>
      <c r="C109" s="1" t="s">
        <v>7458</v>
      </c>
      <c r="D109" s="1" t="str">
        <f>VLOOKUP(C109,t_objeto!B:C,2,FALSE)</f>
        <v>KIT_MATERIAL</v>
      </c>
      <c r="E109" s="1">
        <v>8</v>
      </c>
      <c r="F109" s="1" t="str">
        <f>VLOOKUP(E109,t_entry_status!A:C,2,FALSE)</f>
        <v>PENDING</v>
      </c>
      <c r="G109" s="7">
        <v>45560</v>
      </c>
      <c r="H109" s="1" t="s">
        <v>7449</v>
      </c>
      <c r="I109" s="7">
        <v>45560</v>
      </c>
      <c r="J109" s="1" t="s">
        <v>7449</v>
      </c>
    </row>
    <row r="110" spans="1:10" x14ac:dyDescent="0.25">
      <c r="A110" s="1">
        <v>109</v>
      </c>
      <c r="B110" s="2" t="str">
        <f>_xlfn.CONCAT(C110,"-",VLOOKUP(C110,t_objeto!B:D,3,FALSE),"-",A110)</f>
        <v>KKMM-PERCCO-109</v>
      </c>
      <c r="C110" s="1" t="s">
        <v>7458</v>
      </c>
      <c r="D110" s="1" t="str">
        <f>VLOOKUP(C110,t_objeto!B:C,2,FALSE)</f>
        <v>KIT_MATERIAL</v>
      </c>
      <c r="E110" s="1">
        <v>8</v>
      </c>
      <c r="F110" s="1" t="str">
        <f>VLOOKUP(E110,t_entry_status!A:C,2,FALSE)</f>
        <v>PENDING</v>
      </c>
      <c r="G110" s="7">
        <v>45560</v>
      </c>
      <c r="H110" s="1" t="s">
        <v>7449</v>
      </c>
      <c r="I110" s="7">
        <v>45560</v>
      </c>
      <c r="J110" s="1" t="s">
        <v>7449</v>
      </c>
    </row>
    <row r="111" spans="1:10" x14ac:dyDescent="0.25">
      <c r="A111" s="1">
        <v>110</v>
      </c>
      <c r="B111" s="2" t="str">
        <f>_xlfn.CONCAT(C111,"-",VLOOKUP(C111,t_objeto!B:D,3,FALSE),"-",A111)</f>
        <v>KKMM-PERCCO-110</v>
      </c>
      <c r="C111" s="1" t="s">
        <v>7458</v>
      </c>
      <c r="D111" s="1" t="str">
        <f>VLOOKUP(C111,t_objeto!B:C,2,FALSE)</f>
        <v>KIT_MATERIAL</v>
      </c>
      <c r="E111" s="1">
        <v>8</v>
      </c>
      <c r="F111" s="1" t="str">
        <f>VLOOKUP(E111,t_entry_status!A:C,2,FALSE)</f>
        <v>PENDING</v>
      </c>
      <c r="G111" s="7">
        <v>45560</v>
      </c>
      <c r="H111" s="1" t="s">
        <v>7449</v>
      </c>
      <c r="I111" s="7">
        <v>45560</v>
      </c>
      <c r="J111" s="1" t="s">
        <v>7449</v>
      </c>
    </row>
    <row r="112" spans="1:10" x14ac:dyDescent="0.25">
      <c r="A112" s="1">
        <v>111</v>
      </c>
      <c r="B112" s="2" t="str">
        <f>_xlfn.CONCAT(C112,"-",VLOOKUP(C112,t_objeto!B:D,3,FALSE),"-",A112)</f>
        <v>KKMM-PERCCO-111</v>
      </c>
      <c r="C112" s="1" t="s">
        <v>7458</v>
      </c>
      <c r="D112" s="1" t="str">
        <f>VLOOKUP(C112,t_objeto!B:C,2,FALSE)</f>
        <v>KIT_MATERIAL</v>
      </c>
      <c r="E112" s="1">
        <v>8</v>
      </c>
      <c r="F112" s="1" t="str">
        <f>VLOOKUP(E112,t_entry_status!A:C,2,FALSE)</f>
        <v>PENDING</v>
      </c>
      <c r="G112" s="7">
        <v>45560</v>
      </c>
      <c r="H112" s="1" t="s">
        <v>7449</v>
      </c>
      <c r="I112" s="7">
        <v>45560</v>
      </c>
      <c r="J112" s="1" t="s">
        <v>7449</v>
      </c>
    </row>
    <row r="113" spans="1:10" x14ac:dyDescent="0.25">
      <c r="A113" s="1">
        <v>112</v>
      </c>
      <c r="B113" s="2" t="str">
        <f>_xlfn.CONCAT(C113,"-",VLOOKUP(C113,t_objeto!B:D,3,FALSE),"-",A113)</f>
        <v>KKMM-PERCCO-112</v>
      </c>
      <c r="C113" s="1" t="s">
        <v>7458</v>
      </c>
      <c r="D113" s="1" t="str">
        <f>VLOOKUP(C113,t_objeto!B:C,2,FALSE)</f>
        <v>KIT_MATERIAL</v>
      </c>
      <c r="E113" s="1">
        <v>8</v>
      </c>
      <c r="F113" s="1" t="str">
        <f>VLOOKUP(E113,t_entry_status!A:C,2,FALSE)</f>
        <v>PENDING</v>
      </c>
      <c r="G113" s="7">
        <v>45560</v>
      </c>
      <c r="H113" s="1" t="s">
        <v>7449</v>
      </c>
      <c r="I113" s="7">
        <v>45560</v>
      </c>
      <c r="J113" s="1" t="s">
        <v>7449</v>
      </c>
    </row>
    <row r="114" spans="1:10" x14ac:dyDescent="0.25">
      <c r="A114" s="1">
        <v>113</v>
      </c>
      <c r="B114" s="2" t="str">
        <f>_xlfn.CONCAT(C114,"-",VLOOKUP(C114,t_objeto!B:D,3,FALSE),"-",A114)</f>
        <v>KKMM-PERCCO-113</v>
      </c>
      <c r="C114" s="1" t="s">
        <v>7458</v>
      </c>
      <c r="D114" s="1" t="str">
        <f>VLOOKUP(C114,t_objeto!B:C,2,FALSE)</f>
        <v>KIT_MATERIAL</v>
      </c>
      <c r="E114" s="1">
        <v>8</v>
      </c>
      <c r="F114" s="1" t="str">
        <f>VLOOKUP(E114,t_entry_status!A:C,2,FALSE)</f>
        <v>PENDING</v>
      </c>
      <c r="G114" s="7">
        <v>45560</v>
      </c>
      <c r="H114" s="1" t="s">
        <v>7449</v>
      </c>
      <c r="I114" s="7">
        <v>45560</v>
      </c>
      <c r="J114" s="1" t="s">
        <v>7449</v>
      </c>
    </row>
    <row r="115" spans="1:10" x14ac:dyDescent="0.25">
      <c r="A115" s="1">
        <v>114</v>
      </c>
      <c r="B115" s="2" t="str">
        <f>_xlfn.CONCAT(C115,"-",VLOOKUP(C115,t_objeto!B:D,3,FALSE),"-",A115)</f>
        <v>KKMM-PERCCO-114</v>
      </c>
      <c r="C115" s="1" t="s">
        <v>7458</v>
      </c>
      <c r="D115" s="1" t="str">
        <f>VLOOKUP(C115,t_objeto!B:C,2,FALSE)</f>
        <v>KIT_MATERIAL</v>
      </c>
      <c r="E115" s="1">
        <v>8</v>
      </c>
      <c r="F115" s="1" t="str">
        <f>VLOOKUP(E115,t_entry_status!A:C,2,FALSE)</f>
        <v>PENDING</v>
      </c>
      <c r="G115" s="7">
        <v>45560</v>
      </c>
      <c r="H115" s="1" t="s">
        <v>7449</v>
      </c>
      <c r="I115" s="7">
        <v>45560</v>
      </c>
      <c r="J115" s="1" t="s">
        <v>7449</v>
      </c>
    </row>
    <row r="116" spans="1:10" x14ac:dyDescent="0.25">
      <c r="A116" s="1">
        <v>115</v>
      </c>
      <c r="B116" s="2" t="str">
        <f>_xlfn.CONCAT(C116,"-",VLOOKUP(C116,t_objeto!B:D,3,FALSE),"-",A116)</f>
        <v>KKMM-PERCCO-115</v>
      </c>
      <c r="C116" s="1" t="s">
        <v>7458</v>
      </c>
      <c r="D116" s="1" t="str">
        <f>VLOOKUP(C116,t_objeto!B:C,2,FALSE)</f>
        <v>KIT_MATERIAL</v>
      </c>
      <c r="E116" s="1">
        <v>8</v>
      </c>
      <c r="F116" s="1" t="str">
        <f>VLOOKUP(E116,t_entry_status!A:C,2,FALSE)</f>
        <v>PENDING</v>
      </c>
      <c r="G116" s="7">
        <v>45560</v>
      </c>
      <c r="H116" s="1" t="s">
        <v>7449</v>
      </c>
      <c r="I116" s="7">
        <v>45560</v>
      </c>
      <c r="J116" s="1" t="s">
        <v>7449</v>
      </c>
    </row>
    <row r="117" spans="1:10" x14ac:dyDescent="0.25">
      <c r="A117" s="1">
        <v>116</v>
      </c>
      <c r="B117" s="2" t="str">
        <f>_xlfn.CONCAT(C117,"-",VLOOKUP(C117,t_objeto!B:D,3,FALSE),"-",A117)</f>
        <v>KKMM-PERCCO-116</v>
      </c>
      <c r="C117" s="1" t="s">
        <v>7458</v>
      </c>
      <c r="D117" s="1" t="str">
        <f>VLOOKUP(C117,t_objeto!B:C,2,FALSE)</f>
        <v>KIT_MATERIAL</v>
      </c>
      <c r="E117" s="1">
        <v>8</v>
      </c>
      <c r="F117" s="1" t="str">
        <f>VLOOKUP(E117,t_entry_status!A:C,2,FALSE)</f>
        <v>PENDING</v>
      </c>
      <c r="G117" s="7">
        <v>45560</v>
      </c>
      <c r="H117" s="1" t="s">
        <v>7449</v>
      </c>
      <c r="I117" s="7">
        <v>45560</v>
      </c>
      <c r="J117" s="1" t="s">
        <v>7449</v>
      </c>
    </row>
    <row r="118" spans="1:10" x14ac:dyDescent="0.25">
      <c r="A118" s="1">
        <v>117</v>
      </c>
      <c r="B118" s="2" t="str">
        <f>_xlfn.CONCAT(C118,"-",VLOOKUP(C118,t_objeto!B:D,3,FALSE),"-",A118)</f>
        <v>KKMM-PERCCO-117</v>
      </c>
      <c r="C118" s="1" t="s">
        <v>7458</v>
      </c>
      <c r="D118" s="1" t="str">
        <f>VLOOKUP(C118,t_objeto!B:C,2,FALSE)</f>
        <v>KIT_MATERIAL</v>
      </c>
      <c r="E118" s="1">
        <v>8</v>
      </c>
      <c r="F118" s="1" t="str">
        <f>VLOOKUP(E118,t_entry_status!A:C,2,FALSE)</f>
        <v>PENDING</v>
      </c>
      <c r="G118" s="7">
        <v>45560</v>
      </c>
      <c r="H118" s="1" t="s">
        <v>7449</v>
      </c>
      <c r="I118" s="7">
        <v>45560</v>
      </c>
      <c r="J118" s="1" t="s">
        <v>7449</v>
      </c>
    </row>
    <row r="119" spans="1:10" x14ac:dyDescent="0.25">
      <c r="A119" s="1">
        <v>118</v>
      </c>
      <c r="B119" s="2" t="str">
        <f>_xlfn.CONCAT(C119,"-",VLOOKUP(C119,t_objeto!B:D,3,FALSE),"-",A119)</f>
        <v>KKMM-PERCCO-118</v>
      </c>
      <c r="C119" s="1" t="s">
        <v>7458</v>
      </c>
      <c r="D119" s="1" t="str">
        <f>VLOOKUP(C119,t_objeto!B:C,2,FALSE)</f>
        <v>KIT_MATERIAL</v>
      </c>
      <c r="E119" s="1">
        <v>8</v>
      </c>
      <c r="F119" s="1" t="str">
        <f>VLOOKUP(E119,t_entry_status!A:C,2,FALSE)</f>
        <v>PENDING</v>
      </c>
      <c r="G119" s="7">
        <v>45560</v>
      </c>
      <c r="H119" s="1" t="s">
        <v>7449</v>
      </c>
      <c r="I119" s="7">
        <v>45560</v>
      </c>
      <c r="J119" s="1" t="s">
        <v>7449</v>
      </c>
    </row>
    <row r="120" spans="1:10" x14ac:dyDescent="0.25">
      <c r="A120" s="1">
        <v>119</v>
      </c>
      <c r="B120" s="2" t="str">
        <f>_xlfn.CONCAT(C120,"-",VLOOKUP(C120,t_objeto!B:D,3,FALSE),"-",A120)</f>
        <v>KKMM-PERCCO-119</v>
      </c>
      <c r="C120" s="1" t="s">
        <v>7458</v>
      </c>
      <c r="D120" s="1" t="str">
        <f>VLOOKUP(C120,t_objeto!B:C,2,FALSE)</f>
        <v>KIT_MATERIAL</v>
      </c>
      <c r="E120" s="1">
        <v>8</v>
      </c>
      <c r="F120" s="1" t="str">
        <f>VLOOKUP(E120,t_entry_status!A:C,2,FALSE)</f>
        <v>PENDING</v>
      </c>
      <c r="G120" s="7">
        <v>45560</v>
      </c>
      <c r="H120" s="1" t="s">
        <v>7449</v>
      </c>
      <c r="I120" s="7">
        <v>45560</v>
      </c>
      <c r="J120" s="1" t="s">
        <v>7449</v>
      </c>
    </row>
    <row r="121" spans="1:10" x14ac:dyDescent="0.25">
      <c r="A121" s="1">
        <v>120</v>
      </c>
      <c r="B121" s="2" t="str">
        <f>_xlfn.CONCAT(C121,"-",VLOOKUP(C121,t_objeto!B:D,3,FALSE),"-",A121)</f>
        <v>KKMM-PERCCO-120</v>
      </c>
      <c r="C121" s="1" t="s">
        <v>7458</v>
      </c>
      <c r="D121" s="1" t="str">
        <f>VLOOKUP(C121,t_objeto!B:C,2,FALSE)</f>
        <v>KIT_MATERIAL</v>
      </c>
      <c r="E121" s="1">
        <v>8</v>
      </c>
      <c r="F121" s="1" t="str">
        <f>VLOOKUP(E121,t_entry_status!A:C,2,FALSE)</f>
        <v>PENDING</v>
      </c>
      <c r="G121" s="7">
        <v>45560</v>
      </c>
      <c r="H121" s="1" t="s">
        <v>7449</v>
      </c>
      <c r="I121" s="7">
        <v>45560</v>
      </c>
      <c r="J121" s="1" t="s">
        <v>7449</v>
      </c>
    </row>
    <row r="122" spans="1:10" x14ac:dyDescent="0.25">
      <c r="A122" s="1">
        <v>121</v>
      </c>
      <c r="B122" s="2" t="str">
        <f>_xlfn.CONCAT(C122,"-",VLOOKUP(C122,t_objeto!B:D,3,FALSE),"-",A122)</f>
        <v>KKMM-PERCCO-121</v>
      </c>
      <c r="C122" s="1" t="s">
        <v>7458</v>
      </c>
      <c r="D122" s="1" t="str">
        <f>VLOOKUP(C122,t_objeto!B:C,2,FALSE)</f>
        <v>KIT_MATERIAL</v>
      </c>
      <c r="E122" s="1">
        <v>8</v>
      </c>
      <c r="F122" s="1" t="str">
        <f>VLOOKUP(E122,t_entry_status!A:C,2,FALSE)</f>
        <v>PENDING</v>
      </c>
      <c r="G122" s="7">
        <v>45560</v>
      </c>
      <c r="H122" s="1" t="s">
        <v>7449</v>
      </c>
      <c r="I122" s="7">
        <v>45560</v>
      </c>
      <c r="J122" s="1" t="s">
        <v>7449</v>
      </c>
    </row>
    <row r="123" spans="1:10" x14ac:dyDescent="0.25">
      <c r="A123" s="1">
        <v>122</v>
      </c>
      <c r="B123" s="2" t="str">
        <f>_xlfn.CONCAT(C123,"-",VLOOKUP(C123,t_objeto!B:D,3,FALSE),"-",A123)</f>
        <v>KKMM-PERCCO-122</v>
      </c>
      <c r="C123" s="1" t="s">
        <v>7458</v>
      </c>
      <c r="D123" s="1" t="str">
        <f>VLOOKUP(C123,t_objeto!B:C,2,FALSE)</f>
        <v>KIT_MATERIAL</v>
      </c>
      <c r="E123" s="1">
        <v>8</v>
      </c>
      <c r="F123" s="1" t="str">
        <f>VLOOKUP(E123,t_entry_status!A:C,2,FALSE)</f>
        <v>PENDING</v>
      </c>
      <c r="G123" s="7">
        <v>45560</v>
      </c>
      <c r="H123" s="1" t="s">
        <v>7449</v>
      </c>
      <c r="I123" s="7">
        <v>45560</v>
      </c>
      <c r="J123" s="1" t="s">
        <v>7449</v>
      </c>
    </row>
    <row r="124" spans="1:10" x14ac:dyDescent="0.25">
      <c r="A124" s="1">
        <v>123</v>
      </c>
      <c r="B124" s="2" t="str">
        <f>_xlfn.CONCAT(C124,"-",VLOOKUP(C124,t_objeto!B:D,3,FALSE),"-",A124)</f>
        <v>KKMM-PERCCO-123</v>
      </c>
      <c r="C124" s="1" t="s">
        <v>7458</v>
      </c>
      <c r="D124" s="1" t="str">
        <f>VLOOKUP(C124,t_objeto!B:C,2,FALSE)</f>
        <v>KIT_MATERIAL</v>
      </c>
      <c r="E124" s="1">
        <v>8</v>
      </c>
      <c r="F124" s="1" t="str">
        <f>VLOOKUP(E124,t_entry_status!A:C,2,FALSE)</f>
        <v>PENDING</v>
      </c>
      <c r="G124" s="7">
        <v>45560</v>
      </c>
      <c r="H124" s="1" t="s">
        <v>7449</v>
      </c>
      <c r="I124" s="7">
        <v>45560</v>
      </c>
      <c r="J124" s="1" t="s">
        <v>7449</v>
      </c>
    </row>
    <row r="125" spans="1:10" x14ac:dyDescent="0.25">
      <c r="A125" s="1">
        <v>124</v>
      </c>
      <c r="B125" s="2" t="str">
        <f>_xlfn.CONCAT(C125,"-",VLOOKUP(C125,t_objeto!B:D,3,FALSE),"-",A125)</f>
        <v>KKMM-PERCCO-124</v>
      </c>
      <c r="C125" s="1" t="s">
        <v>7458</v>
      </c>
      <c r="D125" s="1" t="str">
        <f>VLOOKUP(C125,t_objeto!B:C,2,FALSE)</f>
        <v>KIT_MATERIAL</v>
      </c>
      <c r="E125" s="1">
        <v>8</v>
      </c>
      <c r="F125" s="1" t="str">
        <f>VLOOKUP(E125,t_entry_status!A:C,2,FALSE)</f>
        <v>PENDING</v>
      </c>
      <c r="G125" s="7">
        <v>45560</v>
      </c>
      <c r="H125" s="1" t="s">
        <v>7449</v>
      </c>
      <c r="I125" s="7">
        <v>45560</v>
      </c>
      <c r="J125" s="1" t="s">
        <v>7449</v>
      </c>
    </row>
    <row r="126" spans="1:10" x14ac:dyDescent="0.25">
      <c r="A126" s="1">
        <v>125</v>
      </c>
      <c r="B126" s="2" t="str">
        <f>_xlfn.CONCAT(C126,"-",VLOOKUP(C126,t_objeto!B:D,3,FALSE),"-",A126)</f>
        <v>KKMM-PERCCO-125</v>
      </c>
      <c r="C126" s="1" t="s">
        <v>7458</v>
      </c>
      <c r="D126" s="1" t="str">
        <f>VLOOKUP(C126,t_objeto!B:C,2,FALSE)</f>
        <v>KIT_MATERIAL</v>
      </c>
      <c r="E126" s="1">
        <v>8</v>
      </c>
      <c r="F126" s="1" t="str">
        <f>VLOOKUP(E126,t_entry_status!A:C,2,FALSE)</f>
        <v>PENDING</v>
      </c>
      <c r="G126" s="7">
        <v>45560</v>
      </c>
      <c r="H126" s="1" t="s">
        <v>7449</v>
      </c>
      <c r="I126" s="7">
        <v>45560</v>
      </c>
      <c r="J126" s="1" t="s">
        <v>7449</v>
      </c>
    </row>
    <row r="127" spans="1:10" x14ac:dyDescent="0.25">
      <c r="A127" s="1">
        <v>126</v>
      </c>
      <c r="B127" s="2" t="str">
        <f>_xlfn.CONCAT(C127,"-",VLOOKUP(C127,t_objeto!B:D,3,FALSE),"-",A127)</f>
        <v>KKMM-PERCCO-126</v>
      </c>
      <c r="C127" s="1" t="s">
        <v>7458</v>
      </c>
      <c r="D127" s="1" t="str">
        <f>VLOOKUP(C127,t_objeto!B:C,2,FALSE)</f>
        <v>KIT_MATERIAL</v>
      </c>
      <c r="E127" s="1">
        <v>8</v>
      </c>
      <c r="F127" s="1" t="str">
        <f>VLOOKUP(E127,t_entry_status!A:C,2,FALSE)</f>
        <v>PENDING</v>
      </c>
      <c r="G127" s="7">
        <v>45560</v>
      </c>
      <c r="H127" s="1" t="s">
        <v>7449</v>
      </c>
      <c r="I127" s="7">
        <v>45560</v>
      </c>
      <c r="J127" s="1" t="s">
        <v>7449</v>
      </c>
    </row>
    <row r="128" spans="1:10" x14ac:dyDescent="0.25">
      <c r="A128" s="1">
        <v>127</v>
      </c>
      <c r="B128" s="2" t="str">
        <f>_xlfn.CONCAT(C128,"-",VLOOKUP(C128,t_objeto!B:D,3,FALSE),"-",A128)</f>
        <v>KKMM-PERCCO-127</v>
      </c>
      <c r="C128" s="1" t="s">
        <v>7458</v>
      </c>
      <c r="D128" s="1" t="str">
        <f>VLOOKUP(C128,t_objeto!B:C,2,FALSE)</f>
        <v>KIT_MATERIAL</v>
      </c>
      <c r="E128" s="1">
        <v>8</v>
      </c>
      <c r="F128" s="1" t="str">
        <f>VLOOKUP(E128,t_entry_status!A:C,2,FALSE)</f>
        <v>PENDING</v>
      </c>
      <c r="G128" s="7">
        <v>45560</v>
      </c>
      <c r="H128" s="1" t="s">
        <v>7449</v>
      </c>
      <c r="I128" s="7">
        <v>45560</v>
      </c>
      <c r="J128" s="1" t="s">
        <v>7449</v>
      </c>
    </row>
    <row r="129" spans="1:10" x14ac:dyDescent="0.25">
      <c r="A129" s="1">
        <v>128</v>
      </c>
      <c r="B129" s="2" t="str">
        <f>_xlfn.CONCAT(C129,"-",VLOOKUP(C129,t_objeto!B:D,3,FALSE),"-",A129)</f>
        <v>KKMM-PERCCO-128</v>
      </c>
      <c r="C129" s="1" t="s">
        <v>7458</v>
      </c>
      <c r="D129" s="1" t="str">
        <f>VLOOKUP(C129,t_objeto!B:C,2,FALSE)</f>
        <v>KIT_MATERIAL</v>
      </c>
      <c r="E129" s="1">
        <v>8</v>
      </c>
      <c r="F129" s="1" t="str">
        <f>VLOOKUP(E129,t_entry_status!A:C,2,FALSE)</f>
        <v>PENDING</v>
      </c>
      <c r="G129" s="7">
        <v>45560</v>
      </c>
      <c r="H129" s="1" t="s">
        <v>7449</v>
      </c>
      <c r="I129" s="7">
        <v>45560</v>
      </c>
      <c r="J129" s="1" t="s">
        <v>7449</v>
      </c>
    </row>
    <row r="130" spans="1:10" x14ac:dyDescent="0.25">
      <c r="A130" s="1">
        <v>129</v>
      </c>
      <c r="B130" s="2" t="str">
        <f>_xlfn.CONCAT(C130,"-",VLOOKUP(C130,t_objeto!B:D,3,FALSE),"-",A130)</f>
        <v>KKMM-PERCCO-129</v>
      </c>
      <c r="C130" s="1" t="s">
        <v>7458</v>
      </c>
      <c r="D130" s="1" t="str">
        <f>VLOOKUP(C130,t_objeto!B:C,2,FALSE)</f>
        <v>KIT_MATERIAL</v>
      </c>
      <c r="E130" s="1">
        <v>8</v>
      </c>
      <c r="F130" s="1" t="str">
        <f>VLOOKUP(E130,t_entry_status!A:C,2,FALSE)</f>
        <v>PENDING</v>
      </c>
      <c r="G130" s="7">
        <v>45560</v>
      </c>
      <c r="H130" s="1" t="s">
        <v>7449</v>
      </c>
      <c r="I130" s="7">
        <v>45560</v>
      </c>
      <c r="J130" s="1" t="s">
        <v>7449</v>
      </c>
    </row>
    <row r="131" spans="1:10" x14ac:dyDescent="0.25">
      <c r="A131" s="1">
        <v>130</v>
      </c>
      <c r="B131" s="2" t="str">
        <f>_xlfn.CONCAT(C131,"-",VLOOKUP(C131,t_objeto!B:D,3,FALSE),"-",A131)</f>
        <v>KKMM-PERCCO-130</v>
      </c>
      <c r="C131" s="1" t="s">
        <v>7458</v>
      </c>
      <c r="D131" s="1" t="str">
        <f>VLOOKUP(C131,t_objeto!B:C,2,FALSE)</f>
        <v>KIT_MATERIAL</v>
      </c>
      <c r="E131" s="1">
        <v>8</v>
      </c>
      <c r="F131" s="1" t="str">
        <f>VLOOKUP(E131,t_entry_status!A:C,2,FALSE)</f>
        <v>PENDING</v>
      </c>
      <c r="G131" s="7">
        <v>45560</v>
      </c>
      <c r="H131" s="1" t="s">
        <v>7449</v>
      </c>
      <c r="I131" s="7">
        <v>45560</v>
      </c>
      <c r="J131" s="1" t="s">
        <v>7449</v>
      </c>
    </row>
    <row r="132" spans="1:10" x14ac:dyDescent="0.25">
      <c r="A132" s="1">
        <v>131</v>
      </c>
      <c r="B132" s="2" t="str">
        <f>_xlfn.CONCAT(C132,"-",VLOOKUP(C132,t_objeto!B:D,3,FALSE),"-",A132)</f>
        <v>KKMM-PERCCO-131</v>
      </c>
      <c r="C132" s="1" t="s">
        <v>7458</v>
      </c>
      <c r="D132" s="1" t="str">
        <f>VLOOKUP(C132,t_objeto!B:C,2,FALSE)</f>
        <v>KIT_MATERIAL</v>
      </c>
      <c r="E132" s="1">
        <v>8</v>
      </c>
      <c r="F132" s="1" t="str">
        <f>VLOOKUP(E132,t_entry_status!A:C,2,FALSE)</f>
        <v>PENDING</v>
      </c>
      <c r="G132" s="7">
        <v>45560</v>
      </c>
      <c r="H132" s="1" t="s">
        <v>7449</v>
      </c>
      <c r="I132" s="7">
        <v>45560</v>
      </c>
      <c r="J132" s="1" t="s">
        <v>7449</v>
      </c>
    </row>
    <row r="133" spans="1:10" x14ac:dyDescent="0.25">
      <c r="A133" s="1">
        <v>132</v>
      </c>
      <c r="B133" s="2" t="str">
        <f>_xlfn.CONCAT(C133,"-",VLOOKUP(C133,t_objeto!B:D,3,FALSE),"-",A133)</f>
        <v>KKMM-PERCCO-132</v>
      </c>
      <c r="C133" s="1" t="s">
        <v>7458</v>
      </c>
      <c r="D133" s="1" t="str">
        <f>VLOOKUP(C133,t_objeto!B:C,2,FALSE)</f>
        <v>KIT_MATERIAL</v>
      </c>
      <c r="E133" s="1">
        <v>8</v>
      </c>
      <c r="F133" s="1" t="str">
        <f>VLOOKUP(E133,t_entry_status!A:C,2,FALSE)</f>
        <v>PENDING</v>
      </c>
      <c r="G133" s="7">
        <v>45560</v>
      </c>
      <c r="H133" s="1" t="s">
        <v>7449</v>
      </c>
      <c r="I133" s="7">
        <v>45560</v>
      </c>
      <c r="J133" s="1" t="s">
        <v>7449</v>
      </c>
    </row>
    <row r="134" spans="1:10" x14ac:dyDescent="0.25">
      <c r="A134" s="1">
        <v>133</v>
      </c>
      <c r="B134" s="2" t="str">
        <f>_xlfn.CONCAT(C134,"-",VLOOKUP(C134,t_objeto!B:D,3,FALSE),"-",A134)</f>
        <v>KKMM-PERCCO-133</v>
      </c>
      <c r="C134" s="1" t="s">
        <v>7458</v>
      </c>
      <c r="D134" s="1" t="str">
        <f>VLOOKUP(C134,t_objeto!B:C,2,FALSE)</f>
        <v>KIT_MATERIAL</v>
      </c>
      <c r="E134" s="1">
        <v>8</v>
      </c>
      <c r="F134" s="1" t="str">
        <f>VLOOKUP(E134,t_entry_status!A:C,2,FALSE)</f>
        <v>PENDING</v>
      </c>
      <c r="G134" s="7">
        <v>45560</v>
      </c>
      <c r="H134" s="1" t="s">
        <v>7449</v>
      </c>
      <c r="I134" s="7">
        <v>45560</v>
      </c>
      <c r="J134" s="1" t="s">
        <v>7449</v>
      </c>
    </row>
    <row r="135" spans="1:10" x14ac:dyDescent="0.25">
      <c r="A135" s="1">
        <v>134</v>
      </c>
      <c r="B135" s="2" t="str">
        <f>_xlfn.CONCAT(C135,"-",VLOOKUP(C135,t_objeto!B:D,3,FALSE),"-",A135)</f>
        <v>KKMM-PERCCO-134</v>
      </c>
      <c r="C135" s="1" t="s">
        <v>7458</v>
      </c>
      <c r="D135" s="1" t="str">
        <f>VLOOKUP(C135,t_objeto!B:C,2,FALSE)</f>
        <v>KIT_MATERIAL</v>
      </c>
      <c r="E135" s="1">
        <v>8</v>
      </c>
      <c r="F135" s="1" t="str">
        <f>VLOOKUP(E135,t_entry_status!A:C,2,FALSE)</f>
        <v>PENDING</v>
      </c>
      <c r="G135" s="7">
        <v>45560</v>
      </c>
      <c r="H135" s="1" t="s">
        <v>7449</v>
      </c>
      <c r="I135" s="7">
        <v>45560</v>
      </c>
      <c r="J135" s="1" t="s">
        <v>7449</v>
      </c>
    </row>
    <row r="136" spans="1:10" x14ac:dyDescent="0.25">
      <c r="A136" s="1">
        <v>135</v>
      </c>
      <c r="B136" s="2" t="str">
        <f>_xlfn.CONCAT(C136,"-",VLOOKUP(C136,t_objeto!B:D,3,FALSE),"-",A136)</f>
        <v>KKMM-PERCCO-135</v>
      </c>
      <c r="C136" s="1" t="s">
        <v>7458</v>
      </c>
      <c r="D136" s="1" t="str">
        <f>VLOOKUP(C136,t_objeto!B:C,2,FALSE)</f>
        <v>KIT_MATERIAL</v>
      </c>
      <c r="E136" s="1">
        <v>8</v>
      </c>
      <c r="F136" s="1" t="str">
        <f>VLOOKUP(E136,t_entry_status!A:C,2,FALSE)</f>
        <v>PENDING</v>
      </c>
      <c r="G136" s="7">
        <v>45560</v>
      </c>
      <c r="H136" s="1" t="s">
        <v>7449</v>
      </c>
      <c r="I136" s="7">
        <v>45560</v>
      </c>
      <c r="J136" s="1" t="s">
        <v>7449</v>
      </c>
    </row>
    <row r="137" spans="1:10" x14ac:dyDescent="0.25">
      <c r="A137" s="1">
        <v>136</v>
      </c>
      <c r="B137" s="2" t="str">
        <f>_xlfn.CONCAT(C137,"-",VLOOKUP(C137,t_objeto!B:D,3,FALSE),"-",A137)</f>
        <v>KKMM-PERCCO-136</v>
      </c>
      <c r="C137" s="1" t="s">
        <v>7458</v>
      </c>
      <c r="D137" s="1" t="str">
        <f>VLOOKUP(C137,t_objeto!B:C,2,FALSE)</f>
        <v>KIT_MATERIAL</v>
      </c>
      <c r="E137" s="1">
        <v>8</v>
      </c>
      <c r="F137" s="1" t="str">
        <f>VLOOKUP(E137,t_entry_status!A:C,2,FALSE)</f>
        <v>PENDING</v>
      </c>
      <c r="G137" s="7">
        <v>45560</v>
      </c>
      <c r="H137" s="1" t="s">
        <v>7449</v>
      </c>
      <c r="I137" s="7">
        <v>45560</v>
      </c>
      <c r="J137" s="1" t="s">
        <v>7449</v>
      </c>
    </row>
    <row r="138" spans="1:10" x14ac:dyDescent="0.25">
      <c r="A138" s="1">
        <v>137</v>
      </c>
      <c r="B138" s="2" t="str">
        <f>_xlfn.CONCAT(C138,"-",VLOOKUP(C138,t_objeto!B:D,3,FALSE),"-",A138)</f>
        <v>KKMM-PERCCO-137</v>
      </c>
      <c r="C138" s="1" t="s">
        <v>7458</v>
      </c>
      <c r="D138" s="1" t="str">
        <f>VLOOKUP(C138,t_objeto!B:C,2,FALSE)</f>
        <v>KIT_MATERIAL</v>
      </c>
      <c r="E138" s="1">
        <v>8</v>
      </c>
      <c r="F138" s="1" t="str">
        <f>VLOOKUP(E138,t_entry_status!A:C,2,FALSE)</f>
        <v>PENDING</v>
      </c>
      <c r="G138" s="7">
        <v>45560</v>
      </c>
      <c r="H138" s="1" t="s">
        <v>7449</v>
      </c>
      <c r="I138" s="7">
        <v>45560</v>
      </c>
      <c r="J138" s="1" t="s">
        <v>7449</v>
      </c>
    </row>
    <row r="139" spans="1:10" x14ac:dyDescent="0.25">
      <c r="A139" s="1">
        <v>138</v>
      </c>
      <c r="B139" s="2" t="str">
        <f>_xlfn.CONCAT(C139,"-",VLOOKUP(C139,t_objeto!B:D,3,FALSE),"-",A139)</f>
        <v>KKMM-PERCCO-138</v>
      </c>
      <c r="C139" s="1" t="s">
        <v>7458</v>
      </c>
      <c r="D139" s="1" t="str">
        <f>VLOOKUP(C139,t_objeto!B:C,2,FALSE)</f>
        <v>KIT_MATERIAL</v>
      </c>
      <c r="E139" s="1">
        <v>8</v>
      </c>
      <c r="F139" s="1" t="str">
        <f>VLOOKUP(E139,t_entry_status!A:C,2,FALSE)</f>
        <v>PENDING</v>
      </c>
      <c r="G139" s="7">
        <v>45560</v>
      </c>
      <c r="H139" s="1" t="s">
        <v>7449</v>
      </c>
      <c r="I139" s="7">
        <v>45560</v>
      </c>
      <c r="J139" s="1" t="s">
        <v>7449</v>
      </c>
    </row>
    <row r="140" spans="1:10" x14ac:dyDescent="0.25">
      <c r="A140" s="1">
        <v>139</v>
      </c>
      <c r="B140" s="2" t="str">
        <f>_xlfn.CONCAT(C140,"-",VLOOKUP(C140,t_objeto!B:D,3,FALSE),"-",A140)</f>
        <v>KKMM-PERCCO-139</v>
      </c>
      <c r="C140" s="1" t="s">
        <v>7458</v>
      </c>
      <c r="D140" s="1" t="str">
        <f>VLOOKUP(C140,t_objeto!B:C,2,FALSE)</f>
        <v>KIT_MATERIAL</v>
      </c>
      <c r="E140" s="1">
        <v>8</v>
      </c>
      <c r="F140" s="1" t="str">
        <f>VLOOKUP(E140,t_entry_status!A:C,2,FALSE)</f>
        <v>PENDING</v>
      </c>
      <c r="G140" s="7">
        <v>45560</v>
      </c>
      <c r="H140" s="1" t="s">
        <v>7449</v>
      </c>
      <c r="I140" s="7">
        <v>45560</v>
      </c>
      <c r="J140" s="1" t="s">
        <v>7449</v>
      </c>
    </row>
    <row r="141" spans="1:10" x14ac:dyDescent="0.25">
      <c r="A141" s="1">
        <v>140</v>
      </c>
      <c r="B141" s="2" t="str">
        <f>_xlfn.CONCAT(C141,"-",VLOOKUP(C141,t_objeto!B:D,3,FALSE),"-",A141)</f>
        <v>KKMM-PERCCO-140</v>
      </c>
      <c r="C141" s="1" t="s">
        <v>7458</v>
      </c>
      <c r="D141" s="1" t="str">
        <f>VLOOKUP(C141,t_objeto!B:C,2,FALSE)</f>
        <v>KIT_MATERIAL</v>
      </c>
      <c r="E141" s="1">
        <v>8</v>
      </c>
      <c r="F141" s="1" t="str">
        <f>VLOOKUP(E141,t_entry_status!A:C,2,FALSE)</f>
        <v>PENDING</v>
      </c>
      <c r="G141" s="7">
        <v>45560</v>
      </c>
      <c r="H141" s="1" t="s">
        <v>7449</v>
      </c>
      <c r="I141" s="7">
        <v>45560</v>
      </c>
      <c r="J141" s="1" t="s">
        <v>7449</v>
      </c>
    </row>
    <row r="142" spans="1:10" x14ac:dyDescent="0.25">
      <c r="A142" s="1">
        <v>141</v>
      </c>
      <c r="B142" s="2" t="str">
        <f>_xlfn.CONCAT(C142,"-",VLOOKUP(C142,t_objeto!B:D,3,FALSE),"-",A142)</f>
        <v>KKMM-PERCCO-141</v>
      </c>
      <c r="C142" s="1" t="s">
        <v>7458</v>
      </c>
      <c r="D142" s="1" t="str">
        <f>VLOOKUP(C142,t_objeto!B:C,2,FALSE)</f>
        <v>KIT_MATERIAL</v>
      </c>
      <c r="E142" s="1">
        <v>8</v>
      </c>
      <c r="F142" s="1" t="str">
        <f>VLOOKUP(E142,t_entry_status!A:C,2,FALSE)</f>
        <v>PENDING</v>
      </c>
      <c r="G142" s="7">
        <v>45560</v>
      </c>
      <c r="H142" s="1" t="s">
        <v>7449</v>
      </c>
      <c r="I142" s="7">
        <v>45560</v>
      </c>
      <c r="J142" s="1" t="s">
        <v>7449</v>
      </c>
    </row>
    <row r="143" spans="1:10" x14ac:dyDescent="0.25">
      <c r="A143" s="1">
        <v>142</v>
      </c>
      <c r="B143" s="2" t="str">
        <f>_xlfn.CONCAT(C143,"-",VLOOKUP(C143,t_objeto!B:D,3,FALSE),"-",A143)</f>
        <v>KKMM-PERCCO-142</v>
      </c>
      <c r="C143" s="1" t="s">
        <v>7458</v>
      </c>
      <c r="D143" s="1" t="str">
        <f>VLOOKUP(C143,t_objeto!B:C,2,FALSE)</f>
        <v>KIT_MATERIAL</v>
      </c>
      <c r="E143" s="1">
        <v>8</v>
      </c>
      <c r="F143" s="1" t="str">
        <f>VLOOKUP(E143,t_entry_status!A:C,2,FALSE)</f>
        <v>PENDING</v>
      </c>
      <c r="G143" s="7">
        <v>45560</v>
      </c>
      <c r="H143" s="1" t="s">
        <v>7449</v>
      </c>
      <c r="I143" s="7">
        <v>45560</v>
      </c>
      <c r="J143" s="1" t="s">
        <v>7449</v>
      </c>
    </row>
    <row r="144" spans="1:10" x14ac:dyDescent="0.25">
      <c r="A144" s="1">
        <v>143</v>
      </c>
      <c r="B144" s="2" t="str">
        <f>_xlfn.CONCAT(C144,"-",VLOOKUP(C144,t_objeto!B:D,3,FALSE),"-",A144)</f>
        <v>KKMM-PERCCO-143</v>
      </c>
      <c r="C144" s="1" t="s">
        <v>7458</v>
      </c>
      <c r="D144" s="1" t="str">
        <f>VLOOKUP(C144,t_objeto!B:C,2,FALSE)</f>
        <v>KIT_MATERIAL</v>
      </c>
      <c r="E144" s="1">
        <v>8</v>
      </c>
      <c r="F144" s="1" t="str">
        <f>VLOOKUP(E144,t_entry_status!A:C,2,FALSE)</f>
        <v>PENDING</v>
      </c>
      <c r="G144" s="7">
        <v>45560</v>
      </c>
      <c r="H144" s="1" t="s">
        <v>7449</v>
      </c>
      <c r="I144" s="7">
        <v>45560</v>
      </c>
      <c r="J144" s="1" t="s">
        <v>7449</v>
      </c>
    </row>
    <row r="145" spans="1:10" x14ac:dyDescent="0.25">
      <c r="A145" s="1">
        <v>144</v>
      </c>
      <c r="B145" s="2" t="str">
        <f>_xlfn.CONCAT(C145,"-",VLOOKUP(C145,t_objeto!B:D,3,FALSE),"-",A145)</f>
        <v>KKMM-PERCCO-144</v>
      </c>
      <c r="C145" s="1" t="s">
        <v>7458</v>
      </c>
      <c r="D145" s="1" t="str">
        <f>VLOOKUP(C145,t_objeto!B:C,2,FALSE)</f>
        <v>KIT_MATERIAL</v>
      </c>
      <c r="E145" s="1">
        <v>8</v>
      </c>
      <c r="F145" s="1" t="str">
        <f>VLOOKUP(E145,t_entry_status!A:C,2,FALSE)</f>
        <v>PENDING</v>
      </c>
      <c r="G145" s="7">
        <v>45560</v>
      </c>
      <c r="H145" s="1" t="s">
        <v>7449</v>
      </c>
      <c r="I145" s="7">
        <v>45560</v>
      </c>
      <c r="J145" s="1" t="s">
        <v>7449</v>
      </c>
    </row>
    <row r="146" spans="1:10" x14ac:dyDescent="0.25">
      <c r="A146" s="1">
        <v>145</v>
      </c>
      <c r="B146" s="2" t="str">
        <f>_xlfn.CONCAT(C146,"-",VLOOKUP(C146,t_objeto!B:D,3,FALSE),"-",A146)</f>
        <v>KKMM-PERCCO-145</v>
      </c>
      <c r="C146" s="1" t="s">
        <v>7458</v>
      </c>
      <c r="D146" s="1" t="str">
        <f>VLOOKUP(C146,t_objeto!B:C,2,FALSE)</f>
        <v>KIT_MATERIAL</v>
      </c>
      <c r="E146" s="1">
        <v>8</v>
      </c>
      <c r="F146" s="1" t="str">
        <f>VLOOKUP(E146,t_entry_status!A:C,2,FALSE)</f>
        <v>PENDING</v>
      </c>
      <c r="G146" s="7">
        <v>45560</v>
      </c>
      <c r="H146" s="1" t="s">
        <v>7449</v>
      </c>
      <c r="I146" s="7">
        <v>45560</v>
      </c>
      <c r="J146" s="1" t="s">
        <v>7449</v>
      </c>
    </row>
    <row r="147" spans="1:10" x14ac:dyDescent="0.25">
      <c r="A147" s="1">
        <v>146</v>
      </c>
      <c r="B147" s="2" t="str">
        <f>_xlfn.CONCAT(C147,"-",VLOOKUP(C147,t_objeto!B:D,3,FALSE),"-",A147)</f>
        <v>KKMM-PERCCO-146</v>
      </c>
      <c r="C147" s="1" t="s">
        <v>7458</v>
      </c>
      <c r="D147" s="1" t="str">
        <f>VLOOKUP(C147,t_objeto!B:C,2,FALSE)</f>
        <v>KIT_MATERIAL</v>
      </c>
      <c r="E147" s="1">
        <v>8</v>
      </c>
      <c r="F147" s="1" t="str">
        <f>VLOOKUP(E147,t_entry_status!A:C,2,FALSE)</f>
        <v>PENDING</v>
      </c>
      <c r="G147" s="7">
        <v>45560</v>
      </c>
      <c r="H147" s="1" t="s">
        <v>7449</v>
      </c>
      <c r="I147" s="7">
        <v>45560</v>
      </c>
      <c r="J147" s="1" t="s">
        <v>7449</v>
      </c>
    </row>
    <row r="148" spans="1:10" x14ac:dyDescent="0.25">
      <c r="A148" s="1">
        <v>147</v>
      </c>
      <c r="B148" s="2" t="str">
        <f>_xlfn.CONCAT(C148,"-",VLOOKUP(C148,t_objeto!B:D,3,FALSE),"-",A148)</f>
        <v>KKMM-PERCCO-147</v>
      </c>
      <c r="C148" s="1" t="s">
        <v>7458</v>
      </c>
      <c r="D148" s="1" t="str">
        <f>VLOOKUP(C148,t_objeto!B:C,2,FALSE)</f>
        <v>KIT_MATERIAL</v>
      </c>
      <c r="E148" s="1">
        <v>8</v>
      </c>
      <c r="F148" s="1" t="str">
        <f>VLOOKUP(E148,t_entry_status!A:C,2,FALSE)</f>
        <v>PENDING</v>
      </c>
      <c r="G148" s="7">
        <v>45560</v>
      </c>
      <c r="H148" s="1" t="s">
        <v>7449</v>
      </c>
      <c r="I148" s="7">
        <v>45560</v>
      </c>
      <c r="J148" s="1" t="s">
        <v>7449</v>
      </c>
    </row>
    <row r="149" spans="1:10" x14ac:dyDescent="0.25">
      <c r="A149" s="1">
        <v>148</v>
      </c>
      <c r="B149" s="2" t="str">
        <f>_xlfn.CONCAT(C149,"-",VLOOKUP(C149,t_objeto!B:D,3,FALSE),"-",A149)</f>
        <v>KKMM-PERCCO-148</v>
      </c>
      <c r="C149" s="1" t="s">
        <v>7458</v>
      </c>
      <c r="D149" s="1" t="str">
        <f>VLOOKUP(C149,t_objeto!B:C,2,FALSE)</f>
        <v>KIT_MATERIAL</v>
      </c>
      <c r="E149" s="1">
        <v>8</v>
      </c>
      <c r="F149" s="1" t="str">
        <f>VLOOKUP(E149,t_entry_status!A:C,2,FALSE)</f>
        <v>PENDING</v>
      </c>
      <c r="G149" s="7">
        <v>45560</v>
      </c>
      <c r="H149" s="1" t="s">
        <v>7449</v>
      </c>
      <c r="I149" s="7">
        <v>45560</v>
      </c>
      <c r="J149" s="1" t="s">
        <v>7449</v>
      </c>
    </row>
    <row r="150" spans="1:10" x14ac:dyDescent="0.25">
      <c r="A150" s="1">
        <v>149</v>
      </c>
      <c r="B150" s="2" t="str">
        <f>_xlfn.CONCAT(C150,"-",VLOOKUP(C150,t_objeto!B:D,3,FALSE),"-",A150)</f>
        <v>KKMM-PERCCO-149</v>
      </c>
      <c r="C150" s="1" t="s">
        <v>7458</v>
      </c>
      <c r="D150" s="1" t="str">
        <f>VLOOKUP(C150,t_objeto!B:C,2,FALSE)</f>
        <v>KIT_MATERIAL</v>
      </c>
      <c r="E150" s="1">
        <v>8</v>
      </c>
      <c r="F150" s="1" t="str">
        <f>VLOOKUP(E150,t_entry_status!A:C,2,FALSE)</f>
        <v>PENDING</v>
      </c>
      <c r="G150" s="7">
        <v>45560</v>
      </c>
      <c r="H150" s="1" t="s">
        <v>7449</v>
      </c>
      <c r="I150" s="7">
        <v>45560</v>
      </c>
      <c r="J150" s="1" t="s">
        <v>7449</v>
      </c>
    </row>
    <row r="151" spans="1:10" x14ac:dyDescent="0.25">
      <c r="A151" s="1">
        <v>150</v>
      </c>
      <c r="B151" s="2" t="str">
        <f>_xlfn.CONCAT(C151,"-",VLOOKUP(C151,t_objeto!B:D,3,FALSE),"-",A151)</f>
        <v>KKMM-PERCCO-150</v>
      </c>
      <c r="C151" s="1" t="s">
        <v>7458</v>
      </c>
      <c r="D151" s="1" t="str">
        <f>VLOOKUP(C151,t_objeto!B:C,2,FALSE)</f>
        <v>KIT_MATERIAL</v>
      </c>
      <c r="E151" s="1">
        <v>8</v>
      </c>
      <c r="F151" s="1" t="str">
        <f>VLOOKUP(E151,t_entry_status!A:C,2,FALSE)</f>
        <v>PENDING</v>
      </c>
      <c r="G151" s="7">
        <v>45560</v>
      </c>
      <c r="H151" s="1" t="s">
        <v>7449</v>
      </c>
      <c r="I151" s="7">
        <v>45560</v>
      </c>
      <c r="J151" s="1" t="s">
        <v>7449</v>
      </c>
    </row>
    <row r="152" spans="1:10" x14ac:dyDescent="0.25">
      <c r="A152" s="1">
        <v>151</v>
      </c>
      <c r="B152" s="2" t="str">
        <f>_xlfn.CONCAT(C152,"-",VLOOKUP(C152,t_objeto!B:D,3,FALSE),"-",A152)</f>
        <v>KKMM-PERCCO-151</v>
      </c>
      <c r="C152" s="1" t="s">
        <v>7458</v>
      </c>
      <c r="D152" s="1" t="str">
        <f>VLOOKUP(C152,t_objeto!B:C,2,FALSE)</f>
        <v>KIT_MATERIAL</v>
      </c>
      <c r="E152" s="1">
        <v>8</v>
      </c>
      <c r="F152" s="1" t="str">
        <f>VLOOKUP(E152,t_entry_status!A:C,2,FALSE)</f>
        <v>PENDING</v>
      </c>
      <c r="G152" s="7">
        <v>45560</v>
      </c>
      <c r="H152" s="1" t="s">
        <v>7449</v>
      </c>
      <c r="I152" s="7">
        <v>45560</v>
      </c>
      <c r="J152" s="1" t="s">
        <v>7449</v>
      </c>
    </row>
    <row r="153" spans="1:10" x14ac:dyDescent="0.25">
      <c r="A153" s="1">
        <v>152</v>
      </c>
      <c r="B153" s="2" t="str">
        <f>_xlfn.CONCAT(C153,"-",VLOOKUP(C153,t_objeto!B:D,3,FALSE),"-",A153)</f>
        <v>KKMM-PERCCO-152</v>
      </c>
      <c r="C153" s="1" t="s">
        <v>7458</v>
      </c>
      <c r="D153" s="1" t="str">
        <f>VLOOKUP(C153,t_objeto!B:C,2,FALSE)</f>
        <v>KIT_MATERIAL</v>
      </c>
      <c r="E153" s="1">
        <v>8</v>
      </c>
      <c r="F153" s="1" t="str">
        <f>VLOOKUP(E153,t_entry_status!A:C,2,FALSE)</f>
        <v>PENDING</v>
      </c>
      <c r="G153" s="7">
        <v>45560</v>
      </c>
      <c r="H153" s="1" t="s">
        <v>7449</v>
      </c>
      <c r="I153" s="7">
        <v>45560</v>
      </c>
      <c r="J153" s="1" t="s">
        <v>7449</v>
      </c>
    </row>
    <row r="154" spans="1:10" x14ac:dyDescent="0.25">
      <c r="A154" s="1">
        <v>153</v>
      </c>
      <c r="B154" s="2" t="str">
        <f>_xlfn.CONCAT(C154,"-",VLOOKUP(C154,t_objeto!B:D,3,FALSE),"-",A154)</f>
        <v>KKMM-PERCCO-153</v>
      </c>
      <c r="C154" s="1" t="s">
        <v>7458</v>
      </c>
      <c r="D154" s="1" t="str">
        <f>VLOOKUP(C154,t_objeto!B:C,2,FALSE)</f>
        <v>KIT_MATERIAL</v>
      </c>
      <c r="E154" s="1">
        <v>8</v>
      </c>
      <c r="F154" s="1" t="str">
        <f>VLOOKUP(E154,t_entry_status!A:C,2,FALSE)</f>
        <v>PENDING</v>
      </c>
      <c r="G154" s="7">
        <v>45560</v>
      </c>
      <c r="H154" s="1" t="s">
        <v>7449</v>
      </c>
      <c r="I154" s="7">
        <v>45560</v>
      </c>
      <c r="J154" s="1" t="s">
        <v>7449</v>
      </c>
    </row>
    <row r="155" spans="1:10" x14ac:dyDescent="0.25">
      <c r="A155" s="1">
        <v>154</v>
      </c>
      <c r="B155" s="2" t="str">
        <f>_xlfn.CONCAT(C155,"-",VLOOKUP(C155,t_objeto!B:D,3,FALSE),"-",A155)</f>
        <v>KKMM-PERCCO-154</v>
      </c>
      <c r="C155" s="1" t="s">
        <v>7458</v>
      </c>
      <c r="D155" s="1" t="str">
        <f>VLOOKUP(C155,t_objeto!B:C,2,FALSE)</f>
        <v>KIT_MATERIAL</v>
      </c>
      <c r="E155" s="1">
        <v>8</v>
      </c>
      <c r="F155" s="1" t="str">
        <f>VLOOKUP(E155,t_entry_status!A:C,2,FALSE)</f>
        <v>PENDING</v>
      </c>
      <c r="G155" s="7">
        <v>45560</v>
      </c>
      <c r="H155" s="1" t="s">
        <v>7449</v>
      </c>
      <c r="I155" s="7">
        <v>45560</v>
      </c>
      <c r="J155" s="1" t="s">
        <v>7449</v>
      </c>
    </row>
    <row r="156" spans="1:10" x14ac:dyDescent="0.25">
      <c r="A156" s="1">
        <v>155</v>
      </c>
      <c r="B156" s="2" t="str">
        <f>_xlfn.CONCAT(C156,"-",VLOOKUP(C156,t_objeto!B:D,3,FALSE),"-",A156)</f>
        <v>KKMM-PERCCO-155</v>
      </c>
      <c r="C156" s="1" t="s">
        <v>7458</v>
      </c>
      <c r="D156" s="1" t="str">
        <f>VLOOKUP(C156,t_objeto!B:C,2,FALSE)</f>
        <v>KIT_MATERIAL</v>
      </c>
      <c r="E156" s="1">
        <v>8</v>
      </c>
      <c r="F156" s="1" t="str">
        <f>VLOOKUP(E156,t_entry_status!A:C,2,FALSE)</f>
        <v>PENDING</v>
      </c>
      <c r="G156" s="7">
        <v>45560</v>
      </c>
      <c r="H156" s="1" t="s">
        <v>7449</v>
      </c>
      <c r="I156" s="7">
        <v>45560</v>
      </c>
      <c r="J156" s="1" t="s">
        <v>7449</v>
      </c>
    </row>
    <row r="157" spans="1:10" x14ac:dyDescent="0.25">
      <c r="A157" s="1">
        <v>156</v>
      </c>
      <c r="B157" s="2" t="str">
        <f>_xlfn.CONCAT(C157,"-",VLOOKUP(C157,t_objeto!B:D,3,FALSE),"-",A157)</f>
        <v>KKMM-PERCCO-156</v>
      </c>
      <c r="C157" s="1" t="s">
        <v>7458</v>
      </c>
      <c r="D157" s="1" t="str">
        <f>VLOOKUP(C157,t_objeto!B:C,2,FALSE)</f>
        <v>KIT_MATERIAL</v>
      </c>
      <c r="E157" s="1">
        <v>8</v>
      </c>
      <c r="F157" s="1" t="str">
        <f>VLOOKUP(E157,t_entry_status!A:C,2,FALSE)</f>
        <v>PENDING</v>
      </c>
      <c r="G157" s="7">
        <v>45560</v>
      </c>
      <c r="H157" s="1" t="s">
        <v>7449</v>
      </c>
      <c r="I157" s="7">
        <v>45560</v>
      </c>
      <c r="J157" s="1" t="s">
        <v>7449</v>
      </c>
    </row>
    <row r="158" spans="1:10" x14ac:dyDescent="0.25">
      <c r="A158" s="1">
        <v>157</v>
      </c>
      <c r="B158" s="2" t="str">
        <f>_xlfn.CONCAT(C158,"-",VLOOKUP(C158,t_objeto!B:D,3,FALSE),"-",A158)</f>
        <v>KKMM-PERCCO-157</v>
      </c>
      <c r="C158" s="1" t="s">
        <v>7458</v>
      </c>
      <c r="D158" s="1" t="str">
        <f>VLOOKUP(C158,t_objeto!B:C,2,FALSE)</f>
        <v>KIT_MATERIAL</v>
      </c>
      <c r="E158" s="1">
        <v>8</v>
      </c>
      <c r="F158" s="1" t="str">
        <f>VLOOKUP(E158,t_entry_status!A:C,2,FALSE)</f>
        <v>PENDING</v>
      </c>
      <c r="G158" s="7">
        <v>45560</v>
      </c>
      <c r="H158" s="1" t="s">
        <v>7449</v>
      </c>
      <c r="I158" s="7">
        <v>45560</v>
      </c>
      <c r="J158" s="1" t="s">
        <v>7449</v>
      </c>
    </row>
    <row r="159" spans="1:10" x14ac:dyDescent="0.25">
      <c r="A159" s="1">
        <v>158</v>
      </c>
      <c r="B159" s="2" t="str">
        <f>_xlfn.CONCAT(C159,"-",VLOOKUP(C159,t_objeto!B:D,3,FALSE),"-",A159)</f>
        <v>KKMM-PERCCO-158</v>
      </c>
      <c r="C159" s="1" t="s">
        <v>7458</v>
      </c>
      <c r="D159" s="1" t="str">
        <f>VLOOKUP(C159,t_objeto!B:C,2,FALSE)</f>
        <v>KIT_MATERIAL</v>
      </c>
      <c r="E159" s="1">
        <v>8</v>
      </c>
      <c r="F159" s="1" t="str">
        <f>VLOOKUP(E159,t_entry_status!A:C,2,FALSE)</f>
        <v>PENDING</v>
      </c>
      <c r="G159" s="7">
        <v>45560</v>
      </c>
      <c r="H159" s="1" t="s">
        <v>7449</v>
      </c>
      <c r="I159" s="7">
        <v>45560</v>
      </c>
      <c r="J159" s="1" t="s">
        <v>7449</v>
      </c>
    </row>
    <row r="160" spans="1:10" x14ac:dyDescent="0.25">
      <c r="A160" s="1">
        <v>159</v>
      </c>
      <c r="B160" s="2" t="str">
        <f>_xlfn.CONCAT(C160,"-",VLOOKUP(C160,t_objeto!B:D,3,FALSE),"-",A160)</f>
        <v>KKMM-PERCCO-159</v>
      </c>
      <c r="C160" s="1" t="s">
        <v>7458</v>
      </c>
      <c r="D160" s="1" t="str">
        <f>VLOOKUP(C160,t_objeto!B:C,2,FALSE)</f>
        <v>KIT_MATERIAL</v>
      </c>
      <c r="E160" s="1">
        <v>8</v>
      </c>
      <c r="F160" s="1" t="str">
        <f>VLOOKUP(E160,t_entry_status!A:C,2,FALSE)</f>
        <v>PENDING</v>
      </c>
      <c r="G160" s="7">
        <v>45560</v>
      </c>
      <c r="H160" s="1" t="s">
        <v>7449</v>
      </c>
      <c r="I160" s="7">
        <v>45560</v>
      </c>
      <c r="J160" s="1" t="s">
        <v>7449</v>
      </c>
    </row>
    <row r="161" spans="1:10" x14ac:dyDescent="0.25">
      <c r="A161" s="1">
        <v>160</v>
      </c>
      <c r="B161" s="2" t="str">
        <f>_xlfn.CONCAT(C161,"-",VLOOKUP(C161,t_objeto!B:D,3,FALSE),"-",A161)</f>
        <v>KKMM-PERCCO-160</v>
      </c>
      <c r="C161" s="1" t="s">
        <v>7458</v>
      </c>
      <c r="D161" s="1" t="str">
        <f>VLOOKUP(C161,t_objeto!B:C,2,FALSE)</f>
        <v>KIT_MATERIAL</v>
      </c>
      <c r="E161" s="1">
        <v>8</v>
      </c>
      <c r="F161" s="1" t="str">
        <f>VLOOKUP(E161,t_entry_status!A:C,2,FALSE)</f>
        <v>PENDING</v>
      </c>
      <c r="G161" s="7">
        <v>45560</v>
      </c>
      <c r="H161" s="1" t="s">
        <v>7449</v>
      </c>
      <c r="I161" s="7">
        <v>45560</v>
      </c>
      <c r="J161" s="1" t="s">
        <v>7449</v>
      </c>
    </row>
    <row r="162" spans="1:10" x14ac:dyDescent="0.25">
      <c r="A162" s="1">
        <v>161</v>
      </c>
      <c r="B162" s="2" t="str">
        <f>_xlfn.CONCAT(C162,"-",VLOOKUP(C162,t_objeto!B:D,3,FALSE),"-",A162)</f>
        <v>KKMM-PERCCO-161</v>
      </c>
      <c r="C162" s="1" t="s">
        <v>7458</v>
      </c>
      <c r="D162" s="1" t="str">
        <f>VLOOKUP(C162,t_objeto!B:C,2,FALSE)</f>
        <v>KIT_MATERIAL</v>
      </c>
      <c r="E162" s="1">
        <v>8</v>
      </c>
      <c r="F162" s="1" t="str">
        <f>VLOOKUP(E162,t_entry_status!A:C,2,FALSE)</f>
        <v>PENDING</v>
      </c>
      <c r="G162" s="7">
        <v>45560</v>
      </c>
      <c r="H162" s="1" t="s">
        <v>7449</v>
      </c>
      <c r="I162" s="7">
        <v>45560</v>
      </c>
      <c r="J162" s="1" t="s">
        <v>7449</v>
      </c>
    </row>
    <row r="163" spans="1:10" x14ac:dyDescent="0.25">
      <c r="A163" s="1">
        <v>162</v>
      </c>
      <c r="B163" s="2" t="str">
        <f>_xlfn.CONCAT(C163,"-",VLOOKUP(C163,t_objeto!B:D,3,FALSE),"-",A163)</f>
        <v>KKMM-PERCCO-162</v>
      </c>
      <c r="C163" s="1" t="s">
        <v>7458</v>
      </c>
      <c r="D163" s="1" t="str">
        <f>VLOOKUP(C163,t_objeto!B:C,2,FALSE)</f>
        <v>KIT_MATERIAL</v>
      </c>
      <c r="E163" s="1">
        <v>8</v>
      </c>
      <c r="F163" s="1" t="str">
        <f>VLOOKUP(E163,t_entry_status!A:C,2,FALSE)</f>
        <v>PENDING</v>
      </c>
      <c r="G163" s="7">
        <v>45560</v>
      </c>
      <c r="H163" s="1" t="s">
        <v>7449</v>
      </c>
      <c r="I163" s="7">
        <v>45560</v>
      </c>
      <c r="J163" s="1" t="s">
        <v>7449</v>
      </c>
    </row>
    <row r="164" spans="1:10" x14ac:dyDescent="0.25">
      <c r="A164" s="1">
        <v>163</v>
      </c>
      <c r="B164" s="2" t="str">
        <f>_xlfn.CONCAT(C164,"-",VLOOKUP(C164,t_objeto!B:D,3,FALSE),"-",A164)</f>
        <v>KKMM-PERCCO-163</v>
      </c>
      <c r="C164" s="1" t="s">
        <v>7458</v>
      </c>
      <c r="D164" s="1" t="str">
        <f>VLOOKUP(C164,t_objeto!B:C,2,FALSE)</f>
        <v>KIT_MATERIAL</v>
      </c>
      <c r="E164" s="1">
        <v>8</v>
      </c>
      <c r="F164" s="1" t="str">
        <f>VLOOKUP(E164,t_entry_status!A:C,2,FALSE)</f>
        <v>PENDING</v>
      </c>
      <c r="G164" s="7">
        <v>45560</v>
      </c>
      <c r="H164" s="1" t="s">
        <v>7449</v>
      </c>
      <c r="I164" s="7">
        <v>45560</v>
      </c>
      <c r="J164" s="1" t="s">
        <v>7449</v>
      </c>
    </row>
    <row r="165" spans="1:10" x14ac:dyDescent="0.25">
      <c r="A165" s="1">
        <v>164</v>
      </c>
      <c r="B165" s="2" t="str">
        <f>_xlfn.CONCAT(C165,"-",VLOOKUP(C165,t_objeto!B:D,3,FALSE),"-",A165)</f>
        <v>KKMM-PERCCO-164</v>
      </c>
      <c r="C165" s="1" t="s">
        <v>7458</v>
      </c>
      <c r="D165" s="1" t="str">
        <f>VLOOKUP(C165,t_objeto!B:C,2,FALSE)</f>
        <v>KIT_MATERIAL</v>
      </c>
      <c r="E165" s="1">
        <v>8</v>
      </c>
      <c r="F165" s="1" t="str">
        <f>VLOOKUP(E165,t_entry_status!A:C,2,FALSE)</f>
        <v>PENDING</v>
      </c>
      <c r="G165" s="7">
        <v>45560</v>
      </c>
      <c r="H165" s="1" t="s">
        <v>7449</v>
      </c>
      <c r="I165" s="7">
        <v>45560</v>
      </c>
      <c r="J165" s="1" t="s">
        <v>7449</v>
      </c>
    </row>
    <row r="166" spans="1:10" x14ac:dyDescent="0.25">
      <c r="A166" s="1">
        <v>165</v>
      </c>
      <c r="B166" s="2" t="str">
        <f>_xlfn.CONCAT(C166,"-",VLOOKUP(C166,t_objeto!B:D,3,FALSE),"-",A166)</f>
        <v>KKMM-PERCCO-165</v>
      </c>
      <c r="C166" s="1" t="s">
        <v>7458</v>
      </c>
      <c r="D166" s="1" t="str">
        <f>VLOOKUP(C166,t_objeto!B:C,2,FALSE)</f>
        <v>KIT_MATERIAL</v>
      </c>
      <c r="E166" s="1">
        <v>8</v>
      </c>
      <c r="F166" s="1" t="str">
        <f>VLOOKUP(E166,t_entry_status!A:C,2,FALSE)</f>
        <v>PENDING</v>
      </c>
      <c r="G166" s="7">
        <v>45560</v>
      </c>
      <c r="H166" s="1" t="s">
        <v>7449</v>
      </c>
      <c r="I166" s="7">
        <v>45560</v>
      </c>
      <c r="J166" s="1" t="s">
        <v>7449</v>
      </c>
    </row>
    <row r="167" spans="1:10" x14ac:dyDescent="0.25">
      <c r="A167" s="1">
        <v>166</v>
      </c>
      <c r="B167" s="2" t="str">
        <f>_xlfn.CONCAT(C167,"-",VLOOKUP(C167,t_objeto!B:D,3,FALSE),"-",A167)</f>
        <v>KKMM-PERCCO-166</v>
      </c>
      <c r="C167" s="1" t="s">
        <v>7458</v>
      </c>
      <c r="D167" s="1" t="str">
        <f>VLOOKUP(C167,t_objeto!B:C,2,FALSE)</f>
        <v>KIT_MATERIAL</v>
      </c>
      <c r="E167" s="1">
        <v>8</v>
      </c>
      <c r="F167" s="1" t="str">
        <f>VLOOKUP(E167,t_entry_status!A:C,2,FALSE)</f>
        <v>PENDING</v>
      </c>
      <c r="G167" s="7">
        <v>45560</v>
      </c>
      <c r="H167" s="1" t="s">
        <v>7449</v>
      </c>
      <c r="I167" s="7">
        <v>45560</v>
      </c>
      <c r="J167" s="1" t="s">
        <v>7449</v>
      </c>
    </row>
    <row r="168" spans="1:10" x14ac:dyDescent="0.25">
      <c r="A168" s="1">
        <v>167</v>
      </c>
      <c r="B168" s="2" t="str">
        <f>_xlfn.CONCAT(C168,"-",VLOOKUP(C168,t_objeto!B:D,3,FALSE),"-",A168)</f>
        <v>KKMM-PERCCO-167</v>
      </c>
      <c r="C168" s="1" t="s">
        <v>7458</v>
      </c>
      <c r="D168" s="1" t="str">
        <f>VLOOKUP(C168,t_objeto!B:C,2,FALSE)</f>
        <v>KIT_MATERIAL</v>
      </c>
      <c r="E168" s="1">
        <v>8</v>
      </c>
      <c r="F168" s="1" t="str">
        <f>VLOOKUP(E168,t_entry_status!A:C,2,FALSE)</f>
        <v>PENDING</v>
      </c>
      <c r="G168" s="7">
        <v>45560</v>
      </c>
      <c r="H168" s="1" t="s">
        <v>7449</v>
      </c>
      <c r="I168" s="7">
        <v>45560</v>
      </c>
      <c r="J168" s="1" t="s">
        <v>7449</v>
      </c>
    </row>
    <row r="169" spans="1:10" x14ac:dyDescent="0.25">
      <c r="A169" s="1">
        <v>168</v>
      </c>
      <c r="B169" s="2" t="str">
        <f>_xlfn.CONCAT(C169,"-",VLOOKUP(C169,t_objeto!B:D,3,FALSE),"-",A169)</f>
        <v>KKMM-PERCCO-168</v>
      </c>
      <c r="C169" s="1" t="s">
        <v>7458</v>
      </c>
      <c r="D169" s="1" t="str">
        <f>VLOOKUP(C169,t_objeto!B:C,2,FALSE)</f>
        <v>KIT_MATERIAL</v>
      </c>
      <c r="E169" s="1">
        <v>8</v>
      </c>
      <c r="F169" s="1" t="str">
        <f>VLOOKUP(E169,t_entry_status!A:C,2,FALSE)</f>
        <v>PENDING</v>
      </c>
      <c r="G169" s="7">
        <v>45560</v>
      </c>
      <c r="H169" s="1" t="s">
        <v>7449</v>
      </c>
      <c r="I169" s="7">
        <v>45560</v>
      </c>
      <c r="J169" s="1" t="s">
        <v>7449</v>
      </c>
    </row>
    <row r="170" spans="1:10" x14ac:dyDescent="0.25">
      <c r="A170" s="1">
        <v>169</v>
      </c>
      <c r="B170" s="2" t="str">
        <f>_xlfn.CONCAT(C170,"-",VLOOKUP(C170,t_objeto!B:D,3,FALSE),"-",A170)</f>
        <v>KKMM-PERCCO-169</v>
      </c>
      <c r="C170" s="1" t="s">
        <v>7458</v>
      </c>
      <c r="D170" s="1" t="str">
        <f>VLOOKUP(C170,t_objeto!B:C,2,FALSE)</f>
        <v>KIT_MATERIAL</v>
      </c>
      <c r="E170" s="1">
        <v>8</v>
      </c>
      <c r="F170" s="1" t="str">
        <f>VLOOKUP(E170,t_entry_status!A:C,2,FALSE)</f>
        <v>PENDING</v>
      </c>
      <c r="G170" s="7">
        <v>45560</v>
      </c>
      <c r="H170" s="1" t="s">
        <v>7449</v>
      </c>
      <c r="I170" s="7">
        <v>45560</v>
      </c>
      <c r="J170" s="1" t="s">
        <v>7449</v>
      </c>
    </row>
    <row r="171" spans="1:10" x14ac:dyDescent="0.25">
      <c r="A171" s="1">
        <v>170</v>
      </c>
      <c r="B171" s="2" t="str">
        <f>_xlfn.CONCAT(C171,"-",VLOOKUP(C171,t_objeto!B:D,3,FALSE),"-",A171)</f>
        <v>KKMM-PERCCO-170</v>
      </c>
      <c r="C171" s="1" t="s">
        <v>7458</v>
      </c>
      <c r="D171" s="1" t="str">
        <f>VLOOKUP(C171,t_objeto!B:C,2,FALSE)</f>
        <v>KIT_MATERIAL</v>
      </c>
      <c r="E171" s="1">
        <v>8</v>
      </c>
      <c r="F171" s="1" t="str">
        <f>VLOOKUP(E171,t_entry_status!A:C,2,FALSE)</f>
        <v>PENDING</v>
      </c>
      <c r="G171" s="7">
        <v>45560</v>
      </c>
      <c r="H171" s="1" t="s">
        <v>7449</v>
      </c>
      <c r="I171" s="7">
        <v>45560</v>
      </c>
      <c r="J171" s="1" t="s">
        <v>7449</v>
      </c>
    </row>
    <row r="172" spans="1:10" x14ac:dyDescent="0.25">
      <c r="A172" s="1">
        <v>171</v>
      </c>
      <c r="B172" s="2" t="str">
        <f>_xlfn.CONCAT(C172,"-",VLOOKUP(C172,t_objeto!B:D,3,FALSE),"-",A172)</f>
        <v>KKMM-PERCCO-171</v>
      </c>
      <c r="C172" s="1" t="s">
        <v>7458</v>
      </c>
      <c r="D172" s="1" t="str">
        <f>VLOOKUP(C172,t_objeto!B:C,2,FALSE)</f>
        <v>KIT_MATERIAL</v>
      </c>
      <c r="E172" s="1">
        <v>8</v>
      </c>
      <c r="F172" s="1" t="str">
        <f>VLOOKUP(E172,t_entry_status!A:C,2,FALSE)</f>
        <v>PENDING</v>
      </c>
      <c r="G172" s="7">
        <v>45560</v>
      </c>
      <c r="H172" s="1" t="s">
        <v>7449</v>
      </c>
      <c r="I172" s="7">
        <v>45560</v>
      </c>
      <c r="J172" s="1" t="s">
        <v>7449</v>
      </c>
    </row>
    <row r="173" spans="1:10" x14ac:dyDescent="0.25">
      <c r="A173" s="1">
        <v>172</v>
      </c>
      <c r="B173" s="2" t="str">
        <f>_xlfn.CONCAT(C173,"-",VLOOKUP(C173,t_objeto!B:D,3,FALSE),"-",A173)</f>
        <v>KKMM-PERCCO-172</v>
      </c>
      <c r="C173" s="1" t="s">
        <v>7458</v>
      </c>
      <c r="D173" s="1" t="str">
        <f>VLOOKUP(C173,t_objeto!B:C,2,FALSE)</f>
        <v>KIT_MATERIAL</v>
      </c>
      <c r="E173" s="1">
        <v>8</v>
      </c>
      <c r="F173" s="1" t="str">
        <f>VLOOKUP(E173,t_entry_status!A:C,2,FALSE)</f>
        <v>PENDING</v>
      </c>
      <c r="G173" s="7">
        <v>45560</v>
      </c>
      <c r="H173" s="1" t="s">
        <v>7449</v>
      </c>
      <c r="I173" s="7">
        <v>45560</v>
      </c>
      <c r="J173" s="1" t="s">
        <v>7449</v>
      </c>
    </row>
    <row r="174" spans="1:10" x14ac:dyDescent="0.25">
      <c r="A174" s="1">
        <v>173</v>
      </c>
      <c r="B174" s="2" t="str">
        <f>_xlfn.CONCAT(C174,"-",VLOOKUP(C174,t_objeto!B:D,3,FALSE),"-",A174)</f>
        <v>KKMM-PERCCO-173</v>
      </c>
      <c r="C174" s="1" t="s">
        <v>7458</v>
      </c>
      <c r="D174" s="1" t="str">
        <f>VLOOKUP(C174,t_objeto!B:C,2,FALSE)</f>
        <v>KIT_MATERIAL</v>
      </c>
      <c r="E174" s="1">
        <v>8</v>
      </c>
      <c r="F174" s="1" t="str">
        <f>VLOOKUP(E174,t_entry_status!A:C,2,FALSE)</f>
        <v>PENDING</v>
      </c>
      <c r="G174" s="7">
        <v>45560</v>
      </c>
      <c r="H174" s="1" t="s">
        <v>7449</v>
      </c>
      <c r="I174" s="7">
        <v>45560</v>
      </c>
      <c r="J174" s="1" t="s">
        <v>7449</v>
      </c>
    </row>
    <row r="175" spans="1:10" x14ac:dyDescent="0.25">
      <c r="A175" s="1">
        <v>174</v>
      </c>
      <c r="B175" s="2" t="str">
        <f>_xlfn.CONCAT(C175,"-",VLOOKUP(C175,t_objeto!B:D,3,FALSE),"-",A175)</f>
        <v>KKMM-PERCCO-174</v>
      </c>
      <c r="C175" s="1" t="s">
        <v>7458</v>
      </c>
      <c r="D175" s="1" t="str">
        <f>VLOOKUP(C175,t_objeto!B:C,2,FALSE)</f>
        <v>KIT_MATERIAL</v>
      </c>
      <c r="E175" s="1">
        <v>8</v>
      </c>
      <c r="F175" s="1" t="str">
        <f>VLOOKUP(E175,t_entry_status!A:C,2,FALSE)</f>
        <v>PENDING</v>
      </c>
      <c r="G175" s="7">
        <v>45560</v>
      </c>
      <c r="H175" s="1" t="s">
        <v>7449</v>
      </c>
      <c r="I175" s="7">
        <v>45560</v>
      </c>
      <c r="J175" s="1" t="s">
        <v>7449</v>
      </c>
    </row>
    <row r="176" spans="1:10" x14ac:dyDescent="0.25">
      <c r="A176" s="1">
        <v>175</v>
      </c>
      <c r="B176" s="2" t="str">
        <f>_xlfn.CONCAT(C176,"-",VLOOKUP(C176,t_objeto!B:D,3,FALSE),"-",A176)</f>
        <v>KKMM-PERCCO-175</v>
      </c>
      <c r="C176" s="1" t="s">
        <v>7458</v>
      </c>
      <c r="D176" s="1" t="str">
        <f>VLOOKUP(C176,t_objeto!B:C,2,FALSE)</f>
        <v>KIT_MATERIAL</v>
      </c>
      <c r="E176" s="1">
        <v>8</v>
      </c>
      <c r="F176" s="1" t="str">
        <f>VLOOKUP(E176,t_entry_status!A:C,2,FALSE)</f>
        <v>PENDING</v>
      </c>
      <c r="G176" s="7">
        <v>45560</v>
      </c>
      <c r="H176" s="1" t="s">
        <v>7449</v>
      </c>
      <c r="I176" s="7">
        <v>45560</v>
      </c>
      <c r="J176" s="1" t="s">
        <v>7449</v>
      </c>
    </row>
    <row r="177" spans="1:10" x14ac:dyDescent="0.25">
      <c r="A177" s="1">
        <v>176</v>
      </c>
      <c r="B177" s="2" t="str">
        <f>_xlfn.CONCAT(C177,"-",VLOOKUP(C177,t_objeto!B:D,3,FALSE),"-",A177)</f>
        <v>KKMM-PERCCO-176</v>
      </c>
      <c r="C177" s="1" t="s">
        <v>7458</v>
      </c>
      <c r="D177" s="1" t="str">
        <f>VLOOKUP(C177,t_objeto!B:C,2,FALSE)</f>
        <v>KIT_MATERIAL</v>
      </c>
      <c r="E177" s="1">
        <v>8</v>
      </c>
      <c r="F177" s="1" t="str">
        <f>VLOOKUP(E177,t_entry_status!A:C,2,FALSE)</f>
        <v>PENDING</v>
      </c>
      <c r="G177" s="7">
        <v>45560</v>
      </c>
      <c r="H177" s="1" t="s">
        <v>7449</v>
      </c>
      <c r="I177" s="7">
        <v>45560</v>
      </c>
      <c r="J177" s="1" t="s">
        <v>7449</v>
      </c>
    </row>
    <row r="178" spans="1:10" x14ac:dyDescent="0.25">
      <c r="A178" s="1">
        <v>177</v>
      </c>
      <c r="B178" s="2" t="str">
        <f>_xlfn.CONCAT(C178,"-",VLOOKUP(C178,t_objeto!B:D,3,FALSE),"-",A178)</f>
        <v>KKMM-PERCCO-177</v>
      </c>
      <c r="C178" s="1" t="s">
        <v>7458</v>
      </c>
      <c r="D178" s="1" t="str">
        <f>VLOOKUP(C178,t_objeto!B:C,2,FALSE)</f>
        <v>KIT_MATERIAL</v>
      </c>
      <c r="E178" s="1">
        <v>8</v>
      </c>
      <c r="F178" s="1" t="str">
        <f>VLOOKUP(E178,t_entry_status!A:C,2,FALSE)</f>
        <v>PENDING</v>
      </c>
      <c r="G178" s="7">
        <v>45560</v>
      </c>
      <c r="H178" s="1" t="s">
        <v>7449</v>
      </c>
      <c r="I178" s="7">
        <v>45560</v>
      </c>
      <c r="J178" s="1" t="s">
        <v>7449</v>
      </c>
    </row>
    <row r="179" spans="1:10" x14ac:dyDescent="0.25">
      <c r="A179" s="1">
        <v>178</v>
      </c>
      <c r="B179" s="2" t="str">
        <f>_xlfn.CONCAT(C179,"-",VLOOKUP(C179,t_objeto!B:D,3,FALSE),"-",A179)</f>
        <v>KKMM-PERCCO-178</v>
      </c>
      <c r="C179" s="1" t="s">
        <v>7458</v>
      </c>
      <c r="D179" s="1" t="str">
        <f>VLOOKUP(C179,t_objeto!B:C,2,FALSE)</f>
        <v>KIT_MATERIAL</v>
      </c>
      <c r="E179" s="1">
        <v>8</v>
      </c>
      <c r="F179" s="1" t="str">
        <f>VLOOKUP(E179,t_entry_status!A:C,2,FALSE)</f>
        <v>PENDING</v>
      </c>
      <c r="G179" s="7">
        <v>45560</v>
      </c>
      <c r="H179" s="1" t="s">
        <v>7449</v>
      </c>
      <c r="I179" s="7">
        <v>45560</v>
      </c>
      <c r="J179" s="1" t="s">
        <v>7449</v>
      </c>
    </row>
    <row r="180" spans="1:10" x14ac:dyDescent="0.25">
      <c r="A180" s="1">
        <v>179</v>
      </c>
      <c r="B180" s="2" t="str">
        <f>_xlfn.CONCAT(C180,"-",VLOOKUP(C180,t_objeto!B:D,3,FALSE),"-",A180)</f>
        <v>KKMM-PERCCO-179</v>
      </c>
      <c r="C180" s="1" t="s">
        <v>7458</v>
      </c>
      <c r="D180" s="1" t="str">
        <f>VLOOKUP(C180,t_objeto!B:C,2,FALSE)</f>
        <v>KIT_MATERIAL</v>
      </c>
      <c r="E180" s="1">
        <v>8</v>
      </c>
      <c r="F180" s="1" t="str">
        <f>VLOOKUP(E180,t_entry_status!A:C,2,FALSE)</f>
        <v>PENDING</v>
      </c>
      <c r="G180" s="7">
        <v>45560</v>
      </c>
      <c r="H180" s="1" t="s">
        <v>7449</v>
      </c>
      <c r="I180" s="7">
        <v>45560</v>
      </c>
      <c r="J180" s="1" t="s">
        <v>7449</v>
      </c>
    </row>
    <row r="181" spans="1:10" x14ac:dyDescent="0.25">
      <c r="A181" s="1">
        <v>180</v>
      </c>
      <c r="B181" s="2" t="str">
        <f>_xlfn.CONCAT(C181,"-",VLOOKUP(C181,t_objeto!B:D,3,FALSE),"-",A181)</f>
        <v>KKMM-PERCCO-180</v>
      </c>
      <c r="C181" s="1" t="s">
        <v>7458</v>
      </c>
      <c r="D181" s="1" t="str">
        <f>VLOOKUP(C181,t_objeto!B:C,2,FALSE)</f>
        <v>KIT_MATERIAL</v>
      </c>
      <c r="E181" s="1">
        <v>8</v>
      </c>
      <c r="F181" s="1" t="str">
        <f>VLOOKUP(E181,t_entry_status!A:C,2,FALSE)</f>
        <v>PENDING</v>
      </c>
      <c r="G181" s="7">
        <v>45560</v>
      </c>
      <c r="H181" s="1" t="s">
        <v>7449</v>
      </c>
      <c r="I181" s="7">
        <v>45560</v>
      </c>
      <c r="J181" s="1" t="s">
        <v>7449</v>
      </c>
    </row>
    <row r="182" spans="1:10" x14ac:dyDescent="0.25">
      <c r="A182" s="1">
        <v>181</v>
      </c>
      <c r="B182" s="2" t="str">
        <f>_xlfn.CONCAT(C182,"-",VLOOKUP(C182,t_objeto!B:D,3,FALSE),"-",A182)</f>
        <v>KKMM-PERCCO-181</v>
      </c>
      <c r="C182" s="1" t="s">
        <v>7458</v>
      </c>
      <c r="D182" s="1" t="str">
        <f>VLOOKUP(C182,t_objeto!B:C,2,FALSE)</f>
        <v>KIT_MATERIAL</v>
      </c>
      <c r="E182" s="1">
        <v>8</v>
      </c>
      <c r="F182" s="1" t="str">
        <f>VLOOKUP(E182,t_entry_status!A:C,2,FALSE)</f>
        <v>PENDING</v>
      </c>
      <c r="G182" s="7">
        <v>45560</v>
      </c>
      <c r="H182" s="1" t="s">
        <v>7449</v>
      </c>
      <c r="I182" s="7">
        <v>45560</v>
      </c>
      <c r="J182" s="1" t="s">
        <v>7449</v>
      </c>
    </row>
    <row r="183" spans="1:10" x14ac:dyDescent="0.25">
      <c r="A183" s="1">
        <v>182</v>
      </c>
      <c r="B183" s="2" t="str">
        <f>_xlfn.CONCAT(C183,"-",VLOOKUP(C183,t_objeto!B:D,3,FALSE),"-",A183)</f>
        <v>KKMM-PERCCO-182</v>
      </c>
      <c r="C183" s="1" t="s">
        <v>7458</v>
      </c>
      <c r="D183" s="1" t="str">
        <f>VLOOKUP(C183,t_objeto!B:C,2,FALSE)</f>
        <v>KIT_MATERIAL</v>
      </c>
      <c r="E183" s="1">
        <v>8</v>
      </c>
      <c r="F183" s="1" t="str">
        <f>VLOOKUP(E183,t_entry_status!A:C,2,FALSE)</f>
        <v>PENDING</v>
      </c>
      <c r="G183" s="7">
        <v>45560</v>
      </c>
      <c r="H183" s="1" t="s">
        <v>7449</v>
      </c>
      <c r="I183" s="7">
        <v>45560</v>
      </c>
      <c r="J183" s="1" t="s">
        <v>7449</v>
      </c>
    </row>
    <row r="184" spans="1:10" x14ac:dyDescent="0.25">
      <c r="A184" s="1">
        <v>183</v>
      </c>
      <c r="B184" s="2" t="str">
        <f>_xlfn.CONCAT(C184,"-",VLOOKUP(C184,t_objeto!B:D,3,FALSE),"-",A184)</f>
        <v>KKMM-PERCCO-183</v>
      </c>
      <c r="C184" s="1" t="s">
        <v>7458</v>
      </c>
      <c r="D184" s="1" t="str">
        <f>VLOOKUP(C184,t_objeto!B:C,2,FALSE)</f>
        <v>KIT_MATERIAL</v>
      </c>
      <c r="E184" s="1">
        <v>8</v>
      </c>
      <c r="F184" s="1" t="str">
        <f>VLOOKUP(E184,t_entry_status!A:C,2,FALSE)</f>
        <v>PENDING</v>
      </c>
      <c r="G184" s="7">
        <v>45560</v>
      </c>
      <c r="H184" s="1" t="s">
        <v>7449</v>
      </c>
      <c r="I184" s="7">
        <v>45560</v>
      </c>
      <c r="J184" s="1" t="s">
        <v>7449</v>
      </c>
    </row>
    <row r="185" spans="1:10" x14ac:dyDescent="0.25">
      <c r="A185" s="1">
        <v>184</v>
      </c>
      <c r="B185" s="2" t="str">
        <f>_xlfn.CONCAT(C185,"-",VLOOKUP(C185,t_objeto!B:D,3,FALSE),"-",A185)</f>
        <v>KKMM-PERCCO-184</v>
      </c>
      <c r="C185" s="1" t="s">
        <v>7458</v>
      </c>
      <c r="D185" s="1" t="str">
        <f>VLOOKUP(C185,t_objeto!B:C,2,FALSE)</f>
        <v>KIT_MATERIAL</v>
      </c>
      <c r="E185" s="1">
        <v>8</v>
      </c>
      <c r="F185" s="1" t="str">
        <f>VLOOKUP(E185,t_entry_status!A:C,2,FALSE)</f>
        <v>PENDING</v>
      </c>
      <c r="G185" s="7">
        <v>45560</v>
      </c>
      <c r="H185" s="1" t="s">
        <v>7449</v>
      </c>
      <c r="I185" s="7">
        <v>45560</v>
      </c>
      <c r="J185" s="1" t="s">
        <v>7449</v>
      </c>
    </row>
    <row r="186" spans="1:10" x14ac:dyDescent="0.25">
      <c r="A186" s="1">
        <v>185</v>
      </c>
      <c r="B186" s="2" t="str">
        <f>_xlfn.CONCAT(C186,"-",VLOOKUP(C186,t_objeto!B:D,3,FALSE),"-",A186)</f>
        <v>KKMM-PERCCO-185</v>
      </c>
      <c r="C186" s="1" t="s">
        <v>7458</v>
      </c>
      <c r="D186" s="1" t="str">
        <f>VLOOKUP(C186,t_objeto!B:C,2,FALSE)</f>
        <v>KIT_MATERIAL</v>
      </c>
      <c r="E186" s="1">
        <v>8</v>
      </c>
      <c r="F186" s="1" t="str">
        <f>VLOOKUP(E186,t_entry_status!A:C,2,FALSE)</f>
        <v>PENDING</v>
      </c>
      <c r="G186" s="7">
        <v>45560</v>
      </c>
      <c r="H186" s="1" t="s">
        <v>7449</v>
      </c>
      <c r="I186" s="7">
        <v>45560</v>
      </c>
      <c r="J186" s="1" t="s">
        <v>7449</v>
      </c>
    </row>
    <row r="187" spans="1:10" x14ac:dyDescent="0.25">
      <c r="A187" s="1">
        <v>186</v>
      </c>
      <c r="B187" s="2" t="str">
        <f>_xlfn.CONCAT(C187,"-",VLOOKUP(C187,t_objeto!B:D,3,FALSE),"-",A187)</f>
        <v>KKMM-PERCCO-186</v>
      </c>
      <c r="C187" s="1" t="s">
        <v>7458</v>
      </c>
      <c r="D187" s="1" t="str">
        <f>VLOOKUP(C187,t_objeto!B:C,2,FALSE)</f>
        <v>KIT_MATERIAL</v>
      </c>
      <c r="E187" s="1">
        <v>8</v>
      </c>
      <c r="F187" s="1" t="str">
        <f>VLOOKUP(E187,t_entry_status!A:C,2,FALSE)</f>
        <v>PENDING</v>
      </c>
      <c r="G187" s="7">
        <v>45560</v>
      </c>
      <c r="H187" s="1" t="s">
        <v>7449</v>
      </c>
      <c r="I187" s="7">
        <v>45560</v>
      </c>
      <c r="J187" s="1" t="s">
        <v>7449</v>
      </c>
    </row>
    <row r="188" spans="1:10" x14ac:dyDescent="0.25">
      <c r="A188" s="1">
        <v>187</v>
      </c>
      <c r="B188" s="2" t="str">
        <f>_xlfn.CONCAT(C188,"-",VLOOKUP(C188,t_objeto!B:D,3,FALSE),"-",A188)</f>
        <v>KKMM-PERCCO-187</v>
      </c>
      <c r="C188" s="1" t="s">
        <v>7458</v>
      </c>
      <c r="D188" s="1" t="str">
        <f>VLOOKUP(C188,t_objeto!B:C,2,FALSE)</f>
        <v>KIT_MATERIAL</v>
      </c>
      <c r="E188" s="1">
        <v>8</v>
      </c>
      <c r="F188" s="1" t="str">
        <f>VLOOKUP(E188,t_entry_status!A:C,2,FALSE)</f>
        <v>PENDING</v>
      </c>
      <c r="G188" s="7">
        <v>45560</v>
      </c>
      <c r="H188" s="1" t="s">
        <v>7449</v>
      </c>
      <c r="I188" s="7">
        <v>45560</v>
      </c>
      <c r="J188" s="1" t="s">
        <v>7449</v>
      </c>
    </row>
    <row r="189" spans="1:10" x14ac:dyDescent="0.25">
      <c r="A189" s="1">
        <v>188</v>
      </c>
      <c r="B189" s="2" t="str">
        <f>_xlfn.CONCAT(C189,"-",VLOOKUP(C189,t_objeto!B:D,3,FALSE),"-",A189)</f>
        <v>KKMM-PERCCO-188</v>
      </c>
      <c r="C189" s="1" t="s">
        <v>7458</v>
      </c>
      <c r="D189" s="1" t="str">
        <f>VLOOKUP(C189,t_objeto!B:C,2,FALSE)</f>
        <v>KIT_MATERIAL</v>
      </c>
      <c r="E189" s="1">
        <v>8</v>
      </c>
      <c r="F189" s="1" t="str">
        <f>VLOOKUP(E189,t_entry_status!A:C,2,FALSE)</f>
        <v>PENDING</v>
      </c>
      <c r="G189" s="7">
        <v>45560</v>
      </c>
      <c r="H189" s="1" t="s">
        <v>7449</v>
      </c>
      <c r="I189" s="7">
        <v>45560</v>
      </c>
      <c r="J189" s="1" t="s">
        <v>7449</v>
      </c>
    </row>
    <row r="190" spans="1:10" x14ac:dyDescent="0.25">
      <c r="A190" s="1">
        <v>189</v>
      </c>
      <c r="B190" s="2" t="str">
        <f>_xlfn.CONCAT(C190,"-",VLOOKUP(C190,t_objeto!B:D,3,FALSE),"-",A190)</f>
        <v>KKMM-PERCCO-189</v>
      </c>
      <c r="C190" s="1" t="s">
        <v>7458</v>
      </c>
      <c r="D190" s="1" t="str">
        <f>VLOOKUP(C190,t_objeto!B:C,2,FALSE)</f>
        <v>KIT_MATERIAL</v>
      </c>
      <c r="E190" s="1">
        <v>8</v>
      </c>
      <c r="F190" s="1" t="str">
        <f>VLOOKUP(E190,t_entry_status!A:C,2,FALSE)</f>
        <v>PENDING</v>
      </c>
      <c r="G190" s="7">
        <v>45560</v>
      </c>
      <c r="H190" s="1" t="s">
        <v>7449</v>
      </c>
      <c r="I190" s="7">
        <v>45560</v>
      </c>
      <c r="J190" s="1" t="s">
        <v>7449</v>
      </c>
    </row>
    <row r="191" spans="1:10" x14ac:dyDescent="0.25">
      <c r="A191" s="1">
        <v>190</v>
      </c>
      <c r="B191" s="2" t="str">
        <f>_xlfn.CONCAT(C191,"-",VLOOKUP(C191,t_objeto!B:D,3,FALSE),"-",A191)</f>
        <v>KKMM-PERCCO-190</v>
      </c>
      <c r="C191" s="1" t="s">
        <v>7458</v>
      </c>
      <c r="D191" s="1" t="str">
        <f>VLOOKUP(C191,t_objeto!B:C,2,FALSE)</f>
        <v>KIT_MATERIAL</v>
      </c>
      <c r="E191" s="1">
        <v>8</v>
      </c>
      <c r="F191" s="1" t="str">
        <f>VLOOKUP(E191,t_entry_status!A:C,2,FALSE)</f>
        <v>PENDING</v>
      </c>
      <c r="G191" s="7">
        <v>45560</v>
      </c>
      <c r="H191" s="1" t="s">
        <v>7449</v>
      </c>
      <c r="I191" s="7">
        <v>45560</v>
      </c>
      <c r="J191" s="1" t="s">
        <v>7449</v>
      </c>
    </row>
    <row r="192" spans="1:10" x14ac:dyDescent="0.25">
      <c r="A192" s="1">
        <v>191</v>
      </c>
      <c r="B192" s="2" t="str">
        <f>_xlfn.CONCAT(C192,"-",VLOOKUP(C192,t_objeto!B:D,3,FALSE),"-",A192)</f>
        <v>KKMM-PERCCO-191</v>
      </c>
      <c r="C192" s="1" t="s">
        <v>7458</v>
      </c>
      <c r="D192" s="1" t="str">
        <f>VLOOKUP(C192,t_objeto!B:C,2,FALSE)</f>
        <v>KIT_MATERIAL</v>
      </c>
      <c r="E192" s="1">
        <v>8</v>
      </c>
      <c r="F192" s="1" t="str">
        <f>VLOOKUP(E192,t_entry_status!A:C,2,FALSE)</f>
        <v>PENDING</v>
      </c>
      <c r="G192" s="7">
        <v>45560</v>
      </c>
      <c r="H192" s="1" t="s">
        <v>7449</v>
      </c>
      <c r="I192" s="7">
        <v>45560</v>
      </c>
      <c r="J192" s="1" t="s">
        <v>7449</v>
      </c>
    </row>
    <row r="193" spans="1:10" x14ac:dyDescent="0.25">
      <c r="A193" s="1">
        <v>192</v>
      </c>
      <c r="B193" s="2" t="str">
        <f>_xlfn.CONCAT(C193,"-",VLOOKUP(C193,t_objeto!B:D,3,FALSE),"-",A193)</f>
        <v>KKMM-PERCCO-192</v>
      </c>
      <c r="C193" s="1" t="s">
        <v>7458</v>
      </c>
      <c r="D193" s="1" t="str">
        <f>VLOOKUP(C193,t_objeto!B:C,2,FALSE)</f>
        <v>KIT_MATERIAL</v>
      </c>
      <c r="E193" s="1">
        <v>8</v>
      </c>
      <c r="F193" s="1" t="str">
        <f>VLOOKUP(E193,t_entry_status!A:C,2,FALSE)</f>
        <v>PENDING</v>
      </c>
      <c r="G193" s="7">
        <v>45560</v>
      </c>
      <c r="H193" s="1" t="s">
        <v>7449</v>
      </c>
      <c r="I193" s="7">
        <v>45560</v>
      </c>
      <c r="J193" s="1" t="s">
        <v>7449</v>
      </c>
    </row>
    <row r="194" spans="1:10" x14ac:dyDescent="0.25">
      <c r="A194" s="1">
        <v>193</v>
      </c>
      <c r="B194" s="2" t="str">
        <f>_xlfn.CONCAT(C194,"-",VLOOKUP(C194,t_objeto!B:D,3,FALSE),"-",A194)</f>
        <v>KKMM-PERCCO-193</v>
      </c>
      <c r="C194" s="1" t="s">
        <v>7458</v>
      </c>
      <c r="D194" s="1" t="str">
        <f>VLOOKUP(C194,t_objeto!B:C,2,FALSE)</f>
        <v>KIT_MATERIAL</v>
      </c>
      <c r="E194" s="1">
        <v>8</v>
      </c>
      <c r="F194" s="1" t="str">
        <f>VLOOKUP(E194,t_entry_status!A:C,2,FALSE)</f>
        <v>PENDING</v>
      </c>
      <c r="G194" s="7">
        <v>45560</v>
      </c>
      <c r="H194" s="1" t="s">
        <v>7449</v>
      </c>
      <c r="I194" s="7">
        <v>45560</v>
      </c>
      <c r="J194" s="1" t="s">
        <v>7449</v>
      </c>
    </row>
    <row r="195" spans="1:10" x14ac:dyDescent="0.25">
      <c r="A195" s="1">
        <v>194</v>
      </c>
      <c r="B195" s="2" t="str">
        <f>_xlfn.CONCAT(C195,"-",VLOOKUP(C195,t_objeto!B:D,3,FALSE),"-",A195)</f>
        <v>KKMM-PERCCO-194</v>
      </c>
      <c r="C195" s="1" t="s">
        <v>7458</v>
      </c>
      <c r="D195" s="1" t="str">
        <f>VLOOKUP(C195,t_objeto!B:C,2,FALSE)</f>
        <v>KIT_MATERIAL</v>
      </c>
      <c r="E195" s="1">
        <v>8</v>
      </c>
      <c r="F195" s="1" t="str">
        <f>VLOOKUP(E195,t_entry_status!A:C,2,FALSE)</f>
        <v>PENDING</v>
      </c>
      <c r="G195" s="7">
        <v>45560</v>
      </c>
      <c r="H195" s="1" t="s">
        <v>7449</v>
      </c>
      <c r="I195" s="7">
        <v>45560</v>
      </c>
      <c r="J195" s="1" t="s">
        <v>7449</v>
      </c>
    </row>
    <row r="196" spans="1:10" x14ac:dyDescent="0.25">
      <c r="A196" s="1">
        <v>195</v>
      </c>
      <c r="B196" s="2" t="str">
        <f>_xlfn.CONCAT(C196,"-",VLOOKUP(C196,t_objeto!B:D,3,FALSE),"-",A196)</f>
        <v>KKMM-PERCCO-195</v>
      </c>
      <c r="C196" s="1" t="s">
        <v>7458</v>
      </c>
      <c r="D196" s="1" t="str">
        <f>VLOOKUP(C196,t_objeto!B:C,2,FALSE)</f>
        <v>KIT_MATERIAL</v>
      </c>
      <c r="E196" s="1">
        <v>8</v>
      </c>
      <c r="F196" s="1" t="str">
        <f>VLOOKUP(E196,t_entry_status!A:C,2,FALSE)</f>
        <v>PENDING</v>
      </c>
      <c r="G196" s="7">
        <v>45560</v>
      </c>
      <c r="H196" s="1" t="s">
        <v>7449</v>
      </c>
      <c r="I196" s="7">
        <v>45560</v>
      </c>
      <c r="J196" s="1" t="s">
        <v>7449</v>
      </c>
    </row>
    <row r="197" spans="1:10" x14ac:dyDescent="0.25">
      <c r="A197" s="1">
        <v>196</v>
      </c>
      <c r="B197" s="2" t="str">
        <f>_xlfn.CONCAT(C197,"-",VLOOKUP(C197,t_objeto!B:D,3,FALSE),"-",A197)</f>
        <v>KKMM-PERCCO-196</v>
      </c>
      <c r="C197" s="1" t="s">
        <v>7458</v>
      </c>
      <c r="D197" s="1" t="str">
        <f>VLOOKUP(C197,t_objeto!B:C,2,FALSE)</f>
        <v>KIT_MATERIAL</v>
      </c>
      <c r="E197" s="1">
        <v>8</v>
      </c>
      <c r="F197" s="1" t="str">
        <f>VLOOKUP(E197,t_entry_status!A:C,2,FALSE)</f>
        <v>PENDING</v>
      </c>
      <c r="G197" s="7">
        <v>45560</v>
      </c>
      <c r="H197" s="1" t="s">
        <v>7449</v>
      </c>
      <c r="I197" s="7">
        <v>45560</v>
      </c>
      <c r="J197" s="1" t="s">
        <v>7449</v>
      </c>
    </row>
    <row r="198" spans="1:10" x14ac:dyDescent="0.25">
      <c r="A198" s="1">
        <v>197</v>
      </c>
      <c r="B198" s="2" t="str">
        <f>_xlfn.CONCAT(C198,"-",VLOOKUP(C198,t_objeto!B:D,3,FALSE),"-",A198)</f>
        <v>KKMM-PERCCO-197</v>
      </c>
      <c r="C198" s="1" t="s">
        <v>7458</v>
      </c>
      <c r="D198" s="1" t="str">
        <f>VLOOKUP(C198,t_objeto!B:C,2,FALSE)</f>
        <v>KIT_MATERIAL</v>
      </c>
      <c r="E198" s="1">
        <v>8</v>
      </c>
      <c r="F198" s="1" t="str">
        <f>VLOOKUP(E198,t_entry_status!A:C,2,FALSE)</f>
        <v>PENDING</v>
      </c>
      <c r="G198" s="7">
        <v>45560</v>
      </c>
      <c r="H198" s="1" t="s">
        <v>7449</v>
      </c>
      <c r="I198" s="7">
        <v>45560</v>
      </c>
      <c r="J198" s="1" t="s">
        <v>7449</v>
      </c>
    </row>
    <row r="199" spans="1:10" x14ac:dyDescent="0.25">
      <c r="A199" s="1">
        <v>198</v>
      </c>
      <c r="B199" s="2" t="str">
        <f>_xlfn.CONCAT(C199,"-",VLOOKUP(C199,t_objeto!B:D,3,FALSE),"-",A199)</f>
        <v>KKMM-PERCCO-198</v>
      </c>
      <c r="C199" s="1" t="s">
        <v>7458</v>
      </c>
      <c r="D199" s="1" t="str">
        <f>VLOOKUP(C199,t_objeto!B:C,2,FALSE)</f>
        <v>KIT_MATERIAL</v>
      </c>
      <c r="E199" s="1">
        <v>8</v>
      </c>
      <c r="F199" s="1" t="str">
        <f>VLOOKUP(E199,t_entry_status!A:C,2,FALSE)</f>
        <v>PENDING</v>
      </c>
      <c r="G199" s="7">
        <v>45560</v>
      </c>
      <c r="H199" s="1" t="s">
        <v>7449</v>
      </c>
      <c r="I199" s="7">
        <v>45560</v>
      </c>
      <c r="J199" s="1" t="s">
        <v>7449</v>
      </c>
    </row>
    <row r="200" spans="1:10" x14ac:dyDescent="0.25">
      <c r="A200" s="1">
        <v>199</v>
      </c>
      <c r="B200" s="2" t="str">
        <f>_xlfn.CONCAT(C200,"-",VLOOKUP(C200,t_objeto!B:D,3,FALSE),"-",A200)</f>
        <v>KKMM-PERCCO-199</v>
      </c>
      <c r="C200" s="1" t="s">
        <v>7458</v>
      </c>
      <c r="D200" s="1" t="str">
        <f>VLOOKUP(C200,t_objeto!B:C,2,FALSE)</f>
        <v>KIT_MATERIAL</v>
      </c>
      <c r="E200" s="1">
        <v>8</v>
      </c>
      <c r="F200" s="1" t="str">
        <f>VLOOKUP(E200,t_entry_status!A:C,2,FALSE)</f>
        <v>PENDING</v>
      </c>
      <c r="G200" s="7">
        <v>45560</v>
      </c>
      <c r="H200" s="1" t="s">
        <v>7449</v>
      </c>
      <c r="I200" s="7">
        <v>45560</v>
      </c>
      <c r="J200" s="1" t="s">
        <v>7449</v>
      </c>
    </row>
    <row r="201" spans="1:10" x14ac:dyDescent="0.25">
      <c r="A201" s="1">
        <v>200</v>
      </c>
      <c r="B201" s="2" t="str">
        <f>_xlfn.CONCAT(C201,"-",VLOOKUP(C201,t_objeto!B:D,3,FALSE),"-",A201)</f>
        <v>KKMM-PERCCO-200</v>
      </c>
      <c r="C201" s="1" t="s">
        <v>7458</v>
      </c>
      <c r="D201" s="1" t="str">
        <f>VLOOKUP(C201,t_objeto!B:C,2,FALSE)</f>
        <v>KIT_MATERIAL</v>
      </c>
      <c r="E201" s="1">
        <v>8</v>
      </c>
      <c r="F201" s="1" t="str">
        <f>VLOOKUP(E201,t_entry_status!A:C,2,FALSE)</f>
        <v>PENDING</v>
      </c>
      <c r="G201" s="7">
        <v>45560</v>
      </c>
      <c r="H201" s="1" t="s">
        <v>7449</v>
      </c>
      <c r="I201" s="7">
        <v>45560</v>
      </c>
      <c r="J201" s="1" t="s">
        <v>7449</v>
      </c>
    </row>
    <row r="202" spans="1:10" x14ac:dyDescent="0.25">
      <c r="A202" s="1">
        <v>201</v>
      </c>
      <c r="B202" s="2" t="str">
        <f>_xlfn.CONCAT(C202,"-",VLOOKUP(C202,t_objeto!B:D,3,FALSE),"-",A202)</f>
        <v>KKMM-PERCCO-201</v>
      </c>
      <c r="C202" s="1" t="s">
        <v>7458</v>
      </c>
      <c r="D202" s="1" t="str">
        <f>VLOOKUP(C202,t_objeto!B:C,2,FALSE)</f>
        <v>KIT_MATERIAL</v>
      </c>
      <c r="E202" s="1">
        <v>8</v>
      </c>
      <c r="F202" s="1" t="str">
        <f>VLOOKUP(E202,t_entry_status!A:C,2,FALSE)</f>
        <v>PENDING</v>
      </c>
      <c r="G202" s="7">
        <v>45560</v>
      </c>
      <c r="H202" s="1" t="s">
        <v>7449</v>
      </c>
      <c r="I202" s="7">
        <v>45560</v>
      </c>
      <c r="J202" s="1" t="s">
        <v>7449</v>
      </c>
    </row>
    <row r="203" spans="1:10" x14ac:dyDescent="0.25">
      <c r="A203" s="1">
        <v>202</v>
      </c>
      <c r="B203" s="2" t="str">
        <f>_xlfn.CONCAT(C203,"-",VLOOKUP(C203,t_objeto!B:D,3,FALSE),"-",A203)</f>
        <v>KKMM-PERCCO-202</v>
      </c>
      <c r="C203" s="1" t="s">
        <v>7458</v>
      </c>
      <c r="D203" s="1" t="str">
        <f>VLOOKUP(C203,t_objeto!B:C,2,FALSE)</f>
        <v>KIT_MATERIAL</v>
      </c>
      <c r="E203" s="1">
        <v>8</v>
      </c>
      <c r="F203" s="1" t="str">
        <f>VLOOKUP(E203,t_entry_status!A:C,2,FALSE)</f>
        <v>PENDING</v>
      </c>
      <c r="G203" s="7">
        <v>45560</v>
      </c>
      <c r="H203" s="1" t="s">
        <v>7449</v>
      </c>
      <c r="I203" s="7">
        <v>45560</v>
      </c>
      <c r="J203" s="1" t="s">
        <v>7449</v>
      </c>
    </row>
    <row r="204" spans="1:10" x14ac:dyDescent="0.25">
      <c r="A204" s="1">
        <v>203</v>
      </c>
      <c r="B204" s="2" t="str">
        <f>_xlfn.CONCAT(C204,"-",VLOOKUP(C204,t_objeto!B:D,3,FALSE),"-",A204)</f>
        <v>KKMM-PERCCO-203</v>
      </c>
      <c r="C204" s="1" t="s">
        <v>7458</v>
      </c>
      <c r="D204" s="1" t="str">
        <f>VLOOKUP(C204,t_objeto!B:C,2,FALSE)</f>
        <v>KIT_MATERIAL</v>
      </c>
      <c r="E204" s="1">
        <v>8</v>
      </c>
      <c r="F204" s="1" t="str">
        <f>VLOOKUP(E204,t_entry_status!A:C,2,FALSE)</f>
        <v>PENDING</v>
      </c>
      <c r="G204" s="7">
        <v>45560</v>
      </c>
      <c r="H204" s="1" t="s">
        <v>7449</v>
      </c>
      <c r="I204" s="7">
        <v>45560</v>
      </c>
      <c r="J204" s="1" t="s">
        <v>7449</v>
      </c>
    </row>
    <row r="205" spans="1:10" x14ac:dyDescent="0.25">
      <c r="A205" s="1">
        <v>204</v>
      </c>
      <c r="B205" s="2" t="str">
        <f>_xlfn.CONCAT(C205,"-",VLOOKUP(C205,t_objeto!B:D,3,FALSE),"-",A205)</f>
        <v>KKMM-PERCCO-204</v>
      </c>
      <c r="C205" s="1" t="s">
        <v>7458</v>
      </c>
      <c r="D205" s="1" t="str">
        <f>VLOOKUP(C205,t_objeto!B:C,2,FALSE)</f>
        <v>KIT_MATERIAL</v>
      </c>
      <c r="E205" s="1">
        <v>8</v>
      </c>
      <c r="F205" s="1" t="str">
        <f>VLOOKUP(E205,t_entry_status!A:C,2,FALSE)</f>
        <v>PENDING</v>
      </c>
      <c r="G205" s="7">
        <v>45560</v>
      </c>
      <c r="H205" s="1" t="s">
        <v>7449</v>
      </c>
      <c r="I205" s="7">
        <v>45560</v>
      </c>
      <c r="J205" s="1" t="s">
        <v>7449</v>
      </c>
    </row>
    <row r="206" spans="1:10" x14ac:dyDescent="0.25">
      <c r="A206" s="1">
        <v>205</v>
      </c>
      <c r="B206" s="2" t="str">
        <f>_xlfn.CONCAT(C206,"-",VLOOKUP(C206,t_objeto!B:D,3,FALSE),"-",A206)</f>
        <v>KKMM-PERCCO-205</v>
      </c>
      <c r="C206" s="1" t="s">
        <v>7458</v>
      </c>
      <c r="D206" s="1" t="str">
        <f>VLOOKUP(C206,t_objeto!B:C,2,FALSE)</f>
        <v>KIT_MATERIAL</v>
      </c>
      <c r="E206" s="1">
        <v>8</v>
      </c>
      <c r="F206" s="1" t="str">
        <f>VLOOKUP(E206,t_entry_status!A:C,2,FALSE)</f>
        <v>PENDING</v>
      </c>
      <c r="G206" s="7">
        <v>45560</v>
      </c>
      <c r="H206" s="1" t="s">
        <v>7449</v>
      </c>
      <c r="I206" s="7">
        <v>45560</v>
      </c>
      <c r="J206" s="1" t="s">
        <v>7449</v>
      </c>
    </row>
    <row r="207" spans="1:10" x14ac:dyDescent="0.25">
      <c r="A207" s="1">
        <v>206</v>
      </c>
      <c r="B207" s="2" t="str">
        <f>_xlfn.CONCAT(C207,"-",VLOOKUP(C207,t_objeto!B:D,3,FALSE),"-",A207)</f>
        <v>KKMM-PERCCO-206</v>
      </c>
      <c r="C207" s="1" t="s">
        <v>7458</v>
      </c>
      <c r="D207" s="1" t="str">
        <f>VLOOKUP(C207,t_objeto!B:C,2,FALSE)</f>
        <v>KIT_MATERIAL</v>
      </c>
      <c r="E207" s="1">
        <v>8</v>
      </c>
      <c r="F207" s="1" t="str">
        <f>VLOOKUP(E207,t_entry_status!A:C,2,FALSE)</f>
        <v>PENDING</v>
      </c>
      <c r="G207" s="7">
        <v>45560</v>
      </c>
      <c r="H207" s="1" t="s">
        <v>7449</v>
      </c>
      <c r="I207" s="7">
        <v>45560</v>
      </c>
      <c r="J207" s="1" t="s">
        <v>7449</v>
      </c>
    </row>
    <row r="208" spans="1:10" x14ac:dyDescent="0.25">
      <c r="A208" s="1">
        <v>207</v>
      </c>
      <c r="B208" s="2" t="str">
        <f>_xlfn.CONCAT(C208,"-",VLOOKUP(C208,t_objeto!B:D,3,FALSE),"-",A208)</f>
        <v>KKMM-PERCCO-207</v>
      </c>
      <c r="C208" s="1" t="s">
        <v>7458</v>
      </c>
      <c r="D208" s="1" t="str">
        <f>VLOOKUP(C208,t_objeto!B:C,2,FALSE)</f>
        <v>KIT_MATERIAL</v>
      </c>
      <c r="E208" s="1">
        <v>8</v>
      </c>
      <c r="F208" s="1" t="str">
        <f>VLOOKUP(E208,t_entry_status!A:C,2,FALSE)</f>
        <v>PENDING</v>
      </c>
      <c r="G208" s="7">
        <v>45560</v>
      </c>
      <c r="H208" s="1" t="s">
        <v>7449</v>
      </c>
      <c r="I208" s="7">
        <v>45560</v>
      </c>
      <c r="J208" s="1" t="s">
        <v>7449</v>
      </c>
    </row>
    <row r="209" spans="1:10" x14ac:dyDescent="0.25">
      <c r="A209" s="1">
        <v>208</v>
      </c>
      <c r="B209" s="2" t="str">
        <f>_xlfn.CONCAT(C209,"-",VLOOKUP(C209,t_objeto!B:D,3,FALSE),"-",A209)</f>
        <v>KKMM-PERCCO-208</v>
      </c>
      <c r="C209" s="1" t="s">
        <v>7458</v>
      </c>
      <c r="D209" s="1" t="str">
        <f>VLOOKUP(C209,t_objeto!B:C,2,FALSE)</f>
        <v>KIT_MATERIAL</v>
      </c>
      <c r="E209" s="1">
        <v>8</v>
      </c>
      <c r="F209" s="1" t="str">
        <f>VLOOKUP(E209,t_entry_status!A:C,2,FALSE)</f>
        <v>PENDING</v>
      </c>
      <c r="G209" s="7">
        <v>45560</v>
      </c>
      <c r="H209" s="1" t="s">
        <v>7449</v>
      </c>
      <c r="I209" s="7">
        <v>45560</v>
      </c>
      <c r="J209" s="1" t="s">
        <v>7449</v>
      </c>
    </row>
    <row r="210" spans="1:10" x14ac:dyDescent="0.25">
      <c r="A210" s="1">
        <v>209</v>
      </c>
      <c r="B210" s="2" t="str">
        <f>_xlfn.CONCAT(C210,"-",VLOOKUP(C210,t_objeto!B:D,3,FALSE),"-",A210)</f>
        <v>KKMM-PERCCO-209</v>
      </c>
      <c r="C210" s="1" t="s">
        <v>7458</v>
      </c>
      <c r="D210" s="1" t="str">
        <f>VLOOKUP(C210,t_objeto!B:C,2,FALSE)</f>
        <v>KIT_MATERIAL</v>
      </c>
      <c r="E210" s="1">
        <v>8</v>
      </c>
      <c r="F210" s="1" t="str">
        <f>VLOOKUP(E210,t_entry_status!A:C,2,FALSE)</f>
        <v>PENDING</v>
      </c>
      <c r="G210" s="7">
        <v>45560</v>
      </c>
      <c r="H210" s="1" t="s">
        <v>7449</v>
      </c>
      <c r="I210" s="7">
        <v>45560</v>
      </c>
      <c r="J210" s="1" t="s">
        <v>7449</v>
      </c>
    </row>
    <row r="211" spans="1:10" x14ac:dyDescent="0.25">
      <c r="A211" s="1">
        <v>210</v>
      </c>
      <c r="B211" s="2" t="str">
        <f>_xlfn.CONCAT(C211,"-",VLOOKUP(C211,t_objeto!B:D,3,FALSE),"-",A211)</f>
        <v>KKMM-PERCCO-210</v>
      </c>
      <c r="C211" s="1" t="s">
        <v>7458</v>
      </c>
      <c r="D211" s="1" t="str">
        <f>VLOOKUP(C211,t_objeto!B:C,2,FALSE)</f>
        <v>KIT_MATERIAL</v>
      </c>
      <c r="E211" s="1">
        <v>8</v>
      </c>
      <c r="F211" s="1" t="str">
        <f>VLOOKUP(E211,t_entry_status!A:C,2,FALSE)</f>
        <v>PENDING</v>
      </c>
      <c r="G211" s="7">
        <v>45560</v>
      </c>
      <c r="H211" s="1" t="s">
        <v>7449</v>
      </c>
      <c r="I211" s="7">
        <v>45560</v>
      </c>
      <c r="J211" s="1" t="s">
        <v>7449</v>
      </c>
    </row>
    <row r="212" spans="1:10" x14ac:dyDescent="0.25">
      <c r="A212" s="1">
        <v>211</v>
      </c>
      <c r="B212" s="2" t="str">
        <f>_xlfn.CONCAT(C212,"-",VLOOKUP(C212,t_objeto!B:D,3,FALSE),"-",A212)</f>
        <v>KKMM-PERCCO-211</v>
      </c>
      <c r="C212" s="1" t="s">
        <v>7458</v>
      </c>
      <c r="D212" s="1" t="str">
        <f>VLOOKUP(C212,t_objeto!B:C,2,FALSE)</f>
        <v>KIT_MATERIAL</v>
      </c>
      <c r="E212" s="1">
        <v>8</v>
      </c>
      <c r="F212" s="1" t="str">
        <f>VLOOKUP(E212,t_entry_status!A:C,2,FALSE)</f>
        <v>PENDING</v>
      </c>
      <c r="G212" s="7">
        <v>45560</v>
      </c>
      <c r="H212" s="1" t="s">
        <v>7449</v>
      </c>
      <c r="I212" s="7">
        <v>45560</v>
      </c>
      <c r="J212" s="1" t="s">
        <v>7449</v>
      </c>
    </row>
    <row r="213" spans="1:10" x14ac:dyDescent="0.25">
      <c r="A213" s="1">
        <v>212</v>
      </c>
      <c r="B213" s="2" t="str">
        <f>_xlfn.CONCAT(C213,"-",VLOOKUP(C213,t_objeto!B:D,3,FALSE),"-",A213)</f>
        <v>KKMM-PERCCO-212</v>
      </c>
      <c r="C213" s="1" t="s">
        <v>7458</v>
      </c>
      <c r="D213" s="1" t="str">
        <f>VLOOKUP(C213,t_objeto!B:C,2,FALSE)</f>
        <v>KIT_MATERIAL</v>
      </c>
      <c r="E213" s="1">
        <v>8</v>
      </c>
      <c r="F213" s="1" t="str">
        <f>VLOOKUP(E213,t_entry_status!A:C,2,FALSE)</f>
        <v>PENDING</v>
      </c>
      <c r="G213" s="7">
        <v>45560</v>
      </c>
      <c r="H213" s="1" t="s">
        <v>7449</v>
      </c>
      <c r="I213" s="7">
        <v>45560</v>
      </c>
      <c r="J213" s="1" t="s">
        <v>7449</v>
      </c>
    </row>
    <row r="214" spans="1:10" x14ac:dyDescent="0.25">
      <c r="A214" s="1">
        <v>213</v>
      </c>
      <c r="B214" s="2" t="str">
        <f>_xlfn.CONCAT(C214,"-",VLOOKUP(C214,t_objeto!B:D,3,FALSE),"-",A214)</f>
        <v>KKMM-PERCCO-213</v>
      </c>
      <c r="C214" s="1" t="s">
        <v>7458</v>
      </c>
      <c r="D214" s="1" t="str">
        <f>VLOOKUP(C214,t_objeto!B:C,2,FALSE)</f>
        <v>KIT_MATERIAL</v>
      </c>
      <c r="E214" s="1">
        <v>8</v>
      </c>
      <c r="F214" s="1" t="str">
        <f>VLOOKUP(E214,t_entry_status!A:C,2,FALSE)</f>
        <v>PENDING</v>
      </c>
      <c r="G214" s="7">
        <v>45560</v>
      </c>
      <c r="H214" s="1" t="s">
        <v>7449</v>
      </c>
      <c r="I214" s="7">
        <v>45560</v>
      </c>
      <c r="J214" s="1" t="s">
        <v>7449</v>
      </c>
    </row>
    <row r="215" spans="1:10" x14ac:dyDescent="0.25">
      <c r="A215" s="1">
        <v>214</v>
      </c>
      <c r="B215" s="2" t="str">
        <f>_xlfn.CONCAT(C215,"-",VLOOKUP(C215,t_objeto!B:D,3,FALSE),"-",A215)</f>
        <v>KKMM-PERCCO-214</v>
      </c>
      <c r="C215" s="1" t="s">
        <v>7458</v>
      </c>
      <c r="D215" s="1" t="str">
        <f>VLOOKUP(C215,t_objeto!B:C,2,FALSE)</f>
        <v>KIT_MATERIAL</v>
      </c>
      <c r="E215" s="1">
        <v>8</v>
      </c>
      <c r="F215" s="1" t="str">
        <f>VLOOKUP(E215,t_entry_status!A:C,2,FALSE)</f>
        <v>PENDING</v>
      </c>
      <c r="G215" s="7">
        <v>45560</v>
      </c>
      <c r="H215" s="1" t="s">
        <v>7449</v>
      </c>
      <c r="I215" s="7">
        <v>45560</v>
      </c>
      <c r="J215" s="1" t="s">
        <v>7449</v>
      </c>
    </row>
    <row r="216" spans="1:10" x14ac:dyDescent="0.25">
      <c r="A216" s="1">
        <v>215</v>
      </c>
      <c r="B216" s="2" t="str">
        <f>_xlfn.CONCAT(C216,"-",VLOOKUP(C216,t_objeto!B:D,3,FALSE),"-",A216)</f>
        <v>KKMM-PERCCO-215</v>
      </c>
      <c r="C216" s="1" t="s">
        <v>7458</v>
      </c>
      <c r="D216" s="1" t="str">
        <f>VLOOKUP(C216,t_objeto!B:C,2,FALSE)</f>
        <v>KIT_MATERIAL</v>
      </c>
      <c r="E216" s="1">
        <v>8</v>
      </c>
      <c r="F216" s="1" t="str">
        <f>VLOOKUP(E216,t_entry_status!A:C,2,FALSE)</f>
        <v>PENDING</v>
      </c>
      <c r="G216" s="7">
        <v>45560</v>
      </c>
      <c r="H216" s="1" t="s">
        <v>7449</v>
      </c>
      <c r="I216" s="7">
        <v>45560</v>
      </c>
      <c r="J216" s="1" t="s">
        <v>7449</v>
      </c>
    </row>
    <row r="217" spans="1:10" x14ac:dyDescent="0.25">
      <c r="A217" s="1">
        <v>216</v>
      </c>
      <c r="B217" s="2" t="str">
        <f>_xlfn.CONCAT(C217,"-",VLOOKUP(C217,t_objeto!B:D,3,FALSE),"-",A217)</f>
        <v>KKMM-PERCCO-216</v>
      </c>
      <c r="C217" s="1" t="s">
        <v>7458</v>
      </c>
      <c r="D217" s="1" t="str">
        <f>VLOOKUP(C217,t_objeto!B:C,2,FALSE)</f>
        <v>KIT_MATERIAL</v>
      </c>
      <c r="E217" s="1">
        <v>8</v>
      </c>
      <c r="F217" s="1" t="str">
        <f>VLOOKUP(E217,t_entry_status!A:C,2,FALSE)</f>
        <v>PENDING</v>
      </c>
      <c r="G217" s="7">
        <v>45560</v>
      </c>
      <c r="H217" s="1" t="s">
        <v>7449</v>
      </c>
      <c r="I217" s="7">
        <v>45560</v>
      </c>
      <c r="J217" s="1" t="s">
        <v>7449</v>
      </c>
    </row>
    <row r="218" spans="1:10" x14ac:dyDescent="0.25">
      <c r="A218" s="1">
        <v>217</v>
      </c>
      <c r="B218" s="2" t="str">
        <f>_xlfn.CONCAT(C218,"-",VLOOKUP(C218,t_objeto!B:D,3,FALSE),"-",A218)</f>
        <v>KKMM-PERCCO-217</v>
      </c>
      <c r="C218" s="1" t="s">
        <v>7458</v>
      </c>
      <c r="D218" s="1" t="str">
        <f>VLOOKUP(C218,t_objeto!B:C,2,FALSE)</f>
        <v>KIT_MATERIAL</v>
      </c>
      <c r="E218" s="1">
        <v>8</v>
      </c>
      <c r="F218" s="1" t="str">
        <f>VLOOKUP(E218,t_entry_status!A:C,2,FALSE)</f>
        <v>PENDING</v>
      </c>
      <c r="G218" s="7">
        <v>45560</v>
      </c>
      <c r="H218" s="1" t="s">
        <v>7449</v>
      </c>
      <c r="I218" s="7">
        <v>45560</v>
      </c>
      <c r="J218" s="1" t="s">
        <v>7449</v>
      </c>
    </row>
    <row r="219" spans="1:10" x14ac:dyDescent="0.25">
      <c r="A219" s="1">
        <v>218</v>
      </c>
      <c r="B219" s="2" t="str">
        <f>_xlfn.CONCAT(C219,"-",VLOOKUP(C219,t_objeto!B:D,3,FALSE),"-",A219)</f>
        <v>KKMM-PERCCO-218</v>
      </c>
      <c r="C219" s="1" t="s">
        <v>7458</v>
      </c>
      <c r="D219" s="1" t="str">
        <f>VLOOKUP(C219,t_objeto!B:C,2,FALSE)</f>
        <v>KIT_MATERIAL</v>
      </c>
      <c r="E219" s="1">
        <v>8</v>
      </c>
      <c r="F219" s="1" t="str">
        <f>VLOOKUP(E219,t_entry_status!A:C,2,FALSE)</f>
        <v>PENDING</v>
      </c>
      <c r="G219" s="7">
        <v>45560</v>
      </c>
      <c r="H219" s="1" t="s">
        <v>7449</v>
      </c>
      <c r="I219" s="7">
        <v>45560</v>
      </c>
      <c r="J219" s="1" t="s">
        <v>7449</v>
      </c>
    </row>
    <row r="220" spans="1:10" x14ac:dyDescent="0.25">
      <c r="A220" s="1">
        <v>219</v>
      </c>
      <c r="B220" s="2" t="str">
        <f>_xlfn.CONCAT(C220,"-",VLOOKUP(C220,t_objeto!B:D,3,FALSE),"-",A220)</f>
        <v>KKMM-PERCCO-219</v>
      </c>
      <c r="C220" s="1" t="s">
        <v>7458</v>
      </c>
      <c r="D220" s="1" t="str">
        <f>VLOOKUP(C220,t_objeto!B:C,2,FALSE)</f>
        <v>KIT_MATERIAL</v>
      </c>
      <c r="E220" s="1">
        <v>8</v>
      </c>
      <c r="F220" s="1" t="str">
        <f>VLOOKUP(E220,t_entry_status!A:C,2,FALSE)</f>
        <v>PENDING</v>
      </c>
      <c r="G220" s="7">
        <v>45560</v>
      </c>
      <c r="H220" s="1" t="s">
        <v>7449</v>
      </c>
      <c r="I220" s="7">
        <v>45560</v>
      </c>
      <c r="J220" s="1" t="s">
        <v>7449</v>
      </c>
    </row>
    <row r="221" spans="1:10" x14ac:dyDescent="0.25">
      <c r="A221" s="1">
        <v>220</v>
      </c>
      <c r="B221" s="2" t="str">
        <f>_xlfn.CONCAT(C221,"-",VLOOKUP(C221,t_objeto!B:D,3,FALSE),"-",A221)</f>
        <v>KKMM-PERCCO-220</v>
      </c>
      <c r="C221" s="1" t="s">
        <v>7458</v>
      </c>
      <c r="D221" s="1" t="str">
        <f>VLOOKUP(C221,t_objeto!B:C,2,FALSE)</f>
        <v>KIT_MATERIAL</v>
      </c>
      <c r="E221" s="1">
        <v>8</v>
      </c>
      <c r="F221" s="1" t="str">
        <f>VLOOKUP(E221,t_entry_status!A:C,2,FALSE)</f>
        <v>PENDING</v>
      </c>
      <c r="G221" s="7">
        <v>45560</v>
      </c>
      <c r="H221" s="1" t="s">
        <v>7449</v>
      </c>
      <c r="I221" s="7">
        <v>45560</v>
      </c>
      <c r="J221" s="1" t="s">
        <v>7449</v>
      </c>
    </row>
    <row r="222" spans="1:10" x14ac:dyDescent="0.25">
      <c r="A222" s="1">
        <v>221</v>
      </c>
      <c r="B222" s="2" t="str">
        <f>_xlfn.CONCAT(C222,"-",VLOOKUP(C222,t_objeto!B:D,3,FALSE),"-",A222)</f>
        <v>KKMM-PERCCO-221</v>
      </c>
      <c r="C222" s="1" t="s">
        <v>7458</v>
      </c>
      <c r="D222" s="1" t="str">
        <f>VLOOKUP(C222,t_objeto!B:C,2,FALSE)</f>
        <v>KIT_MATERIAL</v>
      </c>
      <c r="E222" s="1">
        <v>8</v>
      </c>
      <c r="F222" s="1" t="str">
        <f>VLOOKUP(E222,t_entry_status!A:C,2,FALSE)</f>
        <v>PENDING</v>
      </c>
      <c r="G222" s="7">
        <v>45560</v>
      </c>
      <c r="H222" s="1" t="s">
        <v>7449</v>
      </c>
      <c r="I222" s="7">
        <v>45560</v>
      </c>
      <c r="J222" s="1" t="s">
        <v>7449</v>
      </c>
    </row>
    <row r="223" spans="1:10" x14ac:dyDescent="0.25">
      <c r="A223" s="1">
        <v>222</v>
      </c>
      <c r="B223" s="2" t="str">
        <f>_xlfn.CONCAT(C223,"-",VLOOKUP(C223,t_objeto!B:D,3,FALSE),"-",A223)</f>
        <v>KKMM-PERCCO-222</v>
      </c>
      <c r="C223" s="1" t="s">
        <v>7458</v>
      </c>
      <c r="D223" s="1" t="str">
        <f>VLOOKUP(C223,t_objeto!B:C,2,FALSE)</f>
        <v>KIT_MATERIAL</v>
      </c>
      <c r="E223" s="1">
        <v>8</v>
      </c>
      <c r="F223" s="1" t="str">
        <f>VLOOKUP(E223,t_entry_status!A:C,2,FALSE)</f>
        <v>PENDING</v>
      </c>
      <c r="G223" s="7">
        <v>45560</v>
      </c>
      <c r="H223" s="1" t="s">
        <v>7449</v>
      </c>
      <c r="I223" s="7">
        <v>45560</v>
      </c>
      <c r="J223" s="1" t="s">
        <v>7449</v>
      </c>
    </row>
    <row r="224" spans="1:10" x14ac:dyDescent="0.25">
      <c r="A224" s="1">
        <v>223</v>
      </c>
      <c r="B224" s="2" t="str">
        <f>_xlfn.CONCAT(C224,"-",VLOOKUP(C224,t_objeto!B:D,3,FALSE),"-",A224)</f>
        <v>KKMM-PERCCO-223</v>
      </c>
      <c r="C224" s="1" t="s">
        <v>7458</v>
      </c>
      <c r="D224" s="1" t="str">
        <f>VLOOKUP(C224,t_objeto!B:C,2,FALSE)</f>
        <v>KIT_MATERIAL</v>
      </c>
      <c r="E224" s="1">
        <v>8</v>
      </c>
      <c r="F224" s="1" t="str">
        <f>VLOOKUP(E224,t_entry_status!A:C,2,FALSE)</f>
        <v>PENDING</v>
      </c>
      <c r="G224" s="7">
        <v>45560</v>
      </c>
      <c r="H224" s="1" t="s">
        <v>7449</v>
      </c>
      <c r="I224" s="7">
        <v>45560</v>
      </c>
      <c r="J224" s="1" t="s">
        <v>7449</v>
      </c>
    </row>
    <row r="225" spans="1:10" x14ac:dyDescent="0.25">
      <c r="A225" s="1">
        <v>224</v>
      </c>
      <c r="B225" s="2" t="str">
        <f>_xlfn.CONCAT(C225,"-",VLOOKUP(C225,t_objeto!B:D,3,FALSE),"-",A225)</f>
        <v>KKMM-PERCCO-224</v>
      </c>
      <c r="C225" s="1" t="s">
        <v>7458</v>
      </c>
      <c r="D225" s="1" t="str">
        <f>VLOOKUP(C225,t_objeto!B:C,2,FALSE)</f>
        <v>KIT_MATERIAL</v>
      </c>
      <c r="E225" s="1">
        <v>8</v>
      </c>
      <c r="F225" s="1" t="str">
        <f>VLOOKUP(E225,t_entry_status!A:C,2,FALSE)</f>
        <v>PENDING</v>
      </c>
      <c r="G225" s="7">
        <v>45560</v>
      </c>
      <c r="H225" s="1" t="s">
        <v>7449</v>
      </c>
      <c r="I225" s="7">
        <v>45560</v>
      </c>
      <c r="J225" s="1" t="s">
        <v>7449</v>
      </c>
    </row>
    <row r="226" spans="1:10" x14ac:dyDescent="0.25">
      <c r="A226" s="1">
        <v>225</v>
      </c>
      <c r="B226" s="2" t="str">
        <f>_xlfn.CONCAT(C226,"-",VLOOKUP(C226,t_objeto!B:D,3,FALSE),"-",A226)</f>
        <v>KKMM-PERCCO-225</v>
      </c>
      <c r="C226" s="1" t="s">
        <v>7458</v>
      </c>
      <c r="D226" s="1" t="str">
        <f>VLOOKUP(C226,t_objeto!B:C,2,FALSE)</f>
        <v>KIT_MATERIAL</v>
      </c>
      <c r="E226" s="1">
        <v>8</v>
      </c>
      <c r="F226" s="1" t="str">
        <f>VLOOKUP(E226,t_entry_status!A:C,2,FALSE)</f>
        <v>PENDING</v>
      </c>
      <c r="G226" s="7">
        <v>45560</v>
      </c>
      <c r="H226" s="1" t="s">
        <v>7449</v>
      </c>
      <c r="I226" s="7">
        <v>45560</v>
      </c>
      <c r="J226" s="1" t="s">
        <v>7449</v>
      </c>
    </row>
    <row r="227" spans="1:10" x14ac:dyDescent="0.25">
      <c r="A227" s="1">
        <v>226</v>
      </c>
      <c r="B227" s="2" t="str">
        <f>_xlfn.CONCAT(C227,"-",VLOOKUP(C227,t_objeto!B:D,3,FALSE),"-",A227)</f>
        <v>KKMM-PERCCO-226</v>
      </c>
      <c r="C227" s="1" t="s">
        <v>7458</v>
      </c>
      <c r="D227" s="1" t="str">
        <f>VLOOKUP(C227,t_objeto!B:C,2,FALSE)</f>
        <v>KIT_MATERIAL</v>
      </c>
      <c r="E227" s="1">
        <v>8</v>
      </c>
      <c r="F227" s="1" t="str">
        <f>VLOOKUP(E227,t_entry_status!A:C,2,FALSE)</f>
        <v>PENDING</v>
      </c>
      <c r="G227" s="7">
        <v>45560</v>
      </c>
      <c r="H227" s="1" t="s">
        <v>7449</v>
      </c>
      <c r="I227" s="7">
        <v>45560</v>
      </c>
      <c r="J227" s="1" t="s">
        <v>7449</v>
      </c>
    </row>
    <row r="228" spans="1:10" x14ac:dyDescent="0.25">
      <c r="A228" s="1">
        <v>227</v>
      </c>
      <c r="B228" s="2" t="str">
        <f>_xlfn.CONCAT(C228,"-",VLOOKUP(C228,t_objeto!B:D,3,FALSE),"-",A228)</f>
        <v>KKMM-PERCCO-227</v>
      </c>
      <c r="C228" s="1" t="s">
        <v>7458</v>
      </c>
      <c r="D228" s="1" t="str">
        <f>VLOOKUP(C228,t_objeto!B:C,2,FALSE)</f>
        <v>KIT_MATERIAL</v>
      </c>
      <c r="E228" s="1">
        <v>8</v>
      </c>
      <c r="F228" s="1" t="str">
        <f>VLOOKUP(E228,t_entry_status!A:C,2,FALSE)</f>
        <v>PENDING</v>
      </c>
      <c r="G228" s="7">
        <v>45560</v>
      </c>
      <c r="H228" s="1" t="s">
        <v>7449</v>
      </c>
      <c r="I228" s="7">
        <v>45560</v>
      </c>
      <c r="J228" s="1" t="s">
        <v>7449</v>
      </c>
    </row>
    <row r="229" spans="1:10" x14ac:dyDescent="0.25">
      <c r="A229" s="1">
        <v>228</v>
      </c>
      <c r="B229" s="2" t="str">
        <f>_xlfn.CONCAT(C229,"-",VLOOKUP(C229,t_objeto!B:D,3,FALSE),"-",A229)</f>
        <v>KKMM-PERCCO-228</v>
      </c>
      <c r="C229" s="1" t="s">
        <v>7458</v>
      </c>
      <c r="D229" s="1" t="str">
        <f>VLOOKUP(C229,t_objeto!B:C,2,FALSE)</f>
        <v>KIT_MATERIAL</v>
      </c>
      <c r="E229" s="1">
        <v>8</v>
      </c>
      <c r="F229" s="1" t="str">
        <f>VLOOKUP(E229,t_entry_status!A:C,2,FALSE)</f>
        <v>PENDING</v>
      </c>
      <c r="G229" s="7">
        <v>45560</v>
      </c>
      <c r="H229" s="1" t="s">
        <v>7449</v>
      </c>
      <c r="I229" s="7">
        <v>45560</v>
      </c>
      <c r="J229" s="1" t="s">
        <v>7449</v>
      </c>
    </row>
    <row r="230" spans="1:10" x14ac:dyDescent="0.25">
      <c r="A230" s="1">
        <v>229</v>
      </c>
      <c r="B230" s="2" t="str">
        <f>_xlfn.CONCAT(C230,"-",VLOOKUP(C230,t_objeto!B:D,3,FALSE),"-",A230)</f>
        <v>KKMM-PERCCO-229</v>
      </c>
      <c r="C230" s="1" t="s">
        <v>7458</v>
      </c>
      <c r="D230" s="1" t="str">
        <f>VLOOKUP(C230,t_objeto!B:C,2,FALSE)</f>
        <v>KIT_MATERIAL</v>
      </c>
      <c r="E230" s="1">
        <v>8</v>
      </c>
      <c r="F230" s="1" t="str">
        <f>VLOOKUP(E230,t_entry_status!A:C,2,FALSE)</f>
        <v>PENDING</v>
      </c>
      <c r="G230" s="7">
        <v>45560</v>
      </c>
      <c r="H230" s="1" t="s">
        <v>7449</v>
      </c>
      <c r="I230" s="7">
        <v>45560</v>
      </c>
      <c r="J230" s="1" t="s">
        <v>7449</v>
      </c>
    </row>
    <row r="231" spans="1:10" x14ac:dyDescent="0.25">
      <c r="A231" s="1">
        <v>230</v>
      </c>
      <c r="B231" s="2" t="str">
        <f>_xlfn.CONCAT(C231,"-",VLOOKUP(C231,t_objeto!B:D,3,FALSE),"-",A231)</f>
        <v>KKMM-PERCCO-230</v>
      </c>
      <c r="C231" s="1" t="s">
        <v>7458</v>
      </c>
      <c r="D231" s="1" t="str">
        <f>VLOOKUP(C231,t_objeto!B:C,2,FALSE)</f>
        <v>KIT_MATERIAL</v>
      </c>
      <c r="E231" s="1">
        <v>8</v>
      </c>
      <c r="F231" s="1" t="str">
        <f>VLOOKUP(E231,t_entry_status!A:C,2,FALSE)</f>
        <v>PENDING</v>
      </c>
      <c r="G231" s="7">
        <v>45560</v>
      </c>
      <c r="H231" s="1" t="s">
        <v>7449</v>
      </c>
      <c r="I231" s="7">
        <v>45560</v>
      </c>
      <c r="J231" s="1" t="s">
        <v>7449</v>
      </c>
    </row>
    <row r="232" spans="1:10" x14ac:dyDescent="0.25">
      <c r="A232" s="1">
        <v>231</v>
      </c>
      <c r="B232" s="2" t="str">
        <f>_xlfn.CONCAT(C232,"-",VLOOKUP(C232,t_objeto!B:D,3,FALSE),"-",A232)</f>
        <v>KKMM-PERCCO-231</v>
      </c>
      <c r="C232" s="1" t="s">
        <v>7458</v>
      </c>
      <c r="D232" s="1" t="str">
        <f>VLOOKUP(C232,t_objeto!B:C,2,FALSE)</f>
        <v>KIT_MATERIAL</v>
      </c>
      <c r="E232" s="1">
        <v>8</v>
      </c>
      <c r="F232" s="1" t="str">
        <f>VLOOKUP(E232,t_entry_status!A:C,2,FALSE)</f>
        <v>PENDING</v>
      </c>
      <c r="G232" s="7">
        <v>45560</v>
      </c>
      <c r="H232" s="1" t="s">
        <v>7449</v>
      </c>
      <c r="I232" s="7">
        <v>45560</v>
      </c>
      <c r="J232" s="1" t="s">
        <v>7449</v>
      </c>
    </row>
    <row r="233" spans="1:10" x14ac:dyDescent="0.25">
      <c r="A233" s="1">
        <v>232</v>
      </c>
      <c r="B233" s="2" t="str">
        <f>_xlfn.CONCAT(C233,"-",VLOOKUP(C233,t_objeto!B:D,3,FALSE),"-",A233)</f>
        <v>KKMM-PERCCO-232</v>
      </c>
      <c r="C233" s="1" t="s">
        <v>7458</v>
      </c>
      <c r="D233" s="1" t="str">
        <f>VLOOKUP(C233,t_objeto!B:C,2,FALSE)</f>
        <v>KIT_MATERIAL</v>
      </c>
      <c r="E233" s="1">
        <v>8</v>
      </c>
      <c r="F233" s="1" t="str">
        <f>VLOOKUP(E233,t_entry_status!A:C,2,FALSE)</f>
        <v>PENDING</v>
      </c>
      <c r="G233" s="7">
        <v>45560</v>
      </c>
      <c r="H233" s="1" t="s">
        <v>7449</v>
      </c>
      <c r="I233" s="7">
        <v>45560</v>
      </c>
      <c r="J233" s="1" t="s">
        <v>7449</v>
      </c>
    </row>
    <row r="234" spans="1:10" x14ac:dyDescent="0.25">
      <c r="A234" s="1">
        <v>233</v>
      </c>
      <c r="B234" s="2" t="str">
        <f>_xlfn.CONCAT(C234,"-",VLOOKUP(C234,t_objeto!B:D,3,FALSE),"-",A234)</f>
        <v>KKMM-PERCCO-233</v>
      </c>
      <c r="C234" s="1" t="s">
        <v>7458</v>
      </c>
      <c r="D234" s="1" t="str">
        <f>VLOOKUP(C234,t_objeto!B:C,2,FALSE)</f>
        <v>KIT_MATERIAL</v>
      </c>
      <c r="E234" s="1">
        <v>8</v>
      </c>
      <c r="F234" s="1" t="str">
        <f>VLOOKUP(E234,t_entry_status!A:C,2,FALSE)</f>
        <v>PENDING</v>
      </c>
      <c r="G234" s="7">
        <v>45560</v>
      </c>
      <c r="H234" s="1" t="s">
        <v>7449</v>
      </c>
      <c r="I234" s="7">
        <v>45560</v>
      </c>
      <c r="J234" s="1" t="s">
        <v>7449</v>
      </c>
    </row>
    <row r="235" spans="1:10" x14ac:dyDescent="0.25">
      <c r="A235" s="1">
        <v>234</v>
      </c>
      <c r="B235" s="2" t="str">
        <f>_xlfn.CONCAT(C235,"-",VLOOKUP(C235,t_objeto!B:D,3,FALSE),"-",A235)</f>
        <v>KKMM-PERCCO-234</v>
      </c>
      <c r="C235" s="1" t="s">
        <v>7458</v>
      </c>
      <c r="D235" s="1" t="str">
        <f>VLOOKUP(C235,t_objeto!B:C,2,FALSE)</f>
        <v>KIT_MATERIAL</v>
      </c>
      <c r="E235" s="1">
        <v>8</v>
      </c>
      <c r="F235" s="1" t="str">
        <f>VLOOKUP(E235,t_entry_status!A:C,2,FALSE)</f>
        <v>PENDING</v>
      </c>
      <c r="G235" s="7">
        <v>45560</v>
      </c>
      <c r="H235" s="1" t="s">
        <v>7449</v>
      </c>
      <c r="I235" s="7">
        <v>45560</v>
      </c>
      <c r="J235" s="1" t="s">
        <v>7449</v>
      </c>
    </row>
    <row r="236" spans="1:10" x14ac:dyDescent="0.25">
      <c r="A236" s="1">
        <v>235</v>
      </c>
      <c r="B236" s="2" t="str">
        <f>_xlfn.CONCAT(C236,"-",VLOOKUP(C236,t_objeto!B:D,3,FALSE),"-",A236)</f>
        <v>KKMM-PERCCO-235</v>
      </c>
      <c r="C236" s="1" t="s">
        <v>7458</v>
      </c>
      <c r="D236" s="1" t="str">
        <f>VLOOKUP(C236,t_objeto!B:C,2,FALSE)</f>
        <v>KIT_MATERIAL</v>
      </c>
      <c r="E236" s="1">
        <v>8</v>
      </c>
      <c r="F236" s="1" t="str">
        <f>VLOOKUP(E236,t_entry_status!A:C,2,FALSE)</f>
        <v>PENDING</v>
      </c>
      <c r="G236" s="7">
        <v>45560</v>
      </c>
      <c r="H236" s="1" t="s">
        <v>7449</v>
      </c>
      <c r="I236" s="7">
        <v>45560</v>
      </c>
      <c r="J236" s="1" t="s">
        <v>7449</v>
      </c>
    </row>
    <row r="237" spans="1:10" x14ac:dyDescent="0.25">
      <c r="A237" s="1">
        <v>236</v>
      </c>
      <c r="B237" s="2" t="str">
        <f>_xlfn.CONCAT(C237,"-",VLOOKUP(C237,t_objeto!B:D,3,FALSE),"-",A237)</f>
        <v>KKMM-PERCCO-236</v>
      </c>
      <c r="C237" s="1" t="s">
        <v>7458</v>
      </c>
      <c r="D237" s="1" t="str">
        <f>VLOOKUP(C237,t_objeto!B:C,2,FALSE)</f>
        <v>KIT_MATERIAL</v>
      </c>
      <c r="E237" s="1">
        <v>8</v>
      </c>
      <c r="F237" s="1" t="str">
        <f>VLOOKUP(E237,t_entry_status!A:C,2,FALSE)</f>
        <v>PENDING</v>
      </c>
      <c r="G237" s="7">
        <v>45560</v>
      </c>
      <c r="H237" s="1" t="s">
        <v>7449</v>
      </c>
      <c r="I237" s="7">
        <v>45560</v>
      </c>
      <c r="J237" s="1" t="s">
        <v>7449</v>
      </c>
    </row>
    <row r="238" spans="1:10" x14ac:dyDescent="0.25">
      <c r="A238" s="1">
        <v>237</v>
      </c>
      <c r="B238" s="2" t="str">
        <f>_xlfn.CONCAT(C238,"-",VLOOKUP(C238,t_objeto!B:D,3,FALSE),"-",A238)</f>
        <v>KKMM-PERCCO-237</v>
      </c>
      <c r="C238" s="1" t="s">
        <v>7458</v>
      </c>
      <c r="D238" s="1" t="str">
        <f>VLOOKUP(C238,t_objeto!B:C,2,FALSE)</f>
        <v>KIT_MATERIAL</v>
      </c>
      <c r="E238" s="1">
        <v>8</v>
      </c>
      <c r="F238" s="1" t="str">
        <f>VLOOKUP(E238,t_entry_status!A:C,2,FALSE)</f>
        <v>PENDING</v>
      </c>
      <c r="G238" s="7">
        <v>45560</v>
      </c>
      <c r="H238" s="1" t="s">
        <v>7449</v>
      </c>
      <c r="I238" s="7">
        <v>45560</v>
      </c>
      <c r="J238" s="1" t="s">
        <v>7449</v>
      </c>
    </row>
    <row r="239" spans="1:10" x14ac:dyDescent="0.25">
      <c r="A239" s="1">
        <v>238</v>
      </c>
      <c r="B239" s="2" t="str">
        <f>_xlfn.CONCAT(C239,"-",VLOOKUP(C239,t_objeto!B:D,3,FALSE),"-",A239)</f>
        <v>KKMM-PERCCO-238</v>
      </c>
      <c r="C239" s="1" t="s">
        <v>7458</v>
      </c>
      <c r="D239" s="1" t="str">
        <f>VLOOKUP(C239,t_objeto!B:C,2,FALSE)</f>
        <v>KIT_MATERIAL</v>
      </c>
      <c r="E239" s="1">
        <v>8</v>
      </c>
      <c r="F239" s="1" t="str">
        <f>VLOOKUP(E239,t_entry_status!A:C,2,FALSE)</f>
        <v>PENDING</v>
      </c>
      <c r="G239" s="7">
        <v>45560</v>
      </c>
      <c r="H239" s="1" t="s">
        <v>7449</v>
      </c>
      <c r="I239" s="7">
        <v>45560</v>
      </c>
      <c r="J239" s="1" t="s">
        <v>7449</v>
      </c>
    </row>
    <row r="240" spans="1:10" x14ac:dyDescent="0.25">
      <c r="A240" s="1">
        <v>239</v>
      </c>
      <c r="B240" s="2" t="str">
        <f>_xlfn.CONCAT(C240,"-",VLOOKUP(C240,t_objeto!B:D,3,FALSE),"-",A240)</f>
        <v>KKMM-PERCCO-239</v>
      </c>
      <c r="C240" s="1" t="s">
        <v>7458</v>
      </c>
      <c r="D240" s="1" t="str">
        <f>VLOOKUP(C240,t_objeto!B:C,2,FALSE)</f>
        <v>KIT_MATERIAL</v>
      </c>
      <c r="E240" s="1">
        <v>8</v>
      </c>
      <c r="F240" s="1" t="str">
        <f>VLOOKUP(E240,t_entry_status!A:C,2,FALSE)</f>
        <v>PENDING</v>
      </c>
      <c r="G240" s="7">
        <v>45560</v>
      </c>
      <c r="H240" s="1" t="s">
        <v>7449</v>
      </c>
      <c r="I240" s="7">
        <v>45560</v>
      </c>
      <c r="J240" s="1" t="s">
        <v>7449</v>
      </c>
    </row>
    <row r="241" spans="1:10" x14ac:dyDescent="0.25">
      <c r="A241" s="1">
        <v>240</v>
      </c>
      <c r="B241" s="2" t="str">
        <f>_xlfn.CONCAT(C241,"-",VLOOKUP(C241,t_objeto!B:D,3,FALSE),"-",A241)</f>
        <v>KKMM-PERCCO-240</v>
      </c>
      <c r="C241" s="1" t="s">
        <v>7458</v>
      </c>
      <c r="D241" s="1" t="str">
        <f>VLOOKUP(C241,t_objeto!B:C,2,FALSE)</f>
        <v>KIT_MATERIAL</v>
      </c>
      <c r="E241" s="1">
        <v>8</v>
      </c>
      <c r="F241" s="1" t="str">
        <f>VLOOKUP(E241,t_entry_status!A:C,2,FALSE)</f>
        <v>PENDING</v>
      </c>
      <c r="G241" s="7">
        <v>45560</v>
      </c>
      <c r="H241" s="1" t="s">
        <v>7449</v>
      </c>
      <c r="I241" s="7">
        <v>45560</v>
      </c>
      <c r="J241" s="1" t="s">
        <v>7449</v>
      </c>
    </row>
    <row r="242" spans="1:10" x14ac:dyDescent="0.25">
      <c r="A242" s="1">
        <v>241</v>
      </c>
      <c r="B242" s="2" t="str">
        <f>_xlfn.CONCAT(C242,"-",VLOOKUP(C242,t_objeto!B:D,3,FALSE),"-",A242)</f>
        <v>KKMM-PERCCO-241</v>
      </c>
      <c r="C242" s="1" t="s">
        <v>7458</v>
      </c>
      <c r="D242" s="1" t="str">
        <f>VLOOKUP(C242,t_objeto!B:C,2,FALSE)</f>
        <v>KIT_MATERIAL</v>
      </c>
      <c r="E242" s="1">
        <v>8</v>
      </c>
      <c r="F242" s="1" t="str">
        <f>VLOOKUP(E242,t_entry_status!A:C,2,FALSE)</f>
        <v>PENDING</v>
      </c>
      <c r="G242" s="7">
        <v>45560</v>
      </c>
      <c r="H242" s="1" t="s">
        <v>7449</v>
      </c>
      <c r="I242" s="7">
        <v>45560</v>
      </c>
      <c r="J242" s="1" t="s">
        <v>7449</v>
      </c>
    </row>
    <row r="243" spans="1:10" x14ac:dyDescent="0.25">
      <c r="A243" s="1">
        <v>242</v>
      </c>
      <c r="B243" s="2" t="str">
        <f>_xlfn.CONCAT(C243,"-",VLOOKUP(C243,t_objeto!B:D,3,FALSE),"-",A243)</f>
        <v>KKMM-PERCCO-242</v>
      </c>
      <c r="C243" s="1" t="s">
        <v>7458</v>
      </c>
      <c r="D243" s="1" t="str">
        <f>VLOOKUP(C243,t_objeto!B:C,2,FALSE)</f>
        <v>KIT_MATERIAL</v>
      </c>
      <c r="E243" s="1">
        <v>8</v>
      </c>
      <c r="F243" s="1" t="str">
        <f>VLOOKUP(E243,t_entry_status!A:C,2,FALSE)</f>
        <v>PENDING</v>
      </c>
      <c r="G243" s="7">
        <v>45560</v>
      </c>
      <c r="H243" s="1" t="s">
        <v>7449</v>
      </c>
      <c r="I243" s="7">
        <v>45560</v>
      </c>
      <c r="J243" s="1" t="s">
        <v>7449</v>
      </c>
    </row>
    <row r="244" spans="1:10" x14ac:dyDescent="0.25">
      <c r="A244" s="1">
        <v>243</v>
      </c>
      <c r="B244" s="2" t="str">
        <f>_xlfn.CONCAT(C244,"-",VLOOKUP(C244,t_objeto!B:D,3,FALSE),"-",A244)</f>
        <v>KKMM-PERCCO-243</v>
      </c>
      <c r="C244" s="1" t="s">
        <v>7458</v>
      </c>
      <c r="D244" s="1" t="str">
        <f>VLOOKUP(C244,t_objeto!B:C,2,FALSE)</f>
        <v>KIT_MATERIAL</v>
      </c>
      <c r="E244" s="1">
        <v>8</v>
      </c>
      <c r="F244" s="1" t="str">
        <f>VLOOKUP(E244,t_entry_status!A:C,2,FALSE)</f>
        <v>PENDING</v>
      </c>
      <c r="G244" s="7">
        <v>45560</v>
      </c>
      <c r="H244" s="1" t="s">
        <v>7449</v>
      </c>
      <c r="I244" s="7">
        <v>45560</v>
      </c>
      <c r="J244" s="1" t="s">
        <v>7449</v>
      </c>
    </row>
    <row r="245" spans="1:10" x14ac:dyDescent="0.25">
      <c r="A245" s="1">
        <v>244</v>
      </c>
      <c r="B245" s="2" t="str">
        <f>_xlfn.CONCAT(C245,"-",VLOOKUP(C245,t_objeto!B:D,3,FALSE),"-",A245)</f>
        <v>KKMM-PERCCO-244</v>
      </c>
      <c r="C245" s="1" t="s">
        <v>7458</v>
      </c>
      <c r="D245" s="1" t="str">
        <f>VLOOKUP(C245,t_objeto!B:C,2,FALSE)</f>
        <v>KIT_MATERIAL</v>
      </c>
      <c r="E245" s="1">
        <v>8</v>
      </c>
      <c r="F245" s="1" t="str">
        <f>VLOOKUP(E245,t_entry_status!A:C,2,FALSE)</f>
        <v>PENDING</v>
      </c>
      <c r="G245" s="7">
        <v>45560</v>
      </c>
      <c r="H245" s="1" t="s">
        <v>7449</v>
      </c>
      <c r="I245" s="7">
        <v>45560</v>
      </c>
      <c r="J245" s="1" t="s">
        <v>7449</v>
      </c>
    </row>
    <row r="246" spans="1:10" x14ac:dyDescent="0.25">
      <c r="A246" s="1">
        <v>245</v>
      </c>
      <c r="B246" s="2" t="str">
        <f>_xlfn.CONCAT(C246,"-",VLOOKUP(C246,t_objeto!B:D,3,FALSE),"-",A246)</f>
        <v>KKMM-PERCCO-245</v>
      </c>
      <c r="C246" s="1" t="s">
        <v>7458</v>
      </c>
      <c r="D246" s="1" t="str">
        <f>VLOOKUP(C246,t_objeto!B:C,2,FALSE)</f>
        <v>KIT_MATERIAL</v>
      </c>
      <c r="E246" s="1">
        <v>8</v>
      </c>
      <c r="F246" s="1" t="str">
        <f>VLOOKUP(E246,t_entry_status!A:C,2,FALSE)</f>
        <v>PENDING</v>
      </c>
      <c r="G246" s="7">
        <v>45560</v>
      </c>
      <c r="H246" s="1" t="s">
        <v>7449</v>
      </c>
      <c r="I246" s="7">
        <v>45560</v>
      </c>
      <c r="J246" s="1" t="s">
        <v>7449</v>
      </c>
    </row>
    <row r="247" spans="1:10" x14ac:dyDescent="0.25">
      <c r="A247" s="1">
        <v>246</v>
      </c>
      <c r="B247" s="2" t="str">
        <f>_xlfn.CONCAT(C247,"-",VLOOKUP(C247,t_objeto!B:D,3,FALSE),"-",A247)</f>
        <v>KKMM-PERCCO-246</v>
      </c>
      <c r="C247" s="1" t="s">
        <v>7458</v>
      </c>
      <c r="D247" s="1" t="str">
        <f>VLOOKUP(C247,t_objeto!B:C,2,FALSE)</f>
        <v>KIT_MATERIAL</v>
      </c>
      <c r="E247" s="1">
        <v>8</v>
      </c>
      <c r="F247" s="1" t="str">
        <f>VLOOKUP(E247,t_entry_status!A:C,2,FALSE)</f>
        <v>PENDING</v>
      </c>
      <c r="G247" s="7">
        <v>45560</v>
      </c>
      <c r="H247" s="1" t="s">
        <v>7449</v>
      </c>
      <c r="I247" s="7">
        <v>45560</v>
      </c>
      <c r="J247" s="1" t="s">
        <v>7449</v>
      </c>
    </row>
    <row r="248" spans="1:10" x14ac:dyDescent="0.25">
      <c r="A248" s="1">
        <v>247</v>
      </c>
      <c r="B248" s="2" t="str">
        <f>_xlfn.CONCAT(C248,"-",VLOOKUP(C248,t_objeto!B:D,3,FALSE),"-",A248)</f>
        <v>KKMM-PERCCO-247</v>
      </c>
      <c r="C248" s="1" t="s">
        <v>7458</v>
      </c>
      <c r="D248" s="1" t="str">
        <f>VLOOKUP(C248,t_objeto!B:C,2,FALSE)</f>
        <v>KIT_MATERIAL</v>
      </c>
      <c r="E248" s="1">
        <v>8</v>
      </c>
      <c r="F248" s="1" t="str">
        <f>VLOOKUP(E248,t_entry_status!A:C,2,FALSE)</f>
        <v>PENDING</v>
      </c>
      <c r="G248" s="7">
        <v>45560</v>
      </c>
      <c r="H248" s="1" t="s">
        <v>7449</v>
      </c>
      <c r="I248" s="7">
        <v>45560</v>
      </c>
      <c r="J248" s="1" t="s">
        <v>7449</v>
      </c>
    </row>
    <row r="249" spans="1:10" x14ac:dyDescent="0.25">
      <c r="A249" s="1">
        <v>248</v>
      </c>
      <c r="B249" s="2" t="str">
        <f>_xlfn.CONCAT(C249,"-",VLOOKUP(C249,t_objeto!B:D,3,FALSE),"-",A249)</f>
        <v>KKMM-PERCCO-248</v>
      </c>
      <c r="C249" s="1" t="s">
        <v>7458</v>
      </c>
      <c r="D249" s="1" t="str">
        <f>VLOOKUP(C249,t_objeto!B:C,2,FALSE)</f>
        <v>KIT_MATERIAL</v>
      </c>
      <c r="E249" s="1">
        <v>8</v>
      </c>
      <c r="F249" s="1" t="str">
        <f>VLOOKUP(E249,t_entry_status!A:C,2,FALSE)</f>
        <v>PENDING</v>
      </c>
      <c r="G249" s="7">
        <v>45560</v>
      </c>
      <c r="H249" s="1" t="s">
        <v>7449</v>
      </c>
      <c r="I249" s="7">
        <v>45560</v>
      </c>
      <c r="J249" s="1" t="s">
        <v>7449</v>
      </c>
    </row>
    <row r="250" spans="1:10" x14ac:dyDescent="0.25">
      <c r="A250" s="1">
        <v>249</v>
      </c>
      <c r="B250" s="2" t="str">
        <f>_xlfn.CONCAT(C250,"-",VLOOKUP(C250,t_objeto!B:D,3,FALSE),"-",A250)</f>
        <v>KKMM-PERCCO-249</v>
      </c>
      <c r="C250" s="1" t="s">
        <v>7458</v>
      </c>
      <c r="D250" s="1" t="str">
        <f>VLOOKUP(C250,t_objeto!B:C,2,FALSE)</f>
        <v>KIT_MATERIAL</v>
      </c>
      <c r="E250" s="1">
        <v>8</v>
      </c>
      <c r="F250" s="1" t="str">
        <f>VLOOKUP(E250,t_entry_status!A:C,2,FALSE)</f>
        <v>PENDING</v>
      </c>
      <c r="G250" s="7">
        <v>45560</v>
      </c>
      <c r="H250" s="1" t="s">
        <v>7449</v>
      </c>
      <c r="I250" s="7">
        <v>45560</v>
      </c>
      <c r="J250" s="1" t="s">
        <v>7449</v>
      </c>
    </row>
    <row r="251" spans="1:10" x14ac:dyDescent="0.25">
      <c r="A251" s="1">
        <v>250</v>
      </c>
      <c r="B251" s="2" t="str">
        <f>_xlfn.CONCAT(C251,"-",VLOOKUP(C251,t_objeto!B:D,3,FALSE),"-",A251)</f>
        <v>KKMM-PERCCO-250</v>
      </c>
      <c r="C251" s="1" t="s">
        <v>7458</v>
      </c>
      <c r="D251" s="1" t="str">
        <f>VLOOKUP(C251,t_objeto!B:C,2,FALSE)</f>
        <v>KIT_MATERIAL</v>
      </c>
      <c r="E251" s="1">
        <v>8</v>
      </c>
      <c r="F251" s="1" t="str">
        <f>VLOOKUP(E251,t_entry_status!A:C,2,FALSE)</f>
        <v>PENDING</v>
      </c>
      <c r="G251" s="7">
        <v>45560</v>
      </c>
      <c r="H251" s="1" t="s">
        <v>7449</v>
      </c>
      <c r="I251" s="7">
        <v>45560</v>
      </c>
      <c r="J251" s="1" t="s">
        <v>7449</v>
      </c>
    </row>
    <row r="252" spans="1:10" x14ac:dyDescent="0.25">
      <c r="A252" s="1">
        <v>251</v>
      </c>
      <c r="B252" s="2" t="str">
        <f>_xlfn.CONCAT(C252,"-",VLOOKUP(C252,t_objeto!B:D,3,FALSE),"-",A252)</f>
        <v>KKMM-PERCCO-251</v>
      </c>
      <c r="C252" s="1" t="s">
        <v>7458</v>
      </c>
      <c r="D252" s="1" t="str">
        <f>VLOOKUP(C252,t_objeto!B:C,2,FALSE)</f>
        <v>KIT_MATERIAL</v>
      </c>
      <c r="E252" s="1">
        <v>8</v>
      </c>
      <c r="F252" s="1" t="str">
        <f>VLOOKUP(E252,t_entry_status!A:C,2,FALSE)</f>
        <v>PENDING</v>
      </c>
      <c r="G252" s="7">
        <v>45560</v>
      </c>
      <c r="H252" s="1" t="s">
        <v>7449</v>
      </c>
      <c r="I252" s="7">
        <v>45560</v>
      </c>
      <c r="J252" s="1" t="s">
        <v>7449</v>
      </c>
    </row>
    <row r="253" spans="1:10" x14ac:dyDescent="0.25">
      <c r="A253" s="1">
        <v>252</v>
      </c>
      <c r="B253" s="2" t="str">
        <f>_xlfn.CONCAT(C253,"-",VLOOKUP(C253,t_objeto!B:D,3,FALSE),"-",A253)</f>
        <v>KKMM-PERCCO-252</v>
      </c>
      <c r="C253" s="1" t="s">
        <v>7458</v>
      </c>
      <c r="D253" s="1" t="str">
        <f>VLOOKUP(C253,t_objeto!B:C,2,FALSE)</f>
        <v>KIT_MATERIAL</v>
      </c>
      <c r="E253" s="1">
        <v>8</v>
      </c>
      <c r="F253" s="1" t="str">
        <f>VLOOKUP(E253,t_entry_status!A:C,2,FALSE)</f>
        <v>PENDING</v>
      </c>
      <c r="G253" s="7">
        <v>45560</v>
      </c>
      <c r="H253" s="1" t="s">
        <v>7449</v>
      </c>
      <c r="I253" s="7">
        <v>45560</v>
      </c>
      <c r="J253" s="1" t="s">
        <v>7449</v>
      </c>
    </row>
    <row r="254" spans="1:10" x14ac:dyDescent="0.25">
      <c r="A254" s="1">
        <v>253</v>
      </c>
      <c r="B254" s="2" t="str">
        <f>_xlfn.CONCAT(C254,"-",VLOOKUP(C254,t_objeto!B:D,3,FALSE),"-",A254)</f>
        <v>KKMM-PERCCO-253</v>
      </c>
      <c r="C254" s="1" t="s">
        <v>7458</v>
      </c>
      <c r="D254" s="1" t="str">
        <f>VLOOKUP(C254,t_objeto!B:C,2,FALSE)</f>
        <v>KIT_MATERIAL</v>
      </c>
      <c r="E254" s="1">
        <v>8</v>
      </c>
      <c r="F254" s="1" t="str">
        <f>VLOOKUP(E254,t_entry_status!A:C,2,FALSE)</f>
        <v>PENDING</v>
      </c>
      <c r="G254" s="7">
        <v>45560</v>
      </c>
      <c r="H254" s="1" t="s">
        <v>7449</v>
      </c>
      <c r="I254" s="7">
        <v>45560</v>
      </c>
      <c r="J254" s="1" t="s">
        <v>7449</v>
      </c>
    </row>
    <row r="255" spans="1:10" x14ac:dyDescent="0.25">
      <c r="A255" s="1">
        <v>254</v>
      </c>
      <c r="B255" s="2" t="str">
        <f>_xlfn.CONCAT(C255,"-",VLOOKUP(C255,t_objeto!B:D,3,FALSE),"-",A255)</f>
        <v>KKMM-PERCCO-254</v>
      </c>
      <c r="C255" s="1" t="s">
        <v>7458</v>
      </c>
      <c r="D255" s="1" t="str">
        <f>VLOOKUP(C255,t_objeto!B:C,2,FALSE)</f>
        <v>KIT_MATERIAL</v>
      </c>
      <c r="E255" s="1">
        <v>8</v>
      </c>
      <c r="F255" s="1" t="str">
        <f>VLOOKUP(E255,t_entry_status!A:C,2,FALSE)</f>
        <v>PENDING</v>
      </c>
      <c r="G255" s="7">
        <v>45560</v>
      </c>
      <c r="H255" s="1" t="s">
        <v>7449</v>
      </c>
      <c r="I255" s="7">
        <v>45560</v>
      </c>
      <c r="J255" s="1" t="s">
        <v>7449</v>
      </c>
    </row>
    <row r="256" spans="1:10" x14ac:dyDescent="0.25">
      <c r="A256" s="1">
        <v>255</v>
      </c>
      <c r="B256" s="2" t="str">
        <f>_xlfn.CONCAT(C256,"-",VLOOKUP(C256,t_objeto!B:D,3,FALSE),"-",A256)</f>
        <v>KKMM-PERCCO-255</v>
      </c>
      <c r="C256" s="1" t="s">
        <v>7458</v>
      </c>
      <c r="D256" s="1" t="str">
        <f>VLOOKUP(C256,t_objeto!B:C,2,FALSE)</f>
        <v>KIT_MATERIAL</v>
      </c>
      <c r="E256" s="1">
        <v>8</v>
      </c>
      <c r="F256" s="1" t="str">
        <f>VLOOKUP(E256,t_entry_status!A:C,2,FALSE)</f>
        <v>PENDING</v>
      </c>
      <c r="G256" s="7">
        <v>45560</v>
      </c>
      <c r="H256" s="1" t="s">
        <v>7449</v>
      </c>
      <c r="I256" s="7">
        <v>45560</v>
      </c>
      <c r="J256" s="1" t="s">
        <v>7449</v>
      </c>
    </row>
    <row r="257" spans="1:10" x14ac:dyDescent="0.25">
      <c r="A257" s="1">
        <v>256</v>
      </c>
      <c r="B257" s="2" t="str">
        <f>_xlfn.CONCAT(C257,"-",VLOOKUP(C257,t_objeto!B:D,3,FALSE),"-",A257)</f>
        <v>KKMM-PERCCO-256</v>
      </c>
      <c r="C257" s="1" t="s">
        <v>7458</v>
      </c>
      <c r="D257" s="1" t="str">
        <f>VLOOKUP(C257,t_objeto!B:C,2,FALSE)</f>
        <v>KIT_MATERIAL</v>
      </c>
      <c r="E257" s="1">
        <v>8</v>
      </c>
      <c r="F257" s="1" t="str">
        <f>VLOOKUP(E257,t_entry_status!A:C,2,FALSE)</f>
        <v>PENDING</v>
      </c>
      <c r="G257" s="7">
        <v>45560</v>
      </c>
      <c r="H257" s="1" t="s">
        <v>7449</v>
      </c>
      <c r="I257" s="7">
        <v>45560</v>
      </c>
      <c r="J257" s="1" t="s">
        <v>7449</v>
      </c>
    </row>
    <row r="258" spans="1:10" x14ac:dyDescent="0.25">
      <c r="A258" s="1">
        <v>257</v>
      </c>
      <c r="B258" s="2" t="str">
        <f>_xlfn.CONCAT(C258,"-",VLOOKUP(C258,t_objeto!B:D,3,FALSE),"-",A258)</f>
        <v>KKMM-PERCCO-257</v>
      </c>
      <c r="C258" s="1" t="s">
        <v>7458</v>
      </c>
      <c r="D258" s="1" t="str">
        <f>VLOOKUP(C258,t_objeto!B:C,2,FALSE)</f>
        <v>KIT_MATERIAL</v>
      </c>
      <c r="E258" s="1">
        <v>8</v>
      </c>
      <c r="F258" s="1" t="str">
        <f>VLOOKUP(E258,t_entry_status!A:C,2,FALSE)</f>
        <v>PENDING</v>
      </c>
      <c r="G258" s="7">
        <v>45560</v>
      </c>
      <c r="H258" s="1" t="s">
        <v>7449</v>
      </c>
      <c r="I258" s="7">
        <v>45560</v>
      </c>
      <c r="J258" s="1" t="s">
        <v>7449</v>
      </c>
    </row>
    <row r="259" spans="1:10" x14ac:dyDescent="0.25">
      <c r="A259" s="1">
        <v>258</v>
      </c>
      <c r="B259" s="2" t="str">
        <f>_xlfn.CONCAT(C259,"-",VLOOKUP(C259,t_objeto!B:D,3,FALSE),"-",A259)</f>
        <v>KKMM-PERCCO-258</v>
      </c>
      <c r="C259" s="1" t="s">
        <v>7458</v>
      </c>
      <c r="D259" s="1" t="str">
        <f>VLOOKUP(C259,t_objeto!B:C,2,FALSE)</f>
        <v>KIT_MATERIAL</v>
      </c>
      <c r="E259" s="1">
        <v>8</v>
      </c>
      <c r="F259" s="1" t="str">
        <f>VLOOKUP(E259,t_entry_status!A:C,2,FALSE)</f>
        <v>PENDING</v>
      </c>
      <c r="G259" s="7">
        <v>45560</v>
      </c>
      <c r="H259" s="1" t="s">
        <v>7449</v>
      </c>
      <c r="I259" s="7">
        <v>45560</v>
      </c>
      <c r="J259" s="1" t="s">
        <v>7449</v>
      </c>
    </row>
    <row r="260" spans="1:10" x14ac:dyDescent="0.25">
      <c r="A260" s="1">
        <v>259</v>
      </c>
      <c r="B260" s="2" t="str">
        <f>_xlfn.CONCAT(C260,"-",VLOOKUP(C260,t_objeto!B:D,3,FALSE),"-",A260)</f>
        <v>KKMM-PERCCO-259</v>
      </c>
      <c r="C260" s="1" t="s">
        <v>7458</v>
      </c>
      <c r="D260" s="1" t="str">
        <f>VLOOKUP(C260,t_objeto!B:C,2,FALSE)</f>
        <v>KIT_MATERIAL</v>
      </c>
      <c r="E260" s="1">
        <v>8</v>
      </c>
      <c r="F260" s="1" t="str">
        <f>VLOOKUP(E260,t_entry_status!A:C,2,FALSE)</f>
        <v>PENDING</v>
      </c>
      <c r="G260" s="7">
        <v>45560</v>
      </c>
      <c r="H260" s="1" t="s">
        <v>7449</v>
      </c>
      <c r="I260" s="7">
        <v>45560</v>
      </c>
      <c r="J260" s="1" t="s">
        <v>7449</v>
      </c>
    </row>
    <row r="261" spans="1:10" x14ac:dyDescent="0.25">
      <c r="A261" s="1">
        <v>260</v>
      </c>
      <c r="B261" s="2" t="str">
        <f>_xlfn.CONCAT(C261,"-",VLOOKUP(C261,t_objeto!B:D,3,FALSE),"-",A261)</f>
        <v>KKMM-PERCCO-260</v>
      </c>
      <c r="C261" s="1" t="s">
        <v>7458</v>
      </c>
      <c r="D261" s="1" t="str">
        <f>VLOOKUP(C261,t_objeto!B:C,2,FALSE)</f>
        <v>KIT_MATERIAL</v>
      </c>
      <c r="E261" s="1">
        <v>8</v>
      </c>
      <c r="F261" s="1" t="str">
        <f>VLOOKUP(E261,t_entry_status!A:C,2,FALSE)</f>
        <v>PENDING</v>
      </c>
      <c r="G261" s="7">
        <v>45560</v>
      </c>
      <c r="H261" s="1" t="s">
        <v>7449</v>
      </c>
      <c r="I261" s="7">
        <v>45560</v>
      </c>
      <c r="J261" s="1" t="s">
        <v>7449</v>
      </c>
    </row>
    <row r="262" spans="1:10" x14ac:dyDescent="0.25">
      <c r="A262" s="1">
        <v>261</v>
      </c>
      <c r="B262" s="2" t="str">
        <f>_xlfn.CONCAT(C262,"-",VLOOKUP(C262,t_objeto!B:D,3,FALSE),"-",A262)</f>
        <v>KKMM-PERCCO-261</v>
      </c>
      <c r="C262" s="1" t="s">
        <v>7458</v>
      </c>
      <c r="D262" s="1" t="str">
        <f>VLOOKUP(C262,t_objeto!B:C,2,FALSE)</f>
        <v>KIT_MATERIAL</v>
      </c>
      <c r="E262" s="1">
        <v>8</v>
      </c>
      <c r="F262" s="1" t="str">
        <f>VLOOKUP(E262,t_entry_status!A:C,2,FALSE)</f>
        <v>PENDING</v>
      </c>
      <c r="G262" s="7">
        <v>45560</v>
      </c>
      <c r="H262" s="1" t="s">
        <v>7449</v>
      </c>
      <c r="I262" s="7">
        <v>45560</v>
      </c>
      <c r="J262" s="1" t="s">
        <v>7449</v>
      </c>
    </row>
    <row r="263" spans="1:10" x14ac:dyDescent="0.25">
      <c r="A263" s="1">
        <v>262</v>
      </c>
      <c r="B263" s="2" t="str">
        <f>_xlfn.CONCAT(C263,"-",VLOOKUP(C263,t_objeto!B:D,3,FALSE),"-",A263)</f>
        <v>KKMM-PERCCO-262</v>
      </c>
      <c r="C263" s="1" t="s">
        <v>7458</v>
      </c>
      <c r="D263" s="1" t="str">
        <f>VLOOKUP(C263,t_objeto!B:C,2,FALSE)</f>
        <v>KIT_MATERIAL</v>
      </c>
      <c r="E263" s="1">
        <v>8</v>
      </c>
      <c r="F263" s="1" t="str">
        <f>VLOOKUP(E263,t_entry_status!A:C,2,FALSE)</f>
        <v>PENDING</v>
      </c>
      <c r="G263" s="7">
        <v>45560</v>
      </c>
      <c r="H263" s="1" t="s">
        <v>7449</v>
      </c>
      <c r="I263" s="7">
        <v>45560</v>
      </c>
      <c r="J263" s="1" t="s">
        <v>7449</v>
      </c>
    </row>
    <row r="264" spans="1:10" x14ac:dyDescent="0.25">
      <c r="A264" s="1">
        <v>263</v>
      </c>
      <c r="B264" s="2" t="str">
        <f>_xlfn.CONCAT(C264,"-",VLOOKUP(C264,t_objeto!B:D,3,FALSE),"-",A264)</f>
        <v>KKMM-PERCCO-263</v>
      </c>
      <c r="C264" s="1" t="s">
        <v>7458</v>
      </c>
      <c r="D264" s="1" t="str">
        <f>VLOOKUP(C264,t_objeto!B:C,2,FALSE)</f>
        <v>KIT_MATERIAL</v>
      </c>
      <c r="E264" s="1">
        <v>8</v>
      </c>
      <c r="F264" s="1" t="str">
        <f>VLOOKUP(E264,t_entry_status!A:C,2,FALSE)</f>
        <v>PENDING</v>
      </c>
      <c r="G264" s="7">
        <v>45560</v>
      </c>
      <c r="H264" s="1" t="s">
        <v>7449</v>
      </c>
      <c r="I264" s="7">
        <v>45560</v>
      </c>
      <c r="J264" s="1" t="s">
        <v>7449</v>
      </c>
    </row>
    <row r="265" spans="1:10" x14ac:dyDescent="0.25">
      <c r="A265" s="1">
        <v>264</v>
      </c>
      <c r="B265" s="2" t="str">
        <f>_xlfn.CONCAT(C265,"-",VLOOKUP(C265,t_objeto!B:D,3,FALSE),"-",A265)</f>
        <v>KKMM-PERCCO-264</v>
      </c>
      <c r="C265" s="1" t="s">
        <v>7458</v>
      </c>
      <c r="D265" s="1" t="str">
        <f>VLOOKUP(C265,t_objeto!B:C,2,FALSE)</f>
        <v>KIT_MATERIAL</v>
      </c>
      <c r="E265" s="1">
        <v>8</v>
      </c>
      <c r="F265" s="1" t="str">
        <f>VLOOKUP(E265,t_entry_status!A:C,2,FALSE)</f>
        <v>PENDING</v>
      </c>
      <c r="G265" s="7">
        <v>45560</v>
      </c>
      <c r="H265" s="1" t="s">
        <v>7449</v>
      </c>
      <c r="I265" s="7">
        <v>45560</v>
      </c>
      <c r="J265" s="1" t="s">
        <v>7449</v>
      </c>
    </row>
    <row r="266" spans="1:10" x14ac:dyDescent="0.25">
      <c r="A266" s="1">
        <v>265</v>
      </c>
      <c r="B266" s="2" t="str">
        <f>_xlfn.CONCAT(C266,"-",VLOOKUP(C266,t_objeto!B:D,3,FALSE),"-",A266)</f>
        <v>KKMM-PERCCO-265</v>
      </c>
      <c r="C266" s="1" t="s">
        <v>7458</v>
      </c>
      <c r="D266" s="1" t="str">
        <f>VLOOKUP(C266,t_objeto!B:C,2,FALSE)</f>
        <v>KIT_MATERIAL</v>
      </c>
      <c r="E266" s="1">
        <v>8</v>
      </c>
      <c r="F266" s="1" t="str">
        <f>VLOOKUP(E266,t_entry_status!A:C,2,FALSE)</f>
        <v>PENDING</v>
      </c>
      <c r="G266" s="7">
        <v>45560</v>
      </c>
      <c r="H266" s="1" t="s">
        <v>7449</v>
      </c>
      <c r="I266" s="7">
        <v>45560</v>
      </c>
      <c r="J266" s="1" t="s">
        <v>7449</v>
      </c>
    </row>
    <row r="267" spans="1:10" x14ac:dyDescent="0.25">
      <c r="A267" s="1">
        <v>266</v>
      </c>
      <c r="B267" s="2" t="str">
        <f>_xlfn.CONCAT(C267,"-",VLOOKUP(C267,t_objeto!B:D,3,FALSE),"-",A267)</f>
        <v>KKMM-PERCCO-266</v>
      </c>
      <c r="C267" s="1" t="s">
        <v>7458</v>
      </c>
      <c r="D267" s="1" t="str">
        <f>VLOOKUP(C267,t_objeto!B:C,2,FALSE)</f>
        <v>KIT_MATERIAL</v>
      </c>
      <c r="E267" s="1">
        <v>8</v>
      </c>
      <c r="F267" s="1" t="str">
        <f>VLOOKUP(E267,t_entry_status!A:C,2,FALSE)</f>
        <v>PENDING</v>
      </c>
      <c r="G267" s="7">
        <v>45560</v>
      </c>
      <c r="H267" s="1" t="s">
        <v>7449</v>
      </c>
      <c r="I267" s="7">
        <v>45560</v>
      </c>
      <c r="J267" s="1" t="s">
        <v>7449</v>
      </c>
    </row>
    <row r="268" spans="1:10" x14ac:dyDescent="0.25">
      <c r="A268" s="1">
        <v>267</v>
      </c>
      <c r="B268" s="2" t="str">
        <f>_xlfn.CONCAT(C268,"-",VLOOKUP(C268,t_objeto!B:D,3,FALSE),"-",A268)</f>
        <v>KKMM-PERCCO-267</v>
      </c>
      <c r="C268" s="1" t="s">
        <v>7458</v>
      </c>
      <c r="D268" s="1" t="str">
        <f>VLOOKUP(C268,t_objeto!B:C,2,FALSE)</f>
        <v>KIT_MATERIAL</v>
      </c>
      <c r="E268" s="1">
        <v>8</v>
      </c>
      <c r="F268" s="1" t="str">
        <f>VLOOKUP(E268,t_entry_status!A:C,2,FALSE)</f>
        <v>PENDING</v>
      </c>
      <c r="G268" s="7">
        <v>45560</v>
      </c>
      <c r="H268" s="1" t="s">
        <v>7449</v>
      </c>
      <c r="I268" s="7">
        <v>45560</v>
      </c>
      <c r="J268" s="1" t="s">
        <v>7449</v>
      </c>
    </row>
    <row r="269" spans="1:10" x14ac:dyDescent="0.25">
      <c r="A269" s="1">
        <v>268</v>
      </c>
      <c r="B269" s="2" t="str">
        <f>_xlfn.CONCAT(C269,"-",VLOOKUP(C269,t_objeto!B:D,3,FALSE),"-",A269)</f>
        <v>KKMM-PERCCO-268</v>
      </c>
      <c r="C269" s="1" t="s">
        <v>7458</v>
      </c>
      <c r="D269" s="1" t="str">
        <f>VLOOKUP(C269,t_objeto!B:C,2,FALSE)</f>
        <v>KIT_MATERIAL</v>
      </c>
      <c r="E269" s="1">
        <v>8</v>
      </c>
      <c r="F269" s="1" t="str">
        <f>VLOOKUP(E269,t_entry_status!A:C,2,FALSE)</f>
        <v>PENDING</v>
      </c>
      <c r="G269" s="7">
        <v>45560</v>
      </c>
      <c r="H269" s="1" t="s">
        <v>7449</v>
      </c>
      <c r="I269" s="7">
        <v>45560</v>
      </c>
      <c r="J269" s="1" t="s">
        <v>7449</v>
      </c>
    </row>
    <row r="270" spans="1:10" x14ac:dyDescent="0.25">
      <c r="A270" s="1">
        <v>269</v>
      </c>
      <c r="B270" s="2" t="str">
        <f>_xlfn.CONCAT(C270,"-",VLOOKUP(C270,t_objeto!B:D,3,FALSE),"-",A270)</f>
        <v>KKMM-PERCCO-269</v>
      </c>
      <c r="C270" s="1" t="s">
        <v>7458</v>
      </c>
      <c r="D270" s="1" t="str">
        <f>VLOOKUP(C270,t_objeto!B:C,2,FALSE)</f>
        <v>KIT_MATERIAL</v>
      </c>
      <c r="E270" s="1">
        <v>8</v>
      </c>
      <c r="F270" s="1" t="str">
        <f>VLOOKUP(E270,t_entry_status!A:C,2,FALSE)</f>
        <v>PENDING</v>
      </c>
      <c r="G270" s="7">
        <v>45560</v>
      </c>
      <c r="H270" s="1" t="s">
        <v>7449</v>
      </c>
      <c r="I270" s="7">
        <v>45560</v>
      </c>
      <c r="J270" s="1" t="s">
        <v>7449</v>
      </c>
    </row>
    <row r="271" spans="1:10" x14ac:dyDescent="0.25">
      <c r="A271" s="1">
        <v>270</v>
      </c>
      <c r="B271" s="2" t="str">
        <f>_xlfn.CONCAT(C271,"-",VLOOKUP(C271,t_objeto!B:D,3,FALSE),"-",A271)</f>
        <v>KKMM-PERCCO-270</v>
      </c>
      <c r="C271" s="1" t="s">
        <v>7458</v>
      </c>
      <c r="D271" s="1" t="str">
        <f>VLOOKUP(C271,t_objeto!B:C,2,FALSE)</f>
        <v>KIT_MATERIAL</v>
      </c>
      <c r="E271" s="1">
        <v>8</v>
      </c>
      <c r="F271" s="1" t="str">
        <f>VLOOKUP(E271,t_entry_status!A:C,2,FALSE)</f>
        <v>PENDING</v>
      </c>
      <c r="G271" s="7">
        <v>45560</v>
      </c>
      <c r="H271" s="1" t="s">
        <v>7449</v>
      </c>
      <c r="I271" s="7">
        <v>45560</v>
      </c>
      <c r="J271" s="1" t="s">
        <v>7449</v>
      </c>
    </row>
    <row r="272" spans="1:10" x14ac:dyDescent="0.25">
      <c r="A272" s="1">
        <v>271</v>
      </c>
      <c r="B272" s="2" t="str">
        <f>_xlfn.CONCAT(C272,"-",VLOOKUP(C272,t_objeto!B:D,3,FALSE),"-",A272)</f>
        <v>KKMM-PERCCO-271</v>
      </c>
      <c r="C272" s="1" t="s">
        <v>7458</v>
      </c>
      <c r="D272" s="1" t="str">
        <f>VLOOKUP(C272,t_objeto!B:C,2,FALSE)</f>
        <v>KIT_MATERIAL</v>
      </c>
      <c r="E272" s="1">
        <v>8</v>
      </c>
      <c r="F272" s="1" t="str">
        <f>VLOOKUP(E272,t_entry_status!A:C,2,FALSE)</f>
        <v>PENDING</v>
      </c>
      <c r="G272" s="7">
        <v>45560</v>
      </c>
      <c r="H272" s="1" t="s">
        <v>7449</v>
      </c>
      <c r="I272" s="7">
        <v>45560</v>
      </c>
      <c r="J272" s="1" t="s">
        <v>7449</v>
      </c>
    </row>
    <row r="273" spans="1:10" x14ac:dyDescent="0.25">
      <c r="A273" s="1">
        <v>272</v>
      </c>
      <c r="B273" s="2" t="str">
        <f>_xlfn.CONCAT(C273,"-",VLOOKUP(C273,t_objeto!B:D,3,FALSE),"-",A273)</f>
        <v>KKMM-PERCCO-272</v>
      </c>
      <c r="C273" s="1" t="s">
        <v>7458</v>
      </c>
      <c r="D273" s="1" t="str">
        <f>VLOOKUP(C273,t_objeto!B:C,2,FALSE)</f>
        <v>KIT_MATERIAL</v>
      </c>
      <c r="E273" s="1">
        <v>8</v>
      </c>
      <c r="F273" s="1" t="str">
        <f>VLOOKUP(E273,t_entry_status!A:C,2,FALSE)</f>
        <v>PENDING</v>
      </c>
      <c r="G273" s="7">
        <v>45560</v>
      </c>
      <c r="H273" s="1" t="s">
        <v>7449</v>
      </c>
      <c r="I273" s="7">
        <v>45560</v>
      </c>
      <c r="J273" s="1" t="s">
        <v>7449</v>
      </c>
    </row>
    <row r="274" spans="1:10" x14ac:dyDescent="0.25">
      <c r="A274" s="1">
        <v>273</v>
      </c>
      <c r="B274" s="2" t="str">
        <f>_xlfn.CONCAT(C274,"-",VLOOKUP(C274,t_objeto!B:D,3,FALSE),"-",A274)</f>
        <v>KKMM-PERCCO-273</v>
      </c>
      <c r="C274" s="1" t="s">
        <v>7458</v>
      </c>
      <c r="D274" s="1" t="str">
        <f>VLOOKUP(C274,t_objeto!B:C,2,FALSE)</f>
        <v>KIT_MATERIAL</v>
      </c>
      <c r="E274" s="1">
        <v>8</v>
      </c>
      <c r="F274" s="1" t="str">
        <f>VLOOKUP(E274,t_entry_status!A:C,2,FALSE)</f>
        <v>PENDING</v>
      </c>
      <c r="G274" s="7">
        <v>45560</v>
      </c>
      <c r="H274" s="1" t="s">
        <v>7449</v>
      </c>
      <c r="I274" s="7">
        <v>45560</v>
      </c>
      <c r="J274" s="1" t="s">
        <v>7449</v>
      </c>
    </row>
    <row r="275" spans="1:10" x14ac:dyDescent="0.25">
      <c r="A275" s="1">
        <v>274</v>
      </c>
      <c r="B275" s="2" t="str">
        <f>_xlfn.CONCAT(C275,"-",VLOOKUP(C275,t_objeto!B:D,3,FALSE),"-",A275)</f>
        <v>KKMM-PERCCO-274</v>
      </c>
      <c r="C275" s="1" t="s">
        <v>7458</v>
      </c>
      <c r="D275" s="1" t="str">
        <f>VLOOKUP(C275,t_objeto!B:C,2,FALSE)</f>
        <v>KIT_MATERIAL</v>
      </c>
      <c r="E275" s="1">
        <v>8</v>
      </c>
      <c r="F275" s="1" t="str">
        <f>VLOOKUP(E275,t_entry_status!A:C,2,FALSE)</f>
        <v>PENDING</v>
      </c>
      <c r="G275" s="7">
        <v>45560</v>
      </c>
      <c r="H275" s="1" t="s">
        <v>7449</v>
      </c>
      <c r="I275" s="7">
        <v>45560</v>
      </c>
      <c r="J275" s="1" t="s">
        <v>7449</v>
      </c>
    </row>
    <row r="276" spans="1:10" x14ac:dyDescent="0.25">
      <c r="A276" s="1">
        <v>275</v>
      </c>
      <c r="B276" s="2" t="str">
        <f>_xlfn.CONCAT(C276,"-",VLOOKUP(C276,t_objeto!B:D,3,FALSE),"-",A276)</f>
        <v>KKMM-PERCCO-275</v>
      </c>
      <c r="C276" s="1" t="s">
        <v>7458</v>
      </c>
      <c r="D276" s="1" t="str">
        <f>VLOOKUP(C276,t_objeto!B:C,2,FALSE)</f>
        <v>KIT_MATERIAL</v>
      </c>
      <c r="E276" s="1">
        <v>8</v>
      </c>
      <c r="F276" s="1" t="str">
        <f>VLOOKUP(E276,t_entry_status!A:C,2,FALSE)</f>
        <v>PENDING</v>
      </c>
      <c r="G276" s="7">
        <v>45560</v>
      </c>
      <c r="H276" s="1" t="s">
        <v>7449</v>
      </c>
      <c r="I276" s="7">
        <v>45560</v>
      </c>
      <c r="J276" s="1" t="s">
        <v>7449</v>
      </c>
    </row>
    <row r="277" spans="1:10" x14ac:dyDescent="0.25">
      <c r="A277" s="1">
        <v>276</v>
      </c>
      <c r="B277" s="2" t="str">
        <f>_xlfn.CONCAT(C277,"-",VLOOKUP(C277,t_objeto!B:D,3,FALSE),"-",A277)</f>
        <v>KKMM-PERCCO-276</v>
      </c>
      <c r="C277" s="1" t="s">
        <v>7458</v>
      </c>
      <c r="D277" s="1" t="str">
        <f>VLOOKUP(C277,t_objeto!B:C,2,FALSE)</f>
        <v>KIT_MATERIAL</v>
      </c>
      <c r="E277" s="1">
        <v>8</v>
      </c>
      <c r="F277" s="1" t="str">
        <f>VLOOKUP(E277,t_entry_status!A:C,2,FALSE)</f>
        <v>PENDING</v>
      </c>
      <c r="G277" s="7">
        <v>45560</v>
      </c>
      <c r="H277" s="1" t="s">
        <v>7449</v>
      </c>
      <c r="I277" s="7">
        <v>45560</v>
      </c>
      <c r="J277" s="1" t="s">
        <v>7449</v>
      </c>
    </row>
    <row r="278" spans="1:10" x14ac:dyDescent="0.25">
      <c r="A278" s="1">
        <v>277</v>
      </c>
      <c r="B278" s="2" t="str">
        <f>_xlfn.CONCAT(C278,"-",VLOOKUP(C278,t_objeto!B:D,3,FALSE),"-",A278)</f>
        <v>KKMM-PERCCO-277</v>
      </c>
      <c r="C278" s="1" t="s">
        <v>7458</v>
      </c>
      <c r="D278" s="1" t="str">
        <f>VLOOKUP(C278,t_objeto!B:C,2,FALSE)</f>
        <v>KIT_MATERIAL</v>
      </c>
      <c r="E278" s="1">
        <v>8</v>
      </c>
      <c r="F278" s="1" t="str">
        <f>VLOOKUP(E278,t_entry_status!A:C,2,FALSE)</f>
        <v>PENDING</v>
      </c>
      <c r="G278" s="7">
        <v>45560</v>
      </c>
      <c r="H278" s="1" t="s">
        <v>7449</v>
      </c>
      <c r="I278" s="7">
        <v>45560</v>
      </c>
      <c r="J278" s="1" t="s">
        <v>7449</v>
      </c>
    </row>
    <row r="279" spans="1:10" x14ac:dyDescent="0.25">
      <c r="A279" s="1">
        <v>278</v>
      </c>
      <c r="B279" s="2" t="str">
        <f>_xlfn.CONCAT(C279,"-",VLOOKUP(C279,t_objeto!B:D,3,FALSE),"-",A279)</f>
        <v>KKMM-PERCCO-278</v>
      </c>
      <c r="C279" s="1" t="s">
        <v>7458</v>
      </c>
      <c r="D279" s="1" t="str">
        <f>VLOOKUP(C279,t_objeto!B:C,2,FALSE)</f>
        <v>KIT_MATERIAL</v>
      </c>
      <c r="E279" s="1">
        <v>8</v>
      </c>
      <c r="F279" s="1" t="str">
        <f>VLOOKUP(E279,t_entry_status!A:C,2,FALSE)</f>
        <v>PENDING</v>
      </c>
      <c r="G279" s="7">
        <v>45560</v>
      </c>
      <c r="H279" s="1" t="s">
        <v>7449</v>
      </c>
      <c r="I279" s="7">
        <v>45560</v>
      </c>
      <c r="J279" s="1" t="s">
        <v>7449</v>
      </c>
    </row>
    <row r="280" spans="1:10" x14ac:dyDescent="0.25">
      <c r="A280" s="1">
        <v>279</v>
      </c>
      <c r="B280" s="2" t="str">
        <f>_xlfn.CONCAT(C280,"-",VLOOKUP(C280,t_objeto!B:D,3,FALSE),"-",A280)</f>
        <v>KKMM-PERCCO-279</v>
      </c>
      <c r="C280" s="1" t="s">
        <v>7458</v>
      </c>
      <c r="D280" s="1" t="str">
        <f>VLOOKUP(C280,t_objeto!B:C,2,FALSE)</f>
        <v>KIT_MATERIAL</v>
      </c>
      <c r="E280" s="1">
        <v>8</v>
      </c>
      <c r="F280" s="1" t="str">
        <f>VLOOKUP(E280,t_entry_status!A:C,2,FALSE)</f>
        <v>PENDING</v>
      </c>
      <c r="G280" s="7">
        <v>45560</v>
      </c>
      <c r="H280" s="1" t="s">
        <v>7449</v>
      </c>
      <c r="I280" s="7">
        <v>45560</v>
      </c>
      <c r="J280" s="1" t="s">
        <v>7449</v>
      </c>
    </row>
    <row r="281" spans="1:10" x14ac:dyDescent="0.25">
      <c r="A281" s="1">
        <v>280</v>
      </c>
      <c r="B281" s="2" t="str">
        <f>_xlfn.CONCAT(C281,"-",VLOOKUP(C281,t_objeto!B:D,3,FALSE),"-",A281)</f>
        <v>KKMM-PERCCO-280</v>
      </c>
      <c r="C281" s="1" t="s">
        <v>7458</v>
      </c>
      <c r="D281" s="1" t="str">
        <f>VLOOKUP(C281,t_objeto!B:C,2,FALSE)</f>
        <v>KIT_MATERIAL</v>
      </c>
      <c r="E281" s="1">
        <v>8</v>
      </c>
      <c r="F281" s="1" t="str">
        <f>VLOOKUP(E281,t_entry_status!A:C,2,FALSE)</f>
        <v>PENDING</v>
      </c>
      <c r="G281" s="7">
        <v>45560</v>
      </c>
      <c r="H281" s="1" t="s">
        <v>7449</v>
      </c>
      <c r="I281" s="7">
        <v>45560</v>
      </c>
      <c r="J281" s="1" t="s">
        <v>7449</v>
      </c>
    </row>
    <row r="282" spans="1:10" x14ac:dyDescent="0.25">
      <c r="A282" s="1">
        <v>281</v>
      </c>
      <c r="B282" s="2" t="str">
        <f>_xlfn.CONCAT(C282,"-",VLOOKUP(C282,t_objeto!B:D,3,FALSE),"-",A282)</f>
        <v>KKMM-PERCCO-281</v>
      </c>
      <c r="C282" s="1" t="s">
        <v>7458</v>
      </c>
      <c r="D282" s="1" t="str">
        <f>VLOOKUP(C282,t_objeto!B:C,2,FALSE)</f>
        <v>KIT_MATERIAL</v>
      </c>
      <c r="E282" s="1">
        <v>8</v>
      </c>
      <c r="F282" s="1" t="str">
        <f>VLOOKUP(E282,t_entry_status!A:C,2,FALSE)</f>
        <v>PENDING</v>
      </c>
      <c r="G282" s="7">
        <v>45560</v>
      </c>
      <c r="H282" s="1" t="s">
        <v>7449</v>
      </c>
      <c r="I282" s="7">
        <v>45560</v>
      </c>
      <c r="J282" s="1" t="s">
        <v>7449</v>
      </c>
    </row>
    <row r="283" spans="1:10" x14ac:dyDescent="0.25">
      <c r="A283" s="1">
        <v>282</v>
      </c>
      <c r="B283" s="2" t="str">
        <f>_xlfn.CONCAT(C283,"-",VLOOKUP(C283,t_objeto!B:D,3,FALSE),"-",A283)</f>
        <v>KKMM-PERCCO-282</v>
      </c>
      <c r="C283" s="1" t="s">
        <v>7458</v>
      </c>
      <c r="D283" s="1" t="str">
        <f>VLOOKUP(C283,t_objeto!B:C,2,FALSE)</f>
        <v>KIT_MATERIAL</v>
      </c>
      <c r="E283" s="1">
        <v>8</v>
      </c>
      <c r="F283" s="1" t="str">
        <f>VLOOKUP(E283,t_entry_status!A:C,2,FALSE)</f>
        <v>PENDING</v>
      </c>
      <c r="G283" s="7">
        <v>45560</v>
      </c>
      <c r="H283" s="1" t="s">
        <v>7449</v>
      </c>
      <c r="I283" s="7">
        <v>45560</v>
      </c>
      <c r="J283" s="1" t="s">
        <v>7449</v>
      </c>
    </row>
    <row r="284" spans="1:10" x14ac:dyDescent="0.25">
      <c r="A284" s="1">
        <v>283</v>
      </c>
      <c r="B284" s="2" t="str">
        <f>_xlfn.CONCAT(C284,"-",VLOOKUP(C284,t_objeto!B:D,3,FALSE),"-",A284)</f>
        <v>KKMM-PERCCO-283</v>
      </c>
      <c r="C284" s="1" t="s">
        <v>7458</v>
      </c>
      <c r="D284" s="1" t="str">
        <f>VLOOKUP(C284,t_objeto!B:C,2,FALSE)</f>
        <v>KIT_MATERIAL</v>
      </c>
      <c r="E284" s="1">
        <v>8</v>
      </c>
      <c r="F284" s="1" t="str">
        <f>VLOOKUP(E284,t_entry_status!A:C,2,FALSE)</f>
        <v>PENDING</v>
      </c>
      <c r="G284" s="7">
        <v>45560</v>
      </c>
      <c r="H284" s="1" t="s">
        <v>7449</v>
      </c>
      <c r="I284" s="7">
        <v>45560</v>
      </c>
      <c r="J284" s="1" t="s">
        <v>7449</v>
      </c>
    </row>
    <row r="285" spans="1:10" x14ac:dyDescent="0.25">
      <c r="A285" s="1">
        <v>284</v>
      </c>
      <c r="B285" s="2" t="str">
        <f>_xlfn.CONCAT(C285,"-",VLOOKUP(C285,t_objeto!B:D,3,FALSE),"-",A285)</f>
        <v>KKMM-PERCCO-284</v>
      </c>
      <c r="C285" s="1" t="s">
        <v>7458</v>
      </c>
      <c r="D285" s="1" t="str">
        <f>VLOOKUP(C285,t_objeto!B:C,2,FALSE)</f>
        <v>KIT_MATERIAL</v>
      </c>
      <c r="E285" s="1">
        <v>8</v>
      </c>
      <c r="F285" s="1" t="str">
        <f>VLOOKUP(E285,t_entry_status!A:C,2,FALSE)</f>
        <v>PENDING</v>
      </c>
      <c r="G285" s="7">
        <v>45560</v>
      </c>
      <c r="H285" s="1" t="s">
        <v>7449</v>
      </c>
      <c r="I285" s="7">
        <v>45560</v>
      </c>
      <c r="J285" s="1" t="s">
        <v>7449</v>
      </c>
    </row>
    <row r="286" spans="1:10" x14ac:dyDescent="0.25">
      <c r="A286" s="1">
        <v>285</v>
      </c>
      <c r="B286" s="2" t="str">
        <f>_xlfn.CONCAT(C286,"-",VLOOKUP(C286,t_objeto!B:D,3,FALSE),"-",A286)</f>
        <v>KKMM-PERCCO-285</v>
      </c>
      <c r="C286" s="1" t="s">
        <v>7458</v>
      </c>
      <c r="D286" s="1" t="str">
        <f>VLOOKUP(C286,t_objeto!B:C,2,FALSE)</f>
        <v>KIT_MATERIAL</v>
      </c>
      <c r="E286" s="1">
        <v>8</v>
      </c>
      <c r="F286" s="1" t="str">
        <f>VLOOKUP(E286,t_entry_status!A:C,2,FALSE)</f>
        <v>PENDING</v>
      </c>
      <c r="G286" s="7">
        <v>45560</v>
      </c>
      <c r="H286" s="1" t="s">
        <v>7449</v>
      </c>
      <c r="I286" s="7">
        <v>45560</v>
      </c>
      <c r="J286" s="1" t="s">
        <v>7449</v>
      </c>
    </row>
    <row r="287" spans="1:10" x14ac:dyDescent="0.25">
      <c r="A287" s="1">
        <v>286</v>
      </c>
      <c r="B287" s="2" t="str">
        <f>_xlfn.CONCAT(C287,"-",VLOOKUP(C287,t_objeto!B:D,3,FALSE),"-",A287)</f>
        <v>KKMM-PERCCO-286</v>
      </c>
      <c r="C287" s="1" t="s">
        <v>7458</v>
      </c>
      <c r="D287" s="1" t="str">
        <f>VLOOKUP(C287,t_objeto!B:C,2,FALSE)</f>
        <v>KIT_MATERIAL</v>
      </c>
      <c r="E287" s="1">
        <v>8</v>
      </c>
      <c r="F287" s="1" t="str">
        <f>VLOOKUP(E287,t_entry_status!A:C,2,FALSE)</f>
        <v>PENDING</v>
      </c>
      <c r="G287" s="7">
        <v>45560</v>
      </c>
      <c r="H287" s="1" t="s">
        <v>7449</v>
      </c>
      <c r="I287" s="7">
        <v>45560</v>
      </c>
      <c r="J287" s="1" t="s">
        <v>7449</v>
      </c>
    </row>
    <row r="288" spans="1:10" x14ac:dyDescent="0.25">
      <c r="A288" s="1">
        <v>287</v>
      </c>
      <c r="B288" s="2" t="str">
        <f>_xlfn.CONCAT(C288,"-",VLOOKUP(C288,t_objeto!B:D,3,FALSE),"-",A288)</f>
        <v>KKMM-PERCCO-287</v>
      </c>
      <c r="C288" s="1" t="s">
        <v>7458</v>
      </c>
      <c r="D288" s="1" t="str">
        <f>VLOOKUP(C288,t_objeto!B:C,2,FALSE)</f>
        <v>KIT_MATERIAL</v>
      </c>
      <c r="E288" s="1">
        <v>8</v>
      </c>
      <c r="F288" s="1" t="str">
        <f>VLOOKUP(E288,t_entry_status!A:C,2,FALSE)</f>
        <v>PENDING</v>
      </c>
      <c r="G288" s="7">
        <v>45560</v>
      </c>
      <c r="H288" s="1" t="s">
        <v>7449</v>
      </c>
      <c r="I288" s="7">
        <v>45560</v>
      </c>
      <c r="J288" s="1" t="s">
        <v>7449</v>
      </c>
    </row>
    <row r="289" spans="1:10" x14ac:dyDescent="0.25">
      <c r="A289" s="1">
        <v>288</v>
      </c>
      <c r="B289" s="2" t="str">
        <f>_xlfn.CONCAT(C289,"-",VLOOKUP(C289,t_objeto!B:D,3,FALSE),"-",A289)</f>
        <v>KKMM-PERCCO-288</v>
      </c>
      <c r="C289" s="1" t="s">
        <v>7458</v>
      </c>
      <c r="D289" s="1" t="str">
        <f>VLOOKUP(C289,t_objeto!B:C,2,FALSE)</f>
        <v>KIT_MATERIAL</v>
      </c>
      <c r="E289" s="1">
        <v>8</v>
      </c>
      <c r="F289" s="1" t="str">
        <f>VLOOKUP(E289,t_entry_status!A:C,2,FALSE)</f>
        <v>PENDING</v>
      </c>
      <c r="G289" s="7">
        <v>45560</v>
      </c>
      <c r="H289" s="1" t="s">
        <v>7449</v>
      </c>
      <c r="I289" s="7">
        <v>45560</v>
      </c>
      <c r="J289" s="1" t="s">
        <v>7449</v>
      </c>
    </row>
    <row r="290" spans="1:10" x14ac:dyDescent="0.25">
      <c r="A290" s="1">
        <v>289</v>
      </c>
      <c r="B290" s="2" t="str">
        <f>_xlfn.CONCAT(C290,"-",VLOOKUP(C290,t_objeto!B:D,3,FALSE),"-",A290)</f>
        <v>KKMM-PERCCO-289</v>
      </c>
      <c r="C290" s="1" t="s">
        <v>7458</v>
      </c>
      <c r="D290" s="1" t="str">
        <f>VLOOKUP(C290,t_objeto!B:C,2,FALSE)</f>
        <v>KIT_MATERIAL</v>
      </c>
      <c r="E290" s="1">
        <v>8</v>
      </c>
      <c r="F290" s="1" t="str">
        <f>VLOOKUP(E290,t_entry_status!A:C,2,FALSE)</f>
        <v>PENDING</v>
      </c>
      <c r="G290" s="7">
        <v>45560</v>
      </c>
      <c r="H290" s="1" t="s">
        <v>7449</v>
      </c>
      <c r="I290" s="7">
        <v>45560</v>
      </c>
      <c r="J290" s="1" t="s">
        <v>7449</v>
      </c>
    </row>
    <row r="291" spans="1:10" x14ac:dyDescent="0.25">
      <c r="A291" s="1">
        <v>290</v>
      </c>
      <c r="B291" s="2" t="str">
        <f>_xlfn.CONCAT(C291,"-",VLOOKUP(C291,t_objeto!B:D,3,FALSE),"-",A291)</f>
        <v>KKMM-PERCCO-290</v>
      </c>
      <c r="C291" s="1" t="s">
        <v>7458</v>
      </c>
      <c r="D291" s="1" t="str">
        <f>VLOOKUP(C291,t_objeto!B:C,2,FALSE)</f>
        <v>KIT_MATERIAL</v>
      </c>
      <c r="E291" s="1">
        <v>8</v>
      </c>
      <c r="F291" s="1" t="str">
        <f>VLOOKUP(E291,t_entry_status!A:C,2,FALSE)</f>
        <v>PENDING</v>
      </c>
      <c r="G291" s="7">
        <v>45560</v>
      </c>
      <c r="H291" s="1" t="s">
        <v>7449</v>
      </c>
      <c r="I291" s="7">
        <v>45560</v>
      </c>
      <c r="J291" s="1" t="s">
        <v>7449</v>
      </c>
    </row>
    <row r="292" spans="1:10" x14ac:dyDescent="0.25">
      <c r="A292" s="1">
        <v>291</v>
      </c>
      <c r="B292" s="2" t="str">
        <f>_xlfn.CONCAT(C292,"-",VLOOKUP(C292,t_objeto!B:D,3,FALSE),"-",A292)</f>
        <v>KKMM-PERCCO-291</v>
      </c>
      <c r="C292" s="1" t="s">
        <v>7458</v>
      </c>
      <c r="D292" s="1" t="str">
        <f>VLOOKUP(C292,t_objeto!B:C,2,FALSE)</f>
        <v>KIT_MATERIAL</v>
      </c>
      <c r="E292" s="1">
        <v>8</v>
      </c>
      <c r="F292" s="1" t="str">
        <f>VLOOKUP(E292,t_entry_status!A:C,2,FALSE)</f>
        <v>PENDING</v>
      </c>
      <c r="G292" s="7">
        <v>45560</v>
      </c>
      <c r="H292" s="1" t="s">
        <v>7449</v>
      </c>
      <c r="I292" s="7">
        <v>45560</v>
      </c>
      <c r="J292" s="1" t="s">
        <v>7449</v>
      </c>
    </row>
    <row r="293" spans="1:10" x14ac:dyDescent="0.25">
      <c r="A293" s="1">
        <v>292</v>
      </c>
      <c r="B293" s="2" t="str">
        <f>_xlfn.CONCAT(C293,"-",VLOOKUP(C293,t_objeto!B:D,3,FALSE),"-",A293)</f>
        <v>KKMM-PERCCO-292</v>
      </c>
      <c r="C293" s="1" t="s">
        <v>7458</v>
      </c>
      <c r="D293" s="1" t="str">
        <f>VLOOKUP(C293,t_objeto!B:C,2,FALSE)</f>
        <v>KIT_MATERIAL</v>
      </c>
      <c r="E293" s="1">
        <v>8</v>
      </c>
      <c r="F293" s="1" t="str">
        <f>VLOOKUP(E293,t_entry_status!A:C,2,FALSE)</f>
        <v>PENDING</v>
      </c>
      <c r="G293" s="7">
        <v>45560</v>
      </c>
      <c r="H293" s="1" t="s">
        <v>7449</v>
      </c>
      <c r="I293" s="7">
        <v>45560</v>
      </c>
      <c r="J293" s="1" t="s">
        <v>7449</v>
      </c>
    </row>
    <row r="294" spans="1:10" x14ac:dyDescent="0.25">
      <c r="A294" s="1">
        <v>293</v>
      </c>
      <c r="B294" s="2" t="str">
        <f>_xlfn.CONCAT(C294,"-",VLOOKUP(C294,t_objeto!B:D,3,FALSE),"-",A294)</f>
        <v>KKMM-PERCCO-293</v>
      </c>
      <c r="C294" s="1" t="s">
        <v>7458</v>
      </c>
      <c r="D294" s="1" t="str">
        <f>VLOOKUP(C294,t_objeto!B:C,2,FALSE)</f>
        <v>KIT_MATERIAL</v>
      </c>
      <c r="E294" s="1">
        <v>8</v>
      </c>
      <c r="F294" s="1" t="str">
        <f>VLOOKUP(E294,t_entry_status!A:C,2,FALSE)</f>
        <v>PENDING</v>
      </c>
      <c r="G294" s="7">
        <v>45560</v>
      </c>
      <c r="H294" s="1" t="s">
        <v>7449</v>
      </c>
      <c r="I294" s="7">
        <v>45560</v>
      </c>
      <c r="J294" s="1" t="s">
        <v>7449</v>
      </c>
    </row>
    <row r="295" spans="1:10" x14ac:dyDescent="0.25">
      <c r="A295" s="1">
        <v>294</v>
      </c>
      <c r="B295" s="2" t="str">
        <f>_xlfn.CONCAT(C295,"-",VLOOKUP(C295,t_objeto!B:D,3,FALSE),"-",A295)</f>
        <v>KKMM-PERCCO-294</v>
      </c>
      <c r="C295" s="1" t="s">
        <v>7458</v>
      </c>
      <c r="D295" s="1" t="str">
        <f>VLOOKUP(C295,t_objeto!B:C,2,FALSE)</f>
        <v>KIT_MATERIAL</v>
      </c>
      <c r="E295" s="1">
        <v>8</v>
      </c>
      <c r="F295" s="1" t="str">
        <f>VLOOKUP(E295,t_entry_status!A:C,2,FALSE)</f>
        <v>PENDING</v>
      </c>
      <c r="G295" s="7">
        <v>45560</v>
      </c>
      <c r="H295" s="1" t="s">
        <v>7449</v>
      </c>
      <c r="I295" s="7">
        <v>45560</v>
      </c>
      <c r="J295" s="1" t="s">
        <v>7449</v>
      </c>
    </row>
    <row r="296" spans="1:10" x14ac:dyDescent="0.25">
      <c r="A296" s="1">
        <v>295</v>
      </c>
      <c r="B296" s="2" t="str">
        <f>_xlfn.CONCAT(C296,"-",VLOOKUP(C296,t_objeto!B:D,3,FALSE),"-",A296)</f>
        <v>KKMM-PERCCO-295</v>
      </c>
      <c r="C296" s="1" t="s">
        <v>7458</v>
      </c>
      <c r="D296" s="1" t="str">
        <f>VLOOKUP(C296,t_objeto!B:C,2,FALSE)</f>
        <v>KIT_MATERIAL</v>
      </c>
      <c r="E296" s="1">
        <v>8</v>
      </c>
      <c r="F296" s="1" t="str">
        <f>VLOOKUP(E296,t_entry_status!A:C,2,FALSE)</f>
        <v>PENDING</v>
      </c>
      <c r="G296" s="7">
        <v>45560</v>
      </c>
      <c r="H296" s="1" t="s">
        <v>7449</v>
      </c>
      <c r="I296" s="7">
        <v>45560</v>
      </c>
      <c r="J296" s="1" t="s">
        <v>7449</v>
      </c>
    </row>
    <row r="297" spans="1:10" x14ac:dyDescent="0.25">
      <c r="A297" s="1">
        <v>296</v>
      </c>
      <c r="B297" s="2" t="str">
        <f>_xlfn.CONCAT(C297,"-",VLOOKUP(C297,t_objeto!B:D,3,FALSE),"-",A297)</f>
        <v>KKMM-PERCCO-296</v>
      </c>
      <c r="C297" s="1" t="s">
        <v>7458</v>
      </c>
      <c r="D297" s="1" t="str">
        <f>VLOOKUP(C297,t_objeto!B:C,2,FALSE)</f>
        <v>KIT_MATERIAL</v>
      </c>
      <c r="E297" s="1">
        <v>8</v>
      </c>
      <c r="F297" s="1" t="str">
        <f>VLOOKUP(E297,t_entry_status!A:C,2,FALSE)</f>
        <v>PENDING</v>
      </c>
      <c r="G297" s="7">
        <v>45560</v>
      </c>
      <c r="H297" s="1" t="s">
        <v>7449</v>
      </c>
      <c r="I297" s="7">
        <v>45560</v>
      </c>
      <c r="J297" s="1" t="s">
        <v>7449</v>
      </c>
    </row>
    <row r="298" spans="1:10" x14ac:dyDescent="0.25">
      <c r="A298" s="1">
        <v>297</v>
      </c>
      <c r="B298" s="2" t="str">
        <f>_xlfn.CONCAT(C298,"-",VLOOKUP(C298,t_objeto!B:D,3,FALSE),"-",A298)</f>
        <v>KKMM-PERCCO-297</v>
      </c>
      <c r="C298" s="1" t="s">
        <v>7458</v>
      </c>
      <c r="D298" s="1" t="str">
        <f>VLOOKUP(C298,t_objeto!B:C,2,FALSE)</f>
        <v>KIT_MATERIAL</v>
      </c>
      <c r="E298" s="1">
        <v>8</v>
      </c>
      <c r="F298" s="1" t="str">
        <f>VLOOKUP(E298,t_entry_status!A:C,2,FALSE)</f>
        <v>PENDING</v>
      </c>
      <c r="G298" s="7">
        <v>45560</v>
      </c>
      <c r="H298" s="1" t="s">
        <v>7449</v>
      </c>
      <c r="I298" s="7">
        <v>45560</v>
      </c>
      <c r="J298" s="1" t="s">
        <v>7449</v>
      </c>
    </row>
    <row r="299" spans="1:10" x14ac:dyDescent="0.25">
      <c r="A299" s="1">
        <v>298</v>
      </c>
      <c r="B299" s="2" t="str">
        <f>_xlfn.CONCAT(C299,"-",VLOOKUP(C299,t_objeto!B:D,3,FALSE),"-",A299)</f>
        <v>KKMM-PERCCO-298</v>
      </c>
      <c r="C299" s="1" t="s">
        <v>7458</v>
      </c>
      <c r="D299" s="1" t="str">
        <f>VLOOKUP(C299,t_objeto!B:C,2,FALSE)</f>
        <v>KIT_MATERIAL</v>
      </c>
      <c r="E299" s="1">
        <v>8</v>
      </c>
      <c r="F299" s="1" t="str">
        <f>VLOOKUP(E299,t_entry_status!A:C,2,FALSE)</f>
        <v>PENDING</v>
      </c>
      <c r="G299" s="7">
        <v>45560</v>
      </c>
      <c r="H299" s="1" t="s">
        <v>7449</v>
      </c>
      <c r="I299" s="7">
        <v>45560</v>
      </c>
      <c r="J299" s="1" t="s">
        <v>7449</v>
      </c>
    </row>
    <row r="300" spans="1:10" x14ac:dyDescent="0.25">
      <c r="A300" s="1">
        <v>299</v>
      </c>
      <c r="B300" s="2" t="str">
        <f>_xlfn.CONCAT(C300,"-",VLOOKUP(C300,t_objeto!B:D,3,FALSE),"-",A300)</f>
        <v>KKMM-PERCCO-299</v>
      </c>
      <c r="C300" s="1" t="s">
        <v>7458</v>
      </c>
      <c r="D300" s="1" t="str">
        <f>VLOOKUP(C300,t_objeto!B:C,2,FALSE)</f>
        <v>KIT_MATERIAL</v>
      </c>
      <c r="E300" s="1">
        <v>8</v>
      </c>
      <c r="F300" s="1" t="str">
        <f>VLOOKUP(E300,t_entry_status!A:C,2,FALSE)</f>
        <v>PENDING</v>
      </c>
      <c r="G300" s="7">
        <v>45560</v>
      </c>
      <c r="H300" s="1" t="s">
        <v>7449</v>
      </c>
      <c r="I300" s="7">
        <v>45560</v>
      </c>
      <c r="J300" s="1" t="s">
        <v>7449</v>
      </c>
    </row>
    <row r="301" spans="1:10" x14ac:dyDescent="0.25">
      <c r="A301" s="1">
        <v>300</v>
      </c>
      <c r="B301" s="2" t="str">
        <f>_xlfn.CONCAT(C301,"-",VLOOKUP(C301,t_objeto!B:D,3,FALSE),"-",A301)</f>
        <v>KKMM-PERCCO-300</v>
      </c>
      <c r="C301" s="1" t="s">
        <v>7458</v>
      </c>
      <c r="D301" s="1" t="str">
        <f>VLOOKUP(C301,t_objeto!B:C,2,FALSE)</f>
        <v>KIT_MATERIAL</v>
      </c>
      <c r="E301" s="1">
        <v>8</v>
      </c>
      <c r="F301" s="1" t="str">
        <f>VLOOKUP(E301,t_entry_status!A:C,2,FALSE)</f>
        <v>PENDING</v>
      </c>
      <c r="G301" s="7">
        <v>45560</v>
      </c>
      <c r="H301" s="1" t="s">
        <v>7449</v>
      </c>
      <c r="I301" s="7">
        <v>45560</v>
      </c>
      <c r="J301" s="1" t="s">
        <v>7449</v>
      </c>
    </row>
    <row r="302" spans="1:10" x14ac:dyDescent="0.25">
      <c r="A302" s="1">
        <v>301</v>
      </c>
      <c r="B302" s="2" t="str">
        <f>_xlfn.CONCAT(C302,"-",VLOOKUP(C302,t_objeto!B:D,3,FALSE),"-",A302)</f>
        <v>KKMM-PERCCO-301</v>
      </c>
      <c r="C302" s="1" t="s">
        <v>7458</v>
      </c>
      <c r="D302" s="1" t="str">
        <f>VLOOKUP(C302,t_objeto!B:C,2,FALSE)</f>
        <v>KIT_MATERIAL</v>
      </c>
      <c r="E302" s="1">
        <v>8</v>
      </c>
      <c r="F302" s="1" t="str">
        <f>VLOOKUP(E302,t_entry_status!A:C,2,FALSE)</f>
        <v>PENDING</v>
      </c>
      <c r="G302" s="7">
        <v>45560</v>
      </c>
      <c r="H302" s="1" t="s">
        <v>7449</v>
      </c>
      <c r="I302" s="7">
        <v>45560</v>
      </c>
      <c r="J302" s="1" t="s">
        <v>7449</v>
      </c>
    </row>
    <row r="303" spans="1:10" x14ac:dyDescent="0.25">
      <c r="A303" s="1">
        <v>302</v>
      </c>
      <c r="B303" s="2" t="str">
        <f>_xlfn.CONCAT(C303,"-",VLOOKUP(C303,t_objeto!B:D,3,FALSE),"-",A303)</f>
        <v>KKMM-PERCCO-302</v>
      </c>
      <c r="C303" s="1" t="s">
        <v>7458</v>
      </c>
      <c r="D303" s="1" t="str">
        <f>VLOOKUP(C303,t_objeto!B:C,2,FALSE)</f>
        <v>KIT_MATERIAL</v>
      </c>
      <c r="E303" s="1">
        <v>8</v>
      </c>
      <c r="F303" s="1" t="str">
        <f>VLOOKUP(E303,t_entry_status!A:C,2,FALSE)</f>
        <v>PENDING</v>
      </c>
      <c r="G303" s="7">
        <v>45560</v>
      </c>
      <c r="H303" s="1" t="s">
        <v>7449</v>
      </c>
      <c r="I303" s="7">
        <v>45560</v>
      </c>
      <c r="J303" s="1" t="s">
        <v>7449</v>
      </c>
    </row>
    <row r="304" spans="1:10" x14ac:dyDescent="0.25">
      <c r="A304" s="1">
        <v>303</v>
      </c>
      <c r="B304" s="2" t="str">
        <f>_xlfn.CONCAT(C304,"-",VLOOKUP(C304,t_objeto!B:D,3,FALSE),"-",A304)</f>
        <v>KKMM-PERCCO-303</v>
      </c>
      <c r="C304" s="1" t="s">
        <v>7458</v>
      </c>
      <c r="D304" s="1" t="str">
        <f>VLOOKUP(C304,t_objeto!B:C,2,FALSE)</f>
        <v>KIT_MATERIAL</v>
      </c>
      <c r="E304" s="1">
        <v>8</v>
      </c>
      <c r="F304" s="1" t="str">
        <f>VLOOKUP(E304,t_entry_status!A:C,2,FALSE)</f>
        <v>PENDING</v>
      </c>
      <c r="G304" s="7">
        <v>45560</v>
      </c>
      <c r="H304" s="1" t="s">
        <v>7449</v>
      </c>
      <c r="I304" s="7">
        <v>45560</v>
      </c>
      <c r="J304" s="1" t="s">
        <v>7449</v>
      </c>
    </row>
    <row r="305" spans="1:10" x14ac:dyDescent="0.25">
      <c r="A305" s="1">
        <v>304</v>
      </c>
      <c r="B305" s="2" t="str">
        <f>_xlfn.CONCAT(C305,"-",VLOOKUP(C305,t_objeto!B:D,3,FALSE),"-",A305)</f>
        <v>KKMM-PERCCO-304</v>
      </c>
      <c r="C305" s="1" t="s">
        <v>7458</v>
      </c>
      <c r="D305" s="1" t="str">
        <f>VLOOKUP(C305,t_objeto!B:C,2,FALSE)</f>
        <v>KIT_MATERIAL</v>
      </c>
      <c r="E305" s="1">
        <v>8</v>
      </c>
      <c r="F305" s="1" t="str">
        <f>VLOOKUP(E305,t_entry_status!A:C,2,FALSE)</f>
        <v>PENDING</v>
      </c>
      <c r="G305" s="7">
        <v>45560</v>
      </c>
      <c r="H305" s="1" t="s">
        <v>7449</v>
      </c>
      <c r="I305" s="7">
        <v>45560</v>
      </c>
      <c r="J305" s="1" t="s">
        <v>7449</v>
      </c>
    </row>
    <row r="306" spans="1:10" x14ac:dyDescent="0.25">
      <c r="A306" s="1">
        <v>305</v>
      </c>
      <c r="B306" s="2" t="str">
        <f>_xlfn.CONCAT(C306,"-",VLOOKUP(C306,t_objeto!B:D,3,FALSE),"-",A306)</f>
        <v>KKMM-PERCCO-305</v>
      </c>
      <c r="C306" s="1" t="s">
        <v>7458</v>
      </c>
      <c r="D306" s="1" t="str">
        <f>VLOOKUP(C306,t_objeto!B:C,2,FALSE)</f>
        <v>KIT_MATERIAL</v>
      </c>
      <c r="E306" s="1">
        <v>8</v>
      </c>
      <c r="F306" s="1" t="str">
        <f>VLOOKUP(E306,t_entry_status!A:C,2,FALSE)</f>
        <v>PENDING</v>
      </c>
      <c r="G306" s="7">
        <v>45560</v>
      </c>
      <c r="H306" s="1" t="s">
        <v>7449</v>
      </c>
      <c r="I306" s="7">
        <v>45560</v>
      </c>
      <c r="J306" s="1" t="s">
        <v>7449</v>
      </c>
    </row>
    <row r="307" spans="1:10" x14ac:dyDescent="0.25">
      <c r="A307" s="1">
        <v>306</v>
      </c>
      <c r="B307" s="2" t="str">
        <f>_xlfn.CONCAT(C307,"-",VLOOKUP(C307,t_objeto!B:D,3,FALSE),"-",A307)</f>
        <v>KKMM-PERCCO-306</v>
      </c>
      <c r="C307" s="1" t="s">
        <v>7458</v>
      </c>
      <c r="D307" s="1" t="str">
        <f>VLOOKUP(C307,t_objeto!B:C,2,FALSE)</f>
        <v>KIT_MATERIAL</v>
      </c>
      <c r="E307" s="1">
        <v>8</v>
      </c>
      <c r="F307" s="1" t="str">
        <f>VLOOKUP(E307,t_entry_status!A:C,2,FALSE)</f>
        <v>PENDING</v>
      </c>
      <c r="G307" s="7">
        <v>45560</v>
      </c>
      <c r="H307" s="1" t="s">
        <v>7449</v>
      </c>
      <c r="I307" s="7">
        <v>45560</v>
      </c>
      <c r="J307" s="1" t="s">
        <v>7449</v>
      </c>
    </row>
    <row r="308" spans="1:10" x14ac:dyDescent="0.25">
      <c r="A308" s="1">
        <v>307</v>
      </c>
      <c r="B308" s="2" t="str">
        <f>_xlfn.CONCAT(C308,"-",VLOOKUP(C308,t_objeto!B:D,3,FALSE),"-",A308)</f>
        <v>KKMM-PERCCO-307</v>
      </c>
      <c r="C308" s="1" t="s">
        <v>7458</v>
      </c>
      <c r="D308" s="1" t="str">
        <f>VLOOKUP(C308,t_objeto!B:C,2,FALSE)</f>
        <v>KIT_MATERIAL</v>
      </c>
      <c r="E308" s="1">
        <v>8</v>
      </c>
      <c r="F308" s="1" t="str">
        <f>VLOOKUP(E308,t_entry_status!A:C,2,FALSE)</f>
        <v>PENDING</v>
      </c>
      <c r="G308" s="7">
        <v>45560</v>
      </c>
      <c r="H308" s="1" t="s">
        <v>7449</v>
      </c>
      <c r="I308" s="7">
        <v>45560</v>
      </c>
      <c r="J308" s="1" t="s">
        <v>7449</v>
      </c>
    </row>
    <row r="309" spans="1:10" x14ac:dyDescent="0.25">
      <c r="A309" s="1">
        <v>308</v>
      </c>
      <c r="B309" s="2" t="str">
        <f>_xlfn.CONCAT(C309,"-",VLOOKUP(C309,t_objeto!B:D,3,FALSE),"-",A309)</f>
        <v>KKMM-PERCCO-308</v>
      </c>
      <c r="C309" s="1" t="s">
        <v>7458</v>
      </c>
      <c r="D309" s="1" t="str">
        <f>VLOOKUP(C309,t_objeto!B:C,2,FALSE)</f>
        <v>KIT_MATERIAL</v>
      </c>
      <c r="E309" s="1">
        <v>8</v>
      </c>
      <c r="F309" s="1" t="str">
        <f>VLOOKUP(E309,t_entry_status!A:C,2,FALSE)</f>
        <v>PENDING</v>
      </c>
      <c r="G309" s="7">
        <v>45560</v>
      </c>
      <c r="H309" s="1" t="s">
        <v>7449</v>
      </c>
      <c r="I309" s="7">
        <v>45560</v>
      </c>
      <c r="J309" s="1" t="s">
        <v>7449</v>
      </c>
    </row>
    <row r="310" spans="1:10" x14ac:dyDescent="0.25">
      <c r="A310" s="1">
        <v>309</v>
      </c>
      <c r="B310" s="2" t="str">
        <f>_xlfn.CONCAT(C310,"-",VLOOKUP(C310,t_objeto!B:D,3,FALSE),"-",A310)</f>
        <v>KKMM-PERCCO-309</v>
      </c>
      <c r="C310" s="1" t="s">
        <v>7458</v>
      </c>
      <c r="D310" s="1" t="str">
        <f>VLOOKUP(C310,t_objeto!B:C,2,FALSE)</f>
        <v>KIT_MATERIAL</v>
      </c>
      <c r="E310" s="1">
        <v>8</v>
      </c>
      <c r="F310" s="1" t="str">
        <f>VLOOKUP(E310,t_entry_status!A:C,2,FALSE)</f>
        <v>PENDING</v>
      </c>
      <c r="G310" s="7">
        <v>45560</v>
      </c>
      <c r="H310" s="1" t="s">
        <v>7449</v>
      </c>
      <c r="I310" s="7">
        <v>45560</v>
      </c>
      <c r="J310" s="1" t="s">
        <v>7449</v>
      </c>
    </row>
    <row r="311" spans="1:10" x14ac:dyDescent="0.25">
      <c r="A311" s="1">
        <v>310</v>
      </c>
      <c r="B311" s="2" t="str">
        <f>_xlfn.CONCAT(C311,"-",VLOOKUP(C311,t_objeto!B:D,3,FALSE),"-",A311)</f>
        <v>KKMM-PERCCO-310</v>
      </c>
      <c r="C311" s="1" t="s">
        <v>7458</v>
      </c>
      <c r="D311" s="1" t="str">
        <f>VLOOKUP(C311,t_objeto!B:C,2,FALSE)</f>
        <v>KIT_MATERIAL</v>
      </c>
      <c r="E311" s="1">
        <v>8</v>
      </c>
      <c r="F311" s="1" t="str">
        <f>VLOOKUP(E311,t_entry_status!A:C,2,FALSE)</f>
        <v>PENDING</v>
      </c>
      <c r="G311" s="7">
        <v>45560</v>
      </c>
      <c r="H311" s="1" t="s">
        <v>7449</v>
      </c>
      <c r="I311" s="7">
        <v>45560</v>
      </c>
      <c r="J311" s="1" t="s">
        <v>7449</v>
      </c>
    </row>
    <row r="312" spans="1:10" x14ac:dyDescent="0.25">
      <c r="A312" s="1">
        <v>311</v>
      </c>
      <c r="B312" s="2" t="str">
        <f>_xlfn.CONCAT(C312,"-",VLOOKUP(C312,t_objeto!B:D,3,FALSE),"-",A312)</f>
        <v>KKMM-PERCCO-311</v>
      </c>
      <c r="C312" s="1" t="s">
        <v>7458</v>
      </c>
      <c r="D312" s="1" t="str">
        <f>VLOOKUP(C312,t_objeto!B:C,2,FALSE)</f>
        <v>KIT_MATERIAL</v>
      </c>
      <c r="E312" s="1">
        <v>8</v>
      </c>
      <c r="F312" s="1" t="str">
        <f>VLOOKUP(E312,t_entry_status!A:C,2,FALSE)</f>
        <v>PENDING</v>
      </c>
      <c r="G312" s="7">
        <v>45560</v>
      </c>
      <c r="H312" s="1" t="s">
        <v>7449</v>
      </c>
      <c r="I312" s="7">
        <v>45560</v>
      </c>
      <c r="J312" s="1" t="s">
        <v>7449</v>
      </c>
    </row>
    <row r="313" spans="1:10" x14ac:dyDescent="0.25">
      <c r="A313" s="1">
        <v>312</v>
      </c>
      <c r="B313" s="2" t="str">
        <f>_xlfn.CONCAT(C313,"-",VLOOKUP(C313,t_objeto!B:D,3,FALSE),"-",A313)</f>
        <v>KKMM-PERCCO-312</v>
      </c>
      <c r="C313" s="1" t="s">
        <v>7458</v>
      </c>
      <c r="D313" s="1" t="str">
        <f>VLOOKUP(C313,t_objeto!B:C,2,FALSE)</f>
        <v>KIT_MATERIAL</v>
      </c>
      <c r="E313" s="1">
        <v>8</v>
      </c>
      <c r="F313" s="1" t="str">
        <f>VLOOKUP(E313,t_entry_status!A:C,2,FALSE)</f>
        <v>PENDING</v>
      </c>
      <c r="G313" s="7">
        <v>45560</v>
      </c>
      <c r="H313" s="1" t="s">
        <v>7449</v>
      </c>
      <c r="I313" s="7">
        <v>45560</v>
      </c>
      <c r="J313" s="1" t="s">
        <v>7449</v>
      </c>
    </row>
    <row r="314" spans="1:10" x14ac:dyDescent="0.25">
      <c r="A314" s="1">
        <v>313</v>
      </c>
      <c r="B314" s="2" t="str">
        <f>_xlfn.CONCAT(C314,"-",VLOOKUP(C314,t_objeto!B:D,3,FALSE),"-",A314)</f>
        <v>KKMM-PERCCO-313</v>
      </c>
      <c r="C314" s="1" t="s">
        <v>7458</v>
      </c>
      <c r="D314" s="1" t="str">
        <f>VLOOKUP(C314,t_objeto!B:C,2,FALSE)</f>
        <v>KIT_MATERIAL</v>
      </c>
      <c r="E314" s="1">
        <v>8</v>
      </c>
      <c r="F314" s="1" t="str">
        <f>VLOOKUP(E314,t_entry_status!A:C,2,FALSE)</f>
        <v>PENDING</v>
      </c>
      <c r="G314" s="7">
        <v>45560</v>
      </c>
      <c r="H314" s="1" t="s">
        <v>7449</v>
      </c>
      <c r="I314" s="7">
        <v>45560</v>
      </c>
      <c r="J314" s="1" t="s">
        <v>7449</v>
      </c>
    </row>
    <row r="315" spans="1:10" x14ac:dyDescent="0.25">
      <c r="A315" s="1">
        <v>314</v>
      </c>
      <c r="B315" s="2" t="str">
        <f>_xlfn.CONCAT(C315,"-",VLOOKUP(C315,t_objeto!B:D,3,FALSE),"-",A315)</f>
        <v>KKMM-PERCCO-314</v>
      </c>
      <c r="C315" s="1" t="s">
        <v>7458</v>
      </c>
      <c r="D315" s="1" t="str">
        <f>VLOOKUP(C315,t_objeto!B:C,2,FALSE)</f>
        <v>KIT_MATERIAL</v>
      </c>
      <c r="E315" s="1">
        <v>8</v>
      </c>
      <c r="F315" s="1" t="str">
        <f>VLOOKUP(E315,t_entry_status!A:C,2,FALSE)</f>
        <v>PENDING</v>
      </c>
      <c r="G315" s="7">
        <v>45560</v>
      </c>
      <c r="H315" s="1" t="s">
        <v>7449</v>
      </c>
      <c r="I315" s="7">
        <v>45560</v>
      </c>
      <c r="J315" s="1" t="s">
        <v>7449</v>
      </c>
    </row>
    <row r="316" spans="1:10" x14ac:dyDescent="0.25">
      <c r="A316" s="1">
        <v>315</v>
      </c>
      <c r="B316" s="2" t="str">
        <f>_xlfn.CONCAT(C316,"-",VLOOKUP(C316,t_objeto!B:D,3,FALSE),"-",A316)</f>
        <v>KKMM-PERCCO-315</v>
      </c>
      <c r="C316" s="1" t="s">
        <v>7458</v>
      </c>
      <c r="D316" s="1" t="str">
        <f>VLOOKUP(C316,t_objeto!B:C,2,FALSE)</f>
        <v>KIT_MATERIAL</v>
      </c>
      <c r="E316" s="1">
        <v>8</v>
      </c>
      <c r="F316" s="1" t="str">
        <f>VLOOKUP(E316,t_entry_status!A:C,2,FALSE)</f>
        <v>PENDING</v>
      </c>
      <c r="G316" s="7">
        <v>45560</v>
      </c>
      <c r="H316" s="1" t="s">
        <v>7449</v>
      </c>
      <c r="I316" s="7">
        <v>45560</v>
      </c>
      <c r="J316" s="1" t="s">
        <v>7449</v>
      </c>
    </row>
    <row r="317" spans="1:10" x14ac:dyDescent="0.25">
      <c r="A317" s="1">
        <v>316</v>
      </c>
      <c r="B317" s="2" t="str">
        <f>_xlfn.CONCAT(C317,"-",VLOOKUP(C317,t_objeto!B:D,3,FALSE),"-",A317)</f>
        <v>KKMM-PERCCO-316</v>
      </c>
      <c r="C317" s="1" t="s">
        <v>7458</v>
      </c>
      <c r="D317" s="1" t="str">
        <f>VLOOKUP(C317,t_objeto!B:C,2,FALSE)</f>
        <v>KIT_MATERIAL</v>
      </c>
      <c r="E317" s="1">
        <v>8</v>
      </c>
      <c r="F317" s="1" t="str">
        <f>VLOOKUP(E317,t_entry_status!A:C,2,FALSE)</f>
        <v>PENDING</v>
      </c>
      <c r="G317" s="7">
        <v>45560</v>
      </c>
      <c r="H317" s="1" t="s">
        <v>7449</v>
      </c>
      <c r="I317" s="7">
        <v>45560</v>
      </c>
      <c r="J317" s="1" t="s">
        <v>7449</v>
      </c>
    </row>
    <row r="318" spans="1:10" x14ac:dyDescent="0.25">
      <c r="A318" s="1">
        <v>317</v>
      </c>
      <c r="B318" s="2" t="str">
        <f>_xlfn.CONCAT(C318,"-",VLOOKUP(C318,t_objeto!B:D,3,FALSE),"-",A318)</f>
        <v>KKMM-PERCCO-317</v>
      </c>
      <c r="C318" s="1" t="s">
        <v>7458</v>
      </c>
      <c r="D318" s="1" t="str">
        <f>VLOOKUP(C318,t_objeto!B:C,2,FALSE)</f>
        <v>KIT_MATERIAL</v>
      </c>
      <c r="E318" s="1">
        <v>8</v>
      </c>
      <c r="F318" s="1" t="str">
        <f>VLOOKUP(E318,t_entry_status!A:C,2,FALSE)</f>
        <v>PENDING</v>
      </c>
      <c r="G318" s="7">
        <v>45560</v>
      </c>
      <c r="H318" s="1" t="s">
        <v>7449</v>
      </c>
      <c r="I318" s="7">
        <v>45560</v>
      </c>
      <c r="J318" s="1" t="s">
        <v>7449</v>
      </c>
    </row>
    <row r="319" spans="1:10" x14ac:dyDescent="0.25">
      <c r="A319" s="1">
        <v>318</v>
      </c>
      <c r="B319" s="2" t="str">
        <f>_xlfn.CONCAT(C319,"-",VLOOKUP(C319,t_objeto!B:D,3,FALSE),"-",A319)</f>
        <v>KKMM-PERCCO-318</v>
      </c>
      <c r="C319" s="1" t="s">
        <v>7458</v>
      </c>
      <c r="D319" s="1" t="str">
        <f>VLOOKUP(C319,t_objeto!B:C,2,FALSE)</f>
        <v>KIT_MATERIAL</v>
      </c>
      <c r="E319" s="1">
        <v>8</v>
      </c>
      <c r="F319" s="1" t="str">
        <f>VLOOKUP(E319,t_entry_status!A:C,2,FALSE)</f>
        <v>PENDING</v>
      </c>
      <c r="G319" s="7">
        <v>45560</v>
      </c>
      <c r="H319" s="1" t="s">
        <v>7449</v>
      </c>
      <c r="I319" s="7">
        <v>45560</v>
      </c>
      <c r="J319" s="1" t="s">
        <v>7449</v>
      </c>
    </row>
    <row r="320" spans="1:10" x14ac:dyDescent="0.25">
      <c r="A320" s="1">
        <v>319</v>
      </c>
      <c r="B320" s="2" t="str">
        <f>_xlfn.CONCAT(C320,"-",VLOOKUP(C320,t_objeto!B:D,3,FALSE),"-",A320)</f>
        <v>KKMM-PERCCO-319</v>
      </c>
      <c r="C320" s="1" t="s">
        <v>7458</v>
      </c>
      <c r="D320" s="1" t="str">
        <f>VLOOKUP(C320,t_objeto!B:C,2,FALSE)</f>
        <v>KIT_MATERIAL</v>
      </c>
      <c r="E320" s="1">
        <v>8</v>
      </c>
      <c r="F320" s="1" t="str">
        <f>VLOOKUP(E320,t_entry_status!A:C,2,FALSE)</f>
        <v>PENDING</v>
      </c>
      <c r="G320" s="7">
        <v>45560</v>
      </c>
      <c r="H320" s="1" t="s">
        <v>7449</v>
      </c>
      <c r="I320" s="7">
        <v>45560</v>
      </c>
      <c r="J320" s="1" t="s">
        <v>7449</v>
      </c>
    </row>
    <row r="321" spans="1:10" x14ac:dyDescent="0.25">
      <c r="A321" s="1">
        <v>320</v>
      </c>
      <c r="B321" s="2" t="str">
        <f>_xlfn.CONCAT(C321,"-",VLOOKUP(C321,t_objeto!B:D,3,FALSE),"-",A321)</f>
        <v>KKMM-PERCCO-320</v>
      </c>
      <c r="C321" s="1" t="s">
        <v>7458</v>
      </c>
      <c r="D321" s="1" t="str">
        <f>VLOOKUP(C321,t_objeto!B:C,2,FALSE)</f>
        <v>KIT_MATERIAL</v>
      </c>
      <c r="E321" s="1">
        <v>8</v>
      </c>
      <c r="F321" s="1" t="str">
        <f>VLOOKUP(E321,t_entry_status!A:C,2,FALSE)</f>
        <v>PENDING</v>
      </c>
      <c r="G321" s="7">
        <v>45560</v>
      </c>
      <c r="H321" s="1" t="s">
        <v>7449</v>
      </c>
      <c r="I321" s="7">
        <v>45560</v>
      </c>
      <c r="J321" s="1" t="s">
        <v>7449</v>
      </c>
    </row>
    <row r="322" spans="1:10" x14ac:dyDescent="0.25">
      <c r="A322" s="1">
        <v>321</v>
      </c>
      <c r="B322" s="2" t="str">
        <f>_xlfn.CONCAT(C322,"-",VLOOKUP(C322,t_objeto!B:D,3,FALSE),"-",A322)</f>
        <v>KKMM-PERCCO-321</v>
      </c>
      <c r="C322" s="1" t="s">
        <v>7458</v>
      </c>
      <c r="D322" s="1" t="str">
        <f>VLOOKUP(C322,t_objeto!B:C,2,FALSE)</f>
        <v>KIT_MATERIAL</v>
      </c>
      <c r="E322" s="1">
        <v>8</v>
      </c>
      <c r="F322" s="1" t="str">
        <f>VLOOKUP(E322,t_entry_status!A:C,2,FALSE)</f>
        <v>PENDING</v>
      </c>
      <c r="G322" s="7">
        <v>45560</v>
      </c>
      <c r="H322" s="1" t="s">
        <v>7449</v>
      </c>
      <c r="I322" s="7">
        <v>45560</v>
      </c>
      <c r="J322" s="1" t="s">
        <v>7449</v>
      </c>
    </row>
    <row r="323" spans="1:10" x14ac:dyDescent="0.25">
      <c r="A323" s="1">
        <v>322</v>
      </c>
      <c r="B323" s="2" t="str">
        <f>_xlfn.CONCAT(C323,"-",VLOOKUP(C323,t_objeto!B:D,3,FALSE),"-",A323)</f>
        <v>KKMM-PERCCO-322</v>
      </c>
      <c r="C323" s="1" t="s">
        <v>7458</v>
      </c>
      <c r="D323" s="1" t="str">
        <f>VLOOKUP(C323,t_objeto!B:C,2,FALSE)</f>
        <v>KIT_MATERIAL</v>
      </c>
      <c r="E323" s="1">
        <v>8</v>
      </c>
      <c r="F323" s="1" t="str">
        <f>VLOOKUP(E323,t_entry_status!A:C,2,FALSE)</f>
        <v>PENDING</v>
      </c>
      <c r="G323" s="7">
        <v>45560</v>
      </c>
      <c r="H323" s="1" t="s">
        <v>7449</v>
      </c>
      <c r="I323" s="7">
        <v>45560</v>
      </c>
      <c r="J323" s="1" t="s">
        <v>7449</v>
      </c>
    </row>
    <row r="324" spans="1:10" x14ac:dyDescent="0.25">
      <c r="A324" s="1">
        <v>323</v>
      </c>
      <c r="B324" s="2" t="str">
        <f>_xlfn.CONCAT(C324,"-",VLOOKUP(C324,t_objeto!B:D,3,FALSE),"-",A324)</f>
        <v>KKMM-PERCCO-323</v>
      </c>
      <c r="C324" s="1" t="s">
        <v>7458</v>
      </c>
      <c r="D324" s="1" t="str">
        <f>VLOOKUP(C324,t_objeto!B:C,2,FALSE)</f>
        <v>KIT_MATERIAL</v>
      </c>
      <c r="E324" s="1">
        <v>8</v>
      </c>
      <c r="F324" s="1" t="str">
        <f>VLOOKUP(E324,t_entry_status!A:C,2,FALSE)</f>
        <v>PENDING</v>
      </c>
      <c r="G324" s="7">
        <v>45560</v>
      </c>
      <c r="H324" s="1" t="s">
        <v>7449</v>
      </c>
      <c r="I324" s="7">
        <v>45560</v>
      </c>
      <c r="J324" s="1" t="s">
        <v>7449</v>
      </c>
    </row>
    <row r="325" spans="1:10" x14ac:dyDescent="0.25">
      <c r="A325" s="1">
        <v>324</v>
      </c>
      <c r="B325" s="2" t="str">
        <f>_xlfn.CONCAT(C325,"-",VLOOKUP(C325,t_objeto!B:D,3,FALSE),"-",A325)</f>
        <v>KKMM-PERCCO-324</v>
      </c>
      <c r="C325" s="1" t="s">
        <v>7458</v>
      </c>
      <c r="D325" s="1" t="str">
        <f>VLOOKUP(C325,t_objeto!B:C,2,FALSE)</f>
        <v>KIT_MATERIAL</v>
      </c>
      <c r="E325" s="1">
        <v>8</v>
      </c>
      <c r="F325" s="1" t="str">
        <f>VLOOKUP(E325,t_entry_status!A:C,2,FALSE)</f>
        <v>PENDING</v>
      </c>
      <c r="G325" s="7">
        <v>45560</v>
      </c>
      <c r="H325" s="1" t="s">
        <v>7449</v>
      </c>
      <c r="I325" s="7">
        <v>45560</v>
      </c>
      <c r="J325" s="1" t="s">
        <v>7449</v>
      </c>
    </row>
    <row r="326" spans="1:10" x14ac:dyDescent="0.25">
      <c r="A326" s="1">
        <v>325</v>
      </c>
      <c r="B326" s="2" t="str">
        <f>_xlfn.CONCAT(C326,"-",VLOOKUP(C326,t_objeto!B:D,3,FALSE),"-",A326)</f>
        <v>KKMM-PERCCO-325</v>
      </c>
      <c r="C326" s="1" t="s">
        <v>7458</v>
      </c>
      <c r="D326" s="1" t="str">
        <f>VLOOKUP(C326,t_objeto!B:C,2,FALSE)</f>
        <v>KIT_MATERIAL</v>
      </c>
      <c r="E326" s="1">
        <v>8</v>
      </c>
      <c r="F326" s="1" t="str">
        <f>VLOOKUP(E326,t_entry_status!A:C,2,FALSE)</f>
        <v>PENDING</v>
      </c>
      <c r="G326" s="7">
        <v>45560</v>
      </c>
      <c r="H326" s="1" t="s">
        <v>7449</v>
      </c>
      <c r="I326" s="7">
        <v>45560</v>
      </c>
      <c r="J326" s="1" t="s">
        <v>7449</v>
      </c>
    </row>
    <row r="327" spans="1:10" x14ac:dyDescent="0.25">
      <c r="A327" s="1">
        <v>326</v>
      </c>
      <c r="B327" s="2" t="str">
        <f>_xlfn.CONCAT(C327,"-",VLOOKUP(C327,t_objeto!B:D,3,FALSE),"-",A327)</f>
        <v>KKMM-PERCCO-326</v>
      </c>
      <c r="C327" s="1" t="s">
        <v>7458</v>
      </c>
      <c r="D327" s="1" t="str">
        <f>VLOOKUP(C327,t_objeto!B:C,2,FALSE)</f>
        <v>KIT_MATERIAL</v>
      </c>
      <c r="E327" s="1">
        <v>8</v>
      </c>
      <c r="F327" s="1" t="str">
        <f>VLOOKUP(E327,t_entry_status!A:C,2,FALSE)</f>
        <v>PENDING</v>
      </c>
      <c r="G327" s="7">
        <v>45560</v>
      </c>
      <c r="H327" s="1" t="s">
        <v>7449</v>
      </c>
      <c r="I327" s="7">
        <v>45560</v>
      </c>
      <c r="J327" s="1" t="s">
        <v>7449</v>
      </c>
    </row>
    <row r="328" spans="1:10" x14ac:dyDescent="0.25">
      <c r="A328" s="1">
        <v>327</v>
      </c>
      <c r="B328" s="2" t="str">
        <f>_xlfn.CONCAT(C328,"-",VLOOKUP(C328,t_objeto!B:D,3,FALSE),"-",A328)</f>
        <v>KKMM-PERCCO-327</v>
      </c>
      <c r="C328" s="1" t="s">
        <v>7458</v>
      </c>
      <c r="D328" s="1" t="str">
        <f>VLOOKUP(C328,t_objeto!B:C,2,FALSE)</f>
        <v>KIT_MATERIAL</v>
      </c>
      <c r="E328" s="1">
        <v>8</v>
      </c>
      <c r="F328" s="1" t="str">
        <f>VLOOKUP(E328,t_entry_status!A:C,2,FALSE)</f>
        <v>PENDING</v>
      </c>
      <c r="G328" s="7">
        <v>45560</v>
      </c>
      <c r="H328" s="1" t="s">
        <v>7449</v>
      </c>
      <c r="I328" s="7">
        <v>45560</v>
      </c>
      <c r="J328" s="1" t="s">
        <v>7449</v>
      </c>
    </row>
    <row r="329" spans="1:10" x14ac:dyDescent="0.25">
      <c r="A329" s="1">
        <v>328</v>
      </c>
      <c r="B329" s="2" t="str">
        <f>_xlfn.CONCAT(C329,"-",VLOOKUP(C329,t_objeto!B:D,3,FALSE),"-",A329)</f>
        <v>KKMM-PERCCO-328</v>
      </c>
      <c r="C329" s="1" t="s">
        <v>7458</v>
      </c>
      <c r="D329" s="1" t="str">
        <f>VLOOKUP(C329,t_objeto!B:C,2,FALSE)</f>
        <v>KIT_MATERIAL</v>
      </c>
      <c r="E329" s="1">
        <v>8</v>
      </c>
      <c r="F329" s="1" t="str">
        <f>VLOOKUP(E329,t_entry_status!A:C,2,FALSE)</f>
        <v>PENDING</v>
      </c>
      <c r="G329" s="7">
        <v>45560</v>
      </c>
      <c r="H329" s="1" t="s">
        <v>7449</v>
      </c>
      <c r="I329" s="7">
        <v>45560</v>
      </c>
      <c r="J329" s="1" t="s">
        <v>7449</v>
      </c>
    </row>
    <row r="330" spans="1:10" x14ac:dyDescent="0.25">
      <c r="A330" s="1">
        <v>329</v>
      </c>
      <c r="B330" s="2" t="str">
        <f>_xlfn.CONCAT(C330,"-",VLOOKUP(C330,t_objeto!B:D,3,FALSE),"-",A330)</f>
        <v>KKMM-PERCCO-329</v>
      </c>
      <c r="C330" s="1" t="s">
        <v>7458</v>
      </c>
      <c r="D330" s="1" t="str">
        <f>VLOOKUP(C330,t_objeto!B:C,2,FALSE)</f>
        <v>KIT_MATERIAL</v>
      </c>
      <c r="E330" s="1">
        <v>8</v>
      </c>
      <c r="F330" s="1" t="str">
        <f>VLOOKUP(E330,t_entry_status!A:C,2,FALSE)</f>
        <v>PENDING</v>
      </c>
      <c r="G330" s="7">
        <v>45560</v>
      </c>
      <c r="H330" s="1" t="s">
        <v>7449</v>
      </c>
      <c r="I330" s="7">
        <v>45560</v>
      </c>
      <c r="J330" s="1" t="s">
        <v>7449</v>
      </c>
    </row>
    <row r="331" spans="1:10" x14ac:dyDescent="0.25">
      <c r="A331" s="1">
        <v>330</v>
      </c>
      <c r="B331" s="2" t="str">
        <f>_xlfn.CONCAT(C331,"-",VLOOKUP(C331,t_objeto!B:D,3,FALSE),"-",A331)</f>
        <v>KKMM-PERCCO-330</v>
      </c>
      <c r="C331" s="1" t="s">
        <v>7458</v>
      </c>
      <c r="D331" s="1" t="str">
        <f>VLOOKUP(C331,t_objeto!B:C,2,FALSE)</f>
        <v>KIT_MATERIAL</v>
      </c>
      <c r="E331" s="1">
        <v>8</v>
      </c>
      <c r="F331" s="1" t="str">
        <f>VLOOKUP(E331,t_entry_status!A:C,2,FALSE)</f>
        <v>PENDING</v>
      </c>
      <c r="G331" s="7">
        <v>45560</v>
      </c>
      <c r="H331" s="1" t="s">
        <v>7449</v>
      </c>
      <c r="I331" s="7">
        <v>45560</v>
      </c>
      <c r="J331" s="1" t="s">
        <v>7449</v>
      </c>
    </row>
    <row r="332" spans="1:10" x14ac:dyDescent="0.25">
      <c r="A332" s="1">
        <v>331</v>
      </c>
      <c r="B332" s="2" t="str">
        <f>_xlfn.CONCAT(C332,"-",VLOOKUP(C332,t_objeto!B:D,3,FALSE),"-",A332)</f>
        <v>KKMM-PERCCO-331</v>
      </c>
      <c r="C332" s="1" t="s">
        <v>7458</v>
      </c>
      <c r="D332" s="1" t="str">
        <f>VLOOKUP(C332,t_objeto!B:C,2,FALSE)</f>
        <v>KIT_MATERIAL</v>
      </c>
      <c r="E332" s="1">
        <v>8</v>
      </c>
      <c r="F332" s="1" t="str">
        <f>VLOOKUP(E332,t_entry_status!A:C,2,FALSE)</f>
        <v>PENDING</v>
      </c>
      <c r="G332" s="7">
        <v>45560</v>
      </c>
      <c r="H332" s="1" t="s">
        <v>7449</v>
      </c>
      <c r="I332" s="7">
        <v>45560</v>
      </c>
      <c r="J332" s="1" t="s">
        <v>7449</v>
      </c>
    </row>
    <row r="333" spans="1:10" x14ac:dyDescent="0.25">
      <c r="A333" s="1">
        <v>332</v>
      </c>
      <c r="B333" s="2" t="str">
        <f>_xlfn.CONCAT(C333,"-",VLOOKUP(C333,t_objeto!B:D,3,FALSE),"-",A333)</f>
        <v>KKMM-PERCCO-332</v>
      </c>
      <c r="C333" s="1" t="s">
        <v>7458</v>
      </c>
      <c r="D333" s="1" t="str">
        <f>VLOOKUP(C333,t_objeto!B:C,2,FALSE)</f>
        <v>KIT_MATERIAL</v>
      </c>
      <c r="E333" s="1">
        <v>8</v>
      </c>
      <c r="F333" s="1" t="str">
        <f>VLOOKUP(E333,t_entry_status!A:C,2,FALSE)</f>
        <v>PENDING</v>
      </c>
      <c r="G333" s="7">
        <v>45560</v>
      </c>
      <c r="H333" s="1" t="s">
        <v>7449</v>
      </c>
      <c r="I333" s="7">
        <v>45560</v>
      </c>
      <c r="J333" s="1" t="s">
        <v>7449</v>
      </c>
    </row>
    <row r="334" spans="1:10" x14ac:dyDescent="0.25">
      <c r="A334" s="1">
        <v>333</v>
      </c>
      <c r="B334" s="2" t="str">
        <f>_xlfn.CONCAT(C334,"-",VLOOKUP(C334,t_objeto!B:D,3,FALSE),"-",A334)</f>
        <v>KKMM-PERCCO-333</v>
      </c>
      <c r="C334" s="1" t="s">
        <v>7458</v>
      </c>
      <c r="D334" s="1" t="str">
        <f>VLOOKUP(C334,t_objeto!B:C,2,FALSE)</f>
        <v>KIT_MATERIAL</v>
      </c>
      <c r="E334" s="1">
        <v>8</v>
      </c>
      <c r="F334" s="1" t="str">
        <f>VLOOKUP(E334,t_entry_status!A:C,2,FALSE)</f>
        <v>PENDING</v>
      </c>
      <c r="G334" s="7">
        <v>45560</v>
      </c>
      <c r="H334" s="1" t="s">
        <v>7449</v>
      </c>
      <c r="I334" s="7">
        <v>45560</v>
      </c>
      <c r="J334" s="1" t="s">
        <v>7449</v>
      </c>
    </row>
    <row r="335" spans="1:10" x14ac:dyDescent="0.25">
      <c r="A335" s="1">
        <v>334</v>
      </c>
      <c r="B335" s="2" t="str">
        <f>_xlfn.CONCAT(C335,"-",VLOOKUP(C335,t_objeto!B:D,3,FALSE),"-",A335)</f>
        <v>KKMM-PERCCO-334</v>
      </c>
      <c r="C335" s="1" t="s">
        <v>7458</v>
      </c>
      <c r="D335" s="1" t="str">
        <f>VLOOKUP(C335,t_objeto!B:C,2,FALSE)</f>
        <v>KIT_MATERIAL</v>
      </c>
      <c r="E335" s="1">
        <v>8</v>
      </c>
      <c r="F335" s="1" t="str">
        <f>VLOOKUP(E335,t_entry_status!A:C,2,FALSE)</f>
        <v>PENDING</v>
      </c>
      <c r="G335" s="7">
        <v>45560</v>
      </c>
      <c r="H335" s="1" t="s">
        <v>7449</v>
      </c>
      <c r="I335" s="7">
        <v>45560</v>
      </c>
      <c r="J335" s="1" t="s">
        <v>7449</v>
      </c>
    </row>
    <row r="336" spans="1:10" x14ac:dyDescent="0.25">
      <c r="A336" s="1">
        <v>335</v>
      </c>
      <c r="B336" s="2" t="str">
        <f>_xlfn.CONCAT(C336,"-",VLOOKUP(C336,t_objeto!B:D,3,FALSE),"-",A336)</f>
        <v>KKMM-PERCCO-335</v>
      </c>
      <c r="C336" s="1" t="s">
        <v>7458</v>
      </c>
      <c r="D336" s="1" t="str">
        <f>VLOOKUP(C336,t_objeto!B:C,2,FALSE)</f>
        <v>KIT_MATERIAL</v>
      </c>
      <c r="E336" s="1">
        <v>8</v>
      </c>
      <c r="F336" s="1" t="str">
        <f>VLOOKUP(E336,t_entry_status!A:C,2,FALSE)</f>
        <v>PENDING</v>
      </c>
      <c r="G336" s="7">
        <v>45560</v>
      </c>
      <c r="H336" s="1" t="s">
        <v>7449</v>
      </c>
      <c r="I336" s="7">
        <v>45560</v>
      </c>
      <c r="J336" s="1" t="s">
        <v>7449</v>
      </c>
    </row>
    <row r="337" spans="1:10" x14ac:dyDescent="0.25">
      <c r="A337" s="1">
        <v>336</v>
      </c>
      <c r="B337" s="2" t="str">
        <f>_xlfn.CONCAT(C337,"-",VLOOKUP(C337,t_objeto!B:D,3,FALSE),"-",A337)</f>
        <v>KKMM-PERCCO-336</v>
      </c>
      <c r="C337" s="1" t="s">
        <v>7458</v>
      </c>
      <c r="D337" s="1" t="str">
        <f>VLOOKUP(C337,t_objeto!B:C,2,FALSE)</f>
        <v>KIT_MATERIAL</v>
      </c>
      <c r="E337" s="1">
        <v>8</v>
      </c>
      <c r="F337" s="1" t="str">
        <f>VLOOKUP(E337,t_entry_status!A:C,2,FALSE)</f>
        <v>PENDING</v>
      </c>
      <c r="G337" s="7">
        <v>45560</v>
      </c>
      <c r="H337" s="1" t="s">
        <v>7449</v>
      </c>
      <c r="I337" s="7">
        <v>45560</v>
      </c>
      <c r="J337" s="1" t="s">
        <v>7449</v>
      </c>
    </row>
    <row r="338" spans="1:10" x14ac:dyDescent="0.25">
      <c r="A338" s="1">
        <v>337</v>
      </c>
      <c r="B338" s="2" t="str">
        <f>_xlfn.CONCAT(C338,"-",VLOOKUP(C338,t_objeto!B:D,3,FALSE),"-",A338)</f>
        <v>KKMM-PERCCO-337</v>
      </c>
      <c r="C338" s="1" t="s">
        <v>7458</v>
      </c>
      <c r="D338" s="1" t="str">
        <f>VLOOKUP(C338,t_objeto!B:C,2,FALSE)</f>
        <v>KIT_MATERIAL</v>
      </c>
      <c r="E338" s="1">
        <v>8</v>
      </c>
      <c r="F338" s="1" t="str">
        <f>VLOOKUP(E338,t_entry_status!A:C,2,FALSE)</f>
        <v>PENDING</v>
      </c>
      <c r="G338" s="7">
        <v>45560</v>
      </c>
      <c r="H338" s="1" t="s">
        <v>7449</v>
      </c>
      <c r="I338" s="7">
        <v>45560</v>
      </c>
      <c r="J338" s="1" t="s">
        <v>7449</v>
      </c>
    </row>
    <row r="339" spans="1:10" x14ac:dyDescent="0.25">
      <c r="A339" s="1">
        <v>338</v>
      </c>
      <c r="B339" s="2" t="str">
        <f>_xlfn.CONCAT(C339,"-",VLOOKUP(C339,t_objeto!B:D,3,FALSE),"-",A339)</f>
        <v>KKMM-PERCCO-338</v>
      </c>
      <c r="C339" s="1" t="s">
        <v>7458</v>
      </c>
      <c r="D339" s="1" t="str">
        <f>VLOOKUP(C339,t_objeto!B:C,2,FALSE)</f>
        <v>KIT_MATERIAL</v>
      </c>
      <c r="E339" s="1">
        <v>8</v>
      </c>
      <c r="F339" s="1" t="str">
        <f>VLOOKUP(E339,t_entry_status!A:C,2,FALSE)</f>
        <v>PENDING</v>
      </c>
      <c r="G339" s="7">
        <v>45560</v>
      </c>
      <c r="H339" s="1" t="s">
        <v>7449</v>
      </c>
      <c r="I339" s="7">
        <v>45560</v>
      </c>
      <c r="J339" s="1" t="s">
        <v>7449</v>
      </c>
    </row>
    <row r="340" spans="1:10" x14ac:dyDescent="0.25">
      <c r="A340" s="1">
        <v>339</v>
      </c>
      <c r="B340" s="2" t="str">
        <f>_xlfn.CONCAT(C340,"-",VLOOKUP(C340,t_objeto!B:D,3,FALSE),"-",A340)</f>
        <v>KKMM-PERCCO-339</v>
      </c>
      <c r="C340" s="1" t="s">
        <v>7458</v>
      </c>
      <c r="D340" s="1" t="str">
        <f>VLOOKUP(C340,t_objeto!B:C,2,FALSE)</f>
        <v>KIT_MATERIAL</v>
      </c>
      <c r="E340" s="1">
        <v>8</v>
      </c>
      <c r="F340" s="1" t="str">
        <f>VLOOKUP(E340,t_entry_status!A:C,2,FALSE)</f>
        <v>PENDING</v>
      </c>
      <c r="G340" s="7">
        <v>45560</v>
      </c>
      <c r="H340" s="1" t="s">
        <v>7449</v>
      </c>
      <c r="I340" s="7">
        <v>45560</v>
      </c>
      <c r="J340" s="1" t="s">
        <v>7449</v>
      </c>
    </row>
    <row r="341" spans="1:10" x14ac:dyDescent="0.25">
      <c r="A341" s="1">
        <v>340</v>
      </c>
      <c r="B341" s="2" t="str">
        <f>_xlfn.CONCAT(C341,"-",VLOOKUP(C341,t_objeto!B:D,3,FALSE),"-",A341)</f>
        <v>KKMM-PERCCO-340</v>
      </c>
      <c r="C341" s="1" t="s">
        <v>7458</v>
      </c>
      <c r="D341" s="1" t="str">
        <f>VLOOKUP(C341,t_objeto!B:C,2,FALSE)</f>
        <v>KIT_MATERIAL</v>
      </c>
      <c r="E341" s="1">
        <v>8</v>
      </c>
      <c r="F341" s="1" t="str">
        <f>VLOOKUP(E341,t_entry_status!A:C,2,FALSE)</f>
        <v>PENDING</v>
      </c>
      <c r="G341" s="7">
        <v>45560</v>
      </c>
      <c r="H341" s="1" t="s">
        <v>7449</v>
      </c>
      <c r="I341" s="7">
        <v>45560</v>
      </c>
      <c r="J341" s="1" t="s">
        <v>7449</v>
      </c>
    </row>
    <row r="342" spans="1:10" x14ac:dyDescent="0.25">
      <c r="A342" s="1">
        <v>341</v>
      </c>
      <c r="B342" s="2" t="str">
        <f>_xlfn.CONCAT(C342,"-",VLOOKUP(C342,t_objeto!B:D,3,FALSE),"-",A342)</f>
        <v>KKMM-PERCCO-341</v>
      </c>
      <c r="C342" s="1" t="s">
        <v>7458</v>
      </c>
      <c r="D342" s="1" t="str">
        <f>VLOOKUP(C342,t_objeto!B:C,2,FALSE)</f>
        <v>KIT_MATERIAL</v>
      </c>
      <c r="E342" s="1">
        <v>8</v>
      </c>
      <c r="F342" s="1" t="str">
        <f>VLOOKUP(E342,t_entry_status!A:C,2,FALSE)</f>
        <v>PENDING</v>
      </c>
      <c r="G342" s="7">
        <v>45560</v>
      </c>
      <c r="H342" s="1" t="s">
        <v>7449</v>
      </c>
      <c r="I342" s="7">
        <v>45560</v>
      </c>
      <c r="J342" s="1" t="s">
        <v>7449</v>
      </c>
    </row>
    <row r="343" spans="1:10" x14ac:dyDescent="0.25">
      <c r="A343" s="1">
        <v>342</v>
      </c>
      <c r="B343" s="2" t="str">
        <f>_xlfn.CONCAT(C343,"-",VLOOKUP(C343,t_objeto!B:D,3,FALSE),"-",A343)</f>
        <v>KKMM-PERCCO-342</v>
      </c>
      <c r="C343" s="1" t="s">
        <v>7458</v>
      </c>
      <c r="D343" s="1" t="str">
        <f>VLOOKUP(C343,t_objeto!B:C,2,FALSE)</f>
        <v>KIT_MATERIAL</v>
      </c>
      <c r="E343" s="1">
        <v>8</v>
      </c>
      <c r="F343" s="1" t="str">
        <f>VLOOKUP(E343,t_entry_status!A:C,2,FALSE)</f>
        <v>PENDING</v>
      </c>
      <c r="G343" s="7">
        <v>45560</v>
      </c>
      <c r="H343" s="1" t="s">
        <v>7449</v>
      </c>
      <c r="I343" s="7">
        <v>45560</v>
      </c>
      <c r="J343" s="1" t="s">
        <v>7449</v>
      </c>
    </row>
    <row r="344" spans="1:10" x14ac:dyDescent="0.25">
      <c r="A344" s="1">
        <v>343</v>
      </c>
      <c r="B344" s="2" t="str">
        <f>_xlfn.CONCAT(C344,"-",VLOOKUP(C344,t_objeto!B:D,3,FALSE),"-",A344)</f>
        <v>KKMM-PERCCO-343</v>
      </c>
      <c r="C344" s="1" t="s">
        <v>7458</v>
      </c>
      <c r="D344" s="1" t="str">
        <f>VLOOKUP(C344,t_objeto!B:C,2,FALSE)</f>
        <v>KIT_MATERIAL</v>
      </c>
      <c r="E344" s="1">
        <v>8</v>
      </c>
      <c r="F344" s="1" t="str">
        <f>VLOOKUP(E344,t_entry_status!A:C,2,FALSE)</f>
        <v>PENDING</v>
      </c>
      <c r="G344" s="7">
        <v>45560</v>
      </c>
      <c r="H344" s="1" t="s">
        <v>7449</v>
      </c>
      <c r="I344" s="7">
        <v>45560</v>
      </c>
      <c r="J344" s="1" t="s">
        <v>7449</v>
      </c>
    </row>
    <row r="345" spans="1:10" x14ac:dyDescent="0.25">
      <c r="A345" s="1">
        <v>344</v>
      </c>
      <c r="B345" s="2" t="str">
        <f>_xlfn.CONCAT(C345,"-",VLOOKUP(C345,t_objeto!B:D,3,FALSE),"-",A345)</f>
        <v>KKMM-PERCCO-344</v>
      </c>
      <c r="C345" s="1" t="s">
        <v>7458</v>
      </c>
      <c r="D345" s="1" t="str">
        <f>VLOOKUP(C345,t_objeto!B:C,2,FALSE)</f>
        <v>KIT_MATERIAL</v>
      </c>
      <c r="E345" s="1">
        <v>8</v>
      </c>
      <c r="F345" s="1" t="str">
        <f>VLOOKUP(E345,t_entry_status!A:C,2,FALSE)</f>
        <v>PENDING</v>
      </c>
      <c r="G345" s="7">
        <v>45560</v>
      </c>
      <c r="H345" s="1" t="s">
        <v>7449</v>
      </c>
      <c r="I345" s="7">
        <v>45560</v>
      </c>
      <c r="J345" s="1" t="s">
        <v>7449</v>
      </c>
    </row>
    <row r="346" spans="1:10" x14ac:dyDescent="0.25">
      <c r="A346" s="1">
        <v>345</v>
      </c>
      <c r="B346" s="2" t="str">
        <f>_xlfn.CONCAT(C346,"-",VLOOKUP(C346,t_objeto!B:D,3,FALSE),"-",A346)</f>
        <v>KKMM-PERCCO-345</v>
      </c>
      <c r="C346" s="1" t="s">
        <v>7458</v>
      </c>
      <c r="D346" s="1" t="str">
        <f>VLOOKUP(C346,t_objeto!B:C,2,FALSE)</f>
        <v>KIT_MATERIAL</v>
      </c>
      <c r="E346" s="1">
        <v>8</v>
      </c>
      <c r="F346" s="1" t="str">
        <f>VLOOKUP(E346,t_entry_status!A:C,2,FALSE)</f>
        <v>PENDING</v>
      </c>
      <c r="G346" s="7">
        <v>45560</v>
      </c>
      <c r="H346" s="1" t="s">
        <v>7449</v>
      </c>
      <c r="I346" s="7">
        <v>45560</v>
      </c>
      <c r="J346" s="1" t="s">
        <v>7449</v>
      </c>
    </row>
    <row r="347" spans="1:10" x14ac:dyDescent="0.25">
      <c r="A347" s="1">
        <v>346</v>
      </c>
      <c r="B347" s="2" t="str">
        <f>_xlfn.CONCAT(C347,"-",VLOOKUP(C347,t_objeto!B:D,3,FALSE),"-",A347)</f>
        <v>KKMM-PERCCO-346</v>
      </c>
      <c r="C347" s="1" t="s">
        <v>7458</v>
      </c>
      <c r="D347" s="1" t="str">
        <f>VLOOKUP(C347,t_objeto!B:C,2,FALSE)</f>
        <v>KIT_MATERIAL</v>
      </c>
      <c r="E347" s="1">
        <v>8</v>
      </c>
      <c r="F347" s="1" t="str">
        <f>VLOOKUP(E347,t_entry_status!A:C,2,FALSE)</f>
        <v>PENDING</v>
      </c>
      <c r="G347" s="7">
        <v>45560</v>
      </c>
      <c r="H347" s="1" t="s">
        <v>7449</v>
      </c>
      <c r="I347" s="7">
        <v>45560</v>
      </c>
      <c r="J347" s="1" t="s">
        <v>7449</v>
      </c>
    </row>
    <row r="348" spans="1:10" x14ac:dyDescent="0.25">
      <c r="A348" s="1">
        <v>347</v>
      </c>
      <c r="B348" s="2" t="str">
        <f>_xlfn.CONCAT(C348,"-",VLOOKUP(C348,t_objeto!B:D,3,FALSE),"-",A348)</f>
        <v>KKMM-PERCCO-347</v>
      </c>
      <c r="C348" s="1" t="s">
        <v>7458</v>
      </c>
      <c r="D348" s="1" t="str">
        <f>VLOOKUP(C348,t_objeto!B:C,2,FALSE)</f>
        <v>KIT_MATERIAL</v>
      </c>
      <c r="E348" s="1">
        <v>8</v>
      </c>
      <c r="F348" s="1" t="str">
        <f>VLOOKUP(E348,t_entry_status!A:C,2,FALSE)</f>
        <v>PENDING</v>
      </c>
      <c r="G348" s="7">
        <v>45560</v>
      </c>
      <c r="H348" s="1" t="s">
        <v>7449</v>
      </c>
      <c r="I348" s="7">
        <v>45560</v>
      </c>
      <c r="J348" s="1" t="s">
        <v>7449</v>
      </c>
    </row>
    <row r="349" spans="1:10" x14ac:dyDescent="0.25">
      <c r="A349" s="1">
        <v>348</v>
      </c>
      <c r="B349" s="2" t="str">
        <f>_xlfn.CONCAT(C349,"-",VLOOKUP(C349,t_objeto!B:D,3,FALSE),"-",A349)</f>
        <v>KKMM-PERCCO-348</v>
      </c>
      <c r="C349" s="1" t="s">
        <v>7458</v>
      </c>
      <c r="D349" s="1" t="str">
        <f>VLOOKUP(C349,t_objeto!B:C,2,FALSE)</f>
        <v>KIT_MATERIAL</v>
      </c>
      <c r="E349" s="1">
        <v>8</v>
      </c>
      <c r="F349" s="1" t="str">
        <f>VLOOKUP(E349,t_entry_status!A:C,2,FALSE)</f>
        <v>PENDING</v>
      </c>
      <c r="G349" s="7">
        <v>45560</v>
      </c>
      <c r="H349" s="1" t="s">
        <v>7449</v>
      </c>
      <c r="I349" s="7">
        <v>45560</v>
      </c>
      <c r="J349" s="1" t="s">
        <v>7449</v>
      </c>
    </row>
    <row r="350" spans="1:10" x14ac:dyDescent="0.25">
      <c r="A350" s="1">
        <v>349</v>
      </c>
      <c r="B350" s="2" t="str">
        <f>_xlfn.CONCAT(C350,"-",VLOOKUP(C350,t_objeto!B:D,3,FALSE),"-",A350)</f>
        <v>KKMM-PERCCO-349</v>
      </c>
      <c r="C350" s="1" t="s">
        <v>7458</v>
      </c>
      <c r="D350" s="1" t="str">
        <f>VLOOKUP(C350,t_objeto!B:C,2,FALSE)</f>
        <v>KIT_MATERIAL</v>
      </c>
      <c r="E350" s="1">
        <v>8</v>
      </c>
      <c r="F350" s="1" t="str">
        <f>VLOOKUP(E350,t_entry_status!A:C,2,FALSE)</f>
        <v>PENDING</v>
      </c>
      <c r="G350" s="7">
        <v>45560</v>
      </c>
      <c r="H350" s="1" t="s">
        <v>7449</v>
      </c>
      <c r="I350" s="7">
        <v>45560</v>
      </c>
      <c r="J350" s="1" t="s">
        <v>7449</v>
      </c>
    </row>
    <row r="351" spans="1:10" x14ac:dyDescent="0.25">
      <c r="A351" s="1">
        <v>350</v>
      </c>
      <c r="B351" s="2" t="str">
        <f>_xlfn.CONCAT(C351,"-",VLOOKUP(C351,t_objeto!B:D,3,FALSE),"-",A351)</f>
        <v>KKMM-PERCCO-350</v>
      </c>
      <c r="C351" s="1" t="s">
        <v>7458</v>
      </c>
      <c r="D351" s="1" t="str">
        <f>VLOOKUP(C351,t_objeto!B:C,2,FALSE)</f>
        <v>KIT_MATERIAL</v>
      </c>
      <c r="E351" s="1">
        <v>8</v>
      </c>
      <c r="F351" s="1" t="str">
        <f>VLOOKUP(E351,t_entry_status!A:C,2,FALSE)</f>
        <v>PENDING</v>
      </c>
      <c r="G351" s="7">
        <v>45560</v>
      </c>
      <c r="H351" s="1" t="s">
        <v>7449</v>
      </c>
      <c r="I351" s="7">
        <v>45560</v>
      </c>
      <c r="J351" s="1" t="s">
        <v>7449</v>
      </c>
    </row>
    <row r="352" spans="1:10" x14ac:dyDescent="0.25">
      <c r="A352" s="1">
        <v>351</v>
      </c>
      <c r="B352" s="2" t="str">
        <f>_xlfn.CONCAT(C352,"-",VLOOKUP(C352,t_objeto!B:D,3,FALSE),"-",A352)</f>
        <v>KKMM-PERCCO-351</v>
      </c>
      <c r="C352" s="1" t="s">
        <v>7458</v>
      </c>
      <c r="D352" s="1" t="str">
        <f>VLOOKUP(C352,t_objeto!B:C,2,FALSE)</f>
        <v>KIT_MATERIAL</v>
      </c>
      <c r="E352" s="1">
        <v>8</v>
      </c>
      <c r="F352" s="1" t="str">
        <f>VLOOKUP(E352,t_entry_status!A:C,2,FALSE)</f>
        <v>PENDING</v>
      </c>
      <c r="G352" s="7">
        <v>45560</v>
      </c>
      <c r="H352" s="1" t="s">
        <v>7449</v>
      </c>
      <c r="I352" s="7">
        <v>45560</v>
      </c>
      <c r="J352" s="1" t="s">
        <v>7449</v>
      </c>
    </row>
    <row r="353" spans="1:10" x14ac:dyDescent="0.25">
      <c r="A353" s="1">
        <v>352</v>
      </c>
      <c r="B353" s="2" t="str">
        <f>_xlfn.CONCAT(C353,"-",VLOOKUP(C353,t_objeto!B:D,3,FALSE),"-",A353)</f>
        <v>KKMM-PERCCO-352</v>
      </c>
      <c r="C353" s="1" t="s">
        <v>7458</v>
      </c>
      <c r="D353" s="1" t="str">
        <f>VLOOKUP(C353,t_objeto!B:C,2,FALSE)</f>
        <v>KIT_MATERIAL</v>
      </c>
      <c r="E353" s="1">
        <v>8</v>
      </c>
      <c r="F353" s="1" t="str">
        <f>VLOOKUP(E353,t_entry_status!A:C,2,FALSE)</f>
        <v>PENDING</v>
      </c>
      <c r="G353" s="7">
        <v>45560</v>
      </c>
      <c r="H353" s="1" t="s">
        <v>7449</v>
      </c>
      <c r="I353" s="7">
        <v>45560</v>
      </c>
      <c r="J353" s="1" t="s">
        <v>7449</v>
      </c>
    </row>
    <row r="354" spans="1:10" x14ac:dyDescent="0.25">
      <c r="A354" s="1">
        <v>353</v>
      </c>
      <c r="B354" s="2" t="str">
        <f>_xlfn.CONCAT(C354,"-",VLOOKUP(C354,t_objeto!B:D,3,FALSE),"-",A354)</f>
        <v>KKMM-PERCCO-353</v>
      </c>
      <c r="C354" s="1" t="s">
        <v>7458</v>
      </c>
      <c r="D354" s="1" t="str">
        <f>VLOOKUP(C354,t_objeto!B:C,2,FALSE)</f>
        <v>KIT_MATERIAL</v>
      </c>
      <c r="E354" s="1">
        <v>8</v>
      </c>
      <c r="F354" s="1" t="str">
        <f>VLOOKUP(E354,t_entry_status!A:C,2,FALSE)</f>
        <v>PENDING</v>
      </c>
      <c r="G354" s="7">
        <v>45560</v>
      </c>
      <c r="H354" s="1" t="s">
        <v>7449</v>
      </c>
      <c r="I354" s="7">
        <v>45560</v>
      </c>
      <c r="J354" s="1" t="s">
        <v>7449</v>
      </c>
    </row>
    <row r="355" spans="1:10" x14ac:dyDescent="0.25">
      <c r="A355" s="1">
        <v>354</v>
      </c>
      <c r="B355" s="2" t="str">
        <f>_xlfn.CONCAT(C355,"-",VLOOKUP(C355,t_objeto!B:D,3,FALSE),"-",A355)</f>
        <v>KKMM-PERCCO-354</v>
      </c>
      <c r="C355" s="1" t="s">
        <v>7458</v>
      </c>
      <c r="D355" s="1" t="str">
        <f>VLOOKUP(C355,t_objeto!B:C,2,FALSE)</f>
        <v>KIT_MATERIAL</v>
      </c>
      <c r="E355" s="1">
        <v>8</v>
      </c>
      <c r="F355" s="1" t="str">
        <f>VLOOKUP(E355,t_entry_status!A:C,2,FALSE)</f>
        <v>PENDING</v>
      </c>
      <c r="G355" s="7">
        <v>45560</v>
      </c>
      <c r="H355" s="1" t="s">
        <v>7449</v>
      </c>
      <c r="I355" s="7">
        <v>45560</v>
      </c>
      <c r="J355" s="1" t="s">
        <v>7449</v>
      </c>
    </row>
    <row r="356" spans="1:10" x14ac:dyDescent="0.25">
      <c r="A356" s="1">
        <v>355</v>
      </c>
      <c r="B356" s="2" t="str">
        <f>_xlfn.CONCAT(C356,"-",VLOOKUP(C356,t_objeto!B:D,3,FALSE),"-",A356)</f>
        <v>KKMM-PERCCO-355</v>
      </c>
      <c r="C356" s="1" t="s">
        <v>7458</v>
      </c>
      <c r="D356" s="1" t="str">
        <f>VLOOKUP(C356,t_objeto!B:C,2,FALSE)</f>
        <v>KIT_MATERIAL</v>
      </c>
      <c r="E356" s="1">
        <v>8</v>
      </c>
      <c r="F356" s="1" t="str">
        <f>VLOOKUP(E356,t_entry_status!A:C,2,FALSE)</f>
        <v>PENDING</v>
      </c>
      <c r="G356" s="7">
        <v>45560</v>
      </c>
      <c r="H356" s="1" t="s">
        <v>7449</v>
      </c>
      <c r="I356" s="7">
        <v>45560</v>
      </c>
      <c r="J356" s="1" t="s">
        <v>7449</v>
      </c>
    </row>
    <row r="357" spans="1:10" x14ac:dyDescent="0.25">
      <c r="A357" s="1">
        <v>356</v>
      </c>
      <c r="B357" s="2" t="str">
        <f>_xlfn.CONCAT(C357,"-",VLOOKUP(C357,t_objeto!B:D,3,FALSE),"-",A357)</f>
        <v>KKMM-PERCCO-356</v>
      </c>
      <c r="C357" s="1" t="s">
        <v>7458</v>
      </c>
      <c r="D357" s="1" t="str">
        <f>VLOOKUP(C357,t_objeto!B:C,2,FALSE)</f>
        <v>KIT_MATERIAL</v>
      </c>
      <c r="E357" s="1">
        <v>8</v>
      </c>
      <c r="F357" s="1" t="str">
        <f>VLOOKUP(E357,t_entry_status!A:C,2,FALSE)</f>
        <v>PENDING</v>
      </c>
      <c r="G357" s="7">
        <v>45560</v>
      </c>
      <c r="H357" s="1" t="s">
        <v>7449</v>
      </c>
      <c r="I357" s="7">
        <v>45560</v>
      </c>
      <c r="J357" s="1" t="s">
        <v>7449</v>
      </c>
    </row>
    <row r="358" spans="1:10" x14ac:dyDescent="0.25">
      <c r="A358" s="1">
        <v>357</v>
      </c>
      <c r="B358" s="2" t="str">
        <f>_xlfn.CONCAT(C358,"-",VLOOKUP(C358,t_objeto!B:D,3,FALSE),"-",A358)</f>
        <v>KKMM-PERCCO-357</v>
      </c>
      <c r="C358" s="1" t="s">
        <v>7458</v>
      </c>
      <c r="D358" s="1" t="str">
        <f>VLOOKUP(C358,t_objeto!B:C,2,FALSE)</f>
        <v>KIT_MATERIAL</v>
      </c>
      <c r="E358" s="1">
        <v>8</v>
      </c>
      <c r="F358" s="1" t="str">
        <f>VLOOKUP(E358,t_entry_status!A:C,2,FALSE)</f>
        <v>PENDING</v>
      </c>
      <c r="G358" s="7">
        <v>45560</v>
      </c>
      <c r="H358" s="1" t="s">
        <v>7449</v>
      </c>
      <c r="I358" s="7">
        <v>45560</v>
      </c>
      <c r="J358" s="1" t="s">
        <v>7449</v>
      </c>
    </row>
    <row r="359" spans="1:10" x14ac:dyDescent="0.25">
      <c r="A359" s="1">
        <v>358</v>
      </c>
      <c r="B359" s="2" t="str">
        <f>_xlfn.CONCAT(C359,"-",VLOOKUP(C359,t_objeto!B:D,3,FALSE),"-",A359)</f>
        <v>KKMM-PERCCO-358</v>
      </c>
      <c r="C359" s="1" t="s">
        <v>7458</v>
      </c>
      <c r="D359" s="1" t="str">
        <f>VLOOKUP(C359,t_objeto!B:C,2,FALSE)</f>
        <v>KIT_MATERIAL</v>
      </c>
      <c r="E359" s="1">
        <v>8</v>
      </c>
      <c r="F359" s="1" t="str">
        <f>VLOOKUP(E359,t_entry_status!A:C,2,FALSE)</f>
        <v>PENDING</v>
      </c>
      <c r="G359" s="7">
        <v>45560</v>
      </c>
      <c r="H359" s="1" t="s">
        <v>7449</v>
      </c>
      <c r="I359" s="7">
        <v>45560</v>
      </c>
      <c r="J359" s="1" t="s">
        <v>7449</v>
      </c>
    </row>
    <row r="360" spans="1:10" x14ac:dyDescent="0.25">
      <c r="A360" s="1">
        <v>359</v>
      </c>
      <c r="B360" s="2" t="str">
        <f>_xlfn.CONCAT(C360,"-",VLOOKUP(C360,t_objeto!B:D,3,FALSE),"-",A360)</f>
        <v>KKMM-PERCCO-359</v>
      </c>
      <c r="C360" s="1" t="s">
        <v>7458</v>
      </c>
      <c r="D360" s="1" t="str">
        <f>VLOOKUP(C360,t_objeto!B:C,2,FALSE)</f>
        <v>KIT_MATERIAL</v>
      </c>
      <c r="E360" s="1">
        <v>8</v>
      </c>
      <c r="F360" s="1" t="str">
        <f>VLOOKUP(E360,t_entry_status!A:C,2,FALSE)</f>
        <v>PENDING</v>
      </c>
      <c r="G360" s="7">
        <v>45560</v>
      </c>
      <c r="H360" s="1" t="s">
        <v>7449</v>
      </c>
      <c r="I360" s="7">
        <v>45560</v>
      </c>
      <c r="J360" s="1" t="s">
        <v>7449</v>
      </c>
    </row>
    <row r="361" spans="1:10" x14ac:dyDescent="0.25">
      <c r="A361" s="1">
        <v>360</v>
      </c>
      <c r="B361" s="2" t="str">
        <f>_xlfn.CONCAT(C361,"-",VLOOKUP(C361,t_objeto!B:D,3,FALSE),"-",A361)</f>
        <v>KKMM-PERCCO-360</v>
      </c>
      <c r="C361" s="1" t="s">
        <v>7458</v>
      </c>
      <c r="D361" s="1" t="str">
        <f>VLOOKUP(C361,t_objeto!B:C,2,FALSE)</f>
        <v>KIT_MATERIAL</v>
      </c>
      <c r="E361" s="1">
        <v>8</v>
      </c>
      <c r="F361" s="1" t="str">
        <f>VLOOKUP(E361,t_entry_status!A:C,2,FALSE)</f>
        <v>PENDING</v>
      </c>
      <c r="G361" s="7">
        <v>45560</v>
      </c>
      <c r="H361" s="1" t="s">
        <v>7449</v>
      </c>
      <c r="I361" s="7">
        <v>45560</v>
      </c>
      <c r="J361" s="1" t="s">
        <v>7449</v>
      </c>
    </row>
    <row r="362" spans="1:10" x14ac:dyDescent="0.25">
      <c r="A362" s="1">
        <v>361</v>
      </c>
      <c r="B362" s="2" t="str">
        <f>_xlfn.CONCAT(C362,"-",VLOOKUP(C362,t_objeto!B:D,3,FALSE),"-",A362)</f>
        <v>KKMM-PERCCO-361</v>
      </c>
      <c r="C362" s="1" t="s">
        <v>7458</v>
      </c>
      <c r="D362" s="1" t="str">
        <f>VLOOKUP(C362,t_objeto!B:C,2,FALSE)</f>
        <v>KIT_MATERIAL</v>
      </c>
      <c r="E362" s="1">
        <v>8</v>
      </c>
      <c r="F362" s="1" t="str">
        <f>VLOOKUP(E362,t_entry_status!A:C,2,FALSE)</f>
        <v>PENDING</v>
      </c>
      <c r="G362" s="7">
        <v>45560</v>
      </c>
      <c r="H362" s="1" t="s">
        <v>7449</v>
      </c>
      <c r="I362" s="7">
        <v>45560</v>
      </c>
      <c r="J362" s="1" t="s">
        <v>7449</v>
      </c>
    </row>
    <row r="363" spans="1:10" x14ac:dyDescent="0.25">
      <c r="A363" s="1">
        <v>362</v>
      </c>
      <c r="B363" s="2" t="str">
        <f>_xlfn.CONCAT(C363,"-",VLOOKUP(C363,t_objeto!B:D,3,FALSE),"-",A363)</f>
        <v>KKMM-PERCCO-362</v>
      </c>
      <c r="C363" s="1" t="s">
        <v>7458</v>
      </c>
      <c r="D363" s="1" t="str">
        <f>VLOOKUP(C363,t_objeto!B:C,2,FALSE)</f>
        <v>KIT_MATERIAL</v>
      </c>
      <c r="E363" s="1">
        <v>8</v>
      </c>
      <c r="F363" s="1" t="str">
        <f>VLOOKUP(E363,t_entry_status!A:C,2,FALSE)</f>
        <v>PENDING</v>
      </c>
      <c r="G363" s="7">
        <v>45560</v>
      </c>
      <c r="H363" s="1" t="s">
        <v>7449</v>
      </c>
      <c r="I363" s="7">
        <v>45560</v>
      </c>
      <c r="J363" s="1" t="s">
        <v>7449</v>
      </c>
    </row>
    <row r="364" spans="1:10" x14ac:dyDescent="0.25">
      <c r="A364" s="1">
        <v>363</v>
      </c>
      <c r="B364" s="2" t="str">
        <f>_xlfn.CONCAT(C364,"-",VLOOKUP(C364,t_objeto!B:D,3,FALSE),"-",A364)</f>
        <v>KKMM-PERCCO-363</v>
      </c>
      <c r="C364" s="1" t="s">
        <v>7458</v>
      </c>
      <c r="D364" s="1" t="str">
        <f>VLOOKUP(C364,t_objeto!B:C,2,FALSE)</f>
        <v>KIT_MATERIAL</v>
      </c>
      <c r="E364" s="1">
        <v>8</v>
      </c>
      <c r="F364" s="1" t="str">
        <f>VLOOKUP(E364,t_entry_status!A:C,2,FALSE)</f>
        <v>PENDING</v>
      </c>
      <c r="G364" s="7">
        <v>45560</v>
      </c>
      <c r="H364" s="1" t="s">
        <v>7449</v>
      </c>
      <c r="I364" s="7">
        <v>45560</v>
      </c>
      <c r="J364" s="1" t="s">
        <v>7449</v>
      </c>
    </row>
    <row r="365" spans="1:10" x14ac:dyDescent="0.25">
      <c r="A365" s="1">
        <v>364</v>
      </c>
      <c r="B365" s="2" t="str">
        <f>_xlfn.CONCAT(C365,"-",VLOOKUP(C365,t_objeto!B:D,3,FALSE),"-",A365)</f>
        <v>KKMM-PERCCO-364</v>
      </c>
      <c r="C365" s="1" t="s">
        <v>7458</v>
      </c>
      <c r="D365" s="1" t="str">
        <f>VLOOKUP(C365,t_objeto!B:C,2,FALSE)</f>
        <v>KIT_MATERIAL</v>
      </c>
      <c r="E365" s="1">
        <v>8</v>
      </c>
      <c r="F365" s="1" t="str">
        <f>VLOOKUP(E365,t_entry_status!A:C,2,FALSE)</f>
        <v>PENDING</v>
      </c>
      <c r="G365" s="7">
        <v>45560</v>
      </c>
      <c r="H365" s="1" t="s">
        <v>7449</v>
      </c>
      <c r="I365" s="7">
        <v>45560</v>
      </c>
      <c r="J365" s="1" t="s">
        <v>7449</v>
      </c>
    </row>
    <row r="366" spans="1:10" x14ac:dyDescent="0.25">
      <c r="A366" s="1">
        <v>365</v>
      </c>
      <c r="B366" s="2" t="str">
        <f>_xlfn.CONCAT(C366,"-",VLOOKUP(C366,t_objeto!B:D,3,FALSE),"-",A366)</f>
        <v>KKMM-PERCCO-365</v>
      </c>
      <c r="C366" s="1" t="s">
        <v>7458</v>
      </c>
      <c r="D366" s="1" t="str">
        <f>VLOOKUP(C366,t_objeto!B:C,2,FALSE)</f>
        <v>KIT_MATERIAL</v>
      </c>
      <c r="E366" s="1">
        <v>8</v>
      </c>
      <c r="F366" s="1" t="str">
        <f>VLOOKUP(E366,t_entry_status!A:C,2,FALSE)</f>
        <v>PENDING</v>
      </c>
      <c r="G366" s="7">
        <v>45560</v>
      </c>
      <c r="H366" s="1" t="s">
        <v>7449</v>
      </c>
      <c r="I366" s="7">
        <v>45560</v>
      </c>
      <c r="J366" s="1" t="s">
        <v>7449</v>
      </c>
    </row>
    <row r="367" spans="1:10" x14ac:dyDescent="0.25">
      <c r="A367" s="1">
        <v>366</v>
      </c>
      <c r="B367" s="2" t="str">
        <f>_xlfn.CONCAT(C367,"-",VLOOKUP(C367,t_objeto!B:D,3,FALSE),"-",A367)</f>
        <v>KKMM-PERCCO-366</v>
      </c>
      <c r="C367" s="1" t="s">
        <v>7458</v>
      </c>
      <c r="D367" s="1" t="str">
        <f>VLOOKUP(C367,t_objeto!B:C,2,FALSE)</f>
        <v>KIT_MATERIAL</v>
      </c>
      <c r="E367" s="1">
        <v>8</v>
      </c>
      <c r="F367" s="1" t="str">
        <f>VLOOKUP(E367,t_entry_status!A:C,2,FALSE)</f>
        <v>PENDING</v>
      </c>
      <c r="G367" s="7">
        <v>45560</v>
      </c>
      <c r="H367" s="1" t="s">
        <v>7449</v>
      </c>
      <c r="I367" s="7">
        <v>45560</v>
      </c>
      <c r="J367" s="1" t="s">
        <v>7449</v>
      </c>
    </row>
    <row r="368" spans="1:10" x14ac:dyDescent="0.25">
      <c r="A368" s="1">
        <v>367</v>
      </c>
      <c r="B368" s="2" t="str">
        <f>_xlfn.CONCAT(C368,"-",VLOOKUP(C368,t_objeto!B:D,3,FALSE),"-",A368)</f>
        <v>KKMM-PERCCO-367</v>
      </c>
      <c r="C368" s="1" t="s">
        <v>7458</v>
      </c>
      <c r="D368" s="1" t="str">
        <f>VLOOKUP(C368,t_objeto!B:C,2,FALSE)</f>
        <v>KIT_MATERIAL</v>
      </c>
      <c r="E368" s="1">
        <v>8</v>
      </c>
      <c r="F368" s="1" t="str">
        <f>VLOOKUP(E368,t_entry_status!A:C,2,FALSE)</f>
        <v>PENDING</v>
      </c>
      <c r="G368" s="7">
        <v>45560</v>
      </c>
      <c r="H368" s="1" t="s">
        <v>7449</v>
      </c>
      <c r="I368" s="7">
        <v>45560</v>
      </c>
      <c r="J368" s="1" t="s">
        <v>7449</v>
      </c>
    </row>
    <row r="369" spans="1:10" x14ac:dyDescent="0.25">
      <c r="A369" s="1">
        <v>368</v>
      </c>
      <c r="B369" s="2" t="str">
        <f>_xlfn.CONCAT(C369,"-",VLOOKUP(C369,t_objeto!B:D,3,FALSE),"-",A369)</f>
        <v>KKMM-PERCCO-368</v>
      </c>
      <c r="C369" s="1" t="s">
        <v>7458</v>
      </c>
      <c r="D369" s="1" t="str">
        <f>VLOOKUP(C369,t_objeto!B:C,2,FALSE)</f>
        <v>KIT_MATERIAL</v>
      </c>
      <c r="E369" s="1">
        <v>8</v>
      </c>
      <c r="F369" s="1" t="str">
        <f>VLOOKUP(E369,t_entry_status!A:C,2,FALSE)</f>
        <v>PENDING</v>
      </c>
      <c r="G369" s="7">
        <v>45560</v>
      </c>
      <c r="H369" s="1" t="s">
        <v>7449</v>
      </c>
      <c r="I369" s="7">
        <v>45560</v>
      </c>
      <c r="J369" s="1" t="s">
        <v>7449</v>
      </c>
    </row>
    <row r="370" spans="1:10" x14ac:dyDescent="0.25">
      <c r="A370" s="1">
        <v>369</v>
      </c>
      <c r="B370" s="2" t="str">
        <f>_xlfn.CONCAT(C370,"-",VLOOKUP(C370,t_objeto!B:D,3,FALSE),"-",A370)</f>
        <v>KKMM-PERCCO-369</v>
      </c>
      <c r="C370" s="1" t="s">
        <v>7458</v>
      </c>
      <c r="D370" s="1" t="str">
        <f>VLOOKUP(C370,t_objeto!B:C,2,FALSE)</f>
        <v>KIT_MATERIAL</v>
      </c>
      <c r="E370" s="1">
        <v>8</v>
      </c>
      <c r="F370" s="1" t="str">
        <f>VLOOKUP(E370,t_entry_status!A:C,2,FALSE)</f>
        <v>PENDING</v>
      </c>
      <c r="G370" s="7">
        <v>45560</v>
      </c>
      <c r="H370" s="1" t="s">
        <v>7449</v>
      </c>
      <c r="I370" s="7">
        <v>45560</v>
      </c>
      <c r="J370" s="1" t="s">
        <v>7449</v>
      </c>
    </row>
    <row r="371" spans="1:10" x14ac:dyDescent="0.25">
      <c r="A371" s="1">
        <v>370</v>
      </c>
      <c r="B371" s="2" t="str">
        <f>_xlfn.CONCAT(C371,"-",VLOOKUP(C371,t_objeto!B:D,3,FALSE),"-",A371)</f>
        <v>KKMM-PERCCO-370</v>
      </c>
      <c r="C371" s="1" t="s">
        <v>7458</v>
      </c>
      <c r="D371" s="1" t="str">
        <f>VLOOKUP(C371,t_objeto!B:C,2,FALSE)</f>
        <v>KIT_MATERIAL</v>
      </c>
      <c r="E371" s="1">
        <v>8</v>
      </c>
      <c r="F371" s="1" t="str">
        <f>VLOOKUP(E371,t_entry_status!A:C,2,FALSE)</f>
        <v>PENDING</v>
      </c>
      <c r="G371" s="7">
        <v>45560</v>
      </c>
      <c r="H371" s="1" t="s">
        <v>7449</v>
      </c>
      <c r="I371" s="7">
        <v>45560</v>
      </c>
      <c r="J371" s="1" t="s">
        <v>7449</v>
      </c>
    </row>
    <row r="372" spans="1:10" x14ac:dyDescent="0.25">
      <c r="A372" s="1">
        <v>371</v>
      </c>
      <c r="B372" s="2" t="str">
        <f>_xlfn.CONCAT(C372,"-",VLOOKUP(C372,t_objeto!B:D,3,FALSE),"-",A372)</f>
        <v>KKMM-PERCCO-371</v>
      </c>
      <c r="C372" s="1" t="s">
        <v>7458</v>
      </c>
      <c r="D372" s="1" t="str">
        <f>VLOOKUP(C372,t_objeto!B:C,2,FALSE)</f>
        <v>KIT_MATERIAL</v>
      </c>
      <c r="E372" s="1">
        <v>8</v>
      </c>
      <c r="F372" s="1" t="str">
        <f>VLOOKUP(E372,t_entry_status!A:C,2,FALSE)</f>
        <v>PENDING</v>
      </c>
      <c r="G372" s="7">
        <v>45560</v>
      </c>
      <c r="H372" s="1" t="s">
        <v>7449</v>
      </c>
      <c r="I372" s="7">
        <v>45560</v>
      </c>
      <c r="J372" s="1" t="s">
        <v>7449</v>
      </c>
    </row>
    <row r="373" spans="1:10" x14ac:dyDescent="0.25">
      <c r="A373" s="1">
        <v>372</v>
      </c>
      <c r="B373" s="2" t="str">
        <f>_xlfn.CONCAT(C373,"-",VLOOKUP(C373,t_objeto!B:D,3,FALSE),"-",A373)</f>
        <v>KKMM-PERCCO-372</v>
      </c>
      <c r="C373" s="1" t="s">
        <v>7458</v>
      </c>
      <c r="D373" s="1" t="str">
        <f>VLOOKUP(C373,t_objeto!B:C,2,FALSE)</f>
        <v>KIT_MATERIAL</v>
      </c>
      <c r="E373" s="1">
        <v>8</v>
      </c>
      <c r="F373" s="1" t="str">
        <f>VLOOKUP(E373,t_entry_status!A:C,2,FALSE)</f>
        <v>PENDING</v>
      </c>
      <c r="G373" s="7">
        <v>45560</v>
      </c>
      <c r="H373" s="1" t="s">
        <v>7449</v>
      </c>
      <c r="I373" s="7">
        <v>45560</v>
      </c>
      <c r="J373" s="1" t="s">
        <v>7449</v>
      </c>
    </row>
    <row r="374" spans="1:10" x14ac:dyDescent="0.25">
      <c r="A374" s="1">
        <v>373</v>
      </c>
      <c r="B374" s="2" t="str">
        <f>_xlfn.CONCAT(C374,"-",VLOOKUP(C374,t_objeto!B:D,3,FALSE),"-",A374)</f>
        <v>KKMM-PERCCO-373</v>
      </c>
      <c r="C374" s="1" t="s">
        <v>7458</v>
      </c>
      <c r="D374" s="1" t="str">
        <f>VLOOKUP(C374,t_objeto!B:C,2,FALSE)</f>
        <v>KIT_MATERIAL</v>
      </c>
      <c r="E374" s="1">
        <v>8</v>
      </c>
      <c r="F374" s="1" t="str">
        <f>VLOOKUP(E374,t_entry_status!A:C,2,FALSE)</f>
        <v>PENDING</v>
      </c>
      <c r="G374" s="7">
        <v>45560</v>
      </c>
      <c r="H374" s="1" t="s">
        <v>7449</v>
      </c>
      <c r="I374" s="7">
        <v>45560</v>
      </c>
      <c r="J374" s="1" t="s">
        <v>7449</v>
      </c>
    </row>
    <row r="375" spans="1:10" x14ac:dyDescent="0.25">
      <c r="A375" s="1">
        <v>374</v>
      </c>
      <c r="B375" s="2" t="str">
        <f>_xlfn.CONCAT(C375,"-",VLOOKUP(C375,t_objeto!B:D,3,FALSE),"-",A375)</f>
        <v>KKMM-PERCCO-374</v>
      </c>
      <c r="C375" s="1" t="s">
        <v>7458</v>
      </c>
      <c r="D375" s="1" t="str">
        <f>VLOOKUP(C375,t_objeto!B:C,2,FALSE)</f>
        <v>KIT_MATERIAL</v>
      </c>
      <c r="E375" s="1">
        <v>8</v>
      </c>
      <c r="F375" s="1" t="str">
        <f>VLOOKUP(E375,t_entry_status!A:C,2,FALSE)</f>
        <v>PENDING</v>
      </c>
      <c r="G375" s="7">
        <v>45560</v>
      </c>
      <c r="H375" s="1" t="s">
        <v>7449</v>
      </c>
      <c r="I375" s="7">
        <v>45560</v>
      </c>
      <c r="J375" s="1" t="s">
        <v>7449</v>
      </c>
    </row>
    <row r="376" spans="1:10" x14ac:dyDescent="0.25">
      <c r="A376" s="1">
        <v>375</v>
      </c>
      <c r="B376" s="2" t="str">
        <f>_xlfn.CONCAT(C376,"-",VLOOKUP(C376,t_objeto!B:D,3,FALSE),"-",A376)</f>
        <v>KKMM-PERCCO-375</v>
      </c>
      <c r="C376" s="1" t="s">
        <v>7458</v>
      </c>
      <c r="D376" s="1" t="str">
        <f>VLOOKUP(C376,t_objeto!B:C,2,FALSE)</f>
        <v>KIT_MATERIAL</v>
      </c>
      <c r="E376" s="1">
        <v>8</v>
      </c>
      <c r="F376" s="1" t="str">
        <f>VLOOKUP(E376,t_entry_status!A:C,2,FALSE)</f>
        <v>PENDING</v>
      </c>
      <c r="G376" s="7">
        <v>45560</v>
      </c>
      <c r="H376" s="1" t="s">
        <v>7449</v>
      </c>
      <c r="I376" s="7">
        <v>45560</v>
      </c>
      <c r="J376" s="1" t="s">
        <v>7449</v>
      </c>
    </row>
    <row r="377" spans="1:10" x14ac:dyDescent="0.25">
      <c r="A377" s="1">
        <v>376</v>
      </c>
      <c r="B377" s="2" t="str">
        <f>_xlfn.CONCAT(C377,"-",VLOOKUP(C377,t_objeto!B:D,3,FALSE),"-",A377)</f>
        <v>KKMM-PERCCO-376</v>
      </c>
      <c r="C377" s="1" t="s">
        <v>7458</v>
      </c>
      <c r="D377" s="1" t="str">
        <f>VLOOKUP(C377,t_objeto!B:C,2,FALSE)</f>
        <v>KIT_MATERIAL</v>
      </c>
      <c r="E377" s="1">
        <v>8</v>
      </c>
      <c r="F377" s="1" t="str">
        <f>VLOOKUP(E377,t_entry_status!A:C,2,FALSE)</f>
        <v>PENDING</v>
      </c>
      <c r="G377" s="7">
        <v>45560</v>
      </c>
      <c r="H377" s="1" t="s">
        <v>7449</v>
      </c>
      <c r="I377" s="7">
        <v>45560</v>
      </c>
      <c r="J377" s="1" t="s">
        <v>7449</v>
      </c>
    </row>
    <row r="378" spans="1:10" x14ac:dyDescent="0.25">
      <c r="A378" s="1">
        <v>377</v>
      </c>
      <c r="B378" s="2" t="str">
        <f>_xlfn.CONCAT(C378,"-",VLOOKUP(C378,t_objeto!B:D,3,FALSE),"-",A378)</f>
        <v>KKMM-PERCCO-377</v>
      </c>
      <c r="C378" s="1" t="s">
        <v>7458</v>
      </c>
      <c r="D378" s="1" t="str">
        <f>VLOOKUP(C378,t_objeto!B:C,2,FALSE)</f>
        <v>KIT_MATERIAL</v>
      </c>
      <c r="E378" s="1">
        <v>8</v>
      </c>
      <c r="F378" s="1" t="str">
        <f>VLOOKUP(E378,t_entry_status!A:C,2,FALSE)</f>
        <v>PENDING</v>
      </c>
      <c r="G378" s="7">
        <v>45560</v>
      </c>
      <c r="H378" s="1" t="s">
        <v>7449</v>
      </c>
      <c r="I378" s="7">
        <v>45560</v>
      </c>
      <c r="J378" s="1" t="s">
        <v>7449</v>
      </c>
    </row>
    <row r="379" spans="1:10" x14ac:dyDescent="0.25">
      <c r="A379" s="1">
        <v>378</v>
      </c>
      <c r="B379" s="2" t="str">
        <f>_xlfn.CONCAT(C379,"-",VLOOKUP(C379,t_objeto!B:D,3,FALSE),"-",A379)</f>
        <v>KKMM-PERCCO-378</v>
      </c>
      <c r="C379" s="1" t="s">
        <v>7458</v>
      </c>
      <c r="D379" s="1" t="str">
        <f>VLOOKUP(C379,t_objeto!B:C,2,FALSE)</f>
        <v>KIT_MATERIAL</v>
      </c>
      <c r="E379" s="1">
        <v>8</v>
      </c>
      <c r="F379" s="1" t="str">
        <f>VLOOKUP(E379,t_entry_status!A:C,2,FALSE)</f>
        <v>PENDING</v>
      </c>
      <c r="G379" s="7">
        <v>45560</v>
      </c>
      <c r="H379" s="1" t="s">
        <v>7449</v>
      </c>
      <c r="I379" s="7">
        <v>45560</v>
      </c>
      <c r="J379" s="1" t="s">
        <v>7449</v>
      </c>
    </row>
    <row r="380" spans="1:10" x14ac:dyDescent="0.25">
      <c r="A380" s="1">
        <v>379</v>
      </c>
      <c r="B380" s="2" t="str">
        <f>_xlfn.CONCAT(C380,"-",VLOOKUP(C380,t_objeto!B:D,3,FALSE),"-",A380)</f>
        <v>KKMM-PERCCO-379</v>
      </c>
      <c r="C380" s="1" t="s">
        <v>7458</v>
      </c>
      <c r="D380" s="1" t="str">
        <f>VLOOKUP(C380,t_objeto!B:C,2,FALSE)</f>
        <v>KIT_MATERIAL</v>
      </c>
      <c r="E380" s="1">
        <v>8</v>
      </c>
      <c r="F380" s="1" t="str">
        <f>VLOOKUP(E380,t_entry_status!A:C,2,FALSE)</f>
        <v>PENDING</v>
      </c>
      <c r="G380" s="7">
        <v>45560</v>
      </c>
      <c r="H380" s="1" t="s">
        <v>7449</v>
      </c>
      <c r="I380" s="7">
        <v>45560</v>
      </c>
      <c r="J380" s="1" t="s">
        <v>7449</v>
      </c>
    </row>
    <row r="381" spans="1:10" x14ac:dyDescent="0.25">
      <c r="A381" s="1">
        <v>380</v>
      </c>
      <c r="B381" s="2" t="str">
        <f>_xlfn.CONCAT(C381,"-",VLOOKUP(C381,t_objeto!B:D,3,FALSE),"-",A381)</f>
        <v>KKMM-PERCCO-380</v>
      </c>
      <c r="C381" s="1" t="s">
        <v>7458</v>
      </c>
      <c r="D381" s="1" t="str">
        <f>VLOOKUP(C381,t_objeto!B:C,2,FALSE)</f>
        <v>KIT_MATERIAL</v>
      </c>
      <c r="E381" s="1">
        <v>8</v>
      </c>
      <c r="F381" s="1" t="str">
        <f>VLOOKUP(E381,t_entry_status!A:C,2,FALSE)</f>
        <v>PENDING</v>
      </c>
      <c r="G381" s="7">
        <v>45560</v>
      </c>
      <c r="H381" s="1" t="s">
        <v>7449</v>
      </c>
      <c r="I381" s="7">
        <v>45560</v>
      </c>
      <c r="J381" s="1" t="s">
        <v>7449</v>
      </c>
    </row>
    <row r="382" spans="1:10" x14ac:dyDescent="0.25">
      <c r="A382" s="1">
        <v>381</v>
      </c>
      <c r="B382" s="2" t="str">
        <f>_xlfn.CONCAT(C382,"-",VLOOKUP(C382,t_objeto!B:D,3,FALSE),"-",A382)</f>
        <v>KKMM-PERCCO-381</v>
      </c>
      <c r="C382" s="1" t="s">
        <v>7458</v>
      </c>
      <c r="D382" s="1" t="str">
        <f>VLOOKUP(C382,t_objeto!B:C,2,FALSE)</f>
        <v>KIT_MATERIAL</v>
      </c>
      <c r="E382" s="1">
        <v>8</v>
      </c>
      <c r="F382" s="1" t="str">
        <f>VLOOKUP(E382,t_entry_status!A:C,2,FALSE)</f>
        <v>PENDING</v>
      </c>
      <c r="G382" s="7">
        <v>45560</v>
      </c>
      <c r="H382" s="1" t="s">
        <v>7449</v>
      </c>
      <c r="I382" s="7">
        <v>45560</v>
      </c>
      <c r="J382" s="1" t="s">
        <v>7449</v>
      </c>
    </row>
    <row r="383" spans="1:10" x14ac:dyDescent="0.25">
      <c r="A383" s="1">
        <v>382</v>
      </c>
      <c r="B383" s="2" t="str">
        <f>_xlfn.CONCAT(C383,"-",VLOOKUP(C383,t_objeto!B:D,3,FALSE),"-",A383)</f>
        <v>KKMM-PERCCO-382</v>
      </c>
      <c r="C383" s="1" t="s">
        <v>7458</v>
      </c>
      <c r="D383" s="1" t="str">
        <f>VLOOKUP(C383,t_objeto!B:C,2,FALSE)</f>
        <v>KIT_MATERIAL</v>
      </c>
      <c r="E383" s="1">
        <v>8</v>
      </c>
      <c r="F383" s="1" t="str">
        <f>VLOOKUP(E383,t_entry_status!A:C,2,FALSE)</f>
        <v>PENDING</v>
      </c>
      <c r="G383" s="7">
        <v>45560</v>
      </c>
      <c r="H383" s="1" t="s">
        <v>7449</v>
      </c>
      <c r="I383" s="7">
        <v>45560</v>
      </c>
      <c r="J383" s="1" t="s">
        <v>7449</v>
      </c>
    </row>
    <row r="384" spans="1:10" x14ac:dyDescent="0.25">
      <c r="A384" s="1">
        <v>383</v>
      </c>
      <c r="B384" s="2" t="str">
        <f>_xlfn.CONCAT(C384,"-",VLOOKUP(C384,t_objeto!B:D,3,FALSE),"-",A384)</f>
        <v>KKMM-PERCCO-383</v>
      </c>
      <c r="C384" s="1" t="s">
        <v>7458</v>
      </c>
      <c r="D384" s="1" t="str">
        <f>VLOOKUP(C384,t_objeto!B:C,2,FALSE)</f>
        <v>KIT_MATERIAL</v>
      </c>
      <c r="E384" s="1">
        <v>8</v>
      </c>
      <c r="F384" s="1" t="str">
        <f>VLOOKUP(E384,t_entry_status!A:C,2,FALSE)</f>
        <v>PENDING</v>
      </c>
      <c r="G384" s="7">
        <v>45560</v>
      </c>
      <c r="H384" s="1" t="s">
        <v>7449</v>
      </c>
      <c r="I384" s="7">
        <v>45560</v>
      </c>
      <c r="J384" s="1" t="s">
        <v>7449</v>
      </c>
    </row>
    <row r="385" spans="1:10" x14ac:dyDescent="0.25">
      <c r="A385" s="1">
        <v>384</v>
      </c>
      <c r="B385" s="2" t="str">
        <f>_xlfn.CONCAT(C385,"-",VLOOKUP(C385,t_objeto!B:D,3,FALSE),"-",A385)</f>
        <v>KKMM-PERCCO-384</v>
      </c>
      <c r="C385" s="1" t="s">
        <v>7458</v>
      </c>
      <c r="D385" s="1" t="str">
        <f>VLOOKUP(C385,t_objeto!B:C,2,FALSE)</f>
        <v>KIT_MATERIAL</v>
      </c>
      <c r="E385" s="1">
        <v>8</v>
      </c>
      <c r="F385" s="1" t="str">
        <f>VLOOKUP(E385,t_entry_status!A:C,2,FALSE)</f>
        <v>PENDING</v>
      </c>
      <c r="G385" s="7">
        <v>45560</v>
      </c>
      <c r="H385" s="1" t="s">
        <v>7449</v>
      </c>
      <c r="I385" s="7">
        <v>45560</v>
      </c>
      <c r="J385" s="1" t="s">
        <v>7449</v>
      </c>
    </row>
    <row r="386" spans="1:10" x14ac:dyDescent="0.25">
      <c r="A386" s="1">
        <v>385</v>
      </c>
      <c r="B386" s="2" t="str">
        <f>_xlfn.CONCAT(C386,"-",VLOOKUP(C386,t_objeto!B:D,3,FALSE),"-",A386)</f>
        <v>KKMM-PERCCO-385</v>
      </c>
      <c r="C386" s="1" t="s">
        <v>7458</v>
      </c>
      <c r="D386" s="1" t="str">
        <f>VLOOKUP(C386,t_objeto!B:C,2,FALSE)</f>
        <v>KIT_MATERIAL</v>
      </c>
      <c r="E386" s="1">
        <v>8</v>
      </c>
      <c r="F386" s="1" t="str">
        <f>VLOOKUP(E386,t_entry_status!A:C,2,FALSE)</f>
        <v>PENDING</v>
      </c>
      <c r="G386" s="7">
        <v>45560</v>
      </c>
      <c r="H386" s="1" t="s">
        <v>7449</v>
      </c>
      <c r="I386" s="7">
        <v>45560</v>
      </c>
      <c r="J386" s="1" t="s">
        <v>7449</v>
      </c>
    </row>
    <row r="387" spans="1:10" x14ac:dyDescent="0.25">
      <c r="A387" s="1">
        <v>386</v>
      </c>
      <c r="B387" s="2" t="str">
        <f>_xlfn.CONCAT(C387,"-",VLOOKUP(C387,t_objeto!B:D,3,FALSE),"-",A387)</f>
        <v>KKMM-PERCCO-386</v>
      </c>
      <c r="C387" s="1" t="s">
        <v>7458</v>
      </c>
      <c r="D387" s="1" t="str">
        <f>VLOOKUP(C387,t_objeto!B:C,2,FALSE)</f>
        <v>KIT_MATERIAL</v>
      </c>
      <c r="E387" s="1">
        <v>8</v>
      </c>
      <c r="F387" s="1" t="str">
        <f>VLOOKUP(E387,t_entry_status!A:C,2,FALSE)</f>
        <v>PENDING</v>
      </c>
      <c r="G387" s="7">
        <v>45560</v>
      </c>
      <c r="H387" s="1" t="s">
        <v>7449</v>
      </c>
      <c r="I387" s="7">
        <v>45560</v>
      </c>
      <c r="J387" s="1" t="s">
        <v>7449</v>
      </c>
    </row>
    <row r="388" spans="1:10" x14ac:dyDescent="0.25">
      <c r="A388" s="1">
        <v>387</v>
      </c>
      <c r="B388" s="2" t="str">
        <f>_xlfn.CONCAT(C388,"-",VLOOKUP(C388,t_objeto!B:D,3,FALSE),"-",A388)</f>
        <v>KKMM-PERCCO-387</v>
      </c>
      <c r="C388" s="1" t="s">
        <v>7458</v>
      </c>
      <c r="D388" s="1" t="str">
        <f>VLOOKUP(C388,t_objeto!B:C,2,FALSE)</f>
        <v>KIT_MATERIAL</v>
      </c>
      <c r="E388" s="1">
        <v>8</v>
      </c>
      <c r="F388" s="1" t="str">
        <f>VLOOKUP(E388,t_entry_status!A:C,2,FALSE)</f>
        <v>PENDING</v>
      </c>
      <c r="G388" s="7">
        <v>45560</v>
      </c>
      <c r="H388" s="1" t="s">
        <v>7449</v>
      </c>
      <c r="I388" s="7">
        <v>45560</v>
      </c>
      <c r="J388" s="1" t="s">
        <v>7449</v>
      </c>
    </row>
    <row r="389" spans="1:10" x14ac:dyDescent="0.25">
      <c r="A389" s="1">
        <v>388</v>
      </c>
      <c r="B389" s="2" t="str">
        <f>_xlfn.CONCAT(C389,"-",VLOOKUP(C389,t_objeto!B:D,3,FALSE),"-",A389)</f>
        <v>KKMM-PERCCO-388</v>
      </c>
      <c r="C389" s="1" t="s">
        <v>7458</v>
      </c>
      <c r="D389" s="1" t="str">
        <f>VLOOKUP(C389,t_objeto!B:C,2,FALSE)</f>
        <v>KIT_MATERIAL</v>
      </c>
      <c r="E389" s="1">
        <v>8</v>
      </c>
      <c r="F389" s="1" t="str">
        <f>VLOOKUP(E389,t_entry_status!A:C,2,FALSE)</f>
        <v>PENDING</v>
      </c>
      <c r="G389" s="7">
        <v>45560</v>
      </c>
      <c r="H389" s="1" t="s">
        <v>7449</v>
      </c>
      <c r="I389" s="7">
        <v>45560</v>
      </c>
      <c r="J389" s="1" t="s">
        <v>7449</v>
      </c>
    </row>
    <row r="390" spans="1:10" x14ac:dyDescent="0.25">
      <c r="A390" s="1">
        <v>389</v>
      </c>
      <c r="B390" s="2" t="str">
        <f>_xlfn.CONCAT(C390,"-",VLOOKUP(C390,t_objeto!B:D,3,FALSE),"-",A390)</f>
        <v>KKMM-PERCCO-389</v>
      </c>
      <c r="C390" s="1" t="s">
        <v>7458</v>
      </c>
      <c r="D390" s="1" t="str">
        <f>VLOOKUP(C390,t_objeto!B:C,2,FALSE)</f>
        <v>KIT_MATERIAL</v>
      </c>
      <c r="E390" s="1">
        <v>8</v>
      </c>
      <c r="F390" s="1" t="str">
        <f>VLOOKUP(E390,t_entry_status!A:C,2,FALSE)</f>
        <v>PENDING</v>
      </c>
      <c r="G390" s="7">
        <v>45560</v>
      </c>
      <c r="H390" s="1" t="s">
        <v>7449</v>
      </c>
      <c r="I390" s="7">
        <v>45560</v>
      </c>
      <c r="J390" s="1" t="s">
        <v>7449</v>
      </c>
    </row>
    <row r="391" spans="1:10" x14ac:dyDescent="0.25">
      <c r="A391" s="1">
        <v>390</v>
      </c>
      <c r="B391" s="2" t="str">
        <f>_xlfn.CONCAT(C391,"-",VLOOKUP(C391,t_objeto!B:D,3,FALSE),"-",A391)</f>
        <v>KKMM-PERCCO-390</v>
      </c>
      <c r="C391" s="1" t="s">
        <v>7458</v>
      </c>
      <c r="D391" s="1" t="str">
        <f>VLOOKUP(C391,t_objeto!B:C,2,FALSE)</f>
        <v>KIT_MATERIAL</v>
      </c>
      <c r="E391" s="1">
        <v>8</v>
      </c>
      <c r="F391" s="1" t="str">
        <f>VLOOKUP(E391,t_entry_status!A:C,2,FALSE)</f>
        <v>PENDING</v>
      </c>
      <c r="G391" s="7">
        <v>45560</v>
      </c>
      <c r="H391" s="1" t="s">
        <v>7449</v>
      </c>
      <c r="I391" s="7">
        <v>45560</v>
      </c>
      <c r="J391" s="1" t="s">
        <v>7449</v>
      </c>
    </row>
    <row r="392" spans="1:10" x14ac:dyDescent="0.25">
      <c r="A392" s="1">
        <v>391</v>
      </c>
      <c r="B392" s="2" t="str">
        <f>_xlfn.CONCAT(C392,"-",VLOOKUP(C392,t_objeto!B:D,3,FALSE),"-",A392)</f>
        <v>KKMM-PERCCO-391</v>
      </c>
      <c r="C392" s="1" t="s">
        <v>7458</v>
      </c>
      <c r="D392" s="1" t="str">
        <f>VLOOKUP(C392,t_objeto!B:C,2,FALSE)</f>
        <v>KIT_MATERIAL</v>
      </c>
      <c r="E392" s="1">
        <v>8</v>
      </c>
      <c r="F392" s="1" t="str">
        <f>VLOOKUP(E392,t_entry_status!A:C,2,FALSE)</f>
        <v>PENDING</v>
      </c>
      <c r="G392" s="7">
        <v>45560</v>
      </c>
      <c r="H392" s="1" t="s">
        <v>7449</v>
      </c>
      <c r="I392" s="7">
        <v>45560</v>
      </c>
      <c r="J392" s="1" t="s">
        <v>7449</v>
      </c>
    </row>
    <row r="393" spans="1:10" x14ac:dyDescent="0.25">
      <c r="A393" s="1">
        <v>392</v>
      </c>
      <c r="B393" s="2" t="str">
        <f>_xlfn.CONCAT(C393,"-",VLOOKUP(C393,t_objeto!B:D,3,FALSE),"-",A393)</f>
        <v>KKMM-PERCCO-392</v>
      </c>
      <c r="C393" s="1" t="s">
        <v>7458</v>
      </c>
      <c r="D393" s="1" t="str">
        <f>VLOOKUP(C393,t_objeto!B:C,2,FALSE)</f>
        <v>KIT_MATERIAL</v>
      </c>
      <c r="E393" s="1">
        <v>8</v>
      </c>
      <c r="F393" s="1" t="str">
        <f>VLOOKUP(E393,t_entry_status!A:C,2,FALSE)</f>
        <v>PENDING</v>
      </c>
      <c r="G393" s="7">
        <v>45560</v>
      </c>
      <c r="H393" s="1" t="s">
        <v>7449</v>
      </c>
      <c r="I393" s="7">
        <v>45560</v>
      </c>
      <c r="J393" s="1" t="s">
        <v>7449</v>
      </c>
    </row>
    <row r="394" spans="1:10" x14ac:dyDescent="0.25">
      <c r="A394" s="1">
        <v>393</v>
      </c>
      <c r="B394" s="2" t="str">
        <f>_xlfn.CONCAT(C394,"-",VLOOKUP(C394,t_objeto!B:D,3,FALSE),"-",A394)</f>
        <v>KKMM-PERCCO-393</v>
      </c>
      <c r="C394" s="1" t="s">
        <v>7458</v>
      </c>
      <c r="D394" s="1" t="str">
        <f>VLOOKUP(C394,t_objeto!B:C,2,FALSE)</f>
        <v>KIT_MATERIAL</v>
      </c>
      <c r="E394" s="1">
        <v>8</v>
      </c>
      <c r="F394" s="1" t="str">
        <f>VLOOKUP(E394,t_entry_status!A:C,2,FALSE)</f>
        <v>PENDING</v>
      </c>
      <c r="G394" s="7">
        <v>45560</v>
      </c>
      <c r="H394" s="1" t="s">
        <v>7449</v>
      </c>
      <c r="I394" s="7">
        <v>45560</v>
      </c>
      <c r="J394" s="1" t="s">
        <v>7449</v>
      </c>
    </row>
    <row r="395" spans="1:10" x14ac:dyDescent="0.25">
      <c r="A395" s="1">
        <v>394</v>
      </c>
      <c r="B395" s="2" t="str">
        <f>_xlfn.CONCAT(C395,"-",VLOOKUP(C395,t_objeto!B:D,3,FALSE),"-",A395)</f>
        <v>KKMM-PERCCO-394</v>
      </c>
      <c r="C395" s="1" t="s">
        <v>7458</v>
      </c>
      <c r="D395" s="1" t="str">
        <f>VLOOKUP(C395,t_objeto!B:C,2,FALSE)</f>
        <v>KIT_MATERIAL</v>
      </c>
      <c r="E395" s="1">
        <v>8</v>
      </c>
      <c r="F395" s="1" t="str">
        <f>VLOOKUP(E395,t_entry_status!A:C,2,FALSE)</f>
        <v>PENDING</v>
      </c>
      <c r="G395" s="7">
        <v>45560</v>
      </c>
      <c r="H395" s="1" t="s">
        <v>7449</v>
      </c>
      <c r="I395" s="7">
        <v>45560</v>
      </c>
      <c r="J395" s="1" t="s">
        <v>7449</v>
      </c>
    </row>
    <row r="396" spans="1:10" x14ac:dyDescent="0.25">
      <c r="A396" s="1">
        <v>395</v>
      </c>
      <c r="B396" s="2" t="str">
        <f>_xlfn.CONCAT(C396,"-",VLOOKUP(C396,t_objeto!B:D,3,FALSE),"-",A396)</f>
        <v>KKMM-PERCCO-395</v>
      </c>
      <c r="C396" s="1" t="s">
        <v>7458</v>
      </c>
      <c r="D396" s="1" t="str">
        <f>VLOOKUP(C396,t_objeto!B:C,2,FALSE)</f>
        <v>KIT_MATERIAL</v>
      </c>
      <c r="E396" s="1">
        <v>8</v>
      </c>
      <c r="F396" s="1" t="str">
        <f>VLOOKUP(E396,t_entry_status!A:C,2,FALSE)</f>
        <v>PENDING</v>
      </c>
      <c r="G396" s="7">
        <v>45560</v>
      </c>
      <c r="H396" s="1" t="s">
        <v>7449</v>
      </c>
      <c r="I396" s="7">
        <v>45560</v>
      </c>
      <c r="J396" s="1" t="s">
        <v>7449</v>
      </c>
    </row>
    <row r="397" spans="1:10" x14ac:dyDescent="0.25">
      <c r="A397" s="1">
        <v>396</v>
      </c>
      <c r="B397" s="2" t="str">
        <f>_xlfn.CONCAT(C397,"-",VLOOKUP(C397,t_objeto!B:D,3,FALSE),"-",A397)</f>
        <v>KKMM-PERCCO-396</v>
      </c>
      <c r="C397" s="1" t="s">
        <v>7458</v>
      </c>
      <c r="D397" s="1" t="str">
        <f>VLOOKUP(C397,t_objeto!B:C,2,FALSE)</f>
        <v>KIT_MATERIAL</v>
      </c>
      <c r="E397" s="1">
        <v>8</v>
      </c>
      <c r="F397" s="1" t="str">
        <f>VLOOKUP(E397,t_entry_status!A:C,2,FALSE)</f>
        <v>PENDING</v>
      </c>
      <c r="G397" s="7">
        <v>45560</v>
      </c>
      <c r="H397" s="1" t="s">
        <v>7449</v>
      </c>
      <c r="I397" s="7">
        <v>45560</v>
      </c>
      <c r="J397" s="1" t="s">
        <v>7449</v>
      </c>
    </row>
    <row r="398" spans="1:10" x14ac:dyDescent="0.25">
      <c r="A398" s="1">
        <v>397</v>
      </c>
      <c r="B398" s="2" t="str">
        <f>_xlfn.CONCAT(C398,"-",VLOOKUP(C398,t_objeto!B:D,3,FALSE),"-",A398)</f>
        <v>KKMM-PERCCO-397</v>
      </c>
      <c r="C398" s="1" t="s">
        <v>7458</v>
      </c>
      <c r="D398" s="1" t="str">
        <f>VLOOKUP(C398,t_objeto!B:C,2,FALSE)</f>
        <v>KIT_MATERIAL</v>
      </c>
      <c r="E398" s="1">
        <v>8</v>
      </c>
      <c r="F398" s="1" t="str">
        <f>VLOOKUP(E398,t_entry_status!A:C,2,FALSE)</f>
        <v>PENDING</v>
      </c>
      <c r="G398" s="7">
        <v>45560</v>
      </c>
      <c r="H398" s="1" t="s">
        <v>7449</v>
      </c>
      <c r="I398" s="7">
        <v>45560</v>
      </c>
      <c r="J398" s="1" t="s">
        <v>7449</v>
      </c>
    </row>
    <row r="399" spans="1:10" x14ac:dyDescent="0.25">
      <c r="A399" s="1">
        <v>398</v>
      </c>
      <c r="B399" s="2" t="str">
        <f>_xlfn.CONCAT(C399,"-",VLOOKUP(C399,t_objeto!B:D,3,FALSE),"-",A399)</f>
        <v>KKMM-PERCCO-398</v>
      </c>
      <c r="C399" s="1" t="s">
        <v>7458</v>
      </c>
      <c r="D399" s="1" t="str">
        <f>VLOOKUP(C399,t_objeto!B:C,2,FALSE)</f>
        <v>KIT_MATERIAL</v>
      </c>
      <c r="E399" s="1">
        <v>8</v>
      </c>
      <c r="F399" s="1" t="str">
        <f>VLOOKUP(E399,t_entry_status!A:C,2,FALSE)</f>
        <v>PENDING</v>
      </c>
      <c r="G399" s="7">
        <v>45560</v>
      </c>
      <c r="H399" s="1" t="s">
        <v>7449</v>
      </c>
      <c r="I399" s="7">
        <v>45560</v>
      </c>
      <c r="J399" s="1" t="s">
        <v>7449</v>
      </c>
    </row>
    <row r="400" spans="1:10" x14ac:dyDescent="0.25">
      <c r="A400" s="1">
        <v>399</v>
      </c>
      <c r="B400" s="2" t="str">
        <f>_xlfn.CONCAT(C400,"-",VLOOKUP(C400,t_objeto!B:D,3,FALSE),"-",A400)</f>
        <v>KKMM-PERCCO-399</v>
      </c>
      <c r="C400" s="1" t="s">
        <v>7458</v>
      </c>
      <c r="D400" s="1" t="str">
        <f>VLOOKUP(C400,t_objeto!B:C,2,FALSE)</f>
        <v>KIT_MATERIAL</v>
      </c>
      <c r="E400" s="1">
        <v>8</v>
      </c>
      <c r="F400" s="1" t="str">
        <f>VLOOKUP(E400,t_entry_status!A:C,2,FALSE)</f>
        <v>PENDING</v>
      </c>
      <c r="G400" s="7">
        <v>45560</v>
      </c>
      <c r="H400" s="1" t="s">
        <v>7449</v>
      </c>
      <c r="I400" s="7">
        <v>45560</v>
      </c>
      <c r="J400" s="1" t="s">
        <v>7449</v>
      </c>
    </row>
    <row r="401" spans="1:10" x14ac:dyDescent="0.25">
      <c r="A401" s="1">
        <v>400</v>
      </c>
      <c r="B401" s="2" t="str">
        <f>_xlfn.CONCAT(C401,"-",VLOOKUP(C401,t_objeto!B:D,3,FALSE),"-",A401)</f>
        <v>KKMM-PERCCO-400</v>
      </c>
      <c r="C401" s="1" t="s">
        <v>7458</v>
      </c>
      <c r="D401" s="1" t="str">
        <f>VLOOKUP(C401,t_objeto!B:C,2,FALSE)</f>
        <v>KIT_MATERIAL</v>
      </c>
      <c r="E401" s="1">
        <v>8</v>
      </c>
      <c r="F401" s="1" t="str">
        <f>VLOOKUP(E401,t_entry_status!A:C,2,FALSE)</f>
        <v>PENDING</v>
      </c>
      <c r="G401" s="7">
        <v>45560</v>
      </c>
      <c r="H401" s="1" t="s">
        <v>7449</v>
      </c>
      <c r="I401" s="7">
        <v>45560</v>
      </c>
      <c r="J401" s="1" t="s">
        <v>7449</v>
      </c>
    </row>
    <row r="402" spans="1:10" x14ac:dyDescent="0.25">
      <c r="A402" s="1">
        <v>401</v>
      </c>
      <c r="B402" s="2" t="str">
        <f>_xlfn.CONCAT(C402,"-",VLOOKUP(C402,t_objeto!B:D,3,FALSE),"-",A402)</f>
        <v>KKMM-PERCCO-401</v>
      </c>
      <c r="C402" s="1" t="s">
        <v>7458</v>
      </c>
      <c r="D402" s="1" t="str">
        <f>VLOOKUP(C402,t_objeto!B:C,2,FALSE)</f>
        <v>KIT_MATERIAL</v>
      </c>
      <c r="E402" s="1">
        <v>8</v>
      </c>
      <c r="F402" s="1" t="str">
        <f>VLOOKUP(E402,t_entry_status!A:C,2,FALSE)</f>
        <v>PENDING</v>
      </c>
      <c r="G402" s="7">
        <v>45560</v>
      </c>
      <c r="H402" s="1" t="s">
        <v>7449</v>
      </c>
      <c r="I402" s="7">
        <v>45560</v>
      </c>
      <c r="J402" s="1" t="s">
        <v>7449</v>
      </c>
    </row>
    <row r="403" spans="1:10" x14ac:dyDescent="0.25">
      <c r="A403" s="1">
        <v>402</v>
      </c>
      <c r="B403" s="2" t="str">
        <f>_xlfn.CONCAT(C403,"-",VLOOKUP(C403,t_objeto!B:D,3,FALSE),"-",A403)</f>
        <v>KKMM-PERCCO-402</v>
      </c>
      <c r="C403" s="1" t="s">
        <v>7458</v>
      </c>
      <c r="D403" s="1" t="str">
        <f>VLOOKUP(C403,t_objeto!B:C,2,FALSE)</f>
        <v>KIT_MATERIAL</v>
      </c>
      <c r="E403" s="1">
        <v>8</v>
      </c>
      <c r="F403" s="1" t="str">
        <f>VLOOKUP(E403,t_entry_status!A:C,2,FALSE)</f>
        <v>PENDING</v>
      </c>
      <c r="G403" s="7">
        <v>45560</v>
      </c>
      <c r="H403" s="1" t="s">
        <v>7449</v>
      </c>
      <c r="I403" s="7">
        <v>45560</v>
      </c>
      <c r="J403" s="1" t="s">
        <v>7449</v>
      </c>
    </row>
    <row r="404" spans="1:10" x14ac:dyDescent="0.25">
      <c r="A404" s="1">
        <v>403</v>
      </c>
      <c r="B404" s="2" t="str">
        <f>_xlfn.CONCAT(C404,"-",VLOOKUP(C404,t_objeto!B:D,3,FALSE),"-",A404)</f>
        <v>KKMM-PERCCO-403</v>
      </c>
      <c r="C404" s="1" t="s">
        <v>7458</v>
      </c>
      <c r="D404" s="1" t="str">
        <f>VLOOKUP(C404,t_objeto!B:C,2,FALSE)</f>
        <v>KIT_MATERIAL</v>
      </c>
      <c r="E404" s="1">
        <v>8</v>
      </c>
      <c r="F404" s="1" t="str">
        <f>VLOOKUP(E404,t_entry_status!A:C,2,FALSE)</f>
        <v>PENDING</v>
      </c>
      <c r="G404" s="7">
        <v>45560</v>
      </c>
      <c r="H404" s="1" t="s">
        <v>7449</v>
      </c>
      <c r="I404" s="7">
        <v>45560</v>
      </c>
      <c r="J404" s="1" t="s">
        <v>7449</v>
      </c>
    </row>
    <row r="405" spans="1:10" x14ac:dyDescent="0.25">
      <c r="A405" s="1">
        <v>404</v>
      </c>
      <c r="B405" s="2" t="str">
        <f>_xlfn.CONCAT(C405,"-",VLOOKUP(C405,t_objeto!B:D,3,FALSE),"-",A405)</f>
        <v>KKMM-PERCCO-404</v>
      </c>
      <c r="C405" s="1" t="s">
        <v>7458</v>
      </c>
      <c r="D405" s="1" t="str">
        <f>VLOOKUP(C405,t_objeto!B:C,2,FALSE)</f>
        <v>KIT_MATERIAL</v>
      </c>
      <c r="E405" s="1">
        <v>8</v>
      </c>
      <c r="F405" s="1" t="str">
        <f>VLOOKUP(E405,t_entry_status!A:C,2,FALSE)</f>
        <v>PENDING</v>
      </c>
      <c r="G405" s="7">
        <v>45560</v>
      </c>
      <c r="H405" s="1" t="s">
        <v>7449</v>
      </c>
      <c r="I405" s="7">
        <v>45560</v>
      </c>
      <c r="J405" s="1" t="s">
        <v>7449</v>
      </c>
    </row>
    <row r="406" spans="1:10" x14ac:dyDescent="0.25">
      <c r="A406" s="1">
        <v>405</v>
      </c>
      <c r="B406" s="2" t="str">
        <f>_xlfn.CONCAT(C406,"-",VLOOKUP(C406,t_objeto!B:D,3,FALSE),"-",A406)</f>
        <v>KKMM-PERCCO-405</v>
      </c>
      <c r="C406" s="1" t="s">
        <v>7458</v>
      </c>
      <c r="D406" s="1" t="str">
        <f>VLOOKUP(C406,t_objeto!B:C,2,FALSE)</f>
        <v>KIT_MATERIAL</v>
      </c>
      <c r="E406" s="1">
        <v>8</v>
      </c>
      <c r="F406" s="1" t="str">
        <f>VLOOKUP(E406,t_entry_status!A:C,2,FALSE)</f>
        <v>PENDING</v>
      </c>
      <c r="G406" s="7">
        <v>45560</v>
      </c>
      <c r="H406" s="1" t="s">
        <v>7449</v>
      </c>
      <c r="I406" s="7">
        <v>45560</v>
      </c>
      <c r="J406" s="1" t="s">
        <v>7449</v>
      </c>
    </row>
    <row r="407" spans="1:10" x14ac:dyDescent="0.25">
      <c r="A407" s="1">
        <v>406</v>
      </c>
      <c r="B407" s="2" t="str">
        <f>_xlfn.CONCAT(C407,"-",VLOOKUP(C407,t_objeto!B:D,3,FALSE),"-",A407)</f>
        <v>KKMM-PERCCO-406</v>
      </c>
      <c r="C407" s="1" t="s">
        <v>7458</v>
      </c>
      <c r="D407" s="1" t="str">
        <f>VLOOKUP(C407,t_objeto!B:C,2,FALSE)</f>
        <v>KIT_MATERIAL</v>
      </c>
      <c r="E407" s="1">
        <v>8</v>
      </c>
      <c r="F407" s="1" t="str">
        <f>VLOOKUP(E407,t_entry_status!A:C,2,FALSE)</f>
        <v>PENDING</v>
      </c>
      <c r="G407" s="7">
        <v>45560</v>
      </c>
      <c r="H407" s="1" t="s">
        <v>7449</v>
      </c>
      <c r="I407" s="7">
        <v>45560</v>
      </c>
      <c r="J407" s="1" t="s">
        <v>7449</v>
      </c>
    </row>
    <row r="408" spans="1:10" x14ac:dyDescent="0.25">
      <c r="A408" s="1">
        <v>407</v>
      </c>
      <c r="B408" s="2" t="str">
        <f>_xlfn.CONCAT(C408,"-",VLOOKUP(C408,t_objeto!B:D,3,FALSE),"-",A408)</f>
        <v>KKMM-PERCCO-407</v>
      </c>
      <c r="C408" s="1" t="s">
        <v>7458</v>
      </c>
      <c r="D408" s="1" t="str">
        <f>VLOOKUP(C408,t_objeto!B:C,2,FALSE)</f>
        <v>KIT_MATERIAL</v>
      </c>
      <c r="E408" s="1">
        <v>8</v>
      </c>
      <c r="F408" s="1" t="str">
        <f>VLOOKUP(E408,t_entry_status!A:C,2,FALSE)</f>
        <v>PENDING</v>
      </c>
      <c r="G408" s="7">
        <v>45560</v>
      </c>
      <c r="H408" s="1" t="s">
        <v>7449</v>
      </c>
      <c r="I408" s="7">
        <v>45560</v>
      </c>
      <c r="J408" s="1" t="s">
        <v>7449</v>
      </c>
    </row>
    <row r="409" spans="1:10" x14ac:dyDescent="0.25">
      <c r="A409" s="1">
        <v>408</v>
      </c>
      <c r="B409" s="2" t="str">
        <f>_xlfn.CONCAT(C409,"-",VLOOKUP(C409,t_objeto!B:D,3,FALSE),"-",A409)</f>
        <v>KKMM-PERCCO-408</v>
      </c>
      <c r="C409" s="1" t="s">
        <v>7458</v>
      </c>
      <c r="D409" s="1" t="str">
        <f>VLOOKUP(C409,t_objeto!B:C,2,FALSE)</f>
        <v>KIT_MATERIAL</v>
      </c>
      <c r="E409" s="1">
        <v>8</v>
      </c>
      <c r="F409" s="1" t="str">
        <f>VLOOKUP(E409,t_entry_status!A:C,2,FALSE)</f>
        <v>PENDING</v>
      </c>
      <c r="G409" s="7">
        <v>45560</v>
      </c>
      <c r="H409" s="1" t="s">
        <v>7449</v>
      </c>
      <c r="I409" s="7">
        <v>45560</v>
      </c>
      <c r="J409" s="1" t="s">
        <v>7449</v>
      </c>
    </row>
    <row r="410" spans="1:10" x14ac:dyDescent="0.25">
      <c r="A410" s="1">
        <v>409</v>
      </c>
      <c r="B410" s="2" t="str">
        <f>_xlfn.CONCAT(C410,"-",VLOOKUP(C410,t_objeto!B:D,3,FALSE),"-",A410)</f>
        <v>KKMM-PERCCO-409</v>
      </c>
      <c r="C410" s="1" t="s">
        <v>7458</v>
      </c>
      <c r="D410" s="1" t="str">
        <f>VLOOKUP(C410,t_objeto!B:C,2,FALSE)</f>
        <v>KIT_MATERIAL</v>
      </c>
      <c r="E410" s="1">
        <v>8</v>
      </c>
      <c r="F410" s="1" t="str">
        <f>VLOOKUP(E410,t_entry_status!A:C,2,FALSE)</f>
        <v>PENDING</v>
      </c>
      <c r="G410" s="7">
        <v>45560</v>
      </c>
      <c r="H410" s="1" t="s">
        <v>7449</v>
      </c>
      <c r="I410" s="7">
        <v>45560</v>
      </c>
      <c r="J410" s="1" t="s">
        <v>7449</v>
      </c>
    </row>
    <row r="411" spans="1:10" x14ac:dyDescent="0.25">
      <c r="A411" s="1">
        <v>410</v>
      </c>
      <c r="B411" s="2" t="str">
        <f>_xlfn.CONCAT(C411,"-",VLOOKUP(C411,t_objeto!B:D,3,FALSE),"-",A411)</f>
        <v>KKMM-PERCCO-410</v>
      </c>
      <c r="C411" s="1" t="s">
        <v>7458</v>
      </c>
      <c r="D411" s="1" t="str">
        <f>VLOOKUP(C411,t_objeto!B:C,2,FALSE)</f>
        <v>KIT_MATERIAL</v>
      </c>
      <c r="E411" s="1">
        <v>8</v>
      </c>
      <c r="F411" s="1" t="str">
        <f>VLOOKUP(E411,t_entry_status!A:C,2,FALSE)</f>
        <v>PENDING</v>
      </c>
      <c r="G411" s="7">
        <v>45560</v>
      </c>
      <c r="H411" s="1" t="s">
        <v>7449</v>
      </c>
      <c r="I411" s="7">
        <v>45560</v>
      </c>
      <c r="J411" s="1" t="s">
        <v>7449</v>
      </c>
    </row>
    <row r="412" spans="1:10" x14ac:dyDescent="0.25">
      <c r="A412" s="1">
        <v>411</v>
      </c>
      <c r="B412" s="2" t="str">
        <f>_xlfn.CONCAT(C412,"-",VLOOKUP(C412,t_objeto!B:D,3,FALSE),"-",A412)</f>
        <v>KKMM-PERCCO-411</v>
      </c>
      <c r="C412" s="1" t="s">
        <v>7458</v>
      </c>
      <c r="D412" s="1" t="str">
        <f>VLOOKUP(C412,t_objeto!B:C,2,FALSE)</f>
        <v>KIT_MATERIAL</v>
      </c>
      <c r="E412" s="1">
        <v>8</v>
      </c>
      <c r="F412" s="1" t="str">
        <f>VLOOKUP(E412,t_entry_status!A:C,2,FALSE)</f>
        <v>PENDING</v>
      </c>
      <c r="G412" s="7">
        <v>45560</v>
      </c>
      <c r="H412" s="1" t="s">
        <v>7449</v>
      </c>
      <c r="I412" s="7">
        <v>45560</v>
      </c>
      <c r="J412" s="1" t="s">
        <v>7449</v>
      </c>
    </row>
    <row r="413" spans="1:10" x14ac:dyDescent="0.25">
      <c r="A413" s="1">
        <v>412</v>
      </c>
      <c r="B413" s="2" t="str">
        <f>_xlfn.CONCAT(C413,"-",VLOOKUP(C413,t_objeto!B:D,3,FALSE),"-",A413)</f>
        <v>KKMM-PERCCO-412</v>
      </c>
      <c r="C413" s="1" t="s">
        <v>7458</v>
      </c>
      <c r="D413" s="1" t="str">
        <f>VLOOKUP(C413,t_objeto!B:C,2,FALSE)</f>
        <v>KIT_MATERIAL</v>
      </c>
      <c r="E413" s="1">
        <v>8</v>
      </c>
      <c r="F413" s="1" t="str">
        <f>VLOOKUP(E413,t_entry_status!A:C,2,FALSE)</f>
        <v>PENDING</v>
      </c>
      <c r="G413" s="7">
        <v>45560</v>
      </c>
      <c r="H413" s="1" t="s">
        <v>7449</v>
      </c>
      <c r="I413" s="7">
        <v>45560</v>
      </c>
      <c r="J413" s="1" t="s">
        <v>7449</v>
      </c>
    </row>
    <row r="414" spans="1:10" x14ac:dyDescent="0.25">
      <c r="A414" s="1">
        <v>413</v>
      </c>
      <c r="B414" s="2" t="str">
        <f>_xlfn.CONCAT(C414,"-",VLOOKUP(C414,t_objeto!B:D,3,FALSE),"-",A414)</f>
        <v>KKMM-PERCCO-413</v>
      </c>
      <c r="C414" s="1" t="s">
        <v>7458</v>
      </c>
      <c r="D414" s="1" t="str">
        <f>VLOOKUP(C414,t_objeto!B:C,2,FALSE)</f>
        <v>KIT_MATERIAL</v>
      </c>
      <c r="E414" s="1">
        <v>8</v>
      </c>
      <c r="F414" s="1" t="str">
        <f>VLOOKUP(E414,t_entry_status!A:C,2,FALSE)</f>
        <v>PENDING</v>
      </c>
      <c r="G414" s="7">
        <v>45560</v>
      </c>
      <c r="H414" s="1" t="s">
        <v>7449</v>
      </c>
      <c r="I414" s="7">
        <v>45560</v>
      </c>
      <c r="J414" s="1" t="s">
        <v>7449</v>
      </c>
    </row>
    <row r="415" spans="1:10" x14ac:dyDescent="0.25">
      <c r="A415" s="1">
        <v>414</v>
      </c>
      <c r="B415" s="2" t="str">
        <f>_xlfn.CONCAT(C415,"-",VLOOKUP(C415,t_objeto!B:D,3,FALSE),"-",A415)</f>
        <v>KKMM-PERCCO-414</v>
      </c>
      <c r="C415" s="1" t="s">
        <v>7458</v>
      </c>
      <c r="D415" s="1" t="str">
        <f>VLOOKUP(C415,t_objeto!B:C,2,FALSE)</f>
        <v>KIT_MATERIAL</v>
      </c>
      <c r="E415" s="1">
        <v>8</v>
      </c>
      <c r="F415" s="1" t="str">
        <f>VLOOKUP(E415,t_entry_status!A:C,2,FALSE)</f>
        <v>PENDING</v>
      </c>
      <c r="G415" s="7">
        <v>45560</v>
      </c>
      <c r="H415" s="1" t="s">
        <v>7449</v>
      </c>
      <c r="I415" s="7">
        <v>45560</v>
      </c>
      <c r="J415" s="1" t="s">
        <v>7449</v>
      </c>
    </row>
    <row r="416" spans="1:10" x14ac:dyDescent="0.25">
      <c r="A416" s="1">
        <v>415</v>
      </c>
      <c r="B416" s="2" t="str">
        <f>_xlfn.CONCAT(C416,"-",VLOOKUP(C416,t_objeto!B:D,3,FALSE),"-",A416)</f>
        <v>KKMM-PERCCO-415</v>
      </c>
      <c r="C416" s="1" t="s">
        <v>7458</v>
      </c>
      <c r="D416" s="1" t="str">
        <f>VLOOKUP(C416,t_objeto!B:C,2,FALSE)</f>
        <v>KIT_MATERIAL</v>
      </c>
      <c r="E416" s="1">
        <v>8</v>
      </c>
      <c r="F416" s="1" t="str">
        <f>VLOOKUP(E416,t_entry_status!A:C,2,FALSE)</f>
        <v>PENDING</v>
      </c>
      <c r="G416" s="7">
        <v>45560</v>
      </c>
      <c r="H416" s="1" t="s">
        <v>7449</v>
      </c>
      <c r="I416" s="7">
        <v>45560</v>
      </c>
      <c r="J416" s="1" t="s">
        <v>7449</v>
      </c>
    </row>
    <row r="417" spans="1:10" x14ac:dyDescent="0.25">
      <c r="A417" s="1">
        <v>416</v>
      </c>
      <c r="B417" s="2" t="str">
        <f>_xlfn.CONCAT(C417,"-",VLOOKUP(C417,t_objeto!B:D,3,FALSE),"-",A417)</f>
        <v>KKMM-PERCCO-416</v>
      </c>
      <c r="C417" s="1" t="s">
        <v>7458</v>
      </c>
      <c r="D417" s="1" t="str">
        <f>VLOOKUP(C417,t_objeto!B:C,2,FALSE)</f>
        <v>KIT_MATERIAL</v>
      </c>
      <c r="E417" s="1">
        <v>8</v>
      </c>
      <c r="F417" s="1" t="str">
        <f>VLOOKUP(E417,t_entry_status!A:C,2,FALSE)</f>
        <v>PENDING</v>
      </c>
      <c r="G417" s="7">
        <v>45560</v>
      </c>
      <c r="H417" s="1" t="s">
        <v>7449</v>
      </c>
      <c r="I417" s="7">
        <v>45560</v>
      </c>
      <c r="J417" s="1" t="s">
        <v>7449</v>
      </c>
    </row>
    <row r="418" spans="1:10" x14ac:dyDescent="0.25">
      <c r="A418" s="1">
        <v>417</v>
      </c>
      <c r="B418" s="2" t="str">
        <f>_xlfn.CONCAT(C418,"-",VLOOKUP(C418,t_objeto!B:D,3,FALSE),"-",A418)</f>
        <v>KKMM-PERCCO-417</v>
      </c>
      <c r="C418" s="1" t="s">
        <v>7458</v>
      </c>
      <c r="D418" s="1" t="str">
        <f>VLOOKUP(C418,t_objeto!B:C,2,FALSE)</f>
        <v>KIT_MATERIAL</v>
      </c>
      <c r="E418" s="1">
        <v>8</v>
      </c>
      <c r="F418" s="1" t="str">
        <f>VLOOKUP(E418,t_entry_status!A:C,2,FALSE)</f>
        <v>PENDING</v>
      </c>
      <c r="G418" s="7">
        <v>45560</v>
      </c>
      <c r="H418" s="1" t="s">
        <v>7449</v>
      </c>
      <c r="I418" s="7">
        <v>45560</v>
      </c>
      <c r="J418" s="1" t="s">
        <v>7449</v>
      </c>
    </row>
    <row r="419" spans="1:10" x14ac:dyDescent="0.25">
      <c r="A419" s="1">
        <v>418</v>
      </c>
      <c r="B419" s="2" t="str">
        <f>_xlfn.CONCAT(C419,"-",VLOOKUP(C419,t_objeto!B:D,3,FALSE),"-",A419)</f>
        <v>KKMM-PERCCO-418</v>
      </c>
      <c r="C419" s="1" t="s">
        <v>7458</v>
      </c>
      <c r="D419" s="1" t="str">
        <f>VLOOKUP(C419,t_objeto!B:C,2,FALSE)</f>
        <v>KIT_MATERIAL</v>
      </c>
      <c r="E419" s="1">
        <v>8</v>
      </c>
      <c r="F419" s="1" t="str">
        <f>VLOOKUP(E419,t_entry_status!A:C,2,FALSE)</f>
        <v>PENDING</v>
      </c>
      <c r="G419" s="7">
        <v>45560</v>
      </c>
      <c r="H419" s="1" t="s">
        <v>7449</v>
      </c>
      <c r="I419" s="7">
        <v>45560</v>
      </c>
      <c r="J419" s="1" t="s">
        <v>7449</v>
      </c>
    </row>
    <row r="420" spans="1:10" x14ac:dyDescent="0.25">
      <c r="A420" s="1">
        <v>419</v>
      </c>
      <c r="B420" s="2" t="str">
        <f>_xlfn.CONCAT(C420,"-",VLOOKUP(C420,t_objeto!B:D,3,FALSE),"-",A420)</f>
        <v>KKMM-PERCCO-419</v>
      </c>
      <c r="C420" s="1" t="s">
        <v>7458</v>
      </c>
      <c r="D420" s="1" t="str">
        <f>VLOOKUP(C420,t_objeto!B:C,2,FALSE)</f>
        <v>KIT_MATERIAL</v>
      </c>
      <c r="E420" s="1">
        <v>8</v>
      </c>
      <c r="F420" s="1" t="str">
        <f>VLOOKUP(E420,t_entry_status!A:C,2,FALSE)</f>
        <v>PENDING</v>
      </c>
      <c r="G420" s="7">
        <v>45560</v>
      </c>
      <c r="H420" s="1" t="s">
        <v>7449</v>
      </c>
      <c r="I420" s="7">
        <v>45560</v>
      </c>
      <c r="J420" s="1" t="s">
        <v>7449</v>
      </c>
    </row>
    <row r="421" spans="1:10" x14ac:dyDescent="0.25">
      <c r="A421" s="1">
        <v>420</v>
      </c>
      <c r="B421" s="2" t="str">
        <f>_xlfn.CONCAT(C421,"-",VLOOKUP(C421,t_objeto!B:D,3,FALSE),"-",A421)</f>
        <v>KKMM-PERCCO-420</v>
      </c>
      <c r="C421" s="1" t="s">
        <v>7458</v>
      </c>
      <c r="D421" s="1" t="str">
        <f>VLOOKUP(C421,t_objeto!B:C,2,FALSE)</f>
        <v>KIT_MATERIAL</v>
      </c>
      <c r="E421" s="1">
        <v>8</v>
      </c>
      <c r="F421" s="1" t="str">
        <f>VLOOKUP(E421,t_entry_status!A:C,2,FALSE)</f>
        <v>PENDING</v>
      </c>
      <c r="G421" s="7">
        <v>45560</v>
      </c>
      <c r="H421" s="1" t="s">
        <v>7449</v>
      </c>
      <c r="I421" s="7">
        <v>45560</v>
      </c>
      <c r="J421" s="1" t="s">
        <v>7449</v>
      </c>
    </row>
    <row r="422" spans="1:10" x14ac:dyDescent="0.25">
      <c r="A422" s="1">
        <v>421</v>
      </c>
      <c r="B422" s="2" t="str">
        <f>_xlfn.CONCAT(C422,"-",VLOOKUP(C422,t_objeto!B:D,3,FALSE),"-",A422)</f>
        <v>KKMM-PERCCO-421</v>
      </c>
      <c r="C422" s="1" t="s">
        <v>7458</v>
      </c>
      <c r="D422" s="1" t="str">
        <f>VLOOKUP(C422,t_objeto!B:C,2,FALSE)</f>
        <v>KIT_MATERIAL</v>
      </c>
      <c r="E422" s="1">
        <v>8</v>
      </c>
      <c r="F422" s="1" t="str">
        <f>VLOOKUP(E422,t_entry_status!A:C,2,FALSE)</f>
        <v>PENDING</v>
      </c>
      <c r="G422" s="7">
        <v>45560</v>
      </c>
      <c r="H422" s="1" t="s">
        <v>7449</v>
      </c>
      <c r="I422" s="7">
        <v>45560</v>
      </c>
      <c r="J422" s="1" t="s">
        <v>7449</v>
      </c>
    </row>
    <row r="423" spans="1:10" x14ac:dyDescent="0.25">
      <c r="A423" s="1">
        <v>422</v>
      </c>
      <c r="B423" s="2" t="str">
        <f>_xlfn.CONCAT(C423,"-",VLOOKUP(C423,t_objeto!B:D,3,FALSE),"-",A423)</f>
        <v>KKMM-PERCCO-422</v>
      </c>
      <c r="C423" s="1" t="s">
        <v>7458</v>
      </c>
      <c r="D423" s="1" t="str">
        <f>VLOOKUP(C423,t_objeto!B:C,2,FALSE)</f>
        <v>KIT_MATERIAL</v>
      </c>
      <c r="E423" s="1">
        <v>8</v>
      </c>
      <c r="F423" s="1" t="str">
        <f>VLOOKUP(E423,t_entry_status!A:C,2,FALSE)</f>
        <v>PENDING</v>
      </c>
      <c r="G423" s="7">
        <v>45560</v>
      </c>
      <c r="H423" s="1" t="s">
        <v>7449</v>
      </c>
      <c r="I423" s="7">
        <v>45560</v>
      </c>
      <c r="J423" s="1" t="s">
        <v>7449</v>
      </c>
    </row>
    <row r="424" spans="1:10" x14ac:dyDescent="0.25">
      <c r="A424" s="1">
        <v>423</v>
      </c>
      <c r="B424" s="2" t="str">
        <f>_xlfn.CONCAT(C424,"-",VLOOKUP(C424,t_objeto!B:D,3,FALSE),"-",A424)</f>
        <v>KKMM-PERCCO-423</v>
      </c>
      <c r="C424" s="1" t="s">
        <v>7458</v>
      </c>
      <c r="D424" s="1" t="str">
        <f>VLOOKUP(C424,t_objeto!B:C,2,FALSE)</f>
        <v>KIT_MATERIAL</v>
      </c>
      <c r="E424" s="1">
        <v>8</v>
      </c>
      <c r="F424" s="1" t="str">
        <f>VLOOKUP(E424,t_entry_status!A:C,2,FALSE)</f>
        <v>PENDING</v>
      </c>
      <c r="G424" s="7">
        <v>45560</v>
      </c>
      <c r="H424" s="1" t="s">
        <v>7449</v>
      </c>
      <c r="I424" s="7">
        <v>45560</v>
      </c>
      <c r="J424" s="1" t="s">
        <v>7449</v>
      </c>
    </row>
    <row r="425" spans="1:10" x14ac:dyDescent="0.25">
      <c r="A425" s="1">
        <v>424</v>
      </c>
      <c r="B425" s="2" t="str">
        <f>_xlfn.CONCAT(C425,"-",VLOOKUP(C425,t_objeto!B:D,3,FALSE),"-",A425)</f>
        <v>KKMM-PERCCO-424</v>
      </c>
      <c r="C425" s="1" t="s">
        <v>7458</v>
      </c>
      <c r="D425" s="1" t="str">
        <f>VLOOKUP(C425,t_objeto!B:C,2,FALSE)</f>
        <v>KIT_MATERIAL</v>
      </c>
      <c r="E425" s="1">
        <v>8</v>
      </c>
      <c r="F425" s="1" t="str">
        <f>VLOOKUP(E425,t_entry_status!A:C,2,FALSE)</f>
        <v>PENDING</v>
      </c>
      <c r="G425" s="7">
        <v>45560</v>
      </c>
      <c r="H425" s="1" t="s">
        <v>7449</v>
      </c>
      <c r="I425" s="7">
        <v>45560</v>
      </c>
      <c r="J425" s="1" t="s">
        <v>7449</v>
      </c>
    </row>
    <row r="426" spans="1:10" x14ac:dyDescent="0.25">
      <c r="A426" s="1">
        <v>425</v>
      </c>
      <c r="B426" s="2" t="str">
        <f>_xlfn.CONCAT(C426,"-",VLOOKUP(C426,t_objeto!B:D,3,FALSE),"-",A426)</f>
        <v>KKMM-PERCCO-425</v>
      </c>
      <c r="C426" s="1" t="s">
        <v>7458</v>
      </c>
      <c r="D426" s="1" t="str">
        <f>VLOOKUP(C426,t_objeto!B:C,2,FALSE)</f>
        <v>KIT_MATERIAL</v>
      </c>
      <c r="E426" s="1">
        <v>8</v>
      </c>
      <c r="F426" s="1" t="str">
        <f>VLOOKUP(E426,t_entry_status!A:C,2,FALSE)</f>
        <v>PENDING</v>
      </c>
      <c r="G426" s="7">
        <v>45560</v>
      </c>
      <c r="H426" s="1" t="s">
        <v>7449</v>
      </c>
      <c r="I426" s="7">
        <v>45560</v>
      </c>
      <c r="J426" s="1" t="s">
        <v>7449</v>
      </c>
    </row>
    <row r="427" spans="1:10" x14ac:dyDescent="0.25">
      <c r="A427" s="1">
        <v>426</v>
      </c>
      <c r="B427" s="2" t="str">
        <f>_xlfn.CONCAT(C427,"-",VLOOKUP(C427,t_objeto!B:D,3,FALSE),"-",A427)</f>
        <v>KKMM-PERCCO-426</v>
      </c>
      <c r="C427" s="1" t="s">
        <v>7458</v>
      </c>
      <c r="D427" s="1" t="str">
        <f>VLOOKUP(C427,t_objeto!B:C,2,FALSE)</f>
        <v>KIT_MATERIAL</v>
      </c>
      <c r="E427" s="1">
        <v>8</v>
      </c>
      <c r="F427" s="1" t="str">
        <f>VLOOKUP(E427,t_entry_status!A:C,2,FALSE)</f>
        <v>PENDING</v>
      </c>
      <c r="G427" s="7">
        <v>45560</v>
      </c>
      <c r="H427" s="1" t="s">
        <v>7449</v>
      </c>
      <c r="I427" s="7">
        <v>45560</v>
      </c>
      <c r="J427" s="1" t="s">
        <v>7449</v>
      </c>
    </row>
    <row r="428" spans="1:10" x14ac:dyDescent="0.25">
      <c r="A428" s="1">
        <v>427</v>
      </c>
      <c r="B428" s="2" t="str">
        <f>_xlfn.CONCAT(C428,"-",VLOOKUP(C428,t_objeto!B:D,3,FALSE),"-",A428)</f>
        <v>KKMM-PERCCO-427</v>
      </c>
      <c r="C428" s="1" t="s">
        <v>7458</v>
      </c>
      <c r="D428" s="1" t="str">
        <f>VLOOKUP(C428,t_objeto!B:C,2,FALSE)</f>
        <v>KIT_MATERIAL</v>
      </c>
      <c r="E428" s="1">
        <v>8</v>
      </c>
      <c r="F428" s="1" t="str">
        <f>VLOOKUP(E428,t_entry_status!A:C,2,FALSE)</f>
        <v>PENDING</v>
      </c>
      <c r="G428" s="7">
        <v>45560</v>
      </c>
      <c r="H428" s="1" t="s">
        <v>7449</v>
      </c>
      <c r="I428" s="7">
        <v>45560</v>
      </c>
      <c r="J428" s="1" t="s">
        <v>7449</v>
      </c>
    </row>
    <row r="429" spans="1:10" x14ac:dyDescent="0.25">
      <c r="A429" s="1">
        <v>428</v>
      </c>
      <c r="B429" s="2" t="str">
        <f>_xlfn.CONCAT(C429,"-",VLOOKUP(C429,t_objeto!B:D,3,FALSE),"-",A429)</f>
        <v>KKMM-PERCCO-428</v>
      </c>
      <c r="C429" s="1" t="s">
        <v>7458</v>
      </c>
      <c r="D429" s="1" t="str">
        <f>VLOOKUP(C429,t_objeto!B:C,2,FALSE)</f>
        <v>KIT_MATERIAL</v>
      </c>
      <c r="E429" s="1">
        <v>8</v>
      </c>
      <c r="F429" s="1" t="str">
        <f>VLOOKUP(E429,t_entry_status!A:C,2,FALSE)</f>
        <v>PENDING</v>
      </c>
      <c r="G429" s="7">
        <v>45560</v>
      </c>
      <c r="H429" s="1" t="s">
        <v>7449</v>
      </c>
      <c r="I429" s="7">
        <v>45560</v>
      </c>
      <c r="J429" s="1" t="s">
        <v>7449</v>
      </c>
    </row>
    <row r="430" spans="1:10" x14ac:dyDescent="0.25">
      <c r="A430" s="1">
        <v>429</v>
      </c>
      <c r="B430" s="2" t="str">
        <f>_xlfn.CONCAT(C430,"-",VLOOKUP(C430,t_objeto!B:D,3,FALSE),"-",A430)</f>
        <v>KKMM-PERCCO-429</v>
      </c>
      <c r="C430" s="1" t="s">
        <v>7458</v>
      </c>
      <c r="D430" s="1" t="str">
        <f>VLOOKUP(C430,t_objeto!B:C,2,FALSE)</f>
        <v>KIT_MATERIAL</v>
      </c>
      <c r="E430" s="1">
        <v>8</v>
      </c>
      <c r="F430" s="1" t="str">
        <f>VLOOKUP(E430,t_entry_status!A:C,2,FALSE)</f>
        <v>PENDING</v>
      </c>
      <c r="G430" s="7">
        <v>45560</v>
      </c>
      <c r="H430" s="1" t="s">
        <v>7449</v>
      </c>
      <c r="I430" s="7">
        <v>45560</v>
      </c>
      <c r="J430" s="1" t="s">
        <v>7449</v>
      </c>
    </row>
    <row r="431" spans="1:10" x14ac:dyDescent="0.25">
      <c r="A431" s="1">
        <v>430</v>
      </c>
      <c r="B431" s="2" t="str">
        <f>_xlfn.CONCAT(C431,"-",VLOOKUP(C431,t_objeto!B:D,3,FALSE),"-",A431)</f>
        <v>KKMM-PERCCO-430</v>
      </c>
      <c r="C431" s="1" t="s">
        <v>7458</v>
      </c>
      <c r="D431" s="1" t="str">
        <f>VLOOKUP(C431,t_objeto!B:C,2,FALSE)</f>
        <v>KIT_MATERIAL</v>
      </c>
      <c r="E431" s="1">
        <v>8</v>
      </c>
      <c r="F431" s="1" t="str">
        <f>VLOOKUP(E431,t_entry_status!A:C,2,FALSE)</f>
        <v>PENDING</v>
      </c>
      <c r="G431" s="7">
        <v>45560</v>
      </c>
      <c r="H431" s="1" t="s">
        <v>7449</v>
      </c>
      <c r="I431" s="7">
        <v>45560</v>
      </c>
      <c r="J431" s="1" t="s">
        <v>7449</v>
      </c>
    </row>
    <row r="432" spans="1:10" x14ac:dyDescent="0.25">
      <c r="A432" s="1">
        <v>431</v>
      </c>
      <c r="B432" s="2" t="str">
        <f>_xlfn.CONCAT(C432,"-",VLOOKUP(C432,t_objeto!B:D,3,FALSE),"-",A432)</f>
        <v>KKMM-PERCCO-431</v>
      </c>
      <c r="C432" s="1" t="s">
        <v>7458</v>
      </c>
      <c r="D432" s="1" t="str">
        <f>VLOOKUP(C432,t_objeto!B:C,2,FALSE)</f>
        <v>KIT_MATERIAL</v>
      </c>
      <c r="E432" s="1">
        <v>8</v>
      </c>
      <c r="F432" s="1" t="str">
        <f>VLOOKUP(E432,t_entry_status!A:C,2,FALSE)</f>
        <v>PENDING</v>
      </c>
      <c r="G432" s="7">
        <v>45560</v>
      </c>
      <c r="H432" s="1" t="s">
        <v>7449</v>
      </c>
      <c r="I432" s="7">
        <v>45560</v>
      </c>
      <c r="J432" s="1" t="s">
        <v>7449</v>
      </c>
    </row>
    <row r="433" spans="1:10" x14ac:dyDescent="0.25">
      <c r="A433" s="1">
        <v>432</v>
      </c>
      <c r="B433" s="2" t="str">
        <f>_xlfn.CONCAT(C433,"-",VLOOKUP(C433,t_objeto!B:D,3,FALSE),"-",A433)</f>
        <v>KKMM-PERCCO-432</v>
      </c>
      <c r="C433" s="1" t="s">
        <v>7458</v>
      </c>
      <c r="D433" s="1" t="str">
        <f>VLOOKUP(C433,t_objeto!B:C,2,FALSE)</f>
        <v>KIT_MATERIAL</v>
      </c>
      <c r="E433" s="1">
        <v>8</v>
      </c>
      <c r="F433" s="1" t="str">
        <f>VLOOKUP(E433,t_entry_status!A:C,2,FALSE)</f>
        <v>PENDING</v>
      </c>
      <c r="G433" s="7">
        <v>45560</v>
      </c>
      <c r="H433" s="1" t="s">
        <v>7449</v>
      </c>
      <c r="I433" s="7">
        <v>45560</v>
      </c>
      <c r="J433" s="1" t="s">
        <v>7449</v>
      </c>
    </row>
    <row r="434" spans="1:10" x14ac:dyDescent="0.25">
      <c r="A434" s="1">
        <v>433</v>
      </c>
      <c r="B434" s="2" t="str">
        <f>_xlfn.CONCAT(C434,"-",VLOOKUP(C434,t_objeto!B:D,3,FALSE),"-",A434)</f>
        <v>KKMM-PERCCO-433</v>
      </c>
      <c r="C434" s="1" t="s">
        <v>7458</v>
      </c>
      <c r="D434" s="1" t="str">
        <f>VLOOKUP(C434,t_objeto!B:C,2,FALSE)</f>
        <v>KIT_MATERIAL</v>
      </c>
      <c r="E434" s="1">
        <v>8</v>
      </c>
      <c r="F434" s="1" t="str">
        <f>VLOOKUP(E434,t_entry_status!A:C,2,FALSE)</f>
        <v>PENDING</v>
      </c>
      <c r="G434" s="7">
        <v>45560</v>
      </c>
      <c r="H434" s="1" t="s">
        <v>7449</v>
      </c>
      <c r="I434" s="7">
        <v>45560</v>
      </c>
      <c r="J434" s="1" t="s">
        <v>7449</v>
      </c>
    </row>
    <row r="435" spans="1:10" x14ac:dyDescent="0.25">
      <c r="A435" s="1">
        <v>434</v>
      </c>
      <c r="B435" s="2" t="str">
        <f>_xlfn.CONCAT(C435,"-",VLOOKUP(C435,t_objeto!B:D,3,FALSE),"-",A435)</f>
        <v>KKMM-PERCCO-434</v>
      </c>
      <c r="C435" s="1" t="s">
        <v>7458</v>
      </c>
      <c r="D435" s="1" t="str">
        <f>VLOOKUP(C435,t_objeto!B:C,2,FALSE)</f>
        <v>KIT_MATERIAL</v>
      </c>
      <c r="E435" s="1">
        <v>8</v>
      </c>
      <c r="F435" s="1" t="str">
        <f>VLOOKUP(E435,t_entry_status!A:C,2,FALSE)</f>
        <v>PENDING</v>
      </c>
      <c r="G435" s="7">
        <v>45560</v>
      </c>
      <c r="H435" s="1" t="s">
        <v>7449</v>
      </c>
      <c r="I435" s="7">
        <v>45560</v>
      </c>
      <c r="J435" s="1" t="s">
        <v>7449</v>
      </c>
    </row>
    <row r="436" spans="1:10" x14ac:dyDescent="0.25">
      <c r="A436" s="1">
        <v>435</v>
      </c>
      <c r="B436" s="2" t="str">
        <f>_xlfn.CONCAT(C436,"-",VLOOKUP(C436,t_objeto!B:D,3,FALSE),"-",A436)</f>
        <v>KKMM-PERCCO-435</v>
      </c>
      <c r="C436" s="1" t="s">
        <v>7458</v>
      </c>
      <c r="D436" s="1" t="str">
        <f>VLOOKUP(C436,t_objeto!B:C,2,FALSE)</f>
        <v>KIT_MATERIAL</v>
      </c>
      <c r="E436" s="1">
        <v>8</v>
      </c>
      <c r="F436" s="1" t="str">
        <f>VLOOKUP(E436,t_entry_status!A:C,2,FALSE)</f>
        <v>PENDING</v>
      </c>
      <c r="G436" s="7">
        <v>45560</v>
      </c>
      <c r="H436" s="1" t="s">
        <v>7449</v>
      </c>
      <c r="I436" s="7">
        <v>45560</v>
      </c>
      <c r="J436" s="1" t="s">
        <v>7449</v>
      </c>
    </row>
    <row r="437" spans="1:10" x14ac:dyDescent="0.25">
      <c r="A437" s="1">
        <v>436</v>
      </c>
      <c r="B437" s="2" t="str">
        <f>_xlfn.CONCAT(C437,"-",VLOOKUP(C437,t_objeto!B:D,3,FALSE),"-",A437)</f>
        <v>KKMM-PERCCO-436</v>
      </c>
      <c r="C437" s="1" t="s">
        <v>7458</v>
      </c>
      <c r="D437" s="1" t="str">
        <f>VLOOKUP(C437,t_objeto!B:C,2,FALSE)</f>
        <v>KIT_MATERIAL</v>
      </c>
      <c r="E437" s="1">
        <v>8</v>
      </c>
      <c r="F437" s="1" t="str">
        <f>VLOOKUP(E437,t_entry_status!A:C,2,FALSE)</f>
        <v>PENDING</v>
      </c>
      <c r="G437" s="7">
        <v>45560</v>
      </c>
      <c r="H437" s="1" t="s">
        <v>7449</v>
      </c>
      <c r="I437" s="7">
        <v>45560</v>
      </c>
      <c r="J437" s="1" t="s">
        <v>7449</v>
      </c>
    </row>
    <row r="438" spans="1:10" x14ac:dyDescent="0.25">
      <c r="A438" s="1">
        <v>437</v>
      </c>
      <c r="B438" s="2" t="str">
        <f>_xlfn.CONCAT(C438,"-",VLOOKUP(C438,t_objeto!B:D,3,FALSE),"-",A438)</f>
        <v>KKMM-PERCCO-437</v>
      </c>
      <c r="C438" s="1" t="s">
        <v>7458</v>
      </c>
      <c r="D438" s="1" t="str">
        <f>VLOOKUP(C438,t_objeto!B:C,2,FALSE)</f>
        <v>KIT_MATERIAL</v>
      </c>
      <c r="E438" s="1">
        <v>8</v>
      </c>
      <c r="F438" s="1" t="str">
        <f>VLOOKUP(E438,t_entry_status!A:C,2,FALSE)</f>
        <v>PENDING</v>
      </c>
      <c r="G438" s="7">
        <v>45560</v>
      </c>
      <c r="H438" s="1" t="s">
        <v>7449</v>
      </c>
      <c r="I438" s="7">
        <v>45560</v>
      </c>
      <c r="J438" s="1" t="s">
        <v>7449</v>
      </c>
    </row>
    <row r="439" spans="1:10" x14ac:dyDescent="0.25">
      <c r="A439" s="1">
        <v>438</v>
      </c>
      <c r="B439" s="2" t="str">
        <f>_xlfn.CONCAT(C439,"-",VLOOKUP(C439,t_objeto!B:D,3,FALSE),"-",A439)</f>
        <v>KKMM-PERCCO-438</v>
      </c>
      <c r="C439" s="1" t="s">
        <v>7458</v>
      </c>
      <c r="D439" s="1" t="str">
        <f>VLOOKUP(C439,t_objeto!B:C,2,FALSE)</f>
        <v>KIT_MATERIAL</v>
      </c>
      <c r="E439" s="1">
        <v>8</v>
      </c>
      <c r="F439" s="1" t="str">
        <f>VLOOKUP(E439,t_entry_status!A:C,2,FALSE)</f>
        <v>PENDING</v>
      </c>
      <c r="G439" s="7">
        <v>45560</v>
      </c>
      <c r="H439" s="1" t="s">
        <v>7449</v>
      </c>
      <c r="I439" s="7">
        <v>45560</v>
      </c>
      <c r="J439" s="1" t="s">
        <v>7449</v>
      </c>
    </row>
    <row r="440" spans="1:10" x14ac:dyDescent="0.25">
      <c r="A440" s="1">
        <v>439</v>
      </c>
      <c r="B440" s="2" t="str">
        <f>_xlfn.CONCAT(C440,"-",VLOOKUP(C440,t_objeto!B:D,3,FALSE),"-",A440)</f>
        <v>KKMM-PERCCO-439</v>
      </c>
      <c r="C440" s="1" t="s">
        <v>7458</v>
      </c>
      <c r="D440" s="1" t="str">
        <f>VLOOKUP(C440,t_objeto!B:C,2,FALSE)</f>
        <v>KIT_MATERIAL</v>
      </c>
      <c r="E440" s="1">
        <v>8</v>
      </c>
      <c r="F440" s="1" t="str">
        <f>VLOOKUP(E440,t_entry_status!A:C,2,FALSE)</f>
        <v>PENDING</v>
      </c>
      <c r="G440" s="7">
        <v>45560</v>
      </c>
      <c r="H440" s="1" t="s">
        <v>7449</v>
      </c>
      <c r="I440" s="7">
        <v>45560</v>
      </c>
      <c r="J440" s="1" t="s">
        <v>7449</v>
      </c>
    </row>
    <row r="441" spans="1:10" x14ac:dyDescent="0.25">
      <c r="A441" s="1">
        <v>440</v>
      </c>
      <c r="B441" s="2" t="str">
        <f>_xlfn.CONCAT(C441,"-",VLOOKUP(C441,t_objeto!B:D,3,FALSE),"-",A441)</f>
        <v>KKMM-PERCCO-440</v>
      </c>
      <c r="C441" s="1" t="s">
        <v>7458</v>
      </c>
      <c r="D441" s="1" t="str">
        <f>VLOOKUP(C441,t_objeto!B:C,2,FALSE)</f>
        <v>KIT_MATERIAL</v>
      </c>
      <c r="E441" s="1">
        <v>8</v>
      </c>
      <c r="F441" s="1" t="str">
        <f>VLOOKUP(E441,t_entry_status!A:C,2,FALSE)</f>
        <v>PENDING</v>
      </c>
      <c r="G441" s="7">
        <v>45560</v>
      </c>
      <c r="H441" s="1" t="s">
        <v>7449</v>
      </c>
      <c r="I441" s="7">
        <v>45560</v>
      </c>
      <c r="J441" s="1" t="s">
        <v>7449</v>
      </c>
    </row>
    <row r="442" spans="1:10" x14ac:dyDescent="0.25">
      <c r="A442" s="1">
        <v>441</v>
      </c>
      <c r="B442" s="2" t="str">
        <f>_xlfn.CONCAT(C442,"-",VLOOKUP(C442,t_objeto!B:D,3,FALSE),"-",A442)</f>
        <v>KKMM-PERCCO-441</v>
      </c>
      <c r="C442" s="1" t="s">
        <v>7458</v>
      </c>
      <c r="D442" s="1" t="str">
        <f>VLOOKUP(C442,t_objeto!B:C,2,FALSE)</f>
        <v>KIT_MATERIAL</v>
      </c>
      <c r="E442" s="1">
        <v>8</v>
      </c>
      <c r="F442" s="1" t="str">
        <f>VLOOKUP(E442,t_entry_status!A:C,2,FALSE)</f>
        <v>PENDING</v>
      </c>
      <c r="G442" s="7">
        <v>45560</v>
      </c>
      <c r="H442" s="1" t="s">
        <v>7449</v>
      </c>
      <c r="I442" s="7">
        <v>45560</v>
      </c>
      <c r="J442" s="1" t="s">
        <v>7449</v>
      </c>
    </row>
    <row r="443" spans="1:10" x14ac:dyDescent="0.25">
      <c r="A443" s="1">
        <v>442</v>
      </c>
      <c r="B443" s="2" t="str">
        <f>_xlfn.CONCAT(C443,"-",VLOOKUP(C443,t_objeto!B:D,3,FALSE),"-",A443)</f>
        <v>KKMM-PERCCO-442</v>
      </c>
      <c r="C443" s="1" t="s">
        <v>7458</v>
      </c>
      <c r="D443" s="1" t="str">
        <f>VLOOKUP(C443,t_objeto!B:C,2,FALSE)</f>
        <v>KIT_MATERIAL</v>
      </c>
      <c r="E443" s="1">
        <v>8</v>
      </c>
      <c r="F443" s="1" t="str">
        <f>VLOOKUP(E443,t_entry_status!A:C,2,FALSE)</f>
        <v>PENDING</v>
      </c>
      <c r="G443" s="7">
        <v>45560</v>
      </c>
      <c r="H443" s="1" t="s">
        <v>7449</v>
      </c>
      <c r="I443" s="7">
        <v>45560</v>
      </c>
      <c r="J443" s="1" t="s">
        <v>7449</v>
      </c>
    </row>
    <row r="444" spans="1:10" x14ac:dyDescent="0.25">
      <c r="A444" s="1">
        <v>443</v>
      </c>
      <c r="B444" s="2" t="str">
        <f>_xlfn.CONCAT(C444,"-",VLOOKUP(C444,t_objeto!B:D,3,FALSE),"-",A444)</f>
        <v>KKMM-PERCCO-443</v>
      </c>
      <c r="C444" s="1" t="s">
        <v>7458</v>
      </c>
      <c r="D444" s="1" t="str">
        <f>VLOOKUP(C444,t_objeto!B:C,2,FALSE)</f>
        <v>KIT_MATERIAL</v>
      </c>
      <c r="E444" s="1">
        <v>8</v>
      </c>
      <c r="F444" s="1" t="str">
        <f>VLOOKUP(E444,t_entry_status!A:C,2,FALSE)</f>
        <v>PENDING</v>
      </c>
      <c r="G444" s="7">
        <v>45560</v>
      </c>
      <c r="H444" s="1" t="s">
        <v>7449</v>
      </c>
      <c r="I444" s="7">
        <v>45560</v>
      </c>
      <c r="J444" s="1" t="s">
        <v>7449</v>
      </c>
    </row>
    <row r="445" spans="1:10" x14ac:dyDescent="0.25">
      <c r="A445" s="1">
        <v>444</v>
      </c>
      <c r="B445" s="2" t="str">
        <f>_xlfn.CONCAT(C445,"-",VLOOKUP(C445,t_objeto!B:D,3,FALSE),"-",A445)</f>
        <v>KKMM-PERCCO-444</v>
      </c>
      <c r="C445" s="1" t="s">
        <v>7458</v>
      </c>
      <c r="D445" s="1" t="str">
        <f>VLOOKUP(C445,t_objeto!B:C,2,FALSE)</f>
        <v>KIT_MATERIAL</v>
      </c>
      <c r="E445" s="1">
        <v>8</v>
      </c>
      <c r="F445" s="1" t="str">
        <f>VLOOKUP(E445,t_entry_status!A:C,2,FALSE)</f>
        <v>PENDING</v>
      </c>
      <c r="G445" s="7">
        <v>45560</v>
      </c>
      <c r="H445" s="1" t="s">
        <v>7449</v>
      </c>
      <c r="I445" s="7">
        <v>45560</v>
      </c>
      <c r="J445" s="1" t="s">
        <v>7449</v>
      </c>
    </row>
    <row r="446" spans="1:10" x14ac:dyDescent="0.25">
      <c r="A446" s="1">
        <v>445</v>
      </c>
      <c r="B446" s="2" t="str">
        <f>_xlfn.CONCAT(C446,"-",VLOOKUP(C446,t_objeto!B:D,3,FALSE),"-",A446)</f>
        <v>KKMM-PERCCO-445</v>
      </c>
      <c r="C446" s="1" t="s">
        <v>7458</v>
      </c>
      <c r="D446" s="1" t="str">
        <f>VLOOKUP(C446,t_objeto!B:C,2,FALSE)</f>
        <v>KIT_MATERIAL</v>
      </c>
      <c r="E446" s="1">
        <v>8</v>
      </c>
      <c r="F446" s="1" t="str">
        <f>VLOOKUP(E446,t_entry_status!A:C,2,FALSE)</f>
        <v>PENDING</v>
      </c>
      <c r="G446" s="7">
        <v>45560</v>
      </c>
      <c r="H446" s="1" t="s">
        <v>7449</v>
      </c>
      <c r="I446" s="7">
        <v>45560</v>
      </c>
      <c r="J446" s="1" t="s">
        <v>7449</v>
      </c>
    </row>
    <row r="447" spans="1:10" x14ac:dyDescent="0.25">
      <c r="A447" s="1">
        <v>446</v>
      </c>
      <c r="B447" s="2" t="str">
        <f>_xlfn.CONCAT(C447,"-",VLOOKUP(C447,t_objeto!B:D,3,FALSE),"-",A447)</f>
        <v>KKMM-PERCCO-446</v>
      </c>
      <c r="C447" s="1" t="s">
        <v>7458</v>
      </c>
      <c r="D447" s="1" t="str">
        <f>VLOOKUP(C447,t_objeto!B:C,2,FALSE)</f>
        <v>KIT_MATERIAL</v>
      </c>
      <c r="E447" s="1">
        <v>8</v>
      </c>
      <c r="F447" s="1" t="str">
        <f>VLOOKUP(E447,t_entry_status!A:C,2,FALSE)</f>
        <v>PENDING</v>
      </c>
      <c r="G447" s="7">
        <v>45560</v>
      </c>
      <c r="H447" s="1" t="s">
        <v>7449</v>
      </c>
      <c r="I447" s="7">
        <v>45560</v>
      </c>
      <c r="J447" s="1" t="s">
        <v>7449</v>
      </c>
    </row>
    <row r="448" spans="1:10" x14ac:dyDescent="0.25">
      <c r="A448" s="1">
        <v>447</v>
      </c>
      <c r="B448" s="2" t="str">
        <f>_xlfn.CONCAT(C448,"-",VLOOKUP(C448,t_objeto!B:D,3,FALSE),"-",A448)</f>
        <v>KKMM-PERCCO-447</v>
      </c>
      <c r="C448" s="1" t="s">
        <v>7458</v>
      </c>
      <c r="D448" s="1" t="str">
        <f>VLOOKUP(C448,t_objeto!B:C,2,FALSE)</f>
        <v>KIT_MATERIAL</v>
      </c>
      <c r="E448" s="1">
        <v>8</v>
      </c>
      <c r="F448" s="1" t="str">
        <f>VLOOKUP(E448,t_entry_status!A:C,2,FALSE)</f>
        <v>PENDING</v>
      </c>
      <c r="G448" s="7">
        <v>45560</v>
      </c>
      <c r="H448" s="1" t="s">
        <v>7449</v>
      </c>
      <c r="I448" s="7">
        <v>45560</v>
      </c>
      <c r="J448" s="1" t="s">
        <v>7449</v>
      </c>
    </row>
    <row r="449" spans="1:10" x14ac:dyDescent="0.25">
      <c r="A449" s="1">
        <v>448</v>
      </c>
      <c r="B449" s="2" t="str">
        <f>_xlfn.CONCAT(C449,"-",VLOOKUP(C449,t_objeto!B:D,3,FALSE),"-",A449)</f>
        <v>KKMM-PERCCO-448</v>
      </c>
      <c r="C449" s="1" t="s">
        <v>7458</v>
      </c>
      <c r="D449" s="1" t="str">
        <f>VLOOKUP(C449,t_objeto!B:C,2,FALSE)</f>
        <v>KIT_MATERIAL</v>
      </c>
      <c r="E449" s="1">
        <v>8</v>
      </c>
      <c r="F449" s="1" t="str">
        <f>VLOOKUP(E449,t_entry_status!A:C,2,FALSE)</f>
        <v>PENDING</v>
      </c>
      <c r="G449" s="7">
        <v>45560</v>
      </c>
      <c r="H449" s="1" t="s">
        <v>7449</v>
      </c>
      <c r="I449" s="7">
        <v>45560</v>
      </c>
      <c r="J449" s="1" t="s">
        <v>7449</v>
      </c>
    </row>
    <row r="450" spans="1:10" x14ac:dyDescent="0.25">
      <c r="A450" s="1">
        <v>449</v>
      </c>
      <c r="B450" s="2" t="str">
        <f>_xlfn.CONCAT(C450,"-",VLOOKUP(C450,t_objeto!B:D,3,FALSE),"-",A450)</f>
        <v>KKMM-PERCCO-449</v>
      </c>
      <c r="C450" s="1" t="s">
        <v>7458</v>
      </c>
      <c r="D450" s="1" t="str">
        <f>VLOOKUP(C450,t_objeto!B:C,2,FALSE)</f>
        <v>KIT_MATERIAL</v>
      </c>
      <c r="E450" s="1">
        <v>8</v>
      </c>
      <c r="F450" s="1" t="str">
        <f>VLOOKUP(E450,t_entry_status!A:C,2,FALSE)</f>
        <v>PENDING</v>
      </c>
      <c r="G450" s="7">
        <v>45560</v>
      </c>
      <c r="H450" s="1" t="s">
        <v>7449</v>
      </c>
      <c r="I450" s="7">
        <v>45560</v>
      </c>
      <c r="J450" s="1" t="s">
        <v>7449</v>
      </c>
    </row>
    <row r="451" spans="1:10" x14ac:dyDescent="0.25">
      <c r="A451" s="1">
        <v>450</v>
      </c>
      <c r="B451" s="2" t="str">
        <f>_xlfn.CONCAT(C451,"-",VLOOKUP(C451,t_objeto!B:D,3,FALSE),"-",A451)</f>
        <v>KKMM-PERCCO-450</v>
      </c>
      <c r="C451" s="1" t="s">
        <v>7458</v>
      </c>
      <c r="D451" s="1" t="str">
        <f>VLOOKUP(C451,t_objeto!B:C,2,FALSE)</f>
        <v>KIT_MATERIAL</v>
      </c>
      <c r="E451" s="1">
        <v>8</v>
      </c>
      <c r="F451" s="1" t="str">
        <f>VLOOKUP(E451,t_entry_status!A:C,2,FALSE)</f>
        <v>PENDING</v>
      </c>
      <c r="G451" s="7">
        <v>45560</v>
      </c>
      <c r="H451" s="1" t="s">
        <v>7449</v>
      </c>
      <c r="I451" s="7">
        <v>45560</v>
      </c>
      <c r="J451" s="1" t="s">
        <v>7449</v>
      </c>
    </row>
    <row r="452" spans="1:10" x14ac:dyDescent="0.25">
      <c r="A452" s="1">
        <v>451</v>
      </c>
      <c r="B452" s="2" t="str">
        <f>_xlfn.CONCAT(C452,"-",VLOOKUP(C452,t_objeto!B:D,3,FALSE),"-",A452)</f>
        <v>KKMM-PERCCO-451</v>
      </c>
      <c r="C452" s="1" t="s">
        <v>7458</v>
      </c>
      <c r="D452" s="1" t="str">
        <f>VLOOKUP(C452,t_objeto!B:C,2,FALSE)</f>
        <v>KIT_MATERIAL</v>
      </c>
      <c r="E452" s="1">
        <v>8</v>
      </c>
      <c r="F452" s="1" t="str">
        <f>VLOOKUP(E452,t_entry_status!A:C,2,FALSE)</f>
        <v>PENDING</v>
      </c>
      <c r="G452" s="7">
        <v>45560</v>
      </c>
      <c r="H452" s="1" t="s">
        <v>7449</v>
      </c>
      <c r="I452" s="7">
        <v>45560</v>
      </c>
      <c r="J452" s="1" t="s">
        <v>7449</v>
      </c>
    </row>
    <row r="453" spans="1:10" x14ac:dyDescent="0.25">
      <c r="A453" s="1">
        <v>452</v>
      </c>
      <c r="B453" s="2" t="str">
        <f>_xlfn.CONCAT(C453,"-",VLOOKUP(C453,t_objeto!B:D,3,FALSE),"-",A453)</f>
        <v>KKMM-PERCCO-452</v>
      </c>
      <c r="C453" s="1" t="s">
        <v>7458</v>
      </c>
      <c r="D453" s="1" t="str">
        <f>VLOOKUP(C453,t_objeto!B:C,2,FALSE)</f>
        <v>KIT_MATERIAL</v>
      </c>
      <c r="E453" s="1">
        <v>8</v>
      </c>
      <c r="F453" s="1" t="str">
        <f>VLOOKUP(E453,t_entry_status!A:C,2,FALSE)</f>
        <v>PENDING</v>
      </c>
      <c r="G453" s="7">
        <v>45560</v>
      </c>
      <c r="H453" s="1" t="s">
        <v>7449</v>
      </c>
      <c r="I453" s="7">
        <v>45560</v>
      </c>
      <c r="J453" s="1" t="s">
        <v>7449</v>
      </c>
    </row>
    <row r="454" spans="1:10" x14ac:dyDescent="0.25">
      <c r="A454" s="1">
        <v>453</v>
      </c>
      <c r="B454" s="2" t="str">
        <f>_xlfn.CONCAT(C454,"-",VLOOKUP(C454,t_objeto!B:D,3,FALSE),"-",A454)</f>
        <v>KKMM-PERCCO-453</v>
      </c>
      <c r="C454" s="1" t="s">
        <v>7458</v>
      </c>
      <c r="D454" s="1" t="str">
        <f>VLOOKUP(C454,t_objeto!B:C,2,FALSE)</f>
        <v>KIT_MATERIAL</v>
      </c>
      <c r="E454" s="1">
        <v>8</v>
      </c>
      <c r="F454" s="1" t="str">
        <f>VLOOKUP(E454,t_entry_status!A:C,2,FALSE)</f>
        <v>PENDING</v>
      </c>
      <c r="G454" s="7">
        <v>45560</v>
      </c>
      <c r="H454" s="1" t="s">
        <v>7449</v>
      </c>
      <c r="I454" s="7">
        <v>45560</v>
      </c>
      <c r="J454" s="1" t="s">
        <v>7449</v>
      </c>
    </row>
    <row r="455" spans="1:10" x14ac:dyDescent="0.25">
      <c r="A455" s="1">
        <v>454</v>
      </c>
      <c r="B455" s="2" t="str">
        <f>_xlfn.CONCAT(C455,"-",VLOOKUP(C455,t_objeto!B:D,3,FALSE),"-",A455)</f>
        <v>KKMM-PERCCO-454</v>
      </c>
      <c r="C455" s="1" t="s">
        <v>7458</v>
      </c>
      <c r="D455" s="1" t="str">
        <f>VLOOKUP(C455,t_objeto!B:C,2,FALSE)</f>
        <v>KIT_MATERIAL</v>
      </c>
      <c r="E455" s="1">
        <v>8</v>
      </c>
      <c r="F455" s="1" t="str">
        <f>VLOOKUP(E455,t_entry_status!A:C,2,FALSE)</f>
        <v>PENDING</v>
      </c>
      <c r="G455" s="7">
        <v>45560</v>
      </c>
      <c r="H455" s="1" t="s">
        <v>7449</v>
      </c>
      <c r="I455" s="7">
        <v>45560</v>
      </c>
      <c r="J455" s="1" t="s">
        <v>7449</v>
      </c>
    </row>
    <row r="456" spans="1:10" x14ac:dyDescent="0.25">
      <c r="A456" s="1">
        <v>455</v>
      </c>
      <c r="B456" s="2" t="str">
        <f>_xlfn.CONCAT(C456,"-",VLOOKUP(C456,t_objeto!B:D,3,FALSE),"-",A456)</f>
        <v>KKMM-PERCCO-455</v>
      </c>
      <c r="C456" s="1" t="s">
        <v>7458</v>
      </c>
      <c r="D456" s="1" t="str">
        <f>VLOOKUP(C456,t_objeto!B:C,2,FALSE)</f>
        <v>KIT_MATERIAL</v>
      </c>
      <c r="E456" s="1">
        <v>8</v>
      </c>
      <c r="F456" s="1" t="str">
        <f>VLOOKUP(E456,t_entry_status!A:C,2,FALSE)</f>
        <v>PENDING</v>
      </c>
      <c r="G456" s="7">
        <v>45560</v>
      </c>
      <c r="H456" s="1" t="s">
        <v>7449</v>
      </c>
      <c r="I456" s="7">
        <v>45560</v>
      </c>
      <c r="J456" s="1" t="s">
        <v>7449</v>
      </c>
    </row>
    <row r="457" spans="1:10" x14ac:dyDescent="0.25">
      <c r="A457" s="1">
        <v>456</v>
      </c>
      <c r="B457" s="2" t="str">
        <f>_xlfn.CONCAT(C457,"-",VLOOKUP(C457,t_objeto!B:D,3,FALSE),"-",A457)</f>
        <v>KKMM-PERCCO-456</v>
      </c>
      <c r="C457" s="1" t="s">
        <v>7458</v>
      </c>
      <c r="D457" s="1" t="str">
        <f>VLOOKUP(C457,t_objeto!B:C,2,FALSE)</f>
        <v>KIT_MATERIAL</v>
      </c>
      <c r="E457" s="1">
        <v>8</v>
      </c>
      <c r="F457" s="1" t="str">
        <f>VLOOKUP(E457,t_entry_status!A:C,2,FALSE)</f>
        <v>PENDING</v>
      </c>
      <c r="G457" s="7">
        <v>45560</v>
      </c>
      <c r="H457" s="1" t="s">
        <v>7449</v>
      </c>
      <c r="I457" s="7">
        <v>45560</v>
      </c>
      <c r="J457" s="1" t="s">
        <v>7449</v>
      </c>
    </row>
    <row r="458" spans="1:10" x14ac:dyDescent="0.25">
      <c r="A458" s="1">
        <v>457</v>
      </c>
      <c r="B458" s="2" t="str">
        <f>_xlfn.CONCAT(C458,"-",VLOOKUP(C458,t_objeto!B:D,3,FALSE),"-",A458)</f>
        <v>KKMM-PERCCO-457</v>
      </c>
      <c r="C458" s="1" t="s">
        <v>7458</v>
      </c>
      <c r="D458" s="1" t="str">
        <f>VLOOKUP(C458,t_objeto!B:C,2,FALSE)</f>
        <v>KIT_MATERIAL</v>
      </c>
      <c r="E458" s="1">
        <v>8</v>
      </c>
      <c r="F458" s="1" t="str">
        <f>VLOOKUP(E458,t_entry_status!A:C,2,FALSE)</f>
        <v>PENDING</v>
      </c>
      <c r="G458" s="7">
        <v>45560</v>
      </c>
      <c r="H458" s="1" t="s">
        <v>7449</v>
      </c>
      <c r="I458" s="7">
        <v>45560</v>
      </c>
      <c r="J458" s="1" t="s">
        <v>7449</v>
      </c>
    </row>
    <row r="459" spans="1:10" x14ac:dyDescent="0.25">
      <c r="A459" s="1">
        <v>458</v>
      </c>
      <c r="B459" s="2" t="str">
        <f>_xlfn.CONCAT(C459,"-",VLOOKUP(C459,t_objeto!B:D,3,FALSE),"-",A459)</f>
        <v>KKMM-PERCCO-458</v>
      </c>
      <c r="C459" s="1" t="s">
        <v>7458</v>
      </c>
      <c r="D459" s="1" t="str">
        <f>VLOOKUP(C459,t_objeto!B:C,2,FALSE)</f>
        <v>KIT_MATERIAL</v>
      </c>
      <c r="E459" s="1">
        <v>8</v>
      </c>
      <c r="F459" s="1" t="str">
        <f>VLOOKUP(E459,t_entry_status!A:C,2,FALSE)</f>
        <v>PENDING</v>
      </c>
      <c r="G459" s="7">
        <v>45560</v>
      </c>
      <c r="H459" s="1" t="s">
        <v>7449</v>
      </c>
      <c r="I459" s="7">
        <v>45560</v>
      </c>
      <c r="J459" s="1" t="s">
        <v>7449</v>
      </c>
    </row>
    <row r="460" spans="1:10" x14ac:dyDescent="0.25">
      <c r="A460" s="1">
        <v>459</v>
      </c>
      <c r="B460" s="2" t="str">
        <f>_xlfn.CONCAT(C460,"-",VLOOKUP(C460,t_objeto!B:D,3,FALSE),"-",A460)</f>
        <v>KKMM-PERCCO-459</v>
      </c>
      <c r="C460" s="1" t="s">
        <v>7458</v>
      </c>
      <c r="D460" s="1" t="str">
        <f>VLOOKUP(C460,t_objeto!B:C,2,FALSE)</f>
        <v>KIT_MATERIAL</v>
      </c>
      <c r="E460" s="1">
        <v>8</v>
      </c>
      <c r="F460" s="1" t="str">
        <f>VLOOKUP(E460,t_entry_status!A:C,2,FALSE)</f>
        <v>PENDING</v>
      </c>
      <c r="G460" s="7">
        <v>45560</v>
      </c>
      <c r="H460" s="1" t="s">
        <v>7449</v>
      </c>
      <c r="I460" s="7">
        <v>45560</v>
      </c>
      <c r="J460" s="1" t="s">
        <v>7449</v>
      </c>
    </row>
    <row r="461" spans="1:10" x14ac:dyDescent="0.25">
      <c r="A461" s="1">
        <v>460</v>
      </c>
      <c r="B461" s="2" t="str">
        <f>_xlfn.CONCAT(C461,"-",VLOOKUP(C461,t_objeto!B:D,3,FALSE),"-",A461)</f>
        <v>KKMM-PERCCO-460</v>
      </c>
      <c r="C461" s="1" t="s">
        <v>7458</v>
      </c>
      <c r="D461" s="1" t="str">
        <f>VLOOKUP(C461,t_objeto!B:C,2,FALSE)</f>
        <v>KIT_MATERIAL</v>
      </c>
      <c r="E461" s="1">
        <v>8</v>
      </c>
      <c r="F461" s="1" t="str">
        <f>VLOOKUP(E461,t_entry_status!A:C,2,FALSE)</f>
        <v>PENDING</v>
      </c>
      <c r="G461" s="7">
        <v>45560</v>
      </c>
      <c r="H461" s="1" t="s">
        <v>7449</v>
      </c>
      <c r="I461" s="7">
        <v>45560</v>
      </c>
      <c r="J461" s="1" t="s">
        <v>7449</v>
      </c>
    </row>
    <row r="462" spans="1:10" x14ac:dyDescent="0.25">
      <c r="A462" s="1">
        <v>461</v>
      </c>
      <c r="B462" s="2" t="str">
        <f>_xlfn.CONCAT(C462,"-",VLOOKUP(C462,t_objeto!B:D,3,FALSE),"-",A462)</f>
        <v>KKMM-PERCCO-461</v>
      </c>
      <c r="C462" s="1" t="s">
        <v>7458</v>
      </c>
      <c r="D462" s="1" t="str">
        <f>VLOOKUP(C462,t_objeto!B:C,2,FALSE)</f>
        <v>KIT_MATERIAL</v>
      </c>
      <c r="E462" s="1">
        <v>8</v>
      </c>
      <c r="F462" s="1" t="str">
        <f>VLOOKUP(E462,t_entry_status!A:C,2,FALSE)</f>
        <v>PENDING</v>
      </c>
      <c r="G462" s="7">
        <v>45560</v>
      </c>
      <c r="H462" s="1" t="s">
        <v>7449</v>
      </c>
      <c r="I462" s="7">
        <v>45560</v>
      </c>
      <c r="J462" s="1" t="s">
        <v>7449</v>
      </c>
    </row>
    <row r="463" spans="1:10" x14ac:dyDescent="0.25">
      <c r="A463" s="1">
        <v>462</v>
      </c>
      <c r="B463" s="2" t="str">
        <f>_xlfn.CONCAT(C463,"-",VLOOKUP(C463,t_objeto!B:D,3,FALSE),"-",A463)</f>
        <v>KKMM-PERCCO-462</v>
      </c>
      <c r="C463" s="1" t="s">
        <v>7458</v>
      </c>
      <c r="D463" s="1" t="str">
        <f>VLOOKUP(C463,t_objeto!B:C,2,FALSE)</f>
        <v>KIT_MATERIAL</v>
      </c>
      <c r="E463" s="1">
        <v>8</v>
      </c>
      <c r="F463" s="1" t="str">
        <f>VLOOKUP(E463,t_entry_status!A:C,2,FALSE)</f>
        <v>PENDING</v>
      </c>
      <c r="G463" s="7">
        <v>45560</v>
      </c>
      <c r="H463" s="1" t="s">
        <v>7449</v>
      </c>
      <c r="I463" s="7">
        <v>45560</v>
      </c>
      <c r="J463" s="1" t="s">
        <v>7449</v>
      </c>
    </row>
    <row r="464" spans="1:10" x14ac:dyDescent="0.25">
      <c r="A464" s="1">
        <v>463</v>
      </c>
      <c r="B464" s="2" t="str">
        <f>_xlfn.CONCAT(C464,"-",VLOOKUP(C464,t_objeto!B:D,3,FALSE),"-",A464)</f>
        <v>KKMM-PERCCO-463</v>
      </c>
      <c r="C464" s="1" t="s">
        <v>7458</v>
      </c>
      <c r="D464" s="1" t="str">
        <f>VLOOKUP(C464,t_objeto!B:C,2,FALSE)</f>
        <v>KIT_MATERIAL</v>
      </c>
      <c r="E464" s="1">
        <v>8</v>
      </c>
      <c r="F464" s="1" t="str">
        <f>VLOOKUP(E464,t_entry_status!A:C,2,FALSE)</f>
        <v>PENDING</v>
      </c>
      <c r="G464" s="7">
        <v>45560</v>
      </c>
      <c r="H464" s="1" t="s">
        <v>7449</v>
      </c>
      <c r="I464" s="7">
        <v>45560</v>
      </c>
      <c r="J464" s="1" t="s">
        <v>7449</v>
      </c>
    </row>
    <row r="465" spans="1:10" x14ac:dyDescent="0.25">
      <c r="A465" s="1">
        <v>464</v>
      </c>
      <c r="B465" s="2" t="str">
        <f>_xlfn.CONCAT(C465,"-",VLOOKUP(C465,t_objeto!B:D,3,FALSE),"-",A465)</f>
        <v>KKMM-PERCCO-464</v>
      </c>
      <c r="C465" s="1" t="s">
        <v>7458</v>
      </c>
      <c r="D465" s="1" t="str">
        <f>VLOOKUP(C465,t_objeto!B:C,2,FALSE)</f>
        <v>KIT_MATERIAL</v>
      </c>
      <c r="E465" s="1">
        <v>8</v>
      </c>
      <c r="F465" s="1" t="str">
        <f>VLOOKUP(E465,t_entry_status!A:C,2,FALSE)</f>
        <v>PENDING</v>
      </c>
      <c r="G465" s="7">
        <v>45560</v>
      </c>
      <c r="H465" s="1" t="s">
        <v>7449</v>
      </c>
      <c r="I465" s="7">
        <v>45560</v>
      </c>
      <c r="J465" s="1" t="s">
        <v>7449</v>
      </c>
    </row>
    <row r="466" spans="1:10" x14ac:dyDescent="0.25">
      <c r="A466" s="1">
        <v>465</v>
      </c>
      <c r="B466" s="2" t="str">
        <f>_xlfn.CONCAT(C466,"-",VLOOKUP(C466,t_objeto!B:D,3,FALSE),"-",A466)</f>
        <v>KKMM-PERCCO-465</v>
      </c>
      <c r="C466" s="1" t="s">
        <v>7458</v>
      </c>
      <c r="D466" s="1" t="str">
        <f>VLOOKUP(C466,t_objeto!B:C,2,FALSE)</f>
        <v>KIT_MATERIAL</v>
      </c>
      <c r="E466" s="1">
        <v>8</v>
      </c>
      <c r="F466" s="1" t="str">
        <f>VLOOKUP(E466,t_entry_status!A:C,2,FALSE)</f>
        <v>PENDING</v>
      </c>
      <c r="G466" s="7">
        <v>45560</v>
      </c>
      <c r="H466" s="1" t="s">
        <v>7449</v>
      </c>
      <c r="I466" s="7">
        <v>45560</v>
      </c>
      <c r="J466" s="1" t="s">
        <v>7449</v>
      </c>
    </row>
    <row r="467" spans="1:10" x14ac:dyDescent="0.25">
      <c r="A467" s="1">
        <v>466</v>
      </c>
      <c r="B467" s="2" t="str">
        <f>_xlfn.CONCAT(C467,"-",VLOOKUP(C467,t_objeto!B:D,3,FALSE),"-",A467)</f>
        <v>KKMM-PERCCO-466</v>
      </c>
      <c r="C467" s="1" t="s">
        <v>7458</v>
      </c>
      <c r="D467" s="1" t="str">
        <f>VLOOKUP(C467,t_objeto!B:C,2,FALSE)</f>
        <v>KIT_MATERIAL</v>
      </c>
      <c r="E467" s="1">
        <v>8</v>
      </c>
      <c r="F467" s="1" t="str">
        <f>VLOOKUP(E467,t_entry_status!A:C,2,FALSE)</f>
        <v>PENDING</v>
      </c>
      <c r="G467" s="7">
        <v>45560</v>
      </c>
      <c r="H467" s="1" t="s">
        <v>7449</v>
      </c>
      <c r="I467" s="7">
        <v>45560</v>
      </c>
      <c r="J467" s="1" t="s">
        <v>7449</v>
      </c>
    </row>
    <row r="468" spans="1:10" x14ac:dyDescent="0.25">
      <c r="A468" s="1">
        <v>467</v>
      </c>
      <c r="B468" s="2" t="str">
        <f>_xlfn.CONCAT(C468,"-",VLOOKUP(C468,t_objeto!B:D,3,FALSE),"-",A468)</f>
        <v>KKMM-PERCCO-467</v>
      </c>
      <c r="C468" s="1" t="s">
        <v>7458</v>
      </c>
      <c r="D468" s="1" t="str">
        <f>VLOOKUP(C468,t_objeto!B:C,2,FALSE)</f>
        <v>KIT_MATERIAL</v>
      </c>
      <c r="E468" s="1">
        <v>8</v>
      </c>
      <c r="F468" s="1" t="str">
        <f>VLOOKUP(E468,t_entry_status!A:C,2,FALSE)</f>
        <v>PENDING</v>
      </c>
      <c r="G468" s="7">
        <v>45560</v>
      </c>
      <c r="H468" s="1" t="s">
        <v>7449</v>
      </c>
      <c r="I468" s="7">
        <v>45560</v>
      </c>
      <c r="J468" s="1" t="s">
        <v>7449</v>
      </c>
    </row>
    <row r="469" spans="1:10" x14ac:dyDescent="0.25">
      <c r="A469" s="1">
        <v>468</v>
      </c>
      <c r="B469" s="2" t="str">
        <f>_xlfn.CONCAT(C469,"-",VLOOKUP(C469,t_objeto!B:D,3,FALSE),"-",A469)</f>
        <v>KKMM-PERCCO-468</v>
      </c>
      <c r="C469" s="1" t="s">
        <v>7458</v>
      </c>
      <c r="D469" s="1" t="str">
        <f>VLOOKUP(C469,t_objeto!B:C,2,FALSE)</f>
        <v>KIT_MATERIAL</v>
      </c>
      <c r="E469" s="1">
        <v>8</v>
      </c>
      <c r="F469" s="1" t="str">
        <f>VLOOKUP(E469,t_entry_status!A:C,2,FALSE)</f>
        <v>PENDING</v>
      </c>
      <c r="G469" s="7">
        <v>45560</v>
      </c>
      <c r="H469" s="1" t="s">
        <v>7449</v>
      </c>
      <c r="I469" s="7">
        <v>45560</v>
      </c>
      <c r="J469" s="1" t="s">
        <v>7449</v>
      </c>
    </row>
    <row r="470" spans="1:10" x14ac:dyDescent="0.25">
      <c r="A470" s="1">
        <v>469</v>
      </c>
      <c r="B470" s="2" t="str">
        <f>_xlfn.CONCAT(C470,"-",VLOOKUP(C470,t_objeto!B:D,3,FALSE),"-",A470)</f>
        <v>KKMM-PERCCO-469</v>
      </c>
      <c r="C470" s="1" t="s">
        <v>7458</v>
      </c>
      <c r="D470" s="1" t="str">
        <f>VLOOKUP(C470,t_objeto!B:C,2,FALSE)</f>
        <v>KIT_MATERIAL</v>
      </c>
      <c r="E470" s="1">
        <v>8</v>
      </c>
      <c r="F470" s="1" t="str">
        <f>VLOOKUP(E470,t_entry_status!A:C,2,FALSE)</f>
        <v>PENDING</v>
      </c>
      <c r="G470" s="7">
        <v>45560</v>
      </c>
      <c r="H470" s="1" t="s">
        <v>7449</v>
      </c>
      <c r="I470" s="7">
        <v>45560</v>
      </c>
      <c r="J470" s="1" t="s">
        <v>7449</v>
      </c>
    </row>
    <row r="471" spans="1:10" x14ac:dyDescent="0.25">
      <c r="A471" s="1">
        <v>470</v>
      </c>
      <c r="B471" s="2" t="str">
        <f>_xlfn.CONCAT(C471,"-",VLOOKUP(C471,t_objeto!B:D,3,FALSE),"-",A471)</f>
        <v>KKMM-PERCCO-470</v>
      </c>
      <c r="C471" s="1" t="s">
        <v>7458</v>
      </c>
      <c r="D471" s="1" t="str">
        <f>VLOOKUP(C471,t_objeto!B:C,2,FALSE)</f>
        <v>KIT_MATERIAL</v>
      </c>
      <c r="E471" s="1">
        <v>8</v>
      </c>
      <c r="F471" s="1" t="str">
        <f>VLOOKUP(E471,t_entry_status!A:C,2,FALSE)</f>
        <v>PENDING</v>
      </c>
      <c r="G471" s="7">
        <v>45560</v>
      </c>
      <c r="H471" s="1" t="s">
        <v>7449</v>
      </c>
      <c r="I471" s="7">
        <v>45560</v>
      </c>
      <c r="J471" s="1" t="s">
        <v>7449</v>
      </c>
    </row>
    <row r="472" spans="1:10" x14ac:dyDescent="0.25">
      <c r="A472" s="1">
        <v>471</v>
      </c>
      <c r="B472" s="2" t="str">
        <f>_xlfn.CONCAT(C472,"-",VLOOKUP(C472,t_objeto!B:D,3,FALSE),"-",A472)</f>
        <v>KKMM-PERCCO-471</v>
      </c>
      <c r="C472" s="1" t="s">
        <v>7458</v>
      </c>
      <c r="D472" s="1" t="str">
        <f>VLOOKUP(C472,t_objeto!B:C,2,FALSE)</f>
        <v>KIT_MATERIAL</v>
      </c>
      <c r="E472" s="1">
        <v>8</v>
      </c>
      <c r="F472" s="1" t="str">
        <f>VLOOKUP(E472,t_entry_status!A:C,2,FALSE)</f>
        <v>PENDING</v>
      </c>
      <c r="G472" s="7">
        <v>45560</v>
      </c>
      <c r="H472" s="1" t="s">
        <v>7449</v>
      </c>
      <c r="I472" s="7">
        <v>45560</v>
      </c>
      <c r="J472" s="1" t="s">
        <v>7449</v>
      </c>
    </row>
    <row r="473" spans="1:10" x14ac:dyDescent="0.25">
      <c r="A473" s="1">
        <v>472</v>
      </c>
      <c r="B473" s="2" t="str">
        <f>_xlfn.CONCAT(C473,"-",VLOOKUP(C473,t_objeto!B:D,3,FALSE),"-",A473)</f>
        <v>KKMM-PERCCO-472</v>
      </c>
      <c r="C473" s="1" t="s">
        <v>7458</v>
      </c>
      <c r="D473" s="1" t="str">
        <f>VLOOKUP(C473,t_objeto!B:C,2,FALSE)</f>
        <v>KIT_MATERIAL</v>
      </c>
      <c r="E473" s="1">
        <v>8</v>
      </c>
      <c r="F473" s="1" t="str">
        <f>VLOOKUP(E473,t_entry_status!A:C,2,FALSE)</f>
        <v>PENDING</v>
      </c>
      <c r="G473" s="7">
        <v>45560</v>
      </c>
      <c r="H473" s="1" t="s">
        <v>7449</v>
      </c>
      <c r="I473" s="7">
        <v>45560</v>
      </c>
      <c r="J473" s="1" t="s">
        <v>7449</v>
      </c>
    </row>
    <row r="474" spans="1:10" x14ac:dyDescent="0.25">
      <c r="A474" s="1">
        <v>473</v>
      </c>
      <c r="B474" s="2" t="str">
        <f>_xlfn.CONCAT(C474,"-",VLOOKUP(C474,t_objeto!B:D,3,FALSE),"-",A474)</f>
        <v>KKMM-PERCCO-473</v>
      </c>
      <c r="C474" s="1" t="s">
        <v>7458</v>
      </c>
      <c r="D474" s="1" t="str">
        <f>VLOOKUP(C474,t_objeto!B:C,2,FALSE)</f>
        <v>KIT_MATERIAL</v>
      </c>
      <c r="E474" s="1">
        <v>8</v>
      </c>
      <c r="F474" s="1" t="str">
        <f>VLOOKUP(E474,t_entry_status!A:C,2,FALSE)</f>
        <v>PENDING</v>
      </c>
      <c r="G474" s="7">
        <v>45560</v>
      </c>
      <c r="H474" s="1" t="s">
        <v>7449</v>
      </c>
      <c r="I474" s="7">
        <v>45560</v>
      </c>
      <c r="J474" s="1" t="s">
        <v>7449</v>
      </c>
    </row>
    <row r="475" spans="1:10" x14ac:dyDescent="0.25">
      <c r="A475" s="1">
        <v>474</v>
      </c>
      <c r="B475" s="2" t="str">
        <f>_xlfn.CONCAT(C475,"-",VLOOKUP(C475,t_objeto!B:D,3,FALSE),"-",A475)</f>
        <v>KKMM-PERCCO-474</v>
      </c>
      <c r="C475" s="1" t="s">
        <v>7458</v>
      </c>
      <c r="D475" s="1" t="str">
        <f>VLOOKUP(C475,t_objeto!B:C,2,FALSE)</f>
        <v>KIT_MATERIAL</v>
      </c>
      <c r="E475" s="1">
        <v>8</v>
      </c>
      <c r="F475" s="1" t="str">
        <f>VLOOKUP(E475,t_entry_status!A:C,2,FALSE)</f>
        <v>PENDING</v>
      </c>
      <c r="G475" s="7">
        <v>45560</v>
      </c>
      <c r="H475" s="1" t="s">
        <v>7449</v>
      </c>
      <c r="I475" s="7">
        <v>45560</v>
      </c>
      <c r="J475" s="1" t="s">
        <v>7449</v>
      </c>
    </row>
    <row r="476" spans="1:10" x14ac:dyDescent="0.25">
      <c r="A476" s="1">
        <v>475</v>
      </c>
      <c r="B476" s="2" t="str">
        <f>_xlfn.CONCAT(C476,"-",VLOOKUP(C476,t_objeto!B:D,3,FALSE),"-",A476)</f>
        <v>KKMM-PERCCO-475</v>
      </c>
      <c r="C476" s="1" t="s">
        <v>7458</v>
      </c>
      <c r="D476" s="1" t="str">
        <f>VLOOKUP(C476,t_objeto!B:C,2,FALSE)</f>
        <v>KIT_MATERIAL</v>
      </c>
      <c r="E476" s="1">
        <v>8</v>
      </c>
      <c r="F476" s="1" t="str">
        <f>VLOOKUP(E476,t_entry_status!A:C,2,FALSE)</f>
        <v>PENDING</v>
      </c>
      <c r="G476" s="7">
        <v>45560</v>
      </c>
      <c r="H476" s="1" t="s">
        <v>7449</v>
      </c>
      <c r="I476" s="7">
        <v>45560</v>
      </c>
      <c r="J476" s="1" t="s">
        <v>7449</v>
      </c>
    </row>
    <row r="477" spans="1:10" x14ac:dyDescent="0.25">
      <c r="A477" s="1">
        <v>476</v>
      </c>
      <c r="B477" s="2" t="str">
        <f>_xlfn.CONCAT(C477,"-",VLOOKUP(C477,t_objeto!B:D,3,FALSE),"-",A477)</f>
        <v>KKMM-PERCCO-476</v>
      </c>
      <c r="C477" s="1" t="s">
        <v>7458</v>
      </c>
      <c r="D477" s="1" t="str">
        <f>VLOOKUP(C477,t_objeto!B:C,2,FALSE)</f>
        <v>KIT_MATERIAL</v>
      </c>
      <c r="E477" s="1">
        <v>8</v>
      </c>
      <c r="F477" s="1" t="str">
        <f>VLOOKUP(E477,t_entry_status!A:C,2,FALSE)</f>
        <v>PENDING</v>
      </c>
      <c r="G477" s="7">
        <v>45560</v>
      </c>
      <c r="H477" s="1" t="s">
        <v>7449</v>
      </c>
      <c r="I477" s="7">
        <v>45560</v>
      </c>
      <c r="J477" s="1" t="s">
        <v>7449</v>
      </c>
    </row>
    <row r="478" spans="1:10" x14ac:dyDescent="0.25">
      <c r="A478" s="1">
        <v>477</v>
      </c>
      <c r="B478" s="2" t="str">
        <f>_xlfn.CONCAT(C478,"-",VLOOKUP(C478,t_objeto!B:D,3,FALSE),"-",A478)</f>
        <v>KKMM-PERCCO-477</v>
      </c>
      <c r="C478" s="1" t="s">
        <v>7458</v>
      </c>
      <c r="D478" s="1" t="str">
        <f>VLOOKUP(C478,t_objeto!B:C,2,FALSE)</f>
        <v>KIT_MATERIAL</v>
      </c>
      <c r="E478" s="1">
        <v>8</v>
      </c>
      <c r="F478" s="1" t="str">
        <f>VLOOKUP(E478,t_entry_status!A:C,2,FALSE)</f>
        <v>PENDING</v>
      </c>
      <c r="G478" s="7">
        <v>45560</v>
      </c>
      <c r="H478" s="1" t="s">
        <v>7449</v>
      </c>
      <c r="I478" s="7">
        <v>45560</v>
      </c>
      <c r="J478" s="1" t="s">
        <v>7449</v>
      </c>
    </row>
    <row r="479" spans="1:10" x14ac:dyDescent="0.25">
      <c r="A479" s="1">
        <v>478</v>
      </c>
      <c r="B479" s="2" t="str">
        <f>_xlfn.CONCAT(C479,"-",VLOOKUP(C479,t_objeto!B:D,3,FALSE),"-",A479)</f>
        <v>KKMM-PERCCO-478</v>
      </c>
      <c r="C479" s="1" t="s">
        <v>7458</v>
      </c>
      <c r="D479" s="1" t="str">
        <f>VLOOKUP(C479,t_objeto!B:C,2,FALSE)</f>
        <v>KIT_MATERIAL</v>
      </c>
      <c r="E479" s="1">
        <v>8</v>
      </c>
      <c r="F479" s="1" t="str">
        <f>VLOOKUP(E479,t_entry_status!A:C,2,FALSE)</f>
        <v>PENDING</v>
      </c>
      <c r="G479" s="7">
        <v>45560</v>
      </c>
      <c r="H479" s="1" t="s">
        <v>7449</v>
      </c>
      <c r="I479" s="7">
        <v>45560</v>
      </c>
      <c r="J479" s="1" t="s">
        <v>7449</v>
      </c>
    </row>
    <row r="480" spans="1:10" x14ac:dyDescent="0.25">
      <c r="A480" s="1">
        <v>479</v>
      </c>
      <c r="B480" s="2" t="str">
        <f>_xlfn.CONCAT(C480,"-",VLOOKUP(C480,t_objeto!B:D,3,FALSE),"-",A480)</f>
        <v>KKMM-PERCCO-479</v>
      </c>
      <c r="C480" s="1" t="s">
        <v>7458</v>
      </c>
      <c r="D480" s="1" t="str">
        <f>VLOOKUP(C480,t_objeto!B:C,2,FALSE)</f>
        <v>KIT_MATERIAL</v>
      </c>
      <c r="E480" s="1">
        <v>8</v>
      </c>
      <c r="F480" s="1" t="str">
        <f>VLOOKUP(E480,t_entry_status!A:C,2,FALSE)</f>
        <v>PENDING</v>
      </c>
      <c r="G480" s="7">
        <v>45560</v>
      </c>
      <c r="H480" s="1" t="s">
        <v>7449</v>
      </c>
      <c r="I480" s="7">
        <v>45560</v>
      </c>
      <c r="J480" s="1" t="s">
        <v>7449</v>
      </c>
    </row>
    <row r="481" spans="1:10" x14ac:dyDescent="0.25">
      <c r="A481" s="1">
        <v>480</v>
      </c>
      <c r="B481" s="2" t="str">
        <f>_xlfn.CONCAT(C481,"-",VLOOKUP(C481,t_objeto!B:D,3,FALSE),"-",A481)</f>
        <v>KKMM-PERCCO-480</v>
      </c>
      <c r="C481" s="1" t="s">
        <v>7458</v>
      </c>
      <c r="D481" s="1" t="str">
        <f>VLOOKUP(C481,t_objeto!B:C,2,FALSE)</f>
        <v>KIT_MATERIAL</v>
      </c>
      <c r="E481" s="1">
        <v>8</v>
      </c>
      <c r="F481" s="1" t="str">
        <f>VLOOKUP(E481,t_entry_status!A:C,2,FALSE)</f>
        <v>PENDING</v>
      </c>
      <c r="G481" s="7">
        <v>45560</v>
      </c>
      <c r="H481" s="1" t="s">
        <v>7449</v>
      </c>
      <c r="I481" s="7">
        <v>45560</v>
      </c>
      <c r="J481" s="1" t="s">
        <v>7449</v>
      </c>
    </row>
    <row r="482" spans="1:10" x14ac:dyDescent="0.25">
      <c r="A482" s="1">
        <v>481</v>
      </c>
      <c r="B482" s="2" t="str">
        <f>_xlfn.CONCAT(C482,"-",VLOOKUP(C482,t_objeto!B:D,3,FALSE),"-",A482)</f>
        <v>KKMM-PERCCO-481</v>
      </c>
      <c r="C482" s="1" t="s">
        <v>7458</v>
      </c>
      <c r="D482" s="1" t="str">
        <f>VLOOKUP(C482,t_objeto!B:C,2,FALSE)</f>
        <v>KIT_MATERIAL</v>
      </c>
      <c r="E482" s="1">
        <v>8</v>
      </c>
      <c r="F482" s="1" t="str">
        <f>VLOOKUP(E482,t_entry_status!A:C,2,FALSE)</f>
        <v>PENDING</v>
      </c>
      <c r="G482" s="7">
        <v>45560</v>
      </c>
      <c r="H482" s="1" t="s">
        <v>7449</v>
      </c>
      <c r="I482" s="7">
        <v>45560</v>
      </c>
      <c r="J482" s="1" t="s">
        <v>7449</v>
      </c>
    </row>
    <row r="483" spans="1:10" x14ac:dyDescent="0.25">
      <c r="A483" s="1">
        <v>482</v>
      </c>
      <c r="B483" s="2" t="str">
        <f>_xlfn.CONCAT(C483,"-",VLOOKUP(C483,t_objeto!B:D,3,FALSE),"-",A483)</f>
        <v>KKMM-PERCCO-482</v>
      </c>
      <c r="C483" s="1" t="s">
        <v>7458</v>
      </c>
      <c r="D483" s="1" t="str">
        <f>VLOOKUP(C483,t_objeto!B:C,2,FALSE)</f>
        <v>KIT_MATERIAL</v>
      </c>
      <c r="E483" s="1">
        <v>8</v>
      </c>
      <c r="F483" s="1" t="str">
        <f>VLOOKUP(E483,t_entry_status!A:C,2,FALSE)</f>
        <v>PENDING</v>
      </c>
      <c r="G483" s="7">
        <v>45560</v>
      </c>
      <c r="H483" s="1" t="s">
        <v>7449</v>
      </c>
      <c r="I483" s="7">
        <v>45560</v>
      </c>
      <c r="J483" s="1" t="s">
        <v>7449</v>
      </c>
    </row>
    <row r="484" spans="1:10" x14ac:dyDescent="0.25">
      <c r="A484" s="1">
        <v>483</v>
      </c>
      <c r="B484" s="2" t="str">
        <f>_xlfn.CONCAT(C484,"-",VLOOKUP(C484,t_objeto!B:D,3,FALSE),"-",A484)</f>
        <v>KKMM-PERCCO-483</v>
      </c>
      <c r="C484" s="1" t="s">
        <v>7458</v>
      </c>
      <c r="D484" s="1" t="str">
        <f>VLOOKUP(C484,t_objeto!B:C,2,FALSE)</f>
        <v>KIT_MATERIAL</v>
      </c>
      <c r="E484" s="1">
        <v>8</v>
      </c>
      <c r="F484" s="1" t="str">
        <f>VLOOKUP(E484,t_entry_status!A:C,2,FALSE)</f>
        <v>PENDING</v>
      </c>
      <c r="G484" s="7">
        <v>45560</v>
      </c>
      <c r="H484" s="1" t="s">
        <v>7449</v>
      </c>
      <c r="I484" s="7">
        <v>45560</v>
      </c>
      <c r="J484" s="1" t="s">
        <v>7449</v>
      </c>
    </row>
    <row r="485" spans="1:10" x14ac:dyDescent="0.25">
      <c r="A485" s="1">
        <v>484</v>
      </c>
      <c r="B485" s="2" t="str">
        <f>_xlfn.CONCAT(C485,"-",VLOOKUP(C485,t_objeto!B:D,3,FALSE),"-",A485)</f>
        <v>KKMM-PERCCO-484</v>
      </c>
      <c r="C485" s="1" t="s">
        <v>7458</v>
      </c>
      <c r="D485" s="1" t="str">
        <f>VLOOKUP(C485,t_objeto!B:C,2,FALSE)</f>
        <v>KIT_MATERIAL</v>
      </c>
      <c r="E485" s="1">
        <v>8</v>
      </c>
      <c r="F485" s="1" t="str">
        <f>VLOOKUP(E485,t_entry_status!A:C,2,FALSE)</f>
        <v>PENDING</v>
      </c>
      <c r="G485" s="7">
        <v>45560</v>
      </c>
      <c r="H485" s="1" t="s">
        <v>7449</v>
      </c>
      <c r="I485" s="7">
        <v>45560</v>
      </c>
      <c r="J485" s="1" t="s">
        <v>7449</v>
      </c>
    </row>
    <row r="486" spans="1:10" x14ac:dyDescent="0.25">
      <c r="A486" s="1">
        <v>485</v>
      </c>
      <c r="B486" s="2" t="str">
        <f>_xlfn.CONCAT(C486,"-",VLOOKUP(C486,t_objeto!B:D,3,FALSE),"-",A486)</f>
        <v>KKMM-PERCCO-485</v>
      </c>
      <c r="C486" s="1" t="s">
        <v>7458</v>
      </c>
      <c r="D486" s="1" t="str">
        <f>VLOOKUP(C486,t_objeto!B:C,2,FALSE)</f>
        <v>KIT_MATERIAL</v>
      </c>
      <c r="E486" s="1">
        <v>8</v>
      </c>
      <c r="F486" s="1" t="str">
        <f>VLOOKUP(E486,t_entry_status!A:C,2,FALSE)</f>
        <v>PENDING</v>
      </c>
      <c r="G486" s="7">
        <v>45560</v>
      </c>
      <c r="H486" s="1" t="s">
        <v>7449</v>
      </c>
      <c r="I486" s="7">
        <v>45560</v>
      </c>
      <c r="J486" s="1" t="s">
        <v>7449</v>
      </c>
    </row>
    <row r="487" spans="1:10" x14ac:dyDescent="0.25">
      <c r="A487" s="1">
        <v>486</v>
      </c>
      <c r="B487" s="2" t="str">
        <f>_xlfn.CONCAT(C487,"-",VLOOKUP(C487,t_objeto!B:D,3,FALSE),"-",A487)</f>
        <v>KKMM-PERCCO-486</v>
      </c>
      <c r="C487" s="1" t="s">
        <v>7458</v>
      </c>
      <c r="D487" s="1" t="str">
        <f>VLOOKUP(C487,t_objeto!B:C,2,FALSE)</f>
        <v>KIT_MATERIAL</v>
      </c>
      <c r="E487" s="1">
        <v>8</v>
      </c>
      <c r="F487" s="1" t="str">
        <f>VLOOKUP(E487,t_entry_status!A:C,2,FALSE)</f>
        <v>PENDING</v>
      </c>
      <c r="G487" s="7">
        <v>45560</v>
      </c>
      <c r="H487" s="1" t="s">
        <v>7449</v>
      </c>
      <c r="I487" s="7">
        <v>45560</v>
      </c>
      <c r="J487" s="1" t="s">
        <v>7449</v>
      </c>
    </row>
    <row r="488" spans="1:10" x14ac:dyDescent="0.25">
      <c r="A488" s="1">
        <v>487</v>
      </c>
      <c r="B488" s="2" t="str">
        <f>_xlfn.CONCAT(C488,"-",VLOOKUP(C488,t_objeto!B:D,3,FALSE),"-",A488)</f>
        <v>KKMM-PERCCO-487</v>
      </c>
      <c r="C488" s="1" t="s">
        <v>7458</v>
      </c>
      <c r="D488" s="1" t="str">
        <f>VLOOKUP(C488,t_objeto!B:C,2,FALSE)</f>
        <v>KIT_MATERIAL</v>
      </c>
      <c r="E488" s="1">
        <v>8</v>
      </c>
      <c r="F488" s="1" t="str">
        <f>VLOOKUP(E488,t_entry_status!A:C,2,FALSE)</f>
        <v>PENDING</v>
      </c>
      <c r="G488" s="7">
        <v>45560</v>
      </c>
      <c r="H488" s="1" t="s">
        <v>7449</v>
      </c>
      <c r="I488" s="7">
        <v>45560</v>
      </c>
      <c r="J488" s="1" t="s">
        <v>7449</v>
      </c>
    </row>
    <row r="489" spans="1:10" x14ac:dyDescent="0.25">
      <c r="A489" s="1">
        <v>488</v>
      </c>
      <c r="B489" s="2" t="str">
        <f>_xlfn.CONCAT(C489,"-",VLOOKUP(C489,t_objeto!B:D,3,FALSE),"-",A489)</f>
        <v>KKMM-PERCCO-488</v>
      </c>
      <c r="C489" s="1" t="s">
        <v>7458</v>
      </c>
      <c r="D489" s="1" t="str">
        <f>VLOOKUP(C489,t_objeto!B:C,2,FALSE)</f>
        <v>KIT_MATERIAL</v>
      </c>
      <c r="E489" s="1">
        <v>8</v>
      </c>
      <c r="F489" s="1" t="str">
        <f>VLOOKUP(E489,t_entry_status!A:C,2,FALSE)</f>
        <v>PENDING</v>
      </c>
      <c r="G489" s="7">
        <v>45560</v>
      </c>
      <c r="H489" s="1" t="s">
        <v>7449</v>
      </c>
      <c r="I489" s="7">
        <v>45560</v>
      </c>
      <c r="J489" s="1" t="s">
        <v>7449</v>
      </c>
    </row>
    <row r="490" spans="1:10" x14ac:dyDescent="0.25">
      <c r="A490" s="1">
        <v>489</v>
      </c>
      <c r="B490" s="2" t="str">
        <f>_xlfn.CONCAT(C490,"-",VLOOKUP(C490,t_objeto!B:D,3,FALSE),"-",A490)</f>
        <v>KKMM-PERCCO-489</v>
      </c>
      <c r="C490" s="1" t="s">
        <v>7458</v>
      </c>
      <c r="D490" s="1" t="str">
        <f>VLOOKUP(C490,t_objeto!B:C,2,FALSE)</f>
        <v>KIT_MATERIAL</v>
      </c>
      <c r="E490" s="1">
        <v>8</v>
      </c>
      <c r="F490" s="1" t="str">
        <f>VLOOKUP(E490,t_entry_status!A:C,2,FALSE)</f>
        <v>PENDING</v>
      </c>
      <c r="G490" s="7">
        <v>45560</v>
      </c>
      <c r="H490" s="1" t="s">
        <v>7449</v>
      </c>
      <c r="I490" s="7">
        <v>45560</v>
      </c>
      <c r="J490" s="1" t="s">
        <v>7449</v>
      </c>
    </row>
    <row r="491" spans="1:10" x14ac:dyDescent="0.25">
      <c r="A491" s="1">
        <v>490</v>
      </c>
      <c r="B491" s="2" t="str">
        <f>_xlfn.CONCAT(C491,"-",VLOOKUP(C491,t_objeto!B:D,3,FALSE),"-",A491)</f>
        <v>KKMM-PERCCO-490</v>
      </c>
      <c r="C491" s="1" t="s">
        <v>7458</v>
      </c>
      <c r="D491" s="1" t="str">
        <f>VLOOKUP(C491,t_objeto!B:C,2,FALSE)</f>
        <v>KIT_MATERIAL</v>
      </c>
      <c r="E491" s="1">
        <v>8</v>
      </c>
      <c r="F491" s="1" t="str">
        <f>VLOOKUP(E491,t_entry_status!A:C,2,FALSE)</f>
        <v>PENDING</v>
      </c>
      <c r="G491" s="7">
        <v>45560</v>
      </c>
      <c r="H491" s="1" t="s">
        <v>7449</v>
      </c>
      <c r="I491" s="7">
        <v>45560</v>
      </c>
      <c r="J491" s="1" t="s">
        <v>7449</v>
      </c>
    </row>
    <row r="492" spans="1:10" x14ac:dyDescent="0.25">
      <c r="A492" s="1">
        <v>491</v>
      </c>
      <c r="B492" s="2" t="str">
        <f>_xlfn.CONCAT(C492,"-",VLOOKUP(C492,t_objeto!B:D,3,FALSE),"-",A492)</f>
        <v>KKMM-PERCCO-491</v>
      </c>
      <c r="C492" s="1" t="s">
        <v>7458</v>
      </c>
      <c r="D492" s="1" t="str">
        <f>VLOOKUP(C492,t_objeto!B:C,2,FALSE)</f>
        <v>KIT_MATERIAL</v>
      </c>
      <c r="E492" s="1">
        <v>8</v>
      </c>
      <c r="F492" s="1" t="str">
        <f>VLOOKUP(E492,t_entry_status!A:C,2,FALSE)</f>
        <v>PENDING</v>
      </c>
      <c r="G492" s="7">
        <v>45560</v>
      </c>
      <c r="H492" s="1" t="s">
        <v>7449</v>
      </c>
      <c r="I492" s="7">
        <v>45560</v>
      </c>
      <c r="J492" s="1" t="s">
        <v>7449</v>
      </c>
    </row>
    <row r="493" spans="1:10" x14ac:dyDescent="0.25">
      <c r="A493" s="1">
        <v>492</v>
      </c>
      <c r="B493" s="2" t="str">
        <f>_xlfn.CONCAT(C493,"-",VLOOKUP(C493,t_objeto!B:D,3,FALSE),"-",A493)</f>
        <v>KKMM-PERCCO-492</v>
      </c>
      <c r="C493" s="1" t="s">
        <v>7458</v>
      </c>
      <c r="D493" s="1" t="str">
        <f>VLOOKUP(C493,t_objeto!B:C,2,FALSE)</f>
        <v>KIT_MATERIAL</v>
      </c>
      <c r="E493" s="1">
        <v>8</v>
      </c>
      <c r="F493" s="1" t="str">
        <f>VLOOKUP(E493,t_entry_status!A:C,2,FALSE)</f>
        <v>PENDING</v>
      </c>
      <c r="G493" s="7">
        <v>45560</v>
      </c>
      <c r="H493" s="1" t="s">
        <v>7449</v>
      </c>
      <c r="I493" s="7">
        <v>45560</v>
      </c>
      <c r="J493" s="1" t="s">
        <v>7449</v>
      </c>
    </row>
    <row r="494" spans="1:10" x14ac:dyDescent="0.25">
      <c r="A494" s="1">
        <v>493</v>
      </c>
      <c r="B494" s="2" t="str">
        <f>_xlfn.CONCAT(C494,"-",VLOOKUP(C494,t_objeto!B:D,3,FALSE),"-",A494)</f>
        <v>KKMM-PERCCO-493</v>
      </c>
      <c r="C494" s="1" t="s">
        <v>7458</v>
      </c>
      <c r="D494" s="1" t="str">
        <f>VLOOKUP(C494,t_objeto!B:C,2,FALSE)</f>
        <v>KIT_MATERIAL</v>
      </c>
      <c r="E494" s="1">
        <v>8</v>
      </c>
      <c r="F494" s="1" t="str">
        <f>VLOOKUP(E494,t_entry_status!A:C,2,FALSE)</f>
        <v>PENDING</v>
      </c>
      <c r="G494" s="7">
        <v>45560</v>
      </c>
      <c r="H494" s="1" t="s">
        <v>7449</v>
      </c>
      <c r="I494" s="7">
        <v>45560</v>
      </c>
      <c r="J494" s="1" t="s">
        <v>7449</v>
      </c>
    </row>
    <row r="495" spans="1:10" x14ac:dyDescent="0.25">
      <c r="A495" s="1">
        <v>494</v>
      </c>
      <c r="B495" s="2" t="str">
        <f>_xlfn.CONCAT(C495,"-",VLOOKUP(C495,t_objeto!B:D,3,FALSE),"-",A495)</f>
        <v>KKMM-PERCCO-494</v>
      </c>
      <c r="C495" s="1" t="s">
        <v>7458</v>
      </c>
      <c r="D495" s="1" t="str">
        <f>VLOOKUP(C495,t_objeto!B:C,2,FALSE)</f>
        <v>KIT_MATERIAL</v>
      </c>
      <c r="E495" s="1">
        <v>8</v>
      </c>
      <c r="F495" s="1" t="str">
        <f>VLOOKUP(E495,t_entry_status!A:C,2,FALSE)</f>
        <v>PENDING</v>
      </c>
      <c r="G495" s="7">
        <v>45560</v>
      </c>
      <c r="H495" s="1" t="s">
        <v>7449</v>
      </c>
      <c r="I495" s="7">
        <v>45560</v>
      </c>
      <c r="J495" s="1" t="s">
        <v>7449</v>
      </c>
    </row>
    <row r="496" spans="1:10" x14ac:dyDescent="0.25">
      <c r="A496" s="1">
        <v>495</v>
      </c>
      <c r="B496" s="2" t="str">
        <f>_xlfn.CONCAT(C496,"-",VLOOKUP(C496,t_objeto!B:D,3,FALSE),"-",A496)</f>
        <v>KKMM-PERCCO-495</v>
      </c>
      <c r="C496" s="1" t="s">
        <v>7458</v>
      </c>
      <c r="D496" s="1" t="str">
        <f>VLOOKUP(C496,t_objeto!B:C,2,FALSE)</f>
        <v>KIT_MATERIAL</v>
      </c>
      <c r="E496" s="1">
        <v>8</v>
      </c>
      <c r="F496" s="1" t="str">
        <f>VLOOKUP(E496,t_entry_status!A:C,2,FALSE)</f>
        <v>PENDING</v>
      </c>
      <c r="G496" s="7">
        <v>45560</v>
      </c>
      <c r="H496" s="1" t="s">
        <v>7449</v>
      </c>
      <c r="I496" s="7">
        <v>45560</v>
      </c>
      <c r="J496" s="1" t="s">
        <v>7449</v>
      </c>
    </row>
    <row r="497" spans="1:10" x14ac:dyDescent="0.25">
      <c r="A497" s="1">
        <v>496</v>
      </c>
      <c r="B497" s="2" t="str">
        <f>_xlfn.CONCAT(C497,"-",VLOOKUP(C497,t_objeto!B:D,3,FALSE),"-",A497)</f>
        <v>KKMM-PERCCO-496</v>
      </c>
      <c r="C497" s="1" t="s">
        <v>7458</v>
      </c>
      <c r="D497" s="1" t="str">
        <f>VLOOKUP(C497,t_objeto!B:C,2,FALSE)</f>
        <v>KIT_MATERIAL</v>
      </c>
      <c r="E497" s="1">
        <v>8</v>
      </c>
      <c r="F497" s="1" t="str">
        <f>VLOOKUP(E497,t_entry_status!A:C,2,FALSE)</f>
        <v>PENDING</v>
      </c>
      <c r="G497" s="7">
        <v>45560</v>
      </c>
      <c r="H497" s="1" t="s">
        <v>7449</v>
      </c>
      <c r="I497" s="7">
        <v>45560</v>
      </c>
      <c r="J497" s="1" t="s">
        <v>7449</v>
      </c>
    </row>
    <row r="498" spans="1:10" x14ac:dyDescent="0.25">
      <c r="A498" s="1">
        <v>497</v>
      </c>
      <c r="B498" s="2" t="str">
        <f>_xlfn.CONCAT(C498,"-",VLOOKUP(C498,t_objeto!B:D,3,FALSE),"-",A498)</f>
        <v>KKMM-PERCCO-497</v>
      </c>
      <c r="C498" s="1" t="s">
        <v>7458</v>
      </c>
      <c r="D498" s="1" t="str">
        <f>VLOOKUP(C498,t_objeto!B:C,2,FALSE)</f>
        <v>KIT_MATERIAL</v>
      </c>
      <c r="E498" s="1">
        <v>8</v>
      </c>
      <c r="F498" s="1" t="str">
        <f>VLOOKUP(E498,t_entry_status!A:C,2,FALSE)</f>
        <v>PENDING</v>
      </c>
      <c r="G498" s="7">
        <v>45560</v>
      </c>
      <c r="H498" s="1" t="s">
        <v>7449</v>
      </c>
      <c r="I498" s="7">
        <v>45560</v>
      </c>
      <c r="J498" s="1" t="s">
        <v>7449</v>
      </c>
    </row>
    <row r="499" spans="1:10" x14ac:dyDescent="0.25">
      <c r="A499" s="1">
        <v>498</v>
      </c>
      <c r="B499" s="2" t="str">
        <f>_xlfn.CONCAT(C499,"-",VLOOKUP(C499,t_objeto!B:D,3,FALSE),"-",A499)</f>
        <v>KKMM-PERCCO-498</v>
      </c>
      <c r="C499" s="1" t="s">
        <v>7458</v>
      </c>
      <c r="D499" s="1" t="str">
        <f>VLOOKUP(C499,t_objeto!B:C,2,FALSE)</f>
        <v>KIT_MATERIAL</v>
      </c>
      <c r="E499" s="1">
        <v>8</v>
      </c>
      <c r="F499" s="1" t="str">
        <f>VLOOKUP(E499,t_entry_status!A:C,2,FALSE)</f>
        <v>PENDING</v>
      </c>
      <c r="G499" s="7">
        <v>45560</v>
      </c>
      <c r="H499" s="1" t="s">
        <v>7449</v>
      </c>
      <c r="I499" s="7">
        <v>45560</v>
      </c>
      <c r="J499" s="1" t="s">
        <v>7449</v>
      </c>
    </row>
    <row r="500" spans="1:10" x14ac:dyDescent="0.25">
      <c r="A500" s="1">
        <v>499</v>
      </c>
      <c r="B500" s="2" t="str">
        <f>_xlfn.CONCAT(C500,"-",VLOOKUP(C500,t_objeto!B:D,3,FALSE),"-",A500)</f>
        <v>KKMM-PERCCO-499</v>
      </c>
      <c r="C500" s="1" t="s">
        <v>7458</v>
      </c>
      <c r="D500" s="1" t="str">
        <f>VLOOKUP(C500,t_objeto!B:C,2,FALSE)</f>
        <v>KIT_MATERIAL</v>
      </c>
      <c r="E500" s="1">
        <v>8</v>
      </c>
      <c r="F500" s="1" t="str">
        <f>VLOOKUP(E500,t_entry_status!A:C,2,FALSE)</f>
        <v>PENDING</v>
      </c>
      <c r="G500" s="7">
        <v>45560</v>
      </c>
      <c r="H500" s="1" t="s">
        <v>7449</v>
      </c>
      <c r="I500" s="7">
        <v>45560</v>
      </c>
      <c r="J500" s="1" t="s">
        <v>7449</v>
      </c>
    </row>
    <row r="501" spans="1:10" x14ac:dyDescent="0.25">
      <c r="A501" s="1">
        <v>500</v>
      </c>
      <c r="B501" s="2" t="str">
        <f>_xlfn.CONCAT(C501,"-",VLOOKUP(C501,t_objeto!B:D,3,FALSE),"-",A501)</f>
        <v>KKMM-PERCCO-500</v>
      </c>
      <c r="C501" s="1" t="s">
        <v>7458</v>
      </c>
      <c r="D501" s="1" t="str">
        <f>VLOOKUP(C501,t_objeto!B:C,2,FALSE)</f>
        <v>KIT_MATERIAL</v>
      </c>
      <c r="E501" s="1">
        <v>8</v>
      </c>
      <c r="F501" s="1" t="str">
        <f>VLOOKUP(E501,t_entry_status!A:C,2,FALSE)</f>
        <v>PENDING</v>
      </c>
      <c r="G501" s="7">
        <v>45560</v>
      </c>
      <c r="H501" s="1" t="s">
        <v>7449</v>
      </c>
      <c r="I501" s="7">
        <v>45560</v>
      </c>
      <c r="J501" s="1" t="s">
        <v>7449</v>
      </c>
    </row>
    <row r="502" spans="1:10" x14ac:dyDescent="0.25">
      <c r="A502" s="1">
        <v>501</v>
      </c>
      <c r="B502" s="2" t="str">
        <f>_xlfn.CONCAT(C502,"-",VLOOKUP(C502,t_objeto!B:D,3,FALSE),"-",A502)</f>
        <v>KKMM-PERCCO-501</v>
      </c>
      <c r="C502" s="1" t="s">
        <v>7458</v>
      </c>
      <c r="D502" s="1" t="str">
        <f>VLOOKUP(C502,t_objeto!B:C,2,FALSE)</f>
        <v>KIT_MATERIAL</v>
      </c>
      <c r="E502" s="1">
        <v>8</v>
      </c>
      <c r="F502" s="1" t="str">
        <f>VLOOKUP(E502,t_entry_status!A:C,2,FALSE)</f>
        <v>PENDING</v>
      </c>
      <c r="G502" s="7">
        <v>45560</v>
      </c>
      <c r="H502" s="1" t="s">
        <v>7449</v>
      </c>
      <c r="I502" s="7">
        <v>45560</v>
      </c>
      <c r="J502" s="1" t="s">
        <v>7449</v>
      </c>
    </row>
    <row r="503" spans="1:10" x14ac:dyDescent="0.25">
      <c r="A503" s="1">
        <v>502</v>
      </c>
      <c r="B503" s="2" t="str">
        <f>_xlfn.CONCAT(C503,"-",VLOOKUP(C503,t_objeto!B:D,3,FALSE),"-",A503)</f>
        <v>KKMM-PERCCO-502</v>
      </c>
      <c r="C503" s="1" t="s">
        <v>7458</v>
      </c>
      <c r="D503" s="1" t="str">
        <f>VLOOKUP(C503,t_objeto!B:C,2,FALSE)</f>
        <v>KIT_MATERIAL</v>
      </c>
      <c r="E503" s="1">
        <v>8</v>
      </c>
      <c r="F503" s="1" t="str">
        <f>VLOOKUP(E503,t_entry_status!A:C,2,FALSE)</f>
        <v>PENDING</v>
      </c>
      <c r="G503" s="7">
        <v>45560</v>
      </c>
      <c r="H503" s="1" t="s">
        <v>7449</v>
      </c>
      <c r="I503" s="7">
        <v>45560</v>
      </c>
      <c r="J503" s="1" t="s">
        <v>7449</v>
      </c>
    </row>
    <row r="504" spans="1:10" x14ac:dyDescent="0.25">
      <c r="A504" s="1">
        <v>503</v>
      </c>
      <c r="B504" s="2" t="str">
        <f>_xlfn.CONCAT(C504,"-",VLOOKUP(C504,t_objeto!B:D,3,FALSE),"-",A504)</f>
        <v>KKMM-PERCCO-503</v>
      </c>
      <c r="C504" s="1" t="s">
        <v>7458</v>
      </c>
      <c r="D504" s="1" t="str">
        <f>VLOOKUP(C504,t_objeto!B:C,2,FALSE)</f>
        <v>KIT_MATERIAL</v>
      </c>
      <c r="E504" s="1">
        <v>8</v>
      </c>
      <c r="F504" s="1" t="str">
        <f>VLOOKUP(E504,t_entry_status!A:C,2,FALSE)</f>
        <v>PENDING</v>
      </c>
      <c r="G504" s="7">
        <v>45560</v>
      </c>
      <c r="H504" s="1" t="s">
        <v>7449</v>
      </c>
      <c r="I504" s="7">
        <v>45560</v>
      </c>
      <c r="J504" s="1" t="s">
        <v>7449</v>
      </c>
    </row>
    <row r="505" spans="1:10" x14ac:dyDescent="0.25">
      <c r="A505" s="1">
        <v>504</v>
      </c>
      <c r="B505" s="2" t="str">
        <f>_xlfn.CONCAT(C505,"-",VLOOKUP(C505,t_objeto!B:D,3,FALSE),"-",A505)</f>
        <v>KKMM-PERCCO-504</v>
      </c>
      <c r="C505" s="1" t="s">
        <v>7458</v>
      </c>
      <c r="D505" s="1" t="str">
        <f>VLOOKUP(C505,t_objeto!B:C,2,FALSE)</f>
        <v>KIT_MATERIAL</v>
      </c>
      <c r="E505" s="1">
        <v>8</v>
      </c>
      <c r="F505" s="1" t="str">
        <f>VLOOKUP(E505,t_entry_status!A:C,2,FALSE)</f>
        <v>PENDING</v>
      </c>
      <c r="G505" s="7">
        <v>45560</v>
      </c>
      <c r="H505" s="1" t="s">
        <v>7449</v>
      </c>
      <c r="I505" s="7">
        <v>45560</v>
      </c>
      <c r="J505" s="1" t="s">
        <v>7449</v>
      </c>
    </row>
    <row r="506" spans="1:10" x14ac:dyDescent="0.25">
      <c r="A506" s="1">
        <v>505</v>
      </c>
      <c r="B506" s="2" t="str">
        <f>_xlfn.CONCAT(C506,"-",VLOOKUP(C506,t_objeto!B:D,3,FALSE),"-",A506)</f>
        <v>KKMM-PERCCO-505</v>
      </c>
      <c r="C506" s="1" t="s">
        <v>7458</v>
      </c>
      <c r="D506" s="1" t="str">
        <f>VLOOKUP(C506,t_objeto!B:C,2,FALSE)</f>
        <v>KIT_MATERIAL</v>
      </c>
      <c r="E506" s="1">
        <v>8</v>
      </c>
      <c r="F506" s="1" t="str">
        <f>VLOOKUP(E506,t_entry_status!A:C,2,FALSE)</f>
        <v>PENDING</v>
      </c>
      <c r="G506" s="7">
        <v>45560</v>
      </c>
      <c r="H506" s="1" t="s">
        <v>7449</v>
      </c>
      <c r="I506" s="7">
        <v>45560</v>
      </c>
      <c r="J506" s="1" t="s">
        <v>7449</v>
      </c>
    </row>
    <row r="507" spans="1:10" x14ac:dyDescent="0.25">
      <c r="A507" s="1">
        <v>506</v>
      </c>
      <c r="B507" s="2" t="str">
        <f>_xlfn.CONCAT(C507,"-",VLOOKUP(C507,t_objeto!B:D,3,FALSE),"-",A507)</f>
        <v>KKMM-PERCCO-506</v>
      </c>
      <c r="C507" s="1" t="s">
        <v>7458</v>
      </c>
      <c r="D507" s="1" t="str">
        <f>VLOOKUP(C507,t_objeto!B:C,2,FALSE)</f>
        <v>KIT_MATERIAL</v>
      </c>
      <c r="E507" s="1">
        <v>8</v>
      </c>
      <c r="F507" s="1" t="str">
        <f>VLOOKUP(E507,t_entry_status!A:C,2,FALSE)</f>
        <v>PENDING</v>
      </c>
      <c r="G507" s="7">
        <v>45560</v>
      </c>
      <c r="H507" s="1" t="s">
        <v>7449</v>
      </c>
      <c r="I507" s="7">
        <v>45560</v>
      </c>
      <c r="J507" s="1" t="s">
        <v>7449</v>
      </c>
    </row>
    <row r="508" spans="1:10" x14ac:dyDescent="0.25">
      <c r="A508" s="1">
        <v>507</v>
      </c>
      <c r="B508" s="2" t="str">
        <f>_xlfn.CONCAT(C508,"-",VLOOKUP(C508,t_objeto!B:D,3,FALSE),"-",A508)</f>
        <v>KKMM-PERCCO-507</v>
      </c>
      <c r="C508" s="1" t="s">
        <v>7458</v>
      </c>
      <c r="D508" s="1" t="str">
        <f>VLOOKUP(C508,t_objeto!B:C,2,FALSE)</f>
        <v>KIT_MATERIAL</v>
      </c>
      <c r="E508" s="1">
        <v>8</v>
      </c>
      <c r="F508" s="1" t="str">
        <f>VLOOKUP(E508,t_entry_status!A:C,2,FALSE)</f>
        <v>PENDING</v>
      </c>
      <c r="G508" s="7">
        <v>45560</v>
      </c>
      <c r="H508" s="1" t="s">
        <v>7449</v>
      </c>
      <c r="I508" s="7">
        <v>45560</v>
      </c>
      <c r="J508" s="1" t="s">
        <v>7449</v>
      </c>
    </row>
    <row r="509" spans="1:10" x14ac:dyDescent="0.25">
      <c r="A509" s="1">
        <v>508</v>
      </c>
      <c r="B509" s="2" t="str">
        <f>_xlfn.CONCAT(C509,"-",VLOOKUP(C509,t_objeto!B:D,3,FALSE),"-",A509)</f>
        <v>KKMM-PERCCO-508</v>
      </c>
      <c r="C509" s="1" t="s">
        <v>7458</v>
      </c>
      <c r="D509" s="1" t="str">
        <f>VLOOKUP(C509,t_objeto!B:C,2,FALSE)</f>
        <v>KIT_MATERIAL</v>
      </c>
      <c r="E509" s="1">
        <v>8</v>
      </c>
      <c r="F509" s="1" t="str">
        <f>VLOOKUP(E509,t_entry_status!A:C,2,FALSE)</f>
        <v>PENDING</v>
      </c>
      <c r="G509" s="7">
        <v>45560</v>
      </c>
      <c r="H509" s="1" t="s">
        <v>7449</v>
      </c>
      <c r="I509" s="7">
        <v>45560</v>
      </c>
      <c r="J509" s="1" t="s">
        <v>7449</v>
      </c>
    </row>
    <row r="510" spans="1:10" x14ac:dyDescent="0.25">
      <c r="A510" s="1">
        <v>509</v>
      </c>
      <c r="B510" s="2" t="str">
        <f>_xlfn.CONCAT(C510,"-",VLOOKUP(C510,t_objeto!B:D,3,FALSE),"-",A510)</f>
        <v>KKMM-PERCCO-509</v>
      </c>
      <c r="C510" s="1" t="s">
        <v>7458</v>
      </c>
      <c r="D510" s="1" t="str">
        <f>VLOOKUP(C510,t_objeto!B:C,2,FALSE)</f>
        <v>KIT_MATERIAL</v>
      </c>
      <c r="E510" s="1">
        <v>8</v>
      </c>
      <c r="F510" s="1" t="str">
        <f>VLOOKUP(E510,t_entry_status!A:C,2,FALSE)</f>
        <v>PENDING</v>
      </c>
      <c r="G510" s="7">
        <v>45560</v>
      </c>
      <c r="H510" s="1" t="s">
        <v>7449</v>
      </c>
      <c r="I510" s="7">
        <v>45560</v>
      </c>
      <c r="J510" s="1" t="s">
        <v>7449</v>
      </c>
    </row>
    <row r="511" spans="1:10" x14ac:dyDescent="0.25">
      <c r="A511" s="1">
        <v>510</v>
      </c>
      <c r="B511" s="2" t="str">
        <f>_xlfn.CONCAT(C511,"-",VLOOKUP(C511,t_objeto!B:D,3,FALSE),"-",A511)</f>
        <v>KKMM-PERCCO-510</v>
      </c>
      <c r="C511" s="1" t="s">
        <v>7458</v>
      </c>
      <c r="D511" s="1" t="str">
        <f>VLOOKUP(C511,t_objeto!B:C,2,FALSE)</f>
        <v>KIT_MATERIAL</v>
      </c>
      <c r="E511" s="1">
        <v>8</v>
      </c>
      <c r="F511" s="1" t="str">
        <f>VLOOKUP(E511,t_entry_status!A:C,2,FALSE)</f>
        <v>PENDING</v>
      </c>
      <c r="G511" s="7">
        <v>45560</v>
      </c>
      <c r="H511" s="1" t="s">
        <v>7449</v>
      </c>
      <c r="I511" s="7">
        <v>45560</v>
      </c>
      <c r="J511" s="1" t="s">
        <v>7449</v>
      </c>
    </row>
    <row r="512" spans="1:10" x14ac:dyDescent="0.25">
      <c r="A512" s="1">
        <v>511</v>
      </c>
      <c r="B512" s="2" t="str">
        <f>_xlfn.CONCAT(C512,"-",VLOOKUP(C512,t_objeto!B:D,3,FALSE),"-",A512)</f>
        <v>KKMM-PERCCO-511</v>
      </c>
      <c r="C512" s="1" t="s">
        <v>7458</v>
      </c>
      <c r="D512" s="1" t="str">
        <f>VLOOKUP(C512,t_objeto!B:C,2,FALSE)</f>
        <v>KIT_MATERIAL</v>
      </c>
      <c r="E512" s="1">
        <v>8</v>
      </c>
      <c r="F512" s="1" t="str">
        <f>VLOOKUP(E512,t_entry_status!A:C,2,FALSE)</f>
        <v>PENDING</v>
      </c>
      <c r="G512" s="7">
        <v>45560</v>
      </c>
      <c r="H512" s="1" t="s">
        <v>7449</v>
      </c>
      <c r="I512" s="7">
        <v>45560</v>
      </c>
      <c r="J512" s="1" t="s">
        <v>7449</v>
      </c>
    </row>
    <row r="513" spans="1:10" x14ac:dyDescent="0.25">
      <c r="A513" s="1">
        <v>512</v>
      </c>
      <c r="B513" s="2" t="str">
        <f>_xlfn.CONCAT(C513,"-",VLOOKUP(C513,t_objeto!B:D,3,FALSE),"-",A513)</f>
        <v>KKMM-PERCCO-512</v>
      </c>
      <c r="C513" s="1" t="s">
        <v>7458</v>
      </c>
      <c r="D513" s="1" t="str">
        <f>VLOOKUP(C513,t_objeto!B:C,2,FALSE)</f>
        <v>KIT_MATERIAL</v>
      </c>
      <c r="E513" s="1">
        <v>8</v>
      </c>
      <c r="F513" s="1" t="str">
        <f>VLOOKUP(E513,t_entry_status!A:C,2,FALSE)</f>
        <v>PENDING</v>
      </c>
      <c r="G513" s="7">
        <v>45560</v>
      </c>
      <c r="H513" s="1" t="s">
        <v>7449</v>
      </c>
      <c r="I513" s="7">
        <v>45560</v>
      </c>
      <c r="J513" s="1" t="s">
        <v>7449</v>
      </c>
    </row>
    <row r="514" spans="1:10" x14ac:dyDescent="0.25">
      <c r="A514" s="1">
        <v>513</v>
      </c>
      <c r="B514" s="2" t="str">
        <f>_xlfn.CONCAT(C514,"-",VLOOKUP(C514,t_objeto!B:D,3,FALSE),"-",A514)</f>
        <v>KKMM-PERCCO-513</v>
      </c>
      <c r="C514" s="1" t="s">
        <v>7458</v>
      </c>
      <c r="D514" s="1" t="str">
        <f>VLOOKUP(C514,t_objeto!B:C,2,FALSE)</f>
        <v>KIT_MATERIAL</v>
      </c>
      <c r="E514" s="1">
        <v>8</v>
      </c>
      <c r="F514" s="1" t="str">
        <f>VLOOKUP(E514,t_entry_status!A:C,2,FALSE)</f>
        <v>PENDING</v>
      </c>
      <c r="G514" s="7">
        <v>45560</v>
      </c>
      <c r="H514" s="1" t="s">
        <v>7449</v>
      </c>
      <c r="I514" s="7">
        <v>45560</v>
      </c>
      <c r="J514" s="1" t="s">
        <v>7449</v>
      </c>
    </row>
    <row r="515" spans="1:10" x14ac:dyDescent="0.25">
      <c r="A515" s="1">
        <v>514</v>
      </c>
      <c r="B515" s="2" t="str">
        <f>_xlfn.CONCAT(C515,"-",VLOOKUP(C515,t_objeto!B:D,3,FALSE),"-",A515)</f>
        <v>KKMM-PERCCO-514</v>
      </c>
      <c r="C515" s="1" t="s">
        <v>7458</v>
      </c>
      <c r="D515" s="1" t="str">
        <f>VLOOKUP(C515,t_objeto!B:C,2,FALSE)</f>
        <v>KIT_MATERIAL</v>
      </c>
      <c r="E515" s="1">
        <v>8</v>
      </c>
      <c r="F515" s="1" t="str">
        <f>VLOOKUP(E515,t_entry_status!A:C,2,FALSE)</f>
        <v>PENDING</v>
      </c>
      <c r="G515" s="7">
        <v>45560</v>
      </c>
      <c r="H515" s="1" t="s">
        <v>7449</v>
      </c>
      <c r="I515" s="7">
        <v>45560</v>
      </c>
      <c r="J515" s="1" t="s">
        <v>7449</v>
      </c>
    </row>
    <row r="516" spans="1:10" x14ac:dyDescent="0.25">
      <c r="A516" s="1">
        <v>515</v>
      </c>
      <c r="B516" s="2" t="str">
        <f>_xlfn.CONCAT(C516,"-",VLOOKUP(C516,t_objeto!B:D,3,FALSE),"-",A516)</f>
        <v>KKMM-PERCCO-515</v>
      </c>
      <c r="C516" s="1" t="s">
        <v>7458</v>
      </c>
      <c r="D516" s="1" t="str">
        <f>VLOOKUP(C516,t_objeto!B:C,2,FALSE)</f>
        <v>KIT_MATERIAL</v>
      </c>
      <c r="E516" s="1">
        <v>8</v>
      </c>
      <c r="F516" s="1" t="str">
        <f>VLOOKUP(E516,t_entry_status!A:C,2,FALSE)</f>
        <v>PENDING</v>
      </c>
      <c r="G516" s="7">
        <v>45560</v>
      </c>
      <c r="H516" s="1" t="s">
        <v>7449</v>
      </c>
      <c r="I516" s="7">
        <v>45560</v>
      </c>
      <c r="J516" s="1" t="s">
        <v>7449</v>
      </c>
    </row>
    <row r="517" spans="1:10" x14ac:dyDescent="0.25">
      <c r="A517" s="1">
        <v>516</v>
      </c>
      <c r="B517" s="2" t="str">
        <f>_xlfn.CONCAT(C517,"-",VLOOKUP(C517,t_objeto!B:D,3,FALSE),"-",A517)</f>
        <v>KKMM-PERCCO-516</v>
      </c>
      <c r="C517" s="1" t="s">
        <v>7458</v>
      </c>
      <c r="D517" s="1" t="str">
        <f>VLOOKUP(C517,t_objeto!B:C,2,FALSE)</f>
        <v>KIT_MATERIAL</v>
      </c>
      <c r="E517" s="1">
        <v>8</v>
      </c>
      <c r="F517" s="1" t="str">
        <f>VLOOKUP(E517,t_entry_status!A:C,2,FALSE)</f>
        <v>PENDING</v>
      </c>
      <c r="G517" s="7">
        <v>45560</v>
      </c>
      <c r="H517" s="1" t="s">
        <v>7449</v>
      </c>
      <c r="I517" s="7">
        <v>45560</v>
      </c>
      <c r="J517" s="1" t="s">
        <v>7449</v>
      </c>
    </row>
    <row r="518" spans="1:10" x14ac:dyDescent="0.25">
      <c r="A518" s="1">
        <v>517</v>
      </c>
      <c r="B518" s="2" t="str">
        <f>_xlfn.CONCAT(C518,"-",VLOOKUP(C518,t_objeto!B:D,3,FALSE),"-",A518)</f>
        <v>KKMM-PERCCO-517</v>
      </c>
      <c r="C518" s="1" t="s">
        <v>7458</v>
      </c>
      <c r="D518" s="1" t="str">
        <f>VLOOKUP(C518,t_objeto!B:C,2,FALSE)</f>
        <v>KIT_MATERIAL</v>
      </c>
      <c r="E518" s="1">
        <v>8</v>
      </c>
      <c r="F518" s="1" t="str">
        <f>VLOOKUP(E518,t_entry_status!A:C,2,FALSE)</f>
        <v>PENDING</v>
      </c>
      <c r="G518" s="7">
        <v>45560</v>
      </c>
      <c r="H518" s="1" t="s">
        <v>7449</v>
      </c>
      <c r="I518" s="7">
        <v>45560</v>
      </c>
      <c r="J518" s="1" t="s">
        <v>7449</v>
      </c>
    </row>
    <row r="519" spans="1:10" x14ac:dyDescent="0.25">
      <c r="A519" s="1">
        <v>518</v>
      </c>
      <c r="B519" s="2" t="str">
        <f>_xlfn.CONCAT(C519,"-",VLOOKUP(C519,t_objeto!B:D,3,FALSE),"-",A519)</f>
        <v>KKMM-PERCCO-518</v>
      </c>
      <c r="C519" s="1" t="s">
        <v>7458</v>
      </c>
      <c r="D519" s="1" t="str">
        <f>VLOOKUP(C519,t_objeto!B:C,2,FALSE)</f>
        <v>KIT_MATERIAL</v>
      </c>
      <c r="E519" s="1">
        <v>8</v>
      </c>
      <c r="F519" s="1" t="str">
        <f>VLOOKUP(E519,t_entry_status!A:C,2,FALSE)</f>
        <v>PENDING</v>
      </c>
      <c r="G519" s="7">
        <v>45560</v>
      </c>
      <c r="H519" s="1" t="s">
        <v>7449</v>
      </c>
      <c r="I519" s="7">
        <v>45560</v>
      </c>
      <c r="J519" s="1" t="s">
        <v>7449</v>
      </c>
    </row>
    <row r="520" spans="1:10" x14ac:dyDescent="0.25">
      <c r="A520" s="1">
        <v>519</v>
      </c>
      <c r="B520" s="2" t="str">
        <f>_xlfn.CONCAT(C520,"-",VLOOKUP(C520,t_objeto!B:D,3,FALSE),"-",A520)</f>
        <v>KKMM-PERCCO-519</v>
      </c>
      <c r="C520" s="1" t="s">
        <v>7458</v>
      </c>
      <c r="D520" s="1" t="str">
        <f>VLOOKUP(C520,t_objeto!B:C,2,FALSE)</f>
        <v>KIT_MATERIAL</v>
      </c>
      <c r="E520" s="1">
        <v>8</v>
      </c>
      <c r="F520" s="1" t="str">
        <f>VLOOKUP(E520,t_entry_status!A:C,2,FALSE)</f>
        <v>PENDING</v>
      </c>
      <c r="G520" s="7">
        <v>45560</v>
      </c>
      <c r="H520" s="1" t="s">
        <v>7449</v>
      </c>
      <c r="I520" s="7">
        <v>45560</v>
      </c>
      <c r="J520" s="1" t="s">
        <v>7449</v>
      </c>
    </row>
    <row r="521" spans="1:10" x14ac:dyDescent="0.25">
      <c r="A521" s="1">
        <v>520</v>
      </c>
      <c r="B521" s="2" t="str">
        <f>_xlfn.CONCAT(C521,"-",VLOOKUP(C521,t_objeto!B:D,3,FALSE),"-",A521)</f>
        <v>KKMM-PERCCO-520</v>
      </c>
      <c r="C521" s="1" t="s">
        <v>7458</v>
      </c>
      <c r="D521" s="1" t="str">
        <f>VLOOKUP(C521,t_objeto!B:C,2,FALSE)</f>
        <v>KIT_MATERIAL</v>
      </c>
      <c r="E521" s="1">
        <v>8</v>
      </c>
      <c r="F521" s="1" t="str">
        <f>VLOOKUP(E521,t_entry_status!A:C,2,FALSE)</f>
        <v>PENDING</v>
      </c>
      <c r="G521" s="7">
        <v>45560</v>
      </c>
      <c r="H521" s="1" t="s">
        <v>7449</v>
      </c>
      <c r="I521" s="7">
        <v>45560</v>
      </c>
      <c r="J521" s="1" t="s">
        <v>7449</v>
      </c>
    </row>
    <row r="522" spans="1:10" x14ac:dyDescent="0.25">
      <c r="A522" s="1">
        <v>521</v>
      </c>
      <c r="B522" s="2" t="str">
        <f>_xlfn.CONCAT(C522,"-",VLOOKUP(C522,t_objeto!B:D,3,FALSE),"-",A522)</f>
        <v>KKMM-PERCCO-521</v>
      </c>
      <c r="C522" s="1" t="s">
        <v>7458</v>
      </c>
      <c r="D522" s="1" t="str">
        <f>VLOOKUP(C522,t_objeto!B:C,2,FALSE)</f>
        <v>KIT_MATERIAL</v>
      </c>
      <c r="E522" s="1">
        <v>8</v>
      </c>
      <c r="F522" s="1" t="str">
        <f>VLOOKUP(E522,t_entry_status!A:C,2,FALSE)</f>
        <v>PENDING</v>
      </c>
      <c r="G522" s="7">
        <v>45560</v>
      </c>
      <c r="H522" s="1" t="s">
        <v>7449</v>
      </c>
      <c r="I522" s="7">
        <v>45560</v>
      </c>
      <c r="J522" s="1" t="s">
        <v>7449</v>
      </c>
    </row>
    <row r="523" spans="1:10" x14ac:dyDescent="0.25">
      <c r="A523" s="1">
        <v>522</v>
      </c>
      <c r="B523" s="2" t="str">
        <f>_xlfn.CONCAT(C523,"-",VLOOKUP(C523,t_objeto!B:D,3,FALSE),"-",A523)</f>
        <v>KKMM-PERCCO-522</v>
      </c>
      <c r="C523" s="1" t="s">
        <v>7458</v>
      </c>
      <c r="D523" s="1" t="str">
        <f>VLOOKUP(C523,t_objeto!B:C,2,FALSE)</f>
        <v>KIT_MATERIAL</v>
      </c>
      <c r="E523" s="1">
        <v>8</v>
      </c>
      <c r="F523" s="1" t="str">
        <f>VLOOKUP(E523,t_entry_status!A:C,2,FALSE)</f>
        <v>PENDING</v>
      </c>
      <c r="G523" s="7">
        <v>45560</v>
      </c>
      <c r="H523" s="1" t="s">
        <v>7449</v>
      </c>
      <c r="I523" s="7">
        <v>45560</v>
      </c>
      <c r="J523" s="1" t="s">
        <v>7449</v>
      </c>
    </row>
    <row r="524" spans="1:10" x14ac:dyDescent="0.25">
      <c r="A524" s="1">
        <v>523</v>
      </c>
      <c r="B524" s="2" t="str">
        <f>_xlfn.CONCAT(C524,"-",VLOOKUP(C524,t_objeto!B:D,3,FALSE),"-",A524)</f>
        <v>KKMM-PERCCO-523</v>
      </c>
      <c r="C524" s="1" t="s">
        <v>7458</v>
      </c>
      <c r="D524" s="1" t="str">
        <f>VLOOKUP(C524,t_objeto!B:C,2,FALSE)</f>
        <v>KIT_MATERIAL</v>
      </c>
      <c r="E524" s="1">
        <v>8</v>
      </c>
      <c r="F524" s="1" t="str">
        <f>VLOOKUP(E524,t_entry_status!A:C,2,FALSE)</f>
        <v>PENDING</v>
      </c>
      <c r="G524" s="7">
        <v>45560</v>
      </c>
      <c r="H524" s="1" t="s">
        <v>7449</v>
      </c>
      <c r="I524" s="7">
        <v>45560</v>
      </c>
      <c r="J524" s="1" t="s">
        <v>7449</v>
      </c>
    </row>
    <row r="525" spans="1:10" x14ac:dyDescent="0.25">
      <c r="A525" s="1">
        <v>524</v>
      </c>
      <c r="B525" s="2" t="str">
        <f>_xlfn.CONCAT(C525,"-",VLOOKUP(C525,t_objeto!B:D,3,FALSE),"-",A525)</f>
        <v>KKMM-PERCCO-524</v>
      </c>
      <c r="C525" s="1" t="s">
        <v>7458</v>
      </c>
      <c r="D525" s="1" t="str">
        <f>VLOOKUP(C525,t_objeto!B:C,2,FALSE)</f>
        <v>KIT_MATERIAL</v>
      </c>
      <c r="E525" s="1">
        <v>8</v>
      </c>
      <c r="F525" s="1" t="str">
        <f>VLOOKUP(E525,t_entry_status!A:C,2,FALSE)</f>
        <v>PENDING</v>
      </c>
      <c r="G525" s="7">
        <v>45560</v>
      </c>
      <c r="H525" s="1" t="s">
        <v>7449</v>
      </c>
      <c r="I525" s="7">
        <v>45560</v>
      </c>
      <c r="J525" s="1" t="s">
        <v>7449</v>
      </c>
    </row>
    <row r="526" spans="1:10" x14ac:dyDescent="0.25">
      <c r="A526" s="1">
        <v>525</v>
      </c>
      <c r="B526" s="2" t="str">
        <f>_xlfn.CONCAT(C526,"-",VLOOKUP(C526,t_objeto!B:D,3,FALSE),"-",A526)</f>
        <v>KKMM-PERCCO-525</v>
      </c>
      <c r="C526" s="1" t="s">
        <v>7458</v>
      </c>
      <c r="D526" s="1" t="str">
        <f>VLOOKUP(C526,t_objeto!B:C,2,FALSE)</f>
        <v>KIT_MATERIAL</v>
      </c>
      <c r="E526" s="1">
        <v>8</v>
      </c>
      <c r="F526" s="1" t="str">
        <f>VLOOKUP(E526,t_entry_status!A:C,2,FALSE)</f>
        <v>PENDING</v>
      </c>
      <c r="G526" s="7">
        <v>45560</v>
      </c>
      <c r="H526" s="1" t="s">
        <v>7449</v>
      </c>
      <c r="I526" s="7">
        <v>45560</v>
      </c>
      <c r="J526" s="1" t="s">
        <v>7449</v>
      </c>
    </row>
    <row r="527" spans="1:10" x14ac:dyDescent="0.25">
      <c r="A527" s="1">
        <v>526</v>
      </c>
      <c r="B527" s="2" t="str">
        <f>_xlfn.CONCAT(C527,"-",VLOOKUP(C527,t_objeto!B:D,3,FALSE),"-",A527)</f>
        <v>KKMM-PERCCO-526</v>
      </c>
      <c r="C527" s="1" t="s">
        <v>7458</v>
      </c>
      <c r="D527" s="1" t="str">
        <f>VLOOKUP(C527,t_objeto!B:C,2,FALSE)</f>
        <v>KIT_MATERIAL</v>
      </c>
      <c r="E527" s="1">
        <v>8</v>
      </c>
      <c r="F527" s="1" t="str">
        <f>VLOOKUP(E527,t_entry_status!A:C,2,FALSE)</f>
        <v>PENDING</v>
      </c>
      <c r="G527" s="7">
        <v>45560</v>
      </c>
      <c r="H527" s="1" t="s">
        <v>7449</v>
      </c>
      <c r="I527" s="7">
        <v>45560</v>
      </c>
      <c r="J527" s="1" t="s">
        <v>7449</v>
      </c>
    </row>
    <row r="528" spans="1:10" x14ac:dyDescent="0.25">
      <c r="A528" s="1">
        <v>527</v>
      </c>
      <c r="B528" s="2" t="str">
        <f>_xlfn.CONCAT(C528,"-",VLOOKUP(C528,t_objeto!B:D,3,FALSE),"-",A528)</f>
        <v>KKMM-PERCCO-527</v>
      </c>
      <c r="C528" s="1" t="s">
        <v>7458</v>
      </c>
      <c r="D528" s="1" t="str">
        <f>VLOOKUP(C528,t_objeto!B:C,2,FALSE)</f>
        <v>KIT_MATERIAL</v>
      </c>
      <c r="E528" s="1">
        <v>8</v>
      </c>
      <c r="F528" s="1" t="str">
        <f>VLOOKUP(E528,t_entry_status!A:C,2,FALSE)</f>
        <v>PENDING</v>
      </c>
      <c r="G528" s="7">
        <v>45560</v>
      </c>
      <c r="H528" s="1" t="s">
        <v>7449</v>
      </c>
      <c r="I528" s="7">
        <v>45560</v>
      </c>
      <c r="J528" s="1" t="s">
        <v>7449</v>
      </c>
    </row>
    <row r="529" spans="1:10" x14ac:dyDescent="0.25">
      <c r="A529" s="1">
        <v>528</v>
      </c>
      <c r="B529" s="2" t="str">
        <f>_xlfn.CONCAT(C529,"-",VLOOKUP(C529,t_objeto!B:D,3,FALSE),"-",A529)</f>
        <v>KKMM-PERCCO-528</v>
      </c>
      <c r="C529" s="1" t="s">
        <v>7458</v>
      </c>
      <c r="D529" s="1" t="str">
        <f>VLOOKUP(C529,t_objeto!B:C,2,FALSE)</f>
        <v>KIT_MATERIAL</v>
      </c>
      <c r="E529" s="1">
        <v>8</v>
      </c>
      <c r="F529" s="1" t="str">
        <f>VLOOKUP(E529,t_entry_status!A:C,2,FALSE)</f>
        <v>PENDING</v>
      </c>
      <c r="G529" s="7">
        <v>45560</v>
      </c>
      <c r="H529" s="1" t="s">
        <v>7449</v>
      </c>
      <c r="I529" s="7">
        <v>45560</v>
      </c>
      <c r="J529" s="1" t="s">
        <v>7449</v>
      </c>
    </row>
    <row r="530" spans="1:10" x14ac:dyDescent="0.25">
      <c r="A530" s="1">
        <v>529</v>
      </c>
      <c r="B530" s="2" t="str">
        <f>_xlfn.CONCAT(C530,"-",VLOOKUP(C530,t_objeto!B:D,3,FALSE),"-",A530)</f>
        <v>KKMM-PERCCO-529</v>
      </c>
      <c r="C530" s="1" t="s">
        <v>7458</v>
      </c>
      <c r="D530" s="1" t="str">
        <f>VLOOKUP(C530,t_objeto!B:C,2,FALSE)</f>
        <v>KIT_MATERIAL</v>
      </c>
      <c r="E530" s="1">
        <v>8</v>
      </c>
      <c r="F530" s="1" t="str">
        <f>VLOOKUP(E530,t_entry_status!A:C,2,FALSE)</f>
        <v>PENDING</v>
      </c>
      <c r="G530" s="7">
        <v>45560</v>
      </c>
      <c r="H530" s="1" t="s">
        <v>7449</v>
      </c>
      <c r="I530" s="7">
        <v>45560</v>
      </c>
      <c r="J530" s="1" t="s">
        <v>7449</v>
      </c>
    </row>
    <row r="531" spans="1:10" x14ac:dyDescent="0.25">
      <c r="A531" s="1">
        <v>530</v>
      </c>
      <c r="B531" s="2" t="str">
        <f>_xlfn.CONCAT(C531,"-",VLOOKUP(C531,t_objeto!B:D,3,FALSE),"-",A531)</f>
        <v>KKMM-PERCCO-530</v>
      </c>
      <c r="C531" s="1" t="s">
        <v>7458</v>
      </c>
      <c r="D531" s="1" t="str">
        <f>VLOOKUP(C531,t_objeto!B:C,2,FALSE)</f>
        <v>KIT_MATERIAL</v>
      </c>
      <c r="E531" s="1">
        <v>8</v>
      </c>
      <c r="F531" s="1" t="str">
        <f>VLOOKUP(E531,t_entry_status!A:C,2,FALSE)</f>
        <v>PENDING</v>
      </c>
      <c r="G531" s="7">
        <v>45560</v>
      </c>
      <c r="H531" s="1" t="s">
        <v>7449</v>
      </c>
      <c r="I531" s="7">
        <v>45560</v>
      </c>
      <c r="J531" s="1" t="s">
        <v>7449</v>
      </c>
    </row>
    <row r="532" spans="1:10" x14ac:dyDescent="0.25">
      <c r="A532" s="1">
        <v>531</v>
      </c>
      <c r="B532" s="2" t="str">
        <f>_xlfn.CONCAT(C532,"-",VLOOKUP(C532,t_objeto!B:D,3,FALSE),"-",A532)</f>
        <v>KKMM-PERCCO-531</v>
      </c>
      <c r="C532" s="1" t="s">
        <v>7458</v>
      </c>
      <c r="D532" s="1" t="str">
        <f>VLOOKUP(C532,t_objeto!B:C,2,FALSE)</f>
        <v>KIT_MATERIAL</v>
      </c>
      <c r="E532" s="1">
        <v>8</v>
      </c>
      <c r="F532" s="1" t="str">
        <f>VLOOKUP(E532,t_entry_status!A:C,2,FALSE)</f>
        <v>PENDING</v>
      </c>
      <c r="G532" s="7">
        <v>45560</v>
      </c>
      <c r="H532" s="1" t="s">
        <v>7449</v>
      </c>
      <c r="I532" s="7">
        <v>45560</v>
      </c>
      <c r="J532" s="1" t="s">
        <v>7449</v>
      </c>
    </row>
    <row r="533" spans="1:10" x14ac:dyDescent="0.25">
      <c r="A533" s="1">
        <v>532</v>
      </c>
      <c r="B533" s="2" t="str">
        <f>_xlfn.CONCAT(C533,"-",VLOOKUP(C533,t_objeto!B:D,3,FALSE),"-",A533)</f>
        <v>KKMM-PERCCO-532</v>
      </c>
      <c r="C533" s="1" t="s">
        <v>7458</v>
      </c>
      <c r="D533" s="1" t="str">
        <f>VLOOKUP(C533,t_objeto!B:C,2,FALSE)</f>
        <v>KIT_MATERIAL</v>
      </c>
      <c r="E533" s="1">
        <v>8</v>
      </c>
      <c r="F533" s="1" t="str">
        <f>VLOOKUP(E533,t_entry_status!A:C,2,FALSE)</f>
        <v>PENDING</v>
      </c>
      <c r="G533" s="7">
        <v>45560</v>
      </c>
      <c r="H533" s="1" t="s">
        <v>7449</v>
      </c>
      <c r="I533" s="7">
        <v>45560</v>
      </c>
      <c r="J533" s="1" t="s">
        <v>7449</v>
      </c>
    </row>
    <row r="534" spans="1:10" x14ac:dyDescent="0.25">
      <c r="A534" s="1">
        <v>533</v>
      </c>
      <c r="B534" s="2" t="str">
        <f>_xlfn.CONCAT(C534,"-",VLOOKUP(C534,t_objeto!B:D,3,FALSE),"-",A534)</f>
        <v>KKMM-PERCCO-533</v>
      </c>
      <c r="C534" s="1" t="s">
        <v>7458</v>
      </c>
      <c r="D534" s="1" t="str">
        <f>VLOOKUP(C534,t_objeto!B:C,2,FALSE)</f>
        <v>KIT_MATERIAL</v>
      </c>
      <c r="E534" s="1">
        <v>8</v>
      </c>
      <c r="F534" s="1" t="str">
        <f>VLOOKUP(E534,t_entry_status!A:C,2,FALSE)</f>
        <v>PENDING</v>
      </c>
      <c r="G534" s="7">
        <v>45560</v>
      </c>
      <c r="H534" s="1" t="s">
        <v>7449</v>
      </c>
      <c r="I534" s="7">
        <v>45560</v>
      </c>
      <c r="J534" s="1" t="s">
        <v>7449</v>
      </c>
    </row>
    <row r="535" spans="1:10" x14ac:dyDescent="0.25">
      <c r="A535" s="1">
        <v>534</v>
      </c>
      <c r="B535" s="2" t="str">
        <f>_xlfn.CONCAT(C535,"-",VLOOKUP(C535,t_objeto!B:D,3,FALSE),"-",A535)</f>
        <v>KKMM-PERCCO-534</v>
      </c>
      <c r="C535" s="1" t="s">
        <v>7458</v>
      </c>
      <c r="D535" s="1" t="str">
        <f>VLOOKUP(C535,t_objeto!B:C,2,FALSE)</f>
        <v>KIT_MATERIAL</v>
      </c>
      <c r="E535" s="1">
        <v>8</v>
      </c>
      <c r="F535" s="1" t="str">
        <f>VLOOKUP(E535,t_entry_status!A:C,2,FALSE)</f>
        <v>PENDING</v>
      </c>
      <c r="G535" s="7">
        <v>45560</v>
      </c>
      <c r="H535" s="1" t="s">
        <v>7449</v>
      </c>
      <c r="I535" s="7">
        <v>45560</v>
      </c>
      <c r="J535" s="1" t="s">
        <v>7449</v>
      </c>
    </row>
    <row r="536" spans="1:10" x14ac:dyDescent="0.25">
      <c r="A536" s="1">
        <v>535</v>
      </c>
      <c r="B536" s="2" t="str">
        <f>_xlfn.CONCAT(C536,"-",VLOOKUP(C536,t_objeto!B:D,3,FALSE),"-",A536)</f>
        <v>KKMM-PERCCO-535</v>
      </c>
      <c r="C536" s="1" t="s">
        <v>7458</v>
      </c>
      <c r="D536" s="1" t="str">
        <f>VLOOKUP(C536,t_objeto!B:C,2,FALSE)</f>
        <v>KIT_MATERIAL</v>
      </c>
      <c r="E536" s="1">
        <v>8</v>
      </c>
      <c r="F536" s="1" t="str">
        <f>VLOOKUP(E536,t_entry_status!A:C,2,FALSE)</f>
        <v>PENDING</v>
      </c>
      <c r="G536" s="7">
        <v>45560</v>
      </c>
      <c r="H536" s="1" t="s">
        <v>7449</v>
      </c>
      <c r="I536" s="7">
        <v>45560</v>
      </c>
      <c r="J536" s="1" t="s">
        <v>7449</v>
      </c>
    </row>
    <row r="537" spans="1:10" x14ac:dyDescent="0.25">
      <c r="A537" s="1">
        <v>536</v>
      </c>
      <c r="B537" s="2" t="str">
        <f>_xlfn.CONCAT(C537,"-",VLOOKUP(C537,t_objeto!B:D,3,FALSE),"-",A537)</f>
        <v>KKMM-PERCCO-536</v>
      </c>
      <c r="C537" s="1" t="s">
        <v>7458</v>
      </c>
      <c r="D537" s="1" t="str">
        <f>VLOOKUP(C537,t_objeto!B:C,2,FALSE)</f>
        <v>KIT_MATERIAL</v>
      </c>
      <c r="E537" s="1">
        <v>8</v>
      </c>
      <c r="F537" s="1" t="str">
        <f>VLOOKUP(E537,t_entry_status!A:C,2,FALSE)</f>
        <v>PENDING</v>
      </c>
      <c r="G537" s="7">
        <v>45560</v>
      </c>
      <c r="H537" s="1" t="s">
        <v>7449</v>
      </c>
      <c r="I537" s="7">
        <v>45560</v>
      </c>
      <c r="J537" s="1" t="s">
        <v>7449</v>
      </c>
    </row>
    <row r="538" spans="1:10" x14ac:dyDescent="0.25">
      <c r="A538" s="1">
        <v>537</v>
      </c>
      <c r="B538" s="2" t="str">
        <f>_xlfn.CONCAT(C538,"-",VLOOKUP(C538,t_objeto!B:D,3,FALSE),"-",A538)</f>
        <v>KKMM-PERCCO-537</v>
      </c>
      <c r="C538" s="1" t="s">
        <v>7458</v>
      </c>
      <c r="D538" s="1" t="str">
        <f>VLOOKUP(C538,t_objeto!B:C,2,FALSE)</f>
        <v>KIT_MATERIAL</v>
      </c>
      <c r="E538" s="1">
        <v>8</v>
      </c>
      <c r="F538" s="1" t="str">
        <f>VLOOKUP(E538,t_entry_status!A:C,2,FALSE)</f>
        <v>PENDING</v>
      </c>
      <c r="G538" s="7">
        <v>45560</v>
      </c>
      <c r="H538" s="1" t="s">
        <v>7449</v>
      </c>
      <c r="I538" s="7">
        <v>45560</v>
      </c>
      <c r="J538" s="1" t="s">
        <v>7449</v>
      </c>
    </row>
    <row r="539" spans="1:10" x14ac:dyDescent="0.25">
      <c r="A539" s="1">
        <v>538</v>
      </c>
      <c r="B539" s="2" t="str">
        <f>_xlfn.CONCAT(C539,"-",VLOOKUP(C539,t_objeto!B:D,3,FALSE),"-",A539)</f>
        <v>KKMM-PERCCO-538</v>
      </c>
      <c r="C539" s="1" t="s">
        <v>7458</v>
      </c>
      <c r="D539" s="1" t="str">
        <f>VLOOKUP(C539,t_objeto!B:C,2,FALSE)</f>
        <v>KIT_MATERIAL</v>
      </c>
      <c r="E539" s="1">
        <v>8</v>
      </c>
      <c r="F539" s="1" t="str">
        <f>VLOOKUP(E539,t_entry_status!A:C,2,FALSE)</f>
        <v>PENDING</v>
      </c>
      <c r="G539" s="7">
        <v>45560</v>
      </c>
      <c r="H539" s="1" t="s">
        <v>7449</v>
      </c>
      <c r="I539" s="7">
        <v>45560</v>
      </c>
      <c r="J539" s="1" t="s">
        <v>7449</v>
      </c>
    </row>
    <row r="540" spans="1:10" x14ac:dyDescent="0.25">
      <c r="A540" s="1">
        <v>539</v>
      </c>
      <c r="B540" s="2" t="str">
        <f>_xlfn.CONCAT(C540,"-",VLOOKUP(C540,t_objeto!B:D,3,FALSE),"-",A540)</f>
        <v>KKMM-PERCCO-539</v>
      </c>
      <c r="C540" s="1" t="s">
        <v>7458</v>
      </c>
      <c r="D540" s="1" t="str">
        <f>VLOOKUP(C540,t_objeto!B:C,2,FALSE)</f>
        <v>KIT_MATERIAL</v>
      </c>
      <c r="E540" s="1">
        <v>8</v>
      </c>
      <c r="F540" s="1" t="str">
        <f>VLOOKUP(E540,t_entry_status!A:C,2,FALSE)</f>
        <v>PENDING</v>
      </c>
      <c r="G540" s="7">
        <v>45560</v>
      </c>
      <c r="H540" s="1" t="s">
        <v>7449</v>
      </c>
      <c r="I540" s="7">
        <v>45560</v>
      </c>
      <c r="J540" s="1" t="s">
        <v>7449</v>
      </c>
    </row>
    <row r="541" spans="1:10" x14ac:dyDescent="0.25">
      <c r="A541" s="1">
        <v>540</v>
      </c>
      <c r="B541" s="2" t="str">
        <f>_xlfn.CONCAT(C541,"-",VLOOKUP(C541,t_objeto!B:D,3,FALSE),"-",A541)</f>
        <v>KKMM-PERCCO-540</v>
      </c>
      <c r="C541" s="1" t="s">
        <v>7458</v>
      </c>
      <c r="D541" s="1" t="str">
        <f>VLOOKUP(C541,t_objeto!B:C,2,FALSE)</f>
        <v>KIT_MATERIAL</v>
      </c>
      <c r="E541" s="1">
        <v>8</v>
      </c>
      <c r="F541" s="1" t="str">
        <f>VLOOKUP(E541,t_entry_status!A:C,2,FALSE)</f>
        <v>PENDING</v>
      </c>
      <c r="G541" s="7">
        <v>45560</v>
      </c>
      <c r="H541" s="1" t="s">
        <v>7449</v>
      </c>
      <c r="I541" s="7">
        <v>45560</v>
      </c>
      <c r="J541" s="1" t="s">
        <v>7449</v>
      </c>
    </row>
    <row r="542" spans="1:10" x14ac:dyDescent="0.25">
      <c r="A542" s="1">
        <v>541</v>
      </c>
      <c r="B542" s="2" t="str">
        <f>_xlfn.CONCAT(C542,"-",VLOOKUP(C542,t_objeto!B:D,3,FALSE),"-",A542)</f>
        <v>KKMM-PERCCO-541</v>
      </c>
      <c r="C542" s="1" t="s">
        <v>7458</v>
      </c>
      <c r="D542" s="1" t="str">
        <f>VLOOKUP(C542,t_objeto!B:C,2,FALSE)</f>
        <v>KIT_MATERIAL</v>
      </c>
      <c r="E542" s="1">
        <v>8</v>
      </c>
      <c r="F542" s="1" t="str">
        <f>VLOOKUP(E542,t_entry_status!A:C,2,FALSE)</f>
        <v>PENDING</v>
      </c>
      <c r="G542" s="7">
        <v>45560</v>
      </c>
      <c r="H542" s="1" t="s">
        <v>7449</v>
      </c>
      <c r="I542" s="7">
        <v>45560</v>
      </c>
      <c r="J542" s="1" t="s">
        <v>7449</v>
      </c>
    </row>
    <row r="543" spans="1:10" x14ac:dyDescent="0.25">
      <c r="A543" s="1">
        <v>542</v>
      </c>
      <c r="B543" s="2" t="str">
        <f>_xlfn.CONCAT(C543,"-",VLOOKUP(C543,t_objeto!B:D,3,FALSE),"-",A543)</f>
        <v>KKMM-PERCCO-542</v>
      </c>
      <c r="C543" s="1" t="s">
        <v>7458</v>
      </c>
      <c r="D543" s="1" t="str">
        <f>VLOOKUP(C543,t_objeto!B:C,2,FALSE)</f>
        <v>KIT_MATERIAL</v>
      </c>
      <c r="E543" s="1">
        <v>8</v>
      </c>
      <c r="F543" s="1" t="str">
        <f>VLOOKUP(E543,t_entry_status!A:C,2,FALSE)</f>
        <v>PENDING</v>
      </c>
      <c r="G543" s="7">
        <v>45560</v>
      </c>
      <c r="H543" s="1" t="s">
        <v>7449</v>
      </c>
      <c r="I543" s="7">
        <v>45560</v>
      </c>
      <c r="J543" s="1" t="s">
        <v>7449</v>
      </c>
    </row>
    <row r="544" spans="1:10" x14ac:dyDescent="0.25">
      <c r="A544" s="1">
        <v>543</v>
      </c>
      <c r="B544" s="2" t="str">
        <f>_xlfn.CONCAT(C544,"-",VLOOKUP(C544,t_objeto!B:D,3,FALSE),"-",A544)</f>
        <v>KKMM-PERCCO-543</v>
      </c>
      <c r="C544" s="1" t="s">
        <v>7458</v>
      </c>
      <c r="D544" s="1" t="str">
        <f>VLOOKUP(C544,t_objeto!B:C,2,FALSE)</f>
        <v>KIT_MATERIAL</v>
      </c>
      <c r="E544" s="1">
        <v>8</v>
      </c>
      <c r="F544" s="1" t="str">
        <f>VLOOKUP(E544,t_entry_status!A:C,2,FALSE)</f>
        <v>PENDING</v>
      </c>
      <c r="G544" s="7">
        <v>45560</v>
      </c>
      <c r="H544" s="1" t="s">
        <v>7449</v>
      </c>
      <c r="I544" s="7">
        <v>45560</v>
      </c>
      <c r="J544" s="1" t="s">
        <v>7449</v>
      </c>
    </row>
    <row r="545" spans="1:10" x14ac:dyDescent="0.25">
      <c r="A545" s="1">
        <v>544</v>
      </c>
      <c r="B545" s="2" t="str">
        <f>_xlfn.CONCAT(C545,"-",VLOOKUP(C545,t_objeto!B:D,3,FALSE),"-",A545)</f>
        <v>KKMM-PERCCO-544</v>
      </c>
      <c r="C545" s="1" t="s">
        <v>7458</v>
      </c>
      <c r="D545" s="1" t="str">
        <f>VLOOKUP(C545,t_objeto!B:C,2,FALSE)</f>
        <v>KIT_MATERIAL</v>
      </c>
      <c r="E545" s="1">
        <v>8</v>
      </c>
      <c r="F545" s="1" t="str">
        <f>VLOOKUP(E545,t_entry_status!A:C,2,FALSE)</f>
        <v>PENDING</v>
      </c>
      <c r="G545" s="7">
        <v>45560</v>
      </c>
      <c r="H545" s="1" t="s">
        <v>7449</v>
      </c>
      <c r="I545" s="7">
        <v>45560</v>
      </c>
      <c r="J545" s="1" t="s">
        <v>7449</v>
      </c>
    </row>
    <row r="546" spans="1:10" x14ac:dyDescent="0.25">
      <c r="A546" s="1">
        <v>545</v>
      </c>
      <c r="B546" s="2" t="str">
        <f>_xlfn.CONCAT(C546,"-",VLOOKUP(C546,t_objeto!B:D,3,FALSE),"-",A546)</f>
        <v>KKMM-PERCCO-545</v>
      </c>
      <c r="C546" s="1" t="s">
        <v>7458</v>
      </c>
      <c r="D546" s="1" t="str">
        <f>VLOOKUP(C546,t_objeto!B:C,2,FALSE)</f>
        <v>KIT_MATERIAL</v>
      </c>
      <c r="E546" s="1">
        <v>8</v>
      </c>
      <c r="F546" s="1" t="str">
        <f>VLOOKUP(E546,t_entry_status!A:C,2,FALSE)</f>
        <v>PENDING</v>
      </c>
      <c r="G546" s="7">
        <v>45560</v>
      </c>
      <c r="H546" s="1" t="s">
        <v>7449</v>
      </c>
      <c r="I546" s="7">
        <v>45560</v>
      </c>
      <c r="J546" s="1" t="s">
        <v>7449</v>
      </c>
    </row>
  </sheetData>
  <autoFilter ref="A1:J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B4CBE0A-7084-4ECA-B642-4A1B3C3BC2BA}">
          <x14:formula1>
            <xm:f>t_entry_status!$A:$A</xm:f>
          </x14:formula1>
          <xm:sqref>E2:E546</xm:sqref>
        </x14:dataValidation>
        <x14:dataValidation type="list" allowBlank="1" showInputMessage="1" showErrorMessage="1" xr:uid="{C2BA9CBC-1330-446B-BFB8-7256B97A9E91}">
          <x14:formula1>
            <xm:f>t_objeto!$B:$B</xm:f>
          </x14:formula1>
          <xm:sqref>C2:C546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90B0-BCB3-47B0-848A-A5908539A22A}">
  <dimension ref="A1:L546"/>
  <sheetViews>
    <sheetView tabSelected="1" workbookViewId="0">
      <selection activeCell="F2" sqref="F2:F546"/>
    </sheetView>
  </sheetViews>
  <sheetFormatPr baseColWidth="10" defaultColWidth="8.85546875" defaultRowHeight="15" x14ac:dyDescent="0.25"/>
  <cols>
    <col min="1" max="1" width="12.7109375" style="1" bestFit="1" customWidth="1"/>
    <col min="2" max="2" width="24.7109375" style="1" customWidth="1"/>
    <col min="3" max="3" width="12.42578125" style="1" customWidth="1"/>
    <col min="4" max="4" width="31" style="1" customWidth="1"/>
    <col min="5" max="5" width="23.85546875" style="1" bestFit="1" customWidth="1"/>
    <col min="6" max="6" width="27" style="1" customWidth="1"/>
    <col min="7" max="7" width="12.7109375" style="1" bestFit="1" customWidth="1"/>
    <col min="8" max="8" width="26.7109375" style="1" bestFit="1" customWidth="1"/>
    <col min="9" max="9" width="15.42578125" style="1" bestFit="1" customWidth="1"/>
    <col min="10" max="10" width="14" style="1" bestFit="1" customWidth="1"/>
    <col min="11" max="11" width="16.28515625" style="1" bestFit="1" customWidth="1"/>
    <col min="12" max="12" width="14.5703125" style="1" bestFit="1" customWidth="1"/>
    <col min="13" max="16384" width="8.85546875" style="1"/>
  </cols>
  <sheetData>
    <row r="1" spans="1:12" s="6" customFormat="1" x14ac:dyDescent="0.25">
      <c r="A1" s="5" t="s">
        <v>7286</v>
      </c>
      <c r="B1" s="5" t="s">
        <v>7454</v>
      </c>
      <c r="C1" s="5" t="s">
        <v>7333</v>
      </c>
      <c r="D1" s="5" t="s">
        <v>7287</v>
      </c>
      <c r="E1" s="5" t="s">
        <v>7452</v>
      </c>
      <c r="F1" s="5" t="s">
        <v>8349</v>
      </c>
      <c r="G1" s="5" t="s">
        <v>24</v>
      </c>
      <c r="H1" s="5" t="s">
        <v>43</v>
      </c>
      <c r="I1" s="5" t="s">
        <v>44</v>
      </c>
      <c r="J1" s="5" t="s">
        <v>45</v>
      </c>
      <c r="K1" s="5" t="s">
        <v>46</v>
      </c>
      <c r="L1" s="5" t="s">
        <v>47</v>
      </c>
    </row>
    <row r="2" spans="1:12" x14ac:dyDescent="0.25">
      <c r="A2" s="1">
        <v>1</v>
      </c>
      <c r="B2" s="2" t="str">
        <f>_xlfn.CONCAT(C2,"-",VLOOKUP(C2,t_objeto!B:D,3,FALSE),"-",A2)</f>
        <v>RRPP-PERCCO-1</v>
      </c>
      <c r="C2" s="1" t="s">
        <v>7461</v>
      </c>
      <c r="D2" s="1" t="str">
        <f>VLOOKUP(C2,t_objeto!B:C,2,FALSE)</f>
        <v>RESOURCES_POOL</v>
      </c>
      <c r="E2" s="2" t="s">
        <v>7462</v>
      </c>
      <c r="F2" s="2" t="s">
        <v>8353</v>
      </c>
      <c r="G2" s="1">
        <v>8</v>
      </c>
      <c r="H2" s="1" t="str">
        <f>VLOOKUP(G2,t_entry_status!A:C,2,FALSE)</f>
        <v>PENDING</v>
      </c>
      <c r="I2" s="7">
        <v>45560</v>
      </c>
      <c r="J2" s="1" t="s">
        <v>7449</v>
      </c>
      <c r="K2" s="7">
        <v>45560</v>
      </c>
      <c r="L2" s="1" t="s">
        <v>7449</v>
      </c>
    </row>
    <row r="3" spans="1:12" x14ac:dyDescent="0.25">
      <c r="A3" s="1">
        <v>2</v>
      </c>
      <c r="B3" s="2" t="str">
        <f>_xlfn.CONCAT(C3,"-",VLOOKUP(C3,t_objeto!B:D,3,FALSE),"-",A3)</f>
        <v>RRPP-PERCCO-2</v>
      </c>
      <c r="C3" s="1" t="s">
        <v>7461</v>
      </c>
      <c r="D3" s="1" t="str">
        <f>VLOOKUP(C3,t_objeto!B:C,2,FALSE)</f>
        <v>RESOURCES_POOL</v>
      </c>
      <c r="E3" s="2" t="s">
        <v>7463</v>
      </c>
      <c r="F3" s="2" t="s">
        <v>8354</v>
      </c>
      <c r="G3" s="1">
        <v>8</v>
      </c>
      <c r="H3" s="1" t="str">
        <f>VLOOKUP(G3,t_entry_status!A:C,2,FALSE)</f>
        <v>PENDING</v>
      </c>
      <c r="I3" s="7">
        <v>45560</v>
      </c>
      <c r="J3" s="1" t="s">
        <v>7449</v>
      </c>
      <c r="K3" s="7">
        <v>45560</v>
      </c>
      <c r="L3" s="1" t="s">
        <v>7449</v>
      </c>
    </row>
    <row r="4" spans="1:12" x14ac:dyDescent="0.25">
      <c r="A4" s="1">
        <v>3</v>
      </c>
      <c r="B4" s="2" t="str">
        <f>_xlfn.CONCAT(C4,"-",VLOOKUP(C4,t_objeto!B:D,3,FALSE),"-",A4)</f>
        <v>RRPP-PERCCO-3</v>
      </c>
      <c r="C4" s="1" t="s">
        <v>7461</v>
      </c>
      <c r="D4" s="1" t="str">
        <f>VLOOKUP(C4,t_objeto!B:C,2,FALSE)</f>
        <v>RESOURCES_POOL</v>
      </c>
      <c r="E4" s="2" t="s">
        <v>7464</v>
      </c>
      <c r="F4" s="2" t="s">
        <v>8355</v>
      </c>
      <c r="G4" s="1">
        <v>8</v>
      </c>
      <c r="H4" s="1" t="str">
        <f>VLOOKUP(G4,t_entry_status!A:C,2,FALSE)</f>
        <v>PENDING</v>
      </c>
      <c r="I4" s="7">
        <v>45560</v>
      </c>
      <c r="J4" s="1" t="s">
        <v>7449</v>
      </c>
      <c r="K4" s="7">
        <v>45560</v>
      </c>
      <c r="L4" s="1" t="s">
        <v>7449</v>
      </c>
    </row>
    <row r="5" spans="1:12" x14ac:dyDescent="0.25">
      <c r="A5" s="1">
        <v>4</v>
      </c>
      <c r="B5" s="2" t="str">
        <f>_xlfn.CONCAT(C5,"-",VLOOKUP(C5,t_objeto!B:D,3,FALSE),"-",A5)</f>
        <v>RRPP-PERCCO-4</v>
      </c>
      <c r="C5" s="1" t="s">
        <v>7461</v>
      </c>
      <c r="D5" s="1" t="str">
        <f>VLOOKUP(C5,t_objeto!B:C,2,FALSE)</f>
        <v>RESOURCES_POOL</v>
      </c>
      <c r="E5" s="2" t="s">
        <v>7465</v>
      </c>
      <c r="F5" s="2" t="s">
        <v>8356</v>
      </c>
      <c r="G5" s="1">
        <v>8</v>
      </c>
      <c r="H5" s="1" t="str">
        <f>VLOOKUP(G5,t_entry_status!A:C,2,FALSE)</f>
        <v>PENDING</v>
      </c>
      <c r="I5" s="7">
        <v>45560</v>
      </c>
      <c r="J5" s="1" t="s">
        <v>7449</v>
      </c>
      <c r="K5" s="7">
        <v>45560</v>
      </c>
      <c r="L5" s="1" t="s">
        <v>7449</v>
      </c>
    </row>
    <row r="6" spans="1:12" x14ac:dyDescent="0.25">
      <c r="A6" s="1">
        <v>5</v>
      </c>
      <c r="B6" s="2" t="str">
        <f>_xlfn.CONCAT(C6,"-",VLOOKUP(C6,t_objeto!B:D,3,FALSE),"-",A6)</f>
        <v>RRPP-PERCCO-5</v>
      </c>
      <c r="C6" s="1" t="s">
        <v>7461</v>
      </c>
      <c r="D6" s="1" t="str">
        <f>VLOOKUP(C6,t_objeto!B:C,2,FALSE)</f>
        <v>RESOURCES_POOL</v>
      </c>
      <c r="E6" s="2" t="s">
        <v>7466</v>
      </c>
      <c r="F6" s="2" t="s">
        <v>8357</v>
      </c>
      <c r="G6" s="1">
        <v>8</v>
      </c>
      <c r="H6" s="1" t="str">
        <f>VLOOKUP(G6,t_entry_status!A:C,2,FALSE)</f>
        <v>PENDING</v>
      </c>
      <c r="I6" s="7">
        <v>45560</v>
      </c>
      <c r="J6" s="1" t="s">
        <v>7449</v>
      </c>
      <c r="K6" s="7">
        <v>45560</v>
      </c>
      <c r="L6" s="1" t="s">
        <v>7449</v>
      </c>
    </row>
    <row r="7" spans="1:12" x14ac:dyDescent="0.25">
      <c r="A7" s="1">
        <v>6</v>
      </c>
      <c r="B7" s="2" t="str">
        <f>_xlfn.CONCAT(C7,"-",VLOOKUP(C7,t_objeto!B:D,3,FALSE),"-",A7)</f>
        <v>RRPP-PERCCO-6</v>
      </c>
      <c r="C7" s="1" t="s">
        <v>7461</v>
      </c>
      <c r="D7" s="1" t="str">
        <f>VLOOKUP(C7,t_objeto!B:C,2,FALSE)</f>
        <v>RESOURCES_POOL</v>
      </c>
      <c r="E7" s="2" t="s">
        <v>7467</v>
      </c>
      <c r="F7" s="2" t="s">
        <v>8358</v>
      </c>
      <c r="G7" s="1">
        <v>8</v>
      </c>
      <c r="H7" s="1" t="str">
        <f>VLOOKUP(G7,t_entry_status!A:C,2,FALSE)</f>
        <v>PENDING</v>
      </c>
      <c r="I7" s="7">
        <v>45560</v>
      </c>
      <c r="J7" s="1" t="s">
        <v>7449</v>
      </c>
      <c r="K7" s="7">
        <v>45560</v>
      </c>
      <c r="L7" s="1" t="s">
        <v>7449</v>
      </c>
    </row>
    <row r="8" spans="1:12" x14ac:dyDescent="0.25">
      <c r="A8" s="1">
        <v>7</v>
      </c>
      <c r="B8" s="2" t="str">
        <f>_xlfn.CONCAT(C8,"-",VLOOKUP(C8,t_objeto!B:D,3,FALSE),"-",A8)</f>
        <v>RRPP-PERCCO-7</v>
      </c>
      <c r="C8" s="1" t="s">
        <v>7461</v>
      </c>
      <c r="D8" s="1" t="str">
        <f>VLOOKUP(C8,t_objeto!B:C,2,FALSE)</f>
        <v>RESOURCES_POOL</v>
      </c>
      <c r="E8" s="2" t="s">
        <v>7468</v>
      </c>
      <c r="F8" s="2" t="s">
        <v>8359</v>
      </c>
      <c r="G8" s="1">
        <v>8</v>
      </c>
      <c r="H8" s="1" t="str">
        <f>VLOOKUP(G8,t_entry_status!A:C,2,FALSE)</f>
        <v>PENDING</v>
      </c>
      <c r="I8" s="7">
        <v>45560</v>
      </c>
      <c r="J8" s="1" t="s">
        <v>7449</v>
      </c>
      <c r="K8" s="7">
        <v>45560</v>
      </c>
      <c r="L8" s="1" t="s">
        <v>7449</v>
      </c>
    </row>
    <row r="9" spans="1:12" x14ac:dyDescent="0.25">
      <c r="A9" s="1">
        <v>8</v>
      </c>
      <c r="B9" s="2" t="str">
        <f>_xlfn.CONCAT(C9,"-",VLOOKUP(C9,t_objeto!B:D,3,FALSE),"-",A9)</f>
        <v>RRPP-PERCCO-8</v>
      </c>
      <c r="C9" s="1" t="s">
        <v>7461</v>
      </c>
      <c r="D9" s="1" t="str">
        <f>VLOOKUP(C9,t_objeto!B:C,2,FALSE)</f>
        <v>RESOURCES_POOL</v>
      </c>
      <c r="E9" s="2" t="s">
        <v>7469</v>
      </c>
      <c r="F9" s="2" t="s">
        <v>8360</v>
      </c>
      <c r="G9" s="1">
        <v>8</v>
      </c>
      <c r="H9" s="1" t="str">
        <f>VLOOKUP(G9,t_entry_status!A:C,2,FALSE)</f>
        <v>PENDING</v>
      </c>
      <c r="I9" s="7">
        <v>45560</v>
      </c>
      <c r="J9" s="1" t="s">
        <v>7449</v>
      </c>
      <c r="K9" s="7">
        <v>45560</v>
      </c>
      <c r="L9" s="1" t="s">
        <v>7449</v>
      </c>
    </row>
    <row r="10" spans="1:12" x14ac:dyDescent="0.25">
      <c r="A10" s="1">
        <v>9</v>
      </c>
      <c r="B10" s="2" t="str">
        <f>_xlfn.CONCAT(C10,"-",VLOOKUP(C10,t_objeto!B:D,3,FALSE),"-",A10)</f>
        <v>RRPP-PERCCO-9</v>
      </c>
      <c r="C10" s="1" t="s">
        <v>7461</v>
      </c>
      <c r="D10" s="1" t="str">
        <f>VLOOKUP(C10,t_objeto!B:C,2,FALSE)</f>
        <v>RESOURCES_POOL</v>
      </c>
      <c r="E10" s="2" t="s">
        <v>7470</v>
      </c>
      <c r="F10" s="2" t="s">
        <v>8361</v>
      </c>
      <c r="G10" s="1">
        <v>8</v>
      </c>
      <c r="H10" s="1" t="str">
        <f>VLOOKUP(G10,t_entry_status!A:C,2,FALSE)</f>
        <v>PENDING</v>
      </c>
      <c r="I10" s="7">
        <v>45560</v>
      </c>
      <c r="J10" s="1" t="s">
        <v>7449</v>
      </c>
      <c r="K10" s="7">
        <v>45560</v>
      </c>
      <c r="L10" s="1" t="s">
        <v>7449</v>
      </c>
    </row>
    <row r="11" spans="1:12" x14ac:dyDescent="0.25">
      <c r="A11" s="1">
        <v>10</v>
      </c>
      <c r="B11" s="2" t="str">
        <f>_xlfn.CONCAT(C11,"-",VLOOKUP(C11,t_objeto!B:D,3,FALSE),"-",A11)</f>
        <v>RRPP-PERCCO-10</v>
      </c>
      <c r="C11" s="1" t="s">
        <v>7461</v>
      </c>
      <c r="D11" s="1" t="str">
        <f>VLOOKUP(C11,t_objeto!B:C,2,FALSE)</f>
        <v>RESOURCES_POOL</v>
      </c>
      <c r="E11" s="2" t="s">
        <v>7471</v>
      </c>
      <c r="F11" s="2" t="s">
        <v>8362</v>
      </c>
      <c r="G11" s="1">
        <v>8</v>
      </c>
      <c r="H11" s="1" t="str">
        <f>VLOOKUP(G11,t_entry_status!A:C,2,FALSE)</f>
        <v>PENDING</v>
      </c>
      <c r="I11" s="7">
        <v>45560</v>
      </c>
      <c r="J11" s="1" t="s">
        <v>7449</v>
      </c>
      <c r="K11" s="7">
        <v>45560</v>
      </c>
      <c r="L11" s="1" t="s">
        <v>7449</v>
      </c>
    </row>
    <row r="12" spans="1:12" x14ac:dyDescent="0.25">
      <c r="A12" s="1">
        <v>11</v>
      </c>
      <c r="B12" s="2" t="str">
        <f>_xlfn.CONCAT(C12,"-",VLOOKUP(C12,t_objeto!B:D,3,FALSE),"-",A12)</f>
        <v>RRPP-PERCCO-11</v>
      </c>
      <c r="C12" s="1" t="s">
        <v>7461</v>
      </c>
      <c r="D12" s="1" t="str">
        <f>VLOOKUP(C12,t_objeto!B:C,2,FALSE)</f>
        <v>RESOURCES_POOL</v>
      </c>
      <c r="E12" s="2" t="s">
        <v>7472</v>
      </c>
      <c r="F12" s="2" t="s">
        <v>8363</v>
      </c>
      <c r="G12" s="1">
        <v>8</v>
      </c>
      <c r="H12" s="1" t="str">
        <f>VLOOKUP(G12,t_entry_status!A:C,2,FALSE)</f>
        <v>PENDING</v>
      </c>
      <c r="I12" s="7">
        <v>45560</v>
      </c>
      <c r="J12" s="1" t="s">
        <v>7449</v>
      </c>
      <c r="K12" s="7">
        <v>45560</v>
      </c>
      <c r="L12" s="1" t="s">
        <v>7449</v>
      </c>
    </row>
    <row r="13" spans="1:12" x14ac:dyDescent="0.25">
      <c r="A13" s="1">
        <v>12</v>
      </c>
      <c r="B13" s="2" t="str">
        <f>_xlfn.CONCAT(C13,"-",VLOOKUP(C13,t_objeto!B:D,3,FALSE),"-",A13)</f>
        <v>RRPP-PERCCO-12</v>
      </c>
      <c r="C13" s="1" t="s">
        <v>7461</v>
      </c>
      <c r="D13" s="1" t="str">
        <f>VLOOKUP(C13,t_objeto!B:C,2,FALSE)</f>
        <v>RESOURCES_POOL</v>
      </c>
      <c r="E13" s="2" t="s">
        <v>7473</v>
      </c>
      <c r="F13" s="2" t="s">
        <v>8364</v>
      </c>
      <c r="G13" s="1">
        <v>8</v>
      </c>
      <c r="H13" s="1" t="str">
        <f>VLOOKUP(G13,t_entry_status!A:C,2,FALSE)</f>
        <v>PENDING</v>
      </c>
      <c r="I13" s="7">
        <v>45560</v>
      </c>
      <c r="J13" s="1" t="s">
        <v>7449</v>
      </c>
      <c r="K13" s="7">
        <v>45560</v>
      </c>
      <c r="L13" s="1" t="s">
        <v>7449</v>
      </c>
    </row>
    <row r="14" spans="1:12" x14ac:dyDescent="0.25">
      <c r="A14" s="1">
        <v>13</v>
      </c>
      <c r="B14" s="2" t="str">
        <f>_xlfn.CONCAT(C14,"-",VLOOKUP(C14,t_objeto!B:D,3,FALSE),"-",A14)</f>
        <v>RRPP-PERCCO-13</v>
      </c>
      <c r="C14" s="1" t="s">
        <v>7461</v>
      </c>
      <c r="D14" s="1" t="str">
        <f>VLOOKUP(C14,t_objeto!B:C,2,FALSE)</f>
        <v>RESOURCES_POOL</v>
      </c>
      <c r="E14" s="2" t="s">
        <v>7474</v>
      </c>
      <c r="F14" s="2" t="s">
        <v>8365</v>
      </c>
      <c r="G14" s="1">
        <v>8</v>
      </c>
      <c r="H14" s="1" t="str">
        <f>VLOOKUP(G14,t_entry_status!A:C,2,FALSE)</f>
        <v>PENDING</v>
      </c>
      <c r="I14" s="7">
        <v>45560</v>
      </c>
      <c r="J14" s="1" t="s">
        <v>7449</v>
      </c>
      <c r="K14" s="7">
        <v>45560</v>
      </c>
      <c r="L14" s="1" t="s">
        <v>7449</v>
      </c>
    </row>
    <row r="15" spans="1:12" x14ac:dyDescent="0.25">
      <c r="A15" s="1">
        <v>14</v>
      </c>
      <c r="B15" s="2" t="str">
        <f>_xlfn.CONCAT(C15,"-",VLOOKUP(C15,t_objeto!B:D,3,FALSE),"-",A15)</f>
        <v>RRPP-PERCCO-14</v>
      </c>
      <c r="C15" s="1" t="s">
        <v>7461</v>
      </c>
      <c r="D15" s="1" t="str">
        <f>VLOOKUP(C15,t_objeto!B:C,2,FALSE)</f>
        <v>RESOURCES_POOL</v>
      </c>
      <c r="E15" s="2" t="s">
        <v>7475</v>
      </c>
      <c r="F15" s="2" t="s">
        <v>8366</v>
      </c>
      <c r="G15" s="1">
        <v>8</v>
      </c>
      <c r="H15" s="1" t="str">
        <f>VLOOKUP(G15,t_entry_status!A:C,2,FALSE)</f>
        <v>PENDING</v>
      </c>
      <c r="I15" s="7">
        <v>45560</v>
      </c>
      <c r="J15" s="1" t="s">
        <v>7449</v>
      </c>
      <c r="K15" s="7">
        <v>45560</v>
      </c>
      <c r="L15" s="1" t="s">
        <v>7449</v>
      </c>
    </row>
    <row r="16" spans="1:12" x14ac:dyDescent="0.25">
      <c r="A16" s="1">
        <v>15</v>
      </c>
      <c r="B16" s="2" t="str">
        <f>_xlfn.CONCAT(C16,"-",VLOOKUP(C16,t_objeto!B:D,3,FALSE),"-",A16)</f>
        <v>RRPP-PERCCO-15</v>
      </c>
      <c r="C16" s="1" t="s">
        <v>7461</v>
      </c>
      <c r="D16" s="1" t="str">
        <f>VLOOKUP(C16,t_objeto!B:C,2,FALSE)</f>
        <v>RESOURCES_POOL</v>
      </c>
      <c r="E16" s="2" t="s">
        <v>7476</v>
      </c>
      <c r="F16" s="2" t="s">
        <v>8367</v>
      </c>
      <c r="G16" s="1">
        <v>8</v>
      </c>
      <c r="H16" s="1" t="str">
        <f>VLOOKUP(G16,t_entry_status!A:C,2,FALSE)</f>
        <v>PENDING</v>
      </c>
      <c r="I16" s="7">
        <v>45560</v>
      </c>
      <c r="J16" s="1" t="s">
        <v>7449</v>
      </c>
      <c r="K16" s="7">
        <v>45560</v>
      </c>
      <c r="L16" s="1" t="s">
        <v>7449</v>
      </c>
    </row>
    <row r="17" spans="1:12" x14ac:dyDescent="0.25">
      <c r="A17" s="1">
        <v>16</v>
      </c>
      <c r="B17" s="2" t="str">
        <f>_xlfn.CONCAT(C17,"-",VLOOKUP(C17,t_objeto!B:D,3,FALSE),"-",A17)</f>
        <v>RRPP-PERCCO-16</v>
      </c>
      <c r="C17" s="1" t="s">
        <v>7461</v>
      </c>
      <c r="D17" s="1" t="str">
        <f>VLOOKUP(C17,t_objeto!B:C,2,FALSE)</f>
        <v>RESOURCES_POOL</v>
      </c>
      <c r="E17" s="2" t="s">
        <v>7477</v>
      </c>
      <c r="F17" s="2" t="s">
        <v>8368</v>
      </c>
      <c r="G17" s="1">
        <v>8</v>
      </c>
      <c r="H17" s="1" t="str">
        <f>VLOOKUP(G17,t_entry_status!A:C,2,FALSE)</f>
        <v>PENDING</v>
      </c>
      <c r="I17" s="7">
        <v>45560</v>
      </c>
      <c r="J17" s="1" t="s">
        <v>7449</v>
      </c>
      <c r="K17" s="7">
        <v>45560</v>
      </c>
      <c r="L17" s="1" t="s">
        <v>7449</v>
      </c>
    </row>
    <row r="18" spans="1:12" x14ac:dyDescent="0.25">
      <c r="A18" s="1">
        <v>17</v>
      </c>
      <c r="B18" s="2" t="str">
        <f>_xlfn.CONCAT(C18,"-",VLOOKUP(C18,t_objeto!B:D,3,FALSE),"-",A18)</f>
        <v>RRPP-PERCCO-17</v>
      </c>
      <c r="C18" s="1" t="s">
        <v>7461</v>
      </c>
      <c r="D18" s="1" t="str">
        <f>VLOOKUP(C18,t_objeto!B:C,2,FALSE)</f>
        <v>RESOURCES_POOL</v>
      </c>
      <c r="E18" s="2" t="s">
        <v>7715</v>
      </c>
      <c r="F18" s="2" t="s">
        <v>8369</v>
      </c>
      <c r="G18" s="1">
        <v>8</v>
      </c>
      <c r="H18" s="1" t="str">
        <f>VLOOKUP(G18,t_entry_status!A:C,2,FALSE)</f>
        <v>PENDING</v>
      </c>
      <c r="I18" s="7">
        <v>45560</v>
      </c>
      <c r="J18" s="1" t="s">
        <v>7449</v>
      </c>
      <c r="K18" s="7">
        <v>45560</v>
      </c>
      <c r="L18" s="1" t="s">
        <v>7449</v>
      </c>
    </row>
    <row r="19" spans="1:12" x14ac:dyDescent="0.25">
      <c r="A19" s="1">
        <v>18</v>
      </c>
      <c r="B19" s="2" t="str">
        <f>_xlfn.CONCAT(C19,"-",VLOOKUP(C19,t_objeto!B:D,3,FALSE),"-",A19)</f>
        <v>RRPP-PERCCO-18</v>
      </c>
      <c r="C19" s="1" t="s">
        <v>7461</v>
      </c>
      <c r="D19" s="1" t="str">
        <f>VLOOKUP(C19,t_objeto!B:C,2,FALSE)</f>
        <v>RESOURCES_POOL</v>
      </c>
      <c r="E19" s="2" t="s">
        <v>7716</v>
      </c>
      <c r="F19" s="2" t="s">
        <v>8370</v>
      </c>
      <c r="G19" s="1">
        <v>8</v>
      </c>
      <c r="H19" s="1" t="str">
        <f>VLOOKUP(G19,t_entry_status!A:C,2,FALSE)</f>
        <v>PENDING</v>
      </c>
      <c r="I19" s="7">
        <v>45560</v>
      </c>
      <c r="J19" s="1" t="s">
        <v>7449</v>
      </c>
      <c r="K19" s="7">
        <v>45560</v>
      </c>
      <c r="L19" s="1" t="s">
        <v>7449</v>
      </c>
    </row>
    <row r="20" spans="1:12" x14ac:dyDescent="0.25">
      <c r="A20" s="1">
        <v>19</v>
      </c>
      <c r="B20" s="2" t="str">
        <f>_xlfn.CONCAT(C20,"-",VLOOKUP(C20,t_objeto!B:D,3,FALSE),"-",A20)</f>
        <v>RRPP-PERCCO-19</v>
      </c>
      <c r="C20" s="1" t="s">
        <v>7461</v>
      </c>
      <c r="D20" s="1" t="str">
        <f>VLOOKUP(C20,t_objeto!B:C,2,FALSE)</f>
        <v>RESOURCES_POOL</v>
      </c>
      <c r="E20" s="2" t="s">
        <v>7717</v>
      </c>
      <c r="F20" s="2" t="s">
        <v>8371</v>
      </c>
      <c r="G20" s="1">
        <v>8</v>
      </c>
      <c r="H20" s="1" t="str">
        <f>VLOOKUP(G20,t_entry_status!A:C,2,FALSE)</f>
        <v>PENDING</v>
      </c>
      <c r="I20" s="7">
        <v>45560</v>
      </c>
      <c r="J20" s="1" t="s">
        <v>7449</v>
      </c>
      <c r="K20" s="7">
        <v>45560</v>
      </c>
      <c r="L20" s="1" t="s">
        <v>7449</v>
      </c>
    </row>
    <row r="21" spans="1:12" x14ac:dyDescent="0.25">
      <c r="A21" s="1">
        <v>20</v>
      </c>
      <c r="B21" s="2" t="str">
        <f>_xlfn.CONCAT(C21,"-",VLOOKUP(C21,t_objeto!B:D,3,FALSE),"-",A21)</f>
        <v>RRPP-PERCCO-20</v>
      </c>
      <c r="C21" s="1" t="s">
        <v>7461</v>
      </c>
      <c r="D21" s="1" t="str">
        <f>VLOOKUP(C21,t_objeto!B:C,2,FALSE)</f>
        <v>RESOURCES_POOL</v>
      </c>
      <c r="E21" s="2" t="s">
        <v>7718</v>
      </c>
      <c r="F21" s="2" t="s">
        <v>8372</v>
      </c>
      <c r="G21" s="1">
        <v>8</v>
      </c>
      <c r="H21" s="1" t="str">
        <f>VLOOKUP(G21,t_entry_status!A:C,2,FALSE)</f>
        <v>PENDING</v>
      </c>
      <c r="I21" s="7">
        <v>45560</v>
      </c>
      <c r="J21" s="1" t="s">
        <v>7449</v>
      </c>
      <c r="K21" s="7">
        <v>45560</v>
      </c>
      <c r="L21" s="1" t="s">
        <v>7449</v>
      </c>
    </row>
    <row r="22" spans="1:12" x14ac:dyDescent="0.25">
      <c r="A22" s="1">
        <v>21</v>
      </c>
      <c r="B22" s="2" t="str">
        <f>_xlfn.CONCAT(C22,"-",VLOOKUP(C22,t_objeto!B:D,3,FALSE),"-",A22)</f>
        <v>RRPP-PERCCO-21</v>
      </c>
      <c r="C22" s="1" t="s">
        <v>7461</v>
      </c>
      <c r="D22" s="1" t="str">
        <f>VLOOKUP(C22,t_objeto!B:C,2,FALSE)</f>
        <v>RESOURCES_POOL</v>
      </c>
      <c r="E22" s="2" t="s">
        <v>7719</v>
      </c>
      <c r="F22" s="2" t="s">
        <v>8373</v>
      </c>
      <c r="G22" s="1">
        <v>8</v>
      </c>
      <c r="H22" s="1" t="str">
        <f>VLOOKUP(G22,t_entry_status!A:C,2,FALSE)</f>
        <v>PENDING</v>
      </c>
      <c r="I22" s="7">
        <v>45560</v>
      </c>
      <c r="J22" s="1" t="s">
        <v>7449</v>
      </c>
      <c r="K22" s="7">
        <v>45560</v>
      </c>
      <c r="L22" s="1" t="s">
        <v>7449</v>
      </c>
    </row>
    <row r="23" spans="1:12" x14ac:dyDescent="0.25">
      <c r="A23" s="1">
        <v>22</v>
      </c>
      <c r="B23" s="2" t="str">
        <f>_xlfn.CONCAT(C23,"-",VLOOKUP(C23,t_objeto!B:D,3,FALSE),"-",A23)</f>
        <v>RRPP-PERCCO-22</v>
      </c>
      <c r="C23" s="1" t="s">
        <v>7461</v>
      </c>
      <c r="D23" s="1" t="str">
        <f>VLOOKUP(C23,t_objeto!B:C,2,FALSE)</f>
        <v>RESOURCES_POOL</v>
      </c>
      <c r="E23" s="2" t="s">
        <v>7720</v>
      </c>
      <c r="F23" s="2" t="s">
        <v>8374</v>
      </c>
      <c r="G23" s="1">
        <v>8</v>
      </c>
      <c r="H23" s="1" t="str">
        <f>VLOOKUP(G23,t_entry_status!A:C,2,FALSE)</f>
        <v>PENDING</v>
      </c>
      <c r="I23" s="7">
        <v>45560</v>
      </c>
      <c r="J23" s="1" t="s">
        <v>7449</v>
      </c>
      <c r="K23" s="7">
        <v>45560</v>
      </c>
      <c r="L23" s="1" t="s">
        <v>7449</v>
      </c>
    </row>
    <row r="24" spans="1:12" x14ac:dyDescent="0.25">
      <c r="A24" s="1">
        <v>23</v>
      </c>
      <c r="B24" s="2" t="str">
        <f>_xlfn.CONCAT(C24,"-",VLOOKUP(C24,t_objeto!B:D,3,FALSE),"-",A24)</f>
        <v>RRPP-PERCCO-23</v>
      </c>
      <c r="C24" s="1" t="s">
        <v>7461</v>
      </c>
      <c r="D24" s="1" t="str">
        <f>VLOOKUP(C24,t_objeto!B:C,2,FALSE)</f>
        <v>RESOURCES_POOL</v>
      </c>
      <c r="E24" s="2" t="s">
        <v>7721</v>
      </c>
      <c r="F24" s="2" t="s">
        <v>8375</v>
      </c>
      <c r="G24" s="1">
        <v>8</v>
      </c>
      <c r="H24" s="1" t="str">
        <f>VLOOKUP(G24,t_entry_status!A:C,2,FALSE)</f>
        <v>PENDING</v>
      </c>
      <c r="I24" s="7">
        <v>45560</v>
      </c>
      <c r="J24" s="1" t="s">
        <v>7449</v>
      </c>
      <c r="K24" s="7">
        <v>45560</v>
      </c>
      <c r="L24" s="1" t="s">
        <v>7449</v>
      </c>
    </row>
    <row r="25" spans="1:12" x14ac:dyDescent="0.25">
      <c r="A25" s="1">
        <v>24</v>
      </c>
      <c r="B25" s="2" t="str">
        <f>_xlfn.CONCAT(C25,"-",VLOOKUP(C25,t_objeto!B:D,3,FALSE),"-",A25)</f>
        <v>RRPP-PERCCO-24</v>
      </c>
      <c r="C25" s="1" t="s">
        <v>7461</v>
      </c>
      <c r="D25" s="1" t="str">
        <f>VLOOKUP(C25,t_objeto!B:C,2,FALSE)</f>
        <v>RESOURCES_POOL</v>
      </c>
      <c r="E25" s="2" t="s">
        <v>7722</v>
      </c>
      <c r="F25" s="2" t="s">
        <v>8376</v>
      </c>
      <c r="G25" s="1">
        <v>8</v>
      </c>
      <c r="H25" s="1" t="str">
        <f>VLOOKUP(G25,t_entry_status!A:C,2,FALSE)</f>
        <v>PENDING</v>
      </c>
      <c r="I25" s="7">
        <v>45560</v>
      </c>
      <c r="J25" s="1" t="s">
        <v>7449</v>
      </c>
      <c r="K25" s="7">
        <v>45560</v>
      </c>
      <c r="L25" s="1" t="s">
        <v>7449</v>
      </c>
    </row>
    <row r="26" spans="1:12" x14ac:dyDescent="0.25">
      <c r="A26" s="1">
        <v>25</v>
      </c>
      <c r="B26" s="2" t="str">
        <f>_xlfn.CONCAT(C26,"-",VLOOKUP(C26,t_objeto!B:D,3,FALSE),"-",A26)</f>
        <v>RRPP-PERCCO-25</v>
      </c>
      <c r="C26" s="1" t="s">
        <v>7461</v>
      </c>
      <c r="D26" s="1" t="str">
        <f>VLOOKUP(C26,t_objeto!B:C,2,FALSE)</f>
        <v>RESOURCES_POOL</v>
      </c>
      <c r="E26" s="2" t="s">
        <v>7723</v>
      </c>
      <c r="F26" s="2" t="s">
        <v>8377</v>
      </c>
      <c r="G26" s="1">
        <v>8</v>
      </c>
      <c r="H26" s="1" t="str">
        <f>VLOOKUP(G26,t_entry_status!A:C,2,FALSE)</f>
        <v>PENDING</v>
      </c>
      <c r="I26" s="7">
        <v>45560</v>
      </c>
      <c r="J26" s="1" t="s">
        <v>7449</v>
      </c>
      <c r="K26" s="7">
        <v>45560</v>
      </c>
      <c r="L26" s="1" t="s">
        <v>7449</v>
      </c>
    </row>
    <row r="27" spans="1:12" x14ac:dyDescent="0.25">
      <c r="A27" s="1">
        <v>26</v>
      </c>
      <c r="B27" s="2" t="str">
        <f>_xlfn.CONCAT(C27,"-",VLOOKUP(C27,t_objeto!B:D,3,FALSE),"-",A27)</f>
        <v>RRPP-PERCCO-26</v>
      </c>
      <c r="C27" s="1" t="s">
        <v>7461</v>
      </c>
      <c r="D27" s="1" t="str">
        <f>VLOOKUP(C27,t_objeto!B:C,2,FALSE)</f>
        <v>RESOURCES_POOL</v>
      </c>
      <c r="E27" s="2" t="s">
        <v>7724</v>
      </c>
      <c r="F27" s="2" t="s">
        <v>8378</v>
      </c>
      <c r="G27" s="1">
        <v>8</v>
      </c>
      <c r="H27" s="1" t="str">
        <f>VLOOKUP(G27,t_entry_status!A:C,2,FALSE)</f>
        <v>PENDING</v>
      </c>
      <c r="I27" s="7">
        <v>45560</v>
      </c>
      <c r="J27" s="1" t="s">
        <v>7449</v>
      </c>
      <c r="K27" s="7">
        <v>45560</v>
      </c>
      <c r="L27" s="1" t="s">
        <v>7449</v>
      </c>
    </row>
    <row r="28" spans="1:12" x14ac:dyDescent="0.25">
      <c r="A28" s="1">
        <v>27</v>
      </c>
      <c r="B28" s="2" t="str">
        <f>_xlfn.CONCAT(C28,"-",VLOOKUP(C28,t_objeto!B:D,3,FALSE),"-",A28)</f>
        <v>RRPP-PERCCO-27</v>
      </c>
      <c r="C28" s="1" t="s">
        <v>7461</v>
      </c>
      <c r="D28" s="1" t="str">
        <f>VLOOKUP(C28,t_objeto!B:C,2,FALSE)</f>
        <v>RESOURCES_POOL</v>
      </c>
      <c r="E28" s="2" t="s">
        <v>7725</v>
      </c>
      <c r="F28" s="2" t="s">
        <v>8379</v>
      </c>
      <c r="G28" s="1">
        <v>8</v>
      </c>
      <c r="H28" s="1" t="str">
        <f>VLOOKUP(G28,t_entry_status!A:C,2,FALSE)</f>
        <v>PENDING</v>
      </c>
      <c r="I28" s="7">
        <v>45560</v>
      </c>
      <c r="J28" s="1" t="s">
        <v>7449</v>
      </c>
      <c r="K28" s="7">
        <v>45560</v>
      </c>
      <c r="L28" s="1" t="s">
        <v>7449</v>
      </c>
    </row>
    <row r="29" spans="1:12" x14ac:dyDescent="0.25">
      <c r="A29" s="1">
        <v>28</v>
      </c>
      <c r="B29" s="2" t="str">
        <f>_xlfn.CONCAT(C29,"-",VLOOKUP(C29,t_objeto!B:D,3,FALSE),"-",A29)</f>
        <v>RRPP-PERCCO-28</v>
      </c>
      <c r="C29" s="1" t="s">
        <v>7461</v>
      </c>
      <c r="D29" s="1" t="str">
        <f>VLOOKUP(C29,t_objeto!B:C,2,FALSE)</f>
        <v>RESOURCES_POOL</v>
      </c>
      <c r="E29" s="2" t="s">
        <v>7726</v>
      </c>
      <c r="F29" s="2" t="s">
        <v>8380</v>
      </c>
      <c r="G29" s="1">
        <v>8</v>
      </c>
      <c r="H29" s="1" t="str">
        <f>VLOOKUP(G29,t_entry_status!A:C,2,FALSE)</f>
        <v>PENDING</v>
      </c>
      <c r="I29" s="7">
        <v>45560</v>
      </c>
      <c r="J29" s="1" t="s">
        <v>7449</v>
      </c>
      <c r="K29" s="7">
        <v>45560</v>
      </c>
      <c r="L29" s="1" t="s">
        <v>7449</v>
      </c>
    </row>
    <row r="30" spans="1:12" x14ac:dyDescent="0.25">
      <c r="A30" s="1">
        <v>29</v>
      </c>
      <c r="B30" s="2" t="str">
        <f>_xlfn.CONCAT(C30,"-",VLOOKUP(C30,t_objeto!B:D,3,FALSE),"-",A30)</f>
        <v>RRPP-PERCCO-29</v>
      </c>
      <c r="C30" s="1" t="s">
        <v>7461</v>
      </c>
      <c r="D30" s="1" t="str">
        <f>VLOOKUP(C30,t_objeto!B:C,2,FALSE)</f>
        <v>RESOURCES_POOL</v>
      </c>
      <c r="E30" s="2" t="s">
        <v>7727</v>
      </c>
      <c r="F30" s="2" t="s">
        <v>8381</v>
      </c>
      <c r="G30" s="1">
        <v>8</v>
      </c>
      <c r="H30" s="1" t="str">
        <f>VLOOKUP(G30,t_entry_status!A:C,2,FALSE)</f>
        <v>PENDING</v>
      </c>
      <c r="I30" s="7">
        <v>45560</v>
      </c>
      <c r="J30" s="1" t="s">
        <v>7449</v>
      </c>
      <c r="K30" s="7">
        <v>45560</v>
      </c>
      <c r="L30" s="1" t="s">
        <v>7449</v>
      </c>
    </row>
    <row r="31" spans="1:12" x14ac:dyDescent="0.25">
      <c r="A31" s="1">
        <v>30</v>
      </c>
      <c r="B31" s="2" t="str">
        <f>_xlfn.CONCAT(C31,"-",VLOOKUP(C31,t_objeto!B:D,3,FALSE),"-",A31)</f>
        <v>RRPP-PERCCO-30</v>
      </c>
      <c r="C31" s="1" t="s">
        <v>7461</v>
      </c>
      <c r="D31" s="1" t="str">
        <f>VLOOKUP(C31,t_objeto!B:C,2,FALSE)</f>
        <v>RESOURCES_POOL</v>
      </c>
      <c r="E31" s="2" t="s">
        <v>7728</v>
      </c>
      <c r="F31" s="2" t="s">
        <v>8382</v>
      </c>
      <c r="G31" s="1">
        <v>8</v>
      </c>
      <c r="H31" s="1" t="str">
        <f>VLOOKUP(G31,t_entry_status!A:C,2,FALSE)</f>
        <v>PENDING</v>
      </c>
      <c r="I31" s="7">
        <v>45560</v>
      </c>
      <c r="J31" s="1" t="s">
        <v>7449</v>
      </c>
      <c r="K31" s="7">
        <v>45560</v>
      </c>
      <c r="L31" s="1" t="s">
        <v>7449</v>
      </c>
    </row>
    <row r="32" spans="1:12" x14ac:dyDescent="0.25">
      <c r="A32" s="1">
        <v>31</v>
      </c>
      <c r="B32" s="2" t="str">
        <f>_xlfn.CONCAT(C32,"-",VLOOKUP(C32,t_objeto!B:D,3,FALSE),"-",A32)</f>
        <v>RRPP-PERCCO-31</v>
      </c>
      <c r="C32" s="1" t="s">
        <v>7461</v>
      </c>
      <c r="D32" s="1" t="str">
        <f>VLOOKUP(C32,t_objeto!B:C,2,FALSE)</f>
        <v>RESOURCES_POOL</v>
      </c>
      <c r="E32" s="2" t="s">
        <v>7729</v>
      </c>
      <c r="F32" s="2" t="s">
        <v>8383</v>
      </c>
      <c r="G32" s="1">
        <v>8</v>
      </c>
      <c r="H32" s="1" t="str">
        <f>VLOOKUP(G32,t_entry_status!A:C,2,FALSE)</f>
        <v>PENDING</v>
      </c>
      <c r="I32" s="7">
        <v>45560</v>
      </c>
      <c r="J32" s="1" t="s">
        <v>7449</v>
      </c>
      <c r="K32" s="7">
        <v>45560</v>
      </c>
      <c r="L32" s="1" t="s">
        <v>7449</v>
      </c>
    </row>
    <row r="33" spans="1:12" x14ac:dyDescent="0.25">
      <c r="A33" s="1">
        <v>32</v>
      </c>
      <c r="B33" s="2" t="str">
        <f>_xlfn.CONCAT(C33,"-",VLOOKUP(C33,t_objeto!B:D,3,FALSE),"-",A33)</f>
        <v>RRPP-PERCCO-32</v>
      </c>
      <c r="C33" s="1" t="s">
        <v>7461</v>
      </c>
      <c r="D33" s="1" t="str">
        <f>VLOOKUP(C33,t_objeto!B:C,2,FALSE)</f>
        <v>RESOURCES_POOL</v>
      </c>
      <c r="E33" s="2" t="s">
        <v>7730</v>
      </c>
      <c r="F33" s="2" t="s">
        <v>8384</v>
      </c>
      <c r="G33" s="1">
        <v>8</v>
      </c>
      <c r="H33" s="1" t="str">
        <f>VLOOKUP(G33,t_entry_status!A:C,2,FALSE)</f>
        <v>PENDING</v>
      </c>
      <c r="I33" s="7">
        <v>45560</v>
      </c>
      <c r="J33" s="1" t="s">
        <v>7449</v>
      </c>
      <c r="K33" s="7">
        <v>45560</v>
      </c>
      <c r="L33" s="1" t="s">
        <v>7449</v>
      </c>
    </row>
    <row r="34" spans="1:12" x14ac:dyDescent="0.25">
      <c r="A34" s="1">
        <v>33</v>
      </c>
      <c r="B34" s="2" t="str">
        <f>_xlfn.CONCAT(C34,"-",VLOOKUP(C34,t_objeto!B:D,3,FALSE),"-",A34)</f>
        <v>RRPP-PERCCO-33</v>
      </c>
      <c r="C34" s="1" t="s">
        <v>7461</v>
      </c>
      <c r="D34" s="1" t="str">
        <f>VLOOKUP(C34,t_objeto!B:C,2,FALSE)</f>
        <v>RESOURCES_POOL</v>
      </c>
      <c r="E34" s="2" t="s">
        <v>7731</v>
      </c>
      <c r="F34" s="2" t="s">
        <v>8385</v>
      </c>
      <c r="G34" s="1">
        <v>8</v>
      </c>
      <c r="H34" s="1" t="str">
        <f>VLOOKUP(G34,t_entry_status!A:C,2,FALSE)</f>
        <v>PENDING</v>
      </c>
      <c r="I34" s="7">
        <v>45560</v>
      </c>
      <c r="J34" s="1" t="s">
        <v>7449</v>
      </c>
      <c r="K34" s="7">
        <v>45560</v>
      </c>
      <c r="L34" s="1" t="s">
        <v>7449</v>
      </c>
    </row>
    <row r="35" spans="1:12" x14ac:dyDescent="0.25">
      <c r="A35" s="1">
        <v>34</v>
      </c>
      <c r="B35" s="2" t="str">
        <f>_xlfn.CONCAT(C35,"-",VLOOKUP(C35,t_objeto!B:D,3,FALSE),"-",A35)</f>
        <v>RRPP-PERCCO-34</v>
      </c>
      <c r="C35" s="1" t="s">
        <v>7461</v>
      </c>
      <c r="D35" s="1" t="str">
        <f>VLOOKUP(C35,t_objeto!B:C,2,FALSE)</f>
        <v>RESOURCES_POOL</v>
      </c>
      <c r="E35" s="2" t="s">
        <v>7732</v>
      </c>
      <c r="F35" s="2" t="s">
        <v>8386</v>
      </c>
      <c r="G35" s="1">
        <v>8</v>
      </c>
      <c r="H35" s="1" t="str">
        <f>VLOOKUP(G35,t_entry_status!A:C,2,FALSE)</f>
        <v>PENDING</v>
      </c>
      <c r="I35" s="7">
        <v>45560</v>
      </c>
      <c r="J35" s="1" t="s">
        <v>7449</v>
      </c>
      <c r="K35" s="7">
        <v>45560</v>
      </c>
      <c r="L35" s="1" t="s">
        <v>7449</v>
      </c>
    </row>
    <row r="36" spans="1:12" x14ac:dyDescent="0.25">
      <c r="A36" s="1">
        <v>35</v>
      </c>
      <c r="B36" s="2" t="str">
        <f>_xlfn.CONCAT(C36,"-",VLOOKUP(C36,t_objeto!B:D,3,FALSE),"-",A36)</f>
        <v>RRPP-PERCCO-35</v>
      </c>
      <c r="C36" s="1" t="s">
        <v>7461</v>
      </c>
      <c r="D36" s="1" t="str">
        <f>VLOOKUP(C36,t_objeto!B:C,2,FALSE)</f>
        <v>RESOURCES_POOL</v>
      </c>
      <c r="E36" s="2" t="s">
        <v>7733</v>
      </c>
      <c r="F36" s="2" t="s">
        <v>8387</v>
      </c>
      <c r="G36" s="1">
        <v>8</v>
      </c>
      <c r="H36" s="1" t="str">
        <f>VLOOKUP(G36,t_entry_status!A:C,2,FALSE)</f>
        <v>PENDING</v>
      </c>
      <c r="I36" s="7">
        <v>45560</v>
      </c>
      <c r="J36" s="1" t="s">
        <v>7449</v>
      </c>
      <c r="K36" s="7">
        <v>45560</v>
      </c>
      <c r="L36" s="1" t="s">
        <v>7449</v>
      </c>
    </row>
    <row r="37" spans="1:12" x14ac:dyDescent="0.25">
      <c r="A37" s="1">
        <v>36</v>
      </c>
      <c r="B37" s="2" t="str">
        <f>_xlfn.CONCAT(C37,"-",VLOOKUP(C37,t_objeto!B:D,3,FALSE),"-",A37)</f>
        <v>RRPP-PERCCO-36</v>
      </c>
      <c r="C37" s="1" t="s">
        <v>7461</v>
      </c>
      <c r="D37" s="1" t="str">
        <f>VLOOKUP(C37,t_objeto!B:C,2,FALSE)</f>
        <v>RESOURCES_POOL</v>
      </c>
      <c r="E37" s="2" t="s">
        <v>7734</v>
      </c>
      <c r="F37" s="2" t="s">
        <v>8388</v>
      </c>
      <c r="G37" s="1">
        <v>8</v>
      </c>
      <c r="H37" s="1" t="str">
        <f>VLOOKUP(G37,t_entry_status!A:C,2,FALSE)</f>
        <v>PENDING</v>
      </c>
      <c r="I37" s="7">
        <v>45560</v>
      </c>
      <c r="J37" s="1" t="s">
        <v>7449</v>
      </c>
      <c r="K37" s="7">
        <v>45560</v>
      </c>
      <c r="L37" s="1" t="s">
        <v>7449</v>
      </c>
    </row>
    <row r="38" spans="1:12" x14ac:dyDescent="0.25">
      <c r="A38" s="1">
        <v>37</v>
      </c>
      <c r="B38" s="2" t="str">
        <f>_xlfn.CONCAT(C38,"-",VLOOKUP(C38,t_objeto!B:D,3,FALSE),"-",A38)</f>
        <v>RRPP-PERCCO-37</v>
      </c>
      <c r="C38" s="1" t="s">
        <v>7461</v>
      </c>
      <c r="D38" s="1" t="str">
        <f>VLOOKUP(C38,t_objeto!B:C,2,FALSE)</f>
        <v>RESOURCES_POOL</v>
      </c>
      <c r="E38" s="2" t="s">
        <v>7735</v>
      </c>
      <c r="F38" s="2" t="s">
        <v>8389</v>
      </c>
      <c r="G38" s="1">
        <v>8</v>
      </c>
      <c r="H38" s="1" t="str">
        <f>VLOOKUP(G38,t_entry_status!A:C,2,FALSE)</f>
        <v>PENDING</v>
      </c>
      <c r="I38" s="7">
        <v>45560</v>
      </c>
      <c r="J38" s="1" t="s">
        <v>7449</v>
      </c>
      <c r="K38" s="7">
        <v>45560</v>
      </c>
      <c r="L38" s="1" t="s">
        <v>7449</v>
      </c>
    </row>
    <row r="39" spans="1:12" x14ac:dyDescent="0.25">
      <c r="A39" s="1">
        <v>38</v>
      </c>
      <c r="B39" s="2" t="str">
        <f>_xlfn.CONCAT(C39,"-",VLOOKUP(C39,t_objeto!B:D,3,FALSE),"-",A39)</f>
        <v>RRPP-PERCCO-38</v>
      </c>
      <c r="C39" s="1" t="s">
        <v>7461</v>
      </c>
      <c r="D39" s="1" t="str">
        <f>VLOOKUP(C39,t_objeto!B:C,2,FALSE)</f>
        <v>RESOURCES_POOL</v>
      </c>
      <c r="E39" s="2" t="s">
        <v>7736</v>
      </c>
      <c r="F39" s="2" t="s">
        <v>8390</v>
      </c>
      <c r="G39" s="1">
        <v>8</v>
      </c>
      <c r="H39" s="1" t="str">
        <f>VLOOKUP(G39,t_entry_status!A:C,2,FALSE)</f>
        <v>PENDING</v>
      </c>
      <c r="I39" s="7">
        <v>45560</v>
      </c>
      <c r="J39" s="1" t="s">
        <v>7449</v>
      </c>
      <c r="K39" s="7">
        <v>45560</v>
      </c>
      <c r="L39" s="1" t="s">
        <v>7449</v>
      </c>
    </row>
    <row r="40" spans="1:12" x14ac:dyDescent="0.25">
      <c r="A40" s="1">
        <v>39</v>
      </c>
      <c r="B40" s="2" t="str">
        <f>_xlfn.CONCAT(C40,"-",VLOOKUP(C40,t_objeto!B:D,3,FALSE),"-",A40)</f>
        <v>RRPP-PERCCO-39</v>
      </c>
      <c r="C40" s="1" t="s">
        <v>7461</v>
      </c>
      <c r="D40" s="1" t="str">
        <f>VLOOKUP(C40,t_objeto!B:C,2,FALSE)</f>
        <v>RESOURCES_POOL</v>
      </c>
      <c r="E40" s="2" t="s">
        <v>7737</v>
      </c>
      <c r="F40" s="2" t="s">
        <v>8391</v>
      </c>
      <c r="G40" s="1">
        <v>8</v>
      </c>
      <c r="H40" s="1" t="str">
        <f>VLOOKUP(G40,t_entry_status!A:C,2,FALSE)</f>
        <v>PENDING</v>
      </c>
      <c r="I40" s="7">
        <v>45560</v>
      </c>
      <c r="J40" s="1" t="s">
        <v>7449</v>
      </c>
      <c r="K40" s="7">
        <v>45560</v>
      </c>
      <c r="L40" s="1" t="s">
        <v>7449</v>
      </c>
    </row>
    <row r="41" spans="1:12" x14ac:dyDescent="0.25">
      <c r="A41" s="1">
        <v>40</v>
      </c>
      <c r="B41" s="2" t="str">
        <f>_xlfn.CONCAT(C41,"-",VLOOKUP(C41,t_objeto!B:D,3,FALSE),"-",A41)</f>
        <v>RRPP-PERCCO-40</v>
      </c>
      <c r="C41" s="1" t="s">
        <v>7461</v>
      </c>
      <c r="D41" s="1" t="str">
        <f>VLOOKUP(C41,t_objeto!B:C,2,FALSE)</f>
        <v>RESOURCES_POOL</v>
      </c>
      <c r="E41" s="2" t="s">
        <v>7738</v>
      </c>
      <c r="F41" s="2" t="s">
        <v>8392</v>
      </c>
      <c r="G41" s="1">
        <v>8</v>
      </c>
      <c r="H41" s="1" t="str">
        <f>VLOOKUP(G41,t_entry_status!A:C,2,FALSE)</f>
        <v>PENDING</v>
      </c>
      <c r="I41" s="7">
        <v>45560</v>
      </c>
      <c r="J41" s="1" t="s">
        <v>7449</v>
      </c>
      <c r="K41" s="7">
        <v>45560</v>
      </c>
      <c r="L41" s="1" t="s">
        <v>7449</v>
      </c>
    </row>
    <row r="42" spans="1:12" x14ac:dyDescent="0.25">
      <c r="A42" s="1">
        <v>41</v>
      </c>
      <c r="B42" s="2" t="str">
        <f>_xlfn.CONCAT(C42,"-",VLOOKUP(C42,t_objeto!B:D,3,FALSE),"-",A42)</f>
        <v>RRPP-PERCCO-41</v>
      </c>
      <c r="C42" s="1" t="s">
        <v>7461</v>
      </c>
      <c r="D42" s="1" t="str">
        <f>VLOOKUP(C42,t_objeto!B:C,2,FALSE)</f>
        <v>RESOURCES_POOL</v>
      </c>
      <c r="E42" s="2" t="s">
        <v>7739</v>
      </c>
      <c r="F42" s="2" t="s">
        <v>8393</v>
      </c>
      <c r="G42" s="1">
        <v>8</v>
      </c>
      <c r="H42" s="1" t="str">
        <f>VLOOKUP(G42,t_entry_status!A:C,2,FALSE)</f>
        <v>PENDING</v>
      </c>
      <c r="I42" s="7">
        <v>45560</v>
      </c>
      <c r="J42" s="1" t="s">
        <v>7449</v>
      </c>
      <c r="K42" s="7">
        <v>45560</v>
      </c>
      <c r="L42" s="1" t="s">
        <v>7449</v>
      </c>
    </row>
    <row r="43" spans="1:12" x14ac:dyDescent="0.25">
      <c r="A43" s="1">
        <v>42</v>
      </c>
      <c r="B43" s="2" t="str">
        <f>_xlfn.CONCAT(C43,"-",VLOOKUP(C43,t_objeto!B:D,3,FALSE),"-",A43)</f>
        <v>RRPP-PERCCO-42</v>
      </c>
      <c r="C43" s="1" t="s">
        <v>7461</v>
      </c>
      <c r="D43" s="1" t="str">
        <f>VLOOKUP(C43,t_objeto!B:C,2,FALSE)</f>
        <v>RESOURCES_POOL</v>
      </c>
      <c r="E43" s="2" t="s">
        <v>7740</v>
      </c>
      <c r="F43" s="2" t="s">
        <v>8394</v>
      </c>
      <c r="G43" s="1">
        <v>8</v>
      </c>
      <c r="H43" s="1" t="str">
        <f>VLOOKUP(G43,t_entry_status!A:C,2,FALSE)</f>
        <v>PENDING</v>
      </c>
      <c r="I43" s="7">
        <v>45560</v>
      </c>
      <c r="J43" s="1" t="s">
        <v>7449</v>
      </c>
      <c r="K43" s="7">
        <v>45560</v>
      </c>
      <c r="L43" s="1" t="s">
        <v>7449</v>
      </c>
    </row>
    <row r="44" spans="1:12" x14ac:dyDescent="0.25">
      <c r="A44" s="1">
        <v>43</v>
      </c>
      <c r="B44" s="2" t="str">
        <f>_xlfn.CONCAT(C44,"-",VLOOKUP(C44,t_objeto!B:D,3,FALSE),"-",A44)</f>
        <v>RRPP-PERCCO-43</v>
      </c>
      <c r="C44" s="1" t="s">
        <v>7461</v>
      </c>
      <c r="D44" s="1" t="str">
        <f>VLOOKUP(C44,t_objeto!B:C,2,FALSE)</f>
        <v>RESOURCES_POOL</v>
      </c>
      <c r="E44" s="2" t="s">
        <v>7741</v>
      </c>
      <c r="F44" s="2" t="s">
        <v>8395</v>
      </c>
      <c r="G44" s="1">
        <v>8</v>
      </c>
      <c r="H44" s="1" t="str">
        <f>VLOOKUP(G44,t_entry_status!A:C,2,FALSE)</f>
        <v>PENDING</v>
      </c>
      <c r="I44" s="7">
        <v>45560</v>
      </c>
      <c r="J44" s="1" t="s">
        <v>7449</v>
      </c>
      <c r="K44" s="7">
        <v>45560</v>
      </c>
      <c r="L44" s="1" t="s">
        <v>7449</v>
      </c>
    </row>
    <row r="45" spans="1:12" x14ac:dyDescent="0.25">
      <c r="A45" s="1">
        <v>44</v>
      </c>
      <c r="B45" s="2" t="str">
        <f>_xlfn.CONCAT(C45,"-",VLOOKUP(C45,t_objeto!B:D,3,FALSE),"-",A45)</f>
        <v>RRPP-PERCCO-44</v>
      </c>
      <c r="C45" s="1" t="s">
        <v>7461</v>
      </c>
      <c r="D45" s="1" t="str">
        <f>VLOOKUP(C45,t_objeto!B:C,2,FALSE)</f>
        <v>RESOURCES_POOL</v>
      </c>
      <c r="E45" s="2" t="s">
        <v>7742</v>
      </c>
      <c r="F45" s="2" t="s">
        <v>8396</v>
      </c>
      <c r="G45" s="1">
        <v>8</v>
      </c>
      <c r="H45" s="1" t="str">
        <f>VLOOKUP(G45,t_entry_status!A:C,2,FALSE)</f>
        <v>PENDING</v>
      </c>
      <c r="I45" s="7">
        <v>45560</v>
      </c>
      <c r="J45" s="1" t="s">
        <v>7449</v>
      </c>
      <c r="K45" s="7">
        <v>45560</v>
      </c>
      <c r="L45" s="1" t="s">
        <v>7449</v>
      </c>
    </row>
    <row r="46" spans="1:12" x14ac:dyDescent="0.25">
      <c r="A46" s="1">
        <v>45</v>
      </c>
      <c r="B46" s="2" t="str">
        <f>_xlfn.CONCAT(C46,"-",VLOOKUP(C46,t_objeto!B:D,3,FALSE),"-",A46)</f>
        <v>RRPP-PERCCO-45</v>
      </c>
      <c r="C46" s="1" t="s">
        <v>7461</v>
      </c>
      <c r="D46" s="1" t="str">
        <f>VLOOKUP(C46,t_objeto!B:C,2,FALSE)</f>
        <v>RESOURCES_POOL</v>
      </c>
      <c r="E46" s="2" t="s">
        <v>7743</v>
      </c>
      <c r="F46" s="2" t="s">
        <v>8397</v>
      </c>
      <c r="G46" s="1">
        <v>8</v>
      </c>
      <c r="H46" s="1" t="str">
        <f>VLOOKUP(G46,t_entry_status!A:C,2,FALSE)</f>
        <v>PENDING</v>
      </c>
      <c r="I46" s="7">
        <v>45560</v>
      </c>
      <c r="J46" s="1" t="s">
        <v>7449</v>
      </c>
      <c r="K46" s="7">
        <v>45560</v>
      </c>
      <c r="L46" s="1" t="s">
        <v>7449</v>
      </c>
    </row>
    <row r="47" spans="1:12" x14ac:dyDescent="0.25">
      <c r="A47" s="1">
        <v>46</v>
      </c>
      <c r="B47" s="2" t="str">
        <f>_xlfn.CONCAT(C47,"-",VLOOKUP(C47,t_objeto!B:D,3,FALSE),"-",A47)</f>
        <v>RRPP-PERCCO-46</v>
      </c>
      <c r="C47" s="1" t="s">
        <v>7461</v>
      </c>
      <c r="D47" s="1" t="str">
        <f>VLOOKUP(C47,t_objeto!B:C,2,FALSE)</f>
        <v>RESOURCES_POOL</v>
      </c>
      <c r="E47" s="2" t="s">
        <v>7744</v>
      </c>
      <c r="F47" s="2" t="s">
        <v>8398</v>
      </c>
      <c r="G47" s="1">
        <v>8</v>
      </c>
      <c r="H47" s="1" t="str">
        <f>VLOOKUP(G47,t_entry_status!A:C,2,FALSE)</f>
        <v>PENDING</v>
      </c>
      <c r="I47" s="7">
        <v>45560</v>
      </c>
      <c r="J47" s="1" t="s">
        <v>7449</v>
      </c>
      <c r="K47" s="7">
        <v>45560</v>
      </c>
      <c r="L47" s="1" t="s">
        <v>7449</v>
      </c>
    </row>
    <row r="48" spans="1:12" x14ac:dyDescent="0.25">
      <c r="A48" s="1">
        <v>47</v>
      </c>
      <c r="B48" s="2" t="str">
        <f>_xlfn.CONCAT(C48,"-",VLOOKUP(C48,t_objeto!B:D,3,FALSE),"-",A48)</f>
        <v>RRPP-PERCCO-47</v>
      </c>
      <c r="C48" s="1" t="s">
        <v>7461</v>
      </c>
      <c r="D48" s="1" t="str">
        <f>VLOOKUP(C48,t_objeto!B:C,2,FALSE)</f>
        <v>RESOURCES_POOL</v>
      </c>
      <c r="E48" s="2" t="s">
        <v>7745</v>
      </c>
      <c r="F48" s="2" t="s">
        <v>8399</v>
      </c>
      <c r="G48" s="1">
        <v>8</v>
      </c>
      <c r="H48" s="1" t="str">
        <f>VLOOKUP(G48,t_entry_status!A:C,2,FALSE)</f>
        <v>PENDING</v>
      </c>
      <c r="I48" s="7">
        <v>45560</v>
      </c>
      <c r="J48" s="1" t="s">
        <v>7449</v>
      </c>
      <c r="K48" s="7">
        <v>45560</v>
      </c>
      <c r="L48" s="1" t="s">
        <v>7449</v>
      </c>
    </row>
    <row r="49" spans="1:12" x14ac:dyDescent="0.25">
      <c r="A49" s="1">
        <v>48</v>
      </c>
      <c r="B49" s="2" t="str">
        <f>_xlfn.CONCAT(C49,"-",VLOOKUP(C49,t_objeto!B:D,3,FALSE),"-",A49)</f>
        <v>RRPP-PERCCO-48</v>
      </c>
      <c r="C49" s="1" t="s">
        <v>7461</v>
      </c>
      <c r="D49" s="1" t="str">
        <f>VLOOKUP(C49,t_objeto!B:C,2,FALSE)</f>
        <v>RESOURCES_POOL</v>
      </c>
      <c r="E49" s="2" t="s">
        <v>7746</v>
      </c>
      <c r="F49" s="2" t="s">
        <v>8400</v>
      </c>
      <c r="G49" s="1">
        <v>8</v>
      </c>
      <c r="H49" s="1" t="str">
        <f>VLOOKUP(G49,t_entry_status!A:C,2,FALSE)</f>
        <v>PENDING</v>
      </c>
      <c r="I49" s="7">
        <v>45560</v>
      </c>
      <c r="J49" s="1" t="s">
        <v>7449</v>
      </c>
      <c r="K49" s="7">
        <v>45560</v>
      </c>
      <c r="L49" s="1" t="s">
        <v>7449</v>
      </c>
    </row>
    <row r="50" spans="1:12" x14ac:dyDescent="0.25">
      <c r="A50" s="1">
        <v>49</v>
      </c>
      <c r="B50" s="2" t="str">
        <f>_xlfn.CONCAT(C50,"-",VLOOKUP(C50,t_objeto!B:D,3,FALSE),"-",A50)</f>
        <v>RRPP-PERCCO-49</v>
      </c>
      <c r="C50" s="1" t="s">
        <v>7461</v>
      </c>
      <c r="D50" s="1" t="str">
        <f>VLOOKUP(C50,t_objeto!B:C,2,FALSE)</f>
        <v>RESOURCES_POOL</v>
      </c>
      <c r="E50" s="2" t="s">
        <v>7747</v>
      </c>
      <c r="F50" s="2" t="s">
        <v>8401</v>
      </c>
      <c r="G50" s="1">
        <v>8</v>
      </c>
      <c r="H50" s="1" t="str">
        <f>VLOOKUP(G50,t_entry_status!A:C,2,FALSE)</f>
        <v>PENDING</v>
      </c>
      <c r="I50" s="7">
        <v>45560</v>
      </c>
      <c r="J50" s="1" t="s">
        <v>7449</v>
      </c>
      <c r="K50" s="7">
        <v>45560</v>
      </c>
      <c r="L50" s="1" t="s">
        <v>7449</v>
      </c>
    </row>
    <row r="51" spans="1:12" x14ac:dyDescent="0.25">
      <c r="A51" s="1">
        <v>50</v>
      </c>
      <c r="B51" s="2" t="str">
        <f>_xlfn.CONCAT(C51,"-",VLOOKUP(C51,t_objeto!B:D,3,FALSE),"-",A51)</f>
        <v>RRPP-PERCCO-50</v>
      </c>
      <c r="C51" s="1" t="s">
        <v>7461</v>
      </c>
      <c r="D51" s="1" t="str">
        <f>VLOOKUP(C51,t_objeto!B:C,2,FALSE)</f>
        <v>RESOURCES_POOL</v>
      </c>
      <c r="E51" s="2" t="s">
        <v>7748</v>
      </c>
      <c r="F51" s="2" t="s">
        <v>8402</v>
      </c>
      <c r="G51" s="1">
        <v>8</v>
      </c>
      <c r="H51" s="1" t="str">
        <f>VLOOKUP(G51,t_entry_status!A:C,2,FALSE)</f>
        <v>PENDING</v>
      </c>
      <c r="I51" s="7">
        <v>45560</v>
      </c>
      <c r="J51" s="1" t="s">
        <v>7449</v>
      </c>
      <c r="K51" s="7">
        <v>45560</v>
      </c>
      <c r="L51" s="1" t="s">
        <v>7449</v>
      </c>
    </row>
    <row r="52" spans="1:12" x14ac:dyDescent="0.25">
      <c r="A52" s="1">
        <v>51</v>
      </c>
      <c r="B52" s="2" t="str">
        <f>_xlfn.CONCAT(C52,"-",VLOOKUP(C52,t_objeto!B:D,3,FALSE),"-",A52)</f>
        <v>RRPP-PERCCO-51</v>
      </c>
      <c r="C52" s="1" t="s">
        <v>7461</v>
      </c>
      <c r="D52" s="1" t="str">
        <f>VLOOKUP(C52,t_objeto!B:C,2,FALSE)</f>
        <v>RESOURCES_POOL</v>
      </c>
      <c r="E52" s="2" t="s">
        <v>7749</v>
      </c>
      <c r="F52" s="2" t="s">
        <v>8403</v>
      </c>
      <c r="G52" s="1">
        <v>8</v>
      </c>
      <c r="H52" s="1" t="str">
        <f>VLOOKUP(G52,t_entry_status!A:C,2,FALSE)</f>
        <v>PENDING</v>
      </c>
      <c r="I52" s="7">
        <v>45560</v>
      </c>
      <c r="J52" s="1" t="s">
        <v>7449</v>
      </c>
      <c r="K52" s="7">
        <v>45560</v>
      </c>
      <c r="L52" s="1" t="s">
        <v>7449</v>
      </c>
    </row>
    <row r="53" spans="1:12" x14ac:dyDescent="0.25">
      <c r="A53" s="1">
        <v>52</v>
      </c>
      <c r="B53" s="2" t="str">
        <f>_xlfn.CONCAT(C53,"-",VLOOKUP(C53,t_objeto!B:D,3,FALSE),"-",A53)</f>
        <v>RRPP-PERCCO-52</v>
      </c>
      <c r="C53" s="1" t="s">
        <v>7461</v>
      </c>
      <c r="D53" s="1" t="str">
        <f>VLOOKUP(C53,t_objeto!B:C,2,FALSE)</f>
        <v>RESOURCES_POOL</v>
      </c>
      <c r="E53" s="2" t="s">
        <v>7750</v>
      </c>
      <c r="F53" s="2" t="s">
        <v>8404</v>
      </c>
      <c r="G53" s="1">
        <v>8</v>
      </c>
      <c r="H53" s="1" t="str">
        <f>VLOOKUP(G53,t_entry_status!A:C,2,FALSE)</f>
        <v>PENDING</v>
      </c>
      <c r="I53" s="7">
        <v>45560</v>
      </c>
      <c r="J53" s="1" t="s">
        <v>7449</v>
      </c>
      <c r="K53" s="7">
        <v>45560</v>
      </c>
      <c r="L53" s="1" t="s">
        <v>7449</v>
      </c>
    </row>
    <row r="54" spans="1:12" x14ac:dyDescent="0.25">
      <c r="A54" s="1">
        <v>53</v>
      </c>
      <c r="B54" s="2" t="str">
        <f>_xlfn.CONCAT(C54,"-",VLOOKUP(C54,t_objeto!B:D,3,FALSE),"-",A54)</f>
        <v>RRPP-PERCCO-53</v>
      </c>
      <c r="C54" s="1" t="s">
        <v>7461</v>
      </c>
      <c r="D54" s="1" t="str">
        <f>VLOOKUP(C54,t_objeto!B:C,2,FALSE)</f>
        <v>RESOURCES_POOL</v>
      </c>
      <c r="E54" s="2" t="s">
        <v>7751</v>
      </c>
      <c r="F54" s="2" t="s">
        <v>8405</v>
      </c>
      <c r="G54" s="1">
        <v>8</v>
      </c>
      <c r="H54" s="1" t="str">
        <f>VLOOKUP(G54,t_entry_status!A:C,2,FALSE)</f>
        <v>PENDING</v>
      </c>
      <c r="I54" s="7">
        <v>45560</v>
      </c>
      <c r="J54" s="1" t="s">
        <v>7449</v>
      </c>
      <c r="K54" s="7">
        <v>45560</v>
      </c>
      <c r="L54" s="1" t="s">
        <v>7449</v>
      </c>
    </row>
    <row r="55" spans="1:12" x14ac:dyDescent="0.25">
      <c r="A55" s="1">
        <v>54</v>
      </c>
      <c r="B55" s="2" t="str">
        <f>_xlfn.CONCAT(C55,"-",VLOOKUP(C55,t_objeto!B:D,3,FALSE),"-",A55)</f>
        <v>RRPP-PERCCO-54</v>
      </c>
      <c r="C55" s="1" t="s">
        <v>7461</v>
      </c>
      <c r="D55" s="1" t="str">
        <f>VLOOKUP(C55,t_objeto!B:C,2,FALSE)</f>
        <v>RESOURCES_POOL</v>
      </c>
      <c r="E55" s="2" t="s">
        <v>7752</v>
      </c>
      <c r="F55" s="2" t="s">
        <v>8406</v>
      </c>
      <c r="G55" s="1">
        <v>8</v>
      </c>
      <c r="H55" s="1" t="str">
        <f>VLOOKUP(G55,t_entry_status!A:C,2,FALSE)</f>
        <v>PENDING</v>
      </c>
      <c r="I55" s="7">
        <v>45560</v>
      </c>
      <c r="J55" s="1" t="s">
        <v>7449</v>
      </c>
      <c r="K55" s="7">
        <v>45560</v>
      </c>
      <c r="L55" s="1" t="s">
        <v>7449</v>
      </c>
    </row>
    <row r="56" spans="1:12" x14ac:dyDescent="0.25">
      <c r="A56" s="1">
        <v>55</v>
      </c>
      <c r="B56" s="2" t="str">
        <f>_xlfn.CONCAT(C56,"-",VLOOKUP(C56,t_objeto!B:D,3,FALSE),"-",A56)</f>
        <v>RRPP-PERCCO-55</v>
      </c>
      <c r="C56" s="1" t="s">
        <v>7461</v>
      </c>
      <c r="D56" s="1" t="str">
        <f>VLOOKUP(C56,t_objeto!B:C,2,FALSE)</f>
        <v>RESOURCES_POOL</v>
      </c>
      <c r="E56" s="2" t="s">
        <v>7753</v>
      </c>
      <c r="F56" s="2" t="s">
        <v>8407</v>
      </c>
      <c r="G56" s="1">
        <v>8</v>
      </c>
      <c r="H56" s="1" t="str">
        <f>VLOOKUP(G56,t_entry_status!A:C,2,FALSE)</f>
        <v>PENDING</v>
      </c>
      <c r="I56" s="7">
        <v>45560</v>
      </c>
      <c r="J56" s="1" t="s">
        <v>7449</v>
      </c>
      <c r="K56" s="7">
        <v>45560</v>
      </c>
      <c r="L56" s="1" t="s">
        <v>7449</v>
      </c>
    </row>
    <row r="57" spans="1:12" x14ac:dyDescent="0.25">
      <c r="A57" s="1">
        <v>56</v>
      </c>
      <c r="B57" s="2" t="str">
        <f>_xlfn.CONCAT(C57,"-",VLOOKUP(C57,t_objeto!B:D,3,FALSE),"-",A57)</f>
        <v>RRPP-PERCCO-56</v>
      </c>
      <c r="C57" s="1" t="s">
        <v>7461</v>
      </c>
      <c r="D57" s="1" t="str">
        <f>VLOOKUP(C57,t_objeto!B:C,2,FALSE)</f>
        <v>RESOURCES_POOL</v>
      </c>
      <c r="E57" s="2" t="s">
        <v>7754</v>
      </c>
      <c r="F57" s="2" t="s">
        <v>8408</v>
      </c>
      <c r="G57" s="1">
        <v>8</v>
      </c>
      <c r="H57" s="1" t="str">
        <f>VLOOKUP(G57,t_entry_status!A:C,2,FALSE)</f>
        <v>PENDING</v>
      </c>
      <c r="I57" s="7">
        <v>45560</v>
      </c>
      <c r="J57" s="1" t="s">
        <v>7449</v>
      </c>
      <c r="K57" s="7">
        <v>45560</v>
      </c>
      <c r="L57" s="1" t="s">
        <v>7449</v>
      </c>
    </row>
    <row r="58" spans="1:12" x14ac:dyDescent="0.25">
      <c r="A58" s="1">
        <v>57</v>
      </c>
      <c r="B58" s="2" t="str">
        <f>_xlfn.CONCAT(C58,"-",VLOOKUP(C58,t_objeto!B:D,3,FALSE),"-",A58)</f>
        <v>RRPP-PERCCO-57</v>
      </c>
      <c r="C58" s="1" t="s">
        <v>7461</v>
      </c>
      <c r="D58" s="1" t="str">
        <f>VLOOKUP(C58,t_objeto!B:C,2,FALSE)</f>
        <v>RESOURCES_POOL</v>
      </c>
      <c r="E58" s="2" t="s">
        <v>7755</v>
      </c>
      <c r="F58" s="2" t="s">
        <v>8409</v>
      </c>
      <c r="G58" s="1">
        <v>8</v>
      </c>
      <c r="H58" s="1" t="str">
        <f>VLOOKUP(G58,t_entry_status!A:C,2,FALSE)</f>
        <v>PENDING</v>
      </c>
      <c r="I58" s="7">
        <v>45560</v>
      </c>
      <c r="J58" s="1" t="s">
        <v>7449</v>
      </c>
      <c r="K58" s="7">
        <v>45560</v>
      </c>
      <c r="L58" s="1" t="s">
        <v>7449</v>
      </c>
    </row>
    <row r="59" spans="1:12" x14ac:dyDescent="0.25">
      <c r="A59" s="1">
        <v>58</v>
      </c>
      <c r="B59" s="2" t="str">
        <f>_xlfn.CONCAT(C59,"-",VLOOKUP(C59,t_objeto!B:D,3,FALSE),"-",A59)</f>
        <v>RRPP-PERCCO-58</v>
      </c>
      <c r="C59" s="1" t="s">
        <v>7461</v>
      </c>
      <c r="D59" s="1" t="str">
        <f>VLOOKUP(C59,t_objeto!B:C,2,FALSE)</f>
        <v>RESOURCES_POOL</v>
      </c>
      <c r="E59" s="2" t="s">
        <v>7756</v>
      </c>
      <c r="F59" s="2" t="s">
        <v>8410</v>
      </c>
      <c r="G59" s="1">
        <v>8</v>
      </c>
      <c r="H59" s="1" t="str">
        <f>VLOOKUP(G59,t_entry_status!A:C,2,FALSE)</f>
        <v>PENDING</v>
      </c>
      <c r="I59" s="7">
        <v>45560</v>
      </c>
      <c r="J59" s="1" t="s">
        <v>7449</v>
      </c>
      <c r="K59" s="7">
        <v>45560</v>
      </c>
      <c r="L59" s="1" t="s">
        <v>7449</v>
      </c>
    </row>
    <row r="60" spans="1:12" x14ac:dyDescent="0.25">
      <c r="A60" s="1">
        <v>59</v>
      </c>
      <c r="B60" s="2" t="str">
        <f>_xlfn.CONCAT(C60,"-",VLOOKUP(C60,t_objeto!B:D,3,FALSE),"-",A60)</f>
        <v>RRPP-PERCCO-59</v>
      </c>
      <c r="C60" s="1" t="s">
        <v>7461</v>
      </c>
      <c r="D60" s="1" t="str">
        <f>VLOOKUP(C60,t_objeto!B:C,2,FALSE)</f>
        <v>RESOURCES_POOL</v>
      </c>
      <c r="E60" s="2" t="s">
        <v>7757</v>
      </c>
      <c r="F60" s="2" t="s">
        <v>8411</v>
      </c>
      <c r="G60" s="1">
        <v>8</v>
      </c>
      <c r="H60" s="1" t="str">
        <f>VLOOKUP(G60,t_entry_status!A:C,2,FALSE)</f>
        <v>PENDING</v>
      </c>
      <c r="I60" s="7">
        <v>45560</v>
      </c>
      <c r="J60" s="1" t="s">
        <v>7449</v>
      </c>
      <c r="K60" s="7">
        <v>45560</v>
      </c>
      <c r="L60" s="1" t="s">
        <v>7449</v>
      </c>
    </row>
    <row r="61" spans="1:12" x14ac:dyDescent="0.25">
      <c r="A61" s="1">
        <v>60</v>
      </c>
      <c r="B61" s="2" t="str">
        <f>_xlfn.CONCAT(C61,"-",VLOOKUP(C61,t_objeto!B:D,3,FALSE),"-",A61)</f>
        <v>RRPP-PERCCO-60</v>
      </c>
      <c r="C61" s="1" t="s">
        <v>7461</v>
      </c>
      <c r="D61" s="1" t="str">
        <f>VLOOKUP(C61,t_objeto!B:C,2,FALSE)</f>
        <v>RESOURCES_POOL</v>
      </c>
      <c r="E61" s="2" t="s">
        <v>7758</v>
      </c>
      <c r="F61" s="2" t="s">
        <v>8412</v>
      </c>
      <c r="G61" s="1">
        <v>8</v>
      </c>
      <c r="H61" s="1" t="str">
        <f>VLOOKUP(G61,t_entry_status!A:C,2,FALSE)</f>
        <v>PENDING</v>
      </c>
      <c r="I61" s="7">
        <v>45560</v>
      </c>
      <c r="J61" s="1" t="s">
        <v>7449</v>
      </c>
      <c r="K61" s="7">
        <v>45560</v>
      </c>
      <c r="L61" s="1" t="s">
        <v>7449</v>
      </c>
    </row>
    <row r="62" spans="1:12" x14ac:dyDescent="0.25">
      <c r="A62" s="1">
        <v>61</v>
      </c>
      <c r="B62" s="2" t="str">
        <f>_xlfn.CONCAT(C62,"-",VLOOKUP(C62,t_objeto!B:D,3,FALSE),"-",A62)</f>
        <v>RRPP-PERCCO-61</v>
      </c>
      <c r="C62" s="1" t="s">
        <v>7461</v>
      </c>
      <c r="D62" s="1" t="str">
        <f>VLOOKUP(C62,t_objeto!B:C,2,FALSE)</f>
        <v>RESOURCES_POOL</v>
      </c>
      <c r="E62" s="2" t="s">
        <v>7759</v>
      </c>
      <c r="F62" s="2" t="s">
        <v>8413</v>
      </c>
      <c r="G62" s="1">
        <v>8</v>
      </c>
      <c r="H62" s="1" t="str">
        <f>VLOOKUP(G62,t_entry_status!A:C,2,FALSE)</f>
        <v>PENDING</v>
      </c>
      <c r="I62" s="7">
        <v>45560</v>
      </c>
      <c r="J62" s="1" t="s">
        <v>7449</v>
      </c>
      <c r="K62" s="7">
        <v>45560</v>
      </c>
      <c r="L62" s="1" t="s">
        <v>7449</v>
      </c>
    </row>
    <row r="63" spans="1:12" x14ac:dyDescent="0.25">
      <c r="A63" s="1">
        <v>62</v>
      </c>
      <c r="B63" s="2" t="str">
        <f>_xlfn.CONCAT(C63,"-",VLOOKUP(C63,t_objeto!B:D,3,FALSE),"-",A63)</f>
        <v>RRPP-PERCCO-62</v>
      </c>
      <c r="C63" s="1" t="s">
        <v>7461</v>
      </c>
      <c r="D63" s="1" t="str">
        <f>VLOOKUP(C63,t_objeto!B:C,2,FALSE)</f>
        <v>RESOURCES_POOL</v>
      </c>
      <c r="E63" s="2" t="s">
        <v>7760</v>
      </c>
      <c r="F63" s="2" t="s">
        <v>8414</v>
      </c>
      <c r="G63" s="1">
        <v>8</v>
      </c>
      <c r="H63" s="1" t="str">
        <f>VLOOKUP(G63,t_entry_status!A:C,2,FALSE)</f>
        <v>PENDING</v>
      </c>
      <c r="I63" s="7">
        <v>45560</v>
      </c>
      <c r="J63" s="1" t="s">
        <v>7449</v>
      </c>
      <c r="K63" s="7">
        <v>45560</v>
      </c>
      <c r="L63" s="1" t="s">
        <v>7449</v>
      </c>
    </row>
    <row r="64" spans="1:12" x14ac:dyDescent="0.25">
      <c r="A64" s="1">
        <v>63</v>
      </c>
      <c r="B64" s="2" t="str">
        <f>_xlfn.CONCAT(C64,"-",VLOOKUP(C64,t_objeto!B:D,3,FALSE),"-",A64)</f>
        <v>RRPP-PERCCO-63</v>
      </c>
      <c r="C64" s="1" t="s">
        <v>7461</v>
      </c>
      <c r="D64" s="1" t="str">
        <f>VLOOKUP(C64,t_objeto!B:C,2,FALSE)</f>
        <v>RESOURCES_POOL</v>
      </c>
      <c r="E64" s="2" t="s">
        <v>7761</v>
      </c>
      <c r="F64" s="2" t="s">
        <v>8415</v>
      </c>
      <c r="G64" s="1">
        <v>8</v>
      </c>
      <c r="H64" s="1" t="str">
        <f>VLOOKUP(G64,t_entry_status!A:C,2,FALSE)</f>
        <v>PENDING</v>
      </c>
      <c r="I64" s="7">
        <v>45560</v>
      </c>
      <c r="J64" s="1" t="s">
        <v>7449</v>
      </c>
      <c r="K64" s="7">
        <v>45560</v>
      </c>
      <c r="L64" s="1" t="s">
        <v>7449</v>
      </c>
    </row>
    <row r="65" spans="1:12" x14ac:dyDescent="0.25">
      <c r="A65" s="1">
        <v>64</v>
      </c>
      <c r="B65" s="2" t="str">
        <f>_xlfn.CONCAT(C65,"-",VLOOKUP(C65,t_objeto!B:D,3,FALSE),"-",A65)</f>
        <v>RRPP-PERCCO-64</v>
      </c>
      <c r="C65" s="1" t="s">
        <v>7461</v>
      </c>
      <c r="D65" s="1" t="str">
        <f>VLOOKUP(C65,t_objeto!B:C,2,FALSE)</f>
        <v>RESOURCES_POOL</v>
      </c>
      <c r="E65" s="2" t="s">
        <v>7762</v>
      </c>
      <c r="F65" s="2" t="s">
        <v>8416</v>
      </c>
      <c r="G65" s="1">
        <v>8</v>
      </c>
      <c r="H65" s="1" t="str">
        <f>VLOOKUP(G65,t_entry_status!A:C,2,FALSE)</f>
        <v>PENDING</v>
      </c>
      <c r="I65" s="7">
        <v>45560</v>
      </c>
      <c r="J65" s="1" t="s">
        <v>7449</v>
      </c>
      <c r="K65" s="7">
        <v>45560</v>
      </c>
      <c r="L65" s="1" t="s">
        <v>7449</v>
      </c>
    </row>
    <row r="66" spans="1:12" x14ac:dyDescent="0.25">
      <c r="A66" s="1">
        <v>65</v>
      </c>
      <c r="B66" s="2" t="str">
        <f>_xlfn.CONCAT(C66,"-",VLOOKUP(C66,t_objeto!B:D,3,FALSE),"-",A66)</f>
        <v>RRPP-PERCCO-65</v>
      </c>
      <c r="C66" s="1" t="s">
        <v>7461</v>
      </c>
      <c r="D66" s="1" t="str">
        <f>VLOOKUP(C66,t_objeto!B:C,2,FALSE)</f>
        <v>RESOURCES_POOL</v>
      </c>
      <c r="E66" s="2" t="s">
        <v>7763</v>
      </c>
      <c r="F66" s="2" t="s">
        <v>8417</v>
      </c>
      <c r="G66" s="1">
        <v>8</v>
      </c>
      <c r="H66" s="1" t="str">
        <f>VLOOKUP(G66,t_entry_status!A:C,2,FALSE)</f>
        <v>PENDING</v>
      </c>
      <c r="I66" s="7">
        <v>45560</v>
      </c>
      <c r="J66" s="1" t="s">
        <v>7449</v>
      </c>
      <c r="K66" s="7">
        <v>45560</v>
      </c>
      <c r="L66" s="1" t="s">
        <v>7449</v>
      </c>
    </row>
    <row r="67" spans="1:12" x14ac:dyDescent="0.25">
      <c r="A67" s="1">
        <v>66</v>
      </c>
      <c r="B67" s="2" t="str">
        <f>_xlfn.CONCAT(C67,"-",VLOOKUP(C67,t_objeto!B:D,3,FALSE),"-",A67)</f>
        <v>RRPP-PERCCO-66</v>
      </c>
      <c r="C67" s="1" t="s">
        <v>7461</v>
      </c>
      <c r="D67" s="1" t="str">
        <f>VLOOKUP(C67,t_objeto!B:C,2,FALSE)</f>
        <v>RESOURCES_POOL</v>
      </c>
      <c r="E67" s="2" t="s">
        <v>7764</v>
      </c>
      <c r="F67" s="2" t="s">
        <v>8418</v>
      </c>
      <c r="G67" s="1">
        <v>8</v>
      </c>
      <c r="H67" s="1" t="str">
        <f>VLOOKUP(G67,t_entry_status!A:C,2,FALSE)</f>
        <v>PENDING</v>
      </c>
      <c r="I67" s="7">
        <v>45560</v>
      </c>
      <c r="J67" s="1" t="s">
        <v>7449</v>
      </c>
      <c r="K67" s="7">
        <v>45560</v>
      </c>
      <c r="L67" s="1" t="s">
        <v>7449</v>
      </c>
    </row>
    <row r="68" spans="1:12" x14ac:dyDescent="0.25">
      <c r="A68" s="1">
        <v>67</v>
      </c>
      <c r="B68" s="2" t="str">
        <f>_xlfn.CONCAT(C68,"-",VLOOKUP(C68,t_objeto!B:D,3,FALSE),"-",A68)</f>
        <v>RRPP-PERCCO-67</v>
      </c>
      <c r="C68" s="1" t="s">
        <v>7461</v>
      </c>
      <c r="D68" s="1" t="str">
        <f>VLOOKUP(C68,t_objeto!B:C,2,FALSE)</f>
        <v>RESOURCES_POOL</v>
      </c>
      <c r="E68" s="2" t="s">
        <v>7765</v>
      </c>
      <c r="F68" s="2" t="s">
        <v>8419</v>
      </c>
      <c r="G68" s="1">
        <v>8</v>
      </c>
      <c r="H68" s="1" t="str">
        <f>VLOOKUP(G68,t_entry_status!A:C,2,FALSE)</f>
        <v>PENDING</v>
      </c>
      <c r="I68" s="7">
        <v>45560</v>
      </c>
      <c r="J68" s="1" t="s">
        <v>7449</v>
      </c>
      <c r="K68" s="7">
        <v>45560</v>
      </c>
      <c r="L68" s="1" t="s">
        <v>7449</v>
      </c>
    </row>
    <row r="69" spans="1:12" x14ac:dyDescent="0.25">
      <c r="A69" s="1">
        <v>68</v>
      </c>
      <c r="B69" s="2" t="str">
        <f>_xlfn.CONCAT(C69,"-",VLOOKUP(C69,t_objeto!B:D,3,FALSE),"-",A69)</f>
        <v>RRPP-PERCCO-68</v>
      </c>
      <c r="C69" s="1" t="s">
        <v>7461</v>
      </c>
      <c r="D69" s="1" t="str">
        <f>VLOOKUP(C69,t_objeto!B:C,2,FALSE)</f>
        <v>RESOURCES_POOL</v>
      </c>
      <c r="E69" s="2" t="s">
        <v>7766</v>
      </c>
      <c r="F69" s="2" t="s">
        <v>8420</v>
      </c>
      <c r="G69" s="1">
        <v>8</v>
      </c>
      <c r="H69" s="1" t="str">
        <f>VLOOKUP(G69,t_entry_status!A:C,2,FALSE)</f>
        <v>PENDING</v>
      </c>
      <c r="I69" s="7">
        <v>45560</v>
      </c>
      <c r="J69" s="1" t="s">
        <v>7449</v>
      </c>
      <c r="K69" s="7">
        <v>45560</v>
      </c>
      <c r="L69" s="1" t="s">
        <v>7449</v>
      </c>
    </row>
    <row r="70" spans="1:12" x14ac:dyDescent="0.25">
      <c r="A70" s="1">
        <v>69</v>
      </c>
      <c r="B70" s="2" t="str">
        <f>_xlfn.CONCAT(C70,"-",VLOOKUP(C70,t_objeto!B:D,3,FALSE),"-",A70)</f>
        <v>RRPP-PERCCO-69</v>
      </c>
      <c r="C70" s="1" t="s">
        <v>7461</v>
      </c>
      <c r="D70" s="1" t="str">
        <f>VLOOKUP(C70,t_objeto!B:C,2,FALSE)</f>
        <v>RESOURCES_POOL</v>
      </c>
      <c r="E70" s="2" t="s">
        <v>7767</v>
      </c>
      <c r="F70" s="2" t="s">
        <v>8421</v>
      </c>
      <c r="G70" s="1">
        <v>8</v>
      </c>
      <c r="H70" s="1" t="str">
        <f>VLOOKUP(G70,t_entry_status!A:C,2,FALSE)</f>
        <v>PENDING</v>
      </c>
      <c r="I70" s="7">
        <v>45560</v>
      </c>
      <c r="J70" s="1" t="s">
        <v>7449</v>
      </c>
      <c r="K70" s="7">
        <v>45560</v>
      </c>
      <c r="L70" s="1" t="s">
        <v>7449</v>
      </c>
    </row>
    <row r="71" spans="1:12" x14ac:dyDescent="0.25">
      <c r="A71" s="1">
        <v>70</v>
      </c>
      <c r="B71" s="2" t="str">
        <f>_xlfn.CONCAT(C71,"-",VLOOKUP(C71,t_objeto!B:D,3,FALSE),"-",A71)</f>
        <v>RRPP-PERCCO-70</v>
      </c>
      <c r="C71" s="1" t="s">
        <v>7461</v>
      </c>
      <c r="D71" s="1" t="str">
        <f>VLOOKUP(C71,t_objeto!B:C,2,FALSE)</f>
        <v>RESOURCES_POOL</v>
      </c>
      <c r="E71" s="2" t="s">
        <v>7768</v>
      </c>
      <c r="F71" s="2" t="s">
        <v>8422</v>
      </c>
      <c r="G71" s="1">
        <v>8</v>
      </c>
      <c r="H71" s="1" t="str">
        <f>VLOOKUP(G71,t_entry_status!A:C,2,FALSE)</f>
        <v>PENDING</v>
      </c>
      <c r="I71" s="7">
        <v>45560</v>
      </c>
      <c r="J71" s="1" t="s">
        <v>7449</v>
      </c>
      <c r="K71" s="7">
        <v>45560</v>
      </c>
      <c r="L71" s="1" t="s">
        <v>7449</v>
      </c>
    </row>
    <row r="72" spans="1:12" x14ac:dyDescent="0.25">
      <c r="A72" s="1">
        <v>71</v>
      </c>
      <c r="B72" s="2" t="str">
        <f>_xlfn.CONCAT(C72,"-",VLOOKUP(C72,t_objeto!B:D,3,FALSE),"-",A72)</f>
        <v>RRPP-PERCCO-71</v>
      </c>
      <c r="C72" s="1" t="s">
        <v>7461</v>
      </c>
      <c r="D72" s="1" t="str">
        <f>VLOOKUP(C72,t_objeto!B:C,2,FALSE)</f>
        <v>RESOURCES_POOL</v>
      </c>
      <c r="E72" s="2" t="s">
        <v>7769</v>
      </c>
      <c r="F72" s="2" t="s">
        <v>8423</v>
      </c>
      <c r="G72" s="1">
        <v>8</v>
      </c>
      <c r="H72" s="1" t="str">
        <f>VLOOKUP(G72,t_entry_status!A:C,2,FALSE)</f>
        <v>PENDING</v>
      </c>
      <c r="I72" s="7">
        <v>45560</v>
      </c>
      <c r="J72" s="1" t="s">
        <v>7449</v>
      </c>
      <c r="K72" s="7">
        <v>45560</v>
      </c>
      <c r="L72" s="1" t="s">
        <v>7449</v>
      </c>
    </row>
    <row r="73" spans="1:12" x14ac:dyDescent="0.25">
      <c r="A73" s="1">
        <v>72</v>
      </c>
      <c r="B73" s="2" t="str">
        <f>_xlfn.CONCAT(C73,"-",VLOOKUP(C73,t_objeto!B:D,3,FALSE),"-",A73)</f>
        <v>RRPP-PERCCO-72</v>
      </c>
      <c r="C73" s="1" t="s">
        <v>7461</v>
      </c>
      <c r="D73" s="1" t="str">
        <f>VLOOKUP(C73,t_objeto!B:C,2,FALSE)</f>
        <v>RESOURCES_POOL</v>
      </c>
      <c r="E73" s="2" t="s">
        <v>7770</v>
      </c>
      <c r="F73" s="2" t="s">
        <v>8424</v>
      </c>
      <c r="G73" s="1">
        <v>8</v>
      </c>
      <c r="H73" s="1" t="str">
        <f>VLOOKUP(G73,t_entry_status!A:C,2,FALSE)</f>
        <v>PENDING</v>
      </c>
      <c r="I73" s="7">
        <v>45560</v>
      </c>
      <c r="J73" s="1" t="s">
        <v>7449</v>
      </c>
      <c r="K73" s="7">
        <v>45560</v>
      </c>
      <c r="L73" s="1" t="s">
        <v>7449</v>
      </c>
    </row>
    <row r="74" spans="1:12" x14ac:dyDescent="0.25">
      <c r="A74" s="1">
        <v>73</v>
      </c>
      <c r="B74" s="2" t="str">
        <f>_xlfn.CONCAT(C74,"-",VLOOKUP(C74,t_objeto!B:D,3,FALSE),"-",A74)</f>
        <v>RRPP-PERCCO-73</v>
      </c>
      <c r="C74" s="1" t="s">
        <v>7461</v>
      </c>
      <c r="D74" s="1" t="str">
        <f>VLOOKUP(C74,t_objeto!B:C,2,FALSE)</f>
        <v>RESOURCES_POOL</v>
      </c>
      <c r="E74" s="2" t="s">
        <v>7771</v>
      </c>
      <c r="F74" s="2" t="s">
        <v>8425</v>
      </c>
      <c r="G74" s="1">
        <v>8</v>
      </c>
      <c r="H74" s="1" t="str">
        <f>VLOOKUP(G74,t_entry_status!A:C,2,FALSE)</f>
        <v>PENDING</v>
      </c>
      <c r="I74" s="7">
        <v>45560</v>
      </c>
      <c r="J74" s="1" t="s">
        <v>7449</v>
      </c>
      <c r="K74" s="7">
        <v>45560</v>
      </c>
      <c r="L74" s="1" t="s">
        <v>7449</v>
      </c>
    </row>
    <row r="75" spans="1:12" x14ac:dyDescent="0.25">
      <c r="A75" s="1">
        <v>74</v>
      </c>
      <c r="B75" s="2" t="str">
        <f>_xlfn.CONCAT(C75,"-",VLOOKUP(C75,t_objeto!B:D,3,FALSE),"-",A75)</f>
        <v>RRPP-PERCCO-74</v>
      </c>
      <c r="C75" s="1" t="s">
        <v>7461</v>
      </c>
      <c r="D75" s="1" t="str">
        <f>VLOOKUP(C75,t_objeto!B:C,2,FALSE)</f>
        <v>RESOURCES_POOL</v>
      </c>
      <c r="E75" s="2" t="s">
        <v>7772</v>
      </c>
      <c r="F75" s="2" t="s">
        <v>8426</v>
      </c>
      <c r="G75" s="1">
        <v>8</v>
      </c>
      <c r="H75" s="1" t="str">
        <f>VLOOKUP(G75,t_entry_status!A:C,2,FALSE)</f>
        <v>PENDING</v>
      </c>
      <c r="I75" s="7">
        <v>45560</v>
      </c>
      <c r="J75" s="1" t="s">
        <v>7449</v>
      </c>
      <c r="K75" s="7">
        <v>45560</v>
      </c>
      <c r="L75" s="1" t="s">
        <v>7449</v>
      </c>
    </row>
    <row r="76" spans="1:12" x14ac:dyDescent="0.25">
      <c r="A76" s="1">
        <v>75</v>
      </c>
      <c r="B76" s="2" t="str">
        <f>_xlfn.CONCAT(C76,"-",VLOOKUP(C76,t_objeto!B:D,3,FALSE),"-",A76)</f>
        <v>RRPP-PERCCO-75</v>
      </c>
      <c r="C76" s="1" t="s">
        <v>7461</v>
      </c>
      <c r="D76" s="1" t="str">
        <f>VLOOKUP(C76,t_objeto!B:C,2,FALSE)</f>
        <v>RESOURCES_POOL</v>
      </c>
      <c r="E76" s="2" t="s">
        <v>7773</v>
      </c>
      <c r="F76" s="2" t="s">
        <v>8427</v>
      </c>
      <c r="G76" s="1">
        <v>8</v>
      </c>
      <c r="H76" s="1" t="str">
        <f>VLOOKUP(G76,t_entry_status!A:C,2,FALSE)</f>
        <v>PENDING</v>
      </c>
      <c r="I76" s="7">
        <v>45560</v>
      </c>
      <c r="J76" s="1" t="s">
        <v>7449</v>
      </c>
      <c r="K76" s="7">
        <v>45560</v>
      </c>
      <c r="L76" s="1" t="s">
        <v>7449</v>
      </c>
    </row>
    <row r="77" spans="1:12" x14ac:dyDescent="0.25">
      <c r="A77" s="1">
        <v>76</v>
      </c>
      <c r="B77" s="2" t="str">
        <f>_xlfn.CONCAT(C77,"-",VLOOKUP(C77,t_objeto!B:D,3,FALSE),"-",A77)</f>
        <v>RRPP-PERCCO-76</v>
      </c>
      <c r="C77" s="1" t="s">
        <v>7461</v>
      </c>
      <c r="D77" s="1" t="str">
        <f>VLOOKUP(C77,t_objeto!B:C,2,FALSE)</f>
        <v>RESOURCES_POOL</v>
      </c>
      <c r="E77" s="2" t="s">
        <v>7774</v>
      </c>
      <c r="F77" s="2" t="s">
        <v>8428</v>
      </c>
      <c r="G77" s="1">
        <v>8</v>
      </c>
      <c r="H77" s="1" t="str">
        <f>VLOOKUP(G77,t_entry_status!A:C,2,FALSE)</f>
        <v>PENDING</v>
      </c>
      <c r="I77" s="7">
        <v>45560</v>
      </c>
      <c r="J77" s="1" t="s">
        <v>7449</v>
      </c>
      <c r="K77" s="7">
        <v>45560</v>
      </c>
      <c r="L77" s="1" t="s">
        <v>7449</v>
      </c>
    </row>
    <row r="78" spans="1:12" x14ac:dyDescent="0.25">
      <c r="A78" s="1">
        <v>77</v>
      </c>
      <c r="B78" s="2" t="str">
        <f>_xlfn.CONCAT(C78,"-",VLOOKUP(C78,t_objeto!B:D,3,FALSE),"-",A78)</f>
        <v>RRPP-PERCCO-77</v>
      </c>
      <c r="C78" s="1" t="s">
        <v>7461</v>
      </c>
      <c r="D78" s="1" t="str">
        <f>VLOOKUP(C78,t_objeto!B:C,2,FALSE)</f>
        <v>RESOURCES_POOL</v>
      </c>
      <c r="E78" s="2" t="s">
        <v>7775</v>
      </c>
      <c r="F78" s="2" t="s">
        <v>8429</v>
      </c>
      <c r="G78" s="1">
        <v>8</v>
      </c>
      <c r="H78" s="1" t="str">
        <f>VLOOKUP(G78,t_entry_status!A:C,2,FALSE)</f>
        <v>PENDING</v>
      </c>
      <c r="I78" s="7">
        <v>45560</v>
      </c>
      <c r="J78" s="1" t="s">
        <v>7449</v>
      </c>
      <c r="K78" s="7">
        <v>45560</v>
      </c>
      <c r="L78" s="1" t="s">
        <v>7449</v>
      </c>
    </row>
    <row r="79" spans="1:12" x14ac:dyDescent="0.25">
      <c r="A79" s="1">
        <v>78</v>
      </c>
      <c r="B79" s="2" t="str">
        <f>_xlfn.CONCAT(C79,"-",VLOOKUP(C79,t_objeto!B:D,3,FALSE),"-",A79)</f>
        <v>RRPP-PERCCO-78</v>
      </c>
      <c r="C79" s="1" t="s">
        <v>7461</v>
      </c>
      <c r="D79" s="1" t="str">
        <f>VLOOKUP(C79,t_objeto!B:C,2,FALSE)</f>
        <v>RESOURCES_POOL</v>
      </c>
      <c r="E79" s="2" t="s">
        <v>7776</v>
      </c>
      <c r="F79" s="2" t="s">
        <v>8430</v>
      </c>
      <c r="G79" s="1">
        <v>8</v>
      </c>
      <c r="H79" s="1" t="str">
        <f>VLOOKUP(G79,t_entry_status!A:C,2,FALSE)</f>
        <v>PENDING</v>
      </c>
      <c r="I79" s="7">
        <v>45560</v>
      </c>
      <c r="J79" s="1" t="s">
        <v>7449</v>
      </c>
      <c r="K79" s="7">
        <v>45560</v>
      </c>
      <c r="L79" s="1" t="s">
        <v>7449</v>
      </c>
    </row>
    <row r="80" spans="1:12" x14ac:dyDescent="0.25">
      <c r="A80" s="1">
        <v>79</v>
      </c>
      <c r="B80" s="2" t="str">
        <f>_xlfn.CONCAT(C80,"-",VLOOKUP(C80,t_objeto!B:D,3,FALSE),"-",A80)</f>
        <v>RRPP-PERCCO-79</v>
      </c>
      <c r="C80" s="1" t="s">
        <v>7461</v>
      </c>
      <c r="D80" s="1" t="str">
        <f>VLOOKUP(C80,t_objeto!B:C,2,FALSE)</f>
        <v>RESOURCES_POOL</v>
      </c>
      <c r="E80" s="2" t="s">
        <v>7777</v>
      </c>
      <c r="F80" s="2" t="s">
        <v>8431</v>
      </c>
      <c r="G80" s="1">
        <v>8</v>
      </c>
      <c r="H80" s="1" t="str">
        <f>VLOOKUP(G80,t_entry_status!A:C,2,FALSE)</f>
        <v>PENDING</v>
      </c>
      <c r="I80" s="7">
        <v>45560</v>
      </c>
      <c r="J80" s="1" t="s">
        <v>7449</v>
      </c>
      <c r="K80" s="7">
        <v>45560</v>
      </c>
      <c r="L80" s="1" t="s">
        <v>7449</v>
      </c>
    </row>
    <row r="81" spans="1:12" x14ac:dyDescent="0.25">
      <c r="A81" s="1">
        <v>80</v>
      </c>
      <c r="B81" s="2" t="str">
        <f>_xlfn.CONCAT(C81,"-",VLOOKUP(C81,t_objeto!B:D,3,FALSE),"-",A81)</f>
        <v>RRPP-PERCCO-80</v>
      </c>
      <c r="C81" s="1" t="s">
        <v>7461</v>
      </c>
      <c r="D81" s="1" t="str">
        <f>VLOOKUP(C81,t_objeto!B:C,2,FALSE)</f>
        <v>RESOURCES_POOL</v>
      </c>
      <c r="E81" s="2" t="s">
        <v>7778</v>
      </c>
      <c r="F81" s="2" t="s">
        <v>8432</v>
      </c>
      <c r="G81" s="1">
        <v>8</v>
      </c>
      <c r="H81" s="1" t="str">
        <f>VLOOKUP(G81,t_entry_status!A:C,2,FALSE)</f>
        <v>PENDING</v>
      </c>
      <c r="I81" s="7">
        <v>45560</v>
      </c>
      <c r="J81" s="1" t="s">
        <v>7449</v>
      </c>
      <c r="K81" s="7">
        <v>45560</v>
      </c>
      <c r="L81" s="1" t="s">
        <v>7449</v>
      </c>
    </row>
    <row r="82" spans="1:12" x14ac:dyDescent="0.25">
      <c r="A82" s="1">
        <v>81</v>
      </c>
      <c r="B82" s="2" t="str">
        <f>_xlfn.CONCAT(C82,"-",VLOOKUP(C82,t_objeto!B:D,3,FALSE),"-",A82)</f>
        <v>RRPP-PERCCO-81</v>
      </c>
      <c r="C82" s="1" t="s">
        <v>7461</v>
      </c>
      <c r="D82" s="1" t="str">
        <f>VLOOKUP(C82,t_objeto!B:C,2,FALSE)</f>
        <v>RESOURCES_POOL</v>
      </c>
      <c r="E82" s="2" t="s">
        <v>7779</v>
      </c>
      <c r="F82" s="2" t="s">
        <v>8433</v>
      </c>
      <c r="G82" s="1">
        <v>8</v>
      </c>
      <c r="H82" s="1" t="str">
        <f>VLOOKUP(G82,t_entry_status!A:C,2,FALSE)</f>
        <v>PENDING</v>
      </c>
      <c r="I82" s="7">
        <v>45560</v>
      </c>
      <c r="J82" s="1" t="s">
        <v>7449</v>
      </c>
      <c r="K82" s="7">
        <v>45560</v>
      </c>
      <c r="L82" s="1" t="s">
        <v>7449</v>
      </c>
    </row>
    <row r="83" spans="1:12" x14ac:dyDescent="0.25">
      <c r="A83" s="1">
        <v>82</v>
      </c>
      <c r="B83" s="2" t="str">
        <f>_xlfn.CONCAT(C83,"-",VLOOKUP(C83,t_objeto!B:D,3,FALSE),"-",A83)</f>
        <v>RRPP-PERCCO-82</v>
      </c>
      <c r="C83" s="1" t="s">
        <v>7461</v>
      </c>
      <c r="D83" s="1" t="str">
        <f>VLOOKUP(C83,t_objeto!B:C,2,FALSE)</f>
        <v>RESOURCES_POOL</v>
      </c>
      <c r="E83" s="2" t="s">
        <v>7780</v>
      </c>
      <c r="F83" s="2" t="s">
        <v>8434</v>
      </c>
      <c r="G83" s="1">
        <v>8</v>
      </c>
      <c r="H83" s="1" t="str">
        <f>VLOOKUP(G83,t_entry_status!A:C,2,FALSE)</f>
        <v>PENDING</v>
      </c>
      <c r="I83" s="7">
        <v>45560</v>
      </c>
      <c r="J83" s="1" t="s">
        <v>7449</v>
      </c>
      <c r="K83" s="7">
        <v>45560</v>
      </c>
      <c r="L83" s="1" t="s">
        <v>7449</v>
      </c>
    </row>
    <row r="84" spans="1:12" x14ac:dyDescent="0.25">
      <c r="A84" s="1">
        <v>83</v>
      </c>
      <c r="B84" s="2" t="str">
        <f>_xlfn.CONCAT(C84,"-",VLOOKUP(C84,t_objeto!B:D,3,FALSE),"-",A84)</f>
        <v>RRPP-PERCCO-83</v>
      </c>
      <c r="C84" s="1" t="s">
        <v>7461</v>
      </c>
      <c r="D84" s="1" t="str">
        <f>VLOOKUP(C84,t_objeto!B:C,2,FALSE)</f>
        <v>RESOURCES_POOL</v>
      </c>
      <c r="E84" s="2" t="s">
        <v>7781</v>
      </c>
      <c r="F84" s="2" t="s">
        <v>8435</v>
      </c>
      <c r="G84" s="1">
        <v>8</v>
      </c>
      <c r="H84" s="1" t="str">
        <f>VLOOKUP(G84,t_entry_status!A:C,2,FALSE)</f>
        <v>PENDING</v>
      </c>
      <c r="I84" s="7">
        <v>45560</v>
      </c>
      <c r="J84" s="1" t="s">
        <v>7449</v>
      </c>
      <c r="K84" s="7">
        <v>45560</v>
      </c>
      <c r="L84" s="1" t="s">
        <v>7449</v>
      </c>
    </row>
    <row r="85" spans="1:12" x14ac:dyDescent="0.25">
      <c r="A85" s="1">
        <v>84</v>
      </c>
      <c r="B85" s="2" t="str">
        <f>_xlfn.CONCAT(C85,"-",VLOOKUP(C85,t_objeto!B:D,3,FALSE),"-",A85)</f>
        <v>RRPP-PERCCO-84</v>
      </c>
      <c r="C85" s="1" t="s">
        <v>7461</v>
      </c>
      <c r="D85" s="1" t="str">
        <f>VLOOKUP(C85,t_objeto!B:C,2,FALSE)</f>
        <v>RESOURCES_POOL</v>
      </c>
      <c r="E85" s="2" t="s">
        <v>7782</v>
      </c>
      <c r="F85" s="2" t="s">
        <v>8436</v>
      </c>
      <c r="G85" s="1">
        <v>8</v>
      </c>
      <c r="H85" s="1" t="str">
        <f>VLOOKUP(G85,t_entry_status!A:C,2,FALSE)</f>
        <v>PENDING</v>
      </c>
      <c r="I85" s="7">
        <v>45560</v>
      </c>
      <c r="J85" s="1" t="s">
        <v>7449</v>
      </c>
      <c r="K85" s="7">
        <v>45560</v>
      </c>
      <c r="L85" s="1" t="s">
        <v>7449</v>
      </c>
    </row>
    <row r="86" spans="1:12" x14ac:dyDescent="0.25">
      <c r="A86" s="1">
        <v>85</v>
      </c>
      <c r="B86" s="2" t="str">
        <f>_xlfn.CONCAT(C86,"-",VLOOKUP(C86,t_objeto!B:D,3,FALSE),"-",A86)</f>
        <v>RRPP-PERCCO-85</v>
      </c>
      <c r="C86" s="1" t="s">
        <v>7461</v>
      </c>
      <c r="D86" s="1" t="str">
        <f>VLOOKUP(C86,t_objeto!B:C,2,FALSE)</f>
        <v>RESOURCES_POOL</v>
      </c>
      <c r="E86" s="2" t="s">
        <v>7783</v>
      </c>
      <c r="F86" s="2" t="s">
        <v>8437</v>
      </c>
      <c r="G86" s="1">
        <v>8</v>
      </c>
      <c r="H86" s="1" t="str">
        <f>VLOOKUP(G86,t_entry_status!A:C,2,FALSE)</f>
        <v>PENDING</v>
      </c>
      <c r="I86" s="7">
        <v>45560</v>
      </c>
      <c r="J86" s="1" t="s">
        <v>7449</v>
      </c>
      <c r="K86" s="7">
        <v>45560</v>
      </c>
      <c r="L86" s="1" t="s">
        <v>7449</v>
      </c>
    </row>
    <row r="87" spans="1:12" x14ac:dyDescent="0.25">
      <c r="A87" s="1">
        <v>86</v>
      </c>
      <c r="B87" s="2" t="str">
        <f>_xlfn.CONCAT(C87,"-",VLOOKUP(C87,t_objeto!B:D,3,FALSE),"-",A87)</f>
        <v>RRPP-PERCCO-86</v>
      </c>
      <c r="C87" s="1" t="s">
        <v>7461</v>
      </c>
      <c r="D87" s="1" t="str">
        <f>VLOOKUP(C87,t_objeto!B:C,2,FALSE)</f>
        <v>RESOURCES_POOL</v>
      </c>
      <c r="E87" s="2" t="s">
        <v>7784</v>
      </c>
      <c r="F87" s="2" t="s">
        <v>8438</v>
      </c>
      <c r="G87" s="1">
        <v>8</v>
      </c>
      <c r="H87" s="1" t="str">
        <f>VLOOKUP(G87,t_entry_status!A:C,2,FALSE)</f>
        <v>PENDING</v>
      </c>
      <c r="I87" s="7">
        <v>45560</v>
      </c>
      <c r="J87" s="1" t="s">
        <v>7449</v>
      </c>
      <c r="K87" s="7">
        <v>45560</v>
      </c>
      <c r="L87" s="1" t="s">
        <v>7449</v>
      </c>
    </row>
    <row r="88" spans="1:12" x14ac:dyDescent="0.25">
      <c r="A88" s="1">
        <v>87</v>
      </c>
      <c r="B88" s="2" t="str">
        <f>_xlfn.CONCAT(C88,"-",VLOOKUP(C88,t_objeto!B:D,3,FALSE),"-",A88)</f>
        <v>RRPP-PERCCO-87</v>
      </c>
      <c r="C88" s="1" t="s">
        <v>7461</v>
      </c>
      <c r="D88" s="1" t="str">
        <f>VLOOKUP(C88,t_objeto!B:C,2,FALSE)</f>
        <v>RESOURCES_POOL</v>
      </c>
      <c r="E88" s="2" t="s">
        <v>7785</v>
      </c>
      <c r="F88" s="2" t="s">
        <v>8439</v>
      </c>
      <c r="G88" s="1">
        <v>8</v>
      </c>
      <c r="H88" s="1" t="str">
        <f>VLOOKUP(G88,t_entry_status!A:C,2,FALSE)</f>
        <v>PENDING</v>
      </c>
      <c r="I88" s="7">
        <v>45560</v>
      </c>
      <c r="J88" s="1" t="s">
        <v>7449</v>
      </c>
      <c r="K88" s="7">
        <v>45560</v>
      </c>
      <c r="L88" s="1" t="s">
        <v>7449</v>
      </c>
    </row>
    <row r="89" spans="1:12" x14ac:dyDescent="0.25">
      <c r="A89" s="1">
        <v>88</v>
      </c>
      <c r="B89" s="2" t="str">
        <f>_xlfn.CONCAT(C89,"-",VLOOKUP(C89,t_objeto!B:D,3,FALSE),"-",A89)</f>
        <v>RRPP-PERCCO-88</v>
      </c>
      <c r="C89" s="1" t="s">
        <v>7461</v>
      </c>
      <c r="D89" s="1" t="str">
        <f>VLOOKUP(C89,t_objeto!B:C,2,FALSE)</f>
        <v>RESOURCES_POOL</v>
      </c>
      <c r="E89" s="2" t="s">
        <v>7786</v>
      </c>
      <c r="F89" s="2" t="s">
        <v>8440</v>
      </c>
      <c r="G89" s="1">
        <v>8</v>
      </c>
      <c r="H89" s="1" t="str">
        <f>VLOOKUP(G89,t_entry_status!A:C,2,FALSE)</f>
        <v>PENDING</v>
      </c>
      <c r="I89" s="7">
        <v>45560</v>
      </c>
      <c r="J89" s="1" t="s">
        <v>7449</v>
      </c>
      <c r="K89" s="7">
        <v>45560</v>
      </c>
      <c r="L89" s="1" t="s">
        <v>7449</v>
      </c>
    </row>
    <row r="90" spans="1:12" x14ac:dyDescent="0.25">
      <c r="A90" s="1">
        <v>89</v>
      </c>
      <c r="B90" s="2" t="str">
        <f>_xlfn.CONCAT(C90,"-",VLOOKUP(C90,t_objeto!B:D,3,FALSE),"-",A90)</f>
        <v>RRPP-PERCCO-89</v>
      </c>
      <c r="C90" s="1" t="s">
        <v>7461</v>
      </c>
      <c r="D90" s="1" t="str">
        <f>VLOOKUP(C90,t_objeto!B:C,2,FALSE)</f>
        <v>RESOURCES_POOL</v>
      </c>
      <c r="E90" s="2" t="s">
        <v>7787</v>
      </c>
      <c r="F90" s="2" t="s">
        <v>8441</v>
      </c>
      <c r="G90" s="1">
        <v>8</v>
      </c>
      <c r="H90" s="1" t="str">
        <f>VLOOKUP(G90,t_entry_status!A:C,2,FALSE)</f>
        <v>PENDING</v>
      </c>
      <c r="I90" s="7">
        <v>45560</v>
      </c>
      <c r="J90" s="1" t="s">
        <v>7449</v>
      </c>
      <c r="K90" s="7">
        <v>45560</v>
      </c>
      <c r="L90" s="1" t="s">
        <v>7449</v>
      </c>
    </row>
    <row r="91" spans="1:12" x14ac:dyDescent="0.25">
      <c r="A91" s="1">
        <v>90</v>
      </c>
      <c r="B91" s="2" t="str">
        <f>_xlfn.CONCAT(C91,"-",VLOOKUP(C91,t_objeto!B:D,3,FALSE),"-",A91)</f>
        <v>RRPP-PERCCO-90</v>
      </c>
      <c r="C91" s="1" t="s">
        <v>7461</v>
      </c>
      <c r="D91" s="1" t="str">
        <f>VLOOKUP(C91,t_objeto!B:C,2,FALSE)</f>
        <v>RESOURCES_POOL</v>
      </c>
      <c r="E91" s="2" t="s">
        <v>7788</v>
      </c>
      <c r="F91" s="2" t="s">
        <v>8442</v>
      </c>
      <c r="G91" s="1">
        <v>8</v>
      </c>
      <c r="H91" s="1" t="str">
        <f>VLOOKUP(G91,t_entry_status!A:C,2,FALSE)</f>
        <v>PENDING</v>
      </c>
      <c r="I91" s="7">
        <v>45560</v>
      </c>
      <c r="J91" s="1" t="s">
        <v>7449</v>
      </c>
      <c r="K91" s="7">
        <v>45560</v>
      </c>
      <c r="L91" s="1" t="s">
        <v>7449</v>
      </c>
    </row>
    <row r="92" spans="1:12" x14ac:dyDescent="0.25">
      <c r="A92" s="1">
        <v>91</v>
      </c>
      <c r="B92" s="2" t="str">
        <f>_xlfn.CONCAT(C92,"-",VLOOKUP(C92,t_objeto!B:D,3,FALSE),"-",A92)</f>
        <v>RRPP-PERCCO-91</v>
      </c>
      <c r="C92" s="1" t="s">
        <v>7461</v>
      </c>
      <c r="D92" s="1" t="str">
        <f>VLOOKUP(C92,t_objeto!B:C,2,FALSE)</f>
        <v>RESOURCES_POOL</v>
      </c>
      <c r="E92" s="2" t="s">
        <v>7789</v>
      </c>
      <c r="F92" s="2" t="s">
        <v>8443</v>
      </c>
      <c r="G92" s="1">
        <v>8</v>
      </c>
      <c r="H92" s="1" t="str">
        <f>VLOOKUP(G92,t_entry_status!A:C,2,FALSE)</f>
        <v>PENDING</v>
      </c>
      <c r="I92" s="7">
        <v>45560</v>
      </c>
      <c r="J92" s="1" t="s">
        <v>7449</v>
      </c>
      <c r="K92" s="7">
        <v>45560</v>
      </c>
      <c r="L92" s="1" t="s">
        <v>7449</v>
      </c>
    </row>
    <row r="93" spans="1:12" x14ac:dyDescent="0.25">
      <c r="A93" s="1">
        <v>92</v>
      </c>
      <c r="B93" s="2" t="str">
        <f>_xlfn.CONCAT(C93,"-",VLOOKUP(C93,t_objeto!B:D,3,FALSE),"-",A93)</f>
        <v>RRPP-PERCCO-92</v>
      </c>
      <c r="C93" s="1" t="s">
        <v>7461</v>
      </c>
      <c r="D93" s="1" t="str">
        <f>VLOOKUP(C93,t_objeto!B:C,2,FALSE)</f>
        <v>RESOURCES_POOL</v>
      </c>
      <c r="E93" s="2" t="s">
        <v>7790</v>
      </c>
      <c r="F93" s="2" t="s">
        <v>8444</v>
      </c>
      <c r="G93" s="1">
        <v>8</v>
      </c>
      <c r="H93" s="1" t="str">
        <f>VLOOKUP(G93,t_entry_status!A:C,2,FALSE)</f>
        <v>PENDING</v>
      </c>
      <c r="I93" s="7">
        <v>45560</v>
      </c>
      <c r="J93" s="1" t="s">
        <v>7449</v>
      </c>
      <c r="K93" s="7">
        <v>45560</v>
      </c>
      <c r="L93" s="1" t="s">
        <v>7449</v>
      </c>
    </row>
    <row r="94" spans="1:12" x14ac:dyDescent="0.25">
      <c r="A94" s="1">
        <v>93</v>
      </c>
      <c r="B94" s="2" t="str">
        <f>_xlfn.CONCAT(C94,"-",VLOOKUP(C94,t_objeto!B:D,3,FALSE),"-",A94)</f>
        <v>RRPP-PERCCO-93</v>
      </c>
      <c r="C94" s="1" t="s">
        <v>7461</v>
      </c>
      <c r="D94" s="1" t="str">
        <f>VLOOKUP(C94,t_objeto!B:C,2,FALSE)</f>
        <v>RESOURCES_POOL</v>
      </c>
      <c r="E94" s="2" t="s">
        <v>7791</v>
      </c>
      <c r="F94" s="2" t="s">
        <v>8445</v>
      </c>
      <c r="G94" s="1">
        <v>8</v>
      </c>
      <c r="H94" s="1" t="str">
        <f>VLOOKUP(G94,t_entry_status!A:C,2,FALSE)</f>
        <v>PENDING</v>
      </c>
      <c r="I94" s="7">
        <v>45560</v>
      </c>
      <c r="J94" s="1" t="s">
        <v>7449</v>
      </c>
      <c r="K94" s="7">
        <v>45560</v>
      </c>
      <c r="L94" s="1" t="s">
        <v>7449</v>
      </c>
    </row>
    <row r="95" spans="1:12" x14ac:dyDescent="0.25">
      <c r="A95" s="1">
        <v>94</v>
      </c>
      <c r="B95" s="2" t="str">
        <f>_xlfn.CONCAT(C95,"-",VLOOKUP(C95,t_objeto!B:D,3,FALSE),"-",A95)</f>
        <v>RRPP-PERCCO-94</v>
      </c>
      <c r="C95" s="1" t="s">
        <v>7461</v>
      </c>
      <c r="D95" s="1" t="str">
        <f>VLOOKUP(C95,t_objeto!B:C,2,FALSE)</f>
        <v>RESOURCES_POOL</v>
      </c>
      <c r="E95" s="2" t="s">
        <v>7792</v>
      </c>
      <c r="F95" s="2" t="s">
        <v>8446</v>
      </c>
      <c r="G95" s="1">
        <v>8</v>
      </c>
      <c r="H95" s="1" t="str">
        <f>VLOOKUP(G95,t_entry_status!A:C,2,FALSE)</f>
        <v>PENDING</v>
      </c>
      <c r="I95" s="7">
        <v>45560</v>
      </c>
      <c r="J95" s="1" t="s">
        <v>7449</v>
      </c>
      <c r="K95" s="7">
        <v>45560</v>
      </c>
      <c r="L95" s="1" t="s">
        <v>7449</v>
      </c>
    </row>
    <row r="96" spans="1:12" x14ac:dyDescent="0.25">
      <c r="A96" s="1">
        <v>95</v>
      </c>
      <c r="B96" s="2" t="str">
        <f>_xlfn.CONCAT(C96,"-",VLOOKUP(C96,t_objeto!B:D,3,FALSE),"-",A96)</f>
        <v>RRPP-PERCCO-95</v>
      </c>
      <c r="C96" s="1" t="s">
        <v>7461</v>
      </c>
      <c r="D96" s="1" t="str">
        <f>VLOOKUP(C96,t_objeto!B:C,2,FALSE)</f>
        <v>RESOURCES_POOL</v>
      </c>
      <c r="E96" s="2" t="s">
        <v>7793</v>
      </c>
      <c r="F96" s="2" t="s">
        <v>8447</v>
      </c>
      <c r="G96" s="1">
        <v>8</v>
      </c>
      <c r="H96" s="1" t="str">
        <f>VLOOKUP(G96,t_entry_status!A:C,2,FALSE)</f>
        <v>PENDING</v>
      </c>
      <c r="I96" s="7">
        <v>45560</v>
      </c>
      <c r="J96" s="1" t="s">
        <v>7449</v>
      </c>
      <c r="K96" s="7">
        <v>45560</v>
      </c>
      <c r="L96" s="1" t="s">
        <v>7449</v>
      </c>
    </row>
    <row r="97" spans="1:12" x14ac:dyDescent="0.25">
      <c r="A97" s="1">
        <v>96</v>
      </c>
      <c r="B97" s="2" t="str">
        <f>_xlfn.CONCAT(C97,"-",VLOOKUP(C97,t_objeto!B:D,3,FALSE),"-",A97)</f>
        <v>RRPP-PERCCO-96</v>
      </c>
      <c r="C97" s="1" t="s">
        <v>7461</v>
      </c>
      <c r="D97" s="1" t="str">
        <f>VLOOKUP(C97,t_objeto!B:C,2,FALSE)</f>
        <v>RESOURCES_POOL</v>
      </c>
      <c r="E97" s="2" t="s">
        <v>7794</v>
      </c>
      <c r="F97" s="2" t="s">
        <v>8448</v>
      </c>
      <c r="G97" s="1">
        <v>8</v>
      </c>
      <c r="H97" s="1" t="str">
        <f>VLOOKUP(G97,t_entry_status!A:C,2,FALSE)</f>
        <v>PENDING</v>
      </c>
      <c r="I97" s="7">
        <v>45560</v>
      </c>
      <c r="J97" s="1" t="s">
        <v>7449</v>
      </c>
      <c r="K97" s="7">
        <v>45560</v>
      </c>
      <c r="L97" s="1" t="s">
        <v>7449</v>
      </c>
    </row>
    <row r="98" spans="1:12" x14ac:dyDescent="0.25">
      <c r="A98" s="1">
        <v>97</v>
      </c>
      <c r="B98" s="2" t="str">
        <f>_xlfn.CONCAT(C98,"-",VLOOKUP(C98,t_objeto!B:D,3,FALSE),"-",A98)</f>
        <v>RRPP-PERCCO-97</v>
      </c>
      <c r="C98" s="1" t="s">
        <v>7461</v>
      </c>
      <c r="D98" s="1" t="str">
        <f>VLOOKUP(C98,t_objeto!B:C,2,FALSE)</f>
        <v>RESOURCES_POOL</v>
      </c>
      <c r="E98" s="2" t="s">
        <v>7795</v>
      </c>
      <c r="F98" s="2" t="s">
        <v>8449</v>
      </c>
      <c r="G98" s="1">
        <v>8</v>
      </c>
      <c r="H98" s="1" t="str">
        <f>VLOOKUP(G98,t_entry_status!A:C,2,FALSE)</f>
        <v>PENDING</v>
      </c>
      <c r="I98" s="7">
        <v>45560</v>
      </c>
      <c r="J98" s="1" t="s">
        <v>7449</v>
      </c>
      <c r="K98" s="7">
        <v>45560</v>
      </c>
      <c r="L98" s="1" t="s">
        <v>7449</v>
      </c>
    </row>
    <row r="99" spans="1:12" x14ac:dyDescent="0.25">
      <c r="A99" s="1">
        <v>98</v>
      </c>
      <c r="B99" s="2" t="str">
        <f>_xlfn.CONCAT(C99,"-",VLOOKUP(C99,t_objeto!B:D,3,FALSE),"-",A99)</f>
        <v>RRPP-PERCCO-98</v>
      </c>
      <c r="C99" s="1" t="s">
        <v>7461</v>
      </c>
      <c r="D99" s="1" t="str">
        <f>VLOOKUP(C99,t_objeto!B:C,2,FALSE)</f>
        <v>RESOURCES_POOL</v>
      </c>
      <c r="E99" s="2" t="s">
        <v>7796</v>
      </c>
      <c r="F99" s="2" t="s">
        <v>8450</v>
      </c>
      <c r="G99" s="1">
        <v>8</v>
      </c>
      <c r="H99" s="1" t="str">
        <f>VLOOKUP(G99,t_entry_status!A:C,2,FALSE)</f>
        <v>PENDING</v>
      </c>
      <c r="I99" s="7">
        <v>45560</v>
      </c>
      <c r="J99" s="1" t="s">
        <v>7449</v>
      </c>
      <c r="K99" s="7">
        <v>45560</v>
      </c>
      <c r="L99" s="1" t="s">
        <v>7449</v>
      </c>
    </row>
    <row r="100" spans="1:12" x14ac:dyDescent="0.25">
      <c r="A100" s="1">
        <v>99</v>
      </c>
      <c r="B100" s="2" t="str">
        <f>_xlfn.CONCAT(C100,"-",VLOOKUP(C100,t_objeto!B:D,3,FALSE),"-",A100)</f>
        <v>RRPP-PERCCO-99</v>
      </c>
      <c r="C100" s="1" t="s">
        <v>7461</v>
      </c>
      <c r="D100" s="1" t="str">
        <f>VLOOKUP(C100,t_objeto!B:C,2,FALSE)</f>
        <v>RESOURCES_POOL</v>
      </c>
      <c r="E100" s="2" t="s">
        <v>7797</v>
      </c>
      <c r="F100" s="2" t="s">
        <v>8451</v>
      </c>
      <c r="G100" s="1">
        <v>8</v>
      </c>
      <c r="H100" s="1" t="str">
        <f>VLOOKUP(G100,t_entry_status!A:C,2,FALSE)</f>
        <v>PENDING</v>
      </c>
      <c r="I100" s="7">
        <v>45560</v>
      </c>
      <c r="J100" s="1" t="s">
        <v>7449</v>
      </c>
      <c r="K100" s="7">
        <v>45560</v>
      </c>
      <c r="L100" s="1" t="s">
        <v>7449</v>
      </c>
    </row>
    <row r="101" spans="1:12" x14ac:dyDescent="0.25">
      <c r="A101" s="1">
        <v>100</v>
      </c>
      <c r="B101" s="2" t="str">
        <f>_xlfn.CONCAT(C101,"-",VLOOKUP(C101,t_objeto!B:D,3,FALSE),"-",A101)</f>
        <v>RRPP-PERCCO-100</v>
      </c>
      <c r="C101" s="1" t="s">
        <v>7461</v>
      </c>
      <c r="D101" s="1" t="str">
        <f>VLOOKUP(C101,t_objeto!B:C,2,FALSE)</f>
        <v>RESOURCES_POOL</v>
      </c>
      <c r="E101" s="2" t="s">
        <v>7798</v>
      </c>
      <c r="F101" s="2" t="s">
        <v>8452</v>
      </c>
      <c r="G101" s="1">
        <v>8</v>
      </c>
      <c r="H101" s="1" t="str">
        <f>VLOOKUP(G101,t_entry_status!A:C,2,FALSE)</f>
        <v>PENDING</v>
      </c>
      <c r="I101" s="7">
        <v>45560</v>
      </c>
      <c r="J101" s="1" t="s">
        <v>7449</v>
      </c>
      <c r="K101" s="7">
        <v>45560</v>
      </c>
      <c r="L101" s="1" t="s">
        <v>7449</v>
      </c>
    </row>
    <row r="102" spans="1:12" x14ac:dyDescent="0.25">
      <c r="A102" s="1">
        <v>101</v>
      </c>
      <c r="B102" s="2" t="str">
        <f>_xlfn.CONCAT(C102,"-",VLOOKUP(C102,t_objeto!B:D,3,FALSE),"-",A102)</f>
        <v>RRPP-PERCCO-101</v>
      </c>
      <c r="C102" s="1" t="s">
        <v>7461</v>
      </c>
      <c r="D102" s="1" t="str">
        <f>VLOOKUP(C102,t_objeto!B:C,2,FALSE)</f>
        <v>RESOURCES_POOL</v>
      </c>
      <c r="E102" s="2" t="s">
        <v>7799</v>
      </c>
      <c r="F102" s="2" t="s">
        <v>8453</v>
      </c>
      <c r="G102" s="1">
        <v>8</v>
      </c>
      <c r="H102" s="1" t="str">
        <f>VLOOKUP(G102,t_entry_status!A:C,2,FALSE)</f>
        <v>PENDING</v>
      </c>
      <c r="I102" s="7">
        <v>45560</v>
      </c>
      <c r="J102" s="1" t="s">
        <v>7449</v>
      </c>
      <c r="K102" s="7">
        <v>45560</v>
      </c>
      <c r="L102" s="1" t="s">
        <v>7449</v>
      </c>
    </row>
    <row r="103" spans="1:12" x14ac:dyDescent="0.25">
      <c r="A103" s="1">
        <v>102</v>
      </c>
      <c r="B103" s="2" t="str">
        <f>_xlfn.CONCAT(C103,"-",VLOOKUP(C103,t_objeto!B:D,3,FALSE),"-",A103)</f>
        <v>RRPP-PERCCO-102</v>
      </c>
      <c r="C103" s="1" t="s">
        <v>7461</v>
      </c>
      <c r="D103" s="1" t="str">
        <f>VLOOKUP(C103,t_objeto!B:C,2,FALSE)</f>
        <v>RESOURCES_POOL</v>
      </c>
      <c r="E103" s="2" t="s">
        <v>7820</v>
      </c>
      <c r="F103" s="2" t="s">
        <v>8454</v>
      </c>
      <c r="G103" s="1">
        <v>8</v>
      </c>
      <c r="H103" s="1" t="str">
        <f>VLOOKUP(G103,t_entry_status!A:C,2,FALSE)</f>
        <v>PENDING</v>
      </c>
      <c r="I103" s="7">
        <v>45560</v>
      </c>
      <c r="J103" s="1" t="s">
        <v>7449</v>
      </c>
      <c r="K103" s="7">
        <v>45560</v>
      </c>
      <c r="L103" s="1" t="s">
        <v>7449</v>
      </c>
    </row>
    <row r="104" spans="1:12" x14ac:dyDescent="0.25">
      <c r="A104" s="1">
        <v>103</v>
      </c>
      <c r="B104" s="2" t="str">
        <f>_xlfn.CONCAT(C104,"-",VLOOKUP(C104,t_objeto!B:D,3,FALSE),"-",A104)</f>
        <v>RRPP-PERCCO-103</v>
      </c>
      <c r="C104" s="1" t="s">
        <v>7461</v>
      </c>
      <c r="D104" s="1" t="str">
        <f>VLOOKUP(C104,t_objeto!B:C,2,FALSE)</f>
        <v>RESOURCES_POOL</v>
      </c>
      <c r="E104" s="2" t="s">
        <v>7821</v>
      </c>
      <c r="F104" s="2" t="s">
        <v>8455</v>
      </c>
      <c r="G104" s="1">
        <v>8</v>
      </c>
      <c r="H104" s="1" t="str">
        <f>VLOOKUP(G104,t_entry_status!A:C,2,FALSE)</f>
        <v>PENDING</v>
      </c>
      <c r="I104" s="7">
        <v>45560</v>
      </c>
      <c r="J104" s="1" t="s">
        <v>7449</v>
      </c>
      <c r="K104" s="7">
        <v>45560</v>
      </c>
      <c r="L104" s="1" t="s">
        <v>7449</v>
      </c>
    </row>
    <row r="105" spans="1:12" x14ac:dyDescent="0.25">
      <c r="A105" s="1">
        <v>104</v>
      </c>
      <c r="B105" s="2" t="str">
        <f>_xlfn.CONCAT(C105,"-",VLOOKUP(C105,t_objeto!B:D,3,FALSE),"-",A105)</f>
        <v>RRPP-PERCCO-104</v>
      </c>
      <c r="C105" s="1" t="s">
        <v>7461</v>
      </c>
      <c r="D105" s="1" t="str">
        <f>VLOOKUP(C105,t_objeto!B:C,2,FALSE)</f>
        <v>RESOURCES_POOL</v>
      </c>
      <c r="E105" s="2" t="s">
        <v>7822</v>
      </c>
      <c r="F105" s="2" t="s">
        <v>8456</v>
      </c>
      <c r="G105" s="1">
        <v>8</v>
      </c>
      <c r="H105" s="1" t="str">
        <f>VLOOKUP(G105,t_entry_status!A:C,2,FALSE)</f>
        <v>PENDING</v>
      </c>
      <c r="I105" s="7">
        <v>45560</v>
      </c>
      <c r="J105" s="1" t="s">
        <v>7449</v>
      </c>
      <c r="K105" s="7">
        <v>45560</v>
      </c>
      <c r="L105" s="1" t="s">
        <v>7449</v>
      </c>
    </row>
    <row r="106" spans="1:12" x14ac:dyDescent="0.25">
      <c r="A106" s="1">
        <v>105</v>
      </c>
      <c r="B106" s="2" t="str">
        <f>_xlfn.CONCAT(C106,"-",VLOOKUP(C106,t_objeto!B:D,3,FALSE),"-",A106)</f>
        <v>RRPP-PERCCO-105</v>
      </c>
      <c r="C106" s="1" t="s">
        <v>7461</v>
      </c>
      <c r="D106" s="1" t="str">
        <f>VLOOKUP(C106,t_objeto!B:C,2,FALSE)</f>
        <v>RESOURCES_POOL</v>
      </c>
      <c r="E106" s="2" t="s">
        <v>7823</v>
      </c>
      <c r="F106" s="2" t="s">
        <v>8457</v>
      </c>
      <c r="G106" s="1">
        <v>8</v>
      </c>
      <c r="H106" s="1" t="str">
        <f>VLOOKUP(G106,t_entry_status!A:C,2,FALSE)</f>
        <v>PENDING</v>
      </c>
      <c r="I106" s="7">
        <v>45560</v>
      </c>
      <c r="J106" s="1" t="s">
        <v>7449</v>
      </c>
      <c r="K106" s="7">
        <v>45560</v>
      </c>
      <c r="L106" s="1" t="s">
        <v>7449</v>
      </c>
    </row>
    <row r="107" spans="1:12" x14ac:dyDescent="0.25">
      <c r="A107" s="1">
        <v>106</v>
      </c>
      <c r="B107" s="2" t="str">
        <f>_xlfn.CONCAT(C107,"-",VLOOKUP(C107,t_objeto!B:D,3,FALSE),"-",A107)</f>
        <v>RRPP-PERCCO-106</v>
      </c>
      <c r="C107" s="1" t="s">
        <v>7461</v>
      </c>
      <c r="D107" s="1" t="str">
        <f>VLOOKUP(C107,t_objeto!B:C,2,FALSE)</f>
        <v>RESOURCES_POOL</v>
      </c>
      <c r="E107" s="2" t="s">
        <v>7824</v>
      </c>
      <c r="F107" s="2" t="s">
        <v>8458</v>
      </c>
      <c r="G107" s="1">
        <v>8</v>
      </c>
      <c r="H107" s="1" t="str">
        <f>VLOOKUP(G107,t_entry_status!A:C,2,FALSE)</f>
        <v>PENDING</v>
      </c>
      <c r="I107" s="7">
        <v>45560</v>
      </c>
      <c r="J107" s="1" t="s">
        <v>7449</v>
      </c>
      <c r="K107" s="7">
        <v>45560</v>
      </c>
      <c r="L107" s="1" t="s">
        <v>7449</v>
      </c>
    </row>
    <row r="108" spans="1:12" x14ac:dyDescent="0.25">
      <c r="A108" s="1">
        <v>107</v>
      </c>
      <c r="B108" s="2" t="str">
        <f>_xlfn.CONCAT(C108,"-",VLOOKUP(C108,t_objeto!B:D,3,FALSE),"-",A108)</f>
        <v>RRPP-PERCCO-107</v>
      </c>
      <c r="C108" s="1" t="s">
        <v>7461</v>
      </c>
      <c r="D108" s="1" t="str">
        <f>VLOOKUP(C108,t_objeto!B:C,2,FALSE)</f>
        <v>RESOURCES_POOL</v>
      </c>
      <c r="E108" s="2" t="s">
        <v>7825</v>
      </c>
      <c r="F108" s="2" t="s">
        <v>8459</v>
      </c>
      <c r="G108" s="1">
        <v>8</v>
      </c>
      <c r="H108" s="1" t="str">
        <f>VLOOKUP(G108,t_entry_status!A:C,2,FALSE)</f>
        <v>PENDING</v>
      </c>
      <c r="I108" s="7">
        <v>45560</v>
      </c>
      <c r="J108" s="1" t="s">
        <v>7449</v>
      </c>
      <c r="K108" s="7">
        <v>45560</v>
      </c>
      <c r="L108" s="1" t="s">
        <v>7449</v>
      </c>
    </row>
    <row r="109" spans="1:12" x14ac:dyDescent="0.25">
      <c r="A109" s="1">
        <v>108</v>
      </c>
      <c r="B109" s="2" t="str">
        <f>_xlfn.CONCAT(C109,"-",VLOOKUP(C109,t_objeto!B:D,3,FALSE),"-",A109)</f>
        <v>RRPP-PERCCO-108</v>
      </c>
      <c r="C109" s="1" t="s">
        <v>7461</v>
      </c>
      <c r="D109" s="1" t="str">
        <f>VLOOKUP(C109,t_objeto!B:C,2,FALSE)</f>
        <v>RESOURCES_POOL</v>
      </c>
      <c r="E109" s="2" t="s">
        <v>7826</v>
      </c>
      <c r="F109" s="2" t="s">
        <v>8460</v>
      </c>
      <c r="G109" s="1">
        <v>8</v>
      </c>
      <c r="H109" s="1" t="str">
        <f>VLOOKUP(G109,t_entry_status!A:C,2,FALSE)</f>
        <v>PENDING</v>
      </c>
      <c r="I109" s="7">
        <v>45560</v>
      </c>
      <c r="J109" s="1" t="s">
        <v>7449</v>
      </c>
      <c r="K109" s="7">
        <v>45560</v>
      </c>
      <c r="L109" s="1" t="s">
        <v>7449</v>
      </c>
    </row>
    <row r="110" spans="1:12" x14ac:dyDescent="0.25">
      <c r="A110" s="1">
        <v>109</v>
      </c>
      <c r="B110" s="2" t="str">
        <f>_xlfn.CONCAT(C110,"-",VLOOKUP(C110,t_objeto!B:D,3,FALSE),"-",A110)</f>
        <v>RRPP-PERCCO-109</v>
      </c>
      <c r="C110" s="1" t="s">
        <v>7461</v>
      </c>
      <c r="D110" s="1" t="str">
        <f>VLOOKUP(C110,t_objeto!B:C,2,FALSE)</f>
        <v>RESOURCES_POOL</v>
      </c>
      <c r="E110" s="2" t="s">
        <v>7827</v>
      </c>
      <c r="F110" s="2" t="s">
        <v>8461</v>
      </c>
      <c r="G110" s="1">
        <v>8</v>
      </c>
      <c r="H110" s="1" t="str">
        <f>VLOOKUP(G110,t_entry_status!A:C,2,FALSE)</f>
        <v>PENDING</v>
      </c>
      <c r="I110" s="7">
        <v>45560</v>
      </c>
      <c r="J110" s="1" t="s">
        <v>7449</v>
      </c>
      <c r="K110" s="7">
        <v>45560</v>
      </c>
      <c r="L110" s="1" t="s">
        <v>7449</v>
      </c>
    </row>
    <row r="111" spans="1:12" x14ac:dyDescent="0.25">
      <c r="A111" s="1">
        <v>110</v>
      </c>
      <c r="B111" s="2" t="str">
        <f>_xlfn.CONCAT(C111,"-",VLOOKUP(C111,t_objeto!B:D,3,FALSE),"-",A111)</f>
        <v>RRPP-PERCCO-110</v>
      </c>
      <c r="C111" s="1" t="s">
        <v>7461</v>
      </c>
      <c r="D111" s="1" t="str">
        <f>VLOOKUP(C111,t_objeto!B:C,2,FALSE)</f>
        <v>RESOURCES_POOL</v>
      </c>
      <c r="E111" s="2" t="s">
        <v>7828</v>
      </c>
      <c r="F111" s="2" t="s">
        <v>8462</v>
      </c>
      <c r="G111" s="1">
        <v>8</v>
      </c>
      <c r="H111" s="1" t="str">
        <f>VLOOKUP(G111,t_entry_status!A:C,2,FALSE)</f>
        <v>PENDING</v>
      </c>
      <c r="I111" s="7">
        <v>45560</v>
      </c>
      <c r="J111" s="1" t="s">
        <v>7449</v>
      </c>
      <c r="K111" s="7">
        <v>45560</v>
      </c>
      <c r="L111" s="1" t="s">
        <v>7449</v>
      </c>
    </row>
    <row r="112" spans="1:12" x14ac:dyDescent="0.25">
      <c r="A112" s="1">
        <v>111</v>
      </c>
      <c r="B112" s="2" t="str">
        <f>_xlfn.CONCAT(C112,"-",VLOOKUP(C112,t_objeto!B:D,3,FALSE),"-",A112)</f>
        <v>RRPP-PERCCO-111</v>
      </c>
      <c r="C112" s="1" t="s">
        <v>7461</v>
      </c>
      <c r="D112" s="1" t="str">
        <f>VLOOKUP(C112,t_objeto!B:C,2,FALSE)</f>
        <v>RESOURCES_POOL</v>
      </c>
      <c r="E112" s="2" t="s">
        <v>7829</v>
      </c>
      <c r="F112" s="2" t="s">
        <v>8463</v>
      </c>
      <c r="G112" s="1">
        <v>8</v>
      </c>
      <c r="H112" s="1" t="str">
        <f>VLOOKUP(G112,t_entry_status!A:C,2,FALSE)</f>
        <v>PENDING</v>
      </c>
      <c r="I112" s="7">
        <v>45560</v>
      </c>
      <c r="J112" s="1" t="s">
        <v>7449</v>
      </c>
      <c r="K112" s="7">
        <v>45560</v>
      </c>
      <c r="L112" s="1" t="s">
        <v>7449</v>
      </c>
    </row>
    <row r="113" spans="1:12" x14ac:dyDescent="0.25">
      <c r="A113" s="1">
        <v>112</v>
      </c>
      <c r="B113" s="2" t="str">
        <f>_xlfn.CONCAT(C113,"-",VLOOKUP(C113,t_objeto!B:D,3,FALSE),"-",A113)</f>
        <v>RRPP-PERCCO-112</v>
      </c>
      <c r="C113" s="1" t="s">
        <v>7461</v>
      </c>
      <c r="D113" s="1" t="str">
        <f>VLOOKUP(C113,t_objeto!B:C,2,FALSE)</f>
        <v>RESOURCES_POOL</v>
      </c>
      <c r="E113" s="2" t="s">
        <v>7830</v>
      </c>
      <c r="F113" s="2" t="s">
        <v>8464</v>
      </c>
      <c r="G113" s="1">
        <v>8</v>
      </c>
      <c r="H113" s="1" t="str">
        <f>VLOOKUP(G113,t_entry_status!A:C,2,FALSE)</f>
        <v>PENDING</v>
      </c>
      <c r="I113" s="7">
        <v>45560</v>
      </c>
      <c r="J113" s="1" t="s">
        <v>7449</v>
      </c>
      <c r="K113" s="7">
        <v>45560</v>
      </c>
      <c r="L113" s="1" t="s">
        <v>7449</v>
      </c>
    </row>
    <row r="114" spans="1:12" x14ac:dyDescent="0.25">
      <c r="A114" s="1">
        <v>113</v>
      </c>
      <c r="B114" s="2" t="str">
        <f>_xlfn.CONCAT(C114,"-",VLOOKUP(C114,t_objeto!B:D,3,FALSE),"-",A114)</f>
        <v>RRPP-PERCCO-113</v>
      </c>
      <c r="C114" s="1" t="s">
        <v>7461</v>
      </c>
      <c r="D114" s="1" t="str">
        <f>VLOOKUP(C114,t_objeto!B:C,2,FALSE)</f>
        <v>RESOURCES_POOL</v>
      </c>
      <c r="E114" s="2" t="s">
        <v>7831</v>
      </c>
      <c r="F114" s="2" t="s">
        <v>8465</v>
      </c>
      <c r="G114" s="1">
        <v>8</v>
      </c>
      <c r="H114" s="1" t="str">
        <f>VLOOKUP(G114,t_entry_status!A:C,2,FALSE)</f>
        <v>PENDING</v>
      </c>
      <c r="I114" s="7">
        <v>45560</v>
      </c>
      <c r="J114" s="1" t="s">
        <v>7449</v>
      </c>
      <c r="K114" s="7">
        <v>45560</v>
      </c>
      <c r="L114" s="1" t="s">
        <v>7449</v>
      </c>
    </row>
    <row r="115" spans="1:12" x14ac:dyDescent="0.25">
      <c r="A115" s="1">
        <v>114</v>
      </c>
      <c r="B115" s="2" t="str">
        <f>_xlfn.CONCAT(C115,"-",VLOOKUP(C115,t_objeto!B:D,3,FALSE),"-",A115)</f>
        <v>RRPP-PERCCO-114</v>
      </c>
      <c r="C115" s="1" t="s">
        <v>7461</v>
      </c>
      <c r="D115" s="1" t="str">
        <f>VLOOKUP(C115,t_objeto!B:C,2,FALSE)</f>
        <v>RESOURCES_POOL</v>
      </c>
      <c r="E115" s="2" t="s">
        <v>7832</v>
      </c>
      <c r="F115" s="2" t="s">
        <v>8466</v>
      </c>
      <c r="G115" s="1">
        <v>8</v>
      </c>
      <c r="H115" s="1" t="str">
        <f>VLOOKUP(G115,t_entry_status!A:C,2,FALSE)</f>
        <v>PENDING</v>
      </c>
      <c r="I115" s="7">
        <v>45560</v>
      </c>
      <c r="J115" s="1" t="s">
        <v>7449</v>
      </c>
      <c r="K115" s="7">
        <v>45560</v>
      </c>
      <c r="L115" s="1" t="s">
        <v>7449</v>
      </c>
    </row>
    <row r="116" spans="1:12" x14ac:dyDescent="0.25">
      <c r="A116" s="1">
        <v>115</v>
      </c>
      <c r="B116" s="2" t="str">
        <f>_xlfn.CONCAT(C116,"-",VLOOKUP(C116,t_objeto!B:D,3,FALSE),"-",A116)</f>
        <v>RRPP-PERCCO-115</v>
      </c>
      <c r="C116" s="1" t="s">
        <v>7461</v>
      </c>
      <c r="D116" s="1" t="str">
        <f>VLOOKUP(C116,t_objeto!B:C,2,FALSE)</f>
        <v>RESOURCES_POOL</v>
      </c>
      <c r="E116" s="2" t="s">
        <v>7833</v>
      </c>
      <c r="F116" s="2" t="s">
        <v>8467</v>
      </c>
      <c r="G116" s="1">
        <v>8</v>
      </c>
      <c r="H116" s="1" t="str">
        <f>VLOOKUP(G116,t_entry_status!A:C,2,FALSE)</f>
        <v>PENDING</v>
      </c>
      <c r="I116" s="7">
        <v>45560</v>
      </c>
      <c r="J116" s="1" t="s">
        <v>7449</v>
      </c>
      <c r="K116" s="7">
        <v>45560</v>
      </c>
      <c r="L116" s="1" t="s">
        <v>7449</v>
      </c>
    </row>
    <row r="117" spans="1:12" x14ac:dyDescent="0.25">
      <c r="A117" s="1">
        <v>116</v>
      </c>
      <c r="B117" s="2" t="str">
        <f>_xlfn.CONCAT(C117,"-",VLOOKUP(C117,t_objeto!B:D,3,FALSE),"-",A117)</f>
        <v>RRPP-PERCCO-116</v>
      </c>
      <c r="C117" s="1" t="s">
        <v>7461</v>
      </c>
      <c r="D117" s="1" t="str">
        <f>VLOOKUP(C117,t_objeto!B:C,2,FALSE)</f>
        <v>RESOURCES_POOL</v>
      </c>
      <c r="E117" s="2" t="s">
        <v>7834</v>
      </c>
      <c r="F117" s="2" t="s">
        <v>8468</v>
      </c>
      <c r="G117" s="1">
        <v>8</v>
      </c>
      <c r="H117" s="1" t="str">
        <f>VLOOKUP(G117,t_entry_status!A:C,2,FALSE)</f>
        <v>PENDING</v>
      </c>
      <c r="I117" s="7">
        <v>45560</v>
      </c>
      <c r="J117" s="1" t="s">
        <v>7449</v>
      </c>
      <c r="K117" s="7">
        <v>45560</v>
      </c>
      <c r="L117" s="1" t="s">
        <v>7449</v>
      </c>
    </row>
    <row r="118" spans="1:12" x14ac:dyDescent="0.25">
      <c r="A118" s="1">
        <v>117</v>
      </c>
      <c r="B118" s="2" t="str">
        <f>_xlfn.CONCAT(C118,"-",VLOOKUP(C118,t_objeto!B:D,3,FALSE),"-",A118)</f>
        <v>RRPP-PERCCO-117</v>
      </c>
      <c r="C118" s="1" t="s">
        <v>7461</v>
      </c>
      <c r="D118" s="1" t="str">
        <f>VLOOKUP(C118,t_objeto!B:C,2,FALSE)</f>
        <v>RESOURCES_POOL</v>
      </c>
      <c r="E118" s="2" t="s">
        <v>7835</v>
      </c>
      <c r="F118" s="2" t="s">
        <v>8469</v>
      </c>
      <c r="G118" s="1">
        <v>8</v>
      </c>
      <c r="H118" s="1" t="str">
        <f>VLOOKUP(G118,t_entry_status!A:C,2,FALSE)</f>
        <v>PENDING</v>
      </c>
      <c r="I118" s="7">
        <v>45560</v>
      </c>
      <c r="J118" s="1" t="s">
        <v>7449</v>
      </c>
      <c r="K118" s="7">
        <v>45560</v>
      </c>
      <c r="L118" s="1" t="s">
        <v>7449</v>
      </c>
    </row>
    <row r="119" spans="1:12" x14ac:dyDescent="0.25">
      <c r="A119" s="1">
        <v>118</v>
      </c>
      <c r="B119" s="2" t="str">
        <f>_xlfn.CONCAT(C119,"-",VLOOKUP(C119,t_objeto!B:D,3,FALSE),"-",A119)</f>
        <v>RRPP-PERCCO-118</v>
      </c>
      <c r="C119" s="1" t="s">
        <v>7461</v>
      </c>
      <c r="D119" s="1" t="str">
        <f>VLOOKUP(C119,t_objeto!B:C,2,FALSE)</f>
        <v>RESOURCES_POOL</v>
      </c>
      <c r="E119" s="2" t="s">
        <v>7836</v>
      </c>
      <c r="F119" s="2" t="s">
        <v>8470</v>
      </c>
      <c r="G119" s="1">
        <v>8</v>
      </c>
      <c r="H119" s="1" t="str">
        <f>VLOOKUP(G119,t_entry_status!A:C,2,FALSE)</f>
        <v>PENDING</v>
      </c>
      <c r="I119" s="7">
        <v>45560</v>
      </c>
      <c r="J119" s="1" t="s">
        <v>7449</v>
      </c>
      <c r="K119" s="7">
        <v>45560</v>
      </c>
      <c r="L119" s="1" t="s">
        <v>7449</v>
      </c>
    </row>
    <row r="120" spans="1:12" x14ac:dyDescent="0.25">
      <c r="A120" s="1">
        <v>119</v>
      </c>
      <c r="B120" s="2" t="str">
        <f>_xlfn.CONCAT(C120,"-",VLOOKUP(C120,t_objeto!B:D,3,FALSE),"-",A120)</f>
        <v>RRPP-PERCCO-119</v>
      </c>
      <c r="C120" s="1" t="s">
        <v>7461</v>
      </c>
      <c r="D120" s="1" t="str">
        <f>VLOOKUP(C120,t_objeto!B:C,2,FALSE)</f>
        <v>RESOURCES_POOL</v>
      </c>
      <c r="E120" s="2" t="s">
        <v>7837</v>
      </c>
      <c r="F120" s="2" t="s">
        <v>8471</v>
      </c>
      <c r="G120" s="1">
        <v>8</v>
      </c>
      <c r="H120" s="1" t="str">
        <f>VLOOKUP(G120,t_entry_status!A:C,2,FALSE)</f>
        <v>PENDING</v>
      </c>
      <c r="I120" s="7">
        <v>45560</v>
      </c>
      <c r="J120" s="1" t="s">
        <v>7449</v>
      </c>
      <c r="K120" s="7">
        <v>45560</v>
      </c>
      <c r="L120" s="1" t="s">
        <v>7449</v>
      </c>
    </row>
    <row r="121" spans="1:12" x14ac:dyDescent="0.25">
      <c r="A121" s="1">
        <v>120</v>
      </c>
      <c r="B121" s="2" t="str">
        <f>_xlfn.CONCAT(C121,"-",VLOOKUP(C121,t_objeto!B:D,3,FALSE),"-",A121)</f>
        <v>RRPP-PERCCO-120</v>
      </c>
      <c r="C121" s="1" t="s">
        <v>7461</v>
      </c>
      <c r="D121" s="1" t="str">
        <f>VLOOKUP(C121,t_objeto!B:C,2,FALSE)</f>
        <v>RESOURCES_POOL</v>
      </c>
      <c r="E121" s="2" t="s">
        <v>7838</v>
      </c>
      <c r="F121" s="2" t="s">
        <v>8472</v>
      </c>
      <c r="G121" s="1">
        <v>8</v>
      </c>
      <c r="H121" s="1" t="str">
        <f>VLOOKUP(G121,t_entry_status!A:C,2,FALSE)</f>
        <v>PENDING</v>
      </c>
      <c r="I121" s="7">
        <v>45560</v>
      </c>
      <c r="J121" s="1" t="s">
        <v>7449</v>
      </c>
      <c r="K121" s="7">
        <v>45560</v>
      </c>
      <c r="L121" s="1" t="s">
        <v>7449</v>
      </c>
    </row>
    <row r="122" spans="1:12" x14ac:dyDescent="0.25">
      <c r="A122" s="1">
        <v>121</v>
      </c>
      <c r="B122" s="2" t="str">
        <f>_xlfn.CONCAT(C122,"-",VLOOKUP(C122,t_objeto!B:D,3,FALSE),"-",A122)</f>
        <v>RRPP-PERCCO-121</v>
      </c>
      <c r="C122" s="1" t="s">
        <v>7461</v>
      </c>
      <c r="D122" s="1" t="str">
        <f>VLOOKUP(C122,t_objeto!B:C,2,FALSE)</f>
        <v>RESOURCES_POOL</v>
      </c>
      <c r="E122" s="2" t="s">
        <v>7839</v>
      </c>
      <c r="F122" s="2" t="s">
        <v>8473</v>
      </c>
      <c r="G122" s="1">
        <v>8</v>
      </c>
      <c r="H122" s="1" t="str">
        <f>VLOOKUP(G122,t_entry_status!A:C,2,FALSE)</f>
        <v>PENDING</v>
      </c>
      <c r="I122" s="7">
        <v>45560</v>
      </c>
      <c r="J122" s="1" t="s">
        <v>7449</v>
      </c>
      <c r="K122" s="7">
        <v>45560</v>
      </c>
      <c r="L122" s="1" t="s">
        <v>7449</v>
      </c>
    </row>
    <row r="123" spans="1:12" x14ac:dyDescent="0.25">
      <c r="A123" s="1">
        <v>122</v>
      </c>
      <c r="B123" s="2" t="str">
        <f>_xlfn.CONCAT(C123,"-",VLOOKUP(C123,t_objeto!B:D,3,FALSE),"-",A123)</f>
        <v>RRPP-PERCCO-122</v>
      </c>
      <c r="C123" s="1" t="s">
        <v>7461</v>
      </c>
      <c r="D123" s="1" t="str">
        <f>VLOOKUP(C123,t_objeto!B:C,2,FALSE)</f>
        <v>RESOURCES_POOL</v>
      </c>
      <c r="E123" s="2" t="s">
        <v>7840</v>
      </c>
      <c r="F123" s="2" t="s">
        <v>8474</v>
      </c>
      <c r="G123" s="1">
        <v>8</v>
      </c>
      <c r="H123" s="1" t="str">
        <f>VLOOKUP(G123,t_entry_status!A:C,2,FALSE)</f>
        <v>PENDING</v>
      </c>
      <c r="I123" s="7">
        <v>45560</v>
      </c>
      <c r="J123" s="1" t="s">
        <v>7449</v>
      </c>
      <c r="K123" s="7">
        <v>45560</v>
      </c>
      <c r="L123" s="1" t="s">
        <v>7449</v>
      </c>
    </row>
    <row r="124" spans="1:12" x14ac:dyDescent="0.25">
      <c r="A124" s="1">
        <v>123</v>
      </c>
      <c r="B124" s="2" t="str">
        <f>_xlfn.CONCAT(C124,"-",VLOOKUP(C124,t_objeto!B:D,3,FALSE),"-",A124)</f>
        <v>RRPP-PERCCO-123</v>
      </c>
      <c r="C124" s="1" t="s">
        <v>7461</v>
      </c>
      <c r="D124" s="1" t="str">
        <f>VLOOKUP(C124,t_objeto!B:C,2,FALSE)</f>
        <v>RESOURCES_POOL</v>
      </c>
      <c r="E124" s="2" t="s">
        <v>7841</v>
      </c>
      <c r="F124" s="2" t="s">
        <v>8475</v>
      </c>
      <c r="G124" s="1">
        <v>8</v>
      </c>
      <c r="H124" s="1" t="str">
        <f>VLOOKUP(G124,t_entry_status!A:C,2,FALSE)</f>
        <v>PENDING</v>
      </c>
      <c r="I124" s="7">
        <v>45560</v>
      </c>
      <c r="J124" s="1" t="s">
        <v>7449</v>
      </c>
      <c r="K124" s="7">
        <v>45560</v>
      </c>
      <c r="L124" s="1" t="s">
        <v>7449</v>
      </c>
    </row>
    <row r="125" spans="1:12" x14ac:dyDescent="0.25">
      <c r="A125" s="1">
        <v>124</v>
      </c>
      <c r="B125" s="2" t="str">
        <f>_xlfn.CONCAT(C125,"-",VLOOKUP(C125,t_objeto!B:D,3,FALSE),"-",A125)</f>
        <v>RRPP-PERCCO-124</v>
      </c>
      <c r="C125" s="1" t="s">
        <v>7461</v>
      </c>
      <c r="D125" s="1" t="str">
        <f>VLOOKUP(C125,t_objeto!B:C,2,FALSE)</f>
        <v>RESOURCES_POOL</v>
      </c>
      <c r="E125" s="2" t="s">
        <v>7842</v>
      </c>
      <c r="F125" s="2" t="s">
        <v>8476</v>
      </c>
      <c r="G125" s="1">
        <v>8</v>
      </c>
      <c r="H125" s="1" t="str">
        <f>VLOOKUP(G125,t_entry_status!A:C,2,FALSE)</f>
        <v>PENDING</v>
      </c>
      <c r="I125" s="7">
        <v>45560</v>
      </c>
      <c r="J125" s="1" t="s">
        <v>7449</v>
      </c>
      <c r="K125" s="7">
        <v>45560</v>
      </c>
      <c r="L125" s="1" t="s">
        <v>7449</v>
      </c>
    </row>
    <row r="126" spans="1:12" x14ac:dyDescent="0.25">
      <c r="A126" s="1">
        <v>125</v>
      </c>
      <c r="B126" s="2" t="str">
        <f>_xlfn.CONCAT(C126,"-",VLOOKUP(C126,t_objeto!B:D,3,FALSE),"-",A126)</f>
        <v>RRPP-PERCCO-125</v>
      </c>
      <c r="C126" s="1" t="s">
        <v>7461</v>
      </c>
      <c r="D126" s="1" t="str">
        <f>VLOOKUP(C126,t_objeto!B:C,2,FALSE)</f>
        <v>RESOURCES_POOL</v>
      </c>
      <c r="E126" s="2" t="s">
        <v>7843</v>
      </c>
      <c r="F126" s="2" t="s">
        <v>8477</v>
      </c>
      <c r="G126" s="1">
        <v>8</v>
      </c>
      <c r="H126" s="1" t="str">
        <f>VLOOKUP(G126,t_entry_status!A:C,2,FALSE)</f>
        <v>PENDING</v>
      </c>
      <c r="I126" s="7">
        <v>45560</v>
      </c>
      <c r="J126" s="1" t="s">
        <v>7449</v>
      </c>
      <c r="K126" s="7">
        <v>45560</v>
      </c>
      <c r="L126" s="1" t="s">
        <v>7449</v>
      </c>
    </row>
    <row r="127" spans="1:12" x14ac:dyDescent="0.25">
      <c r="A127" s="1">
        <v>126</v>
      </c>
      <c r="B127" s="2" t="str">
        <f>_xlfn.CONCAT(C127,"-",VLOOKUP(C127,t_objeto!B:D,3,FALSE),"-",A127)</f>
        <v>RRPP-PERCCO-126</v>
      </c>
      <c r="C127" s="1" t="s">
        <v>7461</v>
      </c>
      <c r="D127" s="1" t="str">
        <f>VLOOKUP(C127,t_objeto!B:C,2,FALSE)</f>
        <v>RESOURCES_POOL</v>
      </c>
      <c r="E127" s="2" t="s">
        <v>7844</v>
      </c>
      <c r="F127" s="2" t="s">
        <v>8478</v>
      </c>
      <c r="G127" s="1">
        <v>8</v>
      </c>
      <c r="H127" s="1" t="str">
        <f>VLOOKUP(G127,t_entry_status!A:C,2,FALSE)</f>
        <v>PENDING</v>
      </c>
      <c r="I127" s="7">
        <v>45560</v>
      </c>
      <c r="J127" s="1" t="s">
        <v>7449</v>
      </c>
      <c r="K127" s="7">
        <v>45560</v>
      </c>
      <c r="L127" s="1" t="s">
        <v>7449</v>
      </c>
    </row>
    <row r="128" spans="1:12" x14ac:dyDescent="0.25">
      <c r="A128" s="1">
        <v>127</v>
      </c>
      <c r="B128" s="2" t="str">
        <f>_xlfn.CONCAT(C128,"-",VLOOKUP(C128,t_objeto!B:D,3,FALSE),"-",A128)</f>
        <v>RRPP-PERCCO-127</v>
      </c>
      <c r="C128" s="1" t="s">
        <v>7461</v>
      </c>
      <c r="D128" s="1" t="str">
        <f>VLOOKUP(C128,t_objeto!B:C,2,FALSE)</f>
        <v>RESOURCES_POOL</v>
      </c>
      <c r="E128" s="2" t="s">
        <v>7845</v>
      </c>
      <c r="F128" s="2" t="s">
        <v>8479</v>
      </c>
      <c r="G128" s="1">
        <v>8</v>
      </c>
      <c r="H128" s="1" t="str">
        <f>VLOOKUP(G128,t_entry_status!A:C,2,FALSE)</f>
        <v>PENDING</v>
      </c>
      <c r="I128" s="7">
        <v>45560</v>
      </c>
      <c r="J128" s="1" t="s">
        <v>7449</v>
      </c>
      <c r="K128" s="7">
        <v>45560</v>
      </c>
      <c r="L128" s="1" t="s">
        <v>7449</v>
      </c>
    </row>
    <row r="129" spans="1:12" x14ac:dyDescent="0.25">
      <c r="A129" s="1">
        <v>128</v>
      </c>
      <c r="B129" s="2" t="str">
        <f>_xlfn.CONCAT(C129,"-",VLOOKUP(C129,t_objeto!B:D,3,FALSE),"-",A129)</f>
        <v>RRPP-PERCCO-128</v>
      </c>
      <c r="C129" s="1" t="s">
        <v>7461</v>
      </c>
      <c r="D129" s="1" t="str">
        <f>VLOOKUP(C129,t_objeto!B:C,2,FALSE)</f>
        <v>RESOURCES_POOL</v>
      </c>
      <c r="E129" s="2" t="s">
        <v>7846</v>
      </c>
      <c r="F129" s="2" t="s">
        <v>8480</v>
      </c>
      <c r="G129" s="1">
        <v>8</v>
      </c>
      <c r="H129" s="1" t="str">
        <f>VLOOKUP(G129,t_entry_status!A:C,2,FALSE)</f>
        <v>PENDING</v>
      </c>
      <c r="I129" s="7">
        <v>45560</v>
      </c>
      <c r="J129" s="1" t="s">
        <v>7449</v>
      </c>
      <c r="K129" s="7">
        <v>45560</v>
      </c>
      <c r="L129" s="1" t="s">
        <v>7449</v>
      </c>
    </row>
    <row r="130" spans="1:12" x14ac:dyDescent="0.25">
      <c r="A130" s="1">
        <v>129</v>
      </c>
      <c r="B130" s="2" t="str">
        <f>_xlfn.CONCAT(C130,"-",VLOOKUP(C130,t_objeto!B:D,3,FALSE),"-",A130)</f>
        <v>RRPP-PERCCO-129</v>
      </c>
      <c r="C130" s="1" t="s">
        <v>7461</v>
      </c>
      <c r="D130" s="1" t="str">
        <f>VLOOKUP(C130,t_objeto!B:C,2,FALSE)</f>
        <v>RESOURCES_POOL</v>
      </c>
      <c r="E130" s="2" t="s">
        <v>7847</v>
      </c>
      <c r="F130" s="2" t="s">
        <v>8481</v>
      </c>
      <c r="G130" s="1">
        <v>8</v>
      </c>
      <c r="H130" s="1" t="str">
        <f>VLOOKUP(G130,t_entry_status!A:C,2,FALSE)</f>
        <v>PENDING</v>
      </c>
      <c r="I130" s="7">
        <v>45560</v>
      </c>
      <c r="J130" s="1" t="s">
        <v>7449</v>
      </c>
      <c r="K130" s="7">
        <v>45560</v>
      </c>
      <c r="L130" s="1" t="s">
        <v>7449</v>
      </c>
    </row>
    <row r="131" spans="1:12" x14ac:dyDescent="0.25">
      <c r="A131" s="1">
        <v>130</v>
      </c>
      <c r="B131" s="2" t="str">
        <f>_xlfn.CONCAT(C131,"-",VLOOKUP(C131,t_objeto!B:D,3,FALSE),"-",A131)</f>
        <v>RRPP-PERCCO-130</v>
      </c>
      <c r="C131" s="1" t="s">
        <v>7461</v>
      </c>
      <c r="D131" s="1" t="str">
        <f>VLOOKUP(C131,t_objeto!B:C,2,FALSE)</f>
        <v>RESOURCES_POOL</v>
      </c>
      <c r="E131" s="2" t="s">
        <v>7848</v>
      </c>
      <c r="F131" s="2" t="s">
        <v>8482</v>
      </c>
      <c r="G131" s="1">
        <v>8</v>
      </c>
      <c r="H131" s="1" t="str">
        <f>VLOOKUP(G131,t_entry_status!A:C,2,FALSE)</f>
        <v>PENDING</v>
      </c>
      <c r="I131" s="7">
        <v>45560</v>
      </c>
      <c r="J131" s="1" t="s">
        <v>7449</v>
      </c>
      <c r="K131" s="7">
        <v>45560</v>
      </c>
      <c r="L131" s="1" t="s">
        <v>7449</v>
      </c>
    </row>
    <row r="132" spans="1:12" x14ac:dyDescent="0.25">
      <c r="A132" s="1">
        <v>131</v>
      </c>
      <c r="B132" s="2" t="str">
        <f>_xlfn.CONCAT(C132,"-",VLOOKUP(C132,t_objeto!B:D,3,FALSE),"-",A132)</f>
        <v>RRPP-PERCCO-131</v>
      </c>
      <c r="C132" s="1" t="s">
        <v>7461</v>
      </c>
      <c r="D132" s="1" t="str">
        <f>VLOOKUP(C132,t_objeto!B:C,2,FALSE)</f>
        <v>RESOURCES_POOL</v>
      </c>
      <c r="E132" s="2" t="s">
        <v>7849</v>
      </c>
      <c r="F132" s="2" t="s">
        <v>8483</v>
      </c>
      <c r="G132" s="1">
        <v>8</v>
      </c>
      <c r="H132" s="1" t="str">
        <f>VLOOKUP(G132,t_entry_status!A:C,2,FALSE)</f>
        <v>PENDING</v>
      </c>
      <c r="I132" s="7">
        <v>45560</v>
      </c>
      <c r="J132" s="1" t="s">
        <v>7449</v>
      </c>
      <c r="K132" s="7">
        <v>45560</v>
      </c>
      <c r="L132" s="1" t="s">
        <v>7449</v>
      </c>
    </row>
    <row r="133" spans="1:12" x14ac:dyDescent="0.25">
      <c r="A133" s="1">
        <v>132</v>
      </c>
      <c r="B133" s="2" t="str">
        <f>_xlfn.CONCAT(C133,"-",VLOOKUP(C133,t_objeto!B:D,3,FALSE),"-",A133)</f>
        <v>RRPP-PERCCO-132</v>
      </c>
      <c r="C133" s="1" t="s">
        <v>7461</v>
      </c>
      <c r="D133" s="1" t="str">
        <f>VLOOKUP(C133,t_objeto!B:C,2,FALSE)</f>
        <v>RESOURCES_POOL</v>
      </c>
      <c r="E133" s="2" t="s">
        <v>7850</v>
      </c>
      <c r="F133" s="2" t="s">
        <v>8484</v>
      </c>
      <c r="G133" s="1">
        <v>8</v>
      </c>
      <c r="H133" s="1" t="str">
        <f>VLOOKUP(G133,t_entry_status!A:C,2,FALSE)</f>
        <v>PENDING</v>
      </c>
      <c r="I133" s="7">
        <v>45560</v>
      </c>
      <c r="J133" s="1" t="s">
        <v>7449</v>
      </c>
      <c r="K133" s="7">
        <v>45560</v>
      </c>
      <c r="L133" s="1" t="s">
        <v>7449</v>
      </c>
    </row>
    <row r="134" spans="1:12" x14ac:dyDescent="0.25">
      <c r="A134" s="1">
        <v>133</v>
      </c>
      <c r="B134" s="2" t="str">
        <f>_xlfn.CONCAT(C134,"-",VLOOKUP(C134,t_objeto!B:D,3,FALSE),"-",A134)</f>
        <v>RRPP-PERCCO-133</v>
      </c>
      <c r="C134" s="1" t="s">
        <v>7461</v>
      </c>
      <c r="D134" s="1" t="str">
        <f>VLOOKUP(C134,t_objeto!B:C,2,FALSE)</f>
        <v>RESOURCES_POOL</v>
      </c>
      <c r="E134" s="2" t="s">
        <v>7851</v>
      </c>
      <c r="F134" s="2" t="s">
        <v>8485</v>
      </c>
      <c r="G134" s="1">
        <v>8</v>
      </c>
      <c r="H134" s="1" t="str">
        <f>VLOOKUP(G134,t_entry_status!A:C,2,FALSE)</f>
        <v>PENDING</v>
      </c>
      <c r="I134" s="7">
        <v>45560</v>
      </c>
      <c r="J134" s="1" t="s">
        <v>7449</v>
      </c>
      <c r="K134" s="7">
        <v>45560</v>
      </c>
      <c r="L134" s="1" t="s">
        <v>7449</v>
      </c>
    </row>
    <row r="135" spans="1:12" x14ac:dyDescent="0.25">
      <c r="A135" s="1">
        <v>134</v>
      </c>
      <c r="B135" s="2" t="str">
        <f>_xlfn.CONCAT(C135,"-",VLOOKUP(C135,t_objeto!B:D,3,FALSE),"-",A135)</f>
        <v>RRPP-PERCCO-134</v>
      </c>
      <c r="C135" s="1" t="s">
        <v>7461</v>
      </c>
      <c r="D135" s="1" t="str">
        <f>VLOOKUP(C135,t_objeto!B:C,2,FALSE)</f>
        <v>RESOURCES_POOL</v>
      </c>
      <c r="E135" s="2" t="s">
        <v>7852</v>
      </c>
      <c r="F135" s="2" t="s">
        <v>8486</v>
      </c>
      <c r="G135" s="1">
        <v>8</v>
      </c>
      <c r="H135" s="1" t="str">
        <f>VLOOKUP(G135,t_entry_status!A:C,2,FALSE)</f>
        <v>PENDING</v>
      </c>
      <c r="I135" s="7">
        <v>45560</v>
      </c>
      <c r="J135" s="1" t="s">
        <v>7449</v>
      </c>
      <c r="K135" s="7">
        <v>45560</v>
      </c>
      <c r="L135" s="1" t="s">
        <v>7449</v>
      </c>
    </row>
    <row r="136" spans="1:12" x14ac:dyDescent="0.25">
      <c r="A136" s="1">
        <v>135</v>
      </c>
      <c r="B136" s="2" t="str">
        <f>_xlfn.CONCAT(C136,"-",VLOOKUP(C136,t_objeto!B:D,3,FALSE),"-",A136)</f>
        <v>RRPP-PERCCO-135</v>
      </c>
      <c r="C136" s="1" t="s">
        <v>7461</v>
      </c>
      <c r="D136" s="1" t="str">
        <f>VLOOKUP(C136,t_objeto!B:C,2,FALSE)</f>
        <v>RESOURCES_POOL</v>
      </c>
      <c r="E136" s="2" t="s">
        <v>7853</v>
      </c>
      <c r="F136" s="2" t="s">
        <v>8487</v>
      </c>
      <c r="G136" s="1">
        <v>8</v>
      </c>
      <c r="H136" s="1" t="str">
        <f>VLOOKUP(G136,t_entry_status!A:C,2,FALSE)</f>
        <v>PENDING</v>
      </c>
      <c r="I136" s="7">
        <v>45560</v>
      </c>
      <c r="J136" s="1" t="s">
        <v>7449</v>
      </c>
      <c r="K136" s="7">
        <v>45560</v>
      </c>
      <c r="L136" s="1" t="s">
        <v>7449</v>
      </c>
    </row>
    <row r="137" spans="1:12" x14ac:dyDescent="0.25">
      <c r="A137" s="1">
        <v>136</v>
      </c>
      <c r="B137" s="2" t="str">
        <f>_xlfn.CONCAT(C137,"-",VLOOKUP(C137,t_objeto!B:D,3,FALSE),"-",A137)</f>
        <v>RRPP-PERCCO-136</v>
      </c>
      <c r="C137" s="1" t="s">
        <v>7461</v>
      </c>
      <c r="D137" s="1" t="str">
        <f>VLOOKUP(C137,t_objeto!B:C,2,FALSE)</f>
        <v>RESOURCES_POOL</v>
      </c>
      <c r="E137" s="2" t="s">
        <v>7854</v>
      </c>
      <c r="F137" s="2" t="s">
        <v>8488</v>
      </c>
      <c r="G137" s="1">
        <v>8</v>
      </c>
      <c r="H137" s="1" t="str">
        <f>VLOOKUP(G137,t_entry_status!A:C,2,FALSE)</f>
        <v>PENDING</v>
      </c>
      <c r="I137" s="7">
        <v>45560</v>
      </c>
      <c r="J137" s="1" t="s">
        <v>7449</v>
      </c>
      <c r="K137" s="7">
        <v>45560</v>
      </c>
      <c r="L137" s="1" t="s">
        <v>7449</v>
      </c>
    </row>
    <row r="138" spans="1:12" x14ac:dyDescent="0.25">
      <c r="A138" s="1">
        <v>137</v>
      </c>
      <c r="B138" s="2" t="str">
        <f>_xlfn.CONCAT(C138,"-",VLOOKUP(C138,t_objeto!B:D,3,FALSE),"-",A138)</f>
        <v>RRPP-PERCCO-137</v>
      </c>
      <c r="C138" s="1" t="s">
        <v>7461</v>
      </c>
      <c r="D138" s="1" t="str">
        <f>VLOOKUP(C138,t_objeto!B:C,2,FALSE)</f>
        <v>RESOURCES_POOL</v>
      </c>
      <c r="E138" s="2" t="s">
        <v>7855</v>
      </c>
      <c r="F138" s="2" t="s">
        <v>8489</v>
      </c>
      <c r="G138" s="1">
        <v>8</v>
      </c>
      <c r="H138" s="1" t="str">
        <f>VLOOKUP(G138,t_entry_status!A:C,2,FALSE)</f>
        <v>PENDING</v>
      </c>
      <c r="I138" s="7">
        <v>45560</v>
      </c>
      <c r="J138" s="1" t="s">
        <v>7449</v>
      </c>
      <c r="K138" s="7">
        <v>45560</v>
      </c>
      <c r="L138" s="1" t="s">
        <v>7449</v>
      </c>
    </row>
    <row r="139" spans="1:12" x14ac:dyDescent="0.25">
      <c r="A139" s="1">
        <v>138</v>
      </c>
      <c r="B139" s="2" t="str">
        <f>_xlfn.CONCAT(C139,"-",VLOOKUP(C139,t_objeto!B:D,3,FALSE),"-",A139)</f>
        <v>RRPP-PERCCO-138</v>
      </c>
      <c r="C139" s="1" t="s">
        <v>7461</v>
      </c>
      <c r="D139" s="1" t="str">
        <f>VLOOKUP(C139,t_objeto!B:C,2,FALSE)</f>
        <v>RESOURCES_POOL</v>
      </c>
      <c r="E139" s="2" t="s">
        <v>7856</v>
      </c>
      <c r="F139" s="2" t="s">
        <v>8490</v>
      </c>
      <c r="G139" s="1">
        <v>8</v>
      </c>
      <c r="H139" s="1" t="str">
        <f>VLOOKUP(G139,t_entry_status!A:C,2,FALSE)</f>
        <v>PENDING</v>
      </c>
      <c r="I139" s="7">
        <v>45560</v>
      </c>
      <c r="J139" s="1" t="s">
        <v>7449</v>
      </c>
      <c r="K139" s="7">
        <v>45560</v>
      </c>
      <c r="L139" s="1" t="s">
        <v>7449</v>
      </c>
    </row>
    <row r="140" spans="1:12" x14ac:dyDescent="0.25">
      <c r="A140" s="1">
        <v>139</v>
      </c>
      <c r="B140" s="2" t="str">
        <f>_xlfn.CONCAT(C140,"-",VLOOKUP(C140,t_objeto!B:D,3,FALSE),"-",A140)</f>
        <v>RRPP-PERCCO-139</v>
      </c>
      <c r="C140" s="1" t="s">
        <v>7461</v>
      </c>
      <c r="D140" s="1" t="str">
        <f>VLOOKUP(C140,t_objeto!B:C,2,FALSE)</f>
        <v>RESOURCES_POOL</v>
      </c>
      <c r="E140" s="2" t="s">
        <v>7857</v>
      </c>
      <c r="F140" s="2" t="s">
        <v>8491</v>
      </c>
      <c r="G140" s="1">
        <v>8</v>
      </c>
      <c r="H140" s="1" t="str">
        <f>VLOOKUP(G140,t_entry_status!A:C,2,FALSE)</f>
        <v>PENDING</v>
      </c>
      <c r="I140" s="7">
        <v>45560</v>
      </c>
      <c r="J140" s="1" t="s">
        <v>7449</v>
      </c>
      <c r="K140" s="7">
        <v>45560</v>
      </c>
      <c r="L140" s="1" t="s">
        <v>7449</v>
      </c>
    </row>
    <row r="141" spans="1:12" x14ac:dyDescent="0.25">
      <c r="A141" s="1">
        <v>140</v>
      </c>
      <c r="B141" s="2" t="str">
        <f>_xlfn.CONCAT(C141,"-",VLOOKUP(C141,t_objeto!B:D,3,FALSE),"-",A141)</f>
        <v>RRPP-PERCCO-140</v>
      </c>
      <c r="C141" s="1" t="s">
        <v>7461</v>
      </c>
      <c r="D141" s="1" t="str">
        <f>VLOOKUP(C141,t_objeto!B:C,2,FALSE)</f>
        <v>RESOURCES_POOL</v>
      </c>
      <c r="E141" s="2" t="s">
        <v>7858</v>
      </c>
      <c r="F141" s="2" t="s">
        <v>8492</v>
      </c>
      <c r="G141" s="1">
        <v>8</v>
      </c>
      <c r="H141" s="1" t="str">
        <f>VLOOKUP(G141,t_entry_status!A:C,2,FALSE)</f>
        <v>PENDING</v>
      </c>
      <c r="I141" s="7">
        <v>45560</v>
      </c>
      <c r="J141" s="1" t="s">
        <v>7449</v>
      </c>
      <c r="K141" s="7">
        <v>45560</v>
      </c>
      <c r="L141" s="1" t="s">
        <v>7449</v>
      </c>
    </row>
    <row r="142" spans="1:12" x14ac:dyDescent="0.25">
      <c r="A142" s="1">
        <v>141</v>
      </c>
      <c r="B142" s="2" t="str">
        <f>_xlfn.CONCAT(C142,"-",VLOOKUP(C142,t_objeto!B:D,3,FALSE),"-",A142)</f>
        <v>RRPP-PERCCO-141</v>
      </c>
      <c r="C142" s="1" t="s">
        <v>7461</v>
      </c>
      <c r="D142" s="1" t="str">
        <f>VLOOKUP(C142,t_objeto!B:C,2,FALSE)</f>
        <v>RESOURCES_POOL</v>
      </c>
      <c r="E142" s="2" t="s">
        <v>7859</v>
      </c>
      <c r="F142" s="2" t="s">
        <v>8493</v>
      </c>
      <c r="G142" s="1">
        <v>8</v>
      </c>
      <c r="H142" s="1" t="str">
        <f>VLOOKUP(G142,t_entry_status!A:C,2,FALSE)</f>
        <v>PENDING</v>
      </c>
      <c r="I142" s="7">
        <v>45560</v>
      </c>
      <c r="J142" s="1" t="s">
        <v>7449</v>
      </c>
      <c r="K142" s="7">
        <v>45560</v>
      </c>
      <c r="L142" s="1" t="s">
        <v>7449</v>
      </c>
    </row>
    <row r="143" spans="1:12" x14ac:dyDescent="0.25">
      <c r="A143" s="1">
        <v>142</v>
      </c>
      <c r="B143" s="2" t="str">
        <f>_xlfn.CONCAT(C143,"-",VLOOKUP(C143,t_objeto!B:D,3,FALSE),"-",A143)</f>
        <v>RRPP-PERCCO-142</v>
      </c>
      <c r="C143" s="1" t="s">
        <v>7461</v>
      </c>
      <c r="D143" s="1" t="str">
        <f>VLOOKUP(C143,t_objeto!B:C,2,FALSE)</f>
        <v>RESOURCES_POOL</v>
      </c>
      <c r="E143" s="2" t="s">
        <v>7860</v>
      </c>
      <c r="F143" s="2" t="s">
        <v>8494</v>
      </c>
      <c r="G143" s="1">
        <v>8</v>
      </c>
      <c r="H143" s="1" t="str">
        <f>VLOOKUP(G143,t_entry_status!A:C,2,FALSE)</f>
        <v>PENDING</v>
      </c>
      <c r="I143" s="7">
        <v>45560</v>
      </c>
      <c r="J143" s="1" t="s">
        <v>7449</v>
      </c>
      <c r="K143" s="7">
        <v>45560</v>
      </c>
      <c r="L143" s="1" t="s">
        <v>7449</v>
      </c>
    </row>
    <row r="144" spans="1:12" x14ac:dyDescent="0.25">
      <c r="A144" s="1">
        <v>143</v>
      </c>
      <c r="B144" s="2" t="str">
        <f>_xlfn.CONCAT(C144,"-",VLOOKUP(C144,t_objeto!B:D,3,FALSE),"-",A144)</f>
        <v>RRPP-PERCCO-143</v>
      </c>
      <c r="C144" s="1" t="s">
        <v>7461</v>
      </c>
      <c r="D144" s="1" t="str">
        <f>VLOOKUP(C144,t_objeto!B:C,2,FALSE)</f>
        <v>RESOURCES_POOL</v>
      </c>
      <c r="E144" s="2" t="s">
        <v>7861</v>
      </c>
      <c r="F144" s="2" t="s">
        <v>8495</v>
      </c>
      <c r="G144" s="1">
        <v>8</v>
      </c>
      <c r="H144" s="1" t="str">
        <f>VLOOKUP(G144,t_entry_status!A:C,2,FALSE)</f>
        <v>PENDING</v>
      </c>
      <c r="I144" s="7">
        <v>45560</v>
      </c>
      <c r="J144" s="1" t="s">
        <v>7449</v>
      </c>
      <c r="K144" s="7">
        <v>45560</v>
      </c>
      <c r="L144" s="1" t="s">
        <v>7449</v>
      </c>
    </row>
    <row r="145" spans="1:12" x14ac:dyDescent="0.25">
      <c r="A145" s="1">
        <v>144</v>
      </c>
      <c r="B145" s="2" t="str">
        <f>_xlfn.CONCAT(C145,"-",VLOOKUP(C145,t_objeto!B:D,3,FALSE),"-",A145)</f>
        <v>RRPP-PERCCO-144</v>
      </c>
      <c r="C145" s="1" t="s">
        <v>7461</v>
      </c>
      <c r="D145" s="1" t="str">
        <f>VLOOKUP(C145,t_objeto!B:C,2,FALSE)</f>
        <v>RESOURCES_POOL</v>
      </c>
      <c r="E145" s="2" t="s">
        <v>7862</v>
      </c>
      <c r="F145" s="2" t="s">
        <v>8496</v>
      </c>
      <c r="G145" s="1">
        <v>8</v>
      </c>
      <c r="H145" s="1" t="str">
        <f>VLOOKUP(G145,t_entry_status!A:C,2,FALSE)</f>
        <v>PENDING</v>
      </c>
      <c r="I145" s="7">
        <v>45560</v>
      </c>
      <c r="J145" s="1" t="s">
        <v>7449</v>
      </c>
      <c r="K145" s="7">
        <v>45560</v>
      </c>
      <c r="L145" s="1" t="s">
        <v>7449</v>
      </c>
    </row>
    <row r="146" spans="1:12" x14ac:dyDescent="0.25">
      <c r="A146" s="1">
        <v>145</v>
      </c>
      <c r="B146" s="2" t="str">
        <f>_xlfn.CONCAT(C146,"-",VLOOKUP(C146,t_objeto!B:D,3,FALSE),"-",A146)</f>
        <v>RRPP-PERCCO-145</v>
      </c>
      <c r="C146" s="1" t="s">
        <v>7461</v>
      </c>
      <c r="D146" s="1" t="str">
        <f>VLOOKUP(C146,t_objeto!B:C,2,FALSE)</f>
        <v>RESOURCES_POOL</v>
      </c>
      <c r="E146" s="2" t="s">
        <v>7863</v>
      </c>
      <c r="F146" s="2" t="s">
        <v>8497</v>
      </c>
      <c r="G146" s="1">
        <v>8</v>
      </c>
      <c r="H146" s="1" t="str">
        <f>VLOOKUP(G146,t_entry_status!A:C,2,FALSE)</f>
        <v>PENDING</v>
      </c>
      <c r="I146" s="7">
        <v>45560</v>
      </c>
      <c r="J146" s="1" t="s">
        <v>7449</v>
      </c>
      <c r="K146" s="7">
        <v>45560</v>
      </c>
      <c r="L146" s="1" t="s">
        <v>7449</v>
      </c>
    </row>
    <row r="147" spans="1:12" x14ac:dyDescent="0.25">
      <c r="A147" s="1">
        <v>146</v>
      </c>
      <c r="B147" s="2" t="str">
        <f>_xlfn.CONCAT(C147,"-",VLOOKUP(C147,t_objeto!B:D,3,FALSE),"-",A147)</f>
        <v>RRPP-PERCCO-146</v>
      </c>
      <c r="C147" s="1" t="s">
        <v>7461</v>
      </c>
      <c r="D147" s="1" t="str">
        <f>VLOOKUP(C147,t_objeto!B:C,2,FALSE)</f>
        <v>RESOURCES_POOL</v>
      </c>
      <c r="E147" s="2" t="s">
        <v>7864</v>
      </c>
      <c r="F147" s="2" t="s">
        <v>8498</v>
      </c>
      <c r="G147" s="1">
        <v>8</v>
      </c>
      <c r="H147" s="1" t="str">
        <f>VLOOKUP(G147,t_entry_status!A:C,2,FALSE)</f>
        <v>PENDING</v>
      </c>
      <c r="I147" s="7">
        <v>45560</v>
      </c>
      <c r="J147" s="1" t="s">
        <v>7449</v>
      </c>
      <c r="K147" s="7">
        <v>45560</v>
      </c>
      <c r="L147" s="1" t="s">
        <v>7449</v>
      </c>
    </row>
    <row r="148" spans="1:12" x14ac:dyDescent="0.25">
      <c r="A148" s="1">
        <v>147</v>
      </c>
      <c r="B148" s="2" t="str">
        <f>_xlfn.CONCAT(C148,"-",VLOOKUP(C148,t_objeto!B:D,3,FALSE),"-",A148)</f>
        <v>RRPP-PERCCO-147</v>
      </c>
      <c r="C148" s="1" t="s">
        <v>7461</v>
      </c>
      <c r="D148" s="1" t="str">
        <f>VLOOKUP(C148,t_objeto!B:C,2,FALSE)</f>
        <v>RESOURCES_POOL</v>
      </c>
      <c r="E148" s="2" t="s">
        <v>7865</v>
      </c>
      <c r="F148" s="2" t="s">
        <v>8499</v>
      </c>
      <c r="G148" s="1">
        <v>8</v>
      </c>
      <c r="H148" s="1" t="str">
        <f>VLOOKUP(G148,t_entry_status!A:C,2,FALSE)</f>
        <v>PENDING</v>
      </c>
      <c r="I148" s="7">
        <v>45560</v>
      </c>
      <c r="J148" s="1" t="s">
        <v>7449</v>
      </c>
      <c r="K148" s="7">
        <v>45560</v>
      </c>
      <c r="L148" s="1" t="s">
        <v>7449</v>
      </c>
    </row>
    <row r="149" spans="1:12" x14ac:dyDescent="0.25">
      <c r="A149" s="1">
        <v>148</v>
      </c>
      <c r="B149" s="2" t="str">
        <f>_xlfn.CONCAT(C149,"-",VLOOKUP(C149,t_objeto!B:D,3,FALSE),"-",A149)</f>
        <v>RRPP-PERCCO-148</v>
      </c>
      <c r="C149" s="1" t="s">
        <v>7461</v>
      </c>
      <c r="D149" s="1" t="str">
        <f>VLOOKUP(C149,t_objeto!B:C,2,FALSE)</f>
        <v>RESOURCES_POOL</v>
      </c>
      <c r="E149" s="2" t="s">
        <v>7866</v>
      </c>
      <c r="F149" s="2" t="s">
        <v>8500</v>
      </c>
      <c r="G149" s="1">
        <v>8</v>
      </c>
      <c r="H149" s="1" t="str">
        <f>VLOOKUP(G149,t_entry_status!A:C,2,FALSE)</f>
        <v>PENDING</v>
      </c>
      <c r="I149" s="7">
        <v>45560</v>
      </c>
      <c r="J149" s="1" t="s">
        <v>7449</v>
      </c>
      <c r="K149" s="7">
        <v>45560</v>
      </c>
      <c r="L149" s="1" t="s">
        <v>7449</v>
      </c>
    </row>
    <row r="150" spans="1:12" x14ac:dyDescent="0.25">
      <c r="A150" s="1">
        <v>149</v>
      </c>
      <c r="B150" s="2" t="str">
        <f>_xlfn.CONCAT(C150,"-",VLOOKUP(C150,t_objeto!B:D,3,FALSE),"-",A150)</f>
        <v>RRPP-PERCCO-149</v>
      </c>
      <c r="C150" s="1" t="s">
        <v>7461</v>
      </c>
      <c r="D150" s="1" t="str">
        <f>VLOOKUP(C150,t_objeto!B:C,2,FALSE)</f>
        <v>RESOURCES_POOL</v>
      </c>
      <c r="E150" s="2" t="s">
        <v>7867</v>
      </c>
      <c r="F150" s="2" t="s">
        <v>8501</v>
      </c>
      <c r="G150" s="1">
        <v>8</v>
      </c>
      <c r="H150" s="1" t="str">
        <f>VLOOKUP(G150,t_entry_status!A:C,2,FALSE)</f>
        <v>PENDING</v>
      </c>
      <c r="I150" s="7">
        <v>45560</v>
      </c>
      <c r="J150" s="1" t="s">
        <v>7449</v>
      </c>
      <c r="K150" s="7">
        <v>45560</v>
      </c>
      <c r="L150" s="1" t="s">
        <v>7449</v>
      </c>
    </row>
    <row r="151" spans="1:12" x14ac:dyDescent="0.25">
      <c r="A151" s="1">
        <v>150</v>
      </c>
      <c r="B151" s="2" t="str">
        <f>_xlfn.CONCAT(C151,"-",VLOOKUP(C151,t_objeto!B:D,3,FALSE),"-",A151)</f>
        <v>RRPP-PERCCO-150</v>
      </c>
      <c r="C151" s="1" t="s">
        <v>7461</v>
      </c>
      <c r="D151" s="1" t="str">
        <f>VLOOKUP(C151,t_objeto!B:C,2,FALSE)</f>
        <v>RESOURCES_POOL</v>
      </c>
      <c r="E151" s="2" t="s">
        <v>7868</v>
      </c>
      <c r="F151" s="2" t="s">
        <v>8502</v>
      </c>
      <c r="G151" s="1">
        <v>8</v>
      </c>
      <c r="H151" s="1" t="str">
        <f>VLOOKUP(G151,t_entry_status!A:C,2,FALSE)</f>
        <v>PENDING</v>
      </c>
      <c r="I151" s="7">
        <v>45560</v>
      </c>
      <c r="J151" s="1" t="s">
        <v>7449</v>
      </c>
      <c r="K151" s="7">
        <v>45560</v>
      </c>
      <c r="L151" s="1" t="s">
        <v>7449</v>
      </c>
    </row>
    <row r="152" spans="1:12" x14ac:dyDescent="0.25">
      <c r="A152" s="1">
        <v>151</v>
      </c>
      <c r="B152" s="2" t="str">
        <f>_xlfn.CONCAT(C152,"-",VLOOKUP(C152,t_objeto!B:D,3,FALSE),"-",A152)</f>
        <v>RRPP-PERCCO-151</v>
      </c>
      <c r="C152" s="1" t="s">
        <v>7461</v>
      </c>
      <c r="D152" s="1" t="str">
        <f>VLOOKUP(C152,t_objeto!B:C,2,FALSE)</f>
        <v>RESOURCES_POOL</v>
      </c>
      <c r="E152" s="2" t="s">
        <v>7869</v>
      </c>
      <c r="F152" s="2" t="s">
        <v>8503</v>
      </c>
      <c r="G152" s="1">
        <v>8</v>
      </c>
      <c r="H152" s="1" t="str">
        <f>VLOOKUP(G152,t_entry_status!A:C,2,FALSE)</f>
        <v>PENDING</v>
      </c>
      <c r="I152" s="7">
        <v>45560</v>
      </c>
      <c r="J152" s="1" t="s">
        <v>7449</v>
      </c>
      <c r="K152" s="7">
        <v>45560</v>
      </c>
      <c r="L152" s="1" t="s">
        <v>7449</v>
      </c>
    </row>
    <row r="153" spans="1:12" x14ac:dyDescent="0.25">
      <c r="A153" s="1">
        <v>152</v>
      </c>
      <c r="B153" s="2" t="str">
        <f>_xlfn.CONCAT(C153,"-",VLOOKUP(C153,t_objeto!B:D,3,FALSE),"-",A153)</f>
        <v>RRPP-PERCCO-152</v>
      </c>
      <c r="C153" s="1" t="s">
        <v>7461</v>
      </c>
      <c r="D153" s="1" t="str">
        <f>VLOOKUP(C153,t_objeto!B:C,2,FALSE)</f>
        <v>RESOURCES_POOL</v>
      </c>
      <c r="E153" s="2" t="s">
        <v>7870</v>
      </c>
      <c r="F153" s="2" t="s">
        <v>8504</v>
      </c>
      <c r="G153" s="1">
        <v>8</v>
      </c>
      <c r="H153" s="1" t="str">
        <f>VLOOKUP(G153,t_entry_status!A:C,2,FALSE)</f>
        <v>PENDING</v>
      </c>
      <c r="I153" s="7">
        <v>45560</v>
      </c>
      <c r="J153" s="1" t="s">
        <v>7449</v>
      </c>
      <c r="K153" s="7">
        <v>45560</v>
      </c>
      <c r="L153" s="1" t="s">
        <v>7449</v>
      </c>
    </row>
    <row r="154" spans="1:12" x14ac:dyDescent="0.25">
      <c r="A154" s="1">
        <v>153</v>
      </c>
      <c r="B154" s="2" t="str">
        <f>_xlfn.CONCAT(C154,"-",VLOOKUP(C154,t_objeto!B:D,3,FALSE),"-",A154)</f>
        <v>RRPP-PERCCO-153</v>
      </c>
      <c r="C154" s="1" t="s">
        <v>7461</v>
      </c>
      <c r="D154" s="1" t="str">
        <f>VLOOKUP(C154,t_objeto!B:C,2,FALSE)</f>
        <v>RESOURCES_POOL</v>
      </c>
      <c r="E154" s="2" t="s">
        <v>7871</v>
      </c>
      <c r="F154" s="2" t="s">
        <v>8505</v>
      </c>
      <c r="G154" s="1">
        <v>8</v>
      </c>
      <c r="H154" s="1" t="str">
        <f>VLOOKUP(G154,t_entry_status!A:C,2,FALSE)</f>
        <v>PENDING</v>
      </c>
      <c r="I154" s="7">
        <v>45560</v>
      </c>
      <c r="J154" s="1" t="s">
        <v>7449</v>
      </c>
      <c r="K154" s="7">
        <v>45560</v>
      </c>
      <c r="L154" s="1" t="s">
        <v>7449</v>
      </c>
    </row>
    <row r="155" spans="1:12" x14ac:dyDescent="0.25">
      <c r="A155" s="1">
        <v>154</v>
      </c>
      <c r="B155" s="2" t="str">
        <f>_xlfn.CONCAT(C155,"-",VLOOKUP(C155,t_objeto!B:D,3,FALSE),"-",A155)</f>
        <v>RRPP-PERCCO-154</v>
      </c>
      <c r="C155" s="1" t="s">
        <v>7461</v>
      </c>
      <c r="D155" s="1" t="str">
        <f>VLOOKUP(C155,t_objeto!B:C,2,FALSE)</f>
        <v>RESOURCES_POOL</v>
      </c>
      <c r="E155" s="2" t="s">
        <v>7872</v>
      </c>
      <c r="F155" s="2" t="s">
        <v>8506</v>
      </c>
      <c r="G155" s="1">
        <v>8</v>
      </c>
      <c r="H155" s="1" t="str">
        <f>VLOOKUP(G155,t_entry_status!A:C,2,FALSE)</f>
        <v>PENDING</v>
      </c>
      <c r="I155" s="7">
        <v>45560</v>
      </c>
      <c r="J155" s="1" t="s">
        <v>7449</v>
      </c>
      <c r="K155" s="7">
        <v>45560</v>
      </c>
      <c r="L155" s="1" t="s">
        <v>7449</v>
      </c>
    </row>
    <row r="156" spans="1:12" x14ac:dyDescent="0.25">
      <c r="A156" s="1">
        <v>155</v>
      </c>
      <c r="B156" s="2" t="str">
        <f>_xlfn.CONCAT(C156,"-",VLOOKUP(C156,t_objeto!B:D,3,FALSE),"-",A156)</f>
        <v>RRPP-PERCCO-155</v>
      </c>
      <c r="C156" s="1" t="s">
        <v>7461</v>
      </c>
      <c r="D156" s="1" t="str">
        <f>VLOOKUP(C156,t_objeto!B:C,2,FALSE)</f>
        <v>RESOURCES_POOL</v>
      </c>
      <c r="E156" s="2" t="s">
        <v>7873</v>
      </c>
      <c r="F156" s="2" t="s">
        <v>8507</v>
      </c>
      <c r="G156" s="1">
        <v>8</v>
      </c>
      <c r="H156" s="1" t="str">
        <f>VLOOKUP(G156,t_entry_status!A:C,2,FALSE)</f>
        <v>PENDING</v>
      </c>
      <c r="I156" s="7">
        <v>45560</v>
      </c>
      <c r="J156" s="1" t="s">
        <v>7449</v>
      </c>
      <c r="K156" s="7">
        <v>45560</v>
      </c>
      <c r="L156" s="1" t="s">
        <v>7449</v>
      </c>
    </row>
    <row r="157" spans="1:12" x14ac:dyDescent="0.25">
      <c r="A157" s="1">
        <v>156</v>
      </c>
      <c r="B157" s="2" t="str">
        <f>_xlfn.CONCAT(C157,"-",VLOOKUP(C157,t_objeto!B:D,3,FALSE),"-",A157)</f>
        <v>RRPP-PERCCO-156</v>
      </c>
      <c r="C157" s="1" t="s">
        <v>7461</v>
      </c>
      <c r="D157" s="1" t="str">
        <f>VLOOKUP(C157,t_objeto!B:C,2,FALSE)</f>
        <v>RESOURCES_POOL</v>
      </c>
      <c r="E157" s="2" t="s">
        <v>7874</v>
      </c>
      <c r="F157" s="2" t="s">
        <v>8508</v>
      </c>
      <c r="G157" s="1">
        <v>8</v>
      </c>
      <c r="H157" s="1" t="str">
        <f>VLOOKUP(G157,t_entry_status!A:C,2,FALSE)</f>
        <v>PENDING</v>
      </c>
      <c r="I157" s="7">
        <v>45560</v>
      </c>
      <c r="J157" s="1" t="s">
        <v>7449</v>
      </c>
      <c r="K157" s="7">
        <v>45560</v>
      </c>
      <c r="L157" s="1" t="s">
        <v>7449</v>
      </c>
    </row>
    <row r="158" spans="1:12" x14ac:dyDescent="0.25">
      <c r="A158" s="1">
        <v>157</v>
      </c>
      <c r="B158" s="2" t="str">
        <f>_xlfn.CONCAT(C158,"-",VLOOKUP(C158,t_objeto!B:D,3,FALSE),"-",A158)</f>
        <v>RRPP-PERCCO-157</v>
      </c>
      <c r="C158" s="1" t="s">
        <v>7461</v>
      </c>
      <c r="D158" s="1" t="str">
        <f>VLOOKUP(C158,t_objeto!B:C,2,FALSE)</f>
        <v>RESOURCES_POOL</v>
      </c>
      <c r="E158" s="2" t="s">
        <v>7875</v>
      </c>
      <c r="F158" s="2" t="s">
        <v>8509</v>
      </c>
      <c r="G158" s="1">
        <v>8</v>
      </c>
      <c r="H158" s="1" t="str">
        <f>VLOOKUP(G158,t_entry_status!A:C,2,FALSE)</f>
        <v>PENDING</v>
      </c>
      <c r="I158" s="7">
        <v>45560</v>
      </c>
      <c r="J158" s="1" t="s">
        <v>7449</v>
      </c>
      <c r="K158" s="7">
        <v>45560</v>
      </c>
      <c r="L158" s="1" t="s">
        <v>7449</v>
      </c>
    </row>
    <row r="159" spans="1:12" x14ac:dyDescent="0.25">
      <c r="A159" s="1">
        <v>158</v>
      </c>
      <c r="B159" s="2" t="str">
        <f>_xlfn.CONCAT(C159,"-",VLOOKUP(C159,t_objeto!B:D,3,FALSE),"-",A159)</f>
        <v>RRPP-PERCCO-158</v>
      </c>
      <c r="C159" s="1" t="s">
        <v>7461</v>
      </c>
      <c r="D159" s="1" t="str">
        <f>VLOOKUP(C159,t_objeto!B:C,2,FALSE)</f>
        <v>RESOURCES_POOL</v>
      </c>
      <c r="E159" s="2" t="s">
        <v>7876</v>
      </c>
      <c r="F159" s="2" t="s">
        <v>8510</v>
      </c>
      <c r="G159" s="1">
        <v>8</v>
      </c>
      <c r="H159" s="1" t="str">
        <f>VLOOKUP(G159,t_entry_status!A:C,2,FALSE)</f>
        <v>PENDING</v>
      </c>
      <c r="I159" s="7">
        <v>45560</v>
      </c>
      <c r="J159" s="1" t="s">
        <v>7449</v>
      </c>
      <c r="K159" s="7">
        <v>45560</v>
      </c>
      <c r="L159" s="1" t="s">
        <v>7449</v>
      </c>
    </row>
    <row r="160" spans="1:12" x14ac:dyDescent="0.25">
      <c r="A160" s="1">
        <v>159</v>
      </c>
      <c r="B160" s="2" t="str">
        <f>_xlfn.CONCAT(C160,"-",VLOOKUP(C160,t_objeto!B:D,3,FALSE),"-",A160)</f>
        <v>RRPP-PERCCO-159</v>
      </c>
      <c r="C160" s="1" t="s">
        <v>7461</v>
      </c>
      <c r="D160" s="1" t="str">
        <f>VLOOKUP(C160,t_objeto!B:C,2,FALSE)</f>
        <v>RESOURCES_POOL</v>
      </c>
      <c r="E160" s="2" t="s">
        <v>7877</v>
      </c>
      <c r="F160" s="2" t="s">
        <v>8511</v>
      </c>
      <c r="G160" s="1">
        <v>8</v>
      </c>
      <c r="H160" s="1" t="str">
        <f>VLOOKUP(G160,t_entry_status!A:C,2,FALSE)</f>
        <v>PENDING</v>
      </c>
      <c r="I160" s="7">
        <v>45560</v>
      </c>
      <c r="J160" s="1" t="s">
        <v>7449</v>
      </c>
      <c r="K160" s="7">
        <v>45560</v>
      </c>
      <c r="L160" s="1" t="s">
        <v>7449</v>
      </c>
    </row>
    <row r="161" spans="1:12" x14ac:dyDescent="0.25">
      <c r="A161" s="1">
        <v>160</v>
      </c>
      <c r="B161" s="2" t="str">
        <f>_xlfn.CONCAT(C161,"-",VLOOKUP(C161,t_objeto!B:D,3,FALSE),"-",A161)</f>
        <v>RRPP-PERCCO-160</v>
      </c>
      <c r="C161" s="1" t="s">
        <v>7461</v>
      </c>
      <c r="D161" s="1" t="str">
        <f>VLOOKUP(C161,t_objeto!B:C,2,FALSE)</f>
        <v>RESOURCES_POOL</v>
      </c>
      <c r="E161" s="2" t="s">
        <v>7878</v>
      </c>
      <c r="F161" s="2" t="s">
        <v>8512</v>
      </c>
      <c r="G161" s="1">
        <v>8</v>
      </c>
      <c r="H161" s="1" t="str">
        <f>VLOOKUP(G161,t_entry_status!A:C,2,FALSE)</f>
        <v>PENDING</v>
      </c>
      <c r="I161" s="7">
        <v>45560</v>
      </c>
      <c r="J161" s="1" t="s">
        <v>7449</v>
      </c>
      <c r="K161" s="7">
        <v>45560</v>
      </c>
      <c r="L161" s="1" t="s">
        <v>7449</v>
      </c>
    </row>
    <row r="162" spans="1:12" x14ac:dyDescent="0.25">
      <c r="A162" s="1">
        <v>161</v>
      </c>
      <c r="B162" s="2" t="str">
        <f>_xlfn.CONCAT(C162,"-",VLOOKUP(C162,t_objeto!B:D,3,FALSE),"-",A162)</f>
        <v>RRPP-PERCCO-161</v>
      </c>
      <c r="C162" s="1" t="s">
        <v>7461</v>
      </c>
      <c r="D162" s="1" t="str">
        <f>VLOOKUP(C162,t_objeto!B:C,2,FALSE)</f>
        <v>RESOURCES_POOL</v>
      </c>
      <c r="E162" s="2" t="s">
        <v>7879</v>
      </c>
      <c r="F162" s="2" t="s">
        <v>8513</v>
      </c>
      <c r="G162" s="1">
        <v>8</v>
      </c>
      <c r="H162" s="1" t="str">
        <f>VLOOKUP(G162,t_entry_status!A:C,2,FALSE)</f>
        <v>PENDING</v>
      </c>
      <c r="I162" s="7">
        <v>45560</v>
      </c>
      <c r="J162" s="1" t="s">
        <v>7449</v>
      </c>
      <c r="K162" s="7">
        <v>45560</v>
      </c>
      <c r="L162" s="1" t="s">
        <v>7449</v>
      </c>
    </row>
    <row r="163" spans="1:12" x14ac:dyDescent="0.25">
      <c r="A163" s="1">
        <v>162</v>
      </c>
      <c r="B163" s="2" t="str">
        <f>_xlfn.CONCAT(C163,"-",VLOOKUP(C163,t_objeto!B:D,3,FALSE),"-",A163)</f>
        <v>RRPP-PERCCO-162</v>
      </c>
      <c r="C163" s="1" t="s">
        <v>7461</v>
      </c>
      <c r="D163" s="1" t="str">
        <f>VLOOKUP(C163,t_objeto!B:C,2,FALSE)</f>
        <v>RESOURCES_POOL</v>
      </c>
      <c r="E163" s="2" t="s">
        <v>7880</v>
      </c>
      <c r="F163" s="2" t="s">
        <v>8514</v>
      </c>
      <c r="G163" s="1">
        <v>8</v>
      </c>
      <c r="H163" s="1" t="str">
        <f>VLOOKUP(G163,t_entry_status!A:C,2,FALSE)</f>
        <v>PENDING</v>
      </c>
      <c r="I163" s="7">
        <v>45560</v>
      </c>
      <c r="J163" s="1" t="s">
        <v>7449</v>
      </c>
      <c r="K163" s="7">
        <v>45560</v>
      </c>
      <c r="L163" s="1" t="s">
        <v>7449</v>
      </c>
    </row>
    <row r="164" spans="1:12" x14ac:dyDescent="0.25">
      <c r="A164" s="1">
        <v>163</v>
      </c>
      <c r="B164" s="2" t="str">
        <f>_xlfn.CONCAT(C164,"-",VLOOKUP(C164,t_objeto!B:D,3,FALSE),"-",A164)</f>
        <v>RRPP-PERCCO-163</v>
      </c>
      <c r="C164" s="1" t="s">
        <v>7461</v>
      </c>
      <c r="D164" s="1" t="str">
        <f>VLOOKUP(C164,t_objeto!B:C,2,FALSE)</f>
        <v>RESOURCES_POOL</v>
      </c>
      <c r="E164" s="2" t="s">
        <v>7881</v>
      </c>
      <c r="F164" s="2" t="s">
        <v>8515</v>
      </c>
      <c r="G164" s="1">
        <v>8</v>
      </c>
      <c r="H164" s="1" t="str">
        <f>VLOOKUP(G164,t_entry_status!A:C,2,FALSE)</f>
        <v>PENDING</v>
      </c>
      <c r="I164" s="7">
        <v>45560</v>
      </c>
      <c r="J164" s="1" t="s">
        <v>7449</v>
      </c>
      <c r="K164" s="7">
        <v>45560</v>
      </c>
      <c r="L164" s="1" t="s">
        <v>7449</v>
      </c>
    </row>
    <row r="165" spans="1:12" x14ac:dyDescent="0.25">
      <c r="A165" s="1">
        <v>164</v>
      </c>
      <c r="B165" s="2" t="str">
        <f>_xlfn.CONCAT(C165,"-",VLOOKUP(C165,t_objeto!B:D,3,FALSE),"-",A165)</f>
        <v>RRPP-PERCCO-164</v>
      </c>
      <c r="C165" s="1" t="s">
        <v>7461</v>
      </c>
      <c r="D165" s="1" t="str">
        <f>VLOOKUP(C165,t_objeto!B:C,2,FALSE)</f>
        <v>RESOURCES_POOL</v>
      </c>
      <c r="E165" s="2" t="s">
        <v>7882</v>
      </c>
      <c r="F165" s="2" t="s">
        <v>8516</v>
      </c>
      <c r="G165" s="1">
        <v>8</v>
      </c>
      <c r="H165" s="1" t="str">
        <f>VLOOKUP(G165,t_entry_status!A:C,2,FALSE)</f>
        <v>PENDING</v>
      </c>
      <c r="I165" s="7">
        <v>45560</v>
      </c>
      <c r="J165" s="1" t="s">
        <v>7449</v>
      </c>
      <c r="K165" s="7">
        <v>45560</v>
      </c>
      <c r="L165" s="1" t="s">
        <v>7449</v>
      </c>
    </row>
    <row r="166" spans="1:12" x14ac:dyDescent="0.25">
      <c r="A166" s="1">
        <v>165</v>
      </c>
      <c r="B166" s="2" t="str">
        <f>_xlfn.CONCAT(C166,"-",VLOOKUP(C166,t_objeto!B:D,3,FALSE),"-",A166)</f>
        <v>RRPP-PERCCO-165</v>
      </c>
      <c r="C166" s="1" t="s">
        <v>7461</v>
      </c>
      <c r="D166" s="1" t="str">
        <f>VLOOKUP(C166,t_objeto!B:C,2,FALSE)</f>
        <v>RESOURCES_POOL</v>
      </c>
      <c r="E166" s="2" t="s">
        <v>7883</v>
      </c>
      <c r="F166" s="2" t="s">
        <v>8517</v>
      </c>
      <c r="G166" s="1">
        <v>8</v>
      </c>
      <c r="H166" s="1" t="str">
        <f>VLOOKUP(G166,t_entry_status!A:C,2,FALSE)</f>
        <v>PENDING</v>
      </c>
      <c r="I166" s="7">
        <v>45560</v>
      </c>
      <c r="J166" s="1" t="s">
        <v>7449</v>
      </c>
      <c r="K166" s="7">
        <v>45560</v>
      </c>
      <c r="L166" s="1" t="s">
        <v>7449</v>
      </c>
    </row>
    <row r="167" spans="1:12" x14ac:dyDescent="0.25">
      <c r="A167" s="1">
        <v>166</v>
      </c>
      <c r="B167" s="2" t="str">
        <f>_xlfn.CONCAT(C167,"-",VLOOKUP(C167,t_objeto!B:D,3,FALSE),"-",A167)</f>
        <v>RRPP-PERCCO-166</v>
      </c>
      <c r="C167" s="1" t="s">
        <v>7461</v>
      </c>
      <c r="D167" s="1" t="str">
        <f>VLOOKUP(C167,t_objeto!B:C,2,FALSE)</f>
        <v>RESOURCES_POOL</v>
      </c>
      <c r="E167" s="2" t="s">
        <v>7884</v>
      </c>
      <c r="F167" s="2" t="s">
        <v>8518</v>
      </c>
      <c r="G167" s="1">
        <v>8</v>
      </c>
      <c r="H167" s="1" t="str">
        <f>VLOOKUP(G167,t_entry_status!A:C,2,FALSE)</f>
        <v>PENDING</v>
      </c>
      <c r="I167" s="7">
        <v>45560</v>
      </c>
      <c r="J167" s="1" t="s">
        <v>7449</v>
      </c>
      <c r="K167" s="7">
        <v>45560</v>
      </c>
      <c r="L167" s="1" t="s">
        <v>7449</v>
      </c>
    </row>
    <row r="168" spans="1:12" x14ac:dyDescent="0.25">
      <c r="A168" s="1">
        <v>167</v>
      </c>
      <c r="B168" s="2" t="str">
        <f>_xlfn.CONCAT(C168,"-",VLOOKUP(C168,t_objeto!B:D,3,FALSE),"-",A168)</f>
        <v>RRPP-PERCCO-167</v>
      </c>
      <c r="C168" s="1" t="s">
        <v>7461</v>
      </c>
      <c r="D168" s="1" t="str">
        <f>VLOOKUP(C168,t_objeto!B:C,2,FALSE)</f>
        <v>RESOURCES_POOL</v>
      </c>
      <c r="E168" s="2" t="s">
        <v>7885</v>
      </c>
      <c r="F168" s="2" t="s">
        <v>8519</v>
      </c>
      <c r="G168" s="1">
        <v>8</v>
      </c>
      <c r="H168" s="1" t="str">
        <f>VLOOKUP(G168,t_entry_status!A:C,2,FALSE)</f>
        <v>PENDING</v>
      </c>
      <c r="I168" s="7">
        <v>45560</v>
      </c>
      <c r="J168" s="1" t="s">
        <v>7449</v>
      </c>
      <c r="K168" s="7">
        <v>45560</v>
      </c>
      <c r="L168" s="1" t="s">
        <v>7449</v>
      </c>
    </row>
    <row r="169" spans="1:12" x14ac:dyDescent="0.25">
      <c r="A169" s="1">
        <v>168</v>
      </c>
      <c r="B169" s="2" t="str">
        <f>_xlfn.CONCAT(C169,"-",VLOOKUP(C169,t_objeto!B:D,3,FALSE),"-",A169)</f>
        <v>RRPP-PERCCO-168</v>
      </c>
      <c r="C169" s="1" t="s">
        <v>7461</v>
      </c>
      <c r="D169" s="1" t="str">
        <f>VLOOKUP(C169,t_objeto!B:C,2,FALSE)</f>
        <v>RESOURCES_POOL</v>
      </c>
      <c r="E169" s="2" t="s">
        <v>7886</v>
      </c>
      <c r="F169" s="2" t="s">
        <v>8520</v>
      </c>
      <c r="G169" s="1">
        <v>8</v>
      </c>
      <c r="H169" s="1" t="str">
        <f>VLOOKUP(G169,t_entry_status!A:C,2,FALSE)</f>
        <v>PENDING</v>
      </c>
      <c r="I169" s="7">
        <v>45560</v>
      </c>
      <c r="J169" s="1" t="s">
        <v>7449</v>
      </c>
      <c r="K169" s="7">
        <v>45560</v>
      </c>
      <c r="L169" s="1" t="s">
        <v>7449</v>
      </c>
    </row>
    <row r="170" spans="1:12" x14ac:dyDescent="0.25">
      <c r="A170" s="1">
        <v>169</v>
      </c>
      <c r="B170" s="2" t="str">
        <f>_xlfn.CONCAT(C170,"-",VLOOKUP(C170,t_objeto!B:D,3,FALSE),"-",A170)</f>
        <v>RRPP-PERCCO-169</v>
      </c>
      <c r="C170" s="1" t="s">
        <v>7461</v>
      </c>
      <c r="D170" s="1" t="str">
        <f>VLOOKUP(C170,t_objeto!B:C,2,FALSE)</f>
        <v>RESOURCES_POOL</v>
      </c>
      <c r="E170" s="2" t="s">
        <v>7887</v>
      </c>
      <c r="F170" s="2" t="s">
        <v>8521</v>
      </c>
      <c r="G170" s="1">
        <v>8</v>
      </c>
      <c r="H170" s="1" t="str">
        <f>VLOOKUP(G170,t_entry_status!A:C,2,FALSE)</f>
        <v>PENDING</v>
      </c>
      <c r="I170" s="7">
        <v>45560</v>
      </c>
      <c r="J170" s="1" t="s">
        <v>7449</v>
      </c>
      <c r="K170" s="7">
        <v>45560</v>
      </c>
      <c r="L170" s="1" t="s">
        <v>7449</v>
      </c>
    </row>
    <row r="171" spans="1:12" x14ac:dyDescent="0.25">
      <c r="A171" s="1">
        <v>170</v>
      </c>
      <c r="B171" s="2" t="str">
        <f>_xlfn.CONCAT(C171,"-",VLOOKUP(C171,t_objeto!B:D,3,FALSE),"-",A171)</f>
        <v>RRPP-PERCCO-170</v>
      </c>
      <c r="C171" s="1" t="s">
        <v>7461</v>
      </c>
      <c r="D171" s="1" t="str">
        <f>VLOOKUP(C171,t_objeto!B:C,2,FALSE)</f>
        <v>RESOURCES_POOL</v>
      </c>
      <c r="E171" s="2" t="s">
        <v>7888</v>
      </c>
      <c r="F171" s="2" t="s">
        <v>8522</v>
      </c>
      <c r="G171" s="1">
        <v>8</v>
      </c>
      <c r="H171" s="1" t="str">
        <f>VLOOKUP(G171,t_entry_status!A:C,2,FALSE)</f>
        <v>PENDING</v>
      </c>
      <c r="I171" s="7">
        <v>45560</v>
      </c>
      <c r="J171" s="1" t="s">
        <v>7449</v>
      </c>
      <c r="K171" s="7">
        <v>45560</v>
      </c>
      <c r="L171" s="1" t="s">
        <v>7449</v>
      </c>
    </row>
    <row r="172" spans="1:12" x14ac:dyDescent="0.25">
      <c r="A172" s="1">
        <v>171</v>
      </c>
      <c r="B172" s="2" t="str">
        <f>_xlfn.CONCAT(C172,"-",VLOOKUP(C172,t_objeto!B:D,3,FALSE),"-",A172)</f>
        <v>RRPP-PERCCO-171</v>
      </c>
      <c r="C172" s="1" t="s">
        <v>7461</v>
      </c>
      <c r="D172" s="1" t="str">
        <f>VLOOKUP(C172,t_objeto!B:C,2,FALSE)</f>
        <v>RESOURCES_POOL</v>
      </c>
      <c r="E172" s="2" t="s">
        <v>7889</v>
      </c>
      <c r="F172" s="2" t="s">
        <v>8523</v>
      </c>
      <c r="G172" s="1">
        <v>8</v>
      </c>
      <c r="H172" s="1" t="str">
        <f>VLOOKUP(G172,t_entry_status!A:C,2,FALSE)</f>
        <v>PENDING</v>
      </c>
      <c r="I172" s="7">
        <v>45560</v>
      </c>
      <c r="J172" s="1" t="s">
        <v>7449</v>
      </c>
      <c r="K172" s="7">
        <v>45560</v>
      </c>
      <c r="L172" s="1" t="s">
        <v>7449</v>
      </c>
    </row>
    <row r="173" spans="1:12" x14ac:dyDescent="0.25">
      <c r="A173" s="1">
        <v>172</v>
      </c>
      <c r="B173" s="2" t="str">
        <f>_xlfn.CONCAT(C173,"-",VLOOKUP(C173,t_objeto!B:D,3,FALSE),"-",A173)</f>
        <v>RRPP-PERCCO-172</v>
      </c>
      <c r="C173" s="1" t="s">
        <v>7461</v>
      </c>
      <c r="D173" s="1" t="str">
        <f>VLOOKUP(C173,t_objeto!B:C,2,FALSE)</f>
        <v>RESOURCES_POOL</v>
      </c>
      <c r="E173" s="2" t="s">
        <v>7890</v>
      </c>
      <c r="F173" s="2" t="s">
        <v>8524</v>
      </c>
      <c r="G173" s="1">
        <v>8</v>
      </c>
      <c r="H173" s="1" t="str">
        <f>VLOOKUP(G173,t_entry_status!A:C,2,FALSE)</f>
        <v>PENDING</v>
      </c>
      <c r="I173" s="7">
        <v>45560</v>
      </c>
      <c r="J173" s="1" t="s">
        <v>7449</v>
      </c>
      <c r="K173" s="7">
        <v>45560</v>
      </c>
      <c r="L173" s="1" t="s">
        <v>7449</v>
      </c>
    </row>
    <row r="174" spans="1:12" x14ac:dyDescent="0.25">
      <c r="A174" s="1">
        <v>173</v>
      </c>
      <c r="B174" s="2" t="str">
        <f>_xlfn.CONCAT(C174,"-",VLOOKUP(C174,t_objeto!B:D,3,FALSE),"-",A174)</f>
        <v>RRPP-PERCCO-173</v>
      </c>
      <c r="C174" s="1" t="s">
        <v>7461</v>
      </c>
      <c r="D174" s="1" t="str">
        <f>VLOOKUP(C174,t_objeto!B:C,2,FALSE)</f>
        <v>RESOURCES_POOL</v>
      </c>
      <c r="E174" s="2" t="s">
        <v>7891</v>
      </c>
      <c r="F174" s="2" t="s">
        <v>8525</v>
      </c>
      <c r="G174" s="1">
        <v>8</v>
      </c>
      <c r="H174" s="1" t="str">
        <f>VLOOKUP(G174,t_entry_status!A:C,2,FALSE)</f>
        <v>PENDING</v>
      </c>
      <c r="I174" s="7">
        <v>45560</v>
      </c>
      <c r="J174" s="1" t="s">
        <v>7449</v>
      </c>
      <c r="K174" s="7">
        <v>45560</v>
      </c>
      <c r="L174" s="1" t="s">
        <v>7449</v>
      </c>
    </row>
    <row r="175" spans="1:12" x14ac:dyDescent="0.25">
      <c r="A175" s="1">
        <v>174</v>
      </c>
      <c r="B175" s="2" t="str">
        <f>_xlfn.CONCAT(C175,"-",VLOOKUP(C175,t_objeto!B:D,3,FALSE),"-",A175)</f>
        <v>RRPP-PERCCO-174</v>
      </c>
      <c r="C175" s="1" t="s">
        <v>7461</v>
      </c>
      <c r="D175" s="1" t="str">
        <f>VLOOKUP(C175,t_objeto!B:C,2,FALSE)</f>
        <v>RESOURCES_POOL</v>
      </c>
      <c r="E175" s="2" t="s">
        <v>7892</v>
      </c>
      <c r="F175" s="2" t="s">
        <v>8526</v>
      </c>
      <c r="G175" s="1">
        <v>8</v>
      </c>
      <c r="H175" s="1" t="str">
        <f>VLOOKUP(G175,t_entry_status!A:C,2,FALSE)</f>
        <v>PENDING</v>
      </c>
      <c r="I175" s="7">
        <v>45560</v>
      </c>
      <c r="J175" s="1" t="s">
        <v>7449</v>
      </c>
      <c r="K175" s="7">
        <v>45560</v>
      </c>
      <c r="L175" s="1" t="s">
        <v>7449</v>
      </c>
    </row>
    <row r="176" spans="1:12" x14ac:dyDescent="0.25">
      <c r="A176" s="1">
        <v>175</v>
      </c>
      <c r="B176" s="2" t="str">
        <f>_xlfn.CONCAT(C176,"-",VLOOKUP(C176,t_objeto!B:D,3,FALSE),"-",A176)</f>
        <v>RRPP-PERCCO-175</v>
      </c>
      <c r="C176" s="1" t="s">
        <v>7461</v>
      </c>
      <c r="D176" s="1" t="str">
        <f>VLOOKUP(C176,t_objeto!B:C,2,FALSE)</f>
        <v>RESOURCES_POOL</v>
      </c>
      <c r="E176" s="2" t="s">
        <v>7893</v>
      </c>
      <c r="F176" s="2" t="s">
        <v>8527</v>
      </c>
      <c r="G176" s="1">
        <v>8</v>
      </c>
      <c r="H176" s="1" t="str">
        <f>VLOOKUP(G176,t_entry_status!A:C,2,FALSE)</f>
        <v>PENDING</v>
      </c>
      <c r="I176" s="7">
        <v>45560</v>
      </c>
      <c r="J176" s="1" t="s">
        <v>7449</v>
      </c>
      <c r="K176" s="7">
        <v>45560</v>
      </c>
      <c r="L176" s="1" t="s">
        <v>7449</v>
      </c>
    </row>
    <row r="177" spans="1:12" x14ac:dyDescent="0.25">
      <c r="A177" s="1">
        <v>176</v>
      </c>
      <c r="B177" s="2" t="str">
        <f>_xlfn.CONCAT(C177,"-",VLOOKUP(C177,t_objeto!B:D,3,FALSE),"-",A177)</f>
        <v>RRPP-PERCCO-176</v>
      </c>
      <c r="C177" s="1" t="s">
        <v>7461</v>
      </c>
      <c r="D177" s="1" t="str">
        <f>VLOOKUP(C177,t_objeto!B:C,2,FALSE)</f>
        <v>RESOURCES_POOL</v>
      </c>
      <c r="E177" s="2" t="s">
        <v>7894</v>
      </c>
      <c r="F177" s="2" t="s">
        <v>8528</v>
      </c>
      <c r="G177" s="1">
        <v>8</v>
      </c>
      <c r="H177" s="1" t="str">
        <f>VLOOKUP(G177,t_entry_status!A:C,2,FALSE)</f>
        <v>PENDING</v>
      </c>
      <c r="I177" s="7">
        <v>45560</v>
      </c>
      <c r="J177" s="1" t="s">
        <v>7449</v>
      </c>
      <c r="K177" s="7">
        <v>45560</v>
      </c>
      <c r="L177" s="1" t="s">
        <v>7449</v>
      </c>
    </row>
    <row r="178" spans="1:12" x14ac:dyDescent="0.25">
      <c r="A178" s="1">
        <v>177</v>
      </c>
      <c r="B178" s="2" t="str">
        <f>_xlfn.CONCAT(C178,"-",VLOOKUP(C178,t_objeto!B:D,3,FALSE),"-",A178)</f>
        <v>RRPP-PERCCO-177</v>
      </c>
      <c r="C178" s="1" t="s">
        <v>7461</v>
      </c>
      <c r="D178" s="1" t="str">
        <f>VLOOKUP(C178,t_objeto!B:C,2,FALSE)</f>
        <v>RESOURCES_POOL</v>
      </c>
      <c r="E178" s="2" t="s">
        <v>7895</v>
      </c>
      <c r="F178" s="2" t="s">
        <v>8529</v>
      </c>
      <c r="G178" s="1">
        <v>8</v>
      </c>
      <c r="H178" s="1" t="str">
        <f>VLOOKUP(G178,t_entry_status!A:C,2,FALSE)</f>
        <v>PENDING</v>
      </c>
      <c r="I178" s="7">
        <v>45560</v>
      </c>
      <c r="J178" s="1" t="s">
        <v>7449</v>
      </c>
      <c r="K178" s="7">
        <v>45560</v>
      </c>
      <c r="L178" s="1" t="s">
        <v>7449</v>
      </c>
    </row>
    <row r="179" spans="1:12" x14ac:dyDescent="0.25">
      <c r="A179" s="1">
        <v>178</v>
      </c>
      <c r="B179" s="2" t="str">
        <f>_xlfn.CONCAT(C179,"-",VLOOKUP(C179,t_objeto!B:D,3,FALSE),"-",A179)</f>
        <v>RRPP-PERCCO-178</v>
      </c>
      <c r="C179" s="1" t="s">
        <v>7461</v>
      </c>
      <c r="D179" s="1" t="str">
        <f>VLOOKUP(C179,t_objeto!B:C,2,FALSE)</f>
        <v>RESOURCES_POOL</v>
      </c>
      <c r="E179" s="2" t="s">
        <v>7896</v>
      </c>
      <c r="F179" s="2" t="s">
        <v>8530</v>
      </c>
      <c r="G179" s="1">
        <v>8</v>
      </c>
      <c r="H179" s="1" t="str">
        <f>VLOOKUP(G179,t_entry_status!A:C,2,FALSE)</f>
        <v>PENDING</v>
      </c>
      <c r="I179" s="7">
        <v>45560</v>
      </c>
      <c r="J179" s="1" t="s">
        <v>7449</v>
      </c>
      <c r="K179" s="7">
        <v>45560</v>
      </c>
      <c r="L179" s="1" t="s">
        <v>7449</v>
      </c>
    </row>
    <row r="180" spans="1:12" x14ac:dyDescent="0.25">
      <c r="A180" s="1">
        <v>179</v>
      </c>
      <c r="B180" s="2" t="str">
        <f>_xlfn.CONCAT(C180,"-",VLOOKUP(C180,t_objeto!B:D,3,FALSE),"-",A180)</f>
        <v>RRPP-PERCCO-179</v>
      </c>
      <c r="C180" s="1" t="s">
        <v>7461</v>
      </c>
      <c r="D180" s="1" t="str">
        <f>VLOOKUP(C180,t_objeto!B:C,2,FALSE)</f>
        <v>RESOURCES_POOL</v>
      </c>
      <c r="E180" s="2" t="s">
        <v>7897</v>
      </c>
      <c r="F180" s="2" t="s">
        <v>8531</v>
      </c>
      <c r="G180" s="1">
        <v>8</v>
      </c>
      <c r="H180" s="1" t="str">
        <f>VLOOKUP(G180,t_entry_status!A:C,2,FALSE)</f>
        <v>PENDING</v>
      </c>
      <c r="I180" s="7">
        <v>45560</v>
      </c>
      <c r="J180" s="1" t="s">
        <v>7449</v>
      </c>
      <c r="K180" s="7">
        <v>45560</v>
      </c>
      <c r="L180" s="1" t="s">
        <v>7449</v>
      </c>
    </row>
    <row r="181" spans="1:12" x14ac:dyDescent="0.25">
      <c r="A181" s="1">
        <v>180</v>
      </c>
      <c r="B181" s="2" t="str">
        <f>_xlfn.CONCAT(C181,"-",VLOOKUP(C181,t_objeto!B:D,3,FALSE),"-",A181)</f>
        <v>RRPP-PERCCO-180</v>
      </c>
      <c r="C181" s="1" t="s">
        <v>7461</v>
      </c>
      <c r="D181" s="1" t="str">
        <f>VLOOKUP(C181,t_objeto!B:C,2,FALSE)</f>
        <v>RESOURCES_POOL</v>
      </c>
      <c r="E181" s="2" t="s">
        <v>7898</v>
      </c>
      <c r="F181" s="2" t="s">
        <v>8532</v>
      </c>
      <c r="G181" s="1">
        <v>8</v>
      </c>
      <c r="H181" s="1" t="str">
        <f>VLOOKUP(G181,t_entry_status!A:C,2,FALSE)</f>
        <v>PENDING</v>
      </c>
      <c r="I181" s="7">
        <v>45560</v>
      </c>
      <c r="J181" s="1" t="s">
        <v>7449</v>
      </c>
      <c r="K181" s="7">
        <v>45560</v>
      </c>
      <c r="L181" s="1" t="s">
        <v>7449</v>
      </c>
    </row>
    <row r="182" spans="1:12" x14ac:dyDescent="0.25">
      <c r="A182" s="1">
        <v>181</v>
      </c>
      <c r="B182" s="2" t="str">
        <f>_xlfn.CONCAT(C182,"-",VLOOKUP(C182,t_objeto!B:D,3,FALSE),"-",A182)</f>
        <v>RRPP-PERCCO-181</v>
      </c>
      <c r="C182" s="1" t="s">
        <v>7461</v>
      </c>
      <c r="D182" s="1" t="str">
        <f>VLOOKUP(C182,t_objeto!B:C,2,FALSE)</f>
        <v>RESOURCES_POOL</v>
      </c>
      <c r="E182" s="2" t="s">
        <v>7899</v>
      </c>
      <c r="F182" s="2" t="s">
        <v>8533</v>
      </c>
      <c r="G182" s="1">
        <v>8</v>
      </c>
      <c r="H182" s="1" t="str">
        <f>VLOOKUP(G182,t_entry_status!A:C,2,FALSE)</f>
        <v>PENDING</v>
      </c>
      <c r="I182" s="7">
        <v>45560</v>
      </c>
      <c r="J182" s="1" t="s">
        <v>7449</v>
      </c>
      <c r="K182" s="7">
        <v>45560</v>
      </c>
      <c r="L182" s="1" t="s">
        <v>7449</v>
      </c>
    </row>
    <row r="183" spans="1:12" x14ac:dyDescent="0.25">
      <c r="A183" s="1">
        <v>182</v>
      </c>
      <c r="B183" s="2" t="str">
        <f>_xlfn.CONCAT(C183,"-",VLOOKUP(C183,t_objeto!B:D,3,FALSE),"-",A183)</f>
        <v>RRPP-PERCCO-182</v>
      </c>
      <c r="C183" s="1" t="s">
        <v>7461</v>
      </c>
      <c r="D183" s="1" t="str">
        <f>VLOOKUP(C183,t_objeto!B:C,2,FALSE)</f>
        <v>RESOURCES_POOL</v>
      </c>
      <c r="E183" s="2" t="s">
        <v>7900</v>
      </c>
      <c r="F183" s="2" t="s">
        <v>8534</v>
      </c>
      <c r="G183" s="1">
        <v>8</v>
      </c>
      <c r="H183" s="1" t="str">
        <f>VLOOKUP(G183,t_entry_status!A:C,2,FALSE)</f>
        <v>PENDING</v>
      </c>
      <c r="I183" s="7">
        <v>45560</v>
      </c>
      <c r="J183" s="1" t="s">
        <v>7449</v>
      </c>
      <c r="K183" s="7">
        <v>45560</v>
      </c>
      <c r="L183" s="1" t="s">
        <v>7449</v>
      </c>
    </row>
    <row r="184" spans="1:12" x14ac:dyDescent="0.25">
      <c r="A184" s="1">
        <v>183</v>
      </c>
      <c r="B184" s="2" t="str">
        <f>_xlfn.CONCAT(C184,"-",VLOOKUP(C184,t_objeto!B:D,3,FALSE),"-",A184)</f>
        <v>RRPP-PERCCO-183</v>
      </c>
      <c r="C184" s="1" t="s">
        <v>7461</v>
      </c>
      <c r="D184" s="1" t="str">
        <f>VLOOKUP(C184,t_objeto!B:C,2,FALSE)</f>
        <v>RESOURCES_POOL</v>
      </c>
      <c r="E184" s="2" t="s">
        <v>7901</v>
      </c>
      <c r="F184" s="2" t="s">
        <v>8535</v>
      </c>
      <c r="G184" s="1">
        <v>8</v>
      </c>
      <c r="H184" s="1" t="str">
        <f>VLOOKUP(G184,t_entry_status!A:C,2,FALSE)</f>
        <v>PENDING</v>
      </c>
      <c r="I184" s="7">
        <v>45560</v>
      </c>
      <c r="J184" s="1" t="s">
        <v>7449</v>
      </c>
      <c r="K184" s="7">
        <v>45560</v>
      </c>
      <c r="L184" s="1" t="s">
        <v>7449</v>
      </c>
    </row>
    <row r="185" spans="1:12" x14ac:dyDescent="0.25">
      <c r="A185" s="1">
        <v>184</v>
      </c>
      <c r="B185" s="2" t="str">
        <f>_xlfn.CONCAT(C185,"-",VLOOKUP(C185,t_objeto!B:D,3,FALSE),"-",A185)</f>
        <v>RRPP-PERCCO-184</v>
      </c>
      <c r="C185" s="1" t="s">
        <v>7461</v>
      </c>
      <c r="D185" s="1" t="str">
        <f>VLOOKUP(C185,t_objeto!B:C,2,FALSE)</f>
        <v>RESOURCES_POOL</v>
      </c>
      <c r="E185" s="2" t="s">
        <v>7902</v>
      </c>
      <c r="F185" s="2" t="s">
        <v>8536</v>
      </c>
      <c r="G185" s="1">
        <v>8</v>
      </c>
      <c r="H185" s="1" t="str">
        <f>VLOOKUP(G185,t_entry_status!A:C,2,FALSE)</f>
        <v>PENDING</v>
      </c>
      <c r="I185" s="7">
        <v>45560</v>
      </c>
      <c r="J185" s="1" t="s">
        <v>7449</v>
      </c>
      <c r="K185" s="7">
        <v>45560</v>
      </c>
      <c r="L185" s="1" t="s">
        <v>7449</v>
      </c>
    </row>
    <row r="186" spans="1:12" x14ac:dyDescent="0.25">
      <c r="A186" s="1">
        <v>185</v>
      </c>
      <c r="B186" s="2" t="str">
        <f>_xlfn.CONCAT(C186,"-",VLOOKUP(C186,t_objeto!B:D,3,FALSE),"-",A186)</f>
        <v>RRPP-PERCCO-185</v>
      </c>
      <c r="C186" s="1" t="s">
        <v>7461</v>
      </c>
      <c r="D186" s="1" t="str">
        <f>VLOOKUP(C186,t_objeto!B:C,2,FALSE)</f>
        <v>RESOURCES_POOL</v>
      </c>
      <c r="E186" s="2" t="s">
        <v>7903</v>
      </c>
      <c r="F186" s="2" t="s">
        <v>8537</v>
      </c>
      <c r="G186" s="1">
        <v>8</v>
      </c>
      <c r="H186" s="1" t="str">
        <f>VLOOKUP(G186,t_entry_status!A:C,2,FALSE)</f>
        <v>PENDING</v>
      </c>
      <c r="I186" s="7">
        <v>45560</v>
      </c>
      <c r="J186" s="1" t="s">
        <v>7449</v>
      </c>
      <c r="K186" s="7">
        <v>45560</v>
      </c>
      <c r="L186" s="1" t="s">
        <v>7449</v>
      </c>
    </row>
    <row r="187" spans="1:12" x14ac:dyDescent="0.25">
      <c r="A187" s="1">
        <v>186</v>
      </c>
      <c r="B187" s="2" t="str">
        <f>_xlfn.CONCAT(C187,"-",VLOOKUP(C187,t_objeto!B:D,3,FALSE),"-",A187)</f>
        <v>RRPP-PERCCO-186</v>
      </c>
      <c r="C187" s="1" t="s">
        <v>7461</v>
      </c>
      <c r="D187" s="1" t="str">
        <f>VLOOKUP(C187,t_objeto!B:C,2,FALSE)</f>
        <v>RESOURCES_POOL</v>
      </c>
      <c r="E187" s="2" t="s">
        <v>7904</v>
      </c>
      <c r="F187" s="2" t="s">
        <v>8538</v>
      </c>
      <c r="G187" s="1">
        <v>8</v>
      </c>
      <c r="H187" s="1" t="str">
        <f>VLOOKUP(G187,t_entry_status!A:C,2,FALSE)</f>
        <v>PENDING</v>
      </c>
      <c r="I187" s="7">
        <v>45560</v>
      </c>
      <c r="J187" s="1" t="s">
        <v>7449</v>
      </c>
      <c r="K187" s="7">
        <v>45560</v>
      </c>
      <c r="L187" s="1" t="s">
        <v>7449</v>
      </c>
    </row>
    <row r="188" spans="1:12" x14ac:dyDescent="0.25">
      <c r="A188" s="1">
        <v>187</v>
      </c>
      <c r="B188" s="2" t="str">
        <f>_xlfn.CONCAT(C188,"-",VLOOKUP(C188,t_objeto!B:D,3,FALSE),"-",A188)</f>
        <v>RRPP-PERCCO-187</v>
      </c>
      <c r="C188" s="1" t="s">
        <v>7461</v>
      </c>
      <c r="D188" s="1" t="str">
        <f>VLOOKUP(C188,t_objeto!B:C,2,FALSE)</f>
        <v>RESOURCES_POOL</v>
      </c>
      <c r="E188" s="2" t="s">
        <v>7905</v>
      </c>
      <c r="F188" s="2" t="s">
        <v>8539</v>
      </c>
      <c r="G188" s="1">
        <v>8</v>
      </c>
      <c r="H188" s="1" t="str">
        <f>VLOOKUP(G188,t_entry_status!A:C,2,FALSE)</f>
        <v>PENDING</v>
      </c>
      <c r="I188" s="7">
        <v>45560</v>
      </c>
      <c r="J188" s="1" t="s">
        <v>7449</v>
      </c>
      <c r="K188" s="7">
        <v>45560</v>
      </c>
      <c r="L188" s="1" t="s">
        <v>7449</v>
      </c>
    </row>
    <row r="189" spans="1:12" x14ac:dyDescent="0.25">
      <c r="A189" s="1">
        <v>188</v>
      </c>
      <c r="B189" s="2" t="str">
        <f>_xlfn.CONCAT(C189,"-",VLOOKUP(C189,t_objeto!B:D,3,FALSE),"-",A189)</f>
        <v>RRPP-PERCCO-188</v>
      </c>
      <c r="C189" s="1" t="s">
        <v>7461</v>
      </c>
      <c r="D189" s="1" t="str">
        <f>VLOOKUP(C189,t_objeto!B:C,2,FALSE)</f>
        <v>RESOURCES_POOL</v>
      </c>
      <c r="E189" s="2" t="s">
        <v>7906</v>
      </c>
      <c r="F189" s="2" t="s">
        <v>8540</v>
      </c>
      <c r="G189" s="1">
        <v>8</v>
      </c>
      <c r="H189" s="1" t="str">
        <f>VLOOKUP(G189,t_entry_status!A:C,2,FALSE)</f>
        <v>PENDING</v>
      </c>
      <c r="I189" s="7">
        <v>45560</v>
      </c>
      <c r="J189" s="1" t="s">
        <v>7449</v>
      </c>
      <c r="K189" s="7">
        <v>45560</v>
      </c>
      <c r="L189" s="1" t="s">
        <v>7449</v>
      </c>
    </row>
    <row r="190" spans="1:12" x14ac:dyDescent="0.25">
      <c r="A190" s="1">
        <v>189</v>
      </c>
      <c r="B190" s="2" t="str">
        <f>_xlfn.CONCAT(C190,"-",VLOOKUP(C190,t_objeto!B:D,3,FALSE),"-",A190)</f>
        <v>RRPP-PERCCO-189</v>
      </c>
      <c r="C190" s="1" t="s">
        <v>7461</v>
      </c>
      <c r="D190" s="1" t="str">
        <f>VLOOKUP(C190,t_objeto!B:C,2,FALSE)</f>
        <v>RESOURCES_POOL</v>
      </c>
      <c r="E190" s="2" t="s">
        <v>7907</v>
      </c>
      <c r="F190" s="2" t="s">
        <v>8541</v>
      </c>
      <c r="G190" s="1">
        <v>8</v>
      </c>
      <c r="H190" s="1" t="str">
        <f>VLOOKUP(G190,t_entry_status!A:C,2,FALSE)</f>
        <v>PENDING</v>
      </c>
      <c r="I190" s="7">
        <v>45560</v>
      </c>
      <c r="J190" s="1" t="s">
        <v>7449</v>
      </c>
      <c r="K190" s="7">
        <v>45560</v>
      </c>
      <c r="L190" s="1" t="s">
        <v>7449</v>
      </c>
    </row>
    <row r="191" spans="1:12" x14ac:dyDescent="0.25">
      <c r="A191" s="1">
        <v>190</v>
      </c>
      <c r="B191" s="2" t="str">
        <f>_xlfn.CONCAT(C191,"-",VLOOKUP(C191,t_objeto!B:D,3,FALSE),"-",A191)</f>
        <v>RRPP-PERCCO-190</v>
      </c>
      <c r="C191" s="1" t="s">
        <v>7461</v>
      </c>
      <c r="D191" s="1" t="str">
        <f>VLOOKUP(C191,t_objeto!B:C,2,FALSE)</f>
        <v>RESOURCES_POOL</v>
      </c>
      <c r="E191" s="2" t="s">
        <v>7908</v>
      </c>
      <c r="F191" s="2" t="s">
        <v>8542</v>
      </c>
      <c r="G191" s="1">
        <v>8</v>
      </c>
      <c r="H191" s="1" t="str">
        <f>VLOOKUP(G191,t_entry_status!A:C,2,FALSE)</f>
        <v>PENDING</v>
      </c>
      <c r="I191" s="7">
        <v>45560</v>
      </c>
      <c r="J191" s="1" t="s">
        <v>7449</v>
      </c>
      <c r="K191" s="7">
        <v>45560</v>
      </c>
      <c r="L191" s="1" t="s">
        <v>7449</v>
      </c>
    </row>
    <row r="192" spans="1:12" x14ac:dyDescent="0.25">
      <c r="A192" s="1">
        <v>191</v>
      </c>
      <c r="B192" s="2" t="str">
        <f>_xlfn.CONCAT(C192,"-",VLOOKUP(C192,t_objeto!B:D,3,FALSE),"-",A192)</f>
        <v>RRPP-PERCCO-191</v>
      </c>
      <c r="C192" s="1" t="s">
        <v>7461</v>
      </c>
      <c r="D192" s="1" t="str">
        <f>VLOOKUP(C192,t_objeto!B:C,2,FALSE)</f>
        <v>RESOURCES_POOL</v>
      </c>
      <c r="E192" s="2" t="s">
        <v>7909</v>
      </c>
      <c r="F192" s="2" t="s">
        <v>8543</v>
      </c>
      <c r="G192" s="1">
        <v>8</v>
      </c>
      <c r="H192" s="1" t="str">
        <f>VLOOKUP(G192,t_entry_status!A:C,2,FALSE)</f>
        <v>PENDING</v>
      </c>
      <c r="I192" s="7">
        <v>45560</v>
      </c>
      <c r="J192" s="1" t="s">
        <v>7449</v>
      </c>
      <c r="K192" s="7">
        <v>45560</v>
      </c>
      <c r="L192" s="1" t="s">
        <v>7449</v>
      </c>
    </row>
    <row r="193" spans="1:12" x14ac:dyDescent="0.25">
      <c r="A193" s="1">
        <v>192</v>
      </c>
      <c r="B193" s="2" t="str">
        <f>_xlfn.CONCAT(C193,"-",VLOOKUP(C193,t_objeto!B:D,3,FALSE),"-",A193)</f>
        <v>RRPP-PERCCO-192</v>
      </c>
      <c r="C193" s="1" t="s">
        <v>7461</v>
      </c>
      <c r="D193" s="1" t="str">
        <f>VLOOKUP(C193,t_objeto!B:C,2,FALSE)</f>
        <v>RESOURCES_POOL</v>
      </c>
      <c r="E193" s="2" t="s">
        <v>7910</v>
      </c>
      <c r="F193" s="2" t="s">
        <v>8544</v>
      </c>
      <c r="G193" s="1">
        <v>8</v>
      </c>
      <c r="H193" s="1" t="str">
        <f>VLOOKUP(G193,t_entry_status!A:C,2,FALSE)</f>
        <v>PENDING</v>
      </c>
      <c r="I193" s="7">
        <v>45560</v>
      </c>
      <c r="J193" s="1" t="s">
        <v>7449</v>
      </c>
      <c r="K193" s="7">
        <v>45560</v>
      </c>
      <c r="L193" s="1" t="s">
        <v>7449</v>
      </c>
    </row>
    <row r="194" spans="1:12" x14ac:dyDescent="0.25">
      <c r="A194" s="1">
        <v>193</v>
      </c>
      <c r="B194" s="2" t="str">
        <f>_xlfn.CONCAT(C194,"-",VLOOKUP(C194,t_objeto!B:D,3,FALSE),"-",A194)</f>
        <v>RRPP-PERCCO-193</v>
      </c>
      <c r="C194" s="1" t="s">
        <v>7461</v>
      </c>
      <c r="D194" s="1" t="str">
        <f>VLOOKUP(C194,t_objeto!B:C,2,FALSE)</f>
        <v>RESOURCES_POOL</v>
      </c>
      <c r="E194" s="2" t="s">
        <v>7911</v>
      </c>
      <c r="F194" s="2" t="s">
        <v>8545</v>
      </c>
      <c r="G194" s="1">
        <v>8</v>
      </c>
      <c r="H194" s="1" t="str">
        <f>VLOOKUP(G194,t_entry_status!A:C,2,FALSE)</f>
        <v>PENDING</v>
      </c>
      <c r="I194" s="7">
        <v>45560</v>
      </c>
      <c r="J194" s="1" t="s">
        <v>7449</v>
      </c>
      <c r="K194" s="7">
        <v>45560</v>
      </c>
      <c r="L194" s="1" t="s">
        <v>7449</v>
      </c>
    </row>
    <row r="195" spans="1:12" x14ac:dyDescent="0.25">
      <c r="A195" s="1">
        <v>194</v>
      </c>
      <c r="B195" s="2" t="str">
        <f>_xlfn.CONCAT(C195,"-",VLOOKUP(C195,t_objeto!B:D,3,FALSE),"-",A195)</f>
        <v>RRPP-PERCCO-194</v>
      </c>
      <c r="C195" s="1" t="s">
        <v>7461</v>
      </c>
      <c r="D195" s="1" t="str">
        <f>VLOOKUP(C195,t_objeto!B:C,2,FALSE)</f>
        <v>RESOURCES_POOL</v>
      </c>
      <c r="E195" s="2" t="s">
        <v>7912</v>
      </c>
      <c r="F195" s="2" t="s">
        <v>8546</v>
      </c>
      <c r="G195" s="1">
        <v>8</v>
      </c>
      <c r="H195" s="1" t="str">
        <f>VLOOKUP(G195,t_entry_status!A:C,2,FALSE)</f>
        <v>PENDING</v>
      </c>
      <c r="I195" s="7">
        <v>45560</v>
      </c>
      <c r="J195" s="1" t="s">
        <v>7449</v>
      </c>
      <c r="K195" s="7">
        <v>45560</v>
      </c>
      <c r="L195" s="1" t="s">
        <v>7449</v>
      </c>
    </row>
    <row r="196" spans="1:12" x14ac:dyDescent="0.25">
      <c r="A196" s="1">
        <v>195</v>
      </c>
      <c r="B196" s="2" t="str">
        <f>_xlfn.CONCAT(C196,"-",VLOOKUP(C196,t_objeto!B:D,3,FALSE),"-",A196)</f>
        <v>RRPP-PERCCO-195</v>
      </c>
      <c r="C196" s="1" t="s">
        <v>7461</v>
      </c>
      <c r="D196" s="1" t="str">
        <f>VLOOKUP(C196,t_objeto!B:C,2,FALSE)</f>
        <v>RESOURCES_POOL</v>
      </c>
      <c r="E196" s="2" t="s">
        <v>7913</v>
      </c>
      <c r="F196" s="2" t="s">
        <v>8547</v>
      </c>
      <c r="G196" s="1">
        <v>8</v>
      </c>
      <c r="H196" s="1" t="str">
        <f>VLOOKUP(G196,t_entry_status!A:C,2,FALSE)</f>
        <v>PENDING</v>
      </c>
      <c r="I196" s="7">
        <v>45560</v>
      </c>
      <c r="J196" s="1" t="s">
        <v>7449</v>
      </c>
      <c r="K196" s="7">
        <v>45560</v>
      </c>
      <c r="L196" s="1" t="s">
        <v>7449</v>
      </c>
    </row>
    <row r="197" spans="1:12" x14ac:dyDescent="0.25">
      <c r="A197" s="1">
        <v>196</v>
      </c>
      <c r="B197" s="2" t="str">
        <f>_xlfn.CONCAT(C197,"-",VLOOKUP(C197,t_objeto!B:D,3,FALSE),"-",A197)</f>
        <v>RRPP-PERCCO-196</v>
      </c>
      <c r="C197" s="1" t="s">
        <v>7461</v>
      </c>
      <c r="D197" s="1" t="str">
        <f>VLOOKUP(C197,t_objeto!B:C,2,FALSE)</f>
        <v>RESOURCES_POOL</v>
      </c>
      <c r="E197" s="2" t="s">
        <v>7914</v>
      </c>
      <c r="F197" s="2" t="s">
        <v>8548</v>
      </c>
      <c r="G197" s="1">
        <v>8</v>
      </c>
      <c r="H197" s="1" t="str">
        <f>VLOOKUP(G197,t_entry_status!A:C,2,FALSE)</f>
        <v>PENDING</v>
      </c>
      <c r="I197" s="7">
        <v>45560</v>
      </c>
      <c r="J197" s="1" t="s">
        <v>7449</v>
      </c>
      <c r="K197" s="7">
        <v>45560</v>
      </c>
      <c r="L197" s="1" t="s">
        <v>7449</v>
      </c>
    </row>
    <row r="198" spans="1:12" x14ac:dyDescent="0.25">
      <c r="A198" s="1">
        <v>197</v>
      </c>
      <c r="B198" s="2" t="str">
        <f>_xlfn.CONCAT(C198,"-",VLOOKUP(C198,t_objeto!B:D,3,FALSE),"-",A198)</f>
        <v>RRPP-PERCCO-197</v>
      </c>
      <c r="C198" s="1" t="s">
        <v>7461</v>
      </c>
      <c r="D198" s="1" t="str">
        <f>VLOOKUP(C198,t_objeto!B:C,2,FALSE)</f>
        <v>RESOURCES_POOL</v>
      </c>
      <c r="E198" s="2" t="s">
        <v>7915</v>
      </c>
      <c r="F198" s="2" t="s">
        <v>8549</v>
      </c>
      <c r="G198" s="1">
        <v>8</v>
      </c>
      <c r="H198" s="1" t="str">
        <f>VLOOKUP(G198,t_entry_status!A:C,2,FALSE)</f>
        <v>PENDING</v>
      </c>
      <c r="I198" s="7">
        <v>45560</v>
      </c>
      <c r="J198" s="1" t="s">
        <v>7449</v>
      </c>
      <c r="K198" s="7">
        <v>45560</v>
      </c>
      <c r="L198" s="1" t="s">
        <v>7449</v>
      </c>
    </row>
    <row r="199" spans="1:12" x14ac:dyDescent="0.25">
      <c r="A199" s="1">
        <v>198</v>
      </c>
      <c r="B199" s="2" t="str">
        <f>_xlfn.CONCAT(C199,"-",VLOOKUP(C199,t_objeto!B:D,3,FALSE),"-",A199)</f>
        <v>RRPP-PERCCO-198</v>
      </c>
      <c r="C199" s="1" t="s">
        <v>7461</v>
      </c>
      <c r="D199" s="1" t="str">
        <f>VLOOKUP(C199,t_objeto!B:C,2,FALSE)</f>
        <v>RESOURCES_POOL</v>
      </c>
      <c r="E199" s="2" t="s">
        <v>7916</v>
      </c>
      <c r="F199" s="2" t="s">
        <v>8550</v>
      </c>
      <c r="G199" s="1">
        <v>8</v>
      </c>
      <c r="H199" s="1" t="str">
        <f>VLOOKUP(G199,t_entry_status!A:C,2,FALSE)</f>
        <v>PENDING</v>
      </c>
      <c r="I199" s="7">
        <v>45560</v>
      </c>
      <c r="J199" s="1" t="s">
        <v>7449</v>
      </c>
      <c r="K199" s="7">
        <v>45560</v>
      </c>
      <c r="L199" s="1" t="s">
        <v>7449</v>
      </c>
    </row>
    <row r="200" spans="1:12" x14ac:dyDescent="0.25">
      <c r="A200" s="1">
        <v>199</v>
      </c>
      <c r="B200" s="2" t="str">
        <f>_xlfn.CONCAT(C200,"-",VLOOKUP(C200,t_objeto!B:D,3,FALSE),"-",A200)</f>
        <v>RRPP-PERCCO-199</v>
      </c>
      <c r="C200" s="1" t="s">
        <v>7461</v>
      </c>
      <c r="D200" s="1" t="str">
        <f>VLOOKUP(C200,t_objeto!B:C,2,FALSE)</f>
        <v>RESOURCES_POOL</v>
      </c>
      <c r="E200" s="2" t="s">
        <v>7917</v>
      </c>
      <c r="F200" s="2" t="s">
        <v>8551</v>
      </c>
      <c r="G200" s="1">
        <v>8</v>
      </c>
      <c r="H200" s="1" t="str">
        <f>VLOOKUP(G200,t_entry_status!A:C,2,FALSE)</f>
        <v>PENDING</v>
      </c>
      <c r="I200" s="7">
        <v>45560</v>
      </c>
      <c r="J200" s="1" t="s">
        <v>7449</v>
      </c>
      <c r="K200" s="7">
        <v>45560</v>
      </c>
      <c r="L200" s="1" t="s">
        <v>7449</v>
      </c>
    </row>
    <row r="201" spans="1:12" x14ac:dyDescent="0.25">
      <c r="A201" s="1">
        <v>200</v>
      </c>
      <c r="B201" s="2" t="str">
        <f>_xlfn.CONCAT(C201,"-",VLOOKUP(C201,t_objeto!B:D,3,FALSE),"-",A201)</f>
        <v>RRPP-PERCCO-200</v>
      </c>
      <c r="C201" s="1" t="s">
        <v>7461</v>
      </c>
      <c r="D201" s="1" t="str">
        <f>VLOOKUP(C201,t_objeto!B:C,2,FALSE)</f>
        <v>RESOURCES_POOL</v>
      </c>
      <c r="E201" s="2" t="s">
        <v>7918</v>
      </c>
      <c r="F201" s="2" t="s">
        <v>8552</v>
      </c>
      <c r="G201" s="1">
        <v>8</v>
      </c>
      <c r="H201" s="1" t="str">
        <f>VLOOKUP(G201,t_entry_status!A:C,2,FALSE)</f>
        <v>PENDING</v>
      </c>
      <c r="I201" s="7">
        <v>45560</v>
      </c>
      <c r="J201" s="1" t="s">
        <v>7449</v>
      </c>
      <c r="K201" s="7">
        <v>45560</v>
      </c>
      <c r="L201" s="1" t="s">
        <v>7449</v>
      </c>
    </row>
    <row r="202" spans="1:12" x14ac:dyDescent="0.25">
      <c r="A202" s="1">
        <v>201</v>
      </c>
      <c r="B202" s="2" t="str">
        <f>_xlfn.CONCAT(C202,"-",VLOOKUP(C202,t_objeto!B:D,3,FALSE),"-",A202)</f>
        <v>RRPP-PERCCO-201</v>
      </c>
      <c r="C202" s="1" t="s">
        <v>7461</v>
      </c>
      <c r="D202" s="1" t="str">
        <f>VLOOKUP(C202,t_objeto!B:C,2,FALSE)</f>
        <v>RESOURCES_POOL</v>
      </c>
      <c r="E202" s="2" t="s">
        <v>7919</v>
      </c>
      <c r="F202" s="2" t="s">
        <v>8553</v>
      </c>
      <c r="G202" s="1">
        <v>8</v>
      </c>
      <c r="H202" s="1" t="str">
        <f>VLOOKUP(G202,t_entry_status!A:C,2,FALSE)</f>
        <v>PENDING</v>
      </c>
      <c r="I202" s="7">
        <v>45560</v>
      </c>
      <c r="J202" s="1" t="s">
        <v>7449</v>
      </c>
      <c r="K202" s="7">
        <v>45560</v>
      </c>
      <c r="L202" s="1" t="s">
        <v>7449</v>
      </c>
    </row>
    <row r="203" spans="1:12" x14ac:dyDescent="0.25">
      <c r="A203" s="1">
        <v>202</v>
      </c>
      <c r="B203" s="2" t="str">
        <f>_xlfn.CONCAT(C203,"-",VLOOKUP(C203,t_objeto!B:D,3,FALSE),"-",A203)</f>
        <v>RRPP-PERCCO-202</v>
      </c>
      <c r="C203" s="1" t="s">
        <v>7461</v>
      </c>
      <c r="D203" s="1" t="str">
        <f>VLOOKUP(C203,t_objeto!B:C,2,FALSE)</f>
        <v>RESOURCES_POOL</v>
      </c>
      <c r="E203" s="2" t="s">
        <v>7920</v>
      </c>
      <c r="F203" s="2" t="s">
        <v>8554</v>
      </c>
      <c r="G203" s="1">
        <v>8</v>
      </c>
      <c r="H203" s="1" t="str">
        <f>VLOOKUP(G203,t_entry_status!A:C,2,FALSE)</f>
        <v>PENDING</v>
      </c>
      <c r="I203" s="7">
        <v>45560</v>
      </c>
      <c r="J203" s="1" t="s">
        <v>7449</v>
      </c>
      <c r="K203" s="7">
        <v>45560</v>
      </c>
      <c r="L203" s="1" t="s">
        <v>7449</v>
      </c>
    </row>
    <row r="204" spans="1:12" x14ac:dyDescent="0.25">
      <c r="A204" s="1">
        <v>203</v>
      </c>
      <c r="B204" s="2" t="str">
        <f>_xlfn.CONCAT(C204,"-",VLOOKUP(C204,t_objeto!B:D,3,FALSE),"-",A204)</f>
        <v>RRPP-PERCCO-203</v>
      </c>
      <c r="C204" s="1" t="s">
        <v>7461</v>
      </c>
      <c r="D204" s="1" t="str">
        <f>VLOOKUP(C204,t_objeto!B:C,2,FALSE)</f>
        <v>RESOURCES_POOL</v>
      </c>
      <c r="E204" s="2" t="s">
        <v>7921</v>
      </c>
      <c r="F204" s="2" t="s">
        <v>8555</v>
      </c>
      <c r="G204" s="1">
        <v>8</v>
      </c>
      <c r="H204" s="1" t="str">
        <f>VLOOKUP(G204,t_entry_status!A:C,2,FALSE)</f>
        <v>PENDING</v>
      </c>
      <c r="I204" s="7">
        <v>45560</v>
      </c>
      <c r="J204" s="1" t="s">
        <v>7449</v>
      </c>
      <c r="K204" s="7">
        <v>45560</v>
      </c>
      <c r="L204" s="1" t="s">
        <v>7449</v>
      </c>
    </row>
    <row r="205" spans="1:12" x14ac:dyDescent="0.25">
      <c r="A205" s="1">
        <v>204</v>
      </c>
      <c r="B205" s="2" t="str">
        <f>_xlfn.CONCAT(C205,"-",VLOOKUP(C205,t_objeto!B:D,3,FALSE),"-",A205)</f>
        <v>RRPP-PERCCO-204</v>
      </c>
      <c r="C205" s="1" t="s">
        <v>7461</v>
      </c>
      <c r="D205" s="1" t="str">
        <f>VLOOKUP(C205,t_objeto!B:C,2,FALSE)</f>
        <v>RESOURCES_POOL</v>
      </c>
      <c r="E205" s="2" t="s">
        <v>7922</v>
      </c>
      <c r="F205" s="2" t="s">
        <v>8556</v>
      </c>
      <c r="G205" s="1">
        <v>8</v>
      </c>
      <c r="H205" s="1" t="str">
        <f>VLOOKUP(G205,t_entry_status!A:C,2,FALSE)</f>
        <v>PENDING</v>
      </c>
      <c r="I205" s="7">
        <v>45560</v>
      </c>
      <c r="J205" s="1" t="s">
        <v>7449</v>
      </c>
      <c r="K205" s="7">
        <v>45560</v>
      </c>
      <c r="L205" s="1" t="s">
        <v>7449</v>
      </c>
    </row>
    <row r="206" spans="1:12" x14ac:dyDescent="0.25">
      <c r="A206" s="1">
        <v>205</v>
      </c>
      <c r="B206" s="2" t="str">
        <f>_xlfn.CONCAT(C206,"-",VLOOKUP(C206,t_objeto!B:D,3,FALSE),"-",A206)</f>
        <v>RRPP-PERCCO-205</v>
      </c>
      <c r="C206" s="1" t="s">
        <v>7461</v>
      </c>
      <c r="D206" s="1" t="str">
        <f>VLOOKUP(C206,t_objeto!B:C,2,FALSE)</f>
        <v>RESOURCES_POOL</v>
      </c>
      <c r="E206" s="2" t="s">
        <v>7923</v>
      </c>
      <c r="F206" s="2" t="s">
        <v>8557</v>
      </c>
      <c r="G206" s="1">
        <v>8</v>
      </c>
      <c r="H206" s="1" t="str">
        <f>VLOOKUP(G206,t_entry_status!A:C,2,FALSE)</f>
        <v>PENDING</v>
      </c>
      <c r="I206" s="7">
        <v>45560</v>
      </c>
      <c r="J206" s="1" t="s">
        <v>7449</v>
      </c>
      <c r="K206" s="7">
        <v>45560</v>
      </c>
      <c r="L206" s="1" t="s">
        <v>7449</v>
      </c>
    </row>
    <row r="207" spans="1:12" x14ac:dyDescent="0.25">
      <c r="A207" s="1">
        <v>206</v>
      </c>
      <c r="B207" s="2" t="str">
        <f>_xlfn.CONCAT(C207,"-",VLOOKUP(C207,t_objeto!B:D,3,FALSE),"-",A207)</f>
        <v>RRPP-PERCCO-206</v>
      </c>
      <c r="C207" s="1" t="s">
        <v>7461</v>
      </c>
      <c r="D207" s="1" t="str">
        <f>VLOOKUP(C207,t_objeto!B:C,2,FALSE)</f>
        <v>RESOURCES_POOL</v>
      </c>
      <c r="E207" s="2" t="s">
        <v>7924</v>
      </c>
      <c r="F207" s="2" t="s">
        <v>8558</v>
      </c>
      <c r="G207" s="1">
        <v>8</v>
      </c>
      <c r="H207" s="1" t="str">
        <f>VLOOKUP(G207,t_entry_status!A:C,2,FALSE)</f>
        <v>PENDING</v>
      </c>
      <c r="I207" s="7">
        <v>45560</v>
      </c>
      <c r="J207" s="1" t="s">
        <v>7449</v>
      </c>
      <c r="K207" s="7">
        <v>45560</v>
      </c>
      <c r="L207" s="1" t="s">
        <v>7449</v>
      </c>
    </row>
    <row r="208" spans="1:12" x14ac:dyDescent="0.25">
      <c r="A208" s="1">
        <v>207</v>
      </c>
      <c r="B208" s="2" t="str">
        <f>_xlfn.CONCAT(C208,"-",VLOOKUP(C208,t_objeto!B:D,3,FALSE),"-",A208)</f>
        <v>RRPP-PERCCO-207</v>
      </c>
      <c r="C208" s="1" t="s">
        <v>7461</v>
      </c>
      <c r="D208" s="1" t="str">
        <f>VLOOKUP(C208,t_objeto!B:C,2,FALSE)</f>
        <v>RESOURCES_POOL</v>
      </c>
      <c r="E208" s="2" t="s">
        <v>7925</v>
      </c>
      <c r="F208" s="2" t="s">
        <v>8559</v>
      </c>
      <c r="G208" s="1">
        <v>8</v>
      </c>
      <c r="H208" s="1" t="str">
        <f>VLOOKUP(G208,t_entry_status!A:C,2,FALSE)</f>
        <v>PENDING</v>
      </c>
      <c r="I208" s="7">
        <v>45560</v>
      </c>
      <c r="J208" s="1" t="s">
        <v>7449</v>
      </c>
      <c r="K208" s="7">
        <v>45560</v>
      </c>
      <c r="L208" s="1" t="s">
        <v>7449</v>
      </c>
    </row>
    <row r="209" spans="1:12" x14ac:dyDescent="0.25">
      <c r="A209" s="1">
        <v>208</v>
      </c>
      <c r="B209" s="2" t="str">
        <f>_xlfn.CONCAT(C209,"-",VLOOKUP(C209,t_objeto!B:D,3,FALSE),"-",A209)</f>
        <v>RRPP-PERCCO-208</v>
      </c>
      <c r="C209" s="1" t="s">
        <v>7461</v>
      </c>
      <c r="D209" s="1" t="str">
        <f>VLOOKUP(C209,t_objeto!B:C,2,FALSE)</f>
        <v>RESOURCES_POOL</v>
      </c>
      <c r="E209" s="2" t="s">
        <v>7926</v>
      </c>
      <c r="F209" s="2" t="s">
        <v>8560</v>
      </c>
      <c r="G209" s="1">
        <v>8</v>
      </c>
      <c r="H209" s="1" t="str">
        <f>VLOOKUP(G209,t_entry_status!A:C,2,FALSE)</f>
        <v>PENDING</v>
      </c>
      <c r="I209" s="7">
        <v>45560</v>
      </c>
      <c r="J209" s="1" t="s">
        <v>7449</v>
      </c>
      <c r="K209" s="7">
        <v>45560</v>
      </c>
      <c r="L209" s="1" t="s">
        <v>7449</v>
      </c>
    </row>
    <row r="210" spans="1:12" x14ac:dyDescent="0.25">
      <c r="A210" s="1">
        <v>209</v>
      </c>
      <c r="B210" s="2" t="str">
        <f>_xlfn.CONCAT(C210,"-",VLOOKUP(C210,t_objeto!B:D,3,FALSE),"-",A210)</f>
        <v>RRPP-PERCCO-209</v>
      </c>
      <c r="C210" s="1" t="s">
        <v>7461</v>
      </c>
      <c r="D210" s="1" t="str">
        <f>VLOOKUP(C210,t_objeto!B:C,2,FALSE)</f>
        <v>RESOURCES_POOL</v>
      </c>
      <c r="E210" s="2" t="s">
        <v>7927</v>
      </c>
      <c r="F210" s="2" t="s">
        <v>8561</v>
      </c>
      <c r="G210" s="1">
        <v>8</v>
      </c>
      <c r="H210" s="1" t="str">
        <f>VLOOKUP(G210,t_entry_status!A:C,2,FALSE)</f>
        <v>PENDING</v>
      </c>
      <c r="I210" s="7">
        <v>45560</v>
      </c>
      <c r="J210" s="1" t="s">
        <v>7449</v>
      </c>
      <c r="K210" s="7">
        <v>45560</v>
      </c>
      <c r="L210" s="1" t="s">
        <v>7449</v>
      </c>
    </row>
    <row r="211" spans="1:12" x14ac:dyDescent="0.25">
      <c r="A211" s="1">
        <v>210</v>
      </c>
      <c r="B211" s="2" t="str">
        <f>_xlfn.CONCAT(C211,"-",VLOOKUP(C211,t_objeto!B:D,3,FALSE),"-",A211)</f>
        <v>RRPP-PERCCO-210</v>
      </c>
      <c r="C211" s="1" t="s">
        <v>7461</v>
      </c>
      <c r="D211" s="1" t="str">
        <f>VLOOKUP(C211,t_objeto!B:C,2,FALSE)</f>
        <v>RESOURCES_POOL</v>
      </c>
      <c r="E211" s="2" t="s">
        <v>7928</v>
      </c>
      <c r="F211" s="2" t="s">
        <v>8562</v>
      </c>
      <c r="G211" s="1">
        <v>8</v>
      </c>
      <c r="H211" s="1" t="str">
        <f>VLOOKUP(G211,t_entry_status!A:C,2,FALSE)</f>
        <v>PENDING</v>
      </c>
      <c r="I211" s="7">
        <v>45560</v>
      </c>
      <c r="J211" s="1" t="s">
        <v>7449</v>
      </c>
      <c r="K211" s="7">
        <v>45560</v>
      </c>
      <c r="L211" s="1" t="s">
        <v>7449</v>
      </c>
    </row>
    <row r="212" spans="1:12" x14ac:dyDescent="0.25">
      <c r="A212" s="1">
        <v>211</v>
      </c>
      <c r="B212" s="2" t="str">
        <f>_xlfn.CONCAT(C212,"-",VLOOKUP(C212,t_objeto!B:D,3,FALSE),"-",A212)</f>
        <v>RRPP-PERCCO-211</v>
      </c>
      <c r="C212" s="1" t="s">
        <v>7461</v>
      </c>
      <c r="D212" s="1" t="str">
        <f>VLOOKUP(C212,t_objeto!B:C,2,FALSE)</f>
        <v>RESOURCES_POOL</v>
      </c>
      <c r="E212" s="2" t="s">
        <v>7929</v>
      </c>
      <c r="F212" s="2" t="s">
        <v>8563</v>
      </c>
      <c r="G212" s="1">
        <v>8</v>
      </c>
      <c r="H212" s="1" t="str">
        <f>VLOOKUP(G212,t_entry_status!A:C,2,FALSE)</f>
        <v>PENDING</v>
      </c>
      <c r="I212" s="7">
        <v>45560</v>
      </c>
      <c r="J212" s="1" t="s">
        <v>7449</v>
      </c>
      <c r="K212" s="7">
        <v>45560</v>
      </c>
      <c r="L212" s="1" t="s">
        <v>7449</v>
      </c>
    </row>
    <row r="213" spans="1:12" x14ac:dyDescent="0.25">
      <c r="A213" s="1">
        <v>212</v>
      </c>
      <c r="B213" s="2" t="str">
        <f>_xlfn.CONCAT(C213,"-",VLOOKUP(C213,t_objeto!B:D,3,FALSE),"-",A213)</f>
        <v>RRPP-PERCCO-212</v>
      </c>
      <c r="C213" s="1" t="s">
        <v>7461</v>
      </c>
      <c r="D213" s="1" t="str">
        <f>VLOOKUP(C213,t_objeto!B:C,2,FALSE)</f>
        <v>RESOURCES_POOL</v>
      </c>
      <c r="E213" s="2" t="s">
        <v>7930</v>
      </c>
      <c r="F213" s="2" t="s">
        <v>8564</v>
      </c>
      <c r="G213" s="1">
        <v>8</v>
      </c>
      <c r="H213" s="1" t="str">
        <f>VLOOKUP(G213,t_entry_status!A:C,2,FALSE)</f>
        <v>PENDING</v>
      </c>
      <c r="I213" s="7">
        <v>45560</v>
      </c>
      <c r="J213" s="1" t="s">
        <v>7449</v>
      </c>
      <c r="K213" s="7">
        <v>45560</v>
      </c>
      <c r="L213" s="1" t="s">
        <v>7449</v>
      </c>
    </row>
    <row r="214" spans="1:12" x14ac:dyDescent="0.25">
      <c r="A214" s="1">
        <v>213</v>
      </c>
      <c r="B214" s="2" t="str">
        <f>_xlfn.CONCAT(C214,"-",VLOOKUP(C214,t_objeto!B:D,3,FALSE),"-",A214)</f>
        <v>RRPP-PERCCO-213</v>
      </c>
      <c r="C214" s="1" t="s">
        <v>7461</v>
      </c>
      <c r="D214" s="1" t="str">
        <f>VLOOKUP(C214,t_objeto!B:C,2,FALSE)</f>
        <v>RESOURCES_POOL</v>
      </c>
      <c r="E214" s="2" t="s">
        <v>7931</v>
      </c>
      <c r="F214" s="2" t="s">
        <v>8565</v>
      </c>
      <c r="G214" s="1">
        <v>8</v>
      </c>
      <c r="H214" s="1" t="str">
        <f>VLOOKUP(G214,t_entry_status!A:C,2,FALSE)</f>
        <v>PENDING</v>
      </c>
      <c r="I214" s="7">
        <v>45560</v>
      </c>
      <c r="J214" s="1" t="s">
        <v>7449</v>
      </c>
      <c r="K214" s="7">
        <v>45560</v>
      </c>
      <c r="L214" s="1" t="s">
        <v>7449</v>
      </c>
    </row>
    <row r="215" spans="1:12" x14ac:dyDescent="0.25">
      <c r="A215" s="1">
        <v>214</v>
      </c>
      <c r="B215" s="2" t="str">
        <f>_xlfn.CONCAT(C215,"-",VLOOKUP(C215,t_objeto!B:D,3,FALSE),"-",A215)</f>
        <v>RRPP-PERCCO-214</v>
      </c>
      <c r="C215" s="1" t="s">
        <v>7461</v>
      </c>
      <c r="D215" s="1" t="str">
        <f>VLOOKUP(C215,t_objeto!B:C,2,FALSE)</f>
        <v>RESOURCES_POOL</v>
      </c>
      <c r="E215" s="2" t="s">
        <v>7932</v>
      </c>
      <c r="F215" s="2" t="s">
        <v>8566</v>
      </c>
      <c r="G215" s="1">
        <v>8</v>
      </c>
      <c r="H215" s="1" t="str">
        <f>VLOOKUP(G215,t_entry_status!A:C,2,FALSE)</f>
        <v>PENDING</v>
      </c>
      <c r="I215" s="7">
        <v>45560</v>
      </c>
      <c r="J215" s="1" t="s">
        <v>7449</v>
      </c>
      <c r="K215" s="7">
        <v>45560</v>
      </c>
      <c r="L215" s="1" t="s">
        <v>7449</v>
      </c>
    </row>
    <row r="216" spans="1:12" x14ac:dyDescent="0.25">
      <c r="A216" s="1">
        <v>215</v>
      </c>
      <c r="B216" s="2" t="str">
        <f>_xlfn.CONCAT(C216,"-",VLOOKUP(C216,t_objeto!B:D,3,FALSE),"-",A216)</f>
        <v>RRPP-PERCCO-215</v>
      </c>
      <c r="C216" s="1" t="s">
        <v>7461</v>
      </c>
      <c r="D216" s="1" t="str">
        <f>VLOOKUP(C216,t_objeto!B:C,2,FALSE)</f>
        <v>RESOURCES_POOL</v>
      </c>
      <c r="E216" s="2" t="s">
        <v>7933</v>
      </c>
      <c r="F216" s="2" t="s">
        <v>8567</v>
      </c>
      <c r="G216" s="1">
        <v>8</v>
      </c>
      <c r="H216" s="1" t="str">
        <f>VLOOKUP(G216,t_entry_status!A:C,2,FALSE)</f>
        <v>PENDING</v>
      </c>
      <c r="I216" s="7">
        <v>45560</v>
      </c>
      <c r="J216" s="1" t="s">
        <v>7449</v>
      </c>
      <c r="K216" s="7">
        <v>45560</v>
      </c>
      <c r="L216" s="1" t="s">
        <v>7449</v>
      </c>
    </row>
    <row r="217" spans="1:12" x14ac:dyDescent="0.25">
      <c r="A217" s="1">
        <v>216</v>
      </c>
      <c r="B217" s="2" t="str">
        <f>_xlfn.CONCAT(C217,"-",VLOOKUP(C217,t_objeto!B:D,3,FALSE),"-",A217)</f>
        <v>RRPP-PERCCO-216</v>
      </c>
      <c r="C217" s="1" t="s">
        <v>7461</v>
      </c>
      <c r="D217" s="1" t="str">
        <f>VLOOKUP(C217,t_objeto!B:C,2,FALSE)</f>
        <v>RESOURCES_POOL</v>
      </c>
      <c r="E217" s="2" t="s">
        <v>7934</v>
      </c>
      <c r="F217" s="2" t="s">
        <v>8568</v>
      </c>
      <c r="G217" s="1">
        <v>8</v>
      </c>
      <c r="H217" s="1" t="str">
        <f>VLOOKUP(G217,t_entry_status!A:C,2,FALSE)</f>
        <v>PENDING</v>
      </c>
      <c r="I217" s="7">
        <v>45560</v>
      </c>
      <c r="J217" s="1" t="s">
        <v>7449</v>
      </c>
      <c r="K217" s="7">
        <v>45560</v>
      </c>
      <c r="L217" s="1" t="s">
        <v>7449</v>
      </c>
    </row>
    <row r="218" spans="1:12" x14ac:dyDescent="0.25">
      <c r="A218" s="1">
        <v>217</v>
      </c>
      <c r="B218" s="2" t="str">
        <f>_xlfn.CONCAT(C218,"-",VLOOKUP(C218,t_objeto!B:D,3,FALSE),"-",A218)</f>
        <v>RRPP-PERCCO-217</v>
      </c>
      <c r="C218" s="1" t="s">
        <v>7461</v>
      </c>
      <c r="D218" s="1" t="str">
        <f>VLOOKUP(C218,t_objeto!B:C,2,FALSE)</f>
        <v>RESOURCES_POOL</v>
      </c>
      <c r="E218" s="2" t="s">
        <v>7935</v>
      </c>
      <c r="F218" s="2" t="s">
        <v>8569</v>
      </c>
      <c r="G218" s="1">
        <v>8</v>
      </c>
      <c r="H218" s="1" t="str">
        <f>VLOOKUP(G218,t_entry_status!A:C,2,FALSE)</f>
        <v>PENDING</v>
      </c>
      <c r="I218" s="7">
        <v>45560</v>
      </c>
      <c r="J218" s="1" t="s">
        <v>7449</v>
      </c>
      <c r="K218" s="7">
        <v>45560</v>
      </c>
      <c r="L218" s="1" t="s">
        <v>7449</v>
      </c>
    </row>
    <row r="219" spans="1:12" x14ac:dyDescent="0.25">
      <c r="A219" s="1">
        <v>218</v>
      </c>
      <c r="B219" s="2" t="str">
        <f>_xlfn.CONCAT(C219,"-",VLOOKUP(C219,t_objeto!B:D,3,FALSE),"-",A219)</f>
        <v>RRPP-PERCCO-218</v>
      </c>
      <c r="C219" s="1" t="s">
        <v>7461</v>
      </c>
      <c r="D219" s="1" t="str">
        <f>VLOOKUP(C219,t_objeto!B:C,2,FALSE)</f>
        <v>RESOURCES_POOL</v>
      </c>
      <c r="E219" s="2" t="s">
        <v>7936</v>
      </c>
      <c r="F219" s="2" t="s">
        <v>8570</v>
      </c>
      <c r="G219" s="1">
        <v>8</v>
      </c>
      <c r="H219" s="1" t="str">
        <f>VLOOKUP(G219,t_entry_status!A:C,2,FALSE)</f>
        <v>PENDING</v>
      </c>
      <c r="I219" s="7">
        <v>45560</v>
      </c>
      <c r="J219" s="1" t="s">
        <v>7449</v>
      </c>
      <c r="K219" s="7">
        <v>45560</v>
      </c>
      <c r="L219" s="1" t="s">
        <v>7449</v>
      </c>
    </row>
    <row r="220" spans="1:12" x14ac:dyDescent="0.25">
      <c r="A220" s="1">
        <v>219</v>
      </c>
      <c r="B220" s="2" t="str">
        <f>_xlfn.CONCAT(C220,"-",VLOOKUP(C220,t_objeto!B:D,3,FALSE),"-",A220)</f>
        <v>RRPP-PERCCO-219</v>
      </c>
      <c r="C220" s="1" t="s">
        <v>7461</v>
      </c>
      <c r="D220" s="1" t="str">
        <f>VLOOKUP(C220,t_objeto!B:C,2,FALSE)</f>
        <v>RESOURCES_POOL</v>
      </c>
      <c r="E220" s="2" t="s">
        <v>7937</v>
      </c>
      <c r="F220" s="2" t="s">
        <v>8571</v>
      </c>
      <c r="G220" s="1">
        <v>8</v>
      </c>
      <c r="H220" s="1" t="str">
        <f>VLOOKUP(G220,t_entry_status!A:C,2,FALSE)</f>
        <v>PENDING</v>
      </c>
      <c r="I220" s="7">
        <v>45560</v>
      </c>
      <c r="J220" s="1" t="s">
        <v>7449</v>
      </c>
      <c r="K220" s="7">
        <v>45560</v>
      </c>
      <c r="L220" s="1" t="s">
        <v>7449</v>
      </c>
    </row>
    <row r="221" spans="1:12" x14ac:dyDescent="0.25">
      <c r="A221" s="1">
        <v>220</v>
      </c>
      <c r="B221" s="2" t="str">
        <f>_xlfn.CONCAT(C221,"-",VLOOKUP(C221,t_objeto!B:D,3,FALSE),"-",A221)</f>
        <v>RRPP-PERCCO-220</v>
      </c>
      <c r="C221" s="1" t="s">
        <v>7461</v>
      </c>
      <c r="D221" s="1" t="str">
        <f>VLOOKUP(C221,t_objeto!B:C,2,FALSE)</f>
        <v>RESOURCES_POOL</v>
      </c>
      <c r="E221" s="2" t="s">
        <v>7938</v>
      </c>
      <c r="F221" s="2" t="s">
        <v>8572</v>
      </c>
      <c r="G221" s="1">
        <v>8</v>
      </c>
      <c r="H221" s="1" t="str">
        <f>VLOOKUP(G221,t_entry_status!A:C,2,FALSE)</f>
        <v>PENDING</v>
      </c>
      <c r="I221" s="7">
        <v>45560</v>
      </c>
      <c r="J221" s="1" t="s">
        <v>7449</v>
      </c>
      <c r="K221" s="7">
        <v>45560</v>
      </c>
      <c r="L221" s="1" t="s">
        <v>7449</v>
      </c>
    </row>
    <row r="222" spans="1:12" x14ac:dyDescent="0.25">
      <c r="A222" s="1">
        <v>221</v>
      </c>
      <c r="B222" s="2" t="str">
        <f>_xlfn.CONCAT(C222,"-",VLOOKUP(C222,t_objeto!B:D,3,FALSE),"-",A222)</f>
        <v>RRPP-PERCCO-221</v>
      </c>
      <c r="C222" s="1" t="s">
        <v>7461</v>
      </c>
      <c r="D222" s="1" t="str">
        <f>VLOOKUP(C222,t_objeto!B:C,2,FALSE)</f>
        <v>RESOURCES_POOL</v>
      </c>
      <c r="E222" s="2" t="s">
        <v>7939</v>
      </c>
      <c r="F222" s="2" t="s">
        <v>8573</v>
      </c>
      <c r="G222" s="1">
        <v>8</v>
      </c>
      <c r="H222" s="1" t="str">
        <f>VLOOKUP(G222,t_entry_status!A:C,2,FALSE)</f>
        <v>PENDING</v>
      </c>
      <c r="I222" s="7">
        <v>45560</v>
      </c>
      <c r="J222" s="1" t="s">
        <v>7449</v>
      </c>
      <c r="K222" s="7">
        <v>45560</v>
      </c>
      <c r="L222" s="1" t="s">
        <v>7449</v>
      </c>
    </row>
    <row r="223" spans="1:12" x14ac:dyDescent="0.25">
      <c r="A223" s="1">
        <v>222</v>
      </c>
      <c r="B223" s="2" t="str">
        <f>_xlfn.CONCAT(C223,"-",VLOOKUP(C223,t_objeto!B:D,3,FALSE),"-",A223)</f>
        <v>RRPP-PERCCO-222</v>
      </c>
      <c r="C223" s="1" t="s">
        <v>7461</v>
      </c>
      <c r="D223" s="1" t="str">
        <f>VLOOKUP(C223,t_objeto!B:C,2,FALSE)</f>
        <v>RESOURCES_POOL</v>
      </c>
      <c r="E223" s="2" t="s">
        <v>7940</v>
      </c>
      <c r="F223" s="2" t="s">
        <v>8574</v>
      </c>
      <c r="G223" s="1">
        <v>8</v>
      </c>
      <c r="H223" s="1" t="str">
        <f>VLOOKUP(G223,t_entry_status!A:C,2,FALSE)</f>
        <v>PENDING</v>
      </c>
      <c r="I223" s="7">
        <v>45560</v>
      </c>
      <c r="J223" s="1" t="s">
        <v>7449</v>
      </c>
      <c r="K223" s="7">
        <v>45560</v>
      </c>
      <c r="L223" s="1" t="s">
        <v>7449</v>
      </c>
    </row>
    <row r="224" spans="1:12" x14ac:dyDescent="0.25">
      <c r="A224" s="1">
        <v>223</v>
      </c>
      <c r="B224" s="2" t="str">
        <f>_xlfn.CONCAT(C224,"-",VLOOKUP(C224,t_objeto!B:D,3,FALSE),"-",A224)</f>
        <v>RRPP-PERCCO-223</v>
      </c>
      <c r="C224" s="1" t="s">
        <v>7461</v>
      </c>
      <c r="D224" s="1" t="str">
        <f>VLOOKUP(C224,t_objeto!B:C,2,FALSE)</f>
        <v>RESOURCES_POOL</v>
      </c>
      <c r="E224" s="2" t="s">
        <v>7941</v>
      </c>
      <c r="F224" s="2" t="s">
        <v>8575</v>
      </c>
      <c r="G224" s="1">
        <v>8</v>
      </c>
      <c r="H224" s="1" t="str">
        <f>VLOOKUP(G224,t_entry_status!A:C,2,FALSE)</f>
        <v>PENDING</v>
      </c>
      <c r="I224" s="7">
        <v>45560</v>
      </c>
      <c r="J224" s="1" t="s">
        <v>7449</v>
      </c>
      <c r="K224" s="7">
        <v>45560</v>
      </c>
      <c r="L224" s="1" t="s">
        <v>7449</v>
      </c>
    </row>
    <row r="225" spans="1:12" x14ac:dyDescent="0.25">
      <c r="A225" s="1">
        <v>224</v>
      </c>
      <c r="B225" s="2" t="str">
        <f>_xlfn.CONCAT(C225,"-",VLOOKUP(C225,t_objeto!B:D,3,FALSE),"-",A225)</f>
        <v>RRPP-PERCCO-224</v>
      </c>
      <c r="C225" s="1" t="s">
        <v>7461</v>
      </c>
      <c r="D225" s="1" t="str">
        <f>VLOOKUP(C225,t_objeto!B:C,2,FALSE)</f>
        <v>RESOURCES_POOL</v>
      </c>
      <c r="E225" s="2" t="s">
        <v>7942</v>
      </c>
      <c r="F225" s="2" t="s">
        <v>8576</v>
      </c>
      <c r="G225" s="1">
        <v>8</v>
      </c>
      <c r="H225" s="1" t="str">
        <f>VLOOKUP(G225,t_entry_status!A:C,2,FALSE)</f>
        <v>PENDING</v>
      </c>
      <c r="I225" s="7">
        <v>45560</v>
      </c>
      <c r="J225" s="1" t="s">
        <v>7449</v>
      </c>
      <c r="K225" s="7">
        <v>45560</v>
      </c>
      <c r="L225" s="1" t="s">
        <v>7449</v>
      </c>
    </row>
    <row r="226" spans="1:12" x14ac:dyDescent="0.25">
      <c r="A226" s="1">
        <v>225</v>
      </c>
      <c r="B226" s="2" t="str">
        <f>_xlfn.CONCAT(C226,"-",VLOOKUP(C226,t_objeto!B:D,3,FALSE),"-",A226)</f>
        <v>RRPP-PERCCO-225</v>
      </c>
      <c r="C226" s="1" t="s">
        <v>7461</v>
      </c>
      <c r="D226" s="1" t="str">
        <f>VLOOKUP(C226,t_objeto!B:C,2,FALSE)</f>
        <v>RESOURCES_POOL</v>
      </c>
      <c r="E226" s="2" t="s">
        <v>7943</v>
      </c>
      <c r="F226" s="2" t="s">
        <v>8577</v>
      </c>
      <c r="G226" s="1">
        <v>8</v>
      </c>
      <c r="H226" s="1" t="str">
        <f>VLOOKUP(G226,t_entry_status!A:C,2,FALSE)</f>
        <v>PENDING</v>
      </c>
      <c r="I226" s="7">
        <v>45560</v>
      </c>
      <c r="J226" s="1" t="s">
        <v>7449</v>
      </c>
      <c r="K226" s="7">
        <v>45560</v>
      </c>
      <c r="L226" s="1" t="s">
        <v>7449</v>
      </c>
    </row>
    <row r="227" spans="1:12" x14ac:dyDescent="0.25">
      <c r="A227" s="1">
        <v>226</v>
      </c>
      <c r="B227" s="2" t="str">
        <f>_xlfn.CONCAT(C227,"-",VLOOKUP(C227,t_objeto!B:D,3,FALSE),"-",A227)</f>
        <v>RRPP-PERCCO-226</v>
      </c>
      <c r="C227" s="1" t="s">
        <v>7461</v>
      </c>
      <c r="D227" s="1" t="str">
        <f>VLOOKUP(C227,t_objeto!B:C,2,FALSE)</f>
        <v>RESOURCES_POOL</v>
      </c>
      <c r="E227" s="2" t="s">
        <v>7944</v>
      </c>
      <c r="F227" s="2" t="s">
        <v>8578</v>
      </c>
      <c r="G227" s="1">
        <v>8</v>
      </c>
      <c r="H227" s="1" t="str">
        <f>VLOOKUP(G227,t_entry_status!A:C,2,FALSE)</f>
        <v>PENDING</v>
      </c>
      <c r="I227" s="7">
        <v>45560</v>
      </c>
      <c r="J227" s="1" t="s">
        <v>7449</v>
      </c>
      <c r="K227" s="7">
        <v>45560</v>
      </c>
      <c r="L227" s="1" t="s">
        <v>7449</v>
      </c>
    </row>
    <row r="228" spans="1:12" x14ac:dyDescent="0.25">
      <c r="A228" s="1">
        <v>227</v>
      </c>
      <c r="B228" s="2" t="str">
        <f>_xlfn.CONCAT(C228,"-",VLOOKUP(C228,t_objeto!B:D,3,FALSE),"-",A228)</f>
        <v>RRPP-PERCCO-227</v>
      </c>
      <c r="C228" s="1" t="s">
        <v>7461</v>
      </c>
      <c r="D228" s="1" t="str">
        <f>VLOOKUP(C228,t_objeto!B:C,2,FALSE)</f>
        <v>RESOURCES_POOL</v>
      </c>
      <c r="E228" s="2" t="s">
        <v>7945</v>
      </c>
      <c r="F228" s="2" t="s">
        <v>8579</v>
      </c>
      <c r="G228" s="1">
        <v>8</v>
      </c>
      <c r="H228" s="1" t="str">
        <f>VLOOKUP(G228,t_entry_status!A:C,2,FALSE)</f>
        <v>PENDING</v>
      </c>
      <c r="I228" s="7">
        <v>45560</v>
      </c>
      <c r="J228" s="1" t="s">
        <v>7449</v>
      </c>
      <c r="K228" s="7">
        <v>45560</v>
      </c>
      <c r="L228" s="1" t="s">
        <v>7449</v>
      </c>
    </row>
    <row r="229" spans="1:12" x14ac:dyDescent="0.25">
      <c r="A229" s="1">
        <v>228</v>
      </c>
      <c r="B229" s="2" t="str">
        <f>_xlfn.CONCAT(C229,"-",VLOOKUP(C229,t_objeto!B:D,3,FALSE),"-",A229)</f>
        <v>RRPP-PERCCO-228</v>
      </c>
      <c r="C229" s="1" t="s">
        <v>7461</v>
      </c>
      <c r="D229" s="1" t="str">
        <f>VLOOKUP(C229,t_objeto!B:C,2,FALSE)</f>
        <v>RESOURCES_POOL</v>
      </c>
      <c r="E229" s="2" t="s">
        <v>7946</v>
      </c>
      <c r="F229" s="2" t="s">
        <v>8580</v>
      </c>
      <c r="G229" s="1">
        <v>8</v>
      </c>
      <c r="H229" s="1" t="str">
        <f>VLOOKUP(G229,t_entry_status!A:C,2,FALSE)</f>
        <v>PENDING</v>
      </c>
      <c r="I229" s="7">
        <v>45560</v>
      </c>
      <c r="J229" s="1" t="s">
        <v>7449</v>
      </c>
      <c r="K229" s="7">
        <v>45560</v>
      </c>
      <c r="L229" s="1" t="s">
        <v>7449</v>
      </c>
    </row>
    <row r="230" spans="1:12" x14ac:dyDescent="0.25">
      <c r="A230" s="1">
        <v>229</v>
      </c>
      <c r="B230" s="2" t="str">
        <f>_xlfn.CONCAT(C230,"-",VLOOKUP(C230,t_objeto!B:D,3,FALSE),"-",A230)</f>
        <v>RRPP-PERCCO-229</v>
      </c>
      <c r="C230" s="1" t="s">
        <v>7461</v>
      </c>
      <c r="D230" s="1" t="str">
        <f>VLOOKUP(C230,t_objeto!B:C,2,FALSE)</f>
        <v>RESOURCES_POOL</v>
      </c>
      <c r="E230" s="2" t="s">
        <v>7947</v>
      </c>
      <c r="F230" s="2" t="s">
        <v>8581</v>
      </c>
      <c r="G230" s="1">
        <v>8</v>
      </c>
      <c r="H230" s="1" t="str">
        <f>VLOOKUP(G230,t_entry_status!A:C,2,FALSE)</f>
        <v>PENDING</v>
      </c>
      <c r="I230" s="7">
        <v>45560</v>
      </c>
      <c r="J230" s="1" t="s">
        <v>7449</v>
      </c>
      <c r="K230" s="7">
        <v>45560</v>
      </c>
      <c r="L230" s="1" t="s">
        <v>7449</v>
      </c>
    </row>
    <row r="231" spans="1:12" x14ac:dyDescent="0.25">
      <c r="A231" s="1">
        <v>230</v>
      </c>
      <c r="B231" s="2" t="str">
        <f>_xlfn.CONCAT(C231,"-",VLOOKUP(C231,t_objeto!B:D,3,FALSE),"-",A231)</f>
        <v>RRPP-PERCCO-230</v>
      </c>
      <c r="C231" s="1" t="s">
        <v>7461</v>
      </c>
      <c r="D231" s="1" t="str">
        <f>VLOOKUP(C231,t_objeto!B:C,2,FALSE)</f>
        <v>RESOURCES_POOL</v>
      </c>
      <c r="E231" s="2" t="s">
        <v>7948</v>
      </c>
      <c r="F231" s="2" t="s">
        <v>8582</v>
      </c>
      <c r="G231" s="1">
        <v>8</v>
      </c>
      <c r="H231" s="1" t="str">
        <f>VLOOKUP(G231,t_entry_status!A:C,2,FALSE)</f>
        <v>PENDING</v>
      </c>
      <c r="I231" s="7">
        <v>45560</v>
      </c>
      <c r="J231" s="1" t="s">
        <v>7449</v>
      </c>
      <c r="K231" s="7">
        <v>45560</v>
      </c>
      <c r="L231" s="1" t="s">
        <v>7449</v>
      </c>
    </row>
    <row r="232" spans="1:12" x14ac:dyDescent="0.25">
      <c r="A232" s="1">
        <v>231</v>
      </c>
      <c r="B232" s="2" t="str">
        <f>_xlfn.CONCAT(C232,"-",VLOOKUP(C232,t_objeto!B:D,3,FALSE),"-",A232)</f>
        <v>RRPP-PERCCO-231</v>
      </c>
      <c r="C232" s="1" t="s">
        <v>7461</v>
      </c>
      <c r="D232" s="1" t="str">
        <f>VLOOKUP(C232,t_objeto!B:C,2,FALSE)</f>
        <v>RESOURCES_POOL</v>
      </c>
      <c r="E232" s="2" t="s">
        <v>7949</v>
      </c>
      <c r="F232" s="2" t="s">
        <v>8583</v>
      </c>
      <c r="G232" s="1">
        <v>8</v>
      </c>
      <c r="H232" s="1" t="str">
        <f>VLOOKUP(G232,t_entry_status!A:C,2,FALSE)</f>
        <v>PENDING</v>
      </c>
      <c r="I232" s="7">
        <v>45560</v>
      </c>
      <c r="J232" s="1" t="s">
        <v>7449</v>
      </c>
      <c r="K232" s="7">
        <v>45560</v>
      </c>
      <c r="L232" s="1" t="s">
        <v>7449</v>
      </c>
    </row>
    <row r="233" spans="1:12" x14ac:dyDescent="0.25">
      <c r="A233" s="1">
        <v>232</v>
      </c>
      <c r="B233" s="2" t="str">
        <f>_xlfn.CONCAT(C233,"-",VLOOKUP(C233,t_objeto!B:D,3,FALSE),"-",A233)</f>
        <v>RRPP-PERCCO-232</v>
      </c>
      <c r="C233" s="1" t="s">
        <v>7461</v>
      </c>
      <c r="D233" s="1" t="str">
        <f>VLOOKUP(C233,t_objeto!B:C,2,FALSE)</f>
        <v>RESOURCES_POOL</v>
      </c>
      <c r="E233" s="2" t="s">
        <v>7950</v>
      </c>
      <c r="F233" s="2" t="s">
        <v>8584</v>
      </c>
      <c r="G233" s="1">
        <v>8</v>
      </c>
      <c r="H233" s="1" t="str">
        <f>VLOOKUP(G233,t_entry_status!A:C,2,FALSE)</f>
        <v>PENDING</v>
      </c>
      <c r="I233" s="7">
        <v>45560</v>
      </c>
      <c r="J233" s="1" t="s">
        <v>7449</v>
      </c>
      <c r="K233" s="7">
        <v>45560</v>
      </c>
      <c r="L233" s="1" t="s">
        <v>7449</v>
      </c>
    </row>
    <row r="234" spans="1:12" x14ac:dyDescent="0.25">
      <c r="A234" s="1">
        <v>233</v>
      </c>
      <c r="B234" s="2" t="str">
        <f>_xlfn.CONCAT(C234,"-",VLOOKUP(C234,t_objeto!B:D,3,FALSE),"-",A234)</f>
        <v>RRPP-PERCCO-233</v>
      </c>
      <c r="C234" s="1" t="s">
        <v>7461</v>
      </c>
      <c r="D234" s="1" t="str">
        <f>VLOOKUP(C234,t_objeto!B:C,2,FALSE)</f>
        <v>RESOURCES_POOL</v>
      </c>
      <c r="E234" s="2" t="s">
        <v>7951</v>
      </c>
      <c r="F234" s="2" t="s">
        <v>8585</v>
      </c>
      <c r="G234" s="1">
        <v>8</v>
      </c>
      <c r="H234" s="1" t="str">
        <f>VLOOKUP(G234,t_entry_status!A:C,2,FALSE)</f>
        <v>PENDING</v>
      </c>
      <c r="I234" s="7">
        <v>45560</v>
      </c>
      <c r="J234" s="1" t="s">
        <v>7449</v>
      </c>
      <c r="K234" s="7">
        <v>45560</v>
      </c>
      <c r="L234" s="1" t="s">
        <v>7449</v>
      </c>
    </row>
    <row r="235" spans="1:12" x14ac:dyDescent="0.25">
      <c r="A235" s="1">
        <v>234</v>
      </c>
      <c r="B235" s="2" t="str">
        <f>_xlfn.CONCAT(C235,"-",VLOOKUP(C235,t_objeto!B:D,3,FALSE),"-",A235)</f>
        <v>RRPP-PERCCO-234</v>
      </c>
      <c r="C235" s="1" t="s">
        <v>7461</v>
      </c>
      <c r="D235" s="1" t="str">
        <f>VLOOKUP(C235,t_objeto!B:C,2,FALSE)</f>
        <v>RESOURCES_POOL</v>
      </c>
      <c r="E235" s="2" t="s">
        <v>7952</v>
      </c>
      <c r="F235" s="2" t="s">
        <v>8586</v>
      </c>
      <c r="G235" s="1">
        <v>8</v>
      </c>
      <c r="H235" s="1" t="str">
        <f>VLOOKUP(G235,t_entry_status!A:C,2,FALSE)</f>
        <v>PENDING</v>
      </c>
      <c r="I235" s="7">
        <v>45560</v>
      </c>
      <c r="J235" s="1" t="s">
        <v>7449</v>
      </c>
      <c r="K235" s="7">
        <v>45560</v>
      </c>
      <c r="L235" s="1" t="s">
        <v>7449</v>
      </c>
    </row>
    <row r="236" spans="1:12" x14ac:dyDescent="0.25">
      <c r="A236" s="1">
        <v>235</v>
      </c>
      <c r="B236" s="2" t="str">
        <f>_xlfn.CONCAT(C236,"-",VLOOKUP(C236,t_objeto!B:D,3,FALSE),"-",A236)</f>
        <v>RRPP-PERCCO-235</v>
      </c>
      <c r="C236" s="1" t="s">
        <v>7461</v>
      </c>
      <c r="D236" s="1" t="str">
        <f>VLOOKUP(C236,t_objeto!B:C,2,FALSE)</f>
        <v>RESOURCES_POOL</v>
      </c>
      <c r="E236" s="2" t="s">
        <v>7953</v>
      </c>
      <c r="F236" s="2" t="s">
        <v>8587</v>
      </c>
      <c r="G236" s="1">
        <v>8</v>
      </c>
      <c r="H236" s="1" t="str">
        <f>VLOOKUP(G236,t_entry_status!A:C,2,FALSE)</f>
        <v>PENDING</v>
      </c>
      <c r="I236" s="7">
        <v>45560</v>
      </c>
      <c r="J236" s="1" t="s">
        <v>7449</v>
      </c>
      <c r="K236" s="7">
        <v>45560</v>
      </c>
      <c r="L236" s="1" t="s">
        <v>7449</v>
      </c>
    </row>
    <row r="237" spans="1:12" x14ac:dyDescent="0.25">
      <c r="A237" s="1">
        <v>236</v>
      </c>
      <c r="B237" s="2" t="str">
        <f>_xlfn.CONCAT(C237,"-",VLOOKUP(C237,t_objeto!B:D,3,FALSE),"-",A237)</f>
        <v>RRPP-PERCCO-236</v>
      </c>
      <c r="C237" s="1" t="s">
        <v>7461</v>
      </c>
      <c r="D237" s="1" t="str">
        <f>VLOOKUP(C237,t_objeto!B:C,2,FALSE)</f>
        <v>RESOURCES_POOL</v>
      </c>
      <c r="E237" s="2" t="s">
        <v>7954</v>
      </c>
      <c r="F237" s="2" t="s">
        <v>8588</v>
      </c>
      <c r="G237" s="1">
        <v>8</v>
      </c>
      <c r="H237" s="1" t="str">
        <f>VLOOKUP(G237,t_entry_status!A:C,2,FALSE)</f>
        <v>PENDING</v>
      </c>
      <c r="I237" s="7">
        <v>45560</v>
      </c>
      <c r="J237" s="1" t="s">
        <v>7449</v>
      </c>
      <c r="K237" s="7">
        <v>45560</v>
      </c>
      <c r="L237" s="1" t="s">
        <v>7449</v>
      </c>
    </row>
    <row r="238" spans="1:12" x14ac:dyDescent="0.25">
      <c r="A238" s="1">
        <v>237</v>
      </c>
      <c r="B238" s="2" t="str">
        <f>_xlfn.CONCAT(C238,"-",VLOOKUP(C238,t_objeto!B:D,3,FALSE),"-",A238)</f>
        <v>RRPP-PERCCO-237</v>
      </c>
      <c r="C238" s="1" t="s">
        <v>7461</v>
      </c>
      <c r="D238" s="1" t="str">
        <f>VLOOKUP(C238,t_objeto!B:C,2,FALSE)</f>
        <v>RESOURCES_POOL</v>
      </c>
      <c r="E238" s="2" t="s">
        <v>7955</v>
      </c>
      <c r="F238" s="2" t="s">
        <v>8589</v>
      </c>
      <c r="G238" s="1">
        <v>8</v>
      </c>
      <c r="H238" s="1" t="str">
        <f>VLOOKUP(G238,t_entry_status!A:C,2,FALSE)</f>
        <v>PENDING</v>
      </c>
      <c r="I238" s="7">
        <v>45560</v>
      </c>
      <c r="J238" s="1" t="s">
        <v>7449</v>
      </c>
      <c r="K238" s="7">
        <v>45560</v>
      </c>
      <c r="L238" s="1" t="s">
        <v>7449</v>
      </c>
    </row>
    <row r="239" spans="1:12" x14ac:dyDescent="0.25">
      <c r="A239" s="1">
        <v>238</v>
      </c>
      <c r="B239" s="2" t="str">
        <f>_xlfn.CONCAT(C239,"-",VLOOKUP(C239,t_objeto!B:D,3,FALSE),"-",A239)</f>
        <v>RRPP-PERCCO-238</v>
      </c>
      <c r="C239" s="1" t="s">
        <v>7461</v>
      </c>
      <c r="D239" s="1" t="str">
        <f>VLOOKUP(C239,t_objeto!B:C,2,FALSE)</f>
        <v>RESOURCES_POOL</v>
      </c>
      <c r="E239" s="2" t="s">
        <v>7956</v>
      </c>
      <c r="F239" s="2" t="s">
        <v>8590</v>
      </c>
      <c r="G239" s="1">
        <v>8</v>
      </c>
      <c r="H239" s="1" t="str">
        <f>VLOOKUP(G239,t_entry_status!A:C,2,FALSE)</f>
        <v>PENDING</v>
      </c>
      <c r="I239" s="7">
        <v>45560</v>
      </c>
      <c r="J239" s="1" t="s">
        <v>7449</v>
      </c>
      <c r="K239" s="7">
        <v>45560</v>
      </c>
      <c r="L239" s="1" t="s">
        <v>7449</v>
      </c>
    </row>
    <row r="240" spans="1:12" x14ac:dyDescent="0.25">
      <c r="A240" s="1">
        <v>239</v>
      </c>
      <c r="B240" s="2" t="str">
        <f>_xlfn.CONCAT(C240,"-",VLOOKUP(C240,t_objeto!B:D,3,FALSE),"-",A240)</f>
        <v>RRPP-PERCCO-239</v>
      </c>
      <c r="C240" s="1" t="s">
        <v>7461</v>
      </c>
      <c r="D240" s="1" t="str">
        <f>VLOOKUP(C240,t_objeto!B:C,2,FALSE)</f>
        <v>RESOURCES_POOL</v>
      </c>
      <c r="E240" s="2" t="s">
        <v>7957</v>
      </c>
      <c r="F240" s="2" t="s">
        <v>8591</v>
      </c>
      <c r="G240" s="1">
        <v>8</v>
      </c>
      <c r="H240" s="1" t="str">
        <f>VLOOKUP(G240,t_entry_status!A:C,2,FALSE)</f>
        <v>PENDING</v>
      </c>
      <c r="I240" s="7">
        <v>45560</v>
      </c>
      <c r="J240" s="1" t="s">
        <v>7449</v>
      </c>
      <c r="K240" s="7">
        <v>45560</v>
      </c>
      <c r="L240" s="1" t="s">
        <v>7449</v>
      </c>
    </row>
    <row r="241" spans="1:12" x14ac:dyDescent="0.25">
      <c r="A241" s="1">
        <v>240</v>
      </c>
      <c r="B241" s="2" t="str">
        <f>_xlfn.CONCAT(C241,"-",VLOOKUP(C241,t_objeto!B:D,3,FALSE),"-",A241)</f>
        <v>RRPP-PERCCO-240</v>
      </c>
      <c r="C241" s="1" t="s">
        <v>7461</v>
      </c>
      <c r="D241" s="1" t="str">
        <f>VLOOKUP(C241,t_objeto!B:C,2,FALSE)</f>
        <v>RESOURCES_POOL</v>
      </c>
      <c r="E241" s="2" t="s">
        <v>7958</v>
      </c>
      <c r="F241" s="2" t="s">
        <v>8592</v>
      </c>
      <c r="G241" s="1">
        <v>8</v>
      </c>
      <c r="H241" s="1" t="str">
        <f>VLOOKUP(G241,t_entry_status!A:C,2,FALSE)</f>
        <v>PENDING</v>
      </c>
      <c r="I241" s="7">
        <v>45560</v>
      </c>
      <c r="J241" s="1" t="s">
        <v>7449</v>
      </c>
      <c r="K241" s="7">
        <v>45560</v>
      </c>
      <c r="L241" s="1" t="s">
        <v>7449</v>
      </c>
    </row>
    <row r="242" spans="1:12" x14ac:dyDescent="0.25">
      <c r="A242" s="1">
        <v>241</v>
      </c>
      <c r="B242" s="2" t="str">
        <f>_xlfn.CONCAT(C242,"-",VLOOKUP(C242,t_objeto!B:D,3,FALSE),"-",A242)</f>
        <v>RRPP-PERCCO-241</v>
      </c>
      <c r="C242" s="1" t="s">
        <v>7461</v>
      </c>
      <c r="D242" s="1" t="str">
        <f>VLOOKUP(C242,t_objeto!B:C,2,FALSE)</f>
        <v>RESOURCES_POOL</v>
      </c>
      <c r="E242" s="2" t="s">
        <v>7959</v>
      </c>
      <c r="F242" s="2" t="s">
        <v>8593</v>
      </c>
      <c r="G242" s="1">
        <v>8</v>
      </c>
      <c r="H242" s="1" t="str">
        <f>VLOOKUP(G242,t_entry_status!A:C,2,FALSE)</f>
        <v>PENDING</v>
      </c>
      <c r="I242" s="7">
        <v>45560</v>
      </c>
      <c r="J242" s="1" t="s">
        <v>7449</v>
      </c>
      <c r="K242" s="7">
        <v>45560</v>
      </c>
      <c r="L242" s="1" t="s">
        <v>7449</v>
      </c>
    </row>
    <row r="243" spans="1:12" x14ac:dyDescent="0.25">
      <c r="A243" s="1">
        <v>242</v>
      </c>
      <c r="B243" s="2" t="str">
        <f>_xlfn.CONCAT(C243,"-",VLOOKUP(C243,t_objeto!B:D,3,FALSE),"-",A243)</f>
        <v>RRPP-PERCCO-242</v>
      </c>
      <c r="C243" s="1" t="s">
        <v>7461</v>
      </c>
      <c r="D243" s="1" t="str">
        <f>VLOOKUP(C243,t_objeto!B:C,2,FALSE)</f>
        <v>RESOURCES_POOL</v>
      </c>
      <c r="E243" s="2" t="s">
        <v>7960</v>
      </c>
      <c r="F243" s="2" t="s">
        <v>8594</v>
      </c>
      <c r="G243" s="1">
        <v>8</v>
      </c>
      <c r="H243" s="1" t="str">
        <f>VLOOKUP(G243,t_entry_status!A:C,2,FALSE)</f>
        <v>PENDING</v>
      </c>
      <c r="I243" s="7">
        <v>45560</v>
      </c>
      <c r="J243" s="1" t="s">
        <v>7449</v>
      </c>
      <c r="K243" s="7">
        <v>45560</v>
      </c>
      <c r="L243" s="1" t="s">
        <v>7449</v>
      </c>
    </row>
    <row r="244" spans="1:12" x14ac:dyDescent="0.25">
      <c r="A244" s="1">
        <v>243</v>
      </c>
      <c r="B244" s="2" t="str">
        <f>_xlfn.CONCAT(C244,"-",VLOOKUP(C244,t_objeto!B:D,3,FALSE),"-",A244)</f>
        <v>RRPP-PERCCO-243</v>
      </c>
      <c r="C244" s="1" t="s">
        <v>7461</v>
      </c>
      <c r="D244" s="1" t="str">
        <f>VLOOKUP(C244,t_objeto!B:C,2,FALSE)</f>
        <v>RESOURCES_POOL</v>
      </c>
      <c r="E244" s="2" t="s">
        <v>7961</v>
      </c>
      <c r="F244" s="2" t="s">
        <v>8595</v>
      </c>
      <c r="G244" s="1">
        <v>8</v>
      </c>
      <c r="H244" s="1" t="str">
        <f>VLOOKUP(G244,t_entry_status!A:C,2,FALSE)</f>
        <v>PENDING</v>
      </c>
      <c r="I244" s="7">
        <v>45560</v>
      </c>
      <c r="J244" s="1" t="s">
        <v>7449</v>
      </c>
      <c r="K244" s="7">
        <v>45560</v>
      </c>
      <c r="L244" s="1" t="s">
        <v>7449</v>
      </c>
    </row>
    <row r="245" spans="1:12" x14ac:dyDescent="0.25">
      <c r="A245" s="1">
        <v>244</v>
      </c>
      <c r="B245" s="2" t="str">
        <f>_xlfn.CONCAT(C245,"-",VLOOKUP(C245,t_objeto!B:D,3,FALSE),"-",A245)</f>
        <v>RRPP-PERCCO-244</v>
      </c>
      <c r="C245" s="1" t="s">
        <v>7461</v>
      </c>
      <c r="D245" s="1" t="str">
        <f>VLOOKUP(C245,t_objeto!B:C,2,FALSE)</f>
        <v>RESOURCES_POOL</v>
      </c>
      <c r="E245" s="2" t="s">
        <v>7962</v>
      </c>
      <c r="F245" s="2" t="s">
        <v>8596</v>
      </c>
      <c r="G245" s="1">
        <v>8</v>
      </c>
      <c r="H245" s="1" t="str">
        <f>VLOOKUP(G245,t_entry_status!A:C,2,FALSE)</f>
        <v>PENDING</v>
      </c>
      <c r="I245" s="7">
        <v>45560</v>
      </c>
      <c r="J245" s="1" t="s">
        <v>7449</v>
      </c>
      <c r="K245" s="7">
        <v>45560</v>
      </c>
      <c r="L245" s="1" t="s">
        <v>7449</v>
      </c>
    </row>
    <row r="246" spans="1:12" x14ac:dyDescent="0.25">
      <c r="A246" s="1">
        <v>245</v>
      </c>
      <c r="B246" s="2" t="str">
        <f>_xlfn.CONCAT(C246,"-",VLOOKUP(C246,t_objeto!B:D,3,FALSE),"-",A246)</f>
        <v>RRPP-PERCCO-245</v>
      </c>
      <c r="C246" s="1" t="s">
        <v>7461</v>
      </c>
      <c r="D246" s="1" t="str">
        <f>VLOOKUP(C246,t_objeto!B:C,2,FALSE)</f>
        <v>RESOURCES_POOL</v>
      </c>
      <c r="E246" s="2" t="s">
        <v>7963</v>
      </c>
      <c r="F246" s="2" t="s">
        <v>8597</v>
      </c>
      <c r="G246" s="1">
        <v>8</v>
      </c>
      <c r="H246" s="1" t="str">
        <f>VLOOKUP(G246,t_entry_status!A:C,2,FALSE)</f>
        <v>PENDING</v>
      </c>
      <c r="I246" s="7">
        <v>45560</v>
      </c>
      <c r="J246" s="1" t="s">
        <v>7449</v>
      </c>
      <c r="K246" s="7">
        <v>45560</v>
      </c>
      <c r="L246" s="1" t="s">
        <v>7449</v>
      </c>
    </row>
    <row r="247" spans="1:12" x14ac:dyDescent="0.25">
      <c r="A247" s="1">
        <v>246</v>
      </c>
      <c r="B247" s="2" t="str">
        <f>_xlfn.CONCAT(C247,"-",VLOOKUP(C247,t_objeto!B:D,3,FALSE),"-",A247)</f>
        <v>RRPP-PERCCO-246</v>
      </c>
      <c r="C247" s="1" t="s">
        <v>7461</v>
      </c>
      <c r="D247" s="1" t="str">
        <f>VLOOKUP(C247,t_objeto!B:C,2,FALSE)</f>
        <v>RESOURCES_POOL</v>
      </c>
      <c r="E247" s="2" t="s">
        <v>7964</v>
      </c>
      <c r="F247" s="2" t="s">
        <v>8598</v>
      </c>
      <c r="G247" s="1">
        <v>8</v>
      </c>
      <c r="H247" s="1" t="str">
        <f>VLOOKUP(G247,t_entry_status!A:C,2,FALSE)</f>
        <v>PENDING</v>
      </c>
      <c r="I247" s="7">
        <v>45560</v>
      </c>
      <c r="J247" s="1" t="s">
        <v>7449</v>
      </c>
      <c r="K247" s="7">
        <v>45560</v>
      </c>
      <c r="L247" s="1" t="s">
        <v>7449</v>
      </c>
    </row>
    <row r="248" spans="1:12" x14ac:dyDescent="0.25">
      <c r="A248" s="1">
        <v>247</v>
      </c>
      <c r="B248" s="2" t="str">
        <f>_xlfn.CONCAT(C248,"-",VLOOKUP(C248,t_objeto!B:D,3,FALSE),"-",A248)</f>
        <v>RRPP-PERCCO-247</v>
      </c>
      <c r="C248" s="1" t="s">
        <v>7461</v>
      </c>
      <c r="D248" s="1" t="str">
        <f>VLOOKUP(C248,t_objeto!B:C,2,FALSE)</f>
        <v>RESOURCES_POOL</v>
      </c>
      <c r="E248" s="2" t="s">
        <v>7965</v>
      </c>
      <c r="F248" s="2" t="s">
        <v>8599</v>
      </c>
      <c r="G248" s="1">
        <v>8</v>
      </c>
      <c r="H248" s="1" t="str">
        <f>VLOOKUP(G248,t_entry_status!A:C,2,FALSE)</f>
        <v>PENDING</v>
      </c>
      <c r="I248" s="7">
        <v>45560</v>
      </c>
      <c r="J248" s="1" t="s">
        <v>7449</v>
      </c>
      <c r="K248" s="7">
        <v>45560</v>
      </c>
      <c r="L248" s="1" t="s">
        <v>7449</v>
      </c>
    </row>
    <row r="249" spans="1:12" x14ac:dyDescent="0.25">
      <c r="A249" s="1">
        <v>248</v>
      </c>
      <c r="B249" s="2" t="str">
        <f>_xlfn.CONCAT(C249,"-",VLOOKUP(C249,t_objeto!B:D,3,FALSE),"-",A249)</f>
        <v>RRPP-PERCCO-248</v>
      </c>
      <c r="C249" s="1" t="s">
        <v>7461</v>
      </c>
      <c r="D249" s="1" t="str">
        <f>VLOOKUP(C249,t_objeto!B:C,2,FALSE)</f>
        <v>RESOURCES_POOL</v>
      </c>
      <c r="E249" s="2" t="s">
        <v>7966</v>
      </c>
      <c r="F249" s="2" t="s">
        <v>8600</v>
      </c>
      <c r="G249" s="1">
        <v>8</v>
      </c>
      <c r="H249" s="1" t="str">
        <f>VLOOKUP(G249,t_entry_status!A:C,2,FALSE)</f>
        <v>PENDING</v>
      </c>
      <c r="I249" s="7">
        <v>45560</v>
      </c>
      <c r="J249" s="1" t="s">
        <v>7449</v>
      </c>
      <c r="K249" s="7">
        <v>45560</v>
      </c>
      <c r="L249" s="1" t="s">
        <v>7449</v>
      </c>
    </row>
    <row r="250" spans="1:12" x14ac:dyDescent="0.25">
      <c r="A250" s="1">
        <v>249</v>
      </c>
      <c r="B250" s="2" t="str">
        <f>_xlfn.CONCAT(C250,"-",VLOOKUP(C250,t_objeto!B:D,3,FALSE),"-",A250)</f>
        <v>RRPP-PERCCO-249</v>
      </c>
      <c r="C250" s="1" t="s">
        <v>7461</v>
      </c>
      <c r="D250" s="1" t="str">
        <f>VLOOKUP(C250,t_objeto!B:C,2,FALSE)</f>
        <v>RESOURCES_POOL</v>
      </c>
      <c r="E250" s="2" t="s">
        <v>7967</v>
      </c>
      <c r="F250" s="2" t="s">
        <v>8601</v>
      </c>
      <c r="G250" s="1">
        <v>8</v>
      </c>
      <c r="H250" s="1" t="str">
        <f>VLOOKUP(G250,t_entry_status!A:C,2,FALSE)</f>
        <v>PENDING</v>
      </c>
      <c r="I250" s="7">
        <v>45560</v>
      </c>
      <c r="J250" s="1" t="s">
        <v>7449</v>
      </c>
      <c r="K250" s="7">
        <v>45560</v>
      </c>
      <c r="L250" s="1" t="s">
        <v>7449</v>
      </c>
    </row>
    <row r="251" spans="1:12" x14ac:dyDescent="0.25">
      <c r="A251" s="1">
        <v>250</v>
      </c>
      <c r="B251" s="2" t="str">
        <f>_xlfn.CONCAT(C251,"-",VLOOKUP(C251,t_objeto!B:D,3,FALSE),"-",A251)</f>
        <v>RRPP-PERCCO-250</v>
      </c>
      <c r="C251" s="1" t="s">
        <v>7461</v>
      </c>
      <c r="D251" s="1" t="str">
        <f>VLOOKUP(C251,t_objeto!B:C,2,FALSE)</f>
        <v>RESOURCES_POOL</v>
      </c>
      <c r="E251" s="2" t="s">
        <v>7968</v>
      </c>
      <c r="F251" s="2" t="s">
        <v>8602</v>
      </c>
      <c r="G251" s="1">
        <v>8</v>
      </c>
      <c r="H251" s="1" t="str">
        <f>VLOOKUP(G251,t_entry_status!A:C,2,FALSE)</f>
        <v>PENDING</v>
      </c>
      <c r="I251" s="7">
        <v>45560</v>
      </c>
      <c r="J251" s="1" t="s">
        <v>7449</v>
      </c>
      <c r="K251" s="7">
        <v>45560</v>
      </c>
      <c r="L251" s="1" t="s">
        <v>7449</v>
      </c>
    </row>
    <row r="252" spans="1:12" x14ac:dyDescent="0.25">
      <c r="A252" s="1">
        <v>251</v>
      </c>
      <c r="B252" s="2" t="str">
        <f>_xlfn.CONCAT(C252,"-",VLOOKUP(C252,t_objeto!B:D,3,FALSE),"-",A252)</f>
        <v>RRPP-PERCCO-251</v>
      </c>
      <c r="C252" s="1" t="s">
        <v>7461</v>
      </c>
      <c r="D252" s="1" t="str">
        <f>VLOOKUP(C252,t_objeto!B:C,2,FALSE)</f>
        <v>RESOURCES_POOL</v>
      </c>
      <c r="E252" s="2" t="s">
        <v>7969</v>
      </c>
      <c r="F252" s="2" t="s">
        <v>8603</v>
      </c>
      <c r="G252" s="1">
        <v>8</v>
      </c>
      <c r="H252" s="1" t="str">
        <f>VLOOKUP(G252,t_entry_status!A:C,2,FALSE)</f>
        <v>PENDING</v>
      </c>
      <c r="I252" s="7">
        <v>45560</v>
      </c>
      <c r="J252" s="1" t="s">
        <v>7449</v>
      </c>
      <c r="K252" s="7">
        <v>45560</v>
      </c>
      <c r="L252" s="1" t="s">
        <v>7449</v>
      </c>
    </row>
    <row r="253" spans="1:12" x14ac:dyDescent="0.25">
      <c r="A253" s="1">
        <v>252</v>
      </c>
      <c r="B253" s="2" t="str">
        <f>_xlfn.CONCAT(C253,"-",VLOOKUP(C253,t_objeto!B:D,3,FALSE),"-",A253)</f>
        <v>RRPP-PERCCO-252</v>
      </c>
      <c r="C253" s="1" t="s">
        <v>7461</v>
      </c>
      <c r="D253" s="1" t="str">
        <f>VLOOKUP(C253,t_objeto!B:C,2,FALSE)</f>
        <v>RESOURCES_POOL</v>
      </c>
      <c r="E253" s="2" t="s">
        <v>7970</v>
      </c>
      <c r="F253" s="2" t="s">
        <v>8604</v>
      </c>
      <c r="G253" s="1">
        <v>8</v>
      </c>
      <c r="H253" s="1" t="str">
        <f>VLOOKUP(G253,t_entry_status!A:C,2,FALSE)</f>
        <v>PENDING</v>
      </c>
      <c r="I253" s="7">
        <v>45560</v>
      </c>
      <c r="J253" s="1" t="s">
        <v>7449</v>
      </c>
      <c r="K253" s="7">
        <v>45560</v>
      </c>
      <c r="L253" s="1" t="s">
        <v>7449</v>
      </c>
    </row>
    <row r="254" spans="1:12" x14ac:dyDescent="0.25">
      <c r="A254" s="1">
        <v>253</v>
      </c>
      <c r="B254" s="2" t="str">
        <f>_xlfn.CONCAT(C254,"-",VLOOKUP(C254,t_objeto!B:D,3,FALSE),"-",A254)</f>
        <v>RRPP-PERCCO-253</v>
      </c>
      <c r="C254" s="1" t="s">
        <v>7461</v>
      </c>
      <c r="D254" s="1" t="str">
        <f>VLOOKUP(C254,t_objeto!B:C,2,FALSE)</f>
        <v>RESOURCES_POOL</v>
      </c>
      <c r="E254" s="2" t="s">
        <v>7971</v>
      </c>
      <c r="F254" s="2" t="s">
        <v>8605</v>
      </c>
      <c r="G254" s="1">
        <v>8</v>
      </c>
      <c r="H254" s="1" t="str">
        <f>VLOOKUP(G254,t_entry_status!A:C,2,FALSE)</f>
        <v>PENDING</v>
      </c>
      <c r="I254" s="7">
        <v>45560</v>
      </c>
      <c r="J254" s="1" t="s">
        <v>7449</v>
      </c>
      <c r="K254" s="7">
        <v>45560</v>
      </c>
      <c r="L254" s="1" t="s">
        <v>7449</v>
      </c>
    </row>
    <row r="255" spans="1:12" x14ac:dyDescent="0.25">
      <c r="A255" s="1">
        <v>254</v>
      </c>
      <c r="B255" s="2" t="str">
        <f>_xlfn.CONCAT(C255,"-",VLOOKUP(C255,t_objeto!B:D,3,FALSE),"-",A255)</f>
        <v>RRPP-PERCCO-254</v>
      </c>
      <c r="C255" s="1" t="s">
        <v>7461</v>
      </c>
      <c r="D255" s="1" t="str">
        <f>VLOOKUP(C255,t_objeto!B:C,2,FALSE)</f>
        <v>RESOURCES_POOL</v>
      </c>
      <c r="E255" s="2" t="s">
        <v>7972</v>
      </c>
      <c r="F255" s="2" t="s">
        <v>8606</v>
      </c>
      <c r="G255" s="1">
        <v>8</v>
      </c>
      <c r="H255" s="1" t="str">
        <f>VLOOKUP(G255,t_entry_status!A:C,2,FALSE)</f>
        <v>PENDING</v>
      </c>
      <c r="I255" s="7">
        <v>45560</v>
      </c>
      <c r="J255" s="1" t="s">
        <v>7449</v>
      </c>
      <c r="K255" s="7">
        <v>45560</v>
      </c>
      <c r="L255" s="1" t="s">
        <v>7449</v>
      </c>
    </row>
    <row r="256" spans="1:12" x14ac:dyDescent="0.25">
      <c r="A256" s="1">
        <v>255</v>
      </c>
      <c r="B256" s="2" t="str">
        <f>_xlfn.CONCAT(C256,"-",VLOOKUP(C256,t_objeto!B:D,3,FALSE),"-",A256)</f>
        <v>RRPP-PERCCO-255</v>
      </c>
      <c r="C256" s="1" t="s">
        <v>7461</v>
      </c>
      <c r="D256" s="1" t="str">
        <f>VLOOKUP(C256,t_objeto!B:C,2,FALSE)</f>
        <v>RESOURCES_POOL</v>
      </c>
      <c r="E256" s="2" t="s">
        <v>7973</v>
      </c>
      <c r="F256" s="2" t="s">
        <v>8607</v>
      </c>
      <c r="G256" s="1">
        <v>8</v>
      </c>
      <c r="H256" s="1" t="str">
        <f>VLOOKUP(G256,t_entry_status!A:C,2,FALSE)</f>
        <v>PENDING</v>
      </c>
      <c r="I256" s="7">
        <v>45560</v>
      </c>
      <c r="J256" s="1" t="s">
        <v>7449</v>
      </c>
      <c r="K256" s="7">
        <v>45560</v>
      </c>
      <c r="L256" s="1" t="s">
        <v>7449</v>
      </c>
    </row>
    <row r="257" spans="1:12" x14ac:dyDescent="0.25">
      <c r="A257" s="1">
        <v>256</v>
      </c>
      <c r="B257" s="2" t="str">
        <f>_xlfn.CONCAT(C257,"-",VLOOKUP(C257,t_objeto!B:D,3,FALSE),"-",A257)</f>
        <v>RRPP-PERCCO-256</v>
      </c>
      <c r="C257" s="1" t="s">
        <v>7461</v>
      </c>
      <c r="D257" s="1" t="str">
        <f>VLOOKUP(C257,t_objeto!B:C,2,FALSE)</f>
        <v>RESOURCES_POOL</v>
      </c>
      <c r="E257" s="2" t="s">
        <v>7974</v>
      </c>
      <c r="F257" s="2" t="s">
        <v>8608</v>
      </c>
      <c r="G257" s="1">
        <v>8</v>
      </c>
      <c r="H257" s="1" t="str">
        <f>VLOOKUP(G257,t_entry_status!A:C,2,FALSE)</f>
        <v>PENDING</v>
      </c>
      <c r="I257" s="7">
        <v>45560</v>
      </c>
      <c r="J257" s="1" t="s">
        <v>7449</v>
      </c>
      <c r="K257" s="7">
        <v>45560</v>
      </c>
      <c r="L257" s="1" t="s">
        <v>7449</v>
      </c>
    </row>
    <row r="258" spans="1:12" x14ac:dyDescent="0.25">
      <c r="A258" s="1">
        <v>257</v>
      </c>
      <c r="B258" s="2" t="str">
        <f>_xlfn.CONCAT(C258,"-",VLOOKUP(C258,t_objeto!B:D,3,FALSE),"-",A258)</f>
        <v>RRPP-PERCCO-257</v>
      </c>
      <c r="C258" s="1" t="s">
        <v>7461</v>
      </c>
      <c r="D258" s="1" t="str">
        <f>VLOOKUP(C258,t_objeto!B:C,2,FALSE)</f>
        <v>RESOURCES_POOL</v>
      </c>
      <c r="E258" s="2" t="s">
        <v>7975</v>
      </c>
      <c r="F258" s="2" t="s">
        <v>8609</v>
      </c>
      <c r="G258" s="1">
        <v>8</v>
      </c>
      <c r="H258" s="1" t="str">
        <f>VLOOKUP(G258,t_entry_status!A:C,2,FALSE)</f>
        <v>PENDING</v>
      </c>
      <c r="I258" s="7">
        <v>45560</v>
      </c>
      <c r="J258" s="1" t="s">
        <v>7449</v>
      </c>
      <c r="K258" s="7">
        <v>45560</v>
      </c>
      <c r="L258" s="1" t="s">
        <v>7449</v>
      </c>
    </row>
    <row r="259" spans="1:12" x14ac:dyDescent="0.25">
      <c r="A259" s="1">
        <v>258</v>
      </c>
      <c r="B259" s="2" t="str">
        <f>_xlfn.CONCAT(C259,"-",VLOOKUP(C259,t_objeto!B:D,3,FALSE),"-",A259)</f>
        <v>RRPP-PERCCO-258</v>
      </c>
      <c r="C259" s="1" t="s">
        <v>7461</v>
      </c>
      <c r="D259" s="1" t="str">
        <f>VLOOKUP(C259,t_objeto!B:C,2,FALSE)</f>
        <v>RESOURCES_POOL</v>
      </c>
      <c r="E259" s="2" t="s">
        <v>7976</v>
      </c>
      <c r="F259" s="2" t="s">
        <v>8610</v>
      </c>
      <c r="G259" s="1">
        <v>8</v>
      </c>
      <c r="H259" s="1" t="str">
        <f>VLOOKUP(G259,t_entry_status!A:C,2,FALSE)</f>
        <v>PENDING</v>
      </c>
      <c r="I259" s="7">
        <v>45560</v>
      </c>
      <c r="J259" s="1" t="s">
        <v>7449</v>
      </c>
      <c r="K259" s="7">
        <v>45560</v>
      </c>
      <c r="L259" s="1" t="s">
        <v>7449</v>
      </c>
    </row>
    <row r="260" spans="1:12" x14ac:dyDescent="0.25">
      <c r="A260" s="1">
        <v>259</v>
      </c>
      <c r="B260" s="2" t="str">
        <f>_xlfn.CONCAT(C260,"-",VLOOKUP(C260,t_objeto!B:D,3,FALSE),"-",A260)</f>
        <v>RRPP-PERCCO-259</v>
      </c>
      <c r="C260" s="1" t="s">
        <v>7461</v>
      </c>
      <c r="D260" s="1" t="str">
        <f>VLOOKUP(C260,t_objeto!B:C,2,FALSE)</f>
        <v>RESOURCES_POOL</v>
      </c>
      <c r="E260" s="2" t="s">
        <v>7977</v>
      </c>
      <c r="F260" s="2" t="s">
        <v>8611</v>
      </c>
      <c r="G260" s="1">
        <v>8</v>
      </c>
      <c r="H260" s="1" t="str">
        <f>VLOOKUP(G260,t_entry_status!A:C,2,FALSE)</f>
        <v>PENDING</v>
      </c>
      <c r="I260" s="7">
        <v>45560</v>
      </c>
      <c r="J260" s="1" t="s">
        <v>7449</v>
      </c>
      <c r="K260" s="7">
        <v>45560</v>
      </c>
      <c r="L260" s="1" t="s">
        <v>7449</v>
      </c>
    </row>
    <row r="261" spans="1:12" x14ac:dyDescent="0.25">
      <c r="A261" s="1">
        <v>260</v>
      </c>
      <c r="B261" s="2" t="str">
        <f>_xlfn.CONCAT(C261,"-",VLOOKUP(C261,t_objeto!B:D,3,FALSE),"-",A261)</f>
        <v>RRPP-PERCCO-260</v>
      </c>
      <c r="C261" s="1" t="s">
        <v>7461</v>
      </c>
      <c r="D261" s="1" t="str">
        <f>VLOOKUP(C261,t_objeto!B:C,2,FALSE)</f>
        <v>RESOURCES_POOL</v>
      </c>
      <c r="E261" s="2" t="s">
        <v>7978</v>
      </c>
      <c r="F261" s="2" t="s">
        <v>8612</v>
      </c>
      <c r="G261" s="1">
        <v>8</v>
      </c>
      <c r="H261" s="1" t="str">
        <f>VLOOKUP(G261,t_entry_status!A:C,2,FALSE)</f>
        <v>PENDING</v>
      </c>
      <c r="I261" s="7">
        <v>45560</v>
      </c>
      <c r="J261" s="1" t="s">
        <v>7449</v>
      </c>
      <c r="K261" s="7">
        <v>45560</v>
      </c>
      <c r="L261" s="1" t="s">
        <v>7449</v>
      </c>
    </row>
    <row r="262" spans="1:12" x14ac:dyDescent="0.25">
      <c r="A262" s="1">
        <v>261</v>
      </c>
      <c r="B262" s="2" t="str">
        <f>_xlfn.CONCAT(C262,"-",VLOOKUP(C262,t_objeto!B:D,3,FALSE),"-",A262)</f>
        <v>RRPP-PERCCO-261</v>
      </c>
      <c r="C262" s="1" t="s">
        <v>7461</v>
      </c>
      <c r="D262" s="1" t="str">
        <f>VLOOKUP(C262,t_objeto!B:C,2,FALSE)</f>
        <v>RESOURCES_POOL</v>
      </c>
      <c r="E262" s="2" t="s">
        <v>7979</v>
      </c>
      <c r="F262" s="2" t="s">
        <v>8613</v>
      </c>
      <c r="G262" s="1">
        <v>8</v>
      </c>
      <c r="H262" s="1" t="str">
        <f>VLOOKUP(G262,t_entry_status!A:C,2,FALSE)</f>
        <v>PENDING</v>
      </c>
      <c r="I262" s="7">
        <v>45560</v>
      </c>
      <c r="J262" s="1" t="s">
        <v>7449</v>
      </c>
      <c r="K262" s="7">
        <v>45560</v>
      </c>
      <c r="L262" s="1" t="s">
        <v>7449</v>
      </c>
    </row>
    <row r="263" spans="1:12" x14ac:dyDescent="0.25">
      <c r="A263" s="1">
        <v>262</v>
      </c>
      <c r="B263" s="2" t="str">
        <f>_xlfn.CONCAT(C263,"-",VLOOKUP(C263,t_objeto!B:D,3,FALSE),"-",A263)</f>
        <v>RRPP-PERCCO-262</v>
      </c>
      <c r="C263" s="1" t="s">
        <v>7461</v>
      </c>
      <c r="D263" s="1" t="str">
        <f>VLOOKUP(C263,t_objeto!B:C,2,FALSE)</f>
        <v>RESOURCES_POOL</v>
      </c>
      <c r="E263" s="2" t="s">
        <v>7980</v>
      </c>
      <c r="F263" s="2" t="s">
        <v>8614</v>
      </c>
      <c r="G263" s="1">
        <v>8</v>
      </c>
      <c r="H263" s="1" t="str">
        <f>VLOOKUP(G263,t_entry_status!A:C,2,FALSE)</f>
        <v>PENDING</v>
      </c>
      <c r="I263" s="7">
        <v>45560</v>
      </c>
      <c r="J263" s="1" t="s">
        <v>7449</v>
      </c>
      <c r="K263" s="7">
        <v>45560</v>
      </c>
      <c r="L263" s="1" t="s">
        <v>7449</v>
      </c>
    </row>
    <row r="264" spans="1:12" x14ac:dyDescent="0.25">
      <c r="A264" s="1">
        <v>263</v>
      </c>
      <c r="B264" s="2" t="str">
        <f>_xlfn.CONCAT(C264,"-",VLOOKUP(C264,t_objeto!B:D,3,FALSE),"-",A264)</f>
        <v>RRPP-PERCCO-263</v>
      </c>
      <c r="C264" s="1" t="s">
        <v>7461</v>
      </c>
      <c r="D264" s="1" t="str">
        <f>VLOOKUP(C264,t_objeto!B:C,2,FALSE)</f>
        <v>RESOURCES_POOL</v>
      </c>
      <c r="E264" s="2" t="s">
        <v>7981</v>
      </c>
      <c r="F264" s="2" t="s">
        <v>8615</v>
      </c>
      <c r="G264" s="1">
        <v>8</v>
      </c>
      <c r="H264" s="1" t="str">
        <f>VLOOKUP(G264,t_entry_status!A:C,2,FALSE)</f>
        <v>PENDING</v>
      </c>
      <c r="I264" s="7">
        <v>45560</v>
      </c>
      <c r="J264" s="1" t="s">
        <v>7449</v>
      </c>
      <c r="K264" s="7">
        <v>45560</v>
      </c>
      <c r="L264" s="1" t="s">
        <v>7449</v>
      </c>
    </row>
    <row r="265" spans="1:12" x14ac:dyDescent="0.25">
      <c r="A265" s="1">
        <v>264</v>
      </c>
      <c r="B265" s="2" t="str">
        <f>_xlfn.CONCAT(C265,"-",VLOOKUP(C265,t_objeto!B:D,3,FALSE),"-",A265)</f>
        <v>RRPP-PERCCO-264</v>
      </c>
      <c r="C265" s="1" t="s">
        <v>7461</v>
      </c>
      <c r="D265" s="1" t="str">
        <f>VLOOKUP(C265,t_objeto!B:C,2,FALSE)</f>
        <v>RESOURCES_POOL</v>
      </c>
      <c r="E265" s="2" t="s">
        <v>7982</v>
      </c>
      <c r="F265" s="2" t="s">
        <v>8616</v>
      </c>
      <c r="G265" s="1">
        <v>8</v>
      </c>
      <c r="H265" s="1" t="str">
        <f>VLOOKUP(G265,t_entry_status!A:C,2,FALSE)</f>
        <v>PENDING</v>
      </c>
      <c r="I265" s="7">
        <v>45560</v>
      </c>
      <c r="J265" s="1" t="s">
        <v>7449</v>
      </c>
      <c r="K265" s="7">
        <v>45560</v>
      </c>
      <c r="L265" s="1" t="s">
        <v>7449</v>
      </c>
    </row>
    <row r="266" spans="1:12" x14ac:dyDescent="0.25">
      <c r="A266" s="1">
        <v>265</v>
      </c>
      <c r="B266" s="2" t="str">
        <f>_xlfn.CONCAT(C266,"-",VLOOKUP(C266,t_objeto!B:D,3,FALSE),"-",A266)</f>
        <v>RRPP-PERCCO-265</v>
      </c>
      <c r="C266" s="1" t="s">
        <v>7461</v>
      </c>
      <c r="D266" s="1" t="str">
        <f>VLOOKUP(C266,t_objeto!B:C,2,FALSE)</f>
        <v>RESOURCES_POOL</v>
      </c>
      <c r="E266" s="2" t="s">
        <v>7983</v>
      </c>
      <c r="F266" s="2" t="s">
        <v>8617</v>
      </c>
      <c r="G266" s="1">
        <v>8</v>
      </c>
      <c r="H266" s="1" t="str">
        <f>VLOOKUP(G266,t_entry_status!A:C,2,FALSE)</f>
        <v>PENDING</v>
      </c>
      <c r="I266" s="7">
        <v>45560</v>
      </c>
      <c r="J266" s="1" t="s">
        <v>7449</v>
      </c>
      <c r="K266" s="7">
        <v>45560</v>
      </c>
      <c r="L266" s="1" t="s">
        <v>7449</v>
      </c>
    </row>
    <row r="267" spans="1:12" x14ac:dyDescent="0.25">
      <c r="A267" s="1">
        <v>266</v>
      </c>
      <c r="B267" s="2" t="str">
        <f>_xlfn.CONCAT(C267,"-",VLOOKUP(C267,t_objeto!B:D,3,FALSE),"-",A267)</f>
        <v>RRPP-PERCCO-266</v>
      </c>
      <c r="C267" s="1" t="s">
        <v>7461</v>
      </c>
      <c r="D267" s="1" t="str">
        <f>VLOOKUP(C267,t_objeto!B:C,2,FALSE)</f>
        <v>RESOURCES_POOL</v>
      </c>
      <c r="E267" s="2" t="s">
        <v>7984</v>
      </c>
      <c r="F267" s="2" t="s">
        <v>8618</v>
      </c>
      <c r="G267" s="1">
        <v>8</v>
      </c>
      <c r="H267" s="1" t="str">
        <f>VLOOKUP(G267,t_entry_status!A:C,2,FALSE)</f>
        <v>PENDING</v>
      </c>
      <c r="I267" s="7">
        <v>45560</v>
      </c>
      <c r="J267" s="1" t="s">
        <v>7449</v>
      </c>
      <c r="K267" s="7">
        <v>45560</v>
      </c>
      <c r="L267" s="1" t="s">
        <v>7449</v>
      </c>
    </row>
    <row r="268" spans="1:12" x14ac:dyDescent="0.25">
      <c r="A268" s="1">
        <v>267</v>
      </c>
      <c r="B268" s="2" t="str">
        <f>_xlfn.CONCAT(C268,"-",VLOOKUP(C268,t_objeto!B:D,3,FALSE),"-",A268)</f>
        <v>RRPP-PERCCO-267</v>
      </c>
      <c r="C268" s="1" t="s">
        <v>7461</v>
      </c>
      <c r="D268" s="1" t="str">
        <f>VLOOKUP(C268,t_objeto!B:C,2,FALSE)</f>
        <v>RESOURCES_POOL</v>
      </c>
      <c r="E268" s="2" t="s">
        <v>7985</v>
      </c>
      <c r="F268" s="2" t="s">
        <v>8619</v>
      </c>
      <c r="G268" s="1">
        <v>8</v>
      </c>
      <c r="H268" s="1" t="str">
        <f>VLOOKUP(G268,t_entry_status!A:C,2,FALSE)</f>
        <v>PENDING</v>
      </c>
      <c r="I268" s="7">
        <v>45560</v>
      </c>
      <c r="J268" s="1" t="s">
        <v>7449</v>
      </c>
      <c r="K268" s="7">
        <v>45560</v>
      </c>
      <c r="L268" s="1" t="s">
        <v>7449</v>
      </c>
    </row>
    <row r="269" spans="1:12" x14ac:dyDescent="0.25">
      <c r="A269" s="1">
        <v>268</v>
      </c>
      <c r="B269" s="2" t="str">
        <f>_xlfn.CONCAT(C269,"-",VLOOKUP(C269,t_objeto!B:D,3,FALSE),"-",A269)</f>
        <v>RRPP-PERCCO-268</v>
      </c>
      <c r="C269" s="1" t="s">
        <v>7461</v>
      </c>
      <c r="D269" s="1" t="str">
        <f>VLOOKUP(C269,t_objeto!B:C,2,FALSE)</f>
        <v>RESOURCES_POOL</v>
      </c>
      <c r="E269" s="2" t="s">
        <v>7986</v>
      </c>
      <c r="F269" s="2" t="s">
        <v>8620</v>
      </c>
      <c r="G269" s="1">
        <v>8</v>
      </c>
      <c r="H269" s="1" t="str">
        <f>VLOOKUP(G269,t_entry_status!A:C,2,FALSE)</f>
        <v>PENDING</v>
      </c>
      <c r="I269" s="7">
        <v>45560</v>
      </c>
      <c r="J269" s="1" t="s">
        <v>7449</v>
      </c>
      <c r="K269" s="7">
        <v>45560</v>
      </c>
      <c r="L269" s="1" t="s">
        <v>7449</v>
      </c>
    </row>
    <row r="270" spans="1:12" x14ac:dyDescent="0.25">
      <c r="A270" s="1">
        <v>269</v>
      </c>
      <c r="B270" s="2" t="str">
        <f>_xlfn.CONCAT(C270,"-",VLOOKUP(C270,t_objeto!B:D,3,FALSE),"-",A270)</f>
        <v>RRPP-PERCCO-269</v>
      </c>
      <c r="C270" s="1" t="s">
        <v>7461</v>
      </c>
      <c r="D270" s="1" t="str">
        <f>VLOOKUP(C270,t_objeto!B:C,2,FALSE)</f>
        <v>RESOURCES_POOL</v>
      </c>
      <c r="E270" s="2" t="s">
        <v>7987</v>
      </c>
      <c r="F270" s="2" t="s">
        <v>8621</v>
      </c>
      <c r="G270" s="1">
        <v>8</v>
      </c>
      <c r="H270" s="1" t="str">
        <f>VLOOKUP(G270,t_entry_status!A:C,2,FALSE)</f>
        <v>PENDING</v>
      </c>
      <c r="I270" s="7">
        <v>45560</v>
      </c>
      <c r="J270" s="1" t="s">
        <v>7449</v>
      </c>
      <c r="K270" s="7">
        <v>45560</v>
      </c>
      <c r="L270" s="1" t="s">
        <v>7449</v>
      </c>
    </row>
    <row r="271" spans="1:12" x14ac:dyDescent="0.25">
      <c r="A271" s="1">
        <v>270</v>
      </c>
      <c r="B271" s="2" t="str">
        <f>_xlfn.CONCAT(C271,"-",VLOOKUP(C271,t_objeto!B:D,3,FALSE),"-",A271)</f>
        <v>RRPP-PERCCO-270</v>
      </c>
      <c r="C271" s="1" t="s">
        <v>7461</v>
      </c>
      <c r="D271" s="1" t="str">
        <f>VLOOKUP(C271,t_objeto!B:C,2,FALSE)</f>
        <v>RESOURCES_POOL</v>
      </c>
      <c r="E271" s="2" t="s">
        <v>7988</v>
      </c>
      <c r="F271" s="2" t="s">
        <v>8622</v>
      </c>
      <c r="G271" s="1">
        <v>8</v>
      </c>
      <c r="H271" s="1" t="str">
        <f>VLOOKUP(G271,t_entry_status!A:C,2,FALSE)</f>
        <v>PENDING</v>
      </c>
      <c r="I271" s="7">
        <v>45560</v>
      </c>
      <c r="J271" s="1" t="s">
        <v>7449</v>
      </c>
      <c r="K271" s="7">
        <v>45560</v>
      </c>
      <c r="L271" s="1" t="s">
        <v>7449</v>
      </c>
    </row>
    <row r="272" spans="1:12" x14ac:dyDescent="0.25">
      <c r="A272" s="1">
        <v>271</v>
      </c>
      <c r="B272" s="2" t="str">
        <f>_xlfn.CONCAT(C272,"-",VLOOKUP(C272,t_objeto!B:D,3,FALSE),"-",A272)</f>
        <v>RRPP-PERCCO-271</v>
      </c>
      <c r="C272" s="1" t="s">
        <v>7461</v>
      </c>
      <c r="D272" s="1" t="str">
        <f>VLOOKUP(C272,t_objeto!B:C,2,FALSE)</f>
        <v>RESOURCES_POOL</v>
      </c>
      <c r="E272" s="2" t="s">
        <v>7989</v>
      </c>
      <c r="F272" s="2" t="s">
        <v>8623</v>
      </c>
      <c r="G272" s="1">
        <v>8</v>
      </c>
      <c r="H272" s="1" t="str">
        <f>VLOOKUP(G272,t_entry_status!A:C,2,FALSE)</f>
        <v>PENDING</v>
      </c>
      <c r="I272" s="7">
        <v>45560</v>
      </c>
      <c r="J272" s="1" t="s">
        <v>7449</v>
      </c>
      <c r="K272" s="7">
        <v>45560</v>
      </c>
      <c r="L272" s="1" t="s">
        <v>7449</v>
      </c>
    </row>
    <row r="273" spans="1:12" x14ac:dyDescent="0.25">
      <c r="A273" s="1">
        <v>272</v>
      </c>
      <c r="B273" s="2" t="str">
        <f>_xlfn.CONCAT(C273,"-",VLOOKUP(C273,t_objeto!B:D,3,FALSE),"-",A273)</f>
        <v>RRPP-PERCCO-272</v>
      </c>
      <c r="C273" s="1" t="s">
        <v>7461</v>
      </c>
      <c r="D273" s="1" t="str">
        <f>VLOOKUP(C273,t_objeto!B:C,2,FALSE)</f>
        <v>RESOURCES_POOL</v>
      </c>
      <c r="E273" s="2" t="s">
        <v>7990</v>
      </c>
      <c r="F273" s="2" t="s">
        <v>8624</v>
      </c>
      <c r="G273" s="1">
        <v>8</v>
      </c>
      <c r="H273" s="1" t="str">
        <f>VLOOKUP(G273,t_entry_status!A:C,2,FALSE)</f>
        <v>PENDING</v>
      </c>
      <c r="I273" s="7">
        <v>45560</v>
      </c>
      <c r="J273" s="1" t="s">
        <v>7449</v>
      </c>
      <c r="K273" s="7">
        <v>45560</v>
      </c>
      <c r="L273" s="1" t="s">
        <v>7449</v>
      </c>
    </row>
    <row r="274" spans="1:12" x14ac:dyDescent="0.25">
      <c r="A274" s="1">
        <v>273</v>
      </c>
      <c r="B274" s="2" t="str">
        <f>_xlfn.CONCAT(C274,"-",VLOOKUP(C274,t_objeto!B:D,3,FALSE),"-",A274)</f>
        <v>RRPP-PERCCO-273</v>
      </c>
      <c r="C274" s="1" t="s">
        <v>7461</v>
      </c>
      <c r="D274" s="1" t="str">
        <f>VLOOKUP(C274,t_objeto!B:C,2,FALSE)</f>
        <v>RESOURCES_POOL</v>
      </c>
      <c r="E274" s="2" t="s">
        <v>7991</v>
      </c>
      <c r="F274" s="2" t="s">
        <v>8625</v>
      </c>
      <c r="G274" s="1">
        <v>8</v>
      </c>
      <c r="H274" s="1" t="str">
        <f>VLOOKUP(G274,t_entry_status!A:C,2,FALSE)</f>
        <v>PENDING</v>
      </c>
      <c r="I274" s="7">
        <v>45560</v>
      </c>
      <c r="J274" s="1" t="s">
        <v>7449</v>
      </c>
      <c r="K274" s="7">
        <v>45560</v>
      </c>
      <c r="L274" s="1" t="s">
        <v>7449</v>
      </c>
    </row>
    <row r="275" spans="1:12" x14ac:dyDescent="0.25">
      <c r="A275" s="1">
        <v>274</v>
      </c>
      <c r="B275" s="2" t="str">
        <f>_xlfn.CONCAT(C275,"-",VLOOKUP(C275,t_objeto!B:D,3,FALSE),"-",A275)</f>
        <v>RRPP-PERCCO-274</v>
      </c>
      <c r="C275" s="1" t="s">
        <v>7461</v>
      </c>
      <c r="D275" s="1" t="str">
        <f>VLOOKUP(C275,t_objeto!B:C,2,FALSE)</f>
        <v>RESOURCES_POOL</v>
      </c>
      <c r="E275" s="2" t="s">
        <v>7992</v>
      </c>
      <c r="F275" s="2" t="s">
        <v>8626</v>
      </c>
      <c r="G275" s="1">
        <v>8</v>
      </c>
      <c r="H275" s="1" t="str">
        <f>VLOOKUP(G275,t_entry_status!A:C,2,FALSE)</f>
        <v>PENDING</v>
      </c>
      <c r="I275" s="7">
        <v>45560</v>
      </c>
      <c r="J275" s="1" t="s">
        <v>7449</v>
      </c>
      <c r="K275" s="7">
        <v>45560</v>
      </c>
      <c r="L275" s="1" t="s">
        <v>7449</v>
      </c>
    </row>
    <row r="276" spans="1:12" x14ac:dyDescent="0.25">
      <c r="A276" s="1">
        <v>275</v>
      </c>
      <c r="B276" s="2" t="str">
        <f>_xlfn.CONCAT(C276,"-",VLOOKUP(C276,t_objeto!B:D,3,FALSE),"-",A276)</f>
        <v>RRPP-PERCCO-275</v>
      </c>
      <c r="C276" s="1" t="s">
        <v>7461</v>
      </c>
      <c r="D276" s="1" t="str">
        <f>VLOOKUP(C276,t_objeto!B:C,2,FALSE)</f>
        <v>RESOURCES_POOL</v>
      </c>
      <c r="E276" s="2" t="s">
        <v>7993</v>
      </c>
      <c r="F276" s="2" t="s">
        <v>8627</v>
      </c>
      <c r="G276" s="1">
        <v>8</v>
      </c>
      <c r="H276" s="1" t="str">
        <f>VLOOKUP(G276,t_entry_status!A:C,2,FALSE)</f>
        <v>PENDING</v>
      </c>
      <c r="I276" s="7">
        <v>45560</v>
      </c>
      <c r="J276" s="1" t="s">
        <v>7449</v>
      </c>
      <c r="K276" s="7">
        <v>45560</v>
      </c>
      <c r="L276" s="1" t="s">
        <v>7449</v>
      </c>
    </row>
    <row r="277" spans="1:12" x14ac:dyDescent="0.25">
      <c r="A277" s="1">
        <v>276</v>
      </c>
      <c r="B277" s="2" t="str">
        <f>_xlfn.CONCAT(C277,"-",VLOOKUP(C277,t_objeto!B:D,3,FALSE),"-",A277)</f>
        <v>RRPP-PERCCO-276</v>
      </c>
      <c r="C277" s="1" t="s">
        <v>7461</v>
      </c>
      <c r="D277" s="1" t="str">
        <f>VLOOKUP(C277,t_objeto!B:C,2,FALSE)</f>
        <v>RESOURCES_POOL</v>
      </c>
      <c r="E277" s="2" t="s">
        <v>7994</v>
      </c>
      <c r="F277" s="2" t="s">
        <v>8628</v>
      </c>
      <c r="G277" s="1">
        <v>8</v>
      </c>
      <c r="H277" s="1" t="str">
        <f>VLOOKUP(G277,t_entry_status!A:C,2,FALSE)</f>
        <v>PENDING</v>
      </c>
      <c r="I277" s="7">
        <v>45560</v>
      </c>
      <c r="J277" s="1" t="s">
        <v>7449</v>
      </c>
      <c r="K277" s="7">
        <v>45560</v>
      </c>
      <c r="L277" s="1" t="s">
        <v>7449</v>
      </c>
    </row>
    <row r="278" spans="1:12" x14ac:dyDescent="0.25">
      <c r="A278" s="1">
        <v>277</v>
      </c>
      <c r="B278" s="2" t="str">
        <f>_xlfn.CONCAT(C278,"-",VLOOKUP(C278,t_objeto!B:D,3,FALSE),"-",A278)</f>
        <v>RRPP-PERCCO-277</v>
      </c>
      <c r="C278" s="1" t="s">
        <v>7461</v>
      </c>
      <c r="D278" s="1" t="str">
        <f>VLOOKUP(C278,t_objeto!B:C,2,FALSE)</f>
        <v>RESOURCES_POOL</v>
      </c>
      <c r="E278" s="2" t="s">
        <v>7995</v>
      </c>
      <c r="F278" s="2" t="s">
        <v>8629</v>
      </c>
      <c r="G278" s="1">
        <v>8</v>
      </c>
      <c r="H278" s="1" t="str">
        <f>VLOOKUP(G278,t_entry_status!A:C,2,FALSE)</f>
        <v>PENDING</v>
      </c>
      <c r="I278" s="7">
        <v>45560</v>
      </c>
      <c r="J278" s="1" t="s">
        <v>7449</v>
      </c>
      <c r="K278" s="7">
        <v>45560</v>
      </c>
      <c r="L278" s="1" t="s">
        <v>7449</v>
      </c>
    </row>
    <row r="279" spans="1:12" x14ac:dyDescent="0.25">
      <c r="A279" s="1">
        <v>278</v>
      </c>
      <c r="B279" s="2" t="str">
        <f>_xlfn.CONCAT(C279,"-",VLOOKUP(C279,t_objeto!B:D,3,FALSE),"-",A279)</f>
        <v>RRPP-PERCCO-278</v>
      </c>
      <c r="C279" s="1" t="s">
        <v>7461</v>
      </c>
      <c r="D279" s="1" t="str">
        <f>VLOOKUP(C279,t_objeto!B:C,2,FALSE)</f>
        <v>RESOURCES_POOL</v>
      </c>
      <c r="E279" s="2" t="s">
        <v>7996</v>
      </c>
      <c r="F279" s="2" t="s">
        <v>8630</v>
      </c>
      <c r="G279" s="1">
        <v>8</v>
      </c>
      <c r="H279" s="1" t="str">
        <f>VLOOKUP(G279,t_entry_status!A:C,2,FALSE)</f>
        <v>PENDING</v>
      </c>
      <c r="I279" s="7">
        <v>45560</v>
      </c>
      <c r="J279" s="1" t="s">
        <v>7449</v>
      </c>
      <c r="K279" s="7">
        <v>45560</v>
      </c>
      <c r="L279" s="1" t="s">
        <v>7449</v>
      </c>
    </row>
    <row r="280" spans="1:12" x14ac:dyDescent="0.25">
      <c r="A280" s="1">
        <v>279</v>
      </c>
      <c r="B280" s="2" t="str">
        <f>_xlfn.CONCAT(C280,"-",VLOOKUP(C280,t_objeto!B:D,3,FALSE),"-",A280)</f>
        <v>RRPP-PERCCO-279</v>
      </c>
      <c r="C280" s="1" t="s">
        <v>7461</v>
      </c>
      <c r="D280" s="1" t="str">
        <f>VLOOKUP(C280,t_objeto!B:C,2,FALSE)</f>
        <v>RESOURCES_POOL</v>
      </c>
      <c r="E280" s="2" t="s">
        <v>7997</v>
      </c>
      <c r="F280" s="2" t="s">
        <v>8631</v>
      </c>
      <c r="G280" s="1">
        <v>8</v>
      </c>
      <c r="H280" s="1" t="str">
        <f>VLOOKUP(G280,t_entry_status!A:C,2,FALSE)</f>
        <v>PENDING</v>
      </c>
      <c r="I280" s="7">
        <v>45560</v>
      </c>
      <c r="J280" s="1" t="s">
        <v>7449</v>
      </c>
      <c r="K280" s="7">
        <v>45560</v>
      </c>
      <c r="L280" s="1" t="s">
        <v>7449</v>
      </c>
    </row>
    <row r="281" spans="1:12" x14ac:dyDescent="0.25">
      <c r="A281" s="1">
        <v>280</v>
      </c>
      <c r="B281" s="2" t="str">
        <f>_xlfn.CONCAT(C281,"-",VLOOKUP(C281,t_objeto!B:D,3,FALSE),"-",A281)</f>
        <v>RRPP-PERCCO-280</v>
      </c>
      <c r="C281" s="1" t="s">
        <v>7461</v>
      </c>
      <c r="D281" s="1" t="str">
        <f>VLOOKUP(C281,t_objeto!B:C,2,FALSE)</f>
        <v>RESOURCES_POOL</v>
      </c>
      <c r="E281" s="2" t="s">
        <v>7998</v>
      </c>
      <c r="F281" s="2" t="s">
        <v>8632</v>
      </c>
      <c r="G281" s="1">
        <v>8</v>
      </c>
      <c r="H281" s="1" t="str">
        <f>VLOOKUP(G281,t_entry_status!A:C,2,FALSE)</f>
        <v>PENDING</v>
      </c>
      <c r="I281" s="7">
        <v>45560</v>
      </c>
      <c r="J281" s="1" t="s">
        <v>7449</v>
      </c>
      <c r="K281" s="7">
        <v>45560</v>
      </c>
      <c r="L281" s="1" t="s">
        <v>7449</v>
      </c>
    </row>
    <row r="282" spans="1:12" x14ac:dyDescent="0.25">
      <c r="A282" s="1">
        <v>281</v>
      </c>
      <c r="B282" s="2" t="str">
        <f>_xlfn.CONCAT(C282,"-",VLOOKUP(C282,t_objeto!B:D,3,FALSE),"-",A282)</f>
        <v>RRPP-PERCCO-281</v>
      </c>
      <c r="C282" s="1" t="s">
        <v>7461</v>
      </c>
      <c r="D282" s="1" t="str">
        <f>VLOOKUP(C282,t_objeto!B:C,2,FALSE)</f>
        <v>RESOURCES_POOL</v>
      </c>
      <c r="E282" s="2" t="s">
        <v>7999</v>
      </c>
      <c r="F282" s="2" t="s">
        <v>8633</v>
      </c>
      <c r="G282" s="1">
        <v>8</v>
      </c>
      <c r="H282" s="1" t="str">
        <f>VLOOKUP(G282,t_entry_status!A:C,2,FALSE)</f>
        <v>PENDING</v>
      </c>
      <c r="I282" s="7">
        <v>45560</v>
      </c>
      <c r="J282" s="1" t="s">
        <v>7449</v>
      </c>
      <c r="K282" s="7">
        <v>45560</v>
      </c>
      <c r="L282" s="1" t="s">
        <v>7449</v>
      </c>
    </row>
    <row r="283" spans="1:12" x14ac:dyDescent="0.25">
      <c r="A283" s="1">
        <v>282</v>
      </c>
      <c r="B283" s="2" t="str">
        <f>_xlfn.CONCAT(C283,"-",VLOOKUP(C283,t_objeto!B:D,3,FALSE),"-",A283)</f>
        <v>RRPP-PERCCO-282</v>
      </c>
      <c r="C283" s="1" t="s">
        <v>7461</v>
      </c>
      <c r="D283" s="1" t="str">
        <f>VLOOKUP(C283,t_objeto!B:C,2,FALSE)</f>
        <v>RESOURCES_POOL</v>
      </c>
      <c r="E283" s="2" t="s">
        <v>8000</v>
      </c>
      <c r="F283" s="2" t="s">
        <v>8634</v>
      </c>
      <c r="G283" s="1">
        <v>8</v>
      </c>
      <c r="H283" s="1" t="str">
        <f>VLOOKUP(G283,t_entry_status!A:C,2,FALSE)</f>
        <v>PENDING</v>
      </c>
      <c r="I283" s="7">
        <v>45560</v>
      </c>
      <c r="J283" s="1" t="s">
        <v>7449</v>
      </c>
      <c r="K283" s="7">
        <v>45560</v>
      </c>
      <c r="L283" s="1" t="s">
        <v>7449</v>
      </c>
    </row>
    <row r="284" spans="1:12" x14ac:dyDescent="0.25">
      <c r="A284" s="1">
        <v>283</v>
      </c>
      <c r="B284" s="2" t="str">
        <f>_xlfn.CONCAT(C284,"-",VLOOKUP(C284,t_objeto!B:D,3,FALSE),"-",A284)</f>
        <v>RRPP-PERCCO-283</v>
      </c>
      <c r="C284" s="1" t="s">
        <v>7461</v>
      </c>
      <c r="D284" s="1" t="str">
        <f>VLOOKUP(C284,t_objeto!B:C,2,FALSE)</f>
        <v>RESOURCES_POOL</v>
      </c>
      <c r="E284" s="2" t="s">
        <v>8001</v>
      </c>
      <c r="F284" s="2" t="s">
        <v>8635</v>
      </c>
      <c r="G284" s="1">
        <v>8</v>
      </c>
      <c r="H284" s="1" t="str">
        <f>VLOOKUP(G284,t_entry_status!A:C,2,FALSE)</f>
        <v>PENDING</v>
      </c>
      <c r="I284" s="7">
        <v>45560</v>
      </c>
      <c r="J284" s="1" t="s">
        <v>7449</v>
      </c>
      <c r="K284" s="7">
        <v>45560</v>
      </c>
      <c r="L284" s="1" t="s">
        <v>7449</v>
      </c>
    </row>
    <row r="285" spans="1:12" x14ac:dyDescent="0.25">
      <c r="A285" s="1">
        <v>284</v>
      </c>
      <c r="B285" s="2" t="str">
        <f>_xlfn.CONCAT(C285,"-",VLOOKUP(C285,t_objeto!B:D,3,FALSE),"-",A285)</f>
        <v>RRPP-PERCCO-284</v>
      </c>
      <c r="C285" s="1" t="s">
        <v>7461</v>
      </c>
      <c r="D285" s="1" t="str">
        <f>VLOOKUP(C285,t_objeto!B:C,2,FALSE)</f>
        <v>RESOURCES_POOL</v>
      </c>
      <c r="E285" s="2" t="s">
        <v>8002</v>
      </c>
      <c r="F285" s="2" t="s">
        <v>8636</v>
      </c>
      <c r="G285" s="1">
        <v>8</v>
      </c>
      <c r="H285" s="1" t="str">
        <f>VLOOKUP(G285,t_entry_status!A:C,2,FALSE)</f>
        <v>PENDING</v>
      </c>
      <c r="I285" s="7">
        <v>45560</v>
      </c>
      <c r="J285" s="1" t="s">
        <v>7449</v>
      </c>
      <c r="K285" s="7">
        <v>45560</v>
      </c>
      <c r="L285" s="1" t="s">
        <v>7449</v>
      </c>
    </row>
    <row r="286" spans="1:12" x14ac:dyDescent="0.25">
      <c r="A286" s="1">
        <v>285</v>
      </c>
      <c r="B286" s="2" t="str">
        <f>_xlfn.CONCAT(C286,"-",VLOOKUP(C286,t_objeto!B:D,3,FALSE),"-",A286)</f>
        <v>RRPP-PERCCO-285</v>
      </c>
      <c r="C286" s="1" t="s">
        <v>7461</v>
      </c>
      <c r="D286" s="1" t="str">
        <f>VLOOKUP(C286,t_objeto!B:C,2,FALSE)</f>
        <v>RESOURCES_POOL</v>
      </c>
      <c r="E286" s="2" t="s">
        <v>8003</v>
      </c>
      <c r="F286" s="2" t="s">
        <v>8637</v>
      </c>
      <c r="G286" s="1">
        <v>8</v>
      </c>
      <c r="H286" s="1" t="str">
        <f>VLOOKUP(G286,t_entry_status!A:C,2,FALSE)</f>
        <v>PENDING</v>
      </c>
      <c r="I286" s="7">
        <v>45560</v>
      </c>
      <c r="J286" s="1" t="s">
        <v>7449</v>
      </c>
      <c r="K286" s="7">
        <v>45560</v>
      </c>
      <c r="L286" s="1" t="s">
        <v>7449</v>
      </c>
    </row>
    <row r="287" spans="1:12" x14ac:dyDescent="0.25">
      <c r="A287" s="1">
        <v>286</v>
      </c>
      <c r="B287" s="2" t="str">
        <f>_xlfn.CONCAT(C287,"-",VLOOKUP(C287,t_objeto!B:D,3,FALSE),"-",A287)</f>
        <v>RRPP-PERCCO-286</v>
      </c>
      <c r="C287" s="1" t="s">
        <v>7461</v>
      </c>
      <c r="D287" s="1" t="str">
        <f>VLOOKUP(C287,t_objeto!B:C,2,FALSE)</f>
        <v>RESOURCES_POOL</v>
      </c>
      <c r="E287" s="2" t="s">
        <v>8004</v>
      </c>
      <c r="F287" s="2" t="s">
        <v>8638</v>
      </c>
      <c r="G287" s="1">
        <v>8</v>
      </c>
      <c r="H287" s="1" t="str">
        <f>VLOOKUP(G287,t_entry_status!A:C,2,FALSE)</f>
        <v>PENDING</v>
      </c>
      <c r="I287" s="7">
        <v>45560</v>
      </c>
      <c r="J287" s="1" t="s">
        <v>7449</v>
      </c>
      <c r="K287" s="7">
        <v>45560</v>
      </c>
      <c r="L287" s="1" t="s">
        <v>7449</v>
      </c>
    </row>
    <row r="288" spans="1:12" x14ac:dyDescent="0.25">
      <c r="A288" s="1">
        <v>287</v>
      </c>
      <c r="B288" s="2" t="str">
        <f>_xlfn.CONCAT(C288,"-",VLOOKUP(C288,t_objeto!B:D,3,FALSE),"-",A288)</f>
        <v>RRPP-PERCCO-287</v>
      </c>
      <c r="C288" s="1" t="s">
        <v>7461</v>
      </c>
      <c r="D288" s="1" t="str">
        <f>VLOOKUP(C288,t_objeto!B:C,2,FALSE)</f>
        <v>RESOURCES_POOL</v>
      </c>
      <c r="E288" s="2" t="s">
        <v>8005</v>
      </c>
      <c r="F288" s="2" t="s">
        <v>8639</v>
      </c>
      <c r="G288" s="1">
        <v>8</v>
      </c>
      <c r="H288" s="1" t="str">
        <f>VLOOKUP(G288,t_entry_status!A:C,2,FALSE)</f>
        <v>PENDING</v>
      </c>
      <c r="I288" s="7">
        <v>45560</v>
      </c>
      <c r="J288" s="1" t="s">
        <v>7449</v>
      </c>
      <c r="K288" s="7">
        <v>45560</v>
      </c>
      <c r="L288" s="1" t="s">
        <v>7449</v>
      </c>
    </row>
    <row r="289" spans="1:12" x14ac:dyDescent="0.25">
      <c r="A289" s="1">
        <v>288</v>
      </c>
      <c r="B289" s="2" t="str">
        <f>_xlfn.CONCAT(C289,"-",VLOOKUP(C289,t_objeto!B:D,3,FALSE),"-",A289)</f>
        <v>RRPP-PERCCO-288</v>
      </c>
      <c r="C289" s="1" t="s">
        <v>7461</v>
      </c>
      <c r="D289" s="1" t="str">
        <f>VLOOKUP(C289,t_objeto!B:C,2,FALSE)</f>
        <v>RESOURCES_POOL</v>
      </c>
      <c r="E289" s="2" t="s">
        <v>8006</v>
      </c>
      <c r="F289" s="2" t="s">
        <v>8640</v>
      </c>
      <c r="G289" s="1">
        <v>8</v>
      </c>
      <c r="H289" s="1" t="str">
        <f>VLOOKUP(G289,t_entry_status!A:C,2,FALSE)</f>
        <v>PENDING</v>
      </c>
      <c r="I289" s="7">
        <v>45560</v>
      </c>
      <c r="J289" s="1" t="s">
        <v>7449</v>
      </c>
      <c r="K289" s="7">
        <v>45560</v>
      </c>
      <c r="L289" s="1" t="s">
        <v>7449</v>
      </c>
    </row>
    <row r="290" spans="1:12" x14ac:dyDescent="0.25">
      <c r="A290" s="1">
        <v>289</v>
      </c>
      <c r="B290" s="2" t="str">
        <f>_xlfn.CONCAT(C290,"-",VLOOKUP(C290,t_objeto!B:D,3,FALSE),"-",A290)</f>
        <v>RRPP-PERCCO-289</v>
      </c>
      <c r="C290" s="1" t="s">
        <v>7461</v>
      </c>
      <c r="D290" s="1" t="str">
        <f>VLOOKUP(C290,t_objeto!B:C,2,FALSE)</f>
        <v>RESOURCES_POOL</v>
      </c>
      <c r="E290" s="2" t="s">
        <v>8007</v>
      </c>
      <c r="F290" s="2" t="s">
        <v>8641</v>
      </c>
      <c r="G290" s="1">
        <v>8</v>
      </c>
      <c r="H290" s="1" t="str">
        <f>VLOOKUP(G290,t_entry_status!A:C,2,FALSE)</f>
        <v>PENDING</v>
      </c>
      <c r="I290" s="7">
        <v>45560</v>
      </c>
      <c r="J290" s="1" t="s">
        <v>7449</v>
      </c>
      <c r="K290" s="7">
        <v>45560</v>
      </c>
      <c r="L290" s="1" t="s">
        <v>7449</v>
      </c>
    </row>
    <row r="291" spans="1:12" x14ac:dyDescent="0.25">
      <c r="A291" s="1">
        <v>290</v>
      </c>
      <c r="B291" s="2" t="str">
        <f>_xlfn.CONCAT(C291,"-",VLOOKUP(C291,t_objeto!B:D,3,FALSE),"-",A291)</f>
        <v>RRPP-PERCCO-290</v>
      </c>
      <c r="C291" s="1" t="s">
        <v>7461</v>
      </c>
      <c r="D291" s="1" t="str">
        <f>VLOOKUP(C291,t_objeto!B:C,2,FALSE)</f>
        <v>RESOURCES_POOL</v>
      </c>
      <c r="E291" s="2" t="s">
        <v>8008</v>
      </c>
      <c r="F291" s="2" t="s">
        <v>8642</v>
      </c>
      <c r="G291" s="1">
        <v>8</v>
      </c>
      <c r="H291" s="1" t="str">
        <f>VLOOKUP(G291,t_entry_status!A:C,2,FALSE)</f>
        <v>PENDING</v>
      </c>
      <c r="I291" s="7">
        <v>45560</v>
      </c>
      <c r="J291" s="1" t="s">
        <v>7449</v>
      </c>
      <c r="K291" s="7">
        <v>45560</v>
      </c>
      <c r="L291" s="1" t="s">
        <v>7449</v>
      </c>
    </row>
    <row r="292" spans="1:12" x14ac:dyDescent="0.25">
      <c r="A292" s="1">
        <v>291</v>
      </c>
      <c r="B292" s="2" t="str">
        <f>_xlfn.CONCAT(C292,"-",VLOOKUP(C292,t_objeto!B:D,3,FALSE),"-",A292)</f>
        <v>RRPP-PERCCO-291</v>
      </c>
      <c r="C292" s="1" t="s">
        <v>7461</v>
      </c>
      <c r="D292" s="1" t="str">
        <f>VLOOKUP(C292,t_objeto!B:C,2,FALSE)</f>
        <v>RESOURCES_POOL</v>
      </c>
      <c r="E292" s="2" t="s">
        <v>8009</v>
      </c>
      <c r="F292" s="2" t="s">
        <v>8643</v>
      </c>
      <c r="G292" s="1">
        <v>8</v>
      </c>
      <c r="H292" s="1" t="str">
        <f>VLOOKUP(G292,t_entry_status!A:C,2,FALSE)</f>
        <v>PENDING</v>
      </c>
      <c r="I292" s="7">
        <v>45560</v>
      </c>
      <c r="J292" s="1" t="s">
        <v>7449</v>
      </c>
      <c r="K292" s="7">
        <v>45560</v>
      </c>
      <c r="L292" s="1" t="s">
        <v>7449</v>
      </c>
    </row>
    <row r="293" spans="1:12" x14ac:dyDescent="0.25">
      <c r="A293" s="1">
        <v>292</v>
      </c>
      <c r="B293" s="2" t="str">
        <f>_xlfn.CONCAT(C293,"-",VLOOKUP(C293,t_objeto!B:D,3,FALSE),"-",A293)</f>
        <v>RRPP-PERCCO-292</v>
      </c>
      <c r="C293" s="1" t="s">
        <v>7461</v>
      </c>
      <c r="D293" s="1" t="str">
        <f>VLOOKUP(C293,t_objeto!B:C,2,FALSE)</f>
        <v>RESOURCES_POOL</v>
      </c>
      <c r="E293" s="2" t="s">
        <v>8010</v>
      </c>
      <c r="F293" s="2" t="s">
        <v>8644</v>
      </c>
      <c r="G293" s="1">
        <v>8</v>
      </c>
      <c r="H293" s="1" t="str">
        <f>VLOOKUP(G293,t_entry_status!A:C,2,FALSE)</f>
        <v>PENDING</v>
      </c>
      <c r="I293" s="7">
        <v>45560</v>
      </c>
      <c r="J293" s="1" t="s">
        <v>7449</v>
      </c>
      <c r="K293" s="7">
        <v>45560</v>
      </c>
      <c r="L293" s="1" t="s">
        <v>7449</v>
      </c>
    </row>
    <row r="294" spans="1:12" x14ac:dyDescent="0.25">
      <c r="A294" s="1">
        <v>293</v>
      </c>
      <c r="B294" s="2" t="str">
        <f>_xlfn.CONCAT(C294,"-",VLOOKUP(C294,t_objeto!B:D,3,FALSE),"-",A294)</f>
        <v>RRPP-PERCCO-293</v>
      </c>
      <c r="C294" s="1" t="s">
        <v>7461</v>
      </c>
      <c r="D294" s="1" t="str">
        <f>VLOOKUP(C294,t_objeto!B:C,2,FALSE)</f>
        <v>RESOURCES_POOL</v>
      </c>
      <c r="E294" s="2" t="s">
        <v>8011</v>
      </c>
      <c r="F294" s="2" t="s">
        <v>8645</v>
      </c>
      <c r="G294" s="1">
        <v>8</v>
      </c>
      <c r="H294" s="1" t="str">
        <f>VLOOKUP(G294,t_entry_status!A:C,2,FALSE)</f>
        <v>PENDING</v>
      </c>
      <c r="I294" s="7">
        <v>45560</v>
      </c>
      <c r="J294" s="1" t="s">
        <v>7449</v>
      </c>
      <c r="K294" s="7">
        <v>45560</v>
      </c>
      <c r="L294" s="1" t="s">
        <v>7449</v>
      </c>
    </row>
    <row r="295" spans="1:12" x14ac:dyDescent="0.25">
      <c r="A295" s="1">
        <v>294</v>
      </c>
      <c r="B295" s="2" t="str">
        <f>_xlfn.CONCAT(C295,"-",VLOOKUP(C295,t_objeto!B:D,3,FALSE),"-",A295)</f>
        <v>RRPP-PERCCO-294</v>
      </c>
      <c r="C295" s="1" t="s">
        <v>7461</v>
      </c>
      <c r="D295" s="1" t="str">
        <f>VLOOKUP(C295,t_objeto!B:C,2,FALSE)</f>
        <v>RESOURCES_POOL</v>
      </c>
      <c r="E295" s="2" t="s">
        <v>8012</v>
      </c>
      <c r="F295" s="2" t="s">
        <v>8646</v>
      </c>
      <c r="G295" s="1">
        <v>8</v>
      </c>
      <c r="H295" s="1" t="str">
        <f>VLOOKUP(G295,t_entry_status!A:C,2,FALSE)</f>
        <v>PENDING</v>
      </c>
      <c r="I295" s="7">
        <v>45560</v>
      </c>
      <c r="J295" s="1" t="s">
        <v>7449</v>
      </c>
      <c r="K295" s="7">
        <v>45560</v>
      </c>
      <c r="L295" s="1" t="s">
        <v>7449</v>
      </c>
    </row>
    <row r="296" spans="1:12" x14ac:dyDescent="0.25">
      <c r="A296" s="1">
        <v>295</v>
      </c>
      <c r="B296" s="2" t="str">
        <f>_xlfn.CONCAT(C296,"-",VLOOKUP(C296,t_objeto!B:D,3,FALSE),"-",A296)</f>
        <v>RRPP-PERCCO-295</v>
      </c>
      <c r="C296" s="1" t="s">
        <v>7461</v>
      </c>
      <c r="D296" s="1" t="str">
        <f>VLOOKUP(C296,t_objeto!B:C,2,FALSE)</f>
        <v>RESOURCES_POOL</v>
      </c>
      <c r="E296" s="2" t="s">
        <v>8013</v>
      </c>
      <c r="F296" s="2" t="s">
        <v>8647</v>
      </c>
      <c r="G296" s="1">
        <v>8</v>
      </c>
      <c r="H296" s="1" t="str">
        <f>VLOOKUP(G296,t_entry_status!A:C,2,FALSE)</f>
        <v>PENDING</v>
      </c>
      <c r="I296" s="7">
        <v>45560</v>
      </c>
      <c r="J296" s="1" t="s">
        <v>7449</v>
      </c>
      <c r="K296" s="7">
        <v>45560</v>
      </c>
      <c r="L296" s="1" t="s">
        <v>7449</v>
      </c>
    </row>
    <row r="297" spans="1:12" x14ac:dyDescent="0.25">
      <c r="A297" s="1">
        <v>296</v>
      </c>
      <c r="B297" s="2" t="str">
        <f>_xlfn.CONCAT(C297,"-",VLOOKUP(C297,t_objeto!B:D,3,FALSE),"-",A297)</f>
        <v>RRPP-PERCCO-296</v>
      </c>
      <c r="C297" s="1" t="s">
        <v>7461</v>
      </c>
      <c r="D297" s="1" t="str">
        <f>VLOOKUP(C297,t_objeto!B:C,2,FALSE)</f>
        <v>RESOURCES_POOL</v>
      </c>
      <c r="E297" s="2" t="s">
        <v>8014</v>
      </c>
      <c r="F297" s="2" t="s">
        <v>8648</v>
      </c>
      <c r="G297" s="1">
        <v>8</v>
      </c>
      <c r="H297" s="1" t="str">
        <f>VLOOKUP(G297,t_entry_status!A:C,2,FALSE)</f>
        <v>PENDING</v>
      </c>
      <c r="I297" s="7">
        <v>45560</v>
      </c>
      <c r="J297" s="1" t="s">
        <v>7449</v>
      </c>
      <c r="K297" s="7">
        <v>45560</v>
      </c>
      <c r="L297" s="1" t="s">
        <v>7449</v>
      </c>
    </row>
    <row r="298" spans="1:12" x14ac:dyDescent="0.25">
      <c r="A298" s="1">
        <v>297</v>
      </c>
      <c r="B298" s="2" t="str">
        <f>_xlfn.CONCAT(C298,"-",VLOOKUP(C298,t_objeto!B:D,3,FALSE),"-",A298)</f>
        <v>RRPP-PERCCO-297</v>
      </c>
      <c r="C298" s="1" t="s">
        <v>7461</v>
      </c>
      <c r="D298" s="1" t="str">
        <f>VLOOKUP(C298,t_objeto!B:C,2,FALSE)</f>
        <v>RESOURCES_POOL</v>
      </c>
      <c r="E298" s="2" t="s">
        <v>8015</v>
      </c>
      <c r="F298" s="2" t="s">
        <v>8649</v>
      </c>
      <c r="G298" s="1">
        <v>8</v>
      </c>
      <c r="H298" s="1" t="str">
        <f>VLOOKUP(G298,t_entry_status!A:C,2,FALSE)</f>
        <v>PENDING</v>
      </c>
      <c r="I298" s="7">
        <v>45560</v>
      </c>
      <c r="J298" s="1" t="s">
        <v>7449</v>
      </c>
      <c r="K298" s="7">
        <v>45560</v>
      </c>
      <c r="L298" s="1" t="s">
        <v>7449</v>
      </c>
    </row>
    <row r="299" spans="1:12" x14ac:dyDescent="0.25">
      <c r="A299" s="1">
        <v>298</v>
      </c>
      <c r="B299" s="2" t="str">
        <f>_xlfn.CONCAT(C299,"-",VLOOKUP(C299,t_objeto!B:D,3,FALSE),"-",A299)</f>
        <v>RRPP-PERCCO-298</v>
      </c>
      <c r="C299" s="1" t="s">
        <v>7461</v>
      </c>
      <c r="D299" s="1" t="str">
        <f>VLOOKUP(C299,t_objeto!B:C,2,FALSE)</f>
        <v>RESOURCES_POOL</v>
      </c>
      <c r="E299" s="2" t="s">
        <v>8016</v>
      </c>
      <c r="F299" s="2" t="s">
        <v>8650</v>
      </c>
      <c r="G299" s="1">
        <v>8</v>
      </c>
      <c r="H299" s="1" t="str">
        <f>VLOOKUP(G299,t_entry_status!A:C,2,FALSE)</f>
        <v>PENDING</v>
      </c>
      <c r="I299" s="7">
        <v>45560</v>
      </c>
      <c r="J299" s="1" t="s">
        <v>7449</v>
      </c>
      <c r="K299" s="7">
        <v>45560</v>
      </c>
      <c r="L299" s="1" t="s">
        <v>7449</v>
      </c>
    </row>
    <row r="300" spans="1:12" x14ac:dyDescent="0.25">
      <c r="A300" s="1">
        <v>299</v>
      </c>
      <c r="B300" s="2" t="str">
        <f>_xlfn.CONCAT(C300,"-",VLOOKUP(C300,t_objeto!B:D,3,FALSE),"-",A300)</f>
        <v>RRPP-PERCCO-299</v>
      </c>
      <c r="C300" s="1" t="s">
        <v>7461</v>
      </c>
      <c r="D300" s="1" t="str">
        <f>VLOOKUP(C300,t_objeto!B:C,2,FALSE)</f>
        <v>RESOURCES_POOL</v>
      </c>
      <c r="E300" s="2" t="s">
        <v>8017</v>
      </c>
      <c r="F300" s="2" t="s">
        <v>8651</v>
      </c>
      <c r="G300" s="1">
        <v>8</v>
      </c>
      <c r="H300" s="1" t="str">
        <f>VLOOKUP(G300,t_entry_status!A:C,2,FALSE)</f>
        <v>PENDING</v>
      </c>
      <c r="I300" s="7">
        <v>45560</v>
      </c>
      <c r="J300" s="1" t="s">
        <v>7449</v>
      </c>
      <c r="K300" s="7">
        <v>45560</v>
      </c>
      <c r="L300" s="1" t="s">
        <v>7449</v>
      </c>
    </row>
    <row r="301" spans="1:12" x14ac:dyDescent="0.25">
      <c r="A301" s="1">
        <v>300</v>
      </c>
      <c r="B301" s="2" t="str">
        <f>_xlfn.CONCAT(C301,"-",VLOOKUP(C301,t_objeto!B:D,3,FALSE),"-",A301)</f>
        <v>RRPP-PERCCO-300</v>
      </c>
      <c r="C301" s="1" t="s">
        <v>7461</v>
      </c>
      <c r="D301" s="1" t="str">
        <f>VLOOKUP(C301,t_objeto!B:C,2,FALSE)</f>
        <v>RESOURCES_POOL</v>
      </c>
      <c r="E301" s="2" t="s">
        <v>8018</v>
      </c>
      <c r="F301" s="2" t="s">
        <v>8652</v>
      </c>
      <c r="G301" s="1">
        <v>8</v>
      </c>
      <c r="H301" s="1" t="str">
        <f>VLOOKUP(G301,t_entry_status!A:C,2,FALSE)</f>
        <v>PENDING</v>
      </c>
      <c r="I301" s="7">
        <v>45560</v>
      </c>
      <c r="J301" s="1" t="s">
        <v>7449</v>
      </c>
      <c r="K301" s="7">
        <v>45560</v>
      </c>
      <c r="L301" s="1" t="s">
        <v>7449</v>
      </c>
    </row>
    <row r="302" spans="1:12" x14ac:dyDescent="0.25">
      <c r="A302" s="1">
        <v>301</v>
      </c>
      <c r="B302" s="2" t="str">
        <f>_xlfn.CONCAT(C302,"-",VLOOKUP(C302,t_objeto!B:D,3,FALSE),"-",A302)</f>
        <v>RRPP-PERCCO-301</v>
      </c>
      <c r="C302" s="1" t="s">
        <v>7461</v>
      </c>
      <c r="D302" s="1" t="str">
        <f>VLOOKUP(C302,t_objeto!B:C,2,FALSE)</f>
        <v>RESOURCES_POOL</v>
      </c>
      <c r="E302" s="2" t="s">
        <v>8019</v>
      </c>
      <c r="F302" s="2" t="s">
        <v>8653</v>
      </c>
      <c r="G302" s="1">
        <v>8</v>
      </c>
      <c r="H302" s="1" t="str">
        <f>VLOOKUP(G302,t_entry_status!A:C,2,FALSE)</f>
        <v>PENDING</v>
      </c>
      <c r="I302" s="7">
        <v>45560</v>
      </c>
      <c r="J302" s="1" t="s">
        <v>7449</v>
      </c>
      <c r="K302" s="7">
        <v>45560</v>
      </c>
      <c r="L302" s="1" t="s">
        <v>7449</v>
      </c>
    </row>
    <row r="303" spans="1:12" x14ac:dyDescent="0.25">
      <c r="A303" s="1">
        <v>302</v>
      </c>
      <c r="B303" s="2" t="str">
        <f>_xlfn.CONCAT(C303,"-",VLOOKUP(C303,t_objeto!B:D,3,FALSE),"-",A303)</f>
        <v>RRPP-PERCCO-302</v>
      </c>
      <c r="C303" s="1" t="s">
        <v>7461</v>
      </c>
      <c r="D303" s="1" t="str">
        <f>VLOOKUP(C303,t_objeto!B:C,2,FALSE)</f>
        <v>RESOURCES_POOL</v>
      </c>
      <c r="E303" s="2" t="s">
        <v>8020</v>
      </c>
      <c r="F303" s="2" t="s">
        <v>8654</v>
      </c>
      <c r="G303" s="1">
        <v>8</v>
      </c>
      <c r="H303" s="1" t="str">
        <f>VLOOKUP(G303,t_entry_status!A:C,2,FALSE)</f>
        <v>PENDING</v>
      </c>
      <c r="I303" s="7">
        <v>45560</v>
      </c>
      <c r="J303" s="1" t="s">
        <v>7449</v>
      </c>
      <c r="K303" s="7">
        <v>45560</v>
      </c>
      <c r="L303" s="1" t="s">
        <v>7449</v>
      </c>
    </row>
    <row r="304" spans="1:12" x14ac:dyDescent="0.25">
      <c r="A304" s="1">
        <v>303</v>
      </c>
      <c r="B304" s="2" t="str">
        <f>_xlfn.CONCAT(C304,"-",VLOOKUP(C304,t_objeto!B:D,3,FALSE),"-",A304)</f>
        <v>RRPP-PERCCO-303</v>
      </c>
      <c r="C304" s="1" t="s">
        <v>7461</v>
      </c>
      <c r="D304" s="1" t="str">
        <f>VLOOKUP(C304,t_objeto!B:C,2,FALSE)</f>
        <v>RESOURCES_POOL</v>
      </c>
      <c r="E304" s="2" t="s">
        <v>8021</v>
      </c>
      <c r="F304" s="2" t="s">
        <v>8655</v>
      </c>
      <c r="G304" s="1">
        <v>8</v>
      </c>
      <c r="H304" s="1" t="str">
        <f>VLOOKUP(G304,t_entry_status!A:C,2,FALSE)</f>
        <v>PENDING</v>
      </c>
      <c r="I304" s="7">
        <v>45560</v>
      </c>
      <c r="J304" s="1" t="s">
        <v>7449</v>
      </c>
      <c r="K304" s="7">
        <v>45560</v>
      </c>
      <c r="L304" s="1" t="s">
        <v>7449</v>
      </c>
    </row>
    <row r="305" spans="1:12" x14ac:dyDescent="0.25">
      <c r="A305" s="1">
        <v>304</v>
      </c>
      <c r="B305" s="2" t="str">
        <f>_xlfn.CONCAT(C305,"-",VLOOKUP(C305,t_objeto!B:D,3,FALSE),"-",A305)</f>
        <v>RRPP-PERCCO-304</v>
      </c>
      <c r="C305" s="1" t="s">
        <v>7461</v>
      </c>
      <c r="D305" s="1" t="str">
        <f>VLOOKUP(C305,t_objeto!B:C,2,FALSE)</f>
        <v>RESOURCES_POOL</v>
      </c>
      <c r="E305" s="2" t="s">
        <v>8022</v>
      </c>
      <c r="F305" s="2" t="s">
        <v>8656</v>
      </c>
      <c r="G305" s="1">
        <v>8</v>
      </c>
      <c r="H305" s="1" t="str">
        <f>VLOOKUP(G305,t_entry_status!A:C,2,FALSE)</f>
        <v>PENDING</v>
      </c>
      <c r="I305" s="7">
        <v>45560</v>
      </c>
      <c r="J305" s="1" t="s">
        <v>7449</v>
      </c>
      <c r="K305" s="7">
        <v>45560</v>
      </c>
      <c r="L305" s="1" t="s">
        <v>7449</v>
      </c>
    </row>
    <row r="306" spans="1:12" x14ac:dyDescent="0.25">
      <c r="A306" s="1">
        <v>305</v>
      </c>
      <c r="B306" s="2" t="str">
        <f>_xlfn.CONCAT(C306,"-",VLOOKUP(C306,t_objeto!B:D,3,FALSE),"-",A306)</f>
        <v>RRPP-PERCCO-305</v>
      </c>
      <c r="C306" s="1" t="s">
        <v>7461</v>
      </c>
      <c r="D306" s="1" t="str">
        <f>VLOOKUP(C306,t_objeto!B:C,2,FALSE)</f>
        <v>RESOURCES_POOL</v>
      </c>
      <c r="E306" s="2" t="s">
        <v>8023</v>
      </c>
      <c r="F306" s="2" t="s">
        <v>8657</v>
      </c>
      <c r="G306" s="1">
        <v>8</v>
      </c>
      <c r="H306" s="1" t="str">
        <f>VLOOKUP(G306,t_entry_status!A:C,2,FALSE)</f>
        <v>PENDING</v>
      </c>
      <c r="I306" s="7">
        <v>45560</v>
      </c>
      <c r="J306" s="1" t="s">
        <v>7449</v>
      </c>
      <c r="K306" s="7">
        <v>45560</v>
      </c>
      <c r="L306" s="1" t="s">
        <v>7449</v>
      </c>
    </row>
    <row r="307" spans="1:12" x14ac:dyDescent="0.25">
      <c r="A307" s="1">
        <v>306</v>
      </c>
      <c r="B307" s="2" t="str">
        <f>_xlfn.CONCAT(C307,"-",VLOOKUP(C307,t_objeto!B:D,3,FALSE),"-",A307)</f>
        <v>RRPP-PERCCO-306</v>
      </c>
      <c r="C307" s="1" t="s">
        <v>7461</v>
      </c>
      <c r="D307" s="1" t="str">
        <f>VLOOKUP(C307,t_objeto!B:C,2,FALSE)</f>
        <v>RESOURCES_POOL</v>
      </c>
      <c r="E307" s="2" t="s">
        <v>8024</v>
      </c>
      <c r="F307" s="2" t="s">
        <v>8658</v>
      </c>
      <c r="G307" s="1">
        <v>8</v>
      </c>
      <c r="H307" s="1" t="str">
        <f>VLOOKUP(G307,t_entry_status!A:C,2,FALSE)</f>
        <v>PENDING</v>
      </c>
      <c r="I307" s="7">
        <v>45560</v>
      </c>
      <c r="J307" s="1" t="s">
        <v>7449</v>
      </c>
      <c r="K307" s="7">
        <v>45560</v>
      </c>
      <c r="L307" s="1" t="s">
        <v>7449</v>
      </c>
    </row>
    <row r="308" spans="1:12" x14ac:dyDescent="0.25">
      <c r="A308" s="1">
        <v>307</v>
      </c>
      <c r="B308" s="2" t="str">
        <f>_xlfn.CONCAT(C308,"-",VLOOKUP(C308,t_objeto!B:D,3,FALSE),"-",A308)</f>
        <v>RRPP-PERCCO-307</v>
      </c>
      <c r="C308" s="1" t="s">
        <v>7461</v>
      </c>
      <c r="D308" s="1" t="str">
        <f>VLOOKUP(C308,t_objeto!B:C,2,FALSE)</f>
        <v>RESOURCES_POOL</v>
      </c>
      <c r="E308" s="2" t="s">
        <v>8025</v>
      </c>
      <c r="F308" s="2" t="s">
        <v>8659</v>
      </c>
      <c r="G308" s="1">
        <v>8</v>
      </c>
      <c r="H308" s="1" t="str">
        <f>VLOOKUP(G308,t_entry_status!A:C,2,FALSE)</f>
        <v>PENDING</v>
      </c>
      <c r="I308" s="7">
        <v>45560</v>
      </c>
      <c r="J308" s="1" t="s">
        <v>7449</v>
      </c>
      <c r="K308" s="7">
        <v>45560</v>
      </c>
      <c r="L308" s="1" t="s">
        <v>7449</v>
      </c>
    </row>
    <row r="309" spans="1:12" x14ac:dyDescent="0.25">
      <c r="A309" s="1">
        <v>308</v>
      </c>
      <c r="B309" s="2" t="str">
        <f>_xlfn.CONCAT(C309,"-",VLOOKUP(C309,t_objeto!B:D,3,FALSE),"-",A309)</f>
        <v>RRPP-PERCCO-308</v>
      </c>
      <c r="C309" s="1" t="s">
        <v>7461</v>
      </c>
      <c r="D309" s="1" t="str">
        <f>VLOOKUP(C309,t_objeto!B:C,2,FALSE)</f>
        <v>RESOURCES_POOL</v>
      </c>
      <c r="E309" s="2" t="s">
        <v>8026</v>
      </c>
      <c r="F309" s="2" t="s">
        <v>8660</v>
      </c>
      <c r="G309" s="1">
        <v>8</v>
      </c>
      <c r="H309" s="1" t="str">
        <f>VLOOKUP(G309,t_entry_status!A:C,2,FALSE)</f>
        <v>PENDING</v>
      </c>
      <c r="I309" s="7">
        <v>45560</v>
      </c>
      <c r="J309" s="1" t="s">
        <v>7449</v>
      </c>
      <c r="K309" s="7">
        <v>45560</v>
      </c>
      <c r="L309" s="1" t="s">
        <v>7449</v>
      </c>
    </row>
    <row r="310" spans="1:12" x14ac:dyDescent="0.25">
      <c r="A310" s="1">
        <v>309</v>
      </c>
      <c r="B310" s="2" t="str">
        <f>_xlfn.CONCAT(C310,"-",VLOOKUP(C310,t_objeto!B:D,3,FALSE),"-",A310)</f>
        <v>RRPP-PERCCO-309</v>
      </c>
      <c r="C310" s="1" t="s">
        <v>7461</v>
      </c>
      <c r="D310" s="1" t="str">
        <f>VLOOKUP(C310,t_objeto!B:C,2,FALSE)</f>
        <v>RESOURCES_POOL</v>
      </c>
      <c r="E310" s="2" t="s">
        <v>8027</v>
      </c>
      <c r="F310" s="2" t="s">
        <v>8661</v>
      </c>
      <c r="G310" s="1">
        <v>8</v>
      </c>
      <c r="H310" s="1" t="str">
        <f>VLOOKUP(G310,t_entry_status!A:C,2,FALSE)</f>
        <v>PENDING</v>
      </c>
      <c r="I310" s="7">
        <v>45560</v>
      </c>
      <c r="J310" s="1" t="s">
        <v>7449</v>
      </c>
      <c r="K310" s="7">
        <v>45560</v>
      </c>
      <c r="L310" s="1" t="s">
        <v>7449</v>
      </c>
    </row>
    <row r="311" spans="1:12" x14ac:dyDescent="0.25">
      <c r="A311" s="1">
        <v>310</v>
      </c>
      <c r="B311" s="2" t="str">
        <f>_xlfn.CONCAT(C311,"-",VLOOKUP(C311,t_objeto!B:D,3,FALSE),"-",A311)</f>
        <v>RRPP-PERCCO-310</v>
      </c>
      <c r="C311" s="1" t="s">
        <v>7461</v>
      </c>
      <c r="D311" s="1" t="str">
        <f>VLOOKUP(C311,t_objeto!B:C,2,FALSE)</f>
        <v>RESOURCES_POOL</v>
      </c>
      <c r="E311" s="2" t="s">
        <v>8028</v>
      </c>
      <c r="F311" s="2" t="s">
        <v>8662</v>
      </c>
      <c r="G311" s="1">
        <v>8</v>
      </c>
      <c r="H311" s="1" t="str">
        <f>VLOOKUP(G311,t_entry_status!A:C,2,FALSE)</f>
        <v>PENDING</v>
      </c>
      <c r="I311" s="7">
        <v>45560</v>
      </c>
      <c r="J311" s="1" t="s">
        <v>7449</v>
      </c>
      <c r="K311" s="7">
        <v>45560</v>
      </c>
      <c r="L311" s="1" t="s">
        <v>7449</v>
      </c>
    </row>
    <row r="312" spans="1:12" x14ac:dyDescent="0.25">
      <c r="A312" s="1">
        <v>311</v>
      </c>
      <c r="B312" s="2" t="str">
        <f>_xlfn.CONCAT(C312,"-",VLOOKUP(C312,t_objeto!B:D,3,FALSE),"-",A312)</f>
        <v>RRPP-PERCCO-311</v>
      </c>
      <c r="C312" s="1" t="s">
        <v>7461</v>
      </c>
      <c r="D312" s="1" t="str">
        <f>VLOOKUP(C312,t_objeto!B:C,2,FALSE)</f>
        <v>RESOURCES_POOL</v>
      </c>
      <c r="E312" s="2" t="s">
        <v>8029</v>
      </c>
      <c r="F312" s="2" t="s">
        <v>8663</v>
      </c>
      <c r="G312" s="1">
        <v>8</v>
      </c>
      <c r="H312" s="1" t="str">
        <f>VLOOKUP(G312,t_entry_status!A:C,2,FALSE)</f>
        <v>PENDING</v>
      </c>
      <c r="I312" s="7">
        <v>45560</v>
      </c>
      <c r="J312" s="1" t="s">
        <v>7449</v>
      </c>
      <c r="K312" s="7">
        <v>45560</v>
      </c>
      <c r="L312" s="1" t="s">
        <v>7449</v>
      </c>
    </row>
    <row r="313" spans="1:12" x14ac:dyDescent="0.25">
      <c r="A313" s="1">
        <v>312</v>
      </c>
      <c r="B313" s="2" t="str">
        <f>_xlfn.CONCAT(C313,"-",VLOOKUP(C313,t_objeto!B:D,3,FALSE),"-",A313)</f>
        <v>RRPP-PERCCO-312</v>
      </c>
      <c r="C313" s="1" t="s">
        <v>7461</v>
      </c>
      <c r="D313" s="1" t="str">
        <f>VLOOKUP(C313,t_objeto!B:C,2,FALSE)</f>
        <v>RESOURCES_POOL</v>
      </c>
      <c r="E313" s="2" t="s">
        <v>8030</v>
      </c>
      <c r="F313" s="2" t="s">
        <v>8664</v>
      </c>
      <c r="G313" s="1">
        <v>8</v>
      </c>
      <c r="H313" s="1" t="str">
        <f>VLOOKUP(G313,t_entry_status!A:C,2,FALSE)</f>
        <v>PENDING</v>
      </c>
      <c r="I313" s="7">
        <v>45560</v>
      </c>
      <c r="J313" s="1" t="s">
        <v>7449</v>
      </c>
      <c r="K313" s="7">
        <v>45560</v>
      </c>
      <c r="L313" s="1" t="s">
        <v>7449</v>
      </c>
    </row>
    <row r="314" spans="1:12" x14ac:dyDescent="0.25">
      <c r="A314" s="1">
        <v>313</v>
      </c>
      <c r="B314" s="2" t="str">
        <f>_xlfn.CONCAT(C314,"-",VLOOKUP(C314,t_objeto!B:D,3,FALSE),"-",A314)</f>
        <v>RRPP-PERCCO-313</v>
      </c>
      <c r="C314" s="1" t="s">
        <v>7461</v>
      </c>
      <c r="D314" s="1" t="str">
        <f>VLOOKUP(C314,t_objeto!B:C,2,FALSE)</f>
        <v>RESOURCES_POOL</v>
      </c>
      <c r="E314" s="2" t="s">
        <v>8031</v>
      </c>
      <c r="F314" s="2" t="s">
        <v>8665</v>
      </c>
      <c r="G314" s="1">
        <v>8</v>
      </c>
      <c r="H314" s="1" t="str">
        <f>VLOOKUP(G314,t_entry_status!A:C,2,FALSE)</f>
        <v>PENDING</v>
      </c>
      <c r="I314" s="7">
        <v>45560</v>
      </c>
      <c r="J314" s="1" t="s">
        <v>7449</v>
      </c>
      <c r="K314" s="7">
        <v>45560</v>
      </c>
      <c r="L314" s="1" t="s">
        <v>7449</v>
      </c>
    </row>
    <row r="315" spans="1:12" x14ac:dyDescent="0.25">
      <c r="A315" s="1">
        <v>314</v>
      </c>
      <c r="B315" s="2" t="str">
        <f>_xlfn.CONCAT(C315,"-",VLOOKUP(C315,t_objeto!B:D,3,FALSE),"-",A315)</f>
        <v>RRPP-PERCCO-314</v>
      </c>
      <c r="C315" s="1" t="s">
        <v>7461</v>
      </c>
      <c r="D315" s="1" t="str">
        <f>VLOOKUP(C315,t_objeto!B:C,2,FALSE)</f>
        <v>RESOURCES_POOL</v>
      </c>
      <c r="E315" s="2" t="s">
        <v>8032</v>
      </c>
      <c r="F315" s="2" t="s">
        <v>8666</v>
      </c>
      <c r="G315" s="1">
        <v>8</v>
      </c>
      <c r="H315" s="1" t="str">
        <f>VLOOKUP(G315,t_entry_status!A:C,2,FALSE)</f>
        <v>PENDING</v>
      </c>
      <c r="I315" s="7">
        <v>45560</v>
      </c>
      <c r="J315" s="1" t="s">
        <v>7449</v>
      </c>
      <c r="K315" s="7">
        <v>45560</v>
      </c>
      <c r="L315" s="1" t="s">
        <v>7449</v>
      </c>
    </row>
    <row r="316" spans="1:12" x14ac:dyDescent="0.25">
      <c r="A316" s="1">
        <v>315</v>
      </c>
      <c r="B316" s="2" t="str">
        <f>_xlfn.CONCAT(C316,"-",VLOOKUP(C316,t_objeto!B:D,3,FALSE),"-",A316)</f>
        <v>RRPP-PERCCO-315</v>
      </c>
      <c r="C316" s="1" t="s">
        <v>7461</v>
      </c>
      <c r="D316" s="1" t="str">
        <f>VLOOKUP(C316,t_objeto!B:C,2,FALSE)</f>
        <v>RESOURCES_POOL</v>
      </c>
      <c r="E316" s="2" t="s">
        <v>8033</v>
      </c>
      <c r="F316" s="2" t="s">
        <v>8667</v>
      </c>
      <c r="G316" s="1">
        <v>8</v>
      </c>
      <c r="H316" s="1" t="str">
        <f>VLOOKUP(G316,t_entry_status!A:C,2,FALSE)</f>
        <v>PENDING</v>
      </c>
      <c r="I316" s="7">
        <v>45560</v>
      </c>
      <c r="J316" s="1" t="s">
        <v>7449</v>
      </c>
      <c r="K316" s="7">
        <v>45560</v>
      </c>
      <c r="L316" s="1" t="s">
        <v>7449</v>
      </c>
    </row>
    <row r="317" spans="1:12" x14ac:dyDescent="0.25">
      <c r="A317" s="1">
        <v>316</v>
      </c>
      <c r="B317" s="2" t="str">
        <f>_xlfn.CONCAT(C317,"-",VLOOKUP(C317,t_objeto!B:D,3,FALSE),"-",A317)</f>
        <v>RRPP-PERCCO-316</v>
      </c>
      <c r="C317" s="1" t="s">
        <v>7461</v>
      </c>
      <c r="D317" s="1" t="str">
        <f>VLOOKUP(C317,t_objeto!B:C,2,FALSE)</f>
        <v>RESOURCES_POOL</v>
      </c>
      <c r="E317" s="2" t="s">
        <v>8034</v>
      </c>
      <c r="F317" s="2" t="s">
        <v>8668</v>
      </c>
      <c r="G317" s="1">
        <v>8</v>
      </c>
      <c r="H317" s="1" t="str">
        <f>VLOOKUP(G317,t_entry_status!A:C,2,FALSE)</f>
        <v>PENDING</v>
      </c>
      <c r="I317" s="7">
        <v>45560</v>
      </c>
      <c r="J317" s="1" t="s">
        <v>7449</v>
      </c>
      <c r="K317" s="7">
        <v>45560</v>
      </c>
      <c r="L317" s="1" t="s">
        <v>7449</v>
      </c>
    </row>
    <row r="318" spans="1:12" x14ac:dyDescent="0.25">
      <c r="A318" s="1">
        <v>317</v>
      </c>
      <c r="B318" s="2" t="str">
        <f>_xlfn.CONCAT(C318,"-",VLOOKUP(C318,t_objeto!B:D,3,FALSE),"-",A318)</f>
        <v>RRPP-PERCCO-317</v>
      </c>
      <c r="C318" s="1" t="s">
        <v>7461</v>
      </c>
      <c r="D318" s="1" t="str">
        <f>VLOOKUP(C318,t_objeto!B:C,2,FALSE)</f>
        <v>RESOURCES_POOL</v>
      </c>
      <c r="E318" s="2" t="s">
        <v>8035</v>
      </c>
      <c r="F318" s="2" t="s">
        <v>8669</v>
      </c>
      <c r="G318" s="1">
        <v>8</v>
      </c>
      <c r="H318" s="1" t="str">
        <f>VLOOKUP(G318,t_entry_status!A:C,2,FALSE)</f>
        <v>PENDING</v>
      </c>
      <c r="I318" s="7">
        <v>45560</v>
      </c>
      <c r="J318" s="1" t="s">
        <v>7449</v>
      </c>
      <c r="K318" s="7">
        <v>45560</v>
      </c>
      <c r="L318" s="1" t="s">
        <v>7449</v>
      </c>
    </row>
    <row r="319" spans="1:12" x14ac:dyDescent="0.25">
      <c r="A319" s="1">
        <v>318</v>
      </c>
      <c r="B319" s="2" t="str">
        <f>_xlfn.CONCAT(C319,"-",VLOOKUP(C319,t_objeto!B:D,3,FALSE),"-",A319)</f>
        <v>RRPP-PERCCO-318</v>
      </c>
      <c r="C319" s="1" t="s">
        <v>7461</v>
      </c>
      <c r="D319" s="1" t="str">
        <f>VLOOKUP(C319,t_objeto!B:C,2,FALSE)</f>
        <v>RESOURCES_POOL</v>
      </c>
      <c r="E319" s="2" t="s">
        <v>8036</v>
      </c>
      <c r="F319" s="2" t="s">
        <v>8670</v>
      </c>
      <c r="G319" s="1">
        <v>8</v>
      </c>
      <c r="H319" s="1" t="str">
        <f>VLOOKUP(G319,t_entry_status!A:C,2,FALSE)</f>
        <v>PENDING</v>
      </c>
      <c r="I319" s="7">
        <v>45560</v>
      </c>
      <c r="J319" s="1" t="s">
        <v>7449</v>
      </c>
      <c r="K319" s="7">
        <v>45560</v>
      </c>
      <c r="L319" s="1" t="s">
        <v>7449</v>
      </c>
    </row>
    <row r="320" spans="1:12" x14ac:dyDescent="0.25">
      <c r="A320" s="1">
        <v>319</v>
      </c>
      <c r="B320" s="2" t="str">
        <f>_xlfn.CONCAT(C320,"-",VLOOKUP(C320,t_objeto!B:D,3,FALSE),"-",A320)</f>
        <v>RRPP-PERCCO-319</v>
      </c>
      <c r="C320" s="1" t="s">
        <v>7461</v>
      </c>
      <c r="D320" s="1" t="str">
        <f>VLOOKUP(C320,t_objeto!B:C,2,FALSE)</f>
        <v>RESOURCES_POOL</v>
      </c>
      <c r="E320" s="2" t="s">
        <v>8037</v>
      </c>
      <c r="F320" s="2" t="s">
        <v>8671</v>
      </c>
      <c r="G320" s="1">
        <v>8</v>
      </c>
      <c r="H320" s="1" t="str">
        <f>VLOOKUP(G320,t_entry_status!A:C,2,FALSE)</f>
        <v>PENDING</v>
      </c>
      <c r="I320" s="7">
        <v>45560</v>
      </c>
      <c r="J320" s="1" t="s">
        <v>7449</v>
      </c>
      <c r="K320" s="7">
        <v>45560</v>
      </c>
      <c r="L320" s="1" t="s">
        <v>7449</v>
      </c>
    </row>
    <row r="321" spans="1:12" x14ac:dyDescent="0.25">
      <c r="A321" s="1">
        <v>320</v>
      </c>
      <c r="B321" s="2" t="str">
        <f>_xlfn.CONCAT(C321,"-",VLOOKUP(C321,t_objeto!B:D,3,FALSE),"-",A321)</f>
        <v>RRPP-PERCCO-320</v>
      </c>
      <c r="C321" s="1" t="s">
        <v>7461</v>
      </c>
      <c r="D321" s="1" t="str">
        <f>VLOOKUP(C321,t_objeto!B:C,2,FALSE)</f>
        <v>RESOURCES_POOL</v>
      </c>
      <c r="E321" s="2" t="s">
        <v>8038</v>
      </c>
      <c r="F321" s="2" t="s">
        <v>8672</v>
      </c>
      <c r="G321" s="1">
        <v>8</v>
      </c>
      <c r="H321" s="1" t="str">
        <f>VLOOKUP(G321,t_entry_status!A:C,2,FALSE)</f>
        <v>PENDING</v>
      </c>
      <c r="I321" s="7">
        <v>45560</v>
      </c>
      <c r="J321" s="1" t="s">
        <v>7449</v>
      </c>
      <c r="K321" s="7">
        <v>45560</v>
      </c>
      <c r="L321" s="1" t="s">
        <v>7449</v>
      </c>
    </row>
    <row r="322" spans="1:12" x14ac:dyDescent="0.25">
      <c r="A322" s="1">
        <v>321</v>
      </c>
      <c r="B322" s="2" t="str">
        <f>_xlfn.CONCAT(C322,"-",VLOOKUP(C322,t_objeto!B:D,3,FALSE),"-",A322)</f>
        <v>RRPP-PERCCO-321</v>
      </c>
      <c r="C322" s="1" t="s">
        <v>7461</v>
      </c>
      <c r="D322" s="1" t="str">
        <f>VLOOKUP(C322,t_objeto!B:C,2,FALSE)</f>
        <v>RESOURCES_POOL</v>
      </c>
      <c r="E322" s="2" t="s">
        <v>8039</v>
      </c>
      <c r="F322" s="2" t="s">
        <v>8673</v>
      </c>
      <c r="G322" s="1">
        <v>8</v>
      </c>
      <c r="H322" s="1" t="str">
        <f>VLOOKUP(G322,t_entry_status!A:C,2,FALSE)</f>
        <v>PENDING</v>
      </c>
      <c r="I322" s="7">
        <v>45560</v>
      </c>
      <c r="J322" s="1" t="s">
        <v>7449</v>
      </c>
      <c r="K322" s="7">
        <v>45560</v>
      </c>
      <c r="L322" s="1" t="s">
        <v>7449</v>
      </c>
    </row>
    <row r="323" spans="1:12" x14ac:dyDescent="0.25">
      <c r="A323" s="1">
        <v>322</v>
      </c>
      <c r="B323" s="2" t="str">
        <f>_xlfn.CONCAT(C323,"-",VLOOKUP(C323,t_objeto!B:D,3,FALSE),"-",A323)</f>
        <v>RRPP-PERCCO-322</v>
      </c>
      <c r="C323" s="1" t="s">
        <v>7461</v>
      </c>
      <c r="D323" s="1" t="str">
        <f>VLOOKUP(C323,t_objeto!B:C,2,FALSE)</f>
        <v>RESOURCES_POOL</v>
      </c>
      <c r="E323" s="2" t="s">
        <v>8040</v>
      </c>
      <c r="F323" s="2" t="s">
        <v>8674</v>
      </c>
      <c r="G323" s="1">
        <v>8</v>
      </c>
      <c r="H323" s="1" t="str">
        <f>VLOOKUP(G323,t_entry_status!A:C,2,FALSE)</f>
        <v>PENDING</v>
      </c>
      <c r="I323" s="7">
        <v>45560</v>
      </c>
      <c r="J323" s="1" t="s">
        <v>7449</v>
      </c>
      <c r="K323" s="7">
        <v>45560</v>
      </c>
      <c r="L323" s="1" t="s">
        <v>7449</v>
      </c>
    </row>
    <row r="324" spans="1:12" x14ac:dyDescent="0.25">
      <c r="A324" s="1">
        <v>323</v>
      </c>
      <c r="B324" s="2" t="str">
        <f>_xlfn.CONCAT(C324,"-",VLOOKUP(C324,t_objeto!B:D,3,FALSE),"-",A324)</f>
        <v>RRPP-PERCCO-323</v>
      </c>
      <c r="C324" s="1" t="s">
        <v>7461</v>
      </c>
      <c r="D324" s="1" t="str">
        <f>VLOOKUP(C324,t_objeto!B:C,2,FALSE)</f>
        <v>RESOURCES_POOL</v>
      </c>
      <c r="E324" s="2" t="s">
        <v>8041</v>
      </c>
      <c r="F324" s="2" t="s">
        <v>8675</v>
      </c>
      <c r="G324" s="1">
        <v>8</v>
      </c>
      <c r="H324" s="1" t="str">
        <f>VLOOKUP(G324,t_entry_status!A:C,2,FALSE)</f>
        <v>PENDING</v>
      </c>
      <c r="I324" s="7">
        <v>45560</v>
      </c>
      <c r="J324" s="1" t="s">
        <v>7449</v>
      </c>
      <c r="K324" s="7">
        <v>45560</v>
      </c>
      <c r="L324" s="1" t="s">
        <v>7449</v>
      </c>
    </row>
    <row r="325" spans="1:12" x14ac:dyDescent="0.25">
      <c r="A325" s="1">
        <v>324</v>
      </c>
      <c r="B325" s="2" t="str">
        <f>_xlfn.CONCAT(C325,"-",VLOOKUP(C325,t_objeto!B:D,3,FALSE),"-",A325)</f>
        <v>RRPP-PERCCO-324</v>
      </c>
      <c r="C325" s="1" t="s">
        <v>7461</v>
      </c>
      <c r="D325" s="1" t="str">
        <f>VLOOKUP(C325,t_objeto!B:C,2,FALSE)</f>
        <v>RESOURCES_POOL</v>
      </c>
      <c r="E325" s="2" t="s">
        <v>8042</v>
      </c>
      <c r="F325" s="2" t="s">
        <v>8676</v>
      </c>
      <c r="G325" s="1">
        <v>8</v>
      </c>
      <c r="H325" s="1" t="str">
        <f>VLOOKUP(G325,t_entry_status!A:C,2,FALSE)</f>
        <v>PENDING</v>
      </c>
      <c r="I325" s="7">
        <v>45560</v>
      </c>
      <c r="J325" s="1" t="s">
        <v>7449</v>
      </c>
      <c r="K325" s="7">
        <v>45560</v>
      </c>
      <c r="L325" s="1" t="s">
        <v>7449</v>
      </c>
    </row>
    <row r="326" spans="1:12" x14ac:dyDescent="0.25">
      <c r="A326" s="1">
        <v>325</v>
      </c>
      <c r="B326" s="2" t="str">
        <f>_xlfn.CONCAT(C326,"-",VLOOKUP(C326,t_objeto!B:D,3,FALSE),"-",A326)</f>
        <v>RRPP-PERCCO-325</v>
      </c>
      <c r="C326" s="1" t="s">
        <v>7461</v>
      </c>
      <c r="D326" s="1" t="str">
        <f>VLOOKUP(C326,t_objeto!B:C,2,FALSE)</f>
        <v>RESOURCES_POOL</v>
      </c>
      <c r="E326" s="2" t="s">
        <v>8043</v>
      </c>
      <c r="F326" s="2" t="s">
        <v>8677</v>
      </c>
      <c r="G326" s="1">
        <v>8</v>
      </c>
      <c r="H326" s="1" t="str">
        <f>VLOOKUP(G326,t_entry_status!A:C,2,FALSE)</f>
        <v>PENDING</v>
      </c>
      <c r="I326" s="7">
        <v>45560</v>
      </c>
      <c r="J326" s="1" t="s">
        <v>7449</v>
      </c>
      <c r="K326" s="7">
        <v>45560</v>
      </c>
      <c r="L326" s="1" t="s">
        <v>7449</v>
      </c>
    </row>
    <row r="327" spans="1:12" x14ac:dyDescent="0.25">
      <c r="A327" s="1">
        <v>326</v>
      </c>
      <c r="B327" s="2" t="str">
        <f>_xlfn.CONCAT(C327,"-",VLOOKUP(C327,t_objeto!B:D,3,FALSE),"-",A327)</f>
        <v>RRPP-PERCCO-326</v>
      </c>
      <c r="C327" s="1" t="s">
        <v>7461</v>
      </c>
      <c r="D327" s="1" t="str">
        <f>VLOOKUP(C327,t_objeto!B:C,2,FALSE)</f>
        <v>RESOURCES_POOL</v>
      </c>
      <c r="E327" s="2" t="s">
        <v>8044</v>
      </c>
      <c r="F327" s="2" t="s">
        <v>8678</v>
      </c>
      <c r="G327" s="1">
        <v>8</v>
      </c>
      <c r="H327" s="1" t="str">
        <f>VLOOKUP(G327,t_entry_status!A:C,2,FALSE)</f>
        <v>PENDING</v>
      </c>
      <c r="I327" s="7">
        <v>45560</v>
      </c>
      <c r="J327" s="1" t="s">
        <v>7449</v>
      </c>
      <c r="K327" s="7">
        <v>45560</v>
      </c>
      <c r="L327" s="1" t="s">
        <v>7449</v>
      </c>
    </row>
    <row r="328" spans="1:12" x14ac:dyDescent="0.25">
      <c r="A328" s="1">
        <v>327</v>
      </c>
      <c r="B328" s="2" t="str">
        <f>_xlfn.CONCAT(C328,"-",VLOOKUP(C328,t_objeto!B:D,3,FALSE),"-",A328)</f>
        <v>RRPP-PERCCO-327</v>
      </c>
      <c r="C328" s="1" t="s">
        <v>7461</v>
      </c>
      <c r="D328" s="1" t="str">
        <f>VLOOKUP(C328,t_objeto!B:C,2,FALSE)</f>
        <v>RESOURCES_POOL</v>
      </c>
      <c r="E328" s="2" t="s">
        <v>8045</v>
      </c>
      <c r="F328" s="2" t="s">
        <v>8679</v>
      </c>
      <c r="G328" s="1">
        <v>8</v>
      </c>
      <c r="H328" s="1" t="str">
        <f>VLOOKUP(G328,t_entry_status!A:C,2,FALSE)</f>
        <v>PENDING</v>
      </c>
      <c r="I328" s="7">
        <v>45560</v>
      </c>
      <c r="J328" s="1" t="s">
        <v>7449</v>
      </c>
      <c r="K328" s="7">
        <v>45560</v>
      </c>
      <c r="L328" s="1" t="s">
        <v>7449</v>
      </c>
    </row>
    <row r="329" spans="1:12" x14ac:dyDescent="0.25">
      <c r="A329" s="1">
        <v>328</v>
      </c>
      <c r="B329" s="2" t="str">
        <f>_xlfn.CONCAT(C329,"-",VLOOKUP(C329,t_objeto!B:D,3,FALSE),"-",A329)</f>
        <v>RRPP-PERCCO-328</v>
      </c>
      <c r="C329" s="1" t="s">
        <v>7461</v>
      </c>
      <c r="D329" s="1" t="str">
        <f>VLOOKUP(C329,t_objeto!B:C,2,FALSE)</f>
        <v>RESOURCES_POOL</v>
      </c>
      <c r="E329" s="2" t="s">
        <v>8046</v>
      </c>
      <c r="F329" s="2" t="s">
        <v>8680</v>
      </c>
      <c r="G329" s="1">
        <v>8</v>
      </c>
      <c r="H329" s="1" t="str">
        <f>VLOOKUP(G329,t_entry_status!A:C,2,FALSE)</f>
        <v>PENDING</v>
      </c>
      <c r="I329" s="7">
        <v>45560</v>
      </c>
      <c r="J329" s="1" t="s">
        <v>7449</v>
      </c>
      <c r="K329" s="7">
        <v>45560</v>
      </c>
      <c r="L329" s="1" t="s">
        <v>7449</v>
      </c>
    </row>
    <row r="330" spans="1:12" x14ac:dyDescent="0.25">
      <c r="A330" s="1">
        <v>329</v>
      </c>
      <c r="B330" s="2" t="str">
        <f>_xlfn.CONCAT(C330,"-",VLOOKUP(C330,t_objeto!B:D,3,FALSE),"-",A330)</f>
        <v>RRPP-PERCCO-329</v>
      </c>
      <c r="C330" s="1" t="s">
        <v>7461</v>
      </c>
      <c r="D330" s="1" t="str">
        <f>VLOOKUP(C330,t_objeto!B:C,2,FALSE)</f>
        <v>RESOURCES_POOL</v>
      </c>
      <c r="E330" s="2" t="s">
        <v>8047</v>
      </c>
      <c r="F330" s="2" t="s">
        <v>8681</v>
      </c>
      <c r="G330" s="1">
        <v>8</v>
      </c>
      <c r="H330" s="1" t="str">
        <f>VLOOKUP(G330,t_entry_status!A:C,2,FALSE)</f>
        <v>PENDING</v>
      </c>
      <c r="I330" s="7">
        <v>45560</v>
      </c>
      <c r="J330" s="1" t="s">
        <v>7449</v>
      </c>
      <c r="K330" s="7">
        <v>45560</v>
      </c>
      <c r="L330" s="1" t="s">
        <v>7449</v>
      </c>
    </row>
    <row r="331" spans="1:12" x14ac:dyDescent="0.25">
      <c r="A331" s="1">
        <v>330</v>
      </c>
      <c r="B331" s="2" t="str">
        <f>_xlfn.CONCAT(C331,"-",VLOOKUP(C331,t_objeto!B:D,3,FALSE),"-",A331)</f>
        <v>RRPP-PERCCO-330</v>
      </c>
      <c r="C331" s="1" t="s">
        <v>7461</v>
      </c>
      <c r="D331" s="1" t="str">
        <f>VLOOKUP(C331,t_objeto!B:C,2,FALSE)</f>
        <v>RESOURCES_POOL</v>
      </c>
      <c r="E331" s="2" t="s">
        <v>8048</v>
      </c>
      <c r="F331" s="2" t="s">
        <v>8682</v>
      </c>
      <c r="G331" s="1">
        <v>8</v>
      </c>
      <c r="H331" s="1" t="str">
        <f>VLOOKUP(G331,t_entry_status!A:C,2,FALSE)</f>
        <v>PENDING</v>
      </c>
      <c r="I331" s="7">
        <v>45560</v>
      </c>
      <c r="J331" s="1" t="s">
        <v>7449</v>
      </c>
      <c r="K331" s="7">
        <v>45560</v>
      </c>
      <c r="L331" s="1" t="s">
        <v>7449</v>
      </c>
    </row>
    <row r="332" spans="1:12" x14ac:dyDescent="0.25">
      <c r="A332" s="1">
        <v>331</v>
      </c>
      <c r="B332" s="2" t="str">
        <f>_xlfn.CONCAT(C332,"-",VLOOKUP(C332,t_objeto!B:D,3,FALSE),"-",A332)</f>
        <v>RRPP-PERCCO-331</v>
      </c>
      <c r="C332" s="1" t="s">
        <v>7461</v>
      </c>
      <c r="D332" s="1" t="str">
        <f>VLOOKUP(C332,t_objeto!B:C,2,FALSE)</f>
        <v>RESOURCES_POOL</v>
      </c>
      <c r="E332" s="2" t="s">
        <v>8049</v>
      </c>
      <c r="F332" s="2" t="s">
        <v>8683</v>
      </c>
      <c r="G332" s="1">
        <v>8</v>
      </c>
      <c r="H332" s="1" t="str">
        <f>VLOOKUP(G332,t_entry_status!A:C,2,FALSE)</f>
        <v>PENDING</v>
      </c>
      <c r="I332" s="7">
        <v>45560</v>
      </c>
      <c r="J332" s="1" t="s">
        <v>7449</v>
      </c>
      <c r="K332" s="7">
        <v>45560</v>
      </c>
      <c r="L332" s="1" t="s">
        <v>7449</v>
      </c>
    </row>
    <row r="333" spans="1:12" x14ac:dyDescent="0.25">
      <c r="A333" s="1">
        <v>332</v>
      </c>
      <c r="B333" s="2" t="str">
        <f>_xlfn.CONCAT(C333,"-",VLOOKUP(C333,t_objeto!B:D,3,FALSE),"-",A333)</f>
        <v>RRPP-PERCCO-332</v>
      </c>
      <c r="C333" s="1" t="s">
        <v>7461</v>
      </c>
      <c r="D333" s="1" t="str">
        <f>VLOOKUP(C333,t_objeto!B:C,2,FALSE)</f>
        <v>RESOURCES_POOL</v>
      </c>
      <c r="E333" s="2" t="s">
        <v>8050</v>
      </c>
      <c r="F333" s="2" t="s">
        <v>8684</v>
      </c>
      <c r="G333" s="1">
        <v>8</v>
      </c>
      <c r="H333" s="1" t="str">
        <f>VLOOKUP(G333,t_entry_status!A:C,2,FALSE)</f>
        <v>PENDING</v>
      </c>
      <c r="I333" s="7">
        <v>45560</v>
      </c>
      <c r="J333" s="1" t="s">
        <v>7449</v>
      </c>
      <c r="K333" s="7">
        <v>45560</v>
      </c>
      <c r="L333" s="1" t="s">
        <v>7449</v>
      </c>
    </row>
    <row r="334" spans="1:12" x14ac:dyDescent="0.25">
      <c r="A334" s="1">
        <v>333</v>
      </c>
      <c r="B334" s="2" t="str">
        <f>_xlfn.CONCAT(C334,"-",VLOOKUP(C334,t_objeto!B:D,3,FALSE),"-",A334)</f>
        <v>RRPP-PERCCO-333</v>
      </c>
      <c r="C334" s="1" t="s">
        <v>7461</v>
      </c>
      <c r="D334" s="1" t="str">
        <f>VLOOKUP(C334,t_objeto!B:C,2,FALSE)</f>
        <v>RESOURCES_POOL</v>
      </c>
      <c r="E334" s="2" t="s">
        <v>8051</v>
      </c>
      <c r="F334" s="2" t="s">
        <v>8685</v>
      </c>
      <c r="G334" s="1">
        <v>8</v>
      </c>
      <c r="H334" s="1" t="str">
        <f>VLOOKUP(G334,t_entry_status!A:C,2,FALSE)</f>
        <v>PENDING</v>
      </c>
      <c r="I334" s="7">
        <v>45560</v>
      </c>
      <c r="J334" s="1" t="s">
        <v>7449</v>
      </c>
      <c r="K334" s="7">
        <v>45560</v>
      </c>
      <c r="L334" s="1" t="s">
        <v>7449</v>
      </c>
    </row>
    <row r="335" spans="1:12" x14ac:dyDescent="0.25">
      <c r="A335" s="1">
        <v>334</v>
      </c>
      <c r="B335" s="2" t="str">
        <f>_xlfn.CONCAT(C335,"-",VLOOKUP(C335,t_objeto!B:D,3,FALSE),"-",A335)</f>
        <v>RRPP-PERCCO-334</v>
      </c>
      <c r="C335" s="1" t="s">
        <v>7461</v>
      </c>
      <c r="D335" s="1" t="str">
        <f>VLOOKUP(C335,t_objeto!B:C,2,FALSE)</f>
        <v>RESOURCES_POOL</v>
      </c>
      <c r="E335" s="2" t="s">
        <v>8052</v>
      </c>
      <c r="F335" s="2" t="s">
        <v>8686</v>
      </c>
      <c r="G335" s="1">
        <v>8</v>
      </c>
      <c r="H335" s="1" t="str">
        <f>VLOOKUP(G335,t_entry_status!A:C,2,FALSE)</f>
        <v>PENDING</v>
      </c>
      <c r="I335" s="7">
        <v>45560</v>
      </c>
      <c r="J335" s="1" t="s">
        <v>7449</v>
      </c>
      <c r="K335" s="7">
        <v>45560</v>
      </c>
      <c r="L335" s="1" t="s">
        <v>7449</v>
      </c>
    </row>
    <row r="336" spans="1:12" x14ac:dyDescent="0.25">
      <c r="A336" s="1">
        <v>335</v>
      </c>
      <c r="B336" s="2" t="str">
        <f>_xlfn.CONCAT(C336,"-",VLOOKUP(C336,t_objeto!B:D,3,FALSE),"-",A336)</f>
        <v>RRPP-PERCCO-335</v>
      </c>
      <c r="C336" s="1" t="s">
        <v>7461</v>
      </c>
      <c r="D336" s="1" t="str">
        <f>VLOOKUP(C336,t_objeto!B:C,2,FALSE)</f>
        <v>RESOURCES_POOL</v>
      </c>
      <c r="E336" s="2" t="s">
        <v>8053</v>
      </c>
      <c r="F336" s="2" t="s">
        <v>8687</v>
      </c>
      <c r="G336" s="1">
        <v>8</v>
      </c>
      <c r="H336" s="1" t="str">
        <f>VLOOKUP(G336,t_entry_status!A:C,2,FALSE)</f>
        <v>PENDING</v>
      </c>
      <c r="I336" s="7">
        <v>45560</v>
      </c>
      <c r="J336" s="1" t="s">
        <v>7449</v>
      </c>
      <c r="K336" s="7">
        <v>45560</v>
      </c>
      <c r="L336" s="1" t="s">
        <v>7449</v>
      </c>
    </row>
    <row r="337" spans="1:12" x14ac:dyDescent="0.25">
      <c r="A337" s="1">
        <v>336</v>
      </c>
      <c r="B337" s="2" t="str">
        <f>_xlfn.CONCAT(C337,"-",VLOOKUP(C337,t_objeto!B:D,3,FALSE),"-",A337)</f>
        <v>RRPP-PERCCO-336</v>
      </c>
      <c r="C337" s="1" t="s">
        <v>7461</v>
      </c>
      <c r="D337" s="1" t="str">
        <f>VLOOKUP(C337,t_objeto!B:C,2,FALSE)</f>
        <v>RESOURCES_POOL</v>
      </c>
      <c r="E337" s="2" t="s">
        <v>8054</v>
      </c>
      <c r="F337" s="2" t="s">
        <v>8688</v>
      </c>
      <c r="G337" s="1">
        <v>8</v>
      </c>
      <c r="H337" s="1" t="str">
        <f>VLOOKUP(G337,t_entry_status!A:C,2,FALSE)</f>
        <v>PENDING</v>
      </c>
      <c r="I337" s="7">
        <v>45560</v>
      </c>
      <c r="J337" s="1" t="s">
        <v>7449</v>
      </c>
      <c r="K337" s="7">
        <v>45560</v>
      </c>
      <c r="L337" s="1" t="s">
        <v>7449</v>
      </c>
    </row>
    <row r="338" spans="1:12" x14ac:dyDescent="0.25">
      <c r="A338" s="1">
        <v>337</v>
      </c>
      <c r="B338" s="2" t="str">
        <f>_xlfn.CONCAT(C338,"-",VLOOKUP(C338,t_objeto!B:D,3,FALSE),"-",A338)</f>
        <v>RRPP-PERCCO-337</v>
      </c>
      <c r="C338" s="1" t="s">
        <v>7461</v>
      </c>
      <c r="D338" s="1" t="str">
        <f>VLOOKUP(C338,t_objeto!B:C,2,FALSE)</f>
        <v>RESOURCES_POOL</v>
      </c>
      <c r="E338" s="2" t="s">
        <v>8055</v>
      </c>
      <c r="F338" s="2" t="s">
        <v>8689</v>
      </c>
      <c r="G338" s="1">
        <v>8</v>
      </c>
      <c r="H338" s="1" t="str">
        <f>VLOOKUP(G338,t_entry_status!A:C,2,FALSE)</f>
        <v>PENDING</v>
      </c>
      <c r="I338" s="7">
        <v>45560</v>
      </c>
      <c r="J338" s="1" t="s">
        <v>7449</v>
      </c>
      <c r="K338" s="7">
        <v>45560</v>
      </c>
      <c r="L338" s="1" t="s">
        <v>7449</v>
      </c>
    </row>
    <row r="339" spans="1:12" x14ac:dyDescent="0.25">
      <c r="A339" s="1">
        <v>338</v>
      </c>
      <c r="B339" s="2" t="str">
        <f>_xlfn.CONCAT(C339,"-",VLOOKUP(C339,t_objeto!B:D,3,FALSE),"-",A339)</f>
        <v>RRPP-PERCCO-338</v>
      </c>
      <c r="C339" s="1" t="s">
        <v>7461</v>
      </c>
      <c r="D339" s="1" t="str">
        <f>VLOOKUP(C339,t_objeto!B:C,2,FALSE)</f>
        <v>RESOURCES_POOL</v>
      </c>
      <c r="E339" s="2" t="s">
        <v>8056</v>
      </c>
      <c r="F339" s="2" t="s">
        <v>8690</v>
      </c>
      <c r="G339" s="1">
        <v>8</v>
      </c>
      <c r="H339" s="1" t="str">
        <f>VLOOKUP(G339,t_entry_status!A:C,2,FALSE)</f>
        <v>PENDING</v>
      </c>
      <c r="I339" s="7">
        <v>45560</v>
      </c>
      <c r="J339" s="1" t="s">
        <v>7449</v>
      </c>
      <c r="K339" s="7">
        <v>45560</v>
      </c>
      <c r="L339" s="1" t="s">
        <v>7449</v>
      </c>
    </row>
    <row r="340" spans="1:12" x14ac:dyDescent="0.25">
      <c r="A340" s="1">
        <v>339</v>
      </c>
      <c r="B340" s="2" t="str">
        <f>_xlfn.CONCAT(C340,"-",VLOOKUP(C340,t_objeto!B:D,3,FALSE),"-",A340)</f>
        <v>RRPP-PERCCO-339</v>
      </c>
      <c r="C340" s="1" t="s">
        <v>7461</v>
      </c>
      <c r="D340" s="1" t="str">
        <f>VLOOKUP(C340,t_objeto!B:C,2,FALSE)</f>
        <v>RESOURCES_POOL</v>
      </c>
      <c r="E340" s="2" t="s">
        <v>8057</v>
      </c>
      <c r="F340" s="2" t="s">
        <v>8691</v>
      </c>
      <c r="G340" s="1">
        <v>8</v>
      </c>
      <c r="H340" s="1" t="str">
        <f>VLOOKUP(G340,t_entry_status!A:C,2,FALSE)</f>
        <v>PENDING</v>
      </c>
      <c r="I340" s="7">
        <v>45560</v>
      </c>
      <c r="J340" s="1" t="s">
        <v>7449</v>
      </c>
      <c r="K340" s="7">
        <v>45560</v>
      </c>
      <c r="L340" s="1" t="s">
        <v>7449</v>
      </c>
    </row>
    <row r="341" spans="1:12" x14ac:dyDescent="0.25">
      <c r="A341" s="1">
        <v>340</v>
      </c>
      <c r="B341" s="2" t="str">
        <f>_xlfn.CONCAT(C341,"-",VLOOKUP(C341,t_objeto!B:D,3,FALSE),"-",A341)</f>
        <v>RRPP-PERCCO-340</v>
      </c>
      <c r="C341" s="1" t="s">
        <v>7461</v>
      </c>
      <c r="D341" s="1" t="str">
        <f>VLOOKUP(C341,t_objeto!B:C,2,FALSE)</f>
        <v>RESOURCES_POOL</v>
      </c>
      <c r="E341" s="2" t="s">
        <v>8058</v>
      </c>
      <c r="F341" s="2" t="s">
        <v>8692</v>
      </c>
      <c r="G341" s="1">
        <v>8</v>
      </c>
      <c r="H341" s="1" t="str">
        <f>VLOOKUP(G341,t_entry_status!A:C,2,FALSE)</f>
        <v>PENDING</v>
      </c>
      <c r="I341" s="7">
        <v>45560</v>
      </c>
      <c r="J341" s="1" t="s">
        <v>7449</v>
      </c>
      <c r="K341" s="7">
        <v>45560</v>
      </c>
      <c r="L341" s="1" t="s">
        <v>7449</v>
      </c>
    </row>
    <row r="342" spans="1:12" x14ac:dyDescent="0.25">
      <c r="A342" s="1">
        <v>341</v>
      </c>
      <c r="B342" s="2" t="str">
        <f>_xlfn.CONCAT(C342,"-",VLOOKUP(C342,t_objeto!B:D,3,FALSE),"-",A342)</f>
        <v>RRPP-PERCCO-341</v>
      </c>
      <c r="C342" s="1" t="s">
        <v>7461</v>
      </c>
      <c r="D342" s="1" t="str">
        <f>VLOOKUP(C342,t_objeto!B:C,2,FALSE)</f>
        <v>RESOURCES_POOL</v>
      </c>
      <c r="E342" s="2" t="s">
        <v>8059</v>
      </c>
      <c r="F342" s="2" t="s">
        <v>8693</v>
      </c>
      <c r="G342" s="1">
        <v>8</v>
      </c>
      <c r="H342" s="1" t="str">
        <f>VLOOKUP(G342,t_entry_status!A:C,2,FALSE)</f>
        <v>PENDING</v>
      </c>
      <c r="I342" s="7">
        <v>45560</v>
      </c>
      <c r="J342" s="1" t="s">
        <v>7449</v>
      </c>
      <c r="K342" s="7">
        <v>45560</v>
      </c>
      <c r="L342" s="1" t="s">
        <v>7449</v>
      </c>
    </row>
    <row r="343" spans="1:12" x14ac:dyDescent="0.25">
      <c r="A343" s="1">
        <v>342</v>
      </c>
      <c r="B343" s="2" t="str">
        <f>_xlfn.CONCAT(C343,"-",VLOOKUP(C343,t_objeto!B:D,3,FALSE),"-",A343)</f>
        <v>RRPP-PERCCO-342</v>
      </c>
      <c r="C343" s="1" t="s">
        <v>7461</v>
      </c>
      <c r="D343" s="1" t="str">
        <f>VLOOKUP(C343,t_objeto!B:C,2,FALSE)</f>
        <v>RESOURCES_POOL</v>
      </c>
      <c r="E343" s="2" t="s">
        <v>8060</v>
      </c>
      <c r="F343" s="2" t="s">
        <v>8694</v>
      </c>
      <c r="G343" s="1">
        <v>8</v>
      </c>
      <c r="H343" s="1" t="str">
        <f>VLOOKUP(G343,t_entry_status!A:C,2,FALSE)</f>
        <v>PENDING</v>
      </c>
      <c r="I343" s="7">
        <v>45560</v>
      </c>
      <c r="J343" s="1" t="s">
        <v>7449</v>
      </c>
      <c r="K343" s="7">
        <v>45560</v>
      </c>
      <c r="L343" s="1" t="s">
        <v>7449</v>
      </c>
    </row>
    <row r="344" spans="1:12" x14ac:dyDescent="0.25">
      <c r="A344" s="1">
        <v>343</v>
      </c>
      <c r="B344" s="2" t="str">
        <f>_xlfn.CONCAT(C344,"-",VLOOKUP(C344,t_objeto!B:D,3,FALSE),"-",A344)</f>
        <v>RRPP-PERCCO-343</v>
      </c>
      <c r="C344" s="1" t="s">
        <v>7461</v>
      </c>
      <c r="D344" s="1" t="str">
        <f>VLOOKUP(C344,t_objeto!B:C,2,FALSE)</f>
        <v>RESOURCES_POOL</v>
      </c>
      <c r="E344" s="2" t="s">
        <v>8061</v>
      </c>
      <c r="F344" s="2" t="s">
        <v>8695</v>
      </c>
      <c r="G344" s="1">
        <v>8</v>
      </c>
      <c r="H344" s="1" t="str">
        <f>VLOOKUP(G344,t_entry_status!A:C,2,FALSE)</f>
        <v>PENDING</v>
      </c>
      <c r="I344" s="7">
        <v>45560</v>
      </c>
      <c r="J344" s="1" t="s">
        <v>7449</v>
      </c>
      <c r="K344" s="7">
        <v>45560</v>
      </c>
      <c r="L344" s="1" t="s">
        <v>7449</v>
      </c>
    </row>
    <row r="345" spans="1:12" x14ac:dyDescent="0.25">
      <c r="A345" s="1">
        <v>344</v>
      </c>
      <c r="B345" s="2" t="str">
        <f>_xlfn.CONCAT(C345,"-",VLOOKUP(C345,t_objeto!B:D,3,FALSE),"-",A345)</f>
        <v>RRPP-PERCCO-344</v>
      </c>
      <c r="C345" s="1" t="s">
        <v>7461</v>
      </c>
      <c r="D345" s="1" t="str">
        <f>VLOOKUP(C345,t_objeto!B:C,2,FALSE)</f>
        <v>RESOURCES_POOL</v>
      </c>
      <c r="E345" s="2" t="s">
        <v>8062</v>
      </c>
      <c r="F345" s="2" t="s">
        <v>8696</v>
      </c>
      <c r="G345" s="1">
        <v>8</v>
      </c>
      <c r="H345" s="1" t="str">
        <f>VLOOKUP(G345,t_entry_status!A:C,2,FALSE)</f>
        <v>PENDING</v>
      </c>
      <c r="I345" s="7">
        <v>45560</v>
      </c>
      <c r="J345" s="1" t="s">
        <v>7449</v>
      </c>
      <c r="K345" s="7">
        <v>45560</v>
      </c>
      <c r="L345" s="1" t="s">
        <v>7449</v>
      </c>
    </row>
    <row r="346" spans="1:12" x14ac:dyDescent="0.25">
      <c r="A346" s="1">
        <v>345</v>
      </c>
      <c r="B346" s="2" t="str">
        <f>_xlfn.CONCAT(C346,"-",VLOOKUP(C346,t_objeto!B:D,3,FALSE),"-",A346)</f>
        <v>RRPP-PERCCO-345</v>
      </c>
      <c r="C346" s="1" t="s">
        <v>7461</v>
      </c>
      <c r="D346" s="1" t="str">
        <f>VLOOKUP(C346,t_objeto!B:C,2,FALSE)</f>
        <v>RESOURCES_POOL</v>
      </c>
      <c r="E346" s="2" t="s">
        <v>8063</v>
      </c>
      <c r="F346" s="2" t="s">
        <v>8697</v>
      </c>
      <c r="G346" s="1">
        <v>8</v>
      </c>
      <c r="H346" s="1" t="str">
        <f>VLOOKUP(G346,t_entry_status!A:C,2,FALSE)</f>
        <v>PENDING</v>
      </c>
      <c r="I346" s="7">
        <v>45560</v>
      </c>
      <c r="J346" s="1" t="s">
        <v>7449</v>
      </c>
      <c r="K346" s="7">
        <v>45560</v>
      </c>
      <c r="L346" s="1" t="s">
        <v>7449</v>
      </c>
    </row>
    <row r="347" spans="1:12" x14ac:dyDescent="0.25">
      <c r="A347" s="1">
        <v>346</v>
      </c>
      <c r="B347" s="2" t="str">
        <f>_xlfn.CONCAT(C347,"-",VLOOKUP(C347,t_objeto!B:D,3,FALSE),"-",A347)</f>
        <v>RRPP-PERCCO-346</v>
      </c>
      <c r="C347" s="1" t="s">
        <v>7461</v>
      </c>
      <c r="D347" s="1" t="str">
        <f>VLOOKUP(C347,t_objeto!B:C,2,FALSE)</f>
        <v>RESOURCES_POOL</v>
      </c>
      <c r="E347" s="2" t="s">
        <v>8064</v>
      </c>
      <c r="F347" s="2" t="s">
        <v>8698</v>
      </c>
      <c r="G347" s="1">
        <v>8</v>
      </c>
      <c r="H347" s="1" t="str">
        <f>VLOOKUP(G347,t_entry_status!A:C,2,FALSE)</f>
        <v>PENDING</v>
      </c>
      <c r="I347" s="7">
        <v>45560</v>
      </c>
      <c r="J347" s="1" t="s">
        <v>7449</v>
      </c>
      <c r="K347" s="7">
        <v>45560</v>
      </c>
      <c r="L347" s="1" t="s">
        <v>7449</v>
      </c>
    </row>
    <row r="348" spans="1:12" x14ac:dyDescent="0.25">
      <c r="A348" s="1">
        <v>347</v>
      </c>
      <c r="B348" s="2" t="str">
        <f>_xlfn.CONCAT(C348,"-",VLOOKUP(C348,t_objeto!B:D,3,FALSE),"-",A348)</f>
        <v>RRPP-PERCCO-347</v>
      </c>
      <c r="C348" s="1" t="s">
        <v>7461</v>
      </c>
      <c r="D348" s="1" t="str">
        <f>VLOOKUP(C348,t_objeto!B:C,2,FALSE)</f>
        <v>RESOURCES_POOL</v>
      </c>
      <c r="E348" s="2" t="s">
        <v>8065</v>
      </c>
      <c r="F348" s="2" t="s">
        <v>8699</v>
      </c>
      <c r="G348" s="1">
        <v>8</v>
      </c>
      <c r="H348" s="1" t="str">
        <f>VLOOKUP(G348,t_entry_status!A:C,2,FALSE)</f>
        <v>PENDING</v>
      </c>
      <c r="I348" s="7">
        <v>45560</v>
      </c>
      <c r="J348" s="1" t="s">
        <v>7449</v>
      </c>
      <c r="K348" s="7">
        <v>45560</v>
      </c>
      <c r="L348" s="1" t="s">
        <v>7449</v>
      </c>
    </row>
    <row r="349" spans="1:12" x14ac:dyDescent="0.25">
      <c r="A349" s="1">
        <v>348</v>
      </c>
      <c r="B349" s="2" t="str">
        <f>_xlfn.CONCAT(C349,"-",VLOOKUP(C349,t_objeto!B:D,3,FALSE),"-",A349)</f>
        <v>RRPP-PERCCO-348</v>
      </c>
      <c r="C349" s="1" t="s">
        <v>7461</v>
      </c>
      <c r="D349" s="1" t="str">
        <f>VLOOKUP(C349,t_objeto!B:C,2,FALSE)</f>
        <v>RESOURCES_POOL</v>
      </c>
      <c r="E349" s="2" t="s">
        <v>8066</v>
      </c>
      <c r="F349" s="2" t="s">
        <v>8700</v>
      </c>
      <c r="G349" s="1">
        <v>8</v>
      </c>
      <c r="H349" s="1" t="str">
        <f>VLOOKUP(G349,t_entry_status!A:C,2,FALSE)</f>
        <v>PENDING</v>
      </c>
      <c r="I349" s="7">
        <v>45560</v>
      </c>
      <c r="J349" s="1" t="s">
        <v>7449</v>
      </c>
      <c r="K349" s="7">
        <v>45560</v>
      </c>
      <c r="L349" s="1" t="s">
        <v>7449</v>
      </c>
    </row>
    <row r="350" spans="1:12" x14ac:dyDescent="0.25">
      <c r="A350" s="1">
        <v>349</v>
      </c>
      <c r="B350" s="2" t="str">
        <f>_xlfn.CONCAT(C350,"-",VLOOKUP(C350,t_objeto!B:D,3,FALSE),"-",A350)</f>
        <v>RRPP-PERCCO-349</v>
      </c>
      <c r="C350" s="1" t="s">
        <v>7461</v>
      </c>
      <c r="D350" s="1" t="str">
        <f>VLOOKUP(C350,t_objeto!B:C,2,FALSE)</f>
        <v>RESOURCES_POOL</v>
      </c>
      <c r="E350" s="2" t="s">
        <v>8067</v>
      </c>
      <c r="F350" s="2" t="s">
        <v>8701</v>
      </c>
      <c r="G350" s="1">
        <v>8</v>
      </c>
      <c r="H350" s="1" t="str">
        <f>VLOOKUP(G350,t_entry_status!A:C,2,FALSE)</f>
        <v>PENDING</v>
      </c>
      <c r="I350" s="7">
        <v>45560</v>
      </c>
      <c r="J350" s="1" t="s">
        <v>7449</v>
      </c>
      <c r="K350" s="7">
        <v>45560</v>
      </c>
      <c r="L350" s="1" t="s">
        <v>7449</v>
      </c>
    </row>
    <row r="351" spans="1:12" x14ac:dyDescent="0.25">
      <c r="A351" s="1">
        <v>350</v>
      </c>
      <c r="B351" s="2" t="str">
        <f>_xlfn.CONCAT(C351,"-",VLOOKUP(C351,t_objeto!B:D,3,FALSE),"-",A351)</f>
        <v>RRPP-PERCCO-350</v>
      </c>
      <c r="C351" s="1" t="s">
        <v>7461</v>
      </c>
      <c r="D351" s="1" t="str">
        <f>VLOOKUP(C351,t_objeto!B:C,2,FALSE)</f>
        <v>RESOURCES_POOL</v>
      </c>
      <c r="E351" s="2" t="s">
        <v>8068</v>
      </c>
      <c r="F351" s="2" t="s">
        <v>8702</v>
      </c>
      <c r="G351" s="1">
        <v>8</v>
      </c>
      <c r="H351" s="1" t="str">
        <f>VLOOKUP(G351,t_entry_status!A:C,2,FALSE)</f>
        <v>PENDING</v>
      </c>
      <c r="I351" s="7">
        <v>45560</v>
      </c>
      <c r="J351" s="1" t="s">
        <v>7449</v>
      </c>
      <c r="K351" s="7">
        <v>45560</v>
      </c>
      <c r="L351" s="1" t="s">
        <v>7449</v>
      </c>
    </row>
    <row r="352" spans="1:12" x14ac:dyDescent="0.25">
      <c r="A352" s="1">
        <v>351</v>
      </c>
      <c r="B352" s="2" t="str">
        <f>_xlfn.CONCAT(C352,"-",VLOOKUP(C352,t_objeto!B:D,3,FALSE),"-",A352)</f>
        <v>RRPP-PERCCO-351</v>
      </c>
      <c r="C352" s="1" t="s">
        <v>7461</v>
      </c>
      <c r="D352" s="1" t="str">
        <f>VLOOKUP(C352,t_objeto!B:C,2,FALSE)</f>
        <v>RESOURCES_POOL</v>
      </c>
      <c r="E352" s="2" t="s">
        <v>8069</v>
      </c>
      <c r="F352" s="2" t="s">
        <v>8703</v>
      </c>
      <c r="G352" s="1">
        <v>8</v>
      </c>
      <c r="H352" s="1" t="str">
        <f>VLOOKUP(G352,t_entry_status!A:C,2,FALSE)</f>
        <v>PENDING</v>
      </c>
      <c r="I352" s="7">
        <v>45560</v>
      </c>
      <c r="J352" s="1" t="s">
        <v>7449</v>
      </c>
      <c r="K352" s="7">
        <v>45560</v>
      </c>
      <c r="L352" s="1" t="s">
        <v>7449</v>
      </c>
    </row>
    <row r="353" spans="1:12" x14ac:dyDescent="0.25">
      <c r="A353" s="1">
        <v>352</v>
      </c>
      <c r="B353" s="2" t="str">
        <f>_xlfn.CONCAT(C353,"-",VLOOKUP(C353,t_objeto!B:D,3,FALSE),"-",A353)</f>
        <v>RRPP-PERCCO-352</v>
      </c>
      <c r="C353" s="1" t="s">
        <v>7461</v>
      </c>
      <c r="D353" s="1" t="str">
        <f>VLOOKUP(C353,t_objeto!B:C,2,FALSE)</f>
        <v>RESOURCES_POOL</v>
      </c>
      <c r="E353" s="2" t="s">
        <v>8070</v>
      </c>
      <c r="F353" s="2" t="s">
        <v>8704</v>
      </c>
      <c r="G353" s="1">
        <v>8</v>
      </c>
      <c r="H353" s="1" t="str">
        <f>VLOOKUP(G353,t_entry_status!A:C,2,FALSE)</f>
        <v>PENDING</v>
      </c>
      <c r="I353" s="7">
        <v>45560</v>
      </c>
      <c r="J353" s="1" t="s">
        <v>7449</v>
      </c>
      <c r="K353" s="7">
        <v>45560</v>
      </c>
      <c r="L353" s="1" t="s">
        <v>7449</v>
      </c>
    </row>
    <row r="354" spans="1:12" x14ac:dyDescent="0.25">
      <c r="A354" s="1">
        <v>353</v>
      </c>
      <c r="B354" s="2" t="str">
        <f>_xlfn.CONCAT(C354,"-",VLOOKUP(C354,t_objeto!B:D,3,FALSE),"-",A354)</f>
        <v>RRPP-PERCCO-353</v>
      </c>
      <c r="C354" s="1" t="s">
        <v>7461</v>
      </c>
      <c r="D354" s="1" t="str">
        <f>VLOOKUP(C354,t_objeto!B:C,2,FALSE)</f>
        <v>RESOURCES_POOL</v>
      </c>
      <c r="E354" s="2" t="s">
        <v>8071</v>
      </c>
      <c r="F354" s="2" t="s">
        <v>8705</v>
      </c>
      <c r="G354" s="1">
        <v>8</v>
      </c>
      <c r="H354" s="1" t="str">
        <f>VLOOKUP(G354,t_entry_status!A:C,2,FALSE)</f>
        <v>PENDING</v>
      </c>
      <c r="I354" s="7">
        <v>45560</v>
      </c>
      <c r="J354" s="1" t="s">
        <v>7449</v>
      </c>
      <c r="K354" s="7">
        <v>45560</v>
      </c>
      <c r="L354" s="1" t="s">
        <v>7449</v>
      </c>
    </row>
    <row r="355" spans="1:12" x14ac:dyDescent="0.25">
      <c r="A355" s="1">
        <v>354</v>
      </c>
      <c r="B355" s="2" t="str">
        <f>_xlfn.CONCAT(C355,"-",VLOOKUP(C355,t_objeto!B:D,3,FALSE),"-",A355)</f>
        <v>RRPP-PERCCO-354</v>
      </c>
      <c r="C355" s="1" t="s">
        <v>7461</v>
      </c>
      <c r="D355" s="1" t="str">
        <f>VLOOKUP(C355,t_objeto!B:C,2,FALSE)</f>
        <v>RESOURCES_POOL</v>
      </c>
      <c r="E355" s="2" t="s">
        <v>8072</v>
      </c>
      <c r="F355" s="2" t="s">
        <v>8706</v>
      </c>
      <c r="G355" s="1">
        <v>8</v>
      </c>
      <c r="H355" s="1" t="str">
        <f>VLOOKUP(G355,t_entry_status!A:C,2,FALSE)</f>
        <v>PENDING</v>
      </c>
      <c r="I355" s="7">
        <v>45560</v>
      </c>
      <c r="J355" s="1" t="s">
        <v>7449</v>
      </c>
      <c r="K355" s="7">
        <v>45560</v>
      </c>
      <c r="L355" s="1" t="s">
        <v>7449</v>
      </c>
    </row>
    <row r="356" spans="1:12" x14ac:dyDescent="0.25">
      <c r="A356" s="1">
        <v>355</v>
      </c>
      <c r="B356" s="2" t="str">
        <f>_xlfn.CONCAT(C356,"-",VLOOKUP(C356,t_objeto!B:D,3,FALSE),"-",A356)</f>
        <v>RRPP-PERCCO-355</v>
      </c>
      <c r="C356" s="1" t="s">
        <v>7461</v>
      </c>
      <c r="D356" s="1" t="str">
        <f>VLOOKUP(C356,t_objeto!B:C,2,FALSE)</f>
        <v>RESOURCES_POOL</v>
      </c>
      <c r="E356" s="2" t="s">
        <v>8073</v>
      </c>
      <c r="F356" s="2" t="s">
        <v>8707</v>
      </c>
      <c r="G356" s="1">
        <v>8</v>
      </c>
      <c r="H356" s="1" t="str">
        <f>VLOOKUP(G356,t_entry_status!A:C,2,FALSE)</f>
        <v>PENDING</v>
      </c>
      <c r="I356" s="7">
        <v>45560</v>
      </c>
      <c r="J356" s="1" t="s">
        <v>7449</v>
      </c>
      <c r="K356" s="7">
        <v>45560</v>
      </c>
      <c r="L356" s="1" t="s">
        <v>7449</v>
      </c>
    </row>
    <row r="357" spans="1:12" x14ac:dyDescent="0.25">
      <c r="A357" s="1">
        <v>356</v>
      </c>
      <c r="B357" s="2" t="str">
        <f>_xlfn.CONCAT(C357,"-",VLOOKUP(C357,t_objeto!B:D,3,FALSE),"-",A357)</f>
        <v>RRPP-PERCCO-356</v>
      </c>
      <c r="C357" s="1" t="s">
        <v>7461</v>
      </c>
      <c r="D357" s="1" t="str">
        <f>VLOOKUP(C357,t_objeto!B:C,2,FALSE)</f>
        <v>RESOURCES_POOL</v>
      </c>
      <c r="E357" s="2" t="s">
        <v>8074</v>
      </c>
      <c r="F357" s="2" t="s">
        <v>8708</v>
      </c>
      <c r="G357" s="1">
        <v>8</v>
      </c>
      <c r="H357" s="1" t="str">
        <f>VLOOKUP(G357,t_entry_status!A:C,2,FALSE)</f>
        <v>PENDING</v>
      </c>
      <c r="I357" s="7">
        <v>45560</v>
      </c>
      <c r="J357" s="1" t="s">
        <v>7449</v>
      </c>
      <c r="K357" s="7">
        <v>45560</v>
      </c>
      <c r="L357" s="1" t="s">
        <v>7449</v>
      </c>
    </row>
    <row r="358" spans="1:12" x14ac:dyDescent="0.25">
      <c r="A358" s="1">
        <v>357</v>
      </c>
      <c r="B358" s="2" t="str">
        <f>_xlfn.CONCAT(C358,"-",VLOOKUP(C358,t_objeto!B:D,3,FALSE),"-",A358)</f>
        <v>RRPP-PERCCO-357</v>
      </c>
      <c r="C358" s="1" t="s">
        <v>7461</v>
      </c>
      <c r="D358" s="1" t="str">
        <f>VLOOKUP(C358,t_objeto!B:C,2,FALSE)</f>
        <v>RESOURCES_POOL</v>
      </c>
      <c r="E358" s="2" t="s">
        <v>8075</v>
      </c>
      <c r="F358" s="2" t="s">
        <v>8709</v>
      </c>
      <c r="G358" s="1">
        <v>8</v>
      </c>
      <c r="H358" s="1" t="str">
        <f>VLOOKUP(G358,t_entry_status!A:C,2,FALSE)</f>
        <v>PENDING</v>
      </c>
      <c r="I358" s="7">
        <v>45560</v>
      </c>
      <c r="J358" s="1" t="s">
        <v>7449</v>
      </c>
      <c r="K358" s="7">
        <v>45560</v>
      </c>
      <c r="L358" s="1" t="s">
        <v>7449</v>
      </c>
    </row>
    <row r="359" spans="1:12" x14ac:dyDescent="0.25">
      <c r="A359" s="1">
        <v>358</v>
      </c>
      <c r="B359" s="2" t="str">
        <f>_xlfn.CONCAT(C359,"-",VLOOKUP(C359,t_objeto!B:D,3,FALSE),"-",A359)</f>
        <v>RRPP-PERCCO-358</v>
      </c>
      <c r="C359" s="1" t="s">
        <v>7461</v>
      </c>
      <c r="D359" s="1" t="str">
        <f>VLOOKUP(C359,t_objeto!B:C,2,FALSE)</f>
        <v>RESOURCES_POOL</v>
      </c>
      <c r="E359" s="2" t="s">
        <v>8076</v>
      </c>
      <c r="F359" s="2" t="s">
        <v>8710</v>
      </c>
      <c r="G359" s="1">
        <v>8</v>
      </c>
      <c r="H359" s="1" t="str">
        <f>VLOOKUP(G359,t_entry_status!A:C,2,FALSE)</f>
        <v>PENDING</v>
      </c>
      <c r="I359" s="7">
        <v>45560</v>
      </c>
      <c r="J359" s="1" t="s">
        <v>7449</v>
      </c>
      <c r="K359" s="7">
        <v>45560</v>
      </c>
      <c r="L359" s="1" t="s">
        <v>7449</v>
      </c>
    </row>
    <row r="360" spans="1:12" x14ac:dyDescent="0.25">
      <c r="A360" s="1">
        <v>359</v>
      </c>
      <c r="B360" s="2" t="str">
        <f>_xlfn.CONCAT(C360,"-",VLOOKUP(C360,t_objeto!B:D,3,FALSE),"-",A360)</f>
        <v>RRPP-PERCCO-359</v>
      </c>
      <c r="C360" s="1" t="s">
        <v>7461</v>
      </c>
      <c r="D360" s="1" t="str">
        <f>VLOOKUP(C360,t_objeto!B:C,2,FALSE)</f>
        <v>RESOURCES_POOL</v>
      </c>
      <c r="E360" s="2" t="s">
        <v>8077</v>
      </c>
      <c r="F360" s="2" t="s">
        <v>8711</v>
      </c>
      <c r="G360" s="1">
        <v>8</v>
      </c>
      <c r="H360" s="1" t="str">
        <f>VLOOKUP(G360,t_entry_status!A:C,2,FALSE)</f>
        <v>PENDING</v>
      </c>
      <c r="I360" s="7">
        <v>45560</v>
      </c>
      <c r="J360" s="1" t="s">
        <v>7449</v>
      </c>
      <c r="K360" s="7">
        <v>45560</v>
      </c>
      <c r="L360" s="1" t="s">
        <v>7449</v>
      </c>
    </row>
    <row r="361" spans="1:12" x14ac:dyDescent="0.25">
      <c r="A361" s="1">
        <v>360</v>
      </c>
      <c r="B361" s="2" t="str">
        <f>_xlfn.CONCAT(C361,"-",VLOOKUP(C361,t_objeto!B:D,3,FALSE),"-",A361)</f>
        <v>RRPP-PERCCO-360</v>
      </c>
      <c r="C361" s="1" t="s">
        <v>7461</v>
      </c>
      <c r="D361" s="1" t="str">
        <f>VLOOKUP(C361,t_objeto!B:C,2,FALSE)</f>
        <v>RESOURCES_POOL</v>
      </c>
      <c r="E361" s="2" t="s">
        <v>8078</v>
      </c>
      <c r="F361" s="2" t="s">
        <v>8712</v>
      </c>
      <c r="G361" s="1">
        <v>8</v>
      </c>
      <c r="H361" s="1" t="str">
        <f>VLOOKUP(G361,t_entry_status!A:C,2,FALSE)</f>
        <v>PENDING</v>
      </c>
      <c r="I361" s="7">
        <v>45560</v>
      </c>
      <c r="J361" s="1" t="s">
        <v>7449</v>
      </c>
      <c r="K361" s="7">
        <v>45560</v>
      </c>
      <c r="L361" s="1" t="s">
        <v>7449</v>
      </c>
    </row>
    <row r="362" spans="1:12" x14ac:dyDescent="0.25">
      <c r="A362" s="1">
        <v>361</v>
      </c>
      <c r="B362" s="2" t="str">
        <f>_xlfn.CONCAT(C362,"-",VLOOKUP(C362,t_objeto!B:D,3,FALSE),"-",A362)</f>
        <v>RRPP-PERCCO-361</v>
      </c>
      <c r="C362" s="1" t="s">
        <v>7461</v>
      </c>
      <c r="D362" s="1" t="str">
        <f>VLOOKUP(C362,t_objeto!B:C,2,FALSE)</f>
        <v>RESOURCES_POOL</v>
      </c>
      <c r="E362" s="2" t="s">
        <v>8079</v>
      </c>
      <c r="F362" s="2" t="s">
        <v>8713</v>
      </c>
      <c r="G362" s="1">
        <v>8</v>
      </c>
      <c r="H362" s="1" t="str">
        <f>VLOOKUP(G362,t_entry_status!A:C,2,FALSE)</f>
        <v>PENDING</v>
      </c>
      <c r="I362" s="7">
        <v>45560</v>
      </c>
      <c r="J362" s="1" t="s">
        <v>7449</v>
      </c>
      <c r="K362" s="7">
        <v>45560</v>
      </c>
      <c r="L362" s="1" t="s">
        <v>7449</v>
      </c>
    </row>
    <row r="363" spans="1:12" x14ac:dyDescent="0.25">
      <c r="A363" s="1">
        <v>362</v>
      </c>
      <c r="B363" s="2" t="str">
        <f>_xlfn.CONCAT(C363,"-",VLOOKUP(C363,t_objeto!B:D,3,FALSE),"-",A363)</f>
        <v>RRPP-PERCCO-362</v>
      </c>
      <c r="C363" s="1" t="s">
        <v>7461</v>
      </c>
      <c r="D363" s="1" t="str">
        <f>VLOOKUP(C363,t_objeto!B:C,2,FALSE)</f>
        <v>RESOURCES_POOL</v>
      </c>
      <c r="E363" s="2" t="s">
        <v>8080</v>
      </c>
      <c r="F363" s="2" t="s">
        <v>8714</v>
      </c>
      <c r="G363" s="1">
        <v>8</v>
      </c>
      <c r="H363" s="1" t="str">
        <f>VLOOKUP(G363,t_entry_status!A:C,2,FALSE)</f>
        <v>PENDING</v>
      </c>
      <c r="I363" s="7">
        <v>45560</v>
      </c>
      <c r="J363" s="1" t="s">
        <v>7449</v>
      </c>
      <c r="K363" s="7">
        <v>45560</v>
      </c>
      <c r="L363" s="1" t="s">
        <v>7449</v>
      </c>
    </row>
    <row r="364" spans="1:12" x14ac:dyDescent="0.25">
      <c r="A364" s="1">
        <v>363</v>
      </c>
      <c r="B364" s="2" t="str">
        <f>_xlfn.CONCAT(C364,"-",VLOOKUP(C364,t_objeto!B:D,3,FALSE),"-",A364)</f>
        <v>RRPP-PERCCO-363</v>
      </c>
      <c r="C364" s="1" t="s">
        <v>7461</v>
      </c>
      <c r="D364" s="1" t="str">
        <f>VLOOKUP(C364,t_objeto!B:C,2,FALSE)</f>
        <v>RESOURCES_POOL</v>
      </c>
      <c r="E364" s="2" t="s">
        <v>8081</v>
      </c>
      <c r="F364" s="2" t="s">
        <v>8715</v>
      </c>
      <c r="G364" s="1">
        <v>8</v>
      </c>
      <c r="H364" s="1" t="str">
        <f>VLOOKUP(G364,t_entry_status!A:C,2,FALSE)</f>
        <v>PENDING</v>
      </c>
      <c r="I364" s="7">
        <v>45560</v>
      </c>
      <c r="J364" s="1" t="s">
        <v>7449</v>
      </c>
      <c r="K364" s="7">
        <v>45560</v>
      </c>
      <c r="L364" s="1" t="s">
        <v>7449</v>
      </c>
    </row>
    <row r="365" spans="1:12" x14ac:dyDescent="0.25">
      <c r="A365" s="1">
        <v>364</v>
      </c>
      <c r="B365" s="2" t="str">
        <f>_xlfn.CONCAT(C365,"-",VLOOKUP(C365,t_objeto!B:D,3,FALSE),"-",A365)</f>
        <v>RRPP-PERCCO-364</v>
      </c>
      <c r="C365" s="1" t="s">
        <v>7461</v>
      </c>
      <c r="D365" s="1" t="str">
        <f>VLOOKUP(C365,t_objeto!B:C,2,FALSE)</f>
        <v>RESOURCES_POOL</v>
      </c>
      <c r="E365" s="2" t="s">
        <v>8082</v>
      </c>
      <c r="F365" s="2" t="s">
        <v>8716</v>
      </c>
      <c r="G365" s="1">
        <v>8</v>
      </c>
      <c r="H365" s="1" t="str">
        <f>VLOOKUP(G365,t_entry_status!A:C,2,FALSE)</f>
        <v>PENDING</v>
      </c>
      <c r="I365" s="7">
        <v>45560</v>
      </c>
      <c r="J365" s="1" t="s">
        <v>7449</v>
      </c>
      <c r="K365" s="7">
        <v>45560</v>
      </c>
      <c r="L365" s="1" t="s">
        <v>7449</v>
      </c>
    </row>
    <row r="366" spans="1:12" x14ac:dyDescent="0.25">
      <c r="A366" s="1">
        <v>365</v>
      </c>
      <c r="B366" s="2" t="str">
        <f>_xlfn.CONCAT(C366,"-",VLOOKUP(C366,t_objeto!B:D,3,FALSE),"-",A366)</f>
        <v>RRPP-PERCCO-365</v>
      </c>
      <c r="C366" s="1" t="s">
        <v>7461</v>
      </c>
      <c r="D366" s="1" t="str">
        <f>VLOOKUP(C366,t_objeto!B:C,2,FALSE)</f>
        <v>RESOURCES_POOL</v>
      </c>
      <c r="E366" s="2" t="s">
        <v>8083</v>
      </c>
      <c r="F366" s="2" t="s">
        <v>8717</v>
      </c>
      <c r="G366" s="1">
        <v>8</v>
      </c>
      <c r="H366" s="1" t="str">
        <f>VLOOKUP(G366,t_entry_status!A:C,2,FALSE)</f>
        <v>PENDING</v>
      </c>
      <c r="I366" s="7">
        <v>45560</v>
      </c>
      <c r="J366" s="1" t="s">
        <v>7449</v>
      </c>
      <c r="K366" s="7">
        <v>45560</v>
      </c>
      <c r="L366" s="1" t="s">
        <v>7449</v>
      </c>
    </row>
    <row r="367" spans="1:12" x14ac:dyDescent="0.25">
      <c r="A367" s="1">
        <v>366</v>
      </c>
      <c r="B367" s="2" t="str">
        <f>_xlfn.CONCAT(C367,"-",VLOOKUP(C367,t_objeto!B:D,3,FALSE),"-",A367)</f>
        <v>RRPP-PERCCO-366</v>
      </c>
      <c r="C367" s="1" t="s">
        <v>7461</v>
      </c>
      <c r="D367" s="1" t="str">
        <f>VLOOKUP(C367,t_objeto!B:C,2,FALSE)</f>
        <v>RESOURCES_POOL</v>
      </c>
      <c r="E367" s="2" t="s">
        <v>8084</v>
      </c>
      <c r="F367" s="2" t="s">
        <v>8718</v>
      </c>
      <c r="G367" s="1">
        <v>8</v>
      </c>
      <c r="H367" s="1" t="str">
        <f>VLOOKUP(G367,t_entry_status!A:C,2,FALSE)</f>
        <v>PENDING</v>
      </c>
      <c r="I367" s="7">
        <v>45560</v>
      </c>
      <c r="J367" s="1" t="s">
        <v>7449</v>
      </c>
      <c r="K367" s="7">
        <v>45560</v>
      </c>
      <c r="L367" s="1" t="s">
        <v>7449</v>
      </c>
    </row>
    <row r="368" spans="1:12" x14ac:dyDescent="0.25">
      <c r="A368" s="1">
        <v>367</v>
      </c>
      <c r="B368" s="2" t="str">
        <f>_xlfn.CONCAT(C368,"-",VLOOKUP(C368,t_objeto!B:D,3,FALSE),"-",A368)</f>
        <v>RRPP-PERCCO-367</v>
      </c>
      <c r="C368" s="1" t="s">
        <v>7461</v>
      </c>
      <c r="D368" s="1" t="str">
        <f>VLOOKUP(C368,t_objeto!B:C,2,FALSE)</f>
        <v>RESOURCES_POOL</v>
      </c>
      <c r="E368" s="2" t="s">
        <v>8085</v>
      </c>
      <c r="F368" s="2" t="s">
        <v>8719</v>
      </c>
      <c r="G368" s="1">
        <v>8</v>
      </c>
      <c r="H368" s="1" t="str">
        <f>VLOOKUP(G368,t_entry_status!A:C,2,FALSE)</f>
        <v>PENDING</v>
      </c>
      <c r="I368" s="7">
        <v>45560</v>
      </c>
      <c r="J368" s="1" t="s">
        <v>7449</v>
      </c>
      <c r="K368" s="7">
        <v>45560</v>
      </c>
      <c r="L368" s="1" t="s">
        <v>7449</v>
      </c>
    </row>
    <row r="369" spans="1:12" x14ac:dyDescent="0.25">
      <c r="A369" s="1">
        <v>368</v>
      </c>
      <c r="B369" s="2" t="str">
        <f>_xlfn.CONCAT(C369,"-",VLOOKUP(C369,t_objeto!B:D,3,FALSE),"-",A369)</f>
        <v>RRPP-PERCCO-368</v>
      </c>
      <c r="C369" s="1" t="s">
        <v>7461</v>
      </c>
      <c r="D369" s="1" t="str">
        <f>VLOOKUP(C369,t_objeto!B:C,2,FALSE)</f>
        <v>RESOURCES_POOL</v>
      </c>
      <c r="E369" s="2" t="s">
        <v>8086</v>
      </c>
      <c r="F369" s="2" t="s">
        <v>8720</v>
      </c>
      <c r="G369" s="1">
        <v>8</v>
      </c>
      <c r="H369" s="1" t="str">
        <f>VLOOKUP(G369,t_entry_status!A:C,2,FALSE)</f>
        <v>PENDING</v>
      </c>
      <c r="I369" s="7">
        <v>45560</v>
      </c>
      <c r="J369" s="1" t="s">
        <v>7449</v>
      </c>
      <c r="K369" s="7">
        <v>45560</v>
      </c>
      <c r="L369" s="1" t="s">
        <v>7449</v>
      </c>
    </row>
    <row r="370" spans="1:12" x14ac:dyDescent="0.25">
      <c r="A370" s="1">
        <v>369</v>
      </c>
      <c r="B370" s="2" t="str">
        <f>_xlfn.CONCAT(C370,"-",VLOOKUP(C370,t_objeto!B:D,3,FALSE),"-",A370)</f>
        <v>RRPP-PERCCO-369</v>
      </c>
      <c r="C370" s="1" t="s">
        <v>7461</v>
      </c>
      <c r="D370" s="1" t="str">
        <f>VLOOKUP(C370,t_objeto!B:C,2,FALSE)</f>
        <v>RESOURCES_POOL</v>
      </c>
      <c r="E370" s="2" t="s">
        <v>8087</v>
      </c>
      <c r="F370" s="2" t="s">
        <v>8721</v>
      </c>
      <c r="G370" s="1">
        <v>8</v>
      </c>
      <c r="H370" s="1" t="str">
        <f>VLOOKUP(G370,t_entry_status!A:C,2,FALSE)</f>
        <v>PENDING</v>
      </c>
      <c r="I370" s="7">
        <v>45560</v>
      </c>
      <c r="J370" s="1" t="s">
        <v>7449</v>
      </c>
      <c r="K370" s="7">
        <v>45560</v>
      </c>
      <c r="L370" s="1" t="s">
        <v>7449</v>
      </c>
    </row>
    <row r="371" spans="1:12" x14ac:dyDescent="0.25">
      <c r="A371" s="1">
        <v>370</v>
      </c>
      <c r="B371" s="2" t="str">
        <f>_xlfn.CONCAT(C371,"-",VLOOKUP(C371,t_objeto!B:D,3,FALSE),"-",A371)</f>
        <v>RRPP-PERCCO-370</v>
      </c>
      <c r="C371" s="1" t="s">
        <v>7461</v>
      </c>
      <c r="D371" s="1" t="str">
        <f>VLOOKUP(C371,t_objeto!B:C,2,FALSE)</f>
        <v>RESOURCES_POOL</v>
      </c>
      <c r="E371" s="2" t="s">
        <v>8088</v>
      </c>
      <c r="F371" s="2" t="s">
        <v>8722</v>
      </c>
      <c r="G371" s="1">
        <v>8</v>
      </c>
      <c r="H371" s="1" t="str">
        <f>VLOOKUP(G371,t_entry_status!A:C,2,FALSE)</f>
        <v>PENDING</v>
      </c>
      <c r="I371" s="7">
        <v>45560</v>
      </c>
      <c r="J371" s="1" t="s">
        <v>7449</v>
      </c>
      <c r="K371" s="7">
        <v>45560</v>
      </c>
      <c r="L371" s="1" t="s">
        <v>7449</v>
      </c>
    </row>
    <row r="372" spans="1:12" x14ac:dyDescent="0.25">
      <c r="A372" s="1">
        <v>371</v>
      </c>
      <c r="B372" s="2" t="str">
        <f>_xlfn.CONCAT(C372,"-",VLOOKUP(C372,t_objeto!B:D,3,FALSE),"-",A372)</f>
        <v>RRPP-PERCCO-371</v>
      </c>
      <c r="C372" s="1" t="s">
        <v>7461</v>
      </c>
      <c r="D372" s="1" t="str">
        <f>VLOOKUP(C372,t_objeto!B:C,2,FALSE)</f>
        <v>RESOURCES_POOL</v>
      </c>
      <c r="E372" s="2" t="s">
        <v>8089</v>
      </c>
      <c r="F372" s="2" t="s">
        <v>8723</v>
      </c>
      <c r="G372" s="1">
        <v>8</v>
      </c>
      <c r="H372" s="1" t="str">
        <f>VLOOKUP(G372,t_entry_status!A:C,2,FALSE)</f>
        <v>PENDING</v>
      </c>
      <c r="I372" s="7">
        <v>45560</v>
      </c>
      <c r="J372" s="1" t="s">
        <v>7449</v>
      </c>
      <c r="K372" s="7">
        <v>45560</v>
      </c>
      <c r="L372" s="1" t="s">
        <v>7449</v>
      </c>
    </row>
    <row r="373" spans="1:12" x14ac:dyDescent="0.25">
      <c r="A373" s="1">
        <v>372</v>
      </c>
      <c r="B373" s="2" t="str">
        <f>_xlfn.CONCAT(C373,"-",VLOOKUP(C373,t_objeto!B:D,3,FALSE),"-",A373)</f>
        <v>RRPP-PERCCO-372</v>
      </c>
      <c r="C373" s="1" t="s">
        <v>7461</v>
      </c>
      <c r="D373" s="1" t="str">
        <f>VLOOKUP(C373,t_objeto!B:C,2,FALSE)</f>
        <v>RESOURCES_POOL</v>
      </c>
      <c r="E373" s="2" t="s">
        <v>8090</v>
      </c>
      <c r="F373" s="2" t="s">
        <v>8724</v>
      </c>
      <c r="G373" s="1">
        <v>8</v>
      </c>
      <c r="H373" s="1" t="str">
        <f>VLOOKUP(G373,t_entry_status!A:C,2,FALSE)</f>
        <v>PENDING</v>
      </c>
      <c r="I373" s="7">
        <v>45560</v>
      </c>
      <c r="J373" s="1" t="s">
        <v>7449</v>
      </c>
      <c r="K373" s="7">
        <v>45560</v>
      </c>
      <c r="L373" s="1" t="s">
        <v>7449</v>
      </c>
    </row>
    <row r="374" spans="1:12" x14ac:dyDescent="0.25">
      <c r="A374" s="1">
        <v>373</v>
      </c>
      <c r="B374" s="2" t="str">
        <f>_xlfn.CONCAT(C374,"-",VLOOKUP(C374,t_objeto!B:D,3,FALSE),"-",A374)</f>
        <v>RRPP-PERCCO-373</v>
      </c>
      <c r="C374" s="1" t="s">
        <v>7461</v>
      </c>
      <c r="D374" s="1" t="str">
        <f>VLOOKUP(C374,t_objeto!B:C,2,FALSE)</f>
        <v>RESOURCES_POOL</v>
      </c>
      <c r="E374" s="2" t="s">
        <v>8091</v>
      </c>
      <c r="F374" s="2" t="s">
        <v>8725</v>
      </c>
      <c r="G374" s="1">
        <v>8</v>
      </c>
      <c r="H374" s="1" t="str">
        <f>VLOOKUP(G374,t_entry_status!A:C,2,FALSE)</f>
        <v>PENDING</v>
      </c>
      <c r="I374" s="7">
        <v>45560</v>
      </c>
      <c r="J374" s="1" t="s">
        <v>7449</v>
      </c>
      <c r="K374" s="7">
        <v>45560</v>
      </c>
      <c r="L374" s="1" t="s">
        <v>7449</v>
      </c>
    </row>
    <row r="375" spans="1:12" x14ac:dyDescent="0.25">
      <c r="A375" s="1">
        <v>374</v>
      </c>
      <c r="B375" s="2" t="str">
        <f>_xlfn.CONCAT(C375,"-",VLOOKUP(C375,t_objeto!B:D,3,FALSE),"-",A375)</f>
        <v>RRPP-PERCCO-374</v>
      </c>
      <c r="C375" s="1" t="s">
        <v>7461</v>
      </c>
      <c r="D375" s="1" t="str">
        <f>VLOOKUP(C375,t_objeto!B:C,2,FALSE)</f>
        <v>RESOURCES_POOL</v>
      </c>
      <c r="E375" s="2" t="s">
        <v>8092</v>
      </c>
      <c r="F375" s="2" t="s">
        <v>8726</v>
      </c>
      <c r="G375" s="1">
        <v>8</v>
      </c>
      <c r="H375" s="1" t="str">
        <f>VLOOKUP(G375,t_entry_status!A:C,2,FALSE)</f>
        <v>PENDING</v>
      </c>
      <c r="I375" s="7">
        <v>45560</v>
      </c>
      <c r="J375" s="1" t="s">
        <v>7449</v>
      </c>
      <c r="K375" s="7">
        <v>45560</v>
      </c>
      <c r="L375" s="1" t="s">
        <v>7449</v>
      </c>
    </row>
    <row r="376" spans="1:12" x14ac:dyDescent="0.25">
      <c r="A376" s="1">
        <v>375</v>
      </c>
      <c r="B376" s="2" t="str">
        <f>_xlfn.CONCAT(C376,"-",VLOOKUP(C376,t_objeto!B:D,3,FALSE),"-",A376)</f>
        <v>RRPP-PERCCO-375</v>
      </c>
      <c r="C376" s="1" t="s">
        <v>7461</v>
      </c>
      <c r="D376" s="1" t="str">
        <f>VLOOKUP(C376,t_objeto!B:C,2,FALSE)</f>
        <v>RESOURCES_POOL</v>
      </c>
      <c r="E376" s="2" t="s">
        <v>8093</v>
      </c>
      <c r="F376" s="2" t="s">
        <v>8727</v>
      </c>
      <c r="G376" s="1">
        <v>8</v>
      </c>
      <c r="H376" s="1" t="str">
        <f>VLOOKUP(G376,t_entry_status!A:C,2,FALSE)</f>
        <v>PENDING</v>
      </c>
      <c r="I376" s="7">
        <v>45560</v>
      </c>
      <c r="J376" s="1" t="s">
        <v>7449</v>
      </c>
      <c r="K376" s="7">
        <v>45560</v>
      </c>
      <c r="L376" s="1" t="s">
        <v>7449</v>
      </c>
    </row>
    <row r="377" spans="1:12" x14ac:dyDescent="0.25">
      <c r="A377" s="1">
        <v>376</v>
      </c>
      <c r="B377" s="2" t="str">
        <f>_xlfn.CONCAT(C377,"-",VLOOKUP(C377,t_objeto!B:D,3,FALSE),"-",A377)</f>
        <v>RRPP-PERCCO-376</v>
      </c>
      <c r="C377" s="1" t="s">
        <v>7461</v>
      </c>
      <c r="D377" s="1" t="str">
        <f>VLOOKUP(C377,t_objeto!B:C,2,FALSE)</f>
        <v>RESOURCES_POOL</v>
      </c>
      <c r="E377" s="2" t="s">
        <v>8094</v>
      </c>
      <c r="F377" s="2" t="s">
        <v>8728</v>
      </c>
      <c r="G377" s="1">
        <v>8</v>
      </c>
      <c r="H377" s="1" t="str">
        <f>VLOOKUP(G377,t_entry_status!A:C,2,FALSE)</f>
        <v>PENDING</v>
      </c>
      <c r="I377" s="7">
        <v>45560</v>
      </c>
      <c r="J377" s="1" t="s">
        <v>7449</v>
      </c>
      <c r="K377" s="7">
        <v>45560</v>
      </c>
      <c r="L377" s="1" t="s">
        <v>7449</v>
      </c>
    </row>
    <row r="378" spans="1:12" x14ac:dyDescent="0.25">
      <c r="A378" s="1">
        <v>377</v>
      </c>
      <c r="B378" s="2" t="str">
        <f>_xlfn.CONCAT(C378,"-",VLOOKUP(C378,t_objeto!B:D,3,FALSE),"-",A378)</f>
        <v>RRPP-PERCCO-377</v>
      </c>
      <c r="C378" s="1" t="s">
        <v>7461</v>
      </c>
      <c r="D378" s="1" t="str">
        <f>VLOOKUP(C378,t_objeto!B:C,2,FALSE)</f>
        <v>RESOURCES_POOL</v>
      </c>
      <c r="E378" s="2" t="s">
        <v>8095</v>
      </c>
      <c r="F378" s="2" t="s">
        <v>8729</v>
      </c>
      <c r="G378" s="1">
        <v>8</v>
      </c>
      <c r="H378" s="1" t="str">
        <f>VLOOKUP(G378,t_entry_status!A:C,2,FALSE)</f>
        <v>PENDING</v>
      </c>
      <c r="I378" s="7">
        <v>45560</v>
      </c>
      <c r="J378" s="1" t="s">
        <v>7449</v>
      </c>
      <c r="K378" s="7">
        <v>45560</v>
      </c>
      <c r="L378" s="1" t="s">
        <v>7449</v>
      </c>
    </row>
    <row r="379" spans="1:12" x14ac:dyDescent="0.25">
      <c r="A379" s="1">
        <v>378</v>
      </c>
      <c r="B379" s="2" t="str">
        <f>_xlfn.CONCAT(C379,"-",VLOOKUP(C379,t_objeto!B:D,3,FALSE),"-",A379)</f>
        <v>RRPP-PERCCO-378</v>
      </c>
      <c r="C379" s="1" t="s">
        <v>7461</v>
      </c>
      <c r="D379" s="1" t="str">
        <f>VLOOKUP(C379,t_objeto!B:C,2,FALSE)</f>
        <v>RESOURCES_POOL</v>
      </c>
      <c r="E379" s="2" t="s">
        <v>8096</v>
      </c>
      <c r="F379" s="2" t="s">
        <v>8730</v>
      </c>
      <c r="G379" s="1">
        <v>8</v>
      </c>
      <c r="H379" s="1" t="str">
        <f>VLOOKUP(G379,t_entry_status!A:C,2,FALSE)</f>
        <v>PENDING</v>
      </c>
      <c r="I379" s="7">
        <v>45560</v>
      </c>
      <c r="J379" s="1" t="s">
        <v>7449</v>
      </c>
      <c r="K379" s="7">
        <v>45560</v>
      </c>
      <c r="L379" s="1" t="s">
        <v>7449</v>
      </c>
    </row>
    <row r="380" spans="1:12" x14ac:dyDescent="0.25">
      <c r="A380" s="1">
        <v>379</v>
      </c>
      <c r="B380" s="2" t="str">
        <f>_xlfn.CONCAT(C380,"-",VLOOKUP(C380,t_objeto!B:D,3,FALSE),"-",A380)</f>
        <v>RRPP-PERCCO-379</v>
      </c>
      <c r="C380" s="1" t="s">
        <v>7461</v>
      </c>
      <c r="D380" s="1" t="str">
        <f>VLOOKUP(C380,t_objeto!B:C,2,FALSE)</f>
        <v>RESOURCES_POOL</v>
      </c>
      <c r="E380" s="2" t="s">
        <v>8097</v>
      </c>
      <c r="F380" s="2" t="s">
        <v>8731</v>
      </c>
      <c r="G380" s="1">
        <v>8</v>
      </c>
      <c r="H380" s="1" t="str">
        <f>VLOOKUP(G380,t_entry_status!A:C,2,FALSE)</f>
        <v>PENDING</v>
      </c>
      <c r="I380" s="7">
        <v>45560</v>
      </c>
      <c r="J380" s="1" t="s">
        <v>7449</v>
      </c>
      <c r="K380" s="7">
        <v>45560</v>
      </c>
      <c r="L380" s="1" t="s">
        <v>7449</v>
      </c>
    </row>
    <row r="381" spans="1:12" x14ac:dyDescent="0.25">
      <c r="A381" s="1">
        <v>380</v>
      </c>
      <c r="B381" s="2" t="str">
        <f>_xlfn.CONCAT(C381,"-",VLOOKUP(C381,t_objeto!B:D,3,FALSE),"-",A381)</f>
        <v>RRPP-PERCCO-380</v>
      </c>
      <c r="C381" s="1" t="s">
        <v>7461</v>
      </c>
      <c r="D381" s="1" t="str">
        <f>VLOOKUP(C381,t_objeto!B:C,2,FALSE)</f>
        <v>RESOURCES_POOL</v>
      </c>
      <c r="E381" s="2" t="s">
        <v>8098</v>
      </c>
      <c r="F381" s="2" t="s">
        <v>8732</v>
      </c>
      <c r="G381" s="1">
        <v>8</v>
      </c>
      <c r="H381" s="1" t="str">
        <f>VLOOKUP(G381,t_entry_status!A:C,2,FALSE)</f>
        <v>PENDING</v>
      </c>
      <c r="I381" s="7">
        <v>45560</v>
      </c>
      <c r="J381" s="1" t="s">
        <v>7449</v>
      </c>
      <c r="K381" s="7">
        <v>45560</v>
      </c>
      <c r="L381" s="1" t="s">
        <v>7449</v>
      </c>
    </row>
    <row r="382" spans="1:12" x14ac:dyDescent="0.25">
      <c r="A382" s="1">
        <v>381</v>
      </c>
      <c r="B382" s="2" t="str">
        <f>_xlfn.CONCAT(C382,"-",VLOOKUP(C382,t_objeto!B:D,3,FALSE),"-",A382)</f>
        <v>RRPP-PERCCO-381</v>
      </c>
      <c r="C382" s="1" t="s">
        <v>7461</v>
      </c>
      <c r="D382" s="1" t="str">
        <f>VLOOKUP(C382,t_objeto!B:C,2,FALSE)</f>
        <v>RESOURCES_POOL</v>
      </c>
      <c r="E382" s="2" t="s">
        <v>8099</v>
      </c>
      <c r="F382" s="2" t="s">
        <v>8733</v>
      </c>
      <c r="G382" s="1">
        <v>8</v>
      </c>
      <c r="H382" s="1" t="str">
        <f>VLOOKUP(G382,t_entry_status!A:C,2,FALSE)</f>
        <v>PENDING</v>
      </c>
      <c r="I382" s="7">
        <v>45560</v>
      </c>
      <c r="J382" s="1" t="s">
        <v>7449</v>
      </c>
      <c r="K382" s="7">
        <v>45560</v>
      </c>
      <c r="L382" s="1" t="s">
        <v>7449</v>
      </c>
    </row>
    <row r="383" spans="1:12" x14ac:dyDescent="0.25">
      <c r="A383" s="1">
        <v>382</v>
      </c>
      <c r="B383" s="2" t="str">
        <f>_xlfn.CONCAT(C383,"-",VLOOKUP(C383,t_objeto!B:D,3,FALSE),"-",A383)</f>
        <v>RRPP-PERCCO-382</v>
      </c>
      <c r="C383" s="1" t="s">
        <v>7461</v>
      </c>
      <c r="D383" s="1" t="str">
        <f>VLOOKUP(C383,t_objeto!B:C,2,FALSE)</f>
        <v>RESOURCES_POOL</v>
      </c>
      <c r="E383" s="2" t="s">
        <v>8100</v>
      </c>
      <c r="F383" s="2" t="s">
        <v>8734</v>
      </c>
      <c r="G383" s="1">
        <v>8</v>
      </c>
      <c r="H383" s="1" t="str">
        <f>VLOOKUP(G383,t_entry_status!A:C,2,FALSE)</f>
        <v>PENDING</v>
      </c>
      <c r="I383" s="7">
        <v>45560</v>
      </c>
      <c r="J383" s="1" t="s">
        <v>7449</v>
      </c>
      <c r="K383" s="7">
        <v>45560</v>
      </c>
      <c r="L383" s="1" t="s">
        <v>7449</v>
      </c>
    </row>
    <row r="384" spans="1:12" x14ac:dyDescent="0.25">
      <c r="A384" s="1">
        <v>383</v>
      </c>
      <c r="B384" s="2" t="str">
        <f>_xlfn.CONCAT(C384,"-",VLOOKUP(C384,t_objeto!B:D,3,FALSE),"-",A384)</f>
        <v>RRPP-PERCCO-383</v>
      </c>
      <c r="C384" s="1" t="s">
        <v>7461</v>
      </c>
      <c r="D384" s="1" t="str">
        <f>VLOOKUP(C384,t_objeto!B:C,2,FALSE)</f>
        <v>RESOURCES_POOL</v>
      </c>
      <c r="E384" s="2" t="s">
        <v>8101</v>
      </c>
      <c r="F384" s="2" t="s">
        <v>8735</v>
      </c>
      <c r="G384" s="1">
        <v>8</v>
      </c>
      <c r="H384" s="1" t="str">
        <f>VLOOKUP(G384,t_entry_status!A:C,2,FALSE)</f>
        <v>PENDING</v>
      </c>
      <c r="I384" s="7">
        <v>45560</v>
      </c>
      <c r="J384" s="1" t="s">
        <v>7449</v>
      </c>
      <c r="K384" s="7">
        <v>45560</v>
      </c>
      <c r="L384" s="1" t="s">
        <v>7449</v>
      </c>
    </row>
    <row r="385" spans="1:12" x14ac:dyDescent="0.25">
      <c r="A385" s="1">
        <v>384</v>
      </c>
      <c r="B385" s="2" t="str">
        <f>_xlfn.CONCAT(C385,"-",VLOOKUP(C385,t_objeto!B:D,3,FALSE),"-",A385)</f>
        <v>RRPP-PERCCO-384</v>
      </c>
      <c r="C385" s="1" t="s">
        <v>7461</v>
      </c>
      <c r="D385" s="1" t="str">
        <f>VLOOKUP(C385,t_objeto!B:C,2,FALSE)</f>
        <v>RESOURCES_POOL</v>
      </c>
      <c r="E385" s="2" t="s">
        <v>8102</v>
      </c>
      <c r="F385" s="2" t="s">
        <v>8736</v>
      </c>
      <c r="G385" s="1">
        <v>8</v>
      </c>
      <c r="H385" s="1" t="str">
        <f>VLOOKUP(G385,t_entry_status!A:C,2,FALSE)</f>
        <v>PENDING</v>
      </c>
      <c r="I385" s="7">
        <v>45560</v>
      </c>
      <c r="J385" s="1" t="s">
        <v>7449</v>
      </c>
      <c r="K385" s="7">
        <v>45560</v>
      </c>
      <c r="L385" s="1" t="s">
        <v>7449</v>
      </c>
    </row>
    <row r="386" spans="1:12" x14ac:dyDescent="0.25">
      <c r="A386" s="1">
        <v>385</v>
      </c>
      <c r="B386" s="2" t="str">
        <f>_xlfn.CONCAT(C386,"-",VLOOKUP(C386,t_objeto!B:D,3,FALSE),"-",A386)</f>
        <v>RRPP-PERCCO-385</v>
      </c>
      <c r="C386" s="1" t="s">
        <v>7461</v>
      </c>
      <c r="D386" s="1" t="str">
        <f>VLOOKUP(C386,t_objeto!B:C,2,FALSE)</f>
        <v>RESOURCES_POOL</v>
      </c>
      <c r="E386" s="2" t="s">
        <v>8103</v>
      </c>
      <c r="F386" s="2" t="s">
        <v>8737</v>
      </c>
      <c r="G386" s="1">
        <v>8</v>
      </c>
      <c r="H386" s="1" t="str">
        <f>VLOOKUP(G386,t_entry_status!A:C,2,FALSE)</f>
        <v>PENDING</v>
      </c>
      <c r="I386" s="7">
        <v>45560</v>
      </c>
      <c r="J386" s="1" t="s">
        <v>7449</v>
      </c>
      <c r="K386" s="7">
        <v>45560</v>
      </c>
      <c r="L386" s="1" t="s">
        <v>7449</v>
      </c>
    </row>
    <row r="387" spans="1:12" x14ac:dyDescent="0.25">
      <c r="A387" s="1">
        <v>386</v>
      </c>
      <c r="B387" s="2" t="str">
        <f>_xlfn.CONCAT(C387,"-",VLOOKUP(C387,t_objeto!B:D,3,FALSE),"-",A387)</f>
        <v>RRPP-PERCCO-386</v>
      </c>
      <c r="C387" s="1" t="s">
        <v>7461</v>
      </c>
      <c r="D387" s="1" t="str">
        <f>VLOOKUP(C387,t_objeto!B:C,2,FALSE)</f>
        <v>RESOURCES_POOL</v>
      </c>
      <c r="E387" s="2" t="s">
        <v>8104</v>
      </c>
      <c r="F387" s="2" t="s">
        <v>8738</v>
      </c>
      <c r="G387" s="1">
        <v>8</v>
      </c>
      <c r="H387" s="1" t="str">
        <f>VLOOKUP(G387,t_entry_status!A:C,2,FALSE)</f>
        <v>PENDING</v>
      </c>
      <c r="I387" s="7">
        <v>45560</v>
      </c>
      <c r="J387" s="1" t="s">
        <v>7449</v>
      </c>
      <c r="K387" s="7">
        <v>45560</v>
      </c>
      <c r="L387" s="1" t="s">
        <v>7449</v>
      </c>
    </row>
    <row r="388" spans="1:12" x14ac:dyDescent="0.25">
      <c r="A388" s="1">
        <v>387</v>
      </c>
      <c r="B388" s="2" t="str">
        <f>_xlfn.CONCAT(C388,"-",VLOOKUP(C388,t_objeto!B:D,3,FALSE),"-",A388)</f>
        <v>RRPP-PERCCO-387</v>
      </c>
      <c r="C388" s="1" t="s">
        <v>7461</v>
      </c>
      <c r="D388" s="1" t="str">
        <f>VLOOKUP(C388,t_objeto!B:C,2,FALSE)</f>
        <v>RESOURCES_POOL</v>
      </c>
      <c r="E388" s="2" t="s">
        <v>8105</v>
      </c>
      <c r="F388" s="2" t="s">
        <v>8739</v>
      </c>
      <c r="G388" s="1">
        <v>8</v>
      </c>
      <c r="H388" s="1" t="str">
        <f>VLOOKUP(G388,t_entry_status!A:C,2,FALSE)</f>
        <v>PENDING</v>
      </c>
      <c r="I388" s="7">
        <v>45560</v>
      </c>
      <c r="J388" s="1" t="s">
        <v>7449</v>
      </c>
      <c r="K388" s="7">
        <v>45560</v>
      </c>
      <c r="L388" s="1" t="s">
        <v>7449</v>
      </c>
    </row>
    <row r="389" spans="1:12" x14ac:dyDescent="0.25">
      <c r="A389" s="1">
        <v>388</v>
      </c>
      <c r="B389" s="2" t="str">
        <f>_xlfn.CONCAT(C389,"-",VLOOKUP(C389,t_objeto!B:D,3,FALSE),"-",A389)</f>
        <v>RRPP-PERCCO-388</v>
      </c>
      <c r="C389" s="1" t="s">
        <v>7461</v>
      </c>
      <c r="D389" s="1" t="str">
        <f>VLOOKUP(C389,t_objeto!B:C,2,FALSE)</f>
        <v>RESOURCES_POOL</v>
      </c>
      <c r="E389" s="2" t="s">
        <v>8106</v>
      </c>
      <c r="F389" s="2" t="s">
        <v>8740</v>
      </c>
      <c r="G389" s="1">
        <v>8</v>
      </c>
      <c r="H389" s="1" t="str">
        <f>VLOOKUP(G389,t_entry_status!A:C,2,FALSE)</f>
        <v>PENDING</v>
      </c>
      <c r="I389" s="7">
        <v>45560</v>
      </c>
      <c r="J389" s="1" t="s">
        <v>7449</v>
      </c>
      <c r="K389" s="7">
        <v>45560</v>
      </c>
      <c r="L389" s="1" t="s">
        <v>7449</v>
      </c>
    </row>
    <row r="390" spans="1:12" x14ac:dyDescent="0.25">
      <c r="A390" s="1">
        <v>389</v>
      </c>
      <c r="B390" s="2" t="str">
        <f>_xlfn.CONCAT(C390,"-",VLOOKUP(C390,t_objeto!B:D,3,FALSE),"-",A390)</f>
        <v>RRPP-PERCCO-389</v>
      </c>
      <c r="C390" s="1" t="s">
        <v>7461</v>
      </c>
      <c r="D390" s="1" t="str">
        <f>VLOOKUP(C390,t_objeto!B:C,2,FALSE)</f>
        <v>RESOURCES_POOL</v>
      </c>
      <c r="E390" s="2" t="s">
        <v>8107</v>
      </c>
      <c r="F390" s="2" t="s">
        <v>8741</v>
      </c>
      <c r="G390" s="1">
        <v>8</v>
      </c>
      <c r="H390" s="1" t="str">
        <f>VLOOKUP(G390,t_entry_status!A:C,2,FALSE)</f>
        <v>PENDING</v>
      </c>
      <c r="I390" s="7">
        <v>45560</v>
      </c>
      <c r="J390" s="1" t="s">
        <v>7449</v>
      </c>
      <c r="K390" s="7">
        <v>45560</v>
      </c>
      <c r="L390" s="1" t="s">
        <v>7449</v>
      </c>
    </row>
    <row r="391" spans="1:12" x14ac:dyDescent="0.25">
      <c r="A391" s="1">
        <v>390</v>
      </c>
      <c r="B391" s="2" t="str">
        <f>_xlfn.CONCAT(C391,"-",VLOOKUP(C391,t_objeto!B:D,3,FALSE),"-",A391)</f>
        <v>RRPP-PERCCO-390</v>
      </c>
      <c r="C391" s="1" t="s">
        <v>7461</v>
      </c>
      <c r="D391" s="1" t="str">
        <f>VLOOKUP(C391,t_objeto!B:C,2,FALSE)</f>
        <v>RESOURCES_POOL</v>
      </c>
      <c r="E391" s="2" t="s">
        <v>8108</v>
      </c>
      <c r="F391" s="2" t="s">
        <v>8742</v>
      </c>
      <c r="G391" s="1">
        <v>8</v>
      </c>
      <c r="H391" s="1" t="str">
        <f>VLOOKUP(G391,t_entry_status!A:C,2,FALSE)</f>
        <v>PENDING</v>
      </c>
      <c r="I391" s="7">
        <v>45560</v>
      </c>
      <c r="J391" s="1" t="s">
        <v>7449</v>
      </c>
      <c r="K391" s="7">
        <v>45560</v>
      </c>
      <c r="L391" s="1" t="s">
        <v>7449</v>
      </c>
    </row>
    <row r="392" spans="1:12" x14ac:dyDescent="0.25">
      <c r="A392" s="1">
        <v>391</v>
      </c>
      <c r="B392" s="2" t="str">
        <f>_xlfn.CONCAT(C392,"-",VLOOKUP(C392,t_objeto!B:D,3,FALSE),"-",A392)</f>
        <v>RRPP-PERCCO-391</v>
      </c>
      <c r="C392" s="1" t="s">
        <v>7461</v>
      </c>
      <c r="D392" s="1" t="str">
        <f>VLOOKUP(C392,t_objeto!B:C,2,FALSE)</f>
        <v>RESOURCES_POOL</v>
      </c>
      <c r="E392" s="2" t="s">
        <v>8109</v>
      </c>
      <c r="F392" s="2" t="s">
        <v>8743</v>
      </c>
      <c r="G392" s="1">
        <v>8</v>
      </c>
      <c r="H392" s="1" t="str">
        <f>VLOOKUP(G392,t_entry_status!A:C,2,FALSE)</f>
        <v>PENDING</v>
      </c>
      <c r="I392" s="7">
        <v>45560</v>
      </c>
      <c r="J392" s="1" t="s">
        <v>7449</v>
      </c>
      <c r="K392" s="7">
        <v>45560</v>
      </c>
      <c r="L392" s="1" t="s">
        <v>7449</v>
      </c>
    </row>
    <row r="393" spans="1:12" x14ac:dyDescent="0.25">
      <c r="A393" s="1">
        <v>392</v>
      </c>
      <c r="B393" s="2" t="str">
        <f>_xlfn.CONCAT(C393,"-",VLOOKUP(C393,t_objeto!B:D,3,FALSE),"-",A393)</f>
        <v>RRPP-PERCCO-392</v>
      </c>
      <c r="C393" s="1" t="s">
        <v>7461</v>
      </c>
      <c r="D393" s="1" t="str">
        <f>VLOOKUP(C393,t_objeto!B:C,2,FALSE)</f>
        <v>RESOURCES_POOL</v>
      </c>
      <c r="E393" s="2" t="s">
        <v>8110</v>
      </c>
      <c r="F393" s="2" t="s">
        <v>8744</v>
      </c>
      <c r="G393" s="1">
        <v>8</v>
      </c>
      <c r="H393" s="1" t="str">
        <f>VLOOKUP(G393,t_entry_status!A:C,2,FALSE)</f>
        <v>PENDING</v>
      </c>
      <c r="I393" s="7">
        <v>45560</v>
      </c>
      <c r="J393" s="1" t="s">
        <v>7449</v>
      </c>
      <c r="K393" s="7">
        <v>45560</v>
      </c>
      <c r="L393" s="1" t="s">
        <v>7449</v>
      </c>
    </row>
    <row r="394" spans="1:12" x14ac:dyDescent="0.25">
      <c r="A394" s="1">
        <v>393</v>
      </c>
      <c r="B394" s="2" t="str">
        <f>_xlfn.CONCAT(C394,"-",VLOOKUP(C394,t_objeto!B:D,3,FALSE),"-",A394)</f>
        <v>RRPP-PERCCO-393</v>
      </c>
      <c r="C394" s="1" t="s">
        <v>7461</v>
      </c>
      <c r="D394" s="1" t="str">
        <f>VLOOKUP(C394,t_objeto!B:C,2,FALSE)</f>
        <v>RESOURCES_POOL</v>
      </c>
      <c r="E394" s="2" t="s">
        <v>8111</v>
      </c>
      <c r="F394" s="2" t="s">
        <v>8745</v>
      </c>
      <c r="G394" s="1">
        <v>8</v>
      </c>
      <c r="H394" s="1" t="str">
        <f>VLOOKUP(G394,t_entry_status!A:C,2,FALSE)</f>
        <v>PENDING</v>
      </c>
      <c r="I394" s="7">
        <v>45560</v>
      </c>
      <c r="J394" s="1" t="s">
        <v>7449</v>
      </c>
      <c r="K394" s="7">
        <v>45560</v>
      </c>
      <c r="L394" s="1" t="s">
        <v>7449</v>
      </c>
    </row>
    <row r="395" spans="1:12" x14ac:dyDescent="0.25">
      <c r="A395" s="1">
        <v>394</v>
      </c>
      <c r="B395" s="2" t="str">
        <f>_xlfn.CONCAT(C395,"-",VLOOKUP(C395,t_objeto!B:D,3,FALSE),"-",A395)</f>
        <v>RRPP-PERCCO-394</v>
      </c>
      <c r="C395" s="1" t="s">
        <v>7461</v>
      </c>
      <c r="D395" s="1" t="str">
        <f>VLOOKUP(C395,t_objeto!B:C,2,FALSE)</f>
        <v>RESOURCES_POOL</v>
      </c>
      <c r="E395" s="2" t="s">
        <v>8112</v>
      </c>
      <c r="F395" s="2" t="s">
        <v>8746</v>
      </c>
      <c r="G395" s="1">
        <v>8</v>
      </c>
      <c r="H395" s="1" t="str">
        <f>VLOOKUP(G395,t_entry_status!A:C,2,FALSE)</f>
        <v>PENDING</v>
      </c>
      <c r="I395" s="7">
        <v>45560</v>
      </c>
      <c r="J395" s="1" t="s">
        <v>7449</v>
      </c>
      <c r="K395" s="7">
        <v>45560</v>
      </c>
      <c r="L395" s="1" t="s">
        <v>7449</v>
      </c>
    </row>
    <row r="396" spans="1:12" x14ac:dyDescent="0.25">
      <c r="A396" s="1">
        <v>395</v>
      </c>
      <c r="B396" s="2" t="str">
        <f>_xlfn.CONCAT(C396,"-",VLOOKUP(C396,t_objeto!B:D,3,FALSE),"-",A396)</f>
        <v>RRPP-PERCCO-395</v>
      </c>
      <c r="C396" s="1" t="s">
        <v>7461</v>
      </c>
      <c r="D396" s="1" t="str">
        <f>VLOOKUP(C396,t_objeto!B:C,2,FALSE)</f>
        <v>RESOURCES_POOL</v>
      </c>
      <c r="E396" s="2" t="s">
        <v>8113</v>
      </c>
      <c r="F396" s="2" t="s">
        <v>8747</v>
      </c>
      <c r="G396" s="1">
        <v>8</v>
      </c>
      <c r="H396" s="1" t="str">
        <f>VLOOKUP(G396,t_entry_status!A:C,2,FALSE)</f>
        <v>PENDING</v>
      </c>
      <c r="I396" s="7">
        <v>45560</v>
      </c>
      <c r="J396" s="1" t="s">
        <v>7449</v>
      </c>
      <c r="K396" s="7">
        <v>45560</v>
      </c>
      <c r="L396" s="1" t="s">
        <v>7449</v>
      </c>
    </row>
    <row r="397" spans="1:12" x14ac:dyDescent="0.25">
      <c r="A397" s="1">
        <v>396</v>
      </c>
      <c r="B397" s="2" t="str">
        <f>_xlfn.CONCAT(C397,"-",VLOOKUP(C397,t_objeto!B:D,3,FALSE),"-",A397)</f>
        <v>RRPP-PERCCO-396</v>
      </c>
      <c r="C397" s="1" t="s">
        <v>7461</v>
      </c>
      <c r="D397" s="1" t="str">
        <f>VLOOKUP(C397,t_objeto!B:C,2,FALSE)</f>
        <v>RESOURCES_POOL</v>
      </c>
      <c r="E397" s="2" t="s">
        <v>8114</v>
      </c>
      <c r="F397" s="2" t="s">
        <v>8748</v>
      </c>
      <c r="G397" s="1">
        <v>8</v>
      </c>
      <c r="H397" s="1" t="str">
        <f>VLOOKUP(G397,t_entry_status!A:C,2,FALSE)</f>
        <v>PENDING</v>
      </c>
      <c r="I397" s="7">
        <v>45560</v>
      </c>
      <c r="J397" s="1" t="s">
        <v>7449</v>
      </c>
      <c r="K397" s="7">
        <v>45560</v>
      </c>
      <c r="L397" s="1" t="s">
        <v>7449</v>
      </c>
    </row>
    <row r="398" spans="1:12" x14ac:dyDescent="0.25">
      <c r="A398" s="1">
        <v>397</v>
      </c>
      <c r="B398" s="2" t="str">
        <f>_xlfn.CONCAT(C398,"-",VLOOKUP(C398,t_objeto!B:D,3,FALSE),"-",A398)</f>
        <v>RRPP-PERCCO-397</v>
      </c>
      <c r="C398" s="1" t="s">
        <v>7461</v>
      </c>
      <c r="D398" s="1" t="str">
        <f>VLOOKUP(C398,t_objeto!B:C,2,FALSE)</f>
        <v>RESOURCES_POOL</v>
      </c>
      <c r="E398" s="2" t="s">
        <v>8115</v>
      </c>
      <c r="F398" s="2" t="s">
        <v>8749</v>
      </c>
      <c r="G398" s="1">
        <v>8</v>
      </c>
      <c r="H398" s="1" t="str">
        <f>VLOOKUP(G398,t_entry_status!A:C,2,FALSE)</f>
        <v>PENDING</v>
      </c>
      <c r="I398" s="7">
        <v>45560</v>
      </c>
      <c r="J398" s="1" t="s">
        <v>7449</v>
      </c>
      <c r="K398" s="7">
        <v>45560</v>
      </c>
      <c r="L398" s="1" t="s">
        <v>7449</v>
      </c>
    </row>
    <row r="399" spans="1:12" x14ac:dyDescent="0.25">
      <c r="A399" s="1">
        <v>398</v>
      </c>
      <c r="B399" s="2" t="str">
        <f>_xlfn.CONCAT(C399,"-",VLOOKUP(C399,t_objeto!B:D,3,FALSE),"-",A399)</f>
        <v>RRPP-PERCCO-398</v>
      </c>
      <c r="C399" s="1" t="s">
        <v>7461</v>
      </c>
      <c r="D399" s="1" t="str">
        <f>VLOOKUP(C399,t_objeto!B:C,2,FALSE)</f>
        <v>RESOURCES_POOL</v>
      </c>
      <c r="E399" s="2" t="s">
        <v>8116</v>
      </c>
      <c r="F399" s="2" t="s">
        <v>8750</v>
      </c>
      <c r="G399" s="1">
        <v>8</v>
      </c>
      <c r="H399" s="1" t="str">
        <f>VLOOKUP(G399,t_entry_status!A:C,2,FALSE)</f>
        <v>PENDING</v>
      </c>
      <c r="I399" s="7">
        <v>45560</v>
      </c>
      <c r="J399" s="1" t="s">
        <v>7449</v>
      </c>
      <c r="K399" s="7">
        <v>45560</v>
      </c>
      <c r="L399" s="1" t="s">
        <v>7449</v>
      </c>
    </row>
    <row r="400" spans="1:12" x14ac:dyDescent="0.25">
      <c r="A400" s="1">
        <v>399</v>
      </c>
      <c r="B400" s="2" t="str">
        <f>_xlfn.CONCAT(C400,"-",VLOOKUP(C400,t_objeto!B:D,3,FALSE),"-",A400)</f>
        <v>RRPP-PERCCO-399</v>
      </c>
      <c r="C400" s="1" t="s">
        <v>7461</v>
      </c>
      <c r="D400" s="1" t="str">
        <f>VLOOKUP(C400,t_objeto!B:C,2,FALSE)</f>
        <v>RESOURCES_POOL</v>
      </c>
      <c r="E400" s="2" t="s">
        <v>8117</v>
      </c>
      <c r="F400" s="2" t="s">
        <v>8751</v>
      </c>
      <c r="G400" s="1">
        <v>8</v>
      </c>
      <c r="H400" s="1" t="str">
        <f>VLOOKUP(G400,t_entry_status!A:C,2,FALSE)</f>
        <v>PENDING</v>
      </c>
      <c r="I400" s="7">
        <v>45560</v>
      </c>
      <c r="J400" s="1" t="s">
        <v>7449</v>
      </c>
      <c r="K400" s="7">
        <v>45560</v>
      </c>
      <c r="L400" s="1" t="s">
        <v>7449</v>
      </c>
    </row>
    <row r="401" spans="1:12" x14ac:dyDescent="0.25">
      <c r="A401" s="1">
        <v>400</v>
      </c>
      <c r="B401" s="2" t="str">
        <f>_xlfn.CONCAT(C401,"-",VLOOKUP(C401,t_objeto!B:D,3,FALSE),"-",A401)</f>
        <v>RRPP-PERCCO-400</v>
      </c>
      <c r="C401" s="1" t="s">
        <v>7461</v>
      </c>
      <c r="D401" s="1" t="str">
        <f>VLOOKUP(C401,t_objeto!B:C,2,FALSE)</f>
        <v>RESOURCES_POOL</v>
      </c>
      <c r="E401" s="2" t="s">
        <v>8118</v>
      </c>
      <c r="F401" s="2" t="s">
        <v>8752</v>
      </c>
      <c r="G401" s="1">
        <v>8</v>
      </c>
      <c r="H401" s="1" t="str">
        <f>VLOOKUP(G401,t_entry_status!A:C,2,FALSE)</f>
        <v>PENDING</v>
      </c>
      <c r="I401" s="7">
        <v>45560</v>
      </c>
      <c r="J401" s="1" t="s">
        <v>7449</v>
      </c>
      <c r="K401" s="7">
        <v>45560</v>
      </c>
      <c r="L401" s="1" t="s">
        <v>7449</v>
      </c>
    </row>
    <row r="402" spans="1:12" x14ac:dyDescent="0.25">
      <c r="A402" s="1">
        <v>401</v>
      </c>
      <c r="B402" s="2" t="str">
        <f>_xlfn.CONCAT(C402,"-",VLOOKUP(C402,t_objeto!B:D,3,FALSE),"-",A402)</f>
        <v>RRPP-PERCCO-401</v>
      </c>
      <c r="C402" s="1" t="s">
        <v>7461</v>
      </c>
      <c r="D402" s="1" t="str">
        <f>VLOOKUP(C402,t_objeto!B:C,2,FALSE)</f>
        <v>RESOURCES_POOL</v>
      </c>
      <c r="E402" s="2" t="s">
        <v>8119</v>
      </c>
      <c r="F402" s="2" t="s">
        <v>8753</v>
      </c>
      <c r="G402" s="1">
        <v>8</v>
      </c>
      <c r="H402" s="1" t="str">
        <f>VLOOKUP(G402,t_entry_status!A:C,2,FALSE)</f>
        <v>PENDING</v>
      </c>
      <c r="I402" s="7">
        <v>45560</v>
      </c>
      <c r="J402" s="1" t="s">
        <v>7449</v>
      </c>
      <c r="K402" s="7">
        <v>45560</v>
      </c>
      <c r="L402" s="1" t="s">
        <v>7449</v>
      </c>
    </row>
    <row r="403" spans="1:12" x14ac:dyDescent="0.25">
      <c r="A403" s="1">
        <v>402</v>
      </c>
      <c r="B403" s="2" t="str">
        <f>_xlfn.CONCAT(C403,"-",VLOOKUP(C403,t_objeto!B:D,3,FALSE),"-",A403)</f>
        <v>RRPP-PERCCO-402</v>
      </c>
      <c r="C403" s="1" t="s">
        <v>7461</v>
      </c>
      <c r="D403" s="1" t="str">
        <f>VLOOKUP(C403,t_objeto!B:C,2,FALSE)</f>
        <v>RESOURCES_POOL</v>
      </c>
      <c r="E403" s="2" t="s">
        <v>8120</v>
      </c>
      <c r="F403" s="2" t="s">
        <v>8754</v>
      </c>
      <c r="G403" s="1">
        <v>8</v>
      </c>
      <c r="H403" s="1" t="str">
        <f>VLOOKUP(G403,t_entry_status!A:C,2,FALSE)</f>
        <v>PENDING</v>
      </c>
      <c r="I403" s="7">
        <v>45560</v>
      </c>
      <c r="J403" s="1" t="s">
        <v>7449</v>
      </c>
      <c r="K403" s="7">
        <v>45560</v>
      </c>
      <c r="L403" s="1" t="s">
        <v>7449</v>
      </c>
    </row>
    <row r="404" spans="1:12" x14ac:dyDescent="0.25">
      <c r="A404" s="1">
        <v>403</v>
      </c>
      <c r="B404" s="2" t="str">
        <f>_xlfn.CONCAT(C404,"-",VLOOKUP(C404,t_objeto!B:D,3,FALSE),"-",A404)</f>
        <v>RRPP-PERCCO-403</v>
      </c>
      <c r="C404" s="1" t="s">
        <v>7461</v>
      </c>
      <c r="D404" s="1" t="str">
        <f>VLOOKUP(C404,t_objeto!B:C,2,FALSE)</f>
        <v>RESOURCES_POOL</v>
      </c>
      <c r="E404" s="2" t="s">
        <v>8121</v>
      </c>
      <c r="F404" s="2" t="s">
        <v>8755</v>
      </c>
      <c r="G404" s="1">
        <v>8</v>
      </c>
      <c r="H404" s="1" t="str">
        <f>VLOOKUP(G404,t_entry_status!A:C,2,FALSE)</f>
        <v>PENDING</v>
      </c>
      <c r="I404" s="7">
        <v>45560</v>
      </c>
      <c r="J404" s="1" t="s">
        <v>7449</v>
      </c>
      <c r="K404" s="7">
        <v>45560</v>
      </c>
      <c r="L404" s="1" t="s">
        <v>7449</v>
      </c>
    </row>
    <row r="405" spans="1:12" x14ac:dyDescent="0.25">
      <c r="A405" s="1">
        <v>404</v>
      </c>
      <c r="B405" s="2" t="str">
        <f>_xlfn.CONCAT(C405,"-",VLOOKUP(C405,t_objeto!B:D,3,FALSE),"-",A405)</f>
        <v>RRPP-PERCCO-404</v>
      </c>
      <c r="C405" s="1" t="s">
        <v>7461</v>
      </c>
      <c r="D405" s="1" t="str">
        <f>VLOOKUP(C405,t_objeto!B:C,2,FALSE)</f>
        <v>RESOURCES_POOL</v>
      </c>
      <c r="E405" s="2" t="s">
        <v>8122</v>
      </c>
      <c r="F405" s="2" t="s">
        <v>8756</v>
      </c>
      <c r="G405" s="1">
        <v>8</v>
      </c>
      <c r="H405" s="1" t="str">
        <f>VLOOKUP(G405,t_entry_status!A:C,2,FALSE)</f>
        <v>PENDING</v>
      </c>
      <c r="I405" s="7">
        <v>45560</v>
      </c>
      <c r="J405" s="1" t="s">
        <v>7449</v>
      </c>
      <c r="K405" s="7">
        <v>45560</v>
      </c>
      <c r="L405" s="1" t="s">
        <v>7449</v>
      </c>
    </row>
    <row r="406" spans="1:12" x14ac:dyDescent="0.25">
      <c r="A406" s="1">
        <v>405</v>
      </c>
      <c r="B406" s="2" t="str">
        <f>_xlfn.CONCAT(C406,"-",VLOOKUP(C406,t_objeto!B:D,3,FALSE),"-",A406)</f>
        <v>RRPP-PERCCO-405</v>
      </c>
      <c r="C406" s="1" t="s">
        <v>7461</v>
      </c>
      <c r="D406" s="1" t="str">
        <f>VLOOKUP(C406,t_objeto!B:C,2,FALSE)</f>
        <v>RESOURCES_POOL</v>
      </c>
      <c r="E406" s="2" t="s">
        <v>8123</v>
      </c>
      <c r="F406" s="2" t="s">
        <v>8757</v>
      </c>
      <c r="G406" s="1">
        <v>8</v>
      </c>
      <c r="H406" s="1" t="str">
        <f>VLOOKUP(G406,t_entry_status!A:C,2,FALSE)</f>
        <v>PENDING</v>
      </c>
      <c r="I406" s="7">
        <v>45560</v>
      </c>
      <c r="J406" s="1" t="s">
        <v>7449</v>
      </c>
      <c r="K406" s="7">
        <v>45560</v>
      </c>
      <c r="L406" s="1" t="s">
        <v>7449</v>
      </c>
    </row>
    <row r="407" spans="1:12" x14ac:dyDescent="0.25">
      <c r="A407" s="1">
        <v>406</v>
      </c>
      <c r="B407" s="2" t="str">
        <f>_xlfn.CONCAT(C407,"-",VLOOKUP(C407,t_objeto!B:D,3,FALSE),"-",A407)</f>
        <v>RRPP-PERCCO-406</v>
      </c>
      <c r="C407" s="1" t="s">
        <v>7461</v>
      </c>
      <c r="D407" s="1" t="str">
        <f>VLOOKUP(C407,t_objeto!B:C,2,FALSE)</f>
        <v>RESOURCES_POOL</v>
      </c>
      <c r="E407" s="2" t="s">
        <v>8124</v>
      </c>
      <c r="F407" s="2" t="s">
        <v>8758</v>
      </c>
      <c r="G407" s="1">
        <v>8</v>
      </c>
      <c r="H407" s="1" t="str">
        <f>VLOOKUP(G407,t_entry_status!A:C,2,FALSE)</f>
        <v>PENDING</v>
      </c>
      <c r="I407" s="7">
        <v>45560</v>
      </c>
      <c r="J407" s="1" t="s">
        <v>7449</v>
      </c>
      <c r="K407" s="7">
        <v>45560</v>
      </c>
      <c r="L407" s="1" t="s">
        <v>7449</v>
      </c>
    </row>
    <row r="408" spans="1:12" x14ac:dyDescent="0.25">
      <c r="A408" s="1">
        <v>407</v>
      </c>
      <c r="B408" s="2" t="str">
        <f>_xlfn.CONCAT(C408,"-",VLOOKUP(C408,t_objeto!B:D,3,FALSE),"-",A408)</f>
        <v>RRPP-PERCCO-407</v>
      </c>
      <c r="C408" s="1" t="s">
        <v>7461</v>
      </c>
      <c r="D408" s="1" t="str">
        <f>VLOOKUP(C408,t_objeto!B:C,2,FALSE)</f>
        <v>RESOURCES_POOL</v>
      </c>
      <c r="E408" s="2" t="s">
        <v>8125</v>
      </c>
      <c r="F408" s="2" t="s">
        <v>8759</v>
      </c>
      <c r="G408" s="1">
        <v>8</v>
      </c>
      <c r="H408" s="1" t="str">
        <f>VLOOKUP(G408,t_entry_status!A:C,2,FALSE)</f>
        <v>PENDING</v>
      </c>
      <c r="I408" s="7">
        <v>45560</v>
      </c>
      <c r="J408" s="1" t="s">
        <v>7449</v>
      </c>
      <c r="K408" s="7">
        <v>45560</v>
      </c>
      <c r="L408" s="1" t="s">
        <v>7449</v>
      </c>
    </row>
    <row r="409" spans="1:12" x14ac:dyDescent="0.25">
      <c r="A409" s="1">
        <v>408</v>
      </c>
      <c r="B409" s="2" t="str">
        <f>_xlfn.CONCAT(C409,"-",VLOOKUP(C409,t_objeto!B:D,3,FALSE),"-",A409)</f>
        <v>RRPP-PERCCO-408</v>
      </c>
      <c r="C409" s="1" t="s">
        <v>7461</v>
      </c>
      <c r="D409" s="1" t="str">
        <f>VLOOKUP(C409,t_objeto!B:C,2,FALSE)</f>
        <v>RESOURCES_POOL</v>
      </c>
      <c r="E409" s="2" t="s">
        <v>8126</v>
      </c>
      <c r="F409" s="2" t="s">
        <v>8760</v>
      </c>
      <c r="G409" s="1">
        <v>8</v>
      </c>
      <c r="H409" s="1" t="str">
        <f>VLOOKUP(G409,t_entry_status!A:C,2,FALSE)</f>
        <v>PENDING</v>
      </c>
      <c r="I409" s="7">
        <v>45560</v>
      </c>
      <c r="J409" s="1" t="s">
        <v>7449</v>
      </c>
      <c r="K409" s="7">
        <v>45560</v>
      </c>
      <c r="L409" s="1" t="s">
        <v>7449</v>
      </c>
    </row>
    <row r="410" spans="1:12" x14ac:dyDescent="0.25">
      <c r="A410" s="1">
        <v>409</v>
      </c>
      <c r="B410" s="2" t="str">
        <f>_xlfn.CONCAT(C410,"-",VLOOKUP(C410,t_objeto!B:D,3,FALSE),"-",A410)</f>
        <v>RRPP-PERCCO-409</v>
      </c>
      <c r="C410" s="1" t="s">
        <v>7461</v>
      </c>
      <c r="D410" s="1" t="str">
        <f>VLOOKUP(C410,t_objeto!B:C,2,FALSE)</f>
        <v>RESOURCES_POOL</v>
      </c>
      <c r="E410" s="2" t="s">
        <v>8127</v>
      </c>
      <c r="F410" s="2" t="s">
        <v>8761</v>
      </c>
      <c r="G410" s="1">
        <v>8</v>
      </c>
      <c r="H410" s="1" t="str">
        <f>VLOOKUP(G410,t_entry_status!A:C,2,FALSE)</f>
        <v>PENDING</v>
      </c>
      <c r="I410" s="7">
        <v>45560</v>
      </c>
      <c r="J410" s="1" t="s">
        <v>7449</v>
      </c>
      <c r="K410" s="7">
        <v>45560</v>
      </c>
      <c r="L410" s="1" t="s">
        <v>7449</v>
      </c>
    </row>
    <row r="411" spans="1:12" x14ac:dyDescent="0.25">
      <c r="A411" s="1">
        <v>410</v>
      </c>
      <c r="B411" s="2" t="str">
        <f>_xlfn.CONCAT(C411,"-",VLOOKUP(C411,t_objeto!B:D,3,FALSE),"-",A411)</f>
        <v>RRPP-PERCCO-410</v>
      </c>
      <c r="C411" s="1" t="s">
        <v>7461</v>
      </c>
      <c r="D411" s="1" t="str">
        <f>VLOOKUP(C411,t_objeto!B:C,2,FALSE)</f>
        <v>RESOURCES_POOL</v>
      </c>
      <c r="E411" s="2" t="s">
        <v>8128</v>
      </c>
      <c r="F411" s="2" t="s">
        <v>8762</v>
      </c>
      <c r="G411" s="1">
        <v>8</v>
      </c>
      <c r="H411" s="1" t="str">
        <f>VLOOKUP(G411,t_entry_status!A:C,2,FALSE)</f>
        <v>PENDING</v>
      </c>
      <c r="I411" s="7">
        <v>45560</v>
      </c>
      <c r="J411" s="1" t="s">
        <v>7449</v>
      </c>
      <c r="K411" s="7">
        <v>45560</v>
      </c>
      <c r="L411" s="1" t="s">
        <v>7449</v>
      </c>
    </row>
    <row r="412" spans="1:12" x14ac:dyDescent="0.25">
      <c r="A412" s="1">
        <v>411</v>
      </c>
      <c r="B412" s="2" t="str">
        <f>_xlfn.CONCAT(C412,"-",VLOOKUP(C412,t_objeto!B:D,3,FALSE),"-",A412)</f>
        <v>RRPP-PERCCO-411</v>
      </c>
      <c r="C412" s="1" t="s">
        <v>7461</v>
      </c>
      <c r="D412" s="1" t="str">
        <f>VLOOKUP(C412,t_objeto!B:C,2,FALSE)</f>
        <v>RESOURCES_POOL</v>
      </c>
      <c r="E412" s="2" t="s">
        <v>8129</v>
      </c>
      <c r="F412" s="2" t="s">
        <v>8763</v>
      </c>
      <c r="G412" s="1">
        <v>8</v>
      </c>
      <c r="H412" s="1" t="str">
        <f>VLOOKUP(G412,t_entry_status!A:C,2,FALSE)</f>
        <v>PENDING</v>
      </c>
      <c r="I412" s="7">
        <v>45560</v>
      </c>
      <c r="J412" s="1" t="s">
        <v>7449</v>
      </c>
      <c r="K412" s="7">
        <v>45560</v>
      </c>
      <c r="L412" s="1" t="s">
        <v>7449</v>
      </c>
    </row>
    <row r="413" spans="1:12" x14ac:dyDescent="0.25">
      <c r="A413" s="1">
        <v>412</v>
      </c>
      <c r="B413" s="2" t="str">
        <f>_xlfn.CONCAT(C413,"-",VLOOKUP(C413,t_objeto!B:D,3,FALSE),"-",A413)</f>
        <v>RRPP-PERCCO-412</v>
      </c>
      <c r="C413" s="1" t="s">
        <v>7461</v>
      </c>
      <c r="D413" s="1" t="str">
        <f>VLOOKUP(C413,t_objeto!B:C,2,FALSE)</f>
        <v>RESOURCES_POOL</v>
      </c>
      <c r="E413" s="2" t="s">
        <v>8130</v>
      </c>
      <c r="F413" s="2" t="s">
        <v>8764</v>
      </c>
      <c r="G413" s="1">
        <v>8</v>
      </c>
      <c r="H413" s="1" t="str">
        <f>VLOOKUP(G413,t_entry_status!A:C,2,FALSE)</f>
        <v>PENDING</v>
      </c>
      <c r="I413" s="7">
        <v>45560</v>
      </c>
      <c r="J413" s="1" t="s">
        <v>7449</v>
      </c>
      <c r="K413" s="7">
        <v>45560</v>
      </c>
      <c r="L413" s="1" t="s">
        <v>7449</v>
      </c>
    </row>
    <row r="414" spans="1:12" x14ac:dyDescent="0.25">
      <c r="A414" s="1">
        <v>413</v>
      </c>
      <c r="B414" s="2" t="str">
        <f>_xlfn.CONCAT(C414,"-",VLOOKUP(C414,t_objeto!B:D,3,FALSE),"-",A414)</f>
        <v>RRPP-PERCCO-413</v>
      </c>
      <c r="C414" s="1" t="s">
        <v>7461</v>
      </c>
      <c r="D414" s="1" t="str">
        <f>VLOOKUP(C414,t_objeto!B:C,2,FALSE)</f>
        <v>RESOURCES_POOL</v>
      </c>
      <c r="E414" s="2" t="s">
        <v>8131</v>
      </c>
      <c r="F414" s="2" t="s">
        <v>8765</v>
      </c>
      <c r="G414" s="1">
        <v>8</v>
      </c>
      <c r="H414" s="1" t="str">
        <f>VLOOKUP(G414,t_entry_status!A:C,2,FALSE)</f>
        <v>PENDING</v>
      </c>
      <c r="I414" s="7">
        <v>45560</v>
      </c>
      <c r="J414" s="1" t="s">
        <v>7449</v>
      </c>
      <c r="K414" s="7">
        <v>45560</v>
      </c>
      <c r="L414" s="1" t="s">
        <v>7449</v>
      </c>
    </row>
    <row r="415" spans="1:12" x14ac:dyDescent="0.25">
      <c r="A415" s="1">
        <v>414</v>
      </c>
      <c r="B415" s="2" t="str">
        <f>_xlfn.CONCAT(C415,"-",VLOOKUP(C415,t_objeto!B:D,3,FALSE),"-",A415)</f>
        <v>RRPP-PERCCO-414</v>
      </c>
      <c r="C415" s="1" t="s">
        <v>7461</v>
      </c>
      <c r="D415" s="1" t="str">
        <f>VLOOKUP(C415,t_objeto!B:C,2,FALSE)</f>
        <v>RESOURCES_POOL</v>
      </c>
      <c r="E415" s="2" t="s">
        <v>8132</v>
      </c>
      <c r="F415" s="2" t="s">
        <v>8766</v>
      </c>
      <c r="G415" s="1">
        <v>8</v>
      </c>
      <c r="H415" s="1" t="str">
        <f>VLOOKUP(G415,t_entry_status!A:C,2,FALSE)</f>
        <v>PENDING</v>
      </c>
      <c r="I415" s="7">
        <v>45560</v>
      </c>
      <c r="J415" s="1" t="s">
        <v>7449</v>
      </c>
      <c r="K415" s="7">
        <v>45560</v>
      </c>
      <c r="L415" s="1" t="s">
        <v>7449</v>
      </c>
    </row>
    <row r="416" spans="1:12" x14ac:dyDescent="0.25">
      <c r="A416" s="1">
        <v>415</v>
      </c>
      <c r="B416" s="2" t="str">
        <f>_xlfn.CONCAT(C416,"-",VLOOKUP(C416,t_objeto!B:D,3,FALSE),"-",A416)</f>
        <v>RRPP-PERCCO-415</v>
      </c>
      <c r="C416" s="1" t="s">
        <v>7461</v>
      </c>
      <c r="D416" s="1" t="str">
        <f>VLOOKUP(C416,t_objeto!B:C,2,FALSE)</f>
        <v>RESOURCES_POOL</v>
      </c>
      <c r="E416" s="2" t="s">
        <v>8133</v>
      </c>
      <c r="F416" s="2" t="s">
        <v>8767</v>
      </c>
      <c r="G416" s="1">
        <v>8</v>
      </c>
      <c r="H416" s="1" t="str">
        <f>VLOOKUP(G416,t_entry_status!A:C,2,FALSE)</f>
        <v>PENDING</v>
      </c>
      <c r="I416" s="7">
        <v>45560</v>
      </c>
      <c r="J416" s="1" t="s">
        <v>7449</v>
      </c>
      <c r="K416" s="7">
        <v>45560</v>
      </c>
      <c r="L416" s="1" t="s">
        <v>7449</v>
      </c>
    </row>
    <row r="417" spans="1:12" x14ac:dyDescent="0.25">
      <c r="A417" s="1">
        <v>416</v>
      </c>
      <c r="B417" s="2" t="str">
        <f>_xlfn.CONCAT(C417,"-",VLOOKUP(C417,t_objeto!B:D,3,FALSE),"-",A417)</f>
        <v>RRPP-PERCCO-416</v>
      </c>
      <c r="C417" s="1" t="s">
        <v>7461</v>
      </c>
      <c r="D417" s="1" t="str">
        <f>VLOOKUP(C417,t_objeto!B:C,2,FALSE)</f>
        <v>RESOURCES_POOL</v>
      </c>
      <c r="E417" s="2" t="s">
        <v>8134</v>
      </c>
      <c r="F417" s="2" t="s">
        <v>8768</v>
      </c>
      <c r="G417" s="1">
        <v>8</v>
      </c>
      <c r="H417" s="1" t="str">
        <f>VLOOKUP(G417,t_entry_status!A:C,2,FALSE)</f>
        <v>PENDING</v>
      </c>
      <c r="I417" s="7">
        <v>45560</v>
      </c>
      <c r="J417" s="1" t="s">
        <v>7449</v>
      </c>
      <c r="K417" s="7">
        <v>45560</v>
      </c>
      <c r="L417" s="1" t="s">
        <v>7449</v>
      </c>
    </row>
    <row r="418" spans="1:12" x14ac:dyDescent="0.25">
      <c r="A418" s="1">
        <v>417</v>
      </c>
      <c r="B418" s="2" t="str">
        <f>_xlfn.CONCAT(C418,"-",VLOOKUP(C418,t_objeto!B:D,3,FALSE),"-",A418)</f>
        <v>RRPP-PERCCO-417</v>
      </c>
      <c r="C418" s="1" t="s">
        <v>7461</v>
      </c>
      <c r="D418" s="1" t="str">
        <f>VLOOKUP(C418,t_objeto!B:C,2,FALSE)</f>
        <v>RESOURCES_POOL</v>
      </c>
      <c r="E418" s="2" t="s">
        <v>8135</v>
      </c>
      <c r="F418" s="2" t="s">
        <v>8769</v>
      </c>
      <c r="G418" s="1">
        <v>8</v>
      </c>
      <c r="H418" s="1" t="str">
        <f>VLOOKUP(G418,t_entry_status!A:C,2,FALSE)</f>
        <v>PENDING</v>
      </c>
      <c r="I418" s="7">
        <v>45560</v>
      </c>
      <c r="J418" s="1" t="s">
        <v>7449</v>
      </c>
      <c r="K418" s="7">
        <v>45560</v>
      </c>
      <c r="L418" s="1" t="s">
        <v>7449</v>
      </c>
    </row>
    <row r="419" spans="1:12" x14ac:dyDescent="0.25">
      <c r="A419" s="1">
        <v>418</v>
      </c>
      <c r="B419" s="2" t="str">
        <f>_xlfn.CONCAT(C419,"-",VLOOKUP(C419,t_objeto!B:D,3,FALSE),"-",A419)</f>
        <v>RRPP-PERCCO-418</v>
      </c>
      <c r="C419" s="1" t="s">
        <v>7461</v>
      </c>
      <c r="D419" s="1" t="str">
        <f>VLOOKUP(C419,t_objeto!B:C,2,FALSE)</f>
        <v>RESOURCES_POOL</v>
      </c>
      <c r="E419" s="2" t="s">
        <v>8136</v>
      </c>
      <c r="F419" s="2" t="s">
        <v>8770</v>
      </c>
      <c r="G419" s="1">
        <v>8</v>
      </c>
      <c r="H419" s="1" t="str">
        <f>VLOOKUP(G419,t_entry_status!A:C,2,FALSE)</f>
        <v>PENDING</v>
      </c>
      <c r="I419" s="7">
        <v>45560</v>
      </c>
      <c r="J419" s="1" t="s">
        <v>7449</v>
      </c>
      <c r="K419" s="7">
        <v>45560</v>
      </c>
      <c r="L419" s="1" t="s">
        <v>7449</v>
      </c>
    </row>
    <row r="420" spans="1:12" x14ac:dyDescent="0.25">
      <c r="A420" s="1">
        <v>419</v>
      </c>
      <c r="B420" s="2" t="str">
        <f>_xlfn.CONCAT(C420,"-",VLOOKUP(C420,t_objeto!B:D,3,FALSE),"-",A420)</f>
        <v>RRPP-PERCCO-419</v>
      </c>
      <c r="C420" s="1" t="s">
        <v>7461</v>
      </c>
      <c r="D420" s="1" t="str">
        <f>VLOOKUP(C420,t_objeto!B:C,2,FALSE)</f>
        <v>RESOURCES_POOL</v>
      </c>
      <c r="E420" s="2" t="s">
        <v>8137</v>
      </c>
      <c r="F420" s="2" t="s">
        <v>8771</v>
      </c>
      <c r="G420" s="1">
        <v>8</v>
      </c>
      <c r="H420" s="1" t="str">
        <f>VLOOKUP(G420,t_entry_status!A:C,2,FALSE)</f>
        <v>PENDING</v>
      </c>
      <c r="I420" s="7">
        <v>45560</v>
      </c>
      <c r="J420" s="1" t="s">
        <v>7449</v>
      </c>
      <c r="K420" s="7">
        <v>45560</v>
      </c>
      <c r="L420" s="1" t="s">
        <v>7449</v>
      </c>
    </row>
    <row r="421" spans="1:12" x14ac:dyDescent="0.25">
      <c r="A421" s="1">
        <v>420</v>
      </c>
      <c r="B421" s="2" t="str">
        <f>_xlfn.CONCAT(C421,"-",VLOOKUP(C421,t_objeto!B:D,3,FALSE),"-",A421)</f>
        <v>RRPP-PERCCO-420</v>
      </c>
      <c r="C421" s="1" t="s">
        <v>7461</v>
      </c>
      <c r="D421" s="1" t="str">
        <f>VLOOKUP(C421,t_objeto!B:C,2,FALSE)</f>
        <v>RESOURCES_POOL</v>
      </c>
      <c r="E421" s="2" t="s">
        <v>8138</v>
      </c>
      <c r="F421" s="2" t="s">
        <v>8772</v>
      </c>
      <c r="G421" s="1">
        <v>8</v>
      </c>
      <c r="H421" s="1" t="str">
        <f>VLOOKUP(G421,t_entry_status!A:C,2,FALSE)</f>
        <v>PENDING</v>
      </c>
      <c r="I421" s="7">
        <v>45560</v>
      </c>
      <c r="J421" s="1" t="s">
        <v>7449</v>
      </c>
      <c r="K421" s="7">
        <v>45560</v>
      </c>
      <c r="L421" s="1" t="s">
        <v>7449</v>
      </c>
    </row>
    <row r="422" spans="1:12" x14ac:dyDescent="0.25">
      <c r="A422" s="1">
        <v>421</v>
      </c>
      <c r="B422" s="2" t="str">
        <f>_xlfn.CONCAT(C422,"-",VLOOKUP(C422,t_objeto!B:D,3,FALSE),"-",A422)</f>
        <v>RRPP-PERCCO-421</v>
      </c>
      <c r="C422" s="1" t="s">
        <v>7461</v>
      </c>
      <c r="D422" s="1" t="str">
        <f>VLOOKUP(C422,t_objeto!B:C,2,FALSE)</f>
        <v>RESOURCES_POOL</v>
      </c>
      <c r="E422" s="2" t="s">
        <v>8139</v>
      </c>
      <c r="F422" s="2" t="s">
        <v>8773</v>
      </c>
      <c r="G422" s="1">
        <v>8</v>
      </c>
      <c r="H422" s="1" t="str">
        <f>VLOOKUP(G422,t_entry_status!A:C,2,FALSE)</f>
        <v>PENDING</v>
      </c>
      <c r="I422" s="7">
        <v>45560</v>
      </c>
      <c r="J422" s="1" t="s">
        <v>7449</v>
      </c>
      <c r="K422" s="7">
        <v>45560</v>
      </c>
      <c r="L422" s="1" t="s">
        <v>7449</v>
      </c>
    </row>
    <row r="423" spans="1:12" x14ac:dyDescent="0.25">
      <c r="A423" s="1">
        <v>422</v>
      </c>
      <c r="B423" s="2" t="str">
        <f>_xlfn.CONCAT(C423,"-",VLOOKUP(C423,t_objeto!B:D,3,FALSE),"-",A423)</f>
        <v>RRPP-PERCCO-422</v>
      </c>
      <c r="C423" s="1" t="s">
        <v>7461</v>
      </c>
      <c r="D423" s="1" t="str">
        <f>VLOOKUP(C423,t_objeto!B:C,2,FALSE)</f>
        <v>RESOURCES_POOL</v>
      </c>
      <c r="E423" s="2" t="s">
        <v>8140</v>
      </c>
      <c r="F423" s="2" t="s">
        <v>8774</v>
      </c>
      <c r="G423" s="1">
        <v>8</v>
      </c>
      <c r="H423" s="1" t="str">
        <f>VLOOKUP(G423,t_entry_status!A:C,2,FALSE)</f>
        <v>PENDING</v>
      </c>
      <c r="I423" s="7">
        <v>45560</v>
      </c>
      <c r="J423" s="1" t="s">
        <v>7449</v>
      </c>
      <c r="K423" s="7">
        <v>45560</v>
      </c>
      <c r="L423" s="1" t="s">
        <v>7449</v>
      </c>
    </row>
    <row r="424" spans="1:12" x14ac:dyDescent="0.25">
      <c r="A424" s="1">
        <v>423</v>
      </c>
      <c r="B424" s="2" t="str">
        <f>_xlfn.CONCAT(C424,"-",VLOOKUP(C424,t_objeto!B:D,3,FALSE),"-",A424)</f>
        <v>RRPP-PERCCO-423</v>
      </c>
      <c r="C424" s="1" t="s">
        <v>7461</v>
      </c>
      <c r="D424" s="1" t="str">
        <f>VLOOKUP(C424,t_objeto!B:C,2,FALSE)</f>
        <v>RESOURCES_POOL</v>
      </c>
      <c r="E424" s="2" t="s">
        <v>8141</v>
      </c>
      <c r="F424" s="2" t="s">
        <v>8775</v>
      </c>
      <c r="G424" s="1">
        <v>8</v>
      </c>
      <c r="H424" s="1" t="str">
        <f>VLOOKUP(G424,t_entry_status!A:C,2,FALSE)</f>
        <v>PENDING</v>
      </c>
      <c r="I424" s="7">
        <v>45560</v>
      </c>
      <c r="J424" s="1" t="s">
        <v>7449</v>
      </c>
      <c r="K424" s="7">
        <v>45560</v>
      </c>
      <c r="L424" s="1" t="s">
        <v>7449</v>
      </c>
    </row>
    <row r="425" spans="1:12" x14ac:dyDescent="0.25">
      <c r="A425" s="1">
        <v>424</v>
      </c>
      <c r="B425" s="2" t="str">
        <f>_xlfn.CONCAT(C425,"-",VLOOKUP(C425,t_objeto!B:D,3,FALSE),"-",A425)</f>
        <v>RRPP-PERCCO-424</v>
      </c>
      <c r="C425" s="1" t="s">
        <v>7461</v>
      </c>
      <c r="D425" s="1" t="str">
        <f>VLOOKUP(C425,t_objeto!B:C,2,FALSE)</f>
        <v>RESOURCES_POOL</v>
      </c>
      <c r="E425" s="2" t="s">
        <v>8142</v>
      </c>
      <c r="F425" s="2" t="s">
        <v>8776</v>
      </c>
      <c r="G425" s="1">
        <v>8</v>
      </c>
      <c r="H425" s="1" t="str">
        <f>VLOOKUP(G425,t_entry_status!A:C,2,FALSE)</f>
        <v>PENDING</v>
      </c>
      <c r="I425" s="7">
        <v>45560</v>
      </c>
      <c r="J425" s="1" t="s">
        <v>7449</v>
      </c>
      <c r="K425" s="7">
        <v>45560</v>
      </c>
      <c r="L425" s="1" t="s">
        <v>7449</v>
      </c>
    </row>
    <row r="426" spans="1:12" x14ac:dyDescent="0.25">
      <c r="A426" s="1">
        <v>425</v>
      </c>
      <c r="B426" s="2" t="str">
        <f>_xlfn.CONCAT(C426,"-",VLOOKUP(C426,t_objeto!B:D,3,FALSE),"-",A426)</f>
        <v>RRPP-PERCCO-425</v>
      </c>
      <c r="C426" s="1" t="s">
        <v>7461</v>
      </c>
      <c r="D426" s="1" t="str">
        <f>VLOOKUP(C426,t_objeto!B:C,2,FALSE)</f>
        <v>RESOURCES_POOL</v>
      </c>
      <c r="E426" s="2" t="s">
        <v>8143</v>
      </c>
      <c r="F426" s="2" t="s">
        <v>8777</v>
      </c>
      <c r="G426" s="1">
        <v>8</v>
      </c>
      <c r="H426" s="1" t="str">
        <f>VLOOKUP(G426,t_entry_status!A:C,2,FALSE)</f>
        <v>PENDING</v>
      </c>
      <c r="I426" s="7">
        <v>45560</v>
      </c>
      <c r="J426" s="1" t="s">
        <v>7449</v>
      </c>
      <c r="K426" s="7">
        <v>45560</v>
      </c>
      <c r="L426" s="1" t="s">
        <v>7449</v>
      </c>
    </row>
    <row r="427" spans="1:12" x14ac:dyDescent="0.25">
      <c r="A427" s="1">
        <v>426</v>
      </c>
      <c r="B427" s="2" t="str">
        <f>_xlfn.CONCAT(C427,"-",VLOOKUP(C427,t_objeto!B:D,3,FALSE),"-",A427)</f>
        <v>RRPP-PERCCO-426</v>
      </c>
      <c r="C427" s="1" t="s">
        <v>7461</v>
      </c>
      <c r="D427" s="1" t="str">
        <f>VLOOKUP(C427,t_objeto!B:C,2,FALSE)</f>
        <v>RESOURCES_POOL</v>
      </c>
      <c r="E427" s="2" t="s">
        <v>8144</v>
      </c>
      <c r="F427" s="2" t="s">
        <v>8778</v>
      </c>
      <c r="G427" s="1">
        <v>8</v>
      </c>
      <c r="H427" s="1" t="str">
        <f>VLOOKUP(G427,t_entry_status!A:C,2,FALSE)</f>
        <v>PENDING</v>
      </c>
      <c r="I427" s="7">
        <v>45560</v>
      </c>
      <c r="J427" s="1" t="s">
        <v>7449</v>
      </c>
      <c r="K427" s="7">
        <v>45560</v>
      </c>
      <c r="L427" s="1" t="s">
        <v>7449</v>
      </c>
    </row>
    <row r="428" spans="1:12" x14ac:dyDescent="0.25">
      <c r="A428" s="1">
        <v>427</v>
      </c>
      <c r="B428" s="2" t="str">
        <f>_xlfn.CONCAT(C428,"-",VLOOKUP(C428,t_objeto!B:D,3,FALSE),"-",A428)</f>
        <v>RRPP-PERCCO-427</v>
      </c>
      <c r="C428" s="1" t="s">
        <v>7461</v>
      </c>
      <c r="D428" s="1" t="str">
        <f>VLOOKUP(C428,t_objeto!B:C,2,FALSE)</f>
        <v>RESOURCES_POOL</v>
      </c>
      <c r="E428" s="2" t="s">
        <v>8145</v>
      </c>
      <c r="F428" s="2" t="s">
        <v>8779</v>
      </c>
      <c r="G428" s="1">
        <v>8</v>
      </c>
      <c r="H428" s="1" t="str">
        <f>VLOOKUP(G428,t_entry_status!A:C,2,FALSE)</f>
        <v>PENDING</v>
      </c>
      <c r="I428" s="7">
        <v>45560</v>
      </c>
      <c r="J428" s="1" t="s">
        <v>7449</v>
      </c>
      <c r="K428" s="7">
        <v>45560</v>
      </c>
      <c r="L428" s="1" t="s">
        <v>7449</v>
      </c>
    </row>
    <row r="429" spans="1:12" x14ac:dyDescent="0.25">
      <c r="A429" s="1">
        <v>428</v>
      </c>
      <c r="B429" s="2" t="str">
        <f>_xlfn.CONCAT(C429,"-",VLOOKUP(C429,t_objeto!B:D,3,FALSE),"-",A429)</f>
        <v>RRPP-PERCCO-428</v>
      </c>
      <c r="C429" s="1" t="s">
        <v>7461</v>
      </c>
      <c r="D429" s="1" t="str">
        <f>VLOOKUP(C429,t_objeto!B:C,2,FALSE)</f>
        <v>RESOURCES_POOL</v>
      </c>
      <c r="E429" s="2" t="s">
        <v>8146</v>
      </c>
      <c r="F429" s="2" t="s">
        <v>8780</v>
      </c>
      <c r="G429" s="1">
        <v>8</v>
      </c>
      <c r="H429" s="1" t="str">
        <f>VLOOKUP(G429,t_entry_status!A:C,2,FALSE)</f>
        <v>PENDING</v>
      </c>
      <c r="I429" s="7">
        <v>45560</v>
      </c>
      <c r="J429" s="1" t="s">
        <v>7449</v>
      </c>
      <c r="K429" s="7">
        <v>45560</v>
      </c>
      <c r="L429" s="1" t="s">
        <v>7449</v>
      </c>
    </row>
    <row r="430" spans="1:12" x14ac:dyDescent="0.25">
      <c r="A430" s="1">
        <v>429</v>
      </c>
      <c r="B430" s="2" t="str">
        <f>_xlfn.CONCAT(C430,"-",VLOOKUP(C430,t_objeto!B:D,3,FALSE),"-",A430)</f>
        <v>RRPP-PERCCO-429</v>
      </c>
      <c r="C430" s="1" t="s">
        <v>7461</v>
      </c>
      <c r="D430" s="1" t="str">
        <f>VLOOKUP(C430,t_objeto!B:C,2,FALSE)</f>
        <v>RESOURCES_POOL</v>
      </c>
      <c r="E430" s="2" t="s">
        <v>8147</v>
      </c>
      <c r="F430" s="2" t="s">
        <v>8781</v>
      </c>
      <c r="G430" s="1">
        <v>8</v>
      </c>
      <c r="H430" s="1" t="str">
        <f>VLOOKUP(G430,t_entry_status!A:C,2,FALSE)</f>
        <v>PENDING</v>
      </c>
      <c r="I430" s="7">
        <v>45560</v>
      </c>
      <c r="J430" s="1" t="s">
        <v>7449</v>
      </c>
      <c r="K430" s="7">
        <v>45560</v>
      </c>
      <c r="L430" s="1" t="s">
        <v>7449</v>
      </c>
    </row>
    <row r="431" spans="1:12" x14ac:dyDescent="0.25">
      <c r="A431" s="1">
        <v>430</v>
      </c>
      <c r="B431" s="2" t="str">
        <f>_xlfn.CONCAT(C431,"-",VLOOKUP(C431,t_objeto!B:D,3,FALSE),"-",A431)</f>
        <v>RRPP-PERCCO-430</v>
      </c>
      <c r="C431" s="1" t="s">
        <v>7461</v>
      </c>
      <c r="D431" s="1" t="str">
        <f>VLOOKUP(C431,t_objeto!B:C,2,FALSE)</f>
        <v>RESOURCES_POOL</v>
      </c>
      <c r="E431" s="2" t="s">
        <v>8148</v>
      </c>
      <c r="F431" s="2" t="s">
        <v>8782</v>
      </c>
      <c r="G431" s="1">
        <v>8</v>
      </c>
      <c r="H431" s="1" t="str">
        <f>VLOOKUP(G431,t_entry_status!A:C,2,FALSE)</f>
        <v>PENDING</v>
      </c>
      <c r="I431" s="7">
        <v>45560</v>
      </c>
      <c r="J431" s="1" t="s">
        <v>7449</v>
      </c>
      <c r="K431" s="7">
        <v>45560</v>
      </c>
      <c r="L431" s="1" t="s">
        <v>7449</v>
      </c>
    </row>
    <row r="432" spans="1:12" x14ac:dyDescent="0.25">
      <c r="A432" s="1">
        <v>431</v>
      </c>
      <c r="B432" s="2" t="str">
        <f>_xlfn.CONCAT(C432,"-",VLOOKUP(C432,t_objeto!B:D,3,FALSE),"-",A432)</f>
        <v>RRPP-PERCCO-431</v>
      </c>
      <c r="C432" s="1" t="s">
        <v>7461</v>
      </c>
      <c r="D432" s="1" t="str">
        <f>VLOOKUP(C432,t_objeto!B:C,2,FALSE)</f>
        <v>RESOURCES_POOL</v>
      </c>
      <c r="E432" s="2" t="s">
        <v>8149</v>
      </c>
      <c r="F432" s="2" t="s">
        <v>8783</v>
      </c>
      <c r="G432" s="1">
        <v>8</v>
      </c>
      <c r="H432" s="1" t="str">
        <f>VLOOKUP(G432,t_entry_status!A:C,2,FALSE)</f>
        <v>PENDING</v>
      </c>
      <c r="I432" s="7">
        <v>45560</v>
      </c>
      <c r="J432" s="1" t="s">
        <v>7449</v>
      </c>
      <c r="K432" s="7">
        <v>45560</v>
      </c>
      <c r="L432" s="1" t="s">
        <v>7449</v>
      </c>
    </row>
    <row r="433" spans="1:12" x14ac:dyDescent="0.25">
      <c r="A433" s="1">
        <v>432</v>
      </c>
      <c r="B433" s="2" t="str">
        <f>_xlfn.CONCAT(C433,"-",VLOOKUP(C433,t_objeto!B:D,3,FALSE),"-",A433)</f>
        <v>RRPP-PERCCO-432</v>
      </c>
      <c r="C433" s="1" t="s">
        <v>7461</v>
      </c>
      <c r="D433" s="1" t="str">
        <f>VLOOKUP(C433,t_objeto!B:C,2,FALSE)</f>
        <v>RESOURCES_POOL</v>
      </c>
      <c r="E433" s="2" t="s">
        <v>8150</v>
      </c>
      <c r="F433" s="2" t="s">
        <v>8784</v>
      </c>
      <c r="G433" s="1">
        <v>8</v>
      </c>
      <c r="H433" s="1" t="str">
        <f>VLOOKUP(G433,t_entry_status!A:C,2,FALSE)</f>
        <v>PENDING</v>
      </c>
      <c r="I433" s="7">
        <v>45560</v>
      </c>
      <c r="J433" s="1" t="s">
        <v>7449</v>
      </c>
      <c r="K433" s="7">
        <v>45560</v>
      </c>
      <c r="L433" s="1" t="s">
        <v>7449</v>
      </c>
    </row>
    <row r="434" spans="1:12" x14ac:dyDescent="0.25">
      <c r="A434" s="1">
        <v>433</v>
      </c>
      <c r="B434" s="2" t="str">
        <f>_xlfn.CONCAT(C434,"-",VLOOKUP(C434,t_objeto!B:D,3,FALSE),"-",A434)</f>
        <v>RRPP-PERCCO-433</v>
      </c>
      <c r="C434" s="1" t="s">
        <v>7461</v>
      </c>
      <c r="D434" s="1" t="str">
        <f>VLOOKUP(C434,t_objeto!B:C,2,FALSE)</f>
        <v>RESOURCES_POOL</v>
      </c>
      <c r="E434" s="2" t="s">
        <v>8151</v>
      </c>
      <c r="F434" s="2" t="s">
        <v>8785</v>
      </c>
      <c r="G434" s="1">
        <v>8</v>
      </c>
      <c r="H434" s="1" t="str">
        <f>VLOOKUP(G434,t_entry_status!A:C,2,FALSE)</f>
        <v>PENDING</v>
      </c>
      <c r="I434" s="7">
        <v>45560</v>
      </c>
      <c r="J434" s="1" t="s">
        <v>7449</v>
      </c>
      <c r="K434" s="7">
        <v>45560</v>
      </c>
      <c r="L434" s="1" t="s">
        <v>7449</v>
      </c>
    </row>
    <row r="435" spans="1:12" x14ac:dyDescent="0.25">
      <c r="A435" s="1">
        <v>434</v>
      </c>
      <c r="B435" s="2" t="str">
        <f>_xlfn.CONCAT(C435,"-",VLOOKUP(C435,t_objeto!B:D,3,FALSE),"-",A435)</f>
        <v>RRPP-PERCCO-434</v>
      </c>
      <c r="C435" s="1" t="s">
        <v>7461</v>
      </c>
      <c r="D435" s="1" t="str">
        <f>VLOOKUP(C435,t_objeto!B:C,2,FALSE)</f>
        <v>RESOURCES_POOL</v>
      </c>
      <c r="E435" s="2" t="s">
        <v>8152</v>
      </c>
      <c r="F435" s="2" t="s">
        <v>8786</v>
      </c>
      <c r="G435" s="1">
        <v>8</v>
      </c>
      <c r="H435" s="1" t="str">
        <f>VLOOKUP(G435,t_entry_status!A:C,2,FALSE)</f>
        <v>PENDING</v>
      </c>
      <c r="I435" s="7">
        <v>45560</v>
      </c>
      <c r="J435" s="1" t="s">
        <v>7449</v>
      </c>
      <c r="K435" s="7">
        <v>45560</v>
      </c>
      <c r="L435" s="1" t="s">
        <v>7449</v>
      </c>
    </row>
    <row r="436" spans="1:12" x14ac:dyDescent="0.25">
      <c r="A436" s="1">
        <v>435</v>
      </c>
      <c r="B436" s="2" t="str">
        <f>_xlfn.CONCAT(C436,"-",VLOOKUP(C436,t_objeto!B:D,3,FALSE),"-",A436)</f>
        <v>RRPP-PERCCO-435</v>
      </c>
      <c r="C436" s="1" t="s">
        <v>7461</v>
      </c>
      <c r="D436" s="1" t="str">
        <f>VLOOKUP(C436,t_objeto!B:C,2,FALSE)</f>
        <v>RESOURCES_POOL</v>
      </c>
      <c r="E436" s="2" t="s">
        <v>8153</v>
      </c>
      <c r="F436" s="2" t="s">
        <v>8787</v>
      </c>
      <c r="G436" s="1">
        <v>8</v>
      </c>
      <c r="H436" s="1" t="str">
        <f>VLOOKUP(G436,t_entry_status!A:C,2,FALSE)</f>
        <v>PENDING</v>
      </c>
      <c r="I436" s="7">
        <v>45560</v>
      </c>
      <c r="J436" s="1" t="s">
        <v>7449</v>
      </c>
      <c r="K436" s="7">
        <v>45560</v>
      </c>
      <c r="L436" s="1" t="s">
        <v>7449</v>
      </c>
    </row>
    <row r="437" spans="1:12" x14ac:dyDescent="0.25">
      <c r="A437" s="1">
        <v>436</v>
      </c>
      <c r="B437" s="2" t="str">
        <f>_xlfn.CONCAT(C437,"-",VLOOKUP(C437,t_objeto!B:D,3,FALSE),"-",A437)</f>
        <v>RRPP-PERCCO-436</v>
      </c>
      <c r="C437" s="1" t="s">
        <v>7461</v>
      </c>
      <c r="D437" s="1" t="str">
        <f>VLOOKUP(C437,t_objeto!B:C,2,FALSE)</f>
        <v>RESOURCES_POOL</v>
      </c>
      <c r="E437" s="2" t="s">
        <v>8154</v>
      </c>
      <c r="F437" s="2" t="s">
        <v>8788</v>
      </c>
      <c r="G437" s="1">
        <v>8</v>
      </c>
      <c r="H437" s="1" t="str">
        <f>VLOOKUP(G437,t_entry_status!A:C,2,FALSE)</f>
        <v>PENDING</v>
      </c>
      <c r="I437" s="7">
        <v>45560</v>
      </c>
      <c r="J437" s="1" t="s">
        <v>7449</v>
      </c>
      <c r="K437" s="7">
        <v>45560</v>
      </c>
      <c r="L437" s="1" t="s">
        <v>7449</v>
      </c>
    </row>
    <row r="438" spans="1:12" x14ac:dyDescent="0.25">
      <c r="A438" s="1">
        <v>437</v>
      </c>
      <c r="B438" s="2" t="str">
        <f>_xlfn.CONCAT(C438,"-",VLOOKUP(C438,t_objeto!B:D,3,FALSE),"-",A438)</f>
        <v>RRPP-PERCCO-437</v>
      </c>
      <c r="C438" s="1" t="s">
        <v>7461</v>
      </c>
      <c r="D438" s="1" t="str">
        <f>VLOOKUP(C438,t_objeto!B:C,2,FALSE)</f>
        <v>RESOURCES_POOL</v>
      </c>
      <c r="E438" s="2" t="s">
        <v>8155</v>
      </c>
      <c r="F438" s="2" t="s">
        <v>8789</v>
      </c>
      <c r="G438" s="1">
        <v>8</v>
      </c>
      <c r="H438" s="1" t="str">
        <f>VLOOKUP(G438,t_entry_status!A:C,2,FALSE)</f>
        <v>PENDING</v>
      </c>
      <c r="I438" s="7">
        <v>45560</v>
      </c>
      <c r="J438" s="1" t="s">
        <v>7449</v>
      </c>
      <c r="K438" s="7">
        <v>45560</v>
      </c>
      <c r="L438" s="1" t="s">
        <v>7449</v>
      </c>
    </row>
    <row r="439" spans="1:12" x14ac:dyDescent="0.25">
      <c r="A439" s="1">
        <v>438</v>
      </c>
      <c r="B439" s="2" t="str">
        <f>_xlfn.CONCAT(C439,"-",VLOOKUP(C439,t_objeto!B:D,3,FALSE),"-",A439)</f>
        <v>RRPP-PERCCO-438</v>
      </c>
      <c r="C439" s="1" t="s">
        <v>7461</v>
      </c>
      <c r="D439" s="1" t="str">
        <f>VLOOKUP(C439,t_objeto!B:C,2,FALSE)</f>
        <v>RESOURCES_POOL</v>
      </c>
      <c r="E439" s="2" t="s">
        <v>8156</v>
      </c>
      <c r="F439" s="2" t="s">
        <v>8790</v>
      </c>
      <c r="G439" s="1">
        <v>8</v>
      </c>
      <c r="H439" s="1" t="str">
        <f>VLOOKUP(G439,t_entry_status!A:C,2,FALSE)</f>
        <v>PENDING</v>
      </c>
      <c r="I439" s="7">
        <v>45560</v>
      </c>
      <c r="J439" s="1" t="s">
        <v>7449</v>
      </c>
      <c r="K439" s="7">
        <v>45560</v>
      </c>
      <c r="L439" s="1" t="s">
        <v>7449</v>
      </c>
    </row>
    <row r="440" spans="1:12" x14ac:dyDescent="0.25">
      <c r="A440" s="1">
        <v>439</v>
      </c>
      <c r="B440" s="2" t="str">
        <f>_xlfn.CONCAT(C440,"-",VLOOKUP(C440,t_objeto!B:D,3,FALSE),"-",A440)</f>
        <v>RRPP-PERCCO-439</v>
      </c>
      <c r="C440" s="1" t="s">
        <v>7461</v>
      </c>
      <c r="D440" s="1" t="str">
        <f>VLOOKUP(C440,t_objeto!B:C,2,FALSE)</f>
        <v>RESOURCES_POOL</v>
      </c>
      <c r="E440" s="2" t="s">
        <v>8157</v>
      </c>
      <c r="F440" s="2" t="s">
        <v>8791</v>
      </c>
      <c r="G440" s="1">
        <v>8</v>
      </c>
      <c r="H440" s="1" t="str">
        <f>VLOOKUP(G440,t_entry_status!A:C,2,FALSE)</f>
        <v>PENDING</v>
      </c>
      <c r="I440" s="7">
        <v>45560</v>
      </c>
      <c r="J440" s="1" t="s">
        <v>7449</v>
      </c>
      <c r="K440" s="7">
        <v>45560</v>
      </c>
      <c r="L440" s="1" t="s">
        <v>7449</v>
      </c>
    </row>
    <row r="441" spans="1:12" x14ac:dyDescent="0.25">
      <c r="A441" s="1">
        <v>440</v>
      </c>
      <c r="B441" s="2" t="str">
        <f>_xlfn.CONCAT(C441,"-",VLOOKUP(C441,t_objeto!B:D,3,FALSE),"-",A441)</f>
        <v>RRPP-PERCCO-440</v>
      </c>
      <c r="C441" s="1" t="s">
        <v>7461</v>
      </c>
      <c r="D441" s="1" t="str">
        <f>VLOOKUP(C441,t_objeto!B:C,2,FALSE)</f>
        <v>RESOURCES_POOL</v>
      </c>
      <c r="E441" s="2" t="s">
        <v>8158</v>
      </c>
      <c r="F441" s="2" t="s">
        <v>8792</v>
      </c>
      <c r="G441" s="1">
        <v>8</v>
      </c>
      <c r="H441" s="1" t="str">
        <f>VLOOKUP(G441,t_entry_status!A:C,2,FALSE)</f>
        <v>PENDING</v>
      </c>
      <c r="I441" s="7">
        <v>45560</v>
      </c>
      <c r="J441" s="1" t="s">
        <v>7449</v>
      </c>
      <c r="K441" s="7">
        <v>45560</v>
      </c>
      <c r="L441" s="1" t="s">
        <v>7449</v>
      </c>
    </row>
    <row r="442" spans="1:12" x14ac:dyDescent="0.25">
      <c r="A442" s="1">
        <v>441</v>
      </c>
      <c r="B442" s="2" t="str">
        <f>_xlfn.CONCAT(C442,"-",VLOOKUP(C442,t_objeto!B:D,3,FALSE),"-",A442)</f>
        <v>RRPP-PERCCO-441</v>
      </c>
      <c r="C442" s="1" t="s">
        <v>7461</v>
      </c>
      <c r="D442" s="1" t="str">
        <f>VLOOKUP(C442,t_objeto!B:C,2,FALSE)</f>
        <v>RESOURCES_POOL</v>
      </c>
      <c r="E442" s="2" t="s">
        <v>8159</v>
      </c>
      <c r="F442" s="2" t="s">
        <v>8793</v>
      </c>
      <c r="G442" s="1">
        <v>8</v>
      </c>
      <c r="H442" s="1" t="str">
        <f>VLOOKUP(G442,t_entry_status!A:C,2,FALSE)</f>
        <v>PENDING</v>
      </c>
      <c r="I442" s="7">
        <v>45560</v>
      </c>
      <c r="J442" s="1" t="s">
        <v>7449</v>
      </c>
      <c r="K442" s="7">
        <v>45560</v>
      </c>
      <c r="L442" s="1" t="s">
        <v>7449</v>
      </c>
    </row>
    <row r="443" spans="1:12" x14ac:dyDescent="0.25">
      <c r="A443" s="1">
        <v>442</v>
      </c>
      <c r="B443" s="2" t="str">
        <f>_xlfn.CONCAT(C443,"-",VLOOKUP(C443,t_objeto!B:D,3,FALSE),"-",A443)</f>
        <v>RRPP-PERCCO-442</v>
      </c>
      <c r="C443" s="1" t="s">
        <v>7461</v>
      </c>
      <c r="D443" s="1" t="str">
        <f>VLOOKUP(C443,t_objeto!B:C,2,FALSE)</f>
        <v>RESOURCES_POOL</v>
      </c>
      <c r="E443" s="2" t="s">
        <v>8160</v>
      </c>
      <c r="F443" s="2" t="s">
        <v>8794</v>
      </c>
      <c r="G443" s="1">
        <v>8</v>
      </c>
      <c r="H443" s="1" t="str">
        <f>VLOOKUP(G443,t_entry_status!A:C,2,FALSE)</f>
        <v>PENDING</v>
      </c>
      <c r="I443" s="7">
        <v>45560</v>
      </c>
      <c r="J443" s="1" t="s">
        <v>7449</v>
      </c>
      <c r="K443" s="7">
        <v>45560</v>
      </c>
      <c r="L443" s="1" t="s">
        <v>7449</v>
      </c>
    </row>
    <row r="444" spans="1:12" x14ac:dyDescent="0.25">
      <c r="A444" s="1">
        <v>443</v>
      </c>
      <c r="B444" s="2" t="str">
        <f>_xlfn.CONCAT(C444,"-",VLOOKUP(C444,t_objeto!B:D,3,FALSE),"-",A444)</f>
        <v>RRPP-PERCCO-443</v>
      </c>
      <c r="C444" s="1" t="s">
        <v>7461</v>
      </c>
      <c r="D444" s="1" t="str">
        <f>VLOOKUP(C444,t_objeto!B:C,2,FALSE)</f>
        <v>RESOURCES_POOL</v>
      </c>
      <c r="E444" s="2" t="s">
        <v>8161</v>
      </c>
      <c r="F444" s="2" t="s">
        <v>8795</v>
      </c>
      <c r="G444" s="1">
        <v>8</v>
      </c>
      <c r="H444" s="1" t="str">
        <f>VLOOKUP(G444,t_entry_status!A:C,2,FALSE)</f>
        <v>PENDING</v>
      </c>
      <c r="I444" s="7">
        <v>45560</v>
      </c>
      <c r="J444" s="1" t="s">
        <v>7449</v>
      </c>
      <c r="K444" s="7">
        <v>45560</v>
      </c>
      <c r="L444" s="1" t="s">
        <v>7449</v>
      </c>
    </row>
    <row r="445" spans="1:12" x14ac:dyDescent="0.25">
      <c r="A445" s="1">
        <v>444</v>
      </c>
      <c r="B445" s="2" t="str">
        <f>_xlfn.CONCAT(C445,"-",VLOOKUP(C445,t_objeto!B:D,3,FALSE),"-",A445)</f>
        <v>RRPP-PERCCO-444</v>
      </c>
      <c r="C445" s="1" t="s">
        <v>7461</v>
      </c>
      <c r="D445" s="1" t="str">
        <f>VLOOKUP(C445,t_objeto!B:C,2,FALSE)</f>
        <v>RESOURCES_POOL</v>
      </c>
      <c r="E445" s="2" t="s">
        <v>8162</v>
      </c>
      <c r="F445" s="2" t="s">
        <v>8796</v>
      </c>
      <c r="G445" s="1">
        <v>8</v>
      </c>
      <c r="H445" s="1" t="str">
        <f>VLOOKUP(G445,t_entry_status!A:C,2,FALSE)</f>
        <v>PENDING</v>
      </c>
      <c r="I445" s="7">
        <v>45560</v>
      </c>
      <c r="J445" s="1" t="s">
        <v>7449</v>
      </c>
      <c r="K445" s="7">
        <v>45560</v>
      </c>
      <c r="L445" s="1" t="s">
        <v>7449</v>
      </c>
    </row>
    <row r="446" spans="1:12" x14ac:dyDescent="0.25">
      <c r="A446" s="1">
        <v>445</v>
      </c>
      <c r="B446" s="2" t="str">
        <f>_xlfn.CONCAT(C446,"-",VLOOKUP(C446,t_objeto!B:D,3,FALSE),"-",A446)</f>
        <v>RRPP-PERCCO-445</v>
      </c>
      <c r="C446" s="1" t="s">
        <v>7461</v>
      </c>
      <c r="D446" s="1" t="str">
        <f>VLOOKUP(C446,t_objeto!B:C,2,FALSE)</f>
        <v>RESOURCES_POOL</v>
      </c>
      <c r="E446" s="2" t="s">
        <v>8163</v>
      </c>
      <c r="F446" s="2" t="s">
        <v>8797</v>
      </c>
      <c r="G446" s="1">
        <v>8</v>
      </c>
      <c r="H446" s="1" t="str">
        <f>VLOOKUP(G446,t_entry_status!A:C,2,FALSE)</f>
        <v>PENDING</v>
      </c>
      <c r="I446" s="7">
        <v>45560</v>
      </c>
      <c r="J446" s="1" t="s">
        <v>7449</v>
      </c>
      <c r="K446" s="7">
        <v>45560</v>
      </c>
      <c r="L446" s="1" t="s">
        <v>7449</v>
      </c>
    </row>
    <row r="447" spans="1:12" x14ac:dyDescent="0.25">
      <c r="A447" s="1">
        <v>446</v>
      </c>
      <c r="B447" s="2" t="str">
        <f>_xlfn.CONCAT(C447,"-",VLOOKUP(C447,t_objeto!B:D,3,FALSE),"-",A447)</f>
        <v>RRPP-PERCCO-446</v>
      </c>
      <c r="C447" s="1" t="s">
        <v>7461</v>
      </c>
      <c r="D447" s="1" t="str">
        <f>VLOOKUP(C447,t_objeto!B:C,2,FALSE)</f>
        <v>RESOURCES_POOL</v>
      </c>
      <c r="E447" s="2" t="s">
        <v>8164</v>
      </c>
      <c r="F447" s="2" t="s">
        <v>8798</v>
      </c>
      <c r="G447" s="1">
        <v>8</v>
      </c>
      <c r="H447" s="1" t="str">
        <f>VLOOKUP(G447,t_entry_status!A:C,2,FALSE)</f>
        <v>PENDING</v>
      </c>
      <c r="I447" s="7">
        <v>45560</v>
      </c>
      <c r="J447" s="1" t="s">
        <v>7449</v>
      </c>
      <c r="K447" s="7">
        <v>45560</v>
      </c>
      <c r="L447" s="1" t="s">
        <v>7449</v>
      </c>
    </row>
    <row r="448" spans="1:12" x14ac:dyDescent="0.25">
      <c r="A448" s="1">
        <v>447</v>
      </c>
      <c r="B448" s="2" t="str">
        <f>_xlfn.CONCAT(C448,"-",VLOOKUP(C448,t_objeto!B:D,3,FALSE),"-",A448)</f>
        <v>RRPP-PERCCO-447</v>
      </c>
      <c r="C448" s="1" t="s">
        <v>7461</v>
      </c>
      <c r="D448" s="1" t="str">
        <f>VLOOKUP(C448,t_objeto!B:C,2,FALSE)</f>
        <v>RESOURCES_POOL</v>
      </c>
      <c r="E448" s="2" t="s">
        <v>8165</v>
      </c>
      <c r="F448" s="2" t="s">
        <v>8799</v>
      </c>
      <c r="G448" s="1">
        <v>8</v>
      </c>
      <c r="H448" s="1" t="str">
        <f>VLOOKUP(G448,t_entry_status!A:C,2,FALSE)</f>
        <v>PENDING</v>
      </c>
      <c r="I448" s="7">
        <v>45560</v>
      </c>
      <c r="J448" s="1" t="s">
        <v>7449</v>
      </c>
      <c r="K448" s="7">
        <v>45560</v>
      </c>
      <c r="L448" s="1" t="s">
        <v>7449</v>
      </c>
    </row>
    <row r="449" spans="1:12" x14ac:dyDescent="0.25">
      <c r="A449" s="1">
        <v>448</v>
      </c>
      <c r="B449" s="2" t="str">
        <f>_xlfn.CONCAT(C449,"-",VLOOKUP(C449,t_objeto!B:D,3,FALSE),"-",A449)</f>
        <v>RRPP-PERCCO-448</v>
      </c>
      <c r="C449" s="1" t="s">
        <v>7461</v>
      </c>
      <c r="D449" s="1" t="str">
        <f>VLOOKUP(C449,t_objeto!B:C,2,FALSE)</f>
        <v>RESOURCES_POOL</v>
      </c>
      <c r="E449" s="2" t="s">
        <v>8166</v>
      </c>
      <c r="F449" s="2" t="s">
        <v>8800</v>
      </c>
      <c r="G449" s="1">
        <v>8</v>
      </c>
      <c r="H449" s="1" t="str">
        <f>VLOOKUP(G449,t_entry_status!A:C,2,FALSE)</f>
        <v>PENDING</v>
      </c>
      <c r="I449" s="7">
        <v>45560</v>
      </c>
      <c r="J449" s="1" t="s">
        <v>7449</v>
      </c>
      <c r="K449" s="7">
        <v>45560</v>
      </c>
      <c r="L449" s="1" t="s">
        <v>7449</v>
      </c>
    </row>
    <row r="450" spans="1:12" x14ac:dyDescent="0.25">
      <c r="A450" s="1">
        <v>449</v>
      </c>
      <c r="B450" s="2" t="str">
        <f>_xlfn.CONCAT(C450,"-",VLOOKUP(C450,t_objeto!B:D,3,FALSE),"-",A450)</f>
        <v>RRPP-PERCCO-449</v>
      </c>
      <c r="C450" s="1" t="s">
        <v>7461</v>
      </c>
      <c r="D450" s="1" t="str">
        <f>VLOOKUP(C450,t_objeto!B:C,2,FALSE)</f>
        <v>RESOURCES_POOL</v>
      </c>
      <c r="E450" s="2" t="s">
        <v>8167</v>
      </c>
      <c r="F450" s="2" t="s">
        <v>8801</v>
      </c>
      <c r="G450" s="1">
        <v>8</v>
      </c>
      <c r="H450" s="1" t="str">
        <f>VLOOKUP(G450,t_entry_status!A:C,2,FALSE)</f>
        <v>PENDING</v>
      </c>
      <c r="I450" s="7">
        <v>45560</v>
      </c>
      <c r="J450" s="1" t="s">
        <v>7449</v>
      </c>
      <c r="K450" s="7">
        <v>45560</v>
      </c>
      <c r="L450" s="1" t="s">
        <v>7449</v>
      </c>
    </row>
    <row r="451" spans="1:12" x14ac:dyDescent="0.25">
      <c r="A451" s="1">
        <v>450</v>
      </c>
      <c r="B451" s="2" t="str">
        <f>_xlfn.CONCAT(C451,"-",VLOOKUP(C451,t_objeto!B:D,3,FALSE),"-",A451)</f>
        <v>RRPP-PERCCO-450</v>
      </c>
      <c r="C451" s="1" t="s">
        <v>7461</v>
      </c>
      <c r="D451" s="1" t="str">
        <f>VLOOKUP(C451,t_objeto!B:C,2,FALSE)</f>
        <v>RESOURCES_POOL</v>
      </c>
      <c r="E451" s="2" t="s">
        <v>8168</v>
      </c>
      <c r="F451" s="2" t="s">
        <v>8802</v>
      </c>
      <c r="G451" s="1">
        <v>8</v>
      </c>
      <c r="H451" s="1" t="str">
        <f>VLOOKUP(G451,t_entry_status!A:C,2,FALSE)</f>
        <v>PENDING</v>
      </c>
      <c r="I451" s="7">
        <v>45560</v>
      </c>
      <c r="J451" s="1" t="s">
        <v>7449</v>
      </c>
      <c r="K451" s="7">
        <v>45560</v>
      </c>
      <c r="L451" s="1" t="s">
        <v>7449</v>
      </c>
    </row>
    <row r="452" spans="1:12" x14ac:dyDescent="0.25">
      <c r="A452" s="1">
        <v>451</v>
      </c>
      <c r="B452" s="2" t="str">
        <f>_xlfn.CONCAT(C452,"-",VLOOKUP(C452,t_objeto!B:D,3,FALSE),"-",A452)</f>
        <v>RRPP-PERCCO-451</v>
      </c>
      <c r="C452" s="1" t="s">
        <v>7461</v>
      </c>
      <c r="D452" s="1" t="str">
        <f>VLOOKUP(C452,t_objeto!B:C,2,FALSE)</f>
        <v>RESOURCES_POOL</v>
      </c>
      <c r="E452" s="2" t="s">
        <v>8169</v>
      </c>
      <c r="F452" s="2" t="s">
        <v>8803</v>
      </c>
      <c r="G452" s="1">
        <v>8</v>
      </c>
      <c r="H452" s="1" t="str">
        <f>VLOOKUP(G452,t_entry_status!A:C,2,FALSE)</f>
        <v>PENDING</v>
      </c>
      <c r="I452" s="7">
        <v>45560</v>
      </c>
      <c r="J452" s="1" t="s">
        <v>7449</v>
      </c>
      <c r="K452" s="7">
        <v>45560</v>
      </c>
      <c r="L452" s="1" t="s">
        <v>7449</v>
      </c>
    </row>
    <row r="453" spans="1:12" x14ac:dyDescent="0.25">
      <c r="A453" s="1">
        <v>452</v>
      </c>
      <c r="B453" s="2" t="str">
        <f>_xlfn.CONCAT(C453,"-",VLOOKUP(C453,t_objeto!B:D,3,FALSE),"-",A453)</f>
        <v>RRPP-PERCCO-452</v>
      </c>
      <c r="C453" s="1" t="s">
        <v>7461</v>
      </c>
      <c r="D453" s="1" t="str">
        <f>VLOOKUP(C453,t_objeto!B:C,2,FALSE)</f>
        <v>RESOURCES_POOL</v>
      </c>
      <c r="E453" s="2" t="s">
        <v>8170</v>
      </c>
      <c r="F453" s="2" t="s">
        <v>8804</v>
      </c>
      <c r="G453" s="1">
        <v>8</v>
      </c>
      <c r="H453" s="1" t="str">
        <f>VLOOKUP(G453,t_entry_status!A:C,2,FALSE)</f>
        <v>PENDING</v>
      </c>
      <c r="I453" s="7">
        <v>45560</v>
      </c>
      <c r="J453" s="1" t="s">
        <v>7449</v>
      </c>
      <c r="K453" s="7">
        <v>45560</v>
      </c>
      <c r="L453" s="1" t="s">
        <v>7449</v>
      </c>
    </row>
    <row r="454" spans="1:12" x14ac:dyDescent="0.25">
      <c r="A454" s="1">
        <v>453</v>
      </c>
      <c r="B454" s="2" t="str">
        <f>_xlfn.CONCAT(C454,"-",VLOOKUP(C454,t_objeto!B:D,3,FALSE),"-",A454)</f>
        <v>RRPP-PERCCO-453</v>
      </c>
      <c r="C454" s="1" t="s">
        <v>7461</v>
      </c>
      <c r="D454" s="1" t="str">
        <f>VLOOKUP(C454,t_objeto!B:C,2,FALSE)</f>
        <v>RESOURCES_POOL</v>
      </c>
      <c r="E454" s="2" t="s">
        <v>8171</v>
      </c>
      <c r="F454" s="2" t="s">
        <v>8805</v>
      </c>
      <c r="G454" s="1">
        <v>8</v>
      </c>
      <c r="H454" s="1" t="str">
        <f>VLOOKUP(G454,t_entry_status!A:C,2,FALSE)</f>
        <v>PENDING</v>
      </c>
      <c r="I454" s="7">
        <v>45560</v>
      </c>
      <c r="J454" s="1" t="s">
        <v>7449</v>
      </c>
      <c r="K454" s="7">
        <v>45560</v>
      </c>
      <c r="L454" s="1" t="s">
        <v>7449</v>
      </c>
    </row>
    <row r="455" spans="1:12" x14ac:dyDescent="0.25">
      <c r="A455" s="1">
        <v>454</v>
      </c>
      <c r="B455" s="2" t="str">
        <f>_xlfn.CONCAT(C455,"-",VLOOKUP(C455,t_objeto!B:D,3,FALSE),"-",A455)</f>
        <v>RRPP-PERCCO-454</v>
      </c>
      <c r="C455" s="1" t="s">
        <v>7461</v>
      </c>
      <c r="D455" s="1" t="str">
        <f>VLOOKUP(C455,t_objeto!B:C,2,FALSE)</f>
        <v>RESOURCES_POOL</v>
      </c>
      <c r="E455" s="2" t="s">
        <v>8172</v>
      </c>
      <c r="F455" s="2" t="s">
        <v>8806</v>
      </c>
      <c r="G455" s="1">
        <v>8</v>
      </c>
      <c r="H455" s="1" t="str">
        <f>VLOOKUP(G455,t_entry_status!A:C,2,FALSE)</f>
        <v>PENDING</v>
      </c>
      <c r="I455" s="7">
        <v>45560</v>
      </c>
      <c r="J455" s="1" t="s">
        <v>7449</v>
      </c>
      <c r="K455" s="7">
        <v>45560</v>
      </c>
      <c r="L455" s="1" t="s">
        <v>7449</v>
      </c>
    </row>
    <row r="456" spans="1:12" x14ac:dyDescent="0.25">
      <c r="A456" s="1">
        <v>455</v>
      </c>
      <c r="B456" s="2" t="str">
        <f>_xlfn.CONCAT(C456,"-",VLOOKUP(C456,t_objeto!B:D,3,FALSE),"-",A456)</f>
        <v>RRPP-PERCCO-455</v>
      </c>
      <c r="C456" s="1" t="s">
        <v>7461</v>
      </c>
      <c r="D456" s="1" t="str">
        <f>VLOOKUP(C456,t_objeto!B:C,2,FALSE)</f>
        <v>RESOURCES_POOL</v>
      </c>
      <c r="E456" s="2" t="s">
        <v>8173</v>
      </c>
      <c r="F456" s="2" t="s">
        <v>8807</v>
      </c>
      <c r="G456" s="1">
        <v>8</v>
      </c>
      <c r="H456" s="1" t="str">
        <f>VLOOKUP(G456,t_entry_status!A:C,2,FALSE)</f>
        <v>PENDING</v>
      </c>
      <c r="I456" s="7">
        <v>45560</v>
      </c>
      <c r="J456" s="1" t="s">
        <v>7449</v>
      </c>
      <c r="K456" s="7">
        <v>45560</v>
      </c>
      <c r="L456" s="1" t="s">
        <v>7449</v>
      </c>
    </row>
    <row r="457" spans="1:12" x14ac:dyDescent="0.25">
      <c r="A457" s="1">
        <v>456</v>
      </c>
      <c r="B457" s="2" t="str">
        <f>_xlfn.CONCAT(C457,"-",VLOOKUP(C457,t_objeto!B:D,3,FALSE),"-",A457)</f>
        <v>RRPP-PERCCO-456</v>
      </c>
      <c r="C457" s="1" t="s">
        <v>7461</v>
      </c>
      <c r="D457" s="1" t="str">
        <f>VLOOKUP(C457,t_objeto!B:C,2,FALSE)</f>
        <v>RESOURCES_POOL</v>
      </c>
      <c r="E457" s="2" t="s">
        <v>8174</v>
      </c>
      <c r="F457" s="2" t="s">
        <v>8808</v>
      </c>
      <c r="G457" s="1">
        <v>8</v>
      </c>
      <c r="H457" s="1" t="str">
        <f>VLOOKUP(G457,t_entry_status!A:C,2,FALSE)</f>
        <v>PENDING</v>
      </c>
      <c r="I457" s="7">
        <v>45560</v>
      </c>
      <c r="J457" s="1" t="s">
        <v>7449</v>
      </c>
      <c r="K457" s="7">
        <v>45560</v>
      </c>
      <c r="L457" s="1" t="s">
        <v>7449</v>
      </c>
    </row>
    <row r="458" spans="1:12" x14ac:dyDescent="0.25">
      <c r="A458" s="1">
        <v>457</v>
      </c>
      <c r="B458" s="2" t="str">
        <f>_xlfn.CONCAT(C458,"-",VLOOKUP(C458,t_objeto!B:D,3,FALSE),"-",A458)</f>
        <v>RRPP-PERCCO-457</v>
      </c>
      <c r="C458" s="1" t="s">
        <v>7461</v>
      </c>
      <c r="D458" s="1" t="str">
        <f>VLOOKUP(C458,t_objeto!B:C,2,FALSE)</f>
        <v>RESOURCES_POOL</v>
      </c>
      <c r="E458" s="2" t="s">
        <v>8175</v>
      </c>
      <c r="F458" s="2" t="s">
        <v>8809</v>
      </c>
      <c r="G458" s="1">
        <v>8</v>
      </c>
      <c r="H458" s="1" t="str">
        <f>VLOOKUP(G458,t_entry_status!A:C,2,FALSE)</f>
        <v>PENDING</v>
      </c>
      <c r="I458" s="7">
        <v>45560</v>
      </c>
      <c r="J458" s="1" t="s">
        <v>7449</v>
      </c>
      <c r="K458" s="7">
        <v>45560</v>
      </c>
      <c r="L458" s="1" t="s">
        <v>7449</v>
      </c>
    </row>
    <row r="459" spans="1:12" x14ac:dyDescent="0.25">
      <c r="A459" s="1">
        <v>458</v>
      </c>
      <c r="B459" s="2" t="str">
        <f>_xlfn.CONCAT(C459,"-",VLOOKUP(C459,t_objeto!B:D,3,FALSE),"-",A459)</f>
        <v>RRPP-PERCCO-458</v>
      </c>
      <c r="C459" s="1" t="s">
        <v>7461</v>
      </c>
      <c r="D459" s="1" t="str">
        <f>VLOOKUP(C459,t_objeto!B:C,2,FALSE)</f>
        <v>RESOURCES_POOL</v>
      </c>
      <c r="E459" s="2" t="s">
        <v>8176</v>
      </c>
      <c r="F459" s="2" t="s">
        <v>8810</v>
      </c>
      <c r="G459" s="1">
        <v>8</v>
      </c>
      <c r="H459" s="1" t="str">
        <f>VLOOKUP(G459,t_entry_status!A:C,2,FALSE)</f>
        <v>PENDING</v>
      </c>
      <c r="I459" s="7">
        <v>45560</v>
      </c>
      <c r="J459" s="1" t="s">
        <v>7449</v>
      </c>
      <c r="K459" s="7">
        <v>45560</v>
      </c>
      <c r="L459" s="1" t="s">
        <v>7449</v>
      </c>
    </row>
    <row r="460" spans="1:12" x14ac:dyDescent="0.25">
      <c r="A460" s="1">
        <v>459</v>
      </c>
      <c r="B460" s="2" t="str">
        <f>_xlfn.CONCAT(C460,"-",VLOOKUP(C460,t_objeto!B:D,3,FALSE),"-",A460)</f>
        <v>RRPP-PERCCO-459</v>
      </c>
      <c r="C460" s="1" t="s">
        <v>7461</v>
      </c>
      <c r="D460" s="1" t="str">
        <f>VLOOKUP(C460,t_objeto!B:C,2,FALSE)</f>
        <v>RESOURCES_POOL</v>
      </c>
      <c r="E460" s="2" t="s">
        <v>8177</v>
      </c>
      <c r="F460" s="2" t="s">
        <v>8811</v>
      </c>
      <c r="G460" s="1">
        <v>8</v>
      </c>
      <c r="H460" s="1" t="str">
        <f>VLOOKUP(G460,t_entry_status!A:C,2,FALSE)</f>
        <v>PENDING</v>
      </c>
      <c r="I460" s="7">
        <v>45560</v>
      </c>
      <c r="J460" s="1" t="s">
        <v>7449</v>
      </c>
      <c r="K460" s="7">
        <v>45560</v>
      </c>
      <c r="L460" s="1" t="s">
        <v>7449</v>
      </c>
    </row>
    <row r="461" spans="1:12" x14ac:dyDescent="0.25">
      <c r="A461" s="1">
        <v>460</v>
      </c>
      <c r="B461" s="2" t="str">
        <f>_xlfn.CONCAT(C461,"-",VLOOKUP(C461,t_objeto!B:D,3,FALSE),"-",A461)</f>
        <v>RRPP-PERCCO-460</v>
      </c>
      <c r="C461" s="1" t="s">
        <v>7461</v>
      </c>
      <c r="D461" s="1" t="str">
        <f>VLOOKUP(C461,t_objeto!B:C,2,FALSE)</f>
        <v>RESOURCES_POOL</v>
      </c>
      <c r="E461" s="2" t="s">
        <v>8178</v>
      </c>
      <c r="F461" s="2" t="s">
        <v>8812</v>
      </c>
      <c r="G461" s="1">
        <v>8</v>
      </c>
      <c r="H461" s="1" t="str">
        <f>VLOOKUP(G461,t_entry_status!A:C,2,FALSE)</f>
        <v>PENDING</v>
      </c>
      <c r="I461" s="7">
        <v>45560</v>
      </c>
      <c r="J461" s="1" t="s">
        <v>7449</v>
      </c>
      <c r="K461" s="7">
        <v>45560</v>
      </c>
      <c r="L461" s="1" t="s">
        <v>7449</v>
      </c>
    </row>
    <row r="462" spans="1:12" x14ac:dyDescent="0.25">
      <c r="A462" s="1">
        <v>461</v>
      </c>
      <c r="B462" s="2" t="str">
        <f>_xlfn.CONCAT(C462,"-",VLOOKUP(C462,t_objeto!B:D,3,FALSE),"-",A462)</f>
        <v>RRPP-PERCCO-461</v>
      </c>
      <c r="C462" s="1" t="s">
        <v>7461</v>
      </c>
      <c r="D462" s="1" t="str">
        <f>VLOOKUP(C462,t_objeto!B:C,2,FALSE)</f>
        <v>RESOURCES_POOL</v>
      </c>
      <c r="E462" s="2" t="s">
        <v>8179</v>
      </c>
      <c r="F462" s="2" t="s">
        <v>8813</v>
      </c>
      <c r="G462" s="1">
        <v>8</v>
      </c>
      <c r="H462" s="1" t="str">
        <f>VLOOKUP(G462,t_entry_status!A:C,2,FALSE)</f>
        <v>PENDING</v>
      </c>
      <c r="I462" s="7">
        <v>45560</v>
      </c>
      <c r="J462" s="1" t="s">
        <v>7449</v>
      </c>
      <c r="K462" s="7">
        <v>45560</v>
      </c>
      <c r="L462" s="1" t="s">
        <v>7449</v>
      </c>
    </row>
    <row r="463" spans="1:12" x14ac:dyDescent="0.25">
      <c r="A463" s="1">
        <v>462</v>
      </c>
      <c r="B463" s="2" t="str">
        <f>_xlfn.CONCAT(C463,"-",VLOOKUP(C463,t_objeto!B:D,3,FALSE),"-",A463)</f>
        <v>RRPP-PERCCO-462</v>
      </c>
      <c r="C463" s="1" t="s">
        <v>7461</v>
      </c>
      <c r="D463" s="1" t="str">
        <f>VLOOKUP(C463,t_objeto!B:C,2,FALSE)</f>
        <v>RESOURCES_POOL</v>
      </c>
      <c r="E463" s="2" t="s">
        <v>8180</v>
      </c>
      <c r="F463" s="2" t="s">
        <v>8814</v>
      </c>
      <c r="G463" s="1">
        <v>8</v>
      </c>
      <c r="H463" s="1" t="str">
        <f>VLOOKUP(G463,t_entry_status!A:C,2,FALSE)</f>
        <v>PENDING</v>
      </c>
      <c r="I463" s="7">
        <v>45560</v>
      </c>
      <c r="J463" s="1" t="s">
        <v>7449</v>
      </c>
      <c r="K463" s="7">
        <v>45560</v>
      </c>
      <c r="L463" s="1" t="s">
        <v>7449</v>
      </c>
    </row>
    <row r="464" spans="1:12" x14ac:dyDescent="0.25">
      <c r="A464" s="1">
        <v>463</v>
      </c>
      <c r="B464" s="2" t="str">
        <f>_xlfn.CONCAT(C464,"-",VLOOKUP(C464,t_objeto!B:D,3,FALSE),"-",A464)</f>
        <v>RRPP-PERCCO-463</v>
      </c>
      <c r="C464" s="1" t="s">
        <v>7461</v>
      </c>
      <c r="D464" s="1" t="str">
        <f>VLOOKUP(C464,t_objeto!B:C,2,FALSE)</f>
        <v>RESOURCES_POOL</v>
      </c>
      <c r="E464" s="2" t="s">
        <v>8181</v>
      </c>
      <c r="F464" s="2" t="s">
        <v>8815</v>
      </c>
      <c r="G464" s="1">
        <v>8</v>
      </c>
      <c r="H464" s="1" t="str">
        <f>VLOOKUP(G464,t_entry_status!A:C,2,FALSE)</f>
        <v>PENDING</v>
      </c>
      <c r="I464" s="7">
        <v>45560</v>
      </c>
      <c r="J464" s="1" t="s">
        <v>7449</v>
      </c>
      <c r="K464" s="7">
        <v>45560</v>
      </c>
      <c r="L464" s="1" t="s">
        <v>7449</v>
      </c>
    </row>
    <row r="465" spans="1:12" x14ac:dyDescent="0.25">
      <c r="A465" s="1">
        <v>464</v>
      </c>
      <c r="B465" s="2" t="str">
        <f>_xlfn.CONCAT(C465,"-",VLOOKUP(C465,t_objeto!B:D,3,FALSE),"-",A465)</f>
        <v>RRPP-PERCCO-464</v>
      </c>
      <c r="C465" s="1" t="s">
        <v>7461</v>
      </c>
      <c r="D465" s="1" t="str">
        <f>VLOOKUP(C465,t_objeto!B:C,2,FALSE)</f>
        <v>RESOURCES_POOL</v>
      </c>
      <c r="E465" s="2" t="s">
        <v>8182</v>
      </c>
      <c r="F465" s="2" t="s">
        <v>8816</v>
      </c>
      <c r="G465" s="1">
        <v>8</v>
      </c>
      <c r="H465" s="1" t="str">
        <f>VLOOKUP(G465,t_entry_status!A:C,2,FALSE)</f>
        <v>PENDING</v>
      </c>
      <c r="I465" s="7">
        <v>45560</v>
      </c>
      <c r="J465" s="1" t="s">
        <v>7449</v>
      </c>
      <c r="K465" s="7">
        <v>45560</v>
      </c>
      <c r="L465" s="1" t="s">
        <v>7449</v>
      </c>
    </row>
    <row r="466" spans="1:12" x14ac:dyDescent="0.25">
      <c r="A466" s="1">
        <v>465</v>
      </c>
      <c r="B466" s="2" t="str">
        <f>_xlfn.CONCAT(C466,"-",VLOOKUP(C466,t_objeto!B:D,3,FALSE),"-",A466)</f>
        <v>RRPP-PERCCO-465</v>
      </c>
      <c r="C466" s="1" t="s">
        <v>7461</v>
      </c>
      <c r="D466" s="1" t="str">
        <f>VLOOKUP(C466,t_objeto!B:C,2,FALSE)</f>
        <v>RESOURCES_POOL</v>
      </c>
      <c r="E466" s="2" t="s">
        <v>8183</v>
      </c>
      <c r="F466" s="2" t="s">
        <v>8817</v>
      </c>
      <c r="G466" s="1">
        <v>8</v>
      </c>
      <c r="H466" s="1" t="str">
        <f>VLOOKUP(G466,t_entry_status!A:C,2,FALSE)</f>
        <v>PENDING</v>
      </c>
      <c r="I466" s="7">
        <v>45560</v>
      </c>
      <c r="J466" s="1" t="s">
        <v>7449</v>
      </c>
      <c r="K466" s="7">
        <v>45560</v>
      </c>
      <c r="L466" s="1" t="s">
        <v>7449</v>
      </c>
    </row>
    <row r="467" spans="1:12" x14ac:dyDescent="0.25">
      <c r="A467" s="1">
        <v>466</v>
      </c>
      <c r="B467" s="2" t="str">
        <f>_xlfn.CONCAT(C467,"-",VLOOKUP(C467,t_objeto!B:D,3,FALSE),"-",A467)</f>
        <v>RRPP-PERCCO-466</v>
      </c>
      <c r="C467" s="1" t="s">
        <v>7461</v>
      </c>
      <c r="D467" s="1" t="str">
        <f>VLOOKUP(C467,t_objeto!B:C,2,FALSE)</f>
        <v>RESOURCES_POOL</v>
      </c>
      <c r="E467" s="2" t="s">
        <v>8184</v>
      </c>
      <c r="F467" s="2" t="s">
        <v>8818</v>
      </c>
      <c r="G467" s="1">
        <v>8</v>
      </c>
      <c r="H467" s="1" t="str">
        <f>VLOOKUP(G467,t_entry_status!A:C,2,FALSE)</f>
        <v>PENDING</v>
      </c>
      <c r="I467" s="7">
        <v>45560</v>
      </c>
      <c r="J467" s="1" t="s">
        <v>7449</v>
      </c>
      <c r="K467" s="7">
        <v>45560</v>
      </c>
      <c r="L467" s="1" t="s">
        <v>7449</v>
      </c>
    </row>
    <row r="468" spans="1:12" x14ac:dyDescent="0.25">
      <c r="A468" s="1">
        <v>467</v>
      </c>
      <c r="B468" s="2" t="str">
        <f>_xlfn.CONCAT(C468,"-",VLOOKUP(C468,t_objeto!B:D,3,FALSE),"-",A468)</f>
        <v>RRPP-PERCCO-467</v>
      </c>
      <c r="C468" s="1" t="s">
        <v>7461</v>
      </c>
      <c r="D468" s="1" t="str">
        <f>VLOOKUP(C468,t_objeto!B:C,2,FALSE)</f>
        <v>RESOURCES_POOL</v>
      </c>
      <c r="E468" s="2" t="s">
        <v>8185</v>
      </c>
      <c r="F468" s="2" t="s">
        <v>8819</v>
      </c>
      <c r="G468" s="1">
        <v>8</v>
      </c>
      <c r="H468" s="1" t="str">
        <f>VLOOKUP(G468,t_entry_status!A:C,2,FALSE)</f>
        <v>PENDING</v>
      </c>
      <c r="I468" s="7">
        <v>45560</v>
      </c>
      <c r="J468" s="1" t="s">
        <v>7449</v>
      </c>
      <c r="K468" s="7">
        <v>45560</v>
      </c>
      <c r="L468" s="1" t="s">
        <v>7449</v>
      </c>
    </row>
    <row r="469" spans="1:12" x14ac:dyDescent="0.25">
      <c r="A469" s="1">
        <v>468</v>
      </c>
      <c r="B469" s="2" t="str">
        <f>_xlfn.CONCAT(C469,"-",VLOOKUP(C469,t_objeto!B:D,3,FALSE),"-",A469)</f>
        <v>RRPP-PERCCO-468</v>
      </c>
      <c r="C469" s="1" t="s">
        <v>7461</v>
      </c>
      <c r="D469" s="1" t="str">
        <f>VLOOKUP(C469,t_objeto!B:C,2,FALSE)</f>
        <v>RESOURCES_POOL</v>
      </c>
      <c r="E469" s="2" t="s">
        <v>8186</v>
      </c>
      <c r="F469" s="2" t="s">
        <v>8820</v>
      </c>
      <c r="G469" s="1">
        <v>8</v>
      </c>
      <c r="H469" s="1" t="str">
        <f>VLOOKUP(G469,t_entry_status!A:C,2,FALSE)</f>
        <v>PENDING</v>
      </c>
      <c r="I469" s="7">
        <v>45560</v>
      </c>
      <c r="J469" s="1" t="s">
        <v>7449</v>
      </c>
      <c r="K469" s="7">
        <v>45560</v>
      </c>
      <c r="L469" s="1" t="s">
        <v>7449</v>
      </c>
    </row>
    <row r="470" spans="1:12" x14ac:dyDescent="0.25">
      <c r="A470" s="1">
        <v>469</v>
      </c>
      <c r="B470" s="2" t="str">
        <f>_xlfn.CONCAT(C470,"-",VLOOKUP(C470,t_objeto!B:D,3,FALSE),"-",A470)</f>
        <v>RRPP-PERCCO-469</v>
      </c>
      <c r="C470" s="1" t="s">
        <v>7461</v>
      </c>
      <c r="D470" s="1" t="str">
        <f>VLOOKUP(C470,t_objeto!B:C,2,FALSE)</f>
        <v>RESOURCES_POOL</v>
      </c>
      <c r="E470" s="2" t="s">
        <v>8187</v>
      </c>
      <c r="F470" s="2" t="s">
        <v>8821</v>
      </c>
      <c r="G470" s="1">
        <v>8</v>
      </c>
      <c r="H470" s="1" t="str">
        <f>VLOOKUP(G470,t_entry_status!A:C,2,FALSE)</f>
        <v>PENDING</v>
      </c>
      <c r="I470" s="7">
        <v>45560</v>
      </c>
      <c r="J470" s="1" t="s">
        <v>7449</v>
      </c>
      <c r="K470" s="7">
        <v>45560</v>
      </c>
      <c r="L470" s="1" t="s">
        <v>7449</v>
      </c>
    </row>
    <row r="471" spans="1:12" x14ac:dyDescent="0.25">
      <c r="A471" s="1">
        <v>470</v>
      </c>
      <c r="B471" s="2" t="str">
        <f>_xlfn.CONCAT(C471,"-",VLOOKUP(C471,t_objeto!B:D,3,FALSE),"-",A471)</f>
        <v>RRPP-PERCCO-470</v>
      </c>
      <c r="C471" s="1" t="s">
        <v>7461</v>
      </c>
      <c r="D471" s="1" t="str">
        <f>VLOOKUP(C471,t_objeto!B:C,2,FALSE)</f>
        <v>RESOURCES_POOL</v>
      </c>
      <c r="E471" s="2" t="s">
        <v>8188</v>
      </c>
      <c r="F471" s="2" t="s">
        <v>8822</v>
      </c>
      <c r="G471" s="1">
        <v>8</v>
      </c>
      <c r="H471" s="1" t="str">
        <f>VLOOKUP(G471,t_entry_status!A:C,2,FALSE)</f>
        <v>PENDING</v>
      </c>
      <c r="I471" s="7">
        <v>45560</v>
      </c>
      <c r="J471" s="1" t="s">
        <v>7449</v>
      </c>
      <c r="K471" s="7">
        <v>45560</v>
      </c>
      <c r="L471" s="1" t="s">
        <v>7449</v>
      </c>
    </row>
    <row r="472" spans="1:12" x14ac:dyDescent="0.25">
      <c r="A472" s="1">
        <v>471</v>
      </c>
      <c r="B472" s="2" t="str">
        <f>_xlfn.CONCAT(C472,"-",VLOOKUP(C472,t_objeto!B:D,3,FALSE),"-",A472)</f>
        <v>RRPP-PERCCO-471</v>
      </c>
      <c r="C472" s="1" t="s">
        <v>7461</v>
      </c>
      <c r="D472" s="1" t="str">
        <f>VLOOKUP(C472,t_objeto!B:C,2,FALSE)</f>
        <v>RESOURCES_POOL</v>
      </c>
      <c r="E472" s="2" t="s">
        <v>8189</v>
      </c>
      <c r="F472" s="2" t="s">
        <v>8823</v>
      </c>
      <c r="G472" s="1">
        <v>8</v>
      </c>
      <c r="H472" s="1" t="str">
        <f>VLOOKUP(G472,t_entry_status!A:C,2,FALSE)</f>
        <v>PENDING</v>
      </c>
      <c r="I472" s="7">
        <v>45560</v>
      </c>
      <c r="J472" s="1" t="s">
        <v>7449</v>
      </c>
      <c r="K472" s="7">
        <v>45560</v>
      </c>
      <c r="L472" s="1" t="s">
        <v>7449</v>
      </c>
    </row>
    <row r="473" spans="1:12" x14ac:dyDescent="0.25">
      <c r="A473" s="1">
        <v>472</v>
      </c>
      <c r="B473" s="2" t="str">
        <f>_xlfn.CONCAT(C473,"-",VLOOKUP(C473,t_objeto!B:D,3,FALSE),"-",A473)</f>
        <v>RRPP-PERCCO-472</v>
      </c>
      <c r="C473" s="1" t="s">
        <v>7461</v>
      </c>
      <c r="D473" s="1" t="str">
        <f>VLOOKUP(C473,t_objeto!B:C,2,FALSE)</f>
        <v>RESOURCES_POOL</v>
      </c>
      <c r="E473" s="2" t="s">
        <v>8190</v>
      </c>
      <c r="F473" s="2" t="s">
        <v>8824</v>
      </c>
      <c r="G473" s="1">
        <v>8</v>
      </c>
      <c r="H473" s="1" t="str">
        <f>VLOOKUP(G473,t_entry_status!A:C,2,FALSE)</f>
        <v>PENDING</v>
      </c>
      <c r="I473" s="7">
        <v>45560</v>
      </c>
      <c r="J473" s="1" t="s">
        <v>7449</v>
      </c>
      <c r="K473" s="7">
        <v>45560</v>
      </c>
      <c r="L473" s="1" t="s">
        <v>7449</v>
      </c>
    </row>
    <row r="474" spans="1:12" x14ac:dyDescent="0.25">
      <c r="A474" s="1">
        <v>473</v>
      </c>
      <c r="B474" s="2" t="str">
        <f>_xlfn.CONCAT(C474,"-",VLOOKUP(C474,t_objeto!B:D,3,FALSE),"-",A474)</f>
        <v>RRPP-PERCCO-473</v>
      </c>
      <c r="C474" s="1" t="s">
        <v>7461</v>
      </c>
      <c r="D474" s="1" t="str">
        <f>VLOOKUP(C474,t_objeto!B:C,2,FALSE)</f>
        <v>RESOURCES_POOL</v>
      </c>
      <c r="E474" s="2" t="s">
        <v>8191</v>
      </c>
      <c r="F474" s="2" t="s">
        <v>8825</v>
      </c>
      <c r="G474" s="1">
        <v>8</v>
      </c>
      <c r="H474" s="1" t="str">
        <f>VLOOKUP(G474,t_entry_status!A:C,2,FALSE)</f>
        <v>PENDING</v>
      </c>
      <c r="I474" s="7">
        <v>45560</v>
      </c>
      <c r="J474" s="1" t="s">
        <v>7449</v>
      </c>
      <c r="K474" s="7">
        <v>45560</v>
      </c>
      <c r="L474" s="1" t="s">
        <v>7449</v>
      </c>
    </row>
    <row r="475" spans="1:12" x14ac:dyDescent="0.25">
      <c r="A475" s="1">
        <v>474</v>
      </c>
      <c r="B475" s="2" t="str">
        <f>_xlfn.CONCAT(C475,"-",VLOOKUP(C475,t_objeto!B:D,3,FALSE),"-",A475)</f>
        <v>RRPP-PERCCO-474</v>
      </c>
      <c r="C475" s="1" t="s">
        <v>7461</v>
      </c>
      <c r="D475" s="1" t="str">
        <f>VLOOKUP(C475,t_objeto!B:C,2,FALSE)</f>
        <v>RESOURCES_POOL</v>
      </c>
      <c r="E475" s="2" t="s">
        <v>8192</v>
      </c>
      <c r="F475" s="2" t="s">
        <v>8826</v>
      </c>
      <c r="G475" s="1">
        <v>8</v>
      </c>
      <c r="H475" s="1" t="str">
        <f>VLOOKUP(G475,t_entry_status!A:C,2,FALSE)</f>
        <v>PENDING</v>
      </c>
      <c r="I475" s="7">
        <v>45560</v>
      </c>
      <c r="J475" s="1" t="s">
        <v>7449</v>
      </c>
      <c r="K475" s="7">
        <v>45560</v>
      </c>
      <c r="L475" s="1" t="s">
        <v>7449</v>
      </c>
    </row>
    <row r="476" spans="1:12" x14ac:dyDescent="0.25">
      <c r="A476" s="1">
        <v>475</v>
      </c>
      <c r="B476" s="2" t="str">
        <f>_xlfn.CONCAT(C476,"-",VLOOKUP(C476,t_objeto!B:D,3,FALSE),"-",A476)</f>
        <v>RRPP-PERCCO-475</v>
      </c>
      <c r="C476" s="1" t="s">
        <v>7461</v>
      </c>
      <c r="D476" s="1" t="str">
        <f>VLOOKUP(C476,t_objeto!B:C,2,FALSE)</f>
        <v>RESOURCES_POOL</v>
      </c>
      <c r="E476" s="2" t="s">
        <v>8193</v>
      </c>
      <c r="F476" s="2" t="s">
        <v>8827</v>
      </c>
      <c r="G476" s="1">
        <v>8</v>
      </c>
      <c r="H476" s="1" t="str">
        <f>VLOOKUP(G476,t_entry_status!A:C,2,FALSE)</f>
        <v>PENDING</v>
      </c>
      <c r="I476" s="7">
        <v>45560</v>
      </c>
      <c r="J476" s="1" t="s">
        <v>7449</v>
      </c>
      <c r="K476" s="7">
        <v>45560</v>
      </c>
      <c r="L476" s="1" t="s">
        <v>7449</v>
      </c>
    </row>
    <row r="477" spans="1:12" x14ac:dyDescent="0.25">
      <c r="A477" s="1">
        <v>476</v>
      </c>
      <c r="B477" s="2" t="str">
        <f>_xlfn.CONCAT(C477,"-",VLOOKUP(C477,t_objeto!B:D,3,FALSE),"-",A477)</f>
        <v>RRPP-PERCCO-476</v>
      </c>
      <c r="C477" s="1" t="s">
        <v>7461</v>
      </c>
      <c r="D477" s="1" t="str">
        <f>VLOOKUP(C477,t_objeto!B:C,2,FALSE)</f>
        <v>RESOURCES_POOL</v>
      </c>
      <c r="E477" s="2" t="s">
        <v>8194</v>
      </c>
      <c r="F477" s="2" t="s">
        <v>8828</v>
      </c>
      <c r="G477" s="1">
        <v>8</v>
      </c>
      <c r="H477" s="1" t="str">
        <f>VLOOKUP(G477,t_entry_status!A:C,2,FALSE)</f>
        <v>PENDING</v>
      </c>
      <c r="I477" s="7">
        <v>45560</v>
      </c>
      <c r="J477" s="1" t="s">
        <v>7449</v>
      </c>
      <c r="K477" s="7">
        <v>45560</v>
      </c>
      <c r="L477" s="1" t="s">
        <v>7449</v>
      </c>
    </row>
    <row r="478" spans="1:12" x14ac:dyDescent="0.25">
      <c r="A478" s="1">
        <v>477</v>
      </c>
      <c r="B478" s="2" t="str">
        <f>_xlfn.CONCAT(C478,"-",VLOOKUP(C478,t_objeto!B:D,3,FALSE),"-",A478)</f>
        <v>RRPP-PERCCO-477</v>
      </c>
      <c r="C478" s="1" t="s">
        <v>7461</v>
      </c>
      <c r="D478" s="1" t="str">
        <f>VLOOKUP(C478,t_objeto!B:C,2,FALSE)</f>
        <v>RESOURCES_POOL</v>
      </c>
      <c r="E478" s="2" t="s">
        <v>8195</v>
      </c>
      <c r="F478" s="2" t="s">
        <v>8829</v>
      </c>
      <c r="G478" s="1">
        <v>8</v>
      </c>
      <c r="H478" s="1" t="str">
        <f>VLOOKUP(G478,t_entry_status!A:C,2,FALSE)</f>
        <v>PENDING</v>
      </c>
      <c r="I478" s="7">
        <v>45560</v>
      </c>
      <c r="J478" s="1" t="s">
        <v>7449</v>
      </c>
      <c r="K478" s="7">
        <v>45560</v>
      </c>
      <c r="L478" s="1" t="s">
        <v>7449</v>
      </c>
    </row>
    <row r="479" spans="1:12" x14ac:dyDescent="0.25">
      <c r="A479" s="1">
        <v>478</v>
      </c>
      <c r="B479" s="2" t="str">
        <f>_xlfn.CONCAT(C479,"-",VLOOKUP(C479,t_objeto!B:D,3,FALSE),"-",A479)</f>
        <v>RRPP-PERCCO-478</v>
      </c>
      <c r="C479" s="1" t="s">
        <v>7461</v>
      </c>
      <c r="D479" s="1" t="str">
        <f>VLOOKUP(C479,t_objeto!B:C,2,FALSE)</f>
        <v>RESOURCES_POOL</v>
      </c>
      <c r="E479" s="2" t="s">
        <v>8196</v>
      </c>
      <c r="F479" s="2" t="s">
        <v>8830</v>
      </c>
      <c r="G479" s="1">
        <v>8</v>
      </c>
      <c r="H479" s="1" t="str">
        <f>VLOOKUP(G479,t_entry_status!A:C,2,FALSE)</f>
        <v>PENDING</v>
      </c>
      <c r="I479" s="7">
        <v>45560</v>
      </c>
      <c r="J479" s="1" t="s">
        <v>7449</v>
      </c>
      <c r="K479" s="7">
        <v>45560</v>
      </c>
      <c r="L479" s="1" t="s">
        <v>7449</v>
      </c>
    </row>
    <row r="480" spans="1:12" x14ac:dyDescent="0.25">
      <c r="A480" s="1">
        <v>479</v>
      </c>
      <c r="B480" s="2" t="str">
        <f>_xlfn.CONCAT(C480,"-",VLOOKUP(C480,t_objeto!B:D,3,FALSE),"-",A480)</f>
        <v>RRPP-PERCCO-479</v>
      </c>
      <c r="C480" s="1" t="s">
        <v>7461</v>
      </c>
      <c r="D480" s="1" t="str">
        <f>VLOOKUP(C480,t_objeto!B:C,2,FALSE)</f>
        <v>RESOURCES_POOL</v>
      </c>
      <c r="E480" s="2" t="s">
        <v>8197</v>
      </c>
      <c r="F480" s="2" t="s">
        <v>8831</v>
      </c>
      <c r="G480" s="1">
        <v>8</v>
      </c>
      <c r="H480" s="1" t="str">
        <f>VLOOKUP(G480,t_entry_status!A:C,2,FALSE)</f>
        <v>PENDING</v>
      </c>
      <c r="I480" s="7">
        <v>45560</v>
      </c>
      <c r="J480" s="1" t="s">
        <v>7449</v>
      </c>
      <c r="K480" s="7">
        <v>45560</v>
      </c>
      <c r="L480" s="1" t="s">
        <v>7449</v>
      </c>
    </row>
    <row r="481" spans="1:12" x14ac:dyDescent="0.25">
      <c r="A481" s="1">
        <v>480</v>
      </c>
      <c r="B481" s="2" t="str">
        <f>_xlfn.CONCAT(C481,"-",VLOOKUP(C481,t_objeto!B:D,3,FALSE),"-",A481)</f>
        <v>RRPP-PERCCO-480</v>
      </c>
      <c r="C481" s="1" t="s">
        <v>7461</v>
      </c>
      <c r="D481" s="1" t="str">
        <f>VLOOKUP(C481,t_objeto!B:C,2,FALSE)</f>
        <v>RESOURCES_POOL</v>
      </c>
      <c r="E481" s="2" t="s">
        <v>8198</v>
      </c>
      <c r="F481" s="2" t="s">
        <v>8832</v>
      </c>
      <c r="G481" s="1">
        <v>8</v>
      </c>
      <c r="H481" s="1" t="str">
        <f>VLOOKUP(G481,t_entry_status!A:C,2,FALSE)</f>
        <v>PENDING</v>
      </c>
      <c r="I481" s="7">
        <v>45560</v>
      </c>
      <c r="J481" s="1" t="s">
        <v>7449</v>
      </c>
      <c r="K481" s="7">
        <v>45560</v>
      </c>
      <c r="L481" s="1" t="s">
        <v>7449</v>
      </c>
    </row>
    <row r="482" spans="1:12" x14ac:dyDescent="0.25">
      <c r="A482" s="1">
        <v>481</v>
      </c>
      <c r="B482" s="2" t="str">
        <f>_xlfn.CONCAT(C482,"-",VLOOKUP(C482,t_objeto!B:D,3,FALSE),"-",A482)</f>
        <v>RRPP-PERCCO-481</v>
      </c>
      <c r="C482" s="1" t="s">
        <v>7461</v>
      </c>
      <c r="D482" s="1" t="str">
        <f>VLOOKUP(C482,t_objeto!B:C,2,FALSE)</f>
        <v>RESOURCES_POOL</v>
      </c>
      <c r="E482" s="2" t="s">
        <v>8199</v>
      </c>
      <c r="F482" s="2" t="s">
        <v>8833</v>
      </c>
      <c r="G482" s="1">
        <v>8</v>
      </c>
      <c r="H482" s="1" t="str">
        <f>VLOOKUP(G482,t_entry_status!A:C,2,FALSE)</f>
        <v>PENDING</v>
      </c>
      <c r="I482" s="7">
        <v>45560</v>
      </c>
      <c r="J482" s="1" t="s">
        <v>7449</v>
      </c>
      <c r="K482" s="7">
        <v>45560</v>
      </c>
      <c r="L482" s="1" t="s">
        <v>7449</v>
      </c>
    </row>
    <row r="483" spans="1:12" x14ac:dyDescent="0.25">
      <c r="A483" s="1">
        <v>482</v>
      </c>
      <c r="B483" s="2" t="str">
        <f>_xlfn.CONCAT(C483,"-",VLOOKUP(C483,t_objeto!B:D,3,FALSE),"-",A483)</f>
        <v>RRPP-PERCCO-482</v>
      </c>
      <c r="C483" s="1" t="s">
        <v>7461</v>
      </c>
      <c r="D483" s="1" t="str">
        <f>VLOOKUP(C483,t_objeto!B:C,2,FALSE)</f>
        <v>RESOURCES_POOL</v>
      </c>
      <c r="E483" s="2" t="s">
        <v>8200</v>
      </c>
      <c r="F483" s="2" t="s">
        <v>8834</v>
      </c>
      <c r="G483" s="1">
        <v>8</v>
      </c>
      <c r="H483" s="1" t="str">
        <f>VLOOKUP(G483,t_entry_status!A:C,2,FALSE)</f>
        <v>PENDING</v>
      </c>
      <c r="I483" s="7">
        <v>45560</v>
      </c>
      <c r="J483" s="1" t="s">
        <v>7449</v>
      </c>
      <c r="K483" s="7">
        <v>45560</v>
      </c>
      <c r="L483" s="1" t="s">
        <v>7449</v>
      </c>
    </row>
    <row r="484" spans="1:12" x14ac:dyDescent="0.25">
      <c r="A484" s="1">
        <v>483</v>
      </c>
      <c r="B484" s="2" t="str">
        <f>_xlfn.CONCAT(C484,"-",VLOOKUP(C484,t_objeto!B:D,3,FALSE),"-",A484)</f>
        <v>RRPP-PERCCO-483</v>
      </c>
      <c r="C484" s="1" t="s">
        <v>7461</v>
      </c>
      <c r="D484" s="1" t="str">
        <f>VLOOKUP(C484,t_objeto!B:C,2,FALSE)</f>
        <v>RESOURCES_POOL</v>
      </c>
      <c r="E484" s="2" t="s">
        <v>8201</v>
      </c>
      <c r="F484" s="2" t="s">
        <v>8835</v>
      </c>
      <c r="G484" s="1">
        <v>8</v>
      </c>
      <c r="H484" s="1" t="str">
        <f>VLOOKUP(G484,t_entry_status!A:C,2,FALSE)</f>
        <v>PENDING</v>
      </c>
      <c r="I484" s="7">
        <v>45560</v>
      </c>
      <c r="J484" s="1" t="s">
        <v>7449</v>
      </c>
      <c r="K484" s="7">
        <v>45560</v>
      </c>
      <c r="L484" s="1" t="s">
        <v>7449</v>
      </c>
    </row>
    <row r="485" spans="1:12" x14ac:dyDescent="0.25">
      <c r="A485" s="1">
        <v>484</v>
      </c>
      <c r="B485" s="2" t="str">
        <f>_xlfn.CONCAT(C485,"-",VLOOKUP(C485,t_objeto!B:D,3,FALSE),"-",A485)</f>
        <v>RRPP-PERCCO-484</v>
      </c>
      <c r="C485" s="1" t="s">
        <v>7461</v>
      </c>
      <c r="D485" s="1" t="str">
        <f>VLOOKUP(C485,t_objeto!B:C,2,FALSE)</f>
        <v>RESOURCES_POOL</v>
      </c>
      <c r="E485" s="2" t="s">
        <v>8202</v>
      </c>
      <c r="F485" s="2" t="s">
        <v>8836</v>
      </c>
      <c r="G485" s="1">
        <v>8</v>
      </c>
      <c r="H485" s="1" t="str">
        <f>VLOOKUP(G485,t_entry_status!A:C,2,FALSE)</f>
        <v>PENDING</v>
      </c>
      <c r="I485" s="7">
        <v>45560</v>
      </c>
      <c r="J485" s="1" t="s">
        <v>7449</v>
      </c>
      <c r="K485" s="7">
        <v>45560</v>
      </c>
      <c r="L485" s="1" t="s">
        <v>7449</v>
      </c>
    </row>
    <row r="486" spans="1:12" x14ac:dyDescent="0.25">
      <c r="A486" s="1">
        <v>485</v>
      </c>
      <c r="B486" s="2" t="str">
        <f>_xlfn.CONCAT(C486,"-",VLOOKUP(C486,t_objeto!B:D,3,FALSE),"-",A486)</f>
        <v>RRPP-PERCCO-485</v>
      </c>
      <c r="C486" s="1" t="s">
        <v>7461</v>
      </c>
      <c r="D486" s="1" t="str">
        <f>VLOOKUP(C486,t_objeto!B:C,2,FALSE)</f>
        <v>RESOURCES_POOL</v>
      </c>
      <c r="E486" s="2" t="s">
        <v>8203</v>
      </c>
      <c r="F486" s="2" t="s">
        <v>8837</v>
      </c>
      <c r="G486" s="1">
        <v>8</v>
      </c>
      <c r="H486" s="1" t="str">
        <f>VLOOKUP(G486,t_entry_status!A:C,2,FALSE)</f>
        <v>PENDING</v>
      </c>
      <c r="I486" s="7">
        <v>45560</v>
      </c>
      <c r="J486" s="1" t="s">
        <v>7449</v>
      </c>
      <c r="K486" s="7">
        <v>45560</v>
      </c>
      <c r="L486" s="1" t="s">
        <v>7449</v>
      </c>
    </row>
    <row r="487" spans="1:12" x14ac:dyDescent="0.25">
      <c r="A487" s="1">
        <v>486</v>
      </c>
      <c r="B487" s="2" t="str">
        <f>_xlfn.CONCAT(C487,"-",VLOOKUP(C487,t_objeto!B:D,3,FALSE),"-",A487)</f>
        <v>RRPP-PERCCO-486</v>
      </c>
      <c r="C487" s="1" t="s">
        <v>7461</v>
      </c>
      <c r="D487" s="1" t="str">
        <f>VLOOKUP(C487,t_objeto!B:C,2,FALSE)</f>
        <v>RESOURCES_POOL</v>
      </c>
      <c r="E487" s="2" t="s">
        <v>8204</v>
      </c>
      <c r="F487" s="2" t="s">
        <v>8838</v>
      </c>
      <c r="G487" s="1">
        <v>8</v>
      </c>
      <c r="H487" s="1" t="str">
        <f>VLOOKUP(G487,t_entry_status!A:C,2,FALSE)</f>
        <v>PENDING</v>
      </c>
      <c r="I487" s="7">
        <v>45560</v>
      </c>
      <c r="J487" s="1" t="s">
        <v>7449</v>
      </c>
      <c r="K487" s="7">
        <v>45560</v>
      </c>
      <c r="L487" s="1" t="s">
        <v>7449</v>
      </c>
    </row>
    <row r="488" spans="1:12" x14ac:dyDescent="0.25">
      <c r="A488" s="1">
        <v>487</v>
      </c>
      <c r="B488" s="2" t="str">
        <f>_xlfn.CONCAT(C488,"-",VLOOKUP(C488,t_objeto!B:D,3,FALSE),"-",A488)</f>
        <v>RRPP-PERCCO-487</v>
      </c>
      <c r="C488" s="1" t="s">
        <v>7461</v>
      </c>
      <c r="D488" s="1" t="str">
        <f>VLOOKUP(C488,t_objeto!B:C,2,FALSE)</f>
        <v>RESOURCES_POOL</v>
      </c>
      <c r="E488" s="2" t="s">
        <v>8205</v>
      </c>
      <c r="F488" s="2" t="s">
        <v>8839</v>
      </c>
      <c r="G488" s="1">
        <v>8</v>
      </c>
      <c r="H488" s="1" t="str">
        <f>VLOOKUP(G488,t_entry_status!A:C,2,FALSE)</f>
        <v>PENDING</v>
      </c>
      <c r="I488" s="7">
        <v>45560</v>
      </c>
      <c r="J488" s="1" t="s">
        <v>7449</v>
      </c>
      <c r="K488" s="7">
        <v>45560</v>
      </c>
      <c r="L488" s="1" t="s">
        <v>7449</v>
      </c>
    </row>
    <row r="489" spans="1:12" x14ac:dyDescent="0.25">
      <c r="A489" s="1">
        <v>488</v>
      </c>
      <c r="B489" s="2" t="str">
        <f>_xlfn.CONCAT(C489,"-",VLOOKUP(C489,t_objeto!B:D,3,FALSE),"-",A489)</f>
        <v>RRPP-PERCCO-488</v>
      </c>
      <c r="C489" s="1" t="s">
        <v>7461</v>
      </c>
      <c r="D489" s="1" t="str">
        <f>VLOOKUP(C489,t_objeto!B:C,2,FALSE)</f>
        <v>RESOURCES_POOL</v>
      </c>
      <c r="E489" s="2" t="s">
        <v>8206</v>
      </c>
      <c r="F489" s="2" t="s">
        <v>8840</v>
      </c>
      <c r="G489" s="1">
        <v>8</v>
      </c>
      <c r="H489" s="1" t="str">
        <f>VLOOKUP(G489,t_entry_status!A:C,2,FALSE)</f>
        <v>PENDING</v>
      </c>
      <c r="I489" s="7">
        <v>45560</v>
      </c>
      <c r="J489" s="1" t="s">
        <v>7449</v>
      </c>
      <c r="K489" s="7">
        <v>45560</v>
      </c>
      <c r="L489" s="1" t="s">
        <v>7449</v>
      </c>
    </row>
    <row r="490" spans="1:12" x14ac:dyDescent="0.25">
      <c r="A490" s="1">
        <v>489</v>
      </c>
      <c r="B490" s="2" t="str">
        <f>_xlfn.CONCAT(C490,"-",VLOOKUP(C490,t_objeto!B:D,3,FALSE),"-",A490)</f>
        <v>RRPP-PERCCO-489</v>
      </c>
      <c r="C490" s="1" t="s">
        <v>7461</v>
      </c>
      <c r="D490" s="1" t="str">
        <f>VLOOKUP(C490,t_objeto!B:C,2,FALSE)</f>
        <v>RESOURCES_POOL</v>
      </c>
      <c r="E490" s="2" t="s">
        <v>8207</v>
      </c>
      <c r="F490" s="2" t="s">
        <v>8841</v>
      </c>
      <c r="G490" s="1">
        <v>8</v>
      </c>
      <c r="H490" s="1" t="str">
        <f>VLOOKUP(G490,t_entry_status!A:C,2,FALSE)</f>
        <v>PENDING</v>
      </c>
      <c r="I490" s="7">
        <v>45560</v>
      </c>
      <c r="J490" s="1" t="s">
        <v>7449</v>
      </c>
      <c r="K490" s="7">
        <v>45560</v>
      </c>
      <c r="L490" s="1" t="s">
        <v>7449</v>
      </c>
    </row>
    <row r="491" spans="1:12" x14ac:dyDescent="0.25">
      <c r="A491" s="1">
        <v>490</v>
      </c>
      <c r="B491" s="2" t="str">
        <f>_xlfn.CONCAT(C491,"-",VLOOKUP(C491,t_objeto!B:D,3,FALSE),"-",A491)</f>
        <v>RRPP-PERCCO-490</v>
      </c>
      <c r="C491" s="1" t="s">
        <v>7461</v>
      </c>
      <c r="D491" s="1" t="str">
        <f>VLOOKUP(C491,t_objeto!B:C,2,FALSE)</f>
        <v>RESOURCES_POOL</v>
      </c>
      <c r="E491" s="2" t="s">
        <v>8208</v>
      </c>
      <c r="F491" s="2" t="s">
        <v>8842</v>
      </c>
      <c r="G491" s="1">
        <v>8</v>
      </c>
      <c r="H491" s="1" t="str">
        <f>VLOOKUP(G491,t_entry_status!A:C,2,FALSE)</f>
        <v>PENDING</v>
      </c>
      <c r="I491" s="7">
        <v>45560</v>
      </c>
      <c r="J491" s="1" t="s">
        <v>7449</v>
      </c>
      <c r="K491" s="7">
        <v>45560</v>
      </c>
      <c r="L491" s="1" t="s">
        <v>7449</v>
      </c>
    </row>
    <row r="492" spans="1:12" x14ac:dyDescent="0.25">
      <c r="A492" s="1">
        <v>491</v>
      </c>
      <c r="B492" s="2" t="str">
        <f>_xlfn.CONCAT(C492,"-",VLOOKUP(C492,t_objeto!B:D,3,FALSE),"-",A492)</f>
        <v>RRPP-PERCCO-491</v>
      </c>
      <c r="C492" s="1" t="s">
        <v>7461</v>
      </c>
      <c r="D492" s="1" t="str">
        <f>VLOOKUP(C492,t_objeto!B:C,2,FALSE)</f>
        <v>RESOURCES_POOL</v>
      </c>
      <c r="E492" s="2" t="s">
        <v>8209</v>
      </c>
      <c r="F492" s="2" t="s">
        <v>8843</v>
      </c>
      <c r="G492" s="1">
        <v>8</v>
      </c>
      <c r="H492" s="1" t="str">
        <f>VLOOKUP(G492,t_entry_status!A:C,2,FALSE)</f>
        <v>PENDING</v>
      </c>
      <c r="I492" s="7">
        <v>45560</v>
      </c>
      <c r="J492" s="1" t="s">
        <v>7449</v>
      </c>
      <c r="K492" s="7">
        <v>45560</v>
      </c>
      <c r="L492" s="1" t="s">
        <v>7449</v>
      </c>
    </row>
    <row r="493" spans="1:12" x14ac:dyDescent="0.25">
      <c r="A493" s="1">
        <v>492</v>
      </c>
      <c r="B493" s="2" t="str">
        <f>_xlfn.CONCAT(C493,"-",VLOOKUP(C493,t_objeto!B:D,3,FALSE),"-",A493)</f>
        <v>RRPP-PERCCO-492</v>
      </c>
      <c r="C493" s="1" t="s">
        <v>7461</v>
      </c>
      <c r="D493" s="1" t="str">
        <f>VLOOKUP(C493,t_objeto!B:C,2,FALSE)</f>
        <v>RESOURCES_POOL</v>
      </c>
      <c r="E493" s="2" t="s">
        <v>8210</v>
      </c>
      <c r="F493" s="2" t="s">
        <v>8844</v>
      </c>
      <c r="G493" s="1">
        <v>8</v>
      </c>
      <c r="H493" s="1" t="str">
        <f>VLOOKUP(G493,t_entry_status!A:C,2,FALSE)</f>
        <v>PENDING</v>
      </c>
      <c r="I493" s="7">
        <v>45560</v>
      </c>
      <c r="J493" s="1" t="s">
        <v>7449</v>
      </c>
      <c r="K493" s="7">
        <v>45560</v>
      </c>
      <c r="L493" s="1" t="s">
        <v>7449</v>
      </c>
    </row>
    <row r="494" spans="1:12" x14ac:dyDescent="0.25">
      <c r="A494" s="1">
        <v>493</v>
      </c>
      <c r="B494" s="2" t="str">
        <f>_xlfn.CONCAT(C494,"-",VLOOKUP(C494,t_objeto!B:D,3,FALSE),"-",A494)</f>
        <v>RRPP-PERCCO-493</v>
      </c>
      <c r="C494" s="1" t="s">
        <v>7461</v>
      </c>
      <c r="D494" s="1" t="str">
        <f>VLOOKUP(C494,t_objeto!B:C,2,FALSE)</f>
        <v>RESOURCES_POOL</v>
      </c>
      <c r="E494" s="2" t="s">
        <v>8211</v>
      </c>
      <c r="F494" s="2" t="s">
        <v>8845</v>
      </c>
      <c r="G494" s="1">
        <v>8</v>
      </c>
      <c r="H494" s="1" t="str">
        <f>VLOOKUP(G494,t_entry_status!A:C,2,FALSE)</f>
        <v>PENDING</v>
      </c>
      <c r="I494" s="7">
        <v>45560</v>
      </c>
      <c r="J494" s="1" t="s">
        <v>7449</v>
      </c>
      <c r="K494" s="7">
        <v>45560</v>
      </c>
      <c r="L494" s="1" t="s">
        <v>7449</v>
      </c>
    </row>
    <row r="495" spans="1:12" x14ac:dyDescent="0.25">
      <c r="A495" s="1">
        <v>494</v>
      </c>
      <c r="B495" s="2" t="str">
        <f>_xlfn.CONCAT(C495,"-",VLOOKUP(C495,t_objeto!B:D,3,FALSE),"-",A495)</f>
        <v>RRPP-PERCCO-494</v>
      </c>
      <c r="C495" s="1" t="s">
        <v>7461</v>
      </c>
      <c r="D495" s="1" t="str">
        <f>VLOOKUP(C495,t_objeto!B:C,2,FALSE)</f>
        <v>RESOURCES_POOL</v>
      </c>
      <c r="E495" s="2" t="s">
        <v>8212</v>
      </c>
      <c r="F495" s="2" t="s">
        <v>8846</v>
      </c>
      <c r="G495" s="1">
        <v>8</v>
      </c>
      <c r="H495" s="1" t="str">
        <f>VLOOKUP(G495,t_entry_status!A:C,2,FALSE)</f>
        <v>PENDING</v>
      </c>
      <c r="I495" s="7">
        <v>45560</v>
      </c>
      <c r="J495" s="1" t="s">
        <v>7449</v>
      </c>
      <c r="K495" s="7">
        <v>45560</v>
      </c>
      <c r="L495" s="1" t="s">
        <v>7449</v>
      </c>
    </row>
    <row r="496" spans="1:12" x14ac:dyDescent="0.25">
      <c r="A496" s="1">
        <v>495</v>
      </c>
      <c r="B496" s="2" t="str">
        <f>_xlfn.CONCAT(C496,"-",VLOOKUP(C496,t_objeto!B:D,3,FALSE),"-",A496)</f>
        <v>RRPP-PERCCO-495</v>
      </c>
      <c r="C496" s="1" t="s">
        <v>7461</v>
      </c>
      <c r="D496" s="1" t="str">
        <f>VLOOKUP(C496,t_objeto!B:C,2,FALSE)</f>
        <v>RESOURCES_POOL</v>
      </c>
      <c r="E496" s="2" t="s">
        <v>8213</v>
      </c>
      <c r="F496" s="2" t="s">
        <v>8847</v>
      </c>
      <c r="G496" s="1">
        <v>8</v>
      </c>
      <c r="H496" s="1" t="str">
        <f>VLOOKUP(G496,t_entry_status!A:C,2,FALSE)</f>
        <v>PENDING</v>
      </c>
      <c r="I496" s="7">
        <v>45560</v>
      </c>
      <c r="J496" s="1" t="s">
        <v>7449</v>
      </c>
      <c r="K496" s="7">
        <v>45560</v>
      </c>
      <c r="L496" s="1" t="s">
        <v>7449</v>
      </c>
    </row>
    <row r="497" spans="1:12" x14ac:dyDescent="0.25">
      <c r="A497" s="1">
        <v>496</v>
      </c>
      <c r="B497" s="2" t="str">
        <f>_xlfn.CONCAT(C497,"-",VLOOKUP(C497,t_objeto!B:D,3,FALSE),"-",A497)</f>
        <v>RRPP-PERCCO-496</v>
      </c>
      <c r="C497" s="1" t="s">
        <v>7461</v>
      </c>
      <c r="D497" s="1" t="str">
        <f>VLOOKUP(C497,t_objeto!B:C,2,FALSE)</f>
        <v>RESOURCES_POOL</v>
      </c>
      <c r="E497" s="2" t="s">
        <v>8214</v>
      </c>
      <c r="F497" s="2" t="s">
        <v>8848</v>
      </c>
      <c r="G497" s="1">
        <v>8</v>
      </c>
      <c r="H497" s="1" t="str">
        <f>VLOOKUP(G497,t_entry_status!A:C,2,FALSE)</f>
        <v>PENDING</v>
      </c>
      <c r="I497" s="7">
        <v>45560</v>
      </c>
      <c r="J497" s="1" t="s">
        <v>7449</v>
      </c>
      <c r="K497" s="7">
        <v>45560</v>
      </c>
      <c r="L497" s="1" t="s">
        <v>7449</v>
      </c>
    </row>
    <row r="498" spans="1:12" x14ac:dyDescent="0.25">
      <c r="A498" s="1">
        <v>497</v>
      </c>
      <c r="B498" s="2" t="str">
        <f>_xlfn.CONCAT(C498,"-",VLOOKUP(C498,t_objeto!B:D,3,FALSE),"-",A498)</f>
        <v>RRPP-PERCCO-497</v>
      </c>
      <c r="C498" s="1" t="s">
        <v>7461</v>
      </c>
      <c r="D498" s="1" t="str">
        <f>VLOOKUP(C498,t_objeto!B:C,2,FALSE)</f>
        <v>RESOURCES_POOL</v>
      </c>
      <c r="E498" s="2" t="s">
        <v>8215</v>
      </c>
      <c r="F498" s="2" t="s">
        <v>8849</v>
      </c>
      <c r="G498" s="1">
        <v>8</v>
      </c>
      <c r="H498" s="1" t="str">
        <f>VLOOKUP(G498,t_entry_status!A:C,2,FALSE)</f>
        <v>PENDING</v>
      </c>
      <c r="I498" s="7">
        <v>45560</v>
      </c>
      <c r="J498" s="1" t="s">
        <v>7449</v>
      </c>
      <c r="K498" s="7">
        <v>45560</v>
      </c>
      <c r="L498" s="1" t="s">
        <v>7449</v>
      </c>
    </row>
    <row r="499" spans="1:12" x14ac:dyDescent="0.25">
      <c r="A499" s="1">
        <v>498</v>
      </c>
      <c r="B499" s="2" t="str">
        <f>_xlfn.CONCAT(C499,"-",VLOOKUP(C499,t_objeto!B:D,3,FALSE),"-",A499)</f>
        <v>RRPP-PERCCO-498</v>
      </c>
      <c r="C499" s="1" t="s">
        <v>7461</v>
      </c>
      <c r="D499" s="1" t="str">
        <f>VLOOKUP(C499,t_objeto!B:C,2,FALSE)</f>
        <v>RESOURCES_POOL</v>
      </c>
      <c r="E499" s="2" t="s">
        <v>8216</v>
      </c>
      <c r="F499" s="2" t="s">
        <v>8850</v>
      </c>
      <c r="G499" s="1">
        <v>8</v>
      </c>
      <c r="H499" s="1" t="str">
        <f>VLOOKUP(G499,t_entry_status!A:C,2,FALSE)</f>
        <v>PENDING</v>
      </c>
      <c r="I499" s="7">
        <v>45560</v>
      </c>
      <c r="J499" s="1" t="s">
        <v>7449</v>
      </c>
      <c r="K499" s="7">
        <v>45560</v>
      </c>
      <c r="L499" s="1" t="s">
        <v>7449</v>
      </c>
    </row>
    <row r="500" spans="1:12" x14ac:dyDescent="0.25">
      <c r="A500" s="1">
        <v>499</v>
      </c>
      <c r="B500" s="2" t="str">
        <f>_xlfn.CONCAT(C500,"-",VLOOKUP(C500,t_objeto!B:D,3,FALSE),"-",A500)</f>
        <v>RRPP-PERCCO-499</v>
      </c>
      <c r="C500" s="1" t="s">
        <v>7461</v>
      </c>
      <c r="D500" s="1" t="str">
        <f>VLOOKUP(C500,t_objeto!B:C,2,FALSE)</f>
        <v>RESOURCES_POOL</v>
      </c>
      <c r="E500" s="2" t="s">
        <v>8217</v>
      </c>
      <c r="F500" s="2" t="s">
        <v>8851</v>
      </c>
      <c r="G500" s="1">
        <v>8</v>
      </c>
      <c r="H500" s="1" t="str">
        <f>VLOOKUP(G500,t_entry_status!A:C,2,FALSE)</f>
        <v>PENDING</v>
      </c>
      <c r="I500" s="7">
        <v>45560</v>
      </c>
      <c r="J500" s="1" t="s">
        <v>7449</v>
      </c>
      <c r="K500" s="7">
        <v>45560</v>
      </c>
      <c r="L500" s="1" t="s">
        <v>7449</v>
      </c>
    </row>
    <row r="501" spans="1:12" x14ac:dyDescent="0.25">
      <c r="A501" s="1">
        <v>500</v>
      </c>
      <c r="B501" s="2" t="str">
        <f>_xlfn.CONCAT(C501,"-",VLOOKUP(C501,t_objeto!B:D,3,FALSE),"-",A501)</f>
        <v>RRPP-PERCCO-500</v>
      </c>
      <c r="C501" s="1" t="s">
        <v>7461</v>
      </c>
      <c r="D501" s="1" t="str">
        <f>VLOOKUP(C501,t_objeto!B:C,2,FALSE)</f>
        <v>RESOURCES_POOL</v>
      </c>
      <c r="E501" s="2" t="s">
        <v>8218</v>
      </c>
      <c r="F501" s="2" t="s">
        <v>8852</v>
      </c>
      <c r="G501" s="1">
        <v>8</v>
      </c>
      <c r="H501" s="1" t="str">
        <f>VLOOKUP(G501,t_entry_status!A:C,2,FALSE)</f>
        <v>PENDING</v>
      </c>
      <c r="I501" s="7">
        <v>45560</v>
      </c>
      <c r="J501" s="1" t="s">
        <v>7449</v>
      </c>
      <c r="K501" s="7">
        <v>45560</v>
      </c>
      <c r="L501" s="1" t="s">
        <v>7449</v>
      </c>
    </row>
    <row r="502" spans="1:12" x14ac:dyDescent="0.25">
      <c r="A502" s="1">
        <v>501</v>
      </c>
      <c r="B502" s="2" t="str">
        <f>_xlfn.CONCAT(C502,"-",VLOOKUP(C502,t_objeto!B:D,3,FALSE),"-",A502)</f>
        <v>RRPP-PERCCO-501</v>
      </c>
      <c r="C502" s="1" t="s">
        <v>7461</v>
      </c>
      <c r="D502" s="1" t="str">
        <f>VLOOKUP(C502,t_objeto!B:C,2,FALSE)</f>
        <v>RESOURCES_POOL</v>
      </c>
      <c r="E502" s="2" t="s">
        <v>8219</v>
      </c>
      <c r="F502" s="2" t="s">
        <v>8853</v>
      </c>
      <c r="G502" s="1">
        <v>8</v>
      </c>
      <c r="H502" s="1" t="str">
        <f>VLOOKUP(G502,t_entry_status!A:C,2,FALSE)</f>
        <v>PENDING</v>
      </c>
      <c r="I502" s="7">
        <v>45560</v>
      </c>
      <c r="J502" s="1" t="s">
        <v>7449</v>
      </c>
      <c r="K502" s="7">
        <v>45560</v>
      </c>
      <c r="L502" s="1" t="s">
        <v>7449</v>
      </c>
    </row>
    <row r="503" spans="1:12" x14ac:dyDescent="0.25">
      <c r="A503" s="1">
        <v>502</v>
      </c>
      <c r="B503" s="2" t="str">
        <f>_xlfn.CONCAT(C503,"-",VLOOKUP(C503,t_objeto!B:D,3,FALSE),"-",A503)</f>
        <v>RRPP-PERCCO-502</v>
      </c>
      <c r="C503" s="1" t="s">
        <v>7461</v>
      </c>
      <c r="D503" s="1" t="str">
        <f>VLOOKUP(C503,t_objeto!B:C,2,FALSE)</f>
        <v>RESOURCES_POOL</v>
      </c>
      <c r="E503" s="2" t="s">
        <v>8220</v>
      </c>
      <c r="F503" s="2" t="s">
        <v>8854</v>
      </c>
      <c r="G503" s="1">
        <v>8</v>
      </c>
      <c r="H503" s="1" t="str">
        <f>VLOOKUP(G503,t_entry_status!A:C,2,FALSE)</f>
        <v>PENDING</v>
      </c>
      <c r="I503" s="7">
        <v>45560</v>
      </c>
      <c r="J503" s="1" t="s">
        <v>7449</v>
      </c>
      <c r="K503" s="7">
        <v>45560</v>
      </c>
      <c r="L503" s="1" t="s">
        <v>7449</v>
      </c>
    </row>
    <row r="504" spans="1:12" x14ac:dyDescent="0.25">
      <c r="A504" s="1">
        <v>503</v>
      </c>
      <c r="B504" s="2" t="str">
        <f>_xlfn.CONCAT(C504,"-",VLOOKUP(C504,t_objeto!B:D,3,FALSE),"-",A504)</f>
        <v>RRPP-PERCCO-503</v>
      </c>
      <c r="C504" s="1" t="s">
        <v>7461</v>
      </c>
      <c r="D504" s="1" t="str">
        <f>VLOOKUP(C504,t_objeto!B:C,2,FALSE)</f>
        <v>RESOURCES_POOL</v>
      </c>
      <c r="E504" s="2" t="s">
        <v>8221</v>
      </c>
      <c r="F504" s="2" t="s">
        <v>8855</v>
      </c>
      <c r="G504" s="1">
        <v>8</v>
      </c>
      <c r="H504" s="1" t="str">
        <f>VLOOKUP(G504,t_entry_status!A:C,2,FALSE)</f>
        <v>PENDING</v>
      </c>
      <c r="I504" s="7">
        <v>45560</v>
      </c>
      <c r="J504" s="1" t="s">
        <v>7449</v>
      </c>
      <c r="K504" s="7">
        <v>45560</v>
      </c>
      <c r="L504" s="1" t="s">
        <v>7449</v>
      </c>
    </row>
    <row r="505" spans="1:12" x14ac:dyDescent="0.25">
      <c r="A505" s="1">
        <v>504</v>
      </c>
      <c r="B505" s="2" t="str">
        <f>_xlfn.CONCAT(C505,"-",VLOOKUP(C505,t_objeto!B:D,3,FALSE),"-",A505)</f>
        <v>RRPP-PERCCO-504</v>
      </c>
      <c r="C505" s="1" t="s">
        <v>7461</v>
      </c>
      <c r="D505" s="1" t="str">
        <f>VLOOKUP(C505,t_objeto!B:C,2,FALSE)</f>
        <v>RESOURCES_POOL</v>
      </c>
      <c r="E505" s="2" t="s">
        <v>8222</v>
      </c>
      <c r="F505" s="2" t="s">
        <v>8856</v>
      </c>
      <c r="G505" s="1">
        <v>8</v>
      </c>
      <c r="H505" s="1" t="str">
        <f>VLOOKUP(G505,t_entry_status!A:C,2,FALSE)</f>
        <v>PENDING</v>
      </c>
      <c r="I505" s="7">
        <v>45560</v>
      </c>
      <c r="J505" s="1" t="s">
        <v>7449</v>
      </c>
      <c r="K505" s="7">
        <v>45560</v>
      </c>
      <c r="L505" s="1" t="s">
        <v>7449</v>
      </c>
    </row>
    <row r="506" spans="1:12" x14ac:dyDescent="0.25">
      <c r="A506" s="1">
        <v>505</v>
      </c>
      <c r="B506" s="2" t="str">
        <f>_xlfn.CONCAT(C506,"-",VLOOKUP(C506,t_objeto!B:D,3,FALSE),"-",A506)</f>
        <v>RRPP-PERCCO-505</v>
      </c>
      <c r="C506" s="1" t="s">
        <v>7461</v>
      </c>
      <c r="D506" s="1" t="str">
        <f>VLOOKUP(C506,t_objeto!B:C,2,FALSE)</f>
        <v>RESOURCES_POOL</v>
      </c>
      <c r="E506" s="2" t="s">
        <v>8223</v>
      </c>
      <c r="F506" s="2" t="s">
        <v>8857</v>
      </c>
      <c r="G506" s="1">
        <v>8</v>
      </c>
      <c r="H506" s="1" t="str">
        <f>VLOOKUP(G506,t_entry_status!A:C,2,FALSE)</f>
        <v>PENDING</v>
      </c>
      <c r="I506" s="7">
        <v>45560</v>
      </c>
      <c r="J506" s="1" t="s">
        <v>7449</v>
      </c>
      <c r="K506" s="7">
        <v>45560</v>
      </c>
      <c r="L506" s="1" t="s">
        <v>7449</v>
      </c>
    </row>
    <row r="507" spans="1:12" x14ac:dyDescent="0.25">
      <c r="A507" s="1">
        <v>506</v>
      </c>
      <c r="B507" s="2" t="str">
        <f>_xlfn.CONCAT(C507,"-",VLOOKUP(C507,t_objeto!B:D,3,FALSE),"-",A507)</f>
        <v>RRPP-PERCCO-506</v>
      </c>
      <c r="C507" s="1" t="s">
        <v>7461</v>
      </c>
      <c r="D507" s="1" t="str">
        <f>VLOOKUP(C507,t_objeto!B:C,2,FALSE)</f>
        <v>RESOURCES_POOL</v>
      </c>
      <c r="E507" s="2" t="s">
        <v>8224</v>
      </c>
      <c r="F507" s="2" t="s">
        <v>8858</v>
      </c>
      <c r="G507" s="1">
        <v>8</v>
      </c>
      <c r="H507" s="1" t="str">
        <f>VLOOKUP(G507,t_entry_status!A:C,2,FALSE)</f>
        <v>PENDING</v>
      </c>
      <c r="I507" s="7">
        <v>45560</v>
      </c>
      <c r="J507" s="1" t="s">
        <v>7449</v>
      </c>
      <c r="K507" s="7">
        <v>45560</v>
      </c>
      <c r="L507" s="1" t="s">
        <v>7449</v>
      </c>
    </row>
    <row r="508" spans="1:12" x14ac:dyDescent="0.25">
      <c r="A508" s="1">
        <v>507</v>
      </c>
      <c r="B508" s="2" t="str">
        <f>_xlfn.CONCAT(C508,"-",VLOOKUP(C508,t_objeto!B:D,3,FALSE),"-",A508)</f>
        <v>RRPP-PERCCO-507</v>
      </c>
      <c r="C508" s="1" t="s">
        <v>7461</v>
      </c>
      <c r="D508" s="1" t="str">
        <f>VLOOKUP(C508,t_objeto!B:C,2,FALSE)</f>
        <v>RESOURCES_POOL</v>
      </c>
      <c r="E508" s="2" t="s">
        <v>8225</v>
      </c>
      <c r="F508" s="2" t="s">
        <v>8859</v>
      </c>
      <c r="G508" s="1">
        <v>8</v>
      </c>
      <c r="H508" s="1" t="str">
        <f>VLOOKUP(G508,t_entry_status!A:C,2,FALSE)</f>
        <v>PENDING</v>
      </c>
      <c r="I508" s="7">
        <v>45560</v>
      </c>
      <c r="J508" s="1" t="s">
        <v>7449</v>
      </c>
      <c r="K508" s="7">
        <v>45560</v>
      </c>
      <c r="L508" s="1" t="s">
        <v>7449</v>
      </c>
    </row>
    <row r="509" spans="1:12" x14ac:dyDescent="0.25">
      <c r="A509" s="1">
        <v>508</v>
      </c>
      <c r="B509" s="2" t="str">
        <f>_xlfn.CONCAT(C509,"-",VLOOKUP(C509,t_objeto!B:D,3,FALSE),"-",A509)</f>
        <v>RRPP-PERCCO-508</v>
      </c>
      <c r="C509" s="1" t="s">
        <v>7461</v>
      </c>
      <c r="D509" s="1" t="str">
        <f>VLOOKUP(C509,t_objeto!B:C,2,FALSE)</f>
        <v>RESOURCES_POOL</v>
      </c>
      <c r="E509" s="2" t="s">
        <v>8226</v>
      </c>
      <c r="F509" s="2" t="s">
        <v>8860</v>
      </c>
      <c r="G509" s="1">
        <v>8</v>
      </c>
      <c r="H509" s="1" t="str">
        <f>VLOOKUP(G509,t_entry_status!A:C,2,FALSE)</f>
        <v>PENDING</v>
      </c>
      <c r="I509" s="7">
        <v>45560</v>
      </c>
      <c r="J509" s="1" t="s">
        <v>7449</v>
      </c>
      <c r="K509" s="7">
        <v>45560</v>
      </c>
      <c r="L509" s="1" t="s">
        <v>7449</v>
      </c>
    </row>
    <row r="510" spans="1:12" x14ac:dyDescent="0.25">
      <c r="A510" s="1">
        <v>509</v>
      </c>
      <c r="B510" s="2" t="str">
        <f>_xlfn.CONCAT(C510,"-",VLOOKUP(C510,t_objeto!B:D,3,FALSE),"-",A510)</f>
        <v>RRPP-PERCCO-509</v>
      </c>
      <c r="C510" s="1" t="s">
        <v>7461</v>
      </c>
      <c r="D510" s="1" t="str">
        <f>VLOOKUP(C510,t_objeto!B:C,2,FALSE)</f>
        <v>RESOURCES_POOL</v>
      </c>
      <c r="E510" s="2" t="s">
        <v>8227</v>
      </c>
      <c r="F510" s="2" t="s">
        <v>8861</v>
      </c>
      <c r="G510" s="1">
        <v>8</v>
      </c>
      <c r="H510" s="1" t="str">
        <f>VLOOKUP(G510,t_entry_status!A:C,2,FALSE)</f>
        <v>PENDING</v>
      </c>
      <c r="I510" s="7">
        <v>45560</v>
      </c>
      <c r="J510" s="1" t="s">
        <v>7449</v>
      </c>
      <c r="K510" s="7">
        <v>45560</v>
      </c>
      <c r="L510" s="1" t="s">
        <v>7449</v>
      </c>
    </row>
    <row r="511" spans="1:12" x14ac:dyDescent="0.25">
      <c r="A511" s="1">
        <v>510</v>
      </c>
      <c r="B511" s="2" t="str">
        <f>_xlfn.CONCAT(C511,"-",VLOOKUP(C511,t_objeto!B:D,3,FALSE),"-",A511)</f>
        <v>RRPP-PERCCO-510</v>
      </c>
      <c r="C511" s="1" t="s">
        <v>7461</v>
      </c>
      <c r="D511" s="1" t="str">
        <f>VLOOKUP(C511,t_objeto!B:C,2,FALSE)</f>
        <v>RESOURCES_POOL</v>
      </c>
      <c r="E511" s="2" t="s">
        <v>8228</v>
      </c>
      <c r="F511" s="2" t="s">
        <v>8862</v>
      </c>
      <c r="G511" s="1">
        <v>8</v>
      </c>
      <c r="H511" s="1" t="str">
        <f>VLOOKUP(G511,t_entry_status!A:C,2,FALSE)</f>
        <v>PENDING</v>
      </c>
      <c r="I511" s="7">
        <v>45560</v>
      </c>
      <c r="J511" s="1" t="s">
        <v>7449</v>
      </c>
      <c r="K511" s="7">
        <v>45560</v>
      </c>
      <c r="L511" s="1" t="s">
        <v>7449</v>
      </c>
    </row>
    <row r="512" spans="1:12" x14ac:dyDescent="0.25">
      <c r="A512" s="1">
        <v>511</v>
      </c>
      <c r="B512" s="2" t="str">
        <f>_xlfn.CONCAT(C512,"-",VLOOKUP(C512,t_objeto!B:D,3,FALSE),"-",A512)</f>
        <v>RRPP-PERCCO-511</v>
      </c>
      <c r="C512" s="1" t="s">
        <v>7461</v>
      </c>
      <c r="D512" s="1" t="str">
        <f>VLOOKUP(C512,t_objeto!B:C,2,FALSE)</f>
        <v>RESOURCES_POOL</v>
      </c>
      <c r="E512" s="2" t="s">
        <v>8229</v>
      </c>
      <c r="F512" s="2" t="s">
        <v>8863</v>
      </c>
      <c r="G512" s="1">
        <v>8</v>
      </c>
      <c r="H512" s="1" t="str">
        <f>VLOOKUP(G512,t_entry_status!A:C,2,FALSE)</f>
        <v>PENDING</v>
      </c>
      <c r="I512" s="7">
        <v>45560</v>
      </c>
      <c r="J512" s="1" t="s">
        <v>7449</v>
      </c>
      <c r="K512" s="7">
        <v>45560</v>
      </c>
      <c r="L512" s="1" t="s">
        <v>7449</v>
      </c>
    </row>
    <row r="513" spans="1:12" x14ac:dyDescent="0.25">
      <c r="A513" s="1">
        <v>512</v>
      </c>
      <c r="B513" s="2" t="str">
        <f>_xlfn.CONCAT(C513,"-",VLOOKUP(C513,t_objeto!B:D,3,FALSE),"-",A513)</f>
        <v>RRPP-PERCCO-512</v>
      </c>
      <c r="C513" s="1" t="s">
        <v>7461</v>
      </c>
      <c r="D513" s="1" t="str">
        <f>VLOOKUP(C513,t_objeto!B:C,2,FALSE)</f>
        <v>RESOURCES_POOL</v>
      </c>
      <c r="E513" s="2" t="s">
        <v>8230</v>
      </c>
      <c r="F513" s="2" t="s">
        <v>8864</v>
      </c>
      <c r="G513" s="1">
        <v>8</v>
      </c>
      <c r="H513" s="1" t="str">
        <f>VLOOKUP(G513,t_entry_status!A:C,2,FALSE)</f>
        <v>PENDING</v>
      </c>
      <c r="I513" s="7">
        <v>45560</v>
      </c>
      <c r="J513" s="1" t="s">
        <v>7449</v>
      </c>
      <c r="K513" s="7">
        <v>45560</v>
      </c>
      <c r="L513" s="1" t="s">
        <v>7449</v>
      </c>
    </row>
    <row r="514" spans="1:12" x14ac:dyDescent="0.25">
      <c r="A514" s="1">
        <v>513</v>
      </c>
      <c r="B514" s="2" t="str">
        <f>_xlfn.CONCAT(C514,"-",VLOOKUP(C514,t_objeto!B:D,3,FALSE),"-",A514)</f>
        <v>RRPP-PERCCO-513</v>
      </c>
      <c r="C514" s="1" t="s">
        <v>7461</v>
      </c>
      <c r="D514" s="1" t="str">
        <f>VLOOKUP(C514,t_objeto!B:C,2,FALSE)</f>
        <v>RESOURCES_POOL</v>
      </c>
      <c r="E514" s="2" t="s">
        <v>8231</v>
      </c>
      <c r="F514" s="2" t="s">
        <v>8865</v>
      </c>
      <c r="G514" s="1">
        <v>8</v>
      </c>
      <c r="H514" s="1" t="str">
        <f>VLOOKUP(G514,t_entry_status!A:C,2,FALSE)</f>
        <v>PENDING</v>
      </c>
      <c r="I514" s="7">
        <v>45560</v>
      </c>
      <c r="J514" s="1" t="s">
        <v>7449</v>
      </c>
      <c r="K514" s="7">
        <v>45560</v>
      </c>
      <c r="L514" s="1" t="s">
        <v>7449</v>
      </c>
    </row>
    <row r="515" spans="1:12" x14ac:dyDescent="0.25">
      <c r="A515" s="1">
        <v>514</v>
      </c>
      <c r="B515" s="2" t="str">
        <f>_xlfn.CONCAT(C515,"-",VLOOKUP(C515,t_objeto!B:D,3,FALSE),"-",A515)</f>
        <v>RRPP-PERCCO-514</v>
      </c>
      <c r="C515" s="1" t="s">
        <v>7461</v>
      </c>
      <c r="D515" s="1" t="str">
        <f>VLOOKUP(C515,t_objeto!B:C,2,FALSE)</f>
        <v>RESOURCES_POOL</v>
      </c>
      <c r="E515" s="2" t="s">
        <v>8232</v>
      </c>
      <c r="F515" s="2" t="s">
        <v>8866</v>
      </c>
      <c r="G515" s="1">
        <v>8</v>
      </c>
      <c r="H515" s="1" t="str">
        <f>VLOOKUP(G515,t_entry_status!A:C,2,FALSE)</f>
        <v>PENDING</v>
      </c>
      <c r="I515" s="7">
        <v>45560</v>
      </c>
      <c r="J515" s="1" t="s">
        <v>7449</v>
      </c>
      <c r="K515" s="7">
        <v>45560</v>
      </c>
      <c r="L515" s="1" t="s">
        <v>7449</v>
      </c>
    </row>
    <row r="516" spans="1:12" x14ac:dyDescent="0.25">
      <c r="A516" s="1">
        <v>515</v>
      </c>
      <c r="B516" s="2" t="str">
        <f>_xlfn.CONCAT(C516,"-",VLOOKUP(C516,t_objeto!B:D,3,FALSE),"-",A516)</f>
        <v>RRPP-PERCCO-515</v>
      </c>
      <c r="C516" s="1" t="s">
        <v>7461</v>
      </c>
      <c r="D516" s="1" t="str">
        <f>VLOOKUP(C516,t_objeto!B:C,2,FALSE)</f>
        <v>RESOURCES_POOL</v>
      </c>
      <c r="E516" s="2" t="s">
        <v>8233</v>
      </c>
      <c r="F516" s="2" t="s">
        <v>8867</v>
      </c>
      <c r="G516" s="1">
        <v>8</v>
      </c>
      <c r="H516" s="1" t="str">
        <f>VLOOKUP(G516,t_entry_status!A:C,2,FALSE)</f>
        <v>PENDING</v>
      </c>
      <c r="I516" s="7">
        <v>45560</v>
      </c>
      <c r="J516" s="1" t="s">
        <v>7449</v>
      </c>
      <c r="K516" s="7">
        <v>45560</v>
      </c>
      <c r="L516" s="1" t="s">
        <v>7449</v>
      </c>
    </row>
    <row r="517" spans="1:12" x14ac:dyDescent="0.25">
      <c r="A517" s="1">
        <v>516</v>
      </c>
      <c r="B517" s="2" t="str">
        <f>_xlfn.CONCAT(C517,"-",VLOOKUP(C517,t_objeto!B:D,3,FALSE),"-",A517)</f>
        <v>RRPP-PERCCO-516</v>
      </c>
      <c r="C517" s="1" t="s">
        <v>7461</v>
      </c>
      <c r="D517" s="1" t="str">
        <f>VLOOKUP(C517,t_objeto!B:C,2,FALSE)</f>
        <v>RESOURCES_POOL</v>
      </c>
      <c r="E517" s="2" t="s">
        <v>8234</v>
      </c>
      <c r="F517" s="2" t="s">
        <v>8868</v>
      </c>
      <c r="G517" s="1">
        <v>8</v>
      </c>
      <c r="H517" s="1" t="str">
        <f>VLOOKUP(G517,t_entry_status!A:C,2,FALSE)</f>
        <v>PENDING</v>
      </c>
      <c r="I517" s="7">
        <v>45560</v>
      </c>
      <c r="J517" s="1" t="s">
        <v>7449</v>
      </c>
      <c r="K517" s="7">
        <v>45560</v>
      </c>
      <c r="L517" s="1" t="s">
        <v>7449</v>
      </c>
    </row>
    <row r="518" spans="1:12" x14ac:dyDescent="0.25">
      <c r="A518" s="1">
        <v>517</v>
      </c>
      <c r="B518" s="2" t="str">
        <f>_xlfn.CONCAT(C518,"-",VLOOKUP(C518,t_objeto!B:D,3,FALSE),"-",A518)</f>
        <v>RRPP-PERCCO-517</v>
      </c>
      <c r="C518" s="1" t="s">
        <v>7461</v>
      </c>
      <c r="D518" s="1" t="str">
        <f>VLOOKUP(C518,t_objeto!B:C,2,FALSE)</f>
        <v>RESOURCES_POOL</v>
      </c>
      <c r="E518" s="2" t="s">
        <v>8235</v>
      </c>
      <c r="F518" s="2" t="s">
        <v>8869</v>
      </c>
      <c r="G518" s="1">
        <v>8</v>
      </c>
      <c r="H518" s="1" t="str">
        <f>VLOOKUP(G518,t_entry_status!A:C,2,FALSE)</f>
        <v>PENDING</v>
      </c>
      <c r="I518" s="7">
        <v>45560</v>
      </c>
      <c r="J518" s="1" t="s">
        <v>7449</v>
      </c>
      <c r="K518" s="7">
        <v>45560</v>
      </c>
      <c r="L518" s="1" t="s">
        <v>7449</v>
      </c>
    </row>
    <row r="519" spans="1:12" x14ac:dyDescent="0.25">
      <c r="A519" s="1">
        <v>518</v>
      </c>
      <c r="B519" s="2" t="str">
        <f>_xlfn.CONCAT(C519,"-",VLOOKUP(C519,t_objeto!B:D,3,FALSE),"-",A519)</f>
        <v>RRPP-PERCCO-518</v>
      </c>
      <c r="C519" s="1" t="s">
        <v>7461</v>
      </c>
      <c r="D519" s="1" t="str">
        <f>VLOOKUP(C519,t_objeto!B:C,2,FALSE)</f>
        <v>RESOURCES_POOL</v>
      </c>
      <c r="E519" s="2" t="s">
        <v>8236</v>
      </c>
      <c r="F519" s="2" t="s">
        <v>8870</v>
      </c>
      <c r="G519" s="1">
        <v>8</v>
      </c>
      <c r="H519" s="1" t="str">
        <f>VLOOKUP(G519,t_entry_status!A:C,2,FALSE)</f>
        <v>PENDING</v>
      </c>
      <c r="I519" s="7">
        <v>45560</v>
      </c>
      <c r="J519" s="1" t="s">
        <v>7449</v>
      </c>
      <c r="K519" s="7">
        <v>45560</v>
      </c>
      <c r="L519" s="1" t="s">
        <v>7449</v>
      </c>
    </row>
    <row r="520" spans="1:12" x14ac:dyDescent="0.25">
      <c r="A520" s="1">
        <v>519</v>
      </c>
      <c r="B520" s="2" t="str">
        <f>_xlfn.CONCAT(C520,"-",VLOOKUP(C520,t_objeto!B:D,3,FALSE),"-",A520)</f>
        <v>RRPP-PERCCO-519</v>
      </c>
      <c r="C520" s="1" t="s">
        <v>7461</v>
      </c>
      <c r="D520" s="1" t="str">
        <f>VLOOKUP(C520,t_objeto!B:C,2,FALSE)</f>
        <v>RESOURCES_POOL</v>
      </c>
      <c r="E520" s="2" t="s">
        <v>8237</v>
      </c>
      <c r="F520" s="2" t="s">
        <v>8871</v>
      </c>
      <c r="G520" s="1">
        <v>8</v>
      </c>
      <c r="H520" s="1" t="str">
        <f>VLOOKUP(G520,t_entry_status!A:C,2,FALSE)</f>
        <v>PENDING</v>
      </c>
      <c r="I520" s="7">
        <v>45560</v>
      </c>
      <c r="J520" s="1" t="s">
        <v>7449</v>
      </c>
      <c r="K520" s="7">
        <v>45560</v>
      </c>
      <c r="L520" s="1" t="s">
        <v>7449</v>
      </c>
    </row>
    <row r="521" spans="1:12" x14ac:dyDescent="0.25">
      <c r="A521" s="1">
        <v>520</v>
      </c>
      <c r="B521" s="2" t="str">
        <f>_xlfn.CONCAT(C521,"-",VLOOKUP(C521,t_objeto!B:D,3,FALSE),"-",A521)</f>
        <v>RRPP-PERCCO-520</v>
      </c>
      <c r="C521" s="1" t="s">
        <v>7461</v>
      </c>
      <c r="D521" s="1" t="str">
        <f>VLOOKUP(C521,t_objeto!B:C,2,FALSE)</f>
        <v>RESOURCES_POOL</v>
      </c>
      <c r="E521" s="2" t="s">
        <v>8238</v>
      </c>
      <c r="F521" s="2" t="s">
        <v>8872</v>
      </c>
      <c r="G521" s="1">
        <v>8</v>
      </c>
      <c r="H521" s="1" t="str">
        <f>VLOOKUP(G521,t_entry_status!A:C,2,FALSE)</f>
        <v>PENDING</v>
      </c>
      <c r="I521" s="7">
        <v>45560</v>
      </c>
      <c r="J521" s="1" t="s">
        <v>7449</v>
      </c>
      <c r="K521" s="7">
        <v>45560</v>
      </c>
      <c r="L521" s="1" t="s">
        <v>7449</v>
      </c>
    </row>
    <row r="522" spans="1:12" x14ac:dyDescent="0.25">
      <c r="A522" s="1">
        <v>521</v>
      </c>
      <c r="B522" s="2" t="str">
        <f>_xlfn.CONCAT(C522,"-",VLOOKUP(C522,t_objeto!B:D,3,FALSE),"-",A522)</f>
        <v>RRPP-PERCCO-521</v>
      </c>
      <c r="C522" s="1" t="s">
        <v>7461</v>
      </c>
      <c r="D522" s="1" t="str">
        <f>VLOOKUP(C522,t_objeto!B:C,2,FALSE)</f>
        <v>RESOURCES_POOL</v>
      </c>
      <c r="E522" s="2" t="s">
        <v>8239</v>
      </c>
      <c r="F522" s="2" t="s">
        <v>8873</v>
      </c>
      <c r="G522" s="1">
        <v>8</v>
      </c>
      <c r="H522" s="1" t="str">
        <f>VLOOKUP(G522,t_entry_status!A:C,2,FALSE)</f>
        <v>PENDING</v>
      </c>
      <c r="I522" s="7">
        <v>45560</v>
      </c>
      <c r="J522" s="1" t="s">
        <v>7449</v>
      </c>
      <c r="K522" s="7">
        <v>45560</v>
      </c>
      <c r="L522" s="1" t="s">
        <v>7449</v>
      </c>
    </row>
    <row r="523" spans="1:12" x14ac:dyDescent="0.25">
      <c r="A523" s="1">
        <v>522</v>
      </c>
      <c r="B523" s="2" t="str">
        <f>_xlfn.CONCAT(C523,"-",VLOOKUP(C523,t_objeto!B:D,3,FALSE),"-",A523)</f>
        <v>RRPP-PERCCO-522</v>
      </c>
      <c r="C523" s="1" t="s">
        <v>7461</v>
      </c>
      <c r="D523" s="1" t="str">
        <f>VLOOKUP(C523,t_objeto!B:C,2,FALSE)</f>
        <v>RESOURCES_POOL</v>
      </c>
      <c r="E523" s="2" t="s">
        <v>8240</v>
      </c>
      <c r="F523" s="2" t="s">
        <v>8874</v>
      </c>
      <c r="G523" s="1">
        <v>8</v>
      </c>
      <c r="H523" s="1" t="str">
        <f>VLOOKUP(G523,t_entry_status!A:C,2,FALSE)</f>
        <v>PENDING</v>
      </c>
      <c r="I523" s="7">
        <v>45560</v>
      </c>
      <c r="J523" s="1" t="s">
        <v>7449</v>
      </c>
      <c r="K523" s="7">
        <v>45560</v>
      </c>
      <c r="L523" s="1" t="s">
        <v>7449</v>
      </c>
    </row>
    <row r="524" spans="1:12" x14ac:dyDescent="0.25">
      <c r="A524" s="1">
        <v>523</v>
      </c>
      <c r="B524" s="2" t="str">
        <f>_xlfn.CONCAT(C524,"-",VLOOKUP(C524,t_objeto!B:D,3,FALSE),"-",A524)</f>
        <v>RRPP-PERCCO-523</v>
      </c>
      <c r="C524" s="1" t="s">
        <v>7461</v>
      </c>
      <c r="D524" s="1" t="str">
        <f>VLOOKUP(C524,t_objeto!B:C,2,FALSE)</f>
        <v>RESOURCES_POOL</v>
      </c>
      <c r="E524" s="2" t="s">
        <v>8241</v>
      </c>
      <c r="F524" s="2" t="s">
        <v>8875</v>
      </c>
      <c r="G524" s="1">
        <v>8</v>
      </c>
      <c r="H524" s="1" t="str">
        <f>VLOOKUP(G524,t_entry_status!A:C,2,FALSE)</f>
        <v>PENDING</v>
      </c>
      <c r="I524" s="7">
        <v>45560</v>
      </c>
      <c r="J524" s="1" t="s">
        <v>7449</v>
      </c>
      <c r="K524" s="7">
        <v>45560</v>
      </c>
      <c r="L524" s="1" t="s">
        <v>7449</v>
      </c>
    </row>
    <row r="525" spans="1:12" x14ac:dyDescent="0.25">
      <c r="A525" s="1">
        <v>524</v>
      </c>
      <c r="B525" s="2" t="str">
        <f>_xlfn.CONCAT(C525,"-",VLOOKUP(C525,t_objeto!B:D,3,FALSE),"-",A525)</f>
        <v>RRPP-PERCCO-524</v>
      </c>
      <c r="C525" s="1" t="s">
        <v>7461</v>
      </c>
      <c r="D525" s="1" t="str">
        <f>VLOOKUP(C525,t_objeto!B:C,2,FALSE)</f>
        <v>RESOURCES_POOL</v>
      </c>
      <c r="E525" s="2" t="s">
        <v>8242</v>
      </c>
      <c r="F525" s="2" t="s">
        <v>8876</v>
      </c>
      <c r="G525" s="1">
        <v>8</v>
      </c>
      <c r="H525" s="1" t="str">
        <f>VLOOKUP(G525,t_entry_status!A:C,2,FALSE)</f>
        <v>PENDING</v>
      </c>
      <c r="I525" s="7">
        <v>45560</v>
      </c>
      <c r="J525" s="1" t="s">
        <v>7449</v>
      </c>
      <c r="K525" s="7">
        <v>45560</v>
      </c>
      <c r="L525" s="1" t="s">
        <v>7449</v>
      </c>
    </row>
    <row r="526" spans="1:12" x14ac:dyDescent="0.25">
      <c r="A526" s="1">
        <v>525</v>
      </c>
      <c r="B526" s="2" t="str">
        <f>_xlfn.CONCAT(C526,"-",VLOOKUP(C526,t_objeto!B:D,3,FALSE),"-",A526)</f>
        <v>RRPP-PERCCO-525</v>
      </c>
      <c r="C526" s="1" t="s">
        <v>7461</v>
      </c>
      <c r="D526" s="1" t="str">
        <f>VLOOKUP(C526,t_objeto!B:C,2,FALSE)</f>
        <v>RESOURCES_POOL</v>
      </c>
      <c r="E526" s="2" t="s">
        <v>8243</v>
      </c>
      <c r="F526" s="2" t="s">
        <v>8877</v>
      </c>
      <c r="G526" s="1">
        <v>8</v>
      </c>
      <c r="H526" s="1" t="str">
        <f>VLOOKUP(G526,t_entry_status!A:C,2,FALSE)</f>
        <v>PENDING</v>
      </c>
      <c r="I526" s="7">
        <v>45560</v>
      </c>
      <c r="J526" s="1" t="s">
        <v>7449</v>
      </c>
      <c r="K526" s="7">
        <v>45560</v>
      </c>
      <c r="L526" s="1" t="s">
        <v>7449</v>
      </c>
    </row>
    <row r="527" spans="1:12" x14ac:dyDescent="0.25">
      <c r="A527" s="1">
        <v>526</v>
      </c>
      <c r="B527" s="2" t="str">
        <f>_xlfn.CONCAT(C527,"-",VLOOKUP(C527,t_objeto!B:D,3,FALSE),"-",A527)</f>
        <v>RRPP-PERCCO-526</v>
      </c>
      <c r="C527" s="1" t="s">
        <v>7461</v>
      </c>
      <c r="D527" s="1" t="str">
        <f>VLOOKUP(C527,t_objeto!B:C,2,FALSE)</f>
        <v>RESOURCES_POOL</v>
      </c>
      <c r="E527" s="2" t="s">
        <v>8244</v>
      </c>
      <c r="F527" s="2" t="s">
        <v>8878</v>
      </c>
      <c r="G527" s="1">
        <v>8</v>
      </c>
      <c r="H527" s="1" t="str">
        <f>VLOOKUP(G527,t_entry_status!A:C,2,FALSE)</f>
        <v>PENDING</v>
      </c>
      <c r="I527" s="7">
        <v>45560</v>
      </c>
      <c r="J527" s="1" t="s">
        <v>7449</v>
      </c>
      <c r="K527" s="7">
        <v>45560</v>
      </c>
      <c r="L527" s="1" t="s">
        <v>7449</v>
      </c>
    </row>
    <row r="528" spans="1:12" x14ac:dyDescent="0.25">
      <c r="A528" s="1">
        <v>527</v>
      </c>
      <c r="B528" s="2" t="str">
        <f>_xlfn.CONCAT(C528,"-",VLOOKUP(C528,t_objeto!B:D,3,FALSE),"-",A528)</f>
        <v>RRPP-PERCCO-527</v>
      </c>
      <c r="C528" s="1" t="s">
        <v>7461</v>
      </c>
      <c r="D528" s="1" t="str">
        <f>VLOOKUP(C528,t_objeto!B:C,2,FALSE)</f>
        <v>RESOURCES_POOL</v>
      </c>
      <c r="E528" s="2" t="s">
        <v>8245</v>
      </c>
      <c r="F528" s="2" t="s">
        <v>8879</v>
      </c>
      <c r="G528" s="1">
        <v>8</v>
      </c>
      <c r="H528" s="1" t="str">
        <f>VLOOKUP(G528,t_entry_status!A:C,2,FALSE)</f>
        <v>PENDING</v>
      </c>
      <c r="I528" s="7">
        <v>45560</v>
      </c>
      <c r="J528" s="1" t="s">
        <v>7449</v>
      </c>
      <c r="K528" s="7">
        <v>45560</v>
      </c>
      <c r="L528" s="1" t="s">
        <v>7449</v>
      </c>
    </row>
    <row r="529" spans="1:12" x14ac:dyDescent="0.25">
      <c r="A529" s="1">
        <v>528</v>
      </c>
      <c r="B529" s="2" t="str">
        <f>_xlfn.CONCAT(C529,"-",VLOOKUP(C529,t_objeto!B:D,3,FALSE),"-",A529)</f>
        <v>RRPP-PERCCO-528</v>
      </c>
      <c r="C529" s="1" t="s">
        <v>7461</v>
      </c>
      <c r="D529" s="1" t="str">
        <f>VLOOKUP(C529,t_objeto!B:C,2,FALSE)</f>
        <v>RESOURCES_POOL</v>
      </c>
      <c r="E529" s="2" t="s">
        <v>8246</v>
      </c>
      <c r="F529" s="2" t="s">
        <v>8880</v>
      </c>
      <c r="G529" s="1">
        <v>8</v>
      </c>
      <c r="H529" s="1" t="str">
        <f>VLOOKUP(G529,t_entry_status!A:C,2,FALSE)</f>
        <v>PENDING</v>
      </c>
      <c r="I529" s="7">
        <v>45560</v>
      </c>
      <c r="J529" s="1" t="s">
        <v>7449</v>
      </c>
      <c r="K529" s="7">
        <v>45560</v>
      </c>
      <c r="L529" s="1" t="s">
        <v>7449</v>
      </c>
    </row>
    <row r="530" spans="1:12" x14ac:dyDescent="0.25">
      <c r="A530" s="1">
        <v>529</v>
      </c>
      <c r="B530" s="2" t="str">
        <f>_xlfn.CONCAT(C530,"-",VLOOKUP(C530,t_objeto!B:D,3,FALSE),"-",A530)</f>
        <v>RRPP-PERCCO-529</v>
      </c>
      <c r="C530" s="1" t="s">
        <v>7461</v>
      </c>
      <c r="D530" s="1" t="str">
        <f>VLOOKUP(C530,t_objeto!B:C,2,FALSE)</f>
        <v>RESOURCES_POOL</v>
      </c>
      <c r="E530" s="2" t="s">
        <v>8247</v>
      </c>
      <c r="F530" s="2" t="s">
        <v>8881</v>
      </c>
      <c r="G530" s="1">
        <v>8</v>
      </c>
      <c r="H530" s="1" t="str">
        <f>VLOOKUP(G530,t_entry_status!A:C,2,FALSE)</f>
        <v>PENDING</v>
      </c>
      <c r="I530" s="7">
        <v>45560</v>
      </c>
      <c r="J530" s="1" t="s">
        <v>7449</v>
      </c>
      <c r="K530" s="7">
        <v>45560</v>
      </c>
      <c r="L530" s="1" t="s">
        <v>7449</v>
      </c>
    </row>
    <row r="531" spans="1:12" x14ac:dyDescent="0.25">
      <c r="A531" s="1">
        <v>530</v>
      </c>
      <c r="B531" s="2" t="str">
        <f>_xlfn.CONCAT(C531,"-",VLOOKUP(C531,t_objeto!B:D,3,FALSE),"-",A531)</f>
        <v>RRPP-PERCCO-530</v>
      </c>
      <c r="C531" s="1" t="s">
        <v>7461</v>
      </c>
      <c r="D531" s="1" t="str">
        <f>VLOOKUP(C531,t_objeto!B:C,2,FALSE)</f>
        <v>RESOURCES_POOL</v>
      </c>
      <c r="E531" s="2" t="s">
        <v>8248</v>
      </c>
      <c r="F531" s="2" t="s">
        <v>8882</v>
      </c>
      <c r="G531" s="1">
        <v>8</v>
      </c>
      <c r="H531" s="1" t="str">
        <f>VLOOKUP(G531,t_entry_status!A:C,2,FALSE)</f>
        <v>PENDING</v>
      </c>
      <c r="I531" s="7">
        <v>45560</v>
      </c>
      <c r="J531" s="1" t="s">
        <v>7449</v>
      </c>
      <c r="K531" s="7">
        <v>45560</v>
      </c>
      <c r="L531" s="1" t="s">
        <v>7449</v>
      </c>
    </row>
    <row r="532" spans="1:12" x14ac:dyDescent="0.25">
      <c r="A532" s="1">
        <v>531</v>
      </c>
      <c r="B532" s="2" t="str">
        <f>_xlfn.CONCAT(C532,"-",VLOOKUP(C532,t_objeto!B:D,3,FALSE),"-",A532)</f>
        <v>RRPP-PERCCO-531</v>
      </c>
      <c r="C532" s="1" t="s">
        <v>7461</v>
      </c>
      <c r="D532" s="1" t="str">
        <f>VLOOKUP(C532,t_objeto!B:C,2,FALSE)</f>
        <v>RESOURCES_POOL</v>
      </c>
      <c r="E532" s="2" t="s">
        <v>8249</v>
      </c>
      <c r="F532" s="2" t="s">
        <v>8883</v>
      </c>
      <c r="G532" s="1">
        <v>8</v>
      </c>
      <c r="H532" s="1" t="str">
        <f>VLOOKUP(G532,t_entry_status!A:C,2,FALSE)</f>
        <v>PENDING</v>
      </c>
      <c r="I532" s="7">
        <v>45560</v>
      </c>
      <c r="J532" s="1" t="s">
        <v>7449</v>
      </c>
      <c r="K532" s="7">
        <v>45560</v>
      </c>
      <c r="L532" s="1" t="s">
        <v>7449</v>
      </c>
    </row>
    <row r="533" spans="1:12" x14ac:dyDescent="0.25">
      <c r="A533" s="1">
        <v>532</v>
      </c>
      <c r="B533" s="2" t="str">
        <f>_xlfn.CONCAT(C533,"-",VLOOKUP(C533,t_objeto!B:D,3,FALSE),"-",A533)</f>
        <v>RRPP-PERCCO-532</v>
      </c>
      <c r="C533" s="1" t="s">
        <v>7461</v>
      </c>
      <c r="D533" s="1" t="str">
        <f>VLOOKUP(C533,t_objeto!B:C,2,FALSE)</f>
        <v>RESOURCES_POOL</v>
      </c>
      <c r="E533" s="2" t="s">
        <v>8250</v>
      </c>
      <c r="F533" s="2" t="s">
        <v>8884</v>
      </c>
      <c r="G533" s="1">
        <v>8</v>
      </c>
      <c r="H533" s="1" t="str">
        <f>VLOOKUP(G533,t_entry_status!A:C,2,FALSE)</f>
        <v>PENDING</v>
      </c>
      <c r="I533" s="7">
        <v>45560</v>
      </c>
      <c r="J533" s="1" t="s">
        <v>7449</v>
      </c>
      <c r="K533" s="7">
        <v>45560</v>
      </c>
      <c r="L533" s="1" t="s">
        <v>7449</v>
      </c>
    </row>
    <row r="534" spans="1:12" x14ac:dyDescent="0.25">
      <c r="A534" s="1">
        <v>533</v>
      </c>
      <c r="B534" s="2" t="str">
        <f>_xlfn.CONCAT(C534,"-",VLOOKUP(C534,t_objeto!B:D,3,FALSE),"-",A534)</f>
        <v>RRPP-PERCCO-533</v>
      </c>
      <c r="C534" s="1" t="s">
        <v>7461</v>
      </c>
      <c r="D534" s="1" t="str">
        <f>VLOOKUP(C534,t_objeto!B:C,2,FALSE)</f>
        <v>RESOURCES_POOL</v>
      </c>
      <c r="E534" s="2" t="s">
        <v>8251</v>
      </c>
      <c r="F534" s="2" t="s">
        <v>8885</v>
      </c>
      <c r="G534" s="1">
        <v>8</v>
      </c>
      <c r="H534" s="1" t="str">
        <f>VLOOKUP(G534,t_entry_status!A:C,2,FALSE)</f>
        <v>PENDING</v>
      </c>
      <c r="I534" s="7">
        <v>45560</v>
      </c>
      <c r="J534" s="1" t="s">
        <v>7449</v>
      </c>
      <c r="K534" s="7">
        <v>45560</v>
      </c>
      <c r="L534" s="1" t="s">
        <v>7449</v>
      </c>
    </row>
    <row r="535" spans="1:12" x14ac:dyDescent="0.25">
      <c r="A535" s="1">
        <v>534</v>
      </c>
      <c r="B535" s="2" t="str">
        <f>_xlfn.CONCAT(C535,"-",VLOOKUP(C535,t_objeto!B:D,3,FALSE),"-",A535)</f>
        <v>RRPP-PERCCO-534</v>
      </c>
      <c r="C535" s="1" t="s">
        <v>7461</v>
      </c>
      <c r="D535" s="1" t="str">
        <f>VLOOKUP(C535,t_objeto!B:C,2,FALSE)</f>
        <v>RESOURCES_POOL</v>
      </c>
      <c r="E535" s="2" t="s">
        <v>8252</v>
      </c>
      <c r="F535" s="2" t="s">
        <v>8886</v>
      </c>
      <c r="G535" s="1">
        <v>8</v>
      </c>
      <c r="H535" s="1" t="str">
        <f>VLOOKUP(G535,t_entry_status!A:C,2,FALSE)</f>
        <v>PENDING</v>
      </c>
      <c r="I535" s="7">
        <v>45560</v>
      </c>
      <c r="J535" s="1" t="s">
        <v>7449</v>
      </c>
      <c r="K535" s="7">
        <v>45560</v>
      </c>
      <c r="L535" s="1" t="s">
        <v>7449</v>
      </c>
    </row>
    <row r="536" spans="1:12" x14ac:dyDescent="0.25">
      <c r="A536" s="1">
        <v>535</v>
      </c>
      <c r="B536" s="2" t="str">
        <f>_xlfn.CONCAT(C536,"-",VLOOKUP(C536,t_objeto!B:D,3,FALSE),"-",A536)</f>
        <v>RRPP-PERCCO-535</v>
      </c>
      <c r="C536" s="1" t="s">
        <v>7461</v>
      </c>
      <c r="D536" s="1" t="str">
        <f>VLOOKUP(C536,t_objeto!B:C,2,FALSE)</f>
        <v>RESOURCES_POOL</v>
      </c>
      <c r="E536" s="2" t="s">
        <v>8253</v>
      </c>
      <c r="F536" s="2" t="s">
        <v>8887</v>
      </c>
      <c r="G536" s="1">
        <v>8</v>
      </c>
      <c r="H536" s="1" t="str">
        <f>VLOOKUP(G536,t_entry_status!A:C,2,FALSE)</f>
        <v>PENDING</v>
      </c>
      <c r="I536" s="7">
        <v>45560</v>
      </c>
      <c r="J536" s="1" t="s">
        <v>7449</v>
      </c>
      <c r="K536" s="7">
        <v>45560</v>
      </c>
      <c r="L536" s="1" t="s">
        <v>7449</v>
      </c>
    </row>
    <row r="537" spans="1:12" x14ac:dyDescent="0.25">
      <c r="A537" s="1">
        <v>536</v>
      </c>
      <c r="B537" s="2" t="str">
        <f>_xlfn.CONCAT(C537,"-",VLOOKUP(C537,t_objeto!B:D,3,FALSE),"-",A537)</f>
        <v>RRPP-PERCCO-536</v>
      </c>
      <c r="C537" s="1" t="s">
        <v>7461</v>
      </c>
      <c r="D537" s="1" t="str">
        <f>VLOOKUP(C537,t_objeto!B:C,2,FALSE)</f>
        <v>RESOURCES_POOL</v>
      </c>
      <c r="E537" s="2" t="s">
        <v>8254</v>
      </c>
      <c r="F537" s="2" t="s">
        <v>8888</v>
      </c>
      <c r="G537" s="1">
        <v>8</v>
      </c>
      <c r="H537" s="1" t="str">
        <f>VLOOKUP(G537,t_entry_status!A:C,2,FALSE)</f>
        <v>PENDING</v>
      </c>
      <c r="I537" s="7">
        <v>45560</v>
      </c>
      <c r="J537" s="1" t="s">
        <v>7449</v>
      </c>
      <c r="K537" s="7">
        <v>45560</v>
      </c>
      <c r="L537" s="1" t="s">
        <v>7449</v>
      </c>
    </row>
    <row r="538" spans="1:12" x14ac:dyDescent="0.25">
      <c r="A538" s="1">
        <v>537</v>
      </c>
      <c r="B538" s="2" t="str">
        <f>_xlfn.CONCAT(C538,"-",VLOOKUP(C538,t_objeto!B:D,3,FALSE),"-",A538)</f>
        <v>RRPP-PERCCO-537</v>
      </c>
      <c r="C538" s="1" t="s">
        <v>7461</v>
      </c>
      <c r="D538" s="1" t="str">
        <f>VLOOKUP(C538,t_objeto!B:C,2,FALSE)</f>
        <v>RESOURCES_POOL</v>
      </c>
      <c r="E538" s="2" t="s">
        <v>8255</v>
      </c>
      <c r="F538" s="2" t="s">
        <v>8889</v>
      </c>
      <c r="G538" s="1">
        <v>8</v>
      </c>
      <c r="H538" s="1" t="str">
        <f>VLOOKUP(G538,t_entry_status!A:C,2,FALSE)</f>
        <v>PENDING</v>
      </c>
      <c r="I538" s="7">
        <v>45560</v>
      </c>
      <c r="J538" s="1" t="s">
        <v>7449</v>
      </c>
      <c r="K538" s="7">
        <v>45560</v>
      </c>
      <c r="L538" s="1" t="s">
        <v>7449</v>
      </c>
    </row>
    <row r="539" spans="1:12" x14ac:dyDescent="0.25">
      <c r="A539" s="1">
        <v>538</v>
      </c>
      <c r="B539" s="2" t="str">
        <f>_xlfn.CONCAT(C539,"-",VLOOKUP(C539,t_objeto!B:D,3,FALSE),"-",A539)</f>
        <v>RRPP-PERCCO-538</v>
      </c>
      <c r="C539" s="1" t="s">
        <v>7461</v>
      </c>
      <c r="D539" s="1" t="str">
        <f>VLOOKUP(C539,t_objeto!B:C,2,FALSE)</f>
        <v>RESOURCES_POOL</v>
      </c>
      <c r="E539" s="2" t="s">
        <v>8256</v>
      </c>
      <c r="F539" s="2" t="s">
        <v>8890</v>
      </c>
      <c r="G539" s="1">
        <v>8</v>
      </c>
      <c r="H539" s="1" t="str">
        <f>VLOOKUP(G539,t_entry_status!A:C,2,FALSE)</f>
        <v>PENDING</v>
      </c>
      <c r="I539" s="7">
        <v>45560</v>
      </c>
      <c r="J539" s="1" t="s">
        <v>7449</v>
      </c>
      <c r="K539" s="7">
        <v>45560</v>
      </c>
      <c r="L539" s="1" t="s">
        <v>7449</v>
      </c>
    </row>
    <row r="540" spans="1:12" x14ac:dyDescent="0.25">
      <c r="A540" s="1">
        <v>539</v>
      </c>
      <c r="B540" s="2" t="str">
        <f>_xlfn.CONCAT(C540,"-",VLOOKUP(C540,t_objeto!B:D,3,FALSE),"-",A540)</f>
        <v>RRPP-PERCCO-539</v>
      </c>
      <c r="C540" s="1" t="s">
        <v>7461</v>
      </c>
      <c r="D540" s="1" t="str">
        <f>VLOOKUP(C540,t_objeto!B:C,2,FALSE)</f>
        <v>RESOURCES_POOL</v>
      </c>
      <c r="E540" s="2" t="s">
        <v>8257</v>
      </c>
      <c r="F540" s="2" t="s">
        <v>8891</v>
      </c>
      <c r="G540" s="1">
        <v>8</v>
      </c>
      <c r="H540" s="1" t="str">
        <f>VLOOKUP(G540,t_entry_status!A:C,2,FALSE)</f>
        <v>PENDING</v>
      </c>
      <c r="I540" s="7">
        <v>45560</v>
      </c>
      <c r="J540" s="1" t="s">
        <v>7449</v>
      </c>
      <c r="K540" s="7">
        <v>45560</v>
      </c>
      <c r="L540" s="1" t="s">
        <v>7449</v>
      </c>
    </row>
    <row r="541" spans="1:12" x14ac:dyDescent="0.25">
      <c r="A541" s="1">
        <v>540</v>
      </c>
      <c r="B541" s="2" t="str">
        <f>_xlfn.CONCAT(C541,"-",VLOOKUP(C541,t_objeto!B:D,3,FALSE),"-",A541)</f>
        <v>RRPP-PERCCO-540</v>
      </c>
      <c r="C541" s="1" t="s">
        <v>7461</v>
      </c>
      <c r="D541" s="1" t="str">
        <f>VLOOKUP(C541,t_objeto!B:C,2,FALSE)</f>
        <v>RESOURCES_POOL</v>
      </c>
      <c r="E541" s="2" t="s">
        <v>8258</v>
      </c>
      <c r="F541" s="2" t="s">
        <v>8892</v>
      </c>
      <c r="G541" s="1">
        <v>8</v>
      </c>
      <c r="H541" s="1" t="str">
        <f>VLOOKUP(G541,t_entry_status!A:C,2,FALSE)</f>
        <v>PENDING</v>
      </c>
      <c r="I541" s="7">
        <v>45560</v>
      </c>
      <c r="J541" s="1" t="s">
        <v>7449</v>
      </c>
      <c r="K541" s="7">
        <v>45560</v>
      </c>
      <c r="L541" s="1" t="s">
        <v>7449</v>
      </c>
    </row>
    <row r="542" spans="1:12" x14ac:dyDescent="0.25">
      <c r="A542" s="1">
        <v>541</v>
      </c>
      <c r="B542" s="2" t="str">
        <f>_xlfn.CONCAT(C542,"-",VLOOKUP(C542,t_objeto!B:D,3,FALSE),"-",A542)</f>
        <v>RRPP-PERCCO-541</v>
      </c>
      <c r="C542" s="1" t="s">
        <v>7461</v>
      </c>
      <c r="D542" s="1" t="str">
        <f>VLOOKUP(C542,t_objeto!B:C,2,FALSE)</f>
        <v>RESOURCES_POOL</v>
      </c>
      <c r="E542" s="2" t="s">
        <v>8259</v>
      </c>
      <c r="F542" s="2" t="s">
        <v>8893</v>
      </c>
      <c r="G542" s="1">
        <v>8</v>
      </c>
      <c r="H542" s="1" t="str">
        <f>VLOOKUP(G542,t_entry_status!A:C,2,FALSE)</f>
        <v>PENDING</v>
      </c>
      <c r="I542" s="7">
        <v>45560</v>
      </c>
      <c r="J542" s="1" t="s">
        <v>7449</v>
      </c>
      <c r="K542" s="7">
        <v>45560</v>
      </c>
      <c r="L542" s="1" t="s">
        <v>7449</v>
      </c>
    </row>
    <row r="543" spans="1:12" x14ac:dyDescent="0.25">
      <c r="A543" s="1">
        <v>542</v>
      </c>
      <c r="B543" s="2" t="str">
        <f>_xlfn.CONCAT(C543,"-",VLOOKUP(C543,t_objeto!B:D,3,FALSE),"-",A543)</f>
        <v>RRPP-PERCCO-542</v>
      </c>
      <c r="C543" s="1" t="s">
        <v>7461</v>
      </c>
      <c r="D543" s="1" t="str">
        <f>VLOOKUP(C543,t_objeto!B:C,2,FALSE)</f>
        <v>RESOURCES_POOL</v>
      </c>
      <c r="E543" s="2" t="s">
        <v>8260</v>
      </c>
      <c r="F543" s="2" t="s">
        <v>8894</v>
      </c>
      <c r="G543" s="1">
        <v>8</v>
      </c>
      <c r="H543" s="1" t="str">
        <f>VLOOKUP(G543,t_entry_status!A:C,2,FALSE)</f>
        <v>PENDING</v>
      </c>
      <c r="I543" s="7">
        <v>45560</v>
      </c>
      <c r="J543" s="1" t="s">
        <v>7449</v>
      </c>
      <c r="K543" s="7">
        <v>45560</v>
      </c>
      <c r="L543" s="1" t="s">
        <v>7449</v>
      </c>
    </row>
    <row r="544" spans="1:12" x14ac:dyDescent="0.25">
      <c r="A544" s="1">
        <v>543</v>
      </c>
      <c r="B544" s="2" t="str">
        <f>_xlfn.CONCAT(C544,"-",VLOOKUP(C544,t_objeto!B:D,3,FALSE),"-",A544)</f>
        <v>RRPP-PERCCO-543</v>
      </c>
      <c r="C544" s="1" t="s">
        <v>7461</v>
      </c>
      <c r="D544" s="1" t="str">
        <f>VLOOKUP(C544,t_objeto!B:C,2,FALSE)</f>
        <v>RESOURCES_POOL</v>
      </c>
      <c r="E544" s="2" t="s">
        <v>8261</v>
      </c>
      <c r="F544" s="2" t="s">
        <v>8895</v>
      </c>
      <c r="G544" s="1">
        <v>8</v>
      </c>
      <c r="H544" s="1" t="str">
        <f>VLOOKUP(G544,t_entry_status!A:C,2,FALSE)</f>
        <v>PENDING</v>
      </c>
      <c r="I544" s="7">
        <v>45560</v>
      </c>
      <c r="J544" s="1" t="s">
        <v>7449</v>
      </c>
      <c r="K544" s="7">
        <v>45560</v>
      </c>
      <c r="L544" s="1" t="s">
        <v>7449</v>
      </c>
    </row>
    <row r="545" spans="1:12" x14ac:dyDescent="0.25">
      <c r="A545" s="1">
        <v>544</v>
      </c>
      <c r="B545" s="2" t="str">
        <f>_xlfn.CONCAT(C545,"-",VLOOKUP(C545,t_objeto!B:D,3,FALSE),"-",A545)</f>
        <v>RRPP-PERCCO-544</v>
      </c>
      <c r="C545" s="1" t="s">
        <v>7461</v>
      </c>
      <c r="D545" s="1" t="str">
        <f>VLOOKUP(C545,t_objeto!B:C,2,FALSE)</f>
        <v>RESOURCES_POOL</v>
      </c>
      <c r="E545" s="2" t="s">
        <v>8262</v>
      </c>
      <c r="F545" s="2" t="s">
        <v>8896</v>
      </c>
      <c r="G545" s="1">
        <v>8</v>
      </c>
      <c r="H545" s="1" t="str">
        <f>VLOOKUP(G545,t_entry_status!A:C,2,FALSE)</f>
        <v>PENDING</v>
      </c>
      <c r="I545" s="7">
        <v>45560</v>
      </c>
      <c r="J545" s="1" t="s">
        <v>7449</v>
      </c>
      <c r="K545" s="7">
        <v>45560</v>
      </c>
      <c r="L545" s="1" t="s">
        <v>7449</v>
      </c>
    </row>
    <row r="546" spans="1:12" x14ac:dyDescent="0.25">
      <c r="A546" s="1">
        <v>545</v>
      </c>
      <c r="B546" s="2" t="str">
        <f>_xlfn.CONCAT(C546,"-",VLOOKUP(C546,t_objeto!B:D,3,FALSE),"-",A546)</f>
        <v>RRPP-PERCCO-545</v>
      </c>
      <c r="C546" s="1" t="s">
        <v>7461</v>
      </c>
      <c r="D546" s="1" t="str">
        <f>VLOOKUP(C546,t_objeto!B:C,2,FALSE)</f>
        <v>RESOURCES_POOL</v>
      </c>
      <c r="E546" s="2" t="s">
        <v>8263</v>
      </c>
      <c r="F546" s="2" t="s">
        <v>8897</v>
      </c>
      <c r="G546" s="1">
        <v>8</v>
      </c>
      <c r="H546" s="1" t="str">
        <f>VLOOKUP(G546,t_entry_status!A:C,2,FALSE)</f>
        <v>PENDING</v>
      </c>
      <c r="I546" s="7">
        <v>45560</v>
      </c>
      <c r="J546" s="1" t="s">
        <v>7449</v>
      </c>
      <c r="K546" s="7">
        <v>45560</v>
      </c>
      <c r="L546" s="1" t="s">
        <v>7449</v>
      </c>
    </row>
  </sheetData>
  <autoFilter ref="A1:L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D136E253-42E4-48DA-892D-7B4C40ED5663}">
          <x14:formula1>
            <xm:f>t_entry_status!$A:$A</xm:f>
          </x14:formula1>
          <xm:sqref>G2:G546</xm:sqref>
        </x14:dataValidation>
        <x14:dataValidation type="list" allowBlank="1" showInputMessage="1" showErrorMessage="1" xr:uid="{B3EF156B-E78B-44C8-8842-DB85E7439A48}">
          <x14:formula1>
            <xm:f>t_materialKit!$B:$B</xm:f>
          </x14:formula1>
          <xm:sqref>E2:E546</xm:sqref>
        </x14:dataValidation>
        <x14:dataValidation type="list" allowBlank="1" showInputMessage="1" showErrorMessage="1" xr:uid="{F2DDD4BD-8901-458F-85A6-8B3F37FF6CB4}">
          <x14:formula1>
            <xm:f>t_objeto!$B:$B</xm:f>
          </x14:formula1>
          <xm:sqref>C2:C546</xm:sqref>
        </x14:dataValidation>
        <x14:dataValidation type="list" allowBlank="1" showInputMessage="1" showErrorMessage="1" xr:uid="{B99E021E-75EA-4E00-AA27-69E98FDDA251}">
          <x14:formula1>
            <xm:f>t_workInstruction!$B:$B</xm:f>
          </x14:formula1>
          <xm:sqref>F2:F546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5BAF3-3392-446D-8FF6-9452FBE576BD}">
  <dimension ref="A1:J546"/>
  <sheetViews>
    <sheetView workbookViewId="0">
      <selection activeCell="B1" sqref="B1"/>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12.7109375" style="1" bestFit="1" customWidth="1"/>
    <col min="6" max="6" width="26.7109375" style="1" bestFit="1" customWidth="1"/>
    <col min="7" max="7" width="15.42578125" style="1" bestFit="1" customWidth="1"/>
    <col min="8" max="8" width="14" style="1" bestFit="1" customWidth="1"/>
    <col min="9" max="9" width="16.28515625" style="1" bestFit="1" customWidth="1"/>
    <col min="10" max="10" width="14.5703125" style="1" bestFit="1" customWidth="1"/>
    <col min="11" max="16384" width="8.85546875" style="1"/>
  </cols>
  <sheetData>
    <row r="1" spans="1:10" s="6" customFormat="1" x14ac:dyDescent="0.25">
      <c r="A1" s="5" t="s">
        <v>7286</v>
      </c>
      <c r="B1" s="5" t="s">
        <v>8349</v>
      </c>
      <c r="C1" s="5" t="s">
        <v>7333</v>
      </c>
      <c r="D1" s="5" t="s">
        <v>7287</v>
      </c>
      <c r="E1" s="5" t="s">
        <v>24</v>
      </c>
      <c r="F1" s="5" t="s">
        <v>43</v>
      </c>
      <c r="G1" s="5" t="s">
        <v>44</v>
      </c>
      <c r="H1" s="5" t="s">
        <v>45</v>
      </c>
      <c r="I1" s="5" t="s">
        <v>46</v>
      </c>
      <c r="J1" s="5" t="s">
        <v>47</v>
      </c>
    </row>
    <row r="2" spans="1:10" x14ac:dyDescent="0.25">
      <c r="A2" s="1">
        <v>1</v>
      </c>
      <c r="B2" s="2" t="str">
        <f>_xlfn.CONCAT(C2,"-",VLOOKUP(C2,t_objeto!B:D,3,FALSE),"-",A2)</f>
        <v>MMII-PERCCO-1</v>
      </c>
      <c r="C2" s="1" t="s">
        <v>8352</v>
      </c>
      <c r="D2" s="1" t="str">
        <f>VLOOKUP(C2,t_objeto!B:C,2,FALSE)</f>
        <v>METHOD_INSTRUCTION</v>
      </c>
      <c r="E2" s="1">
        <v>8</v>
      </c>
      <c r="F2" s="1" t="str">
        <f>VLOOKUP(E2,t_entry_status!A:C,2,FALSE)</f>
        <v>PENDING</v>
      </c>
      <c r="G2" s="7">
        <v>45560</v>
      </c>
      <c r="H2" s="1" t="s">
        <v>7449</v>
      </c>
      <c r="I2" s="7">
        <v>45560</v>
      </c>
      <c r="J2" s="1" t="s">
        <v>7449</v>
      </c>
    </row>
    <row r="3" spans="1:10" x14ac:dyDescent="0.25">
      <c r="A3" s="1">
        <v>2</v>
      </c>
      <c r="B3" s="2" t="str">
        <f>_xlfn.CONCAT(C3,"-",VLOOKUP(C3,t_objeto!B:D,3,FALSE),"-",A3)</f>
        <v>MMII-PERCCO-2</v>
      </c>
      <c r="C3" s="1" t="s">
        <v>8352</v>
      </c>
      <c r="D3" s="1" t="str">
        <f>VLOOKUP(C3,t_objeto!B:C,2,FALSE)</f>
        <v>METHOD_INSTRUCTION</v>
      </c>
      <c r="E3" s="1">
        <v>8</v>
      </c>
      <c r="F3" s="1" t="str">
        <f>VLOOKUP(E3,t_entry_status!A:C,2,FALSE)</f>
        <v>PENDING</v>
      </c>
      <c r="G3" s="7">
        <v>45560</v>
      </c>
      <c r="H3" s="1" t="s">
        <v>7449</v>
      </c>
      <c r="I3" s="7">
        <v>45560</v>
      </c>
      <c r="J3" s="1" t="s">
        <v>7449</v>
      </c>
    </row>
    <row r="4" spans="1:10" x14ac:dyDescent="0.25">
      <c r="A4" s="1">
        <v>3</v>
      </c>
      <c r="B4" s="2" t="str">
        <f>_xlfn.CONCAT(C4,"-",VLOOKUP(C4,t_objeto!B:D,3,FALSE),"-",A4)</f>
        <v>MMII-PERCCO-3</v>
      </c>
      <c r="C4" s="1" t="s">
        <v>8352</v>
      </c>
      <c r="D4" s="1" t="str">
        <f>VLOOKUP(C4,t_objeto!B:C,2,FALSE)</f>
        <v>METHOD_INSTRUCTION</v>
      </c>
      <c r="E4" s="1">
        <v>8</v>
      </c>
      <c r="F4" s="1" t="str">
        <f>VLOOKUP(E4,t_entry_status!A:C,2,FALSE)</f>
        <v>PENDING</v>
      </c>
      <c r="G4" s="7">
        <v>45560</v>
      </c>
      <c r="H4" s="1" t="s">
        <v>7449</v>
      </c>
      <c r="I4" s="7">
        <v>45560</v>
      </c>
      <c r="J4" s="1" t="s">
        <v>7449</v>
      </c>
    </row>
    <row r="5" spans="1:10" x14ac:dyDescent="0.25">
      <c r="A5" s="1">
        <v>4</v>
      </c>
      <c r="B5" s="2" t="str">
        <f>_xlfn.CONCAT(C5,"-",VLOOKUP(C5,t_objeto!B:D,3,FALSE),"-",A5)</f>
        <v>MMII-PERCCO-4</v>
      </c>
      <c r="C5" s="1" t="s">
        <v>8352</v>
      </c>
      <c r="D5" s="1" t="str">
        <f>VLOOKUP(C5,t_objeto!B:C,2,FALSE)</f>
        <v>METHOD_INSTRUCTION</v>
      </c>
      <c r="E5" s="1">
        <v>8</v>
      </c>
      <c r="F5" s="1" t="str">
        <f>VLOOKUP(E5,t_entry_status!A:C,2,FALSE)</f>
        <v>PENDING</v>
      </c>
      <c r="G5" s="7">
        <v>45560</v>
      </c>
      <c r="H5" s="1" t="s">
        <v>7449</v>
      </c>
      <c r="I5" s="7">
        <v>45560</v>
      </c>
      <c r="J5" s="1" t="s">
        <v>7449</v>
      </c>
    </row>
    <row r="6" spans="1:10" x14ac:dyDescent="0.25">
      <c r="A6" s="1">
        <v>5</v>
      </c>
      <c r="B6" s="2" t="str">
        <f>_xlfn.CONCAT(C6,"-",VLOOKUP(C6,t_objeto!B:D,3,FALSE),"-",A6)</f>
        <v>MMII-PERCCO-5</v>
      </c>
      <c r="C6" s="1" t="s">
        <v>8352</v>
      </c>
      <c r="D6" s="1" t="str">
        <f>VLOOKUP(C6,t_objeto!B:C,2,FALSE)</f>
        <v>METHOD_INSTRUCTION</v>
      </c>
      <c r="E6" s="1">
        <v>8</v>
      </c>
      <c r="F6" s="1" t="str">
        <f>VLOOKUP(E6,t_entry_status!A:C,2,FALSE)</f>
        <v>PENDING</v>
      </c>
      <c r="G6" s="7">
        <v>45560</v>
      </c>
      <c r="H6" s="1" t="s">
        <v>7449</v>
      </c>
      <c r="I6" s="7">
        <v>45560</v>
      </c>
      <c r="J6" s="1" t="s">
        <v>7449</v>
      </c>
    </row>
    <row r="7" spans="1:10" x14ac:dyDescent="0.25">
      <c r="A7" s="1">
        <v>6</v>
      </c>
      <c r="B7" s="2" t="str">
        <f>_xlfn.CONCAT(C7,"-",VLOOKUP(C7,t_objeto!B:D,3,FALSE),"-",A7)</f>
        <v>MMII-PERCCO-6</v>
      </c>
      <c r="C7" s="1" t="s">
        <v>8352</v>
      </c>
      <c r="D7" s="1" t="str">
        <f>VLOOKUP(C7,t_objeto!B:C,2,FALSE)</f>
        <v>METHOD_INSTRUCTION</v>
      </c>
      <c r="E7" s="1">
        <v>8</v>
      </c>
      <c r="F7" s="1" t="str">
        <f>VLOOKUP(E7,t_entry_status!A:C,2,FALSE)</f>
        <v>PENDING</v>
      </c>
      <c r="G7" s="7">
        <v>45560</v>
      </c>
      <c r="H7" s="1" t="s">
        <v>7449</v>
      </c>
      <c r="I7" s="7">
        <v>45560</v>
      </c>
      <c r="J7" s="1" t="s">
        <v>7449</v>
      </c>
    </row>
    <row r="8" spans="1:10" x14ac:dyDescent="0.25">
      <c r="A8" s="1">
        <v>7</v>
      </c>
      <c r="B8" s="2" t="str">
        <f>_xlfn.CONCAT(C8,"-",VLOOKUP(C8,t_objeto!B:D,3,FALSE),"-",A8)</f>
        <v>MMII-PERCCO-7</v>
      </c>
      <c r="C8" s="1" t="s">
        <v>8352</v>
      </c>
      <c r="D8" s="1" t="str">
        <f>VLOOKUP(C8,t_objeto!B:C,2,FALSE)</f>
        <v>METHOD_INSTRUCTION</v>
      </c>
      <c r="E8" s="1">
        <v>8</v>
      </c>
      <c r="F8" s="1" t="str">
        <f>VLOOKUP(E8,t_entry_status!A:C,2,FALSE)</f>
        <v>PENDING</v>
      </c>
      <c r="G8" s="7">
        <v>45560</v>
      </c>
      <c r="H8" s="1" t="s">
        <v>7449</v>
      </c>
      <c r="I8" s="7">
        <v>45560</v>
      </c>
      <c r="J8" s="1" t="s">
        <v>7449</v>
      </c>
    </row>
    <row r="9" spans="1:10" x14ac:dyDescent="0.25">
      <c r="A9" s="1">
        <v>8</v>
      </c>
      <c r="B9" s="2" t="str">
        <f>_xlfn.CONCAT(C9,"-",VLOOKUP(C9,t_objeto!B:D,3,FALSE),"-",A9)</f>
        <v>MMII-PERCCO-8</v>
      </c>
      <c r="C9" s="1" t="s">
        <v>8352</v>
      </c>
      <c r="D9" s="1" t="str">
        <f>VLOOKUP(C9,t_objeto!B:C,2,FALSE)</f>
        <v>METHOD_INSTRUCTION</v>
      </c>
      <c r="E9" s="1">
        <v>8</v>
      </c>
      <c r="F9" s="1" t="str">
        <f>VLOOKUP(E9,t_entry_status!A:C,2,FALSE)</f>
        <v>PENDING</v>
      </c>
      <c r="G9" s="7">
        <v>45560</v>
      </c>
      <c r="H9" s="1" t="s">
        <v>7449</v>
      </c>
      <c r="I9" s="7">
        <v>45560</v>
      </c>
      <c r="J9" s="1" t="s">
        <v>7449</v>
      </c>
    </row>
    <row r="10" spans="1:10" x14ac:dyDescent="0.25">
      <c r="A10" s="1">
        <v>9</v>
      </c>
      <c r="B10" s="2" t="str">
        <f>_xlfn.CONCAT(C10,"-",VLOOKUP(C10,t_objeto!B:D,3,FALSE),"-",A10)</f>
        <v>MMII-PERCCO-9</v>
      </c>
      <c r="C10" s="1" t="s">
        <v>8352</v>
      </c>
      <c r="D10" s="1" t="str">
        <f>VLOOKUP(C10,t_objeto!B:C,2,FALSE)</f>
        <v>METHOD_INSTRUCTION</v>
      </c>
      <c r="E10" s="1">
        <v>8</v>
      </c>
      <c r="F10" s="1" t="str">
        <f>VLOOKUP(E10,t_entry_status!A:C,2,FALSE)</f>
        <v>PENDING</v>
      </c>
      <c r="G10" s="7">
        <v>45560</v>
      </c>
      <c r="H10" s="1" t="s">
        <v>7449</v>
      </c>
      <c r="I10" s="7">
        <v>45560</v>
      </c>
      <c r="J10" s="1" t="s">
        <v>7449</v>
      </c>
    </row>
    <row r="11" spans="1:10" x14ac:dyDescent="0.25">
      <c r="A11" s="1">
        <v>10</v>
      </c>
      <c r="B11" s="2" t="str">
        <f>_xlfn.CONCAT(C11,"-",VLOOKUP(C11,t_objeto!B:D,3,FALSE),"-",A11)</f>
        <v>MMII-PERCCO-10</v>
      </c>
      <c r="C11" s="1" t="s">
        <v>8352</v>
      </c>
      <c r="D11" s="1" t="str">
        <f>VLOOKUP(C11,t_objeto!B:C,2,FALSE)</f>
        <v>METHOD_INSTRUCTION</v>
      </c>
      <c r="E11" s="1">
        <v>8</v>
      </c>
      <c r="F11" s="1" t="str">
        <f>VLOOKUP(E11,t_entry_status!A:C,2,FALSE)</f>
        <v>PENDING</v>
      </c>
      <c r="G11" s="7">
        <v>45560</v>
      </c>
      <c r="H11" s="1" t="s">
        <v>7449</v>
      </c>
      <c r="I11" s="7">
        <v>45560</v>
      </c>
      <c r="J11" s="1" t="s">
        <v>7449</v>
      </c>
    </row>
    <row r="12" spans="1:10" x14ac:dyDescent="0.25">
      <c r="A12" s="1">
        <v>11</v>
      </c>
      <c r="B12" s="2" t="str">
        <f>_xlfn.CONCAT(C12,"-",VLOOKUP(C12,t_objeto!B:D,3,FALSE),"-",A12)</f>
        <v>MMII-PERCCO-11</v>
      </c>
      <c r="C12" s="1" t="s">
        <v>8352</v>
      </c>
      <c r="D12" s="1" t="str">
        <f>VLOOKUP(C12,t_objeto!B:C,2,FALSE)</f>
        <v>METHOD_INSTRUCTION</v>
      </c>
      <c r="E12" s="1">
        <v>8</v>
      </c>
      <c r="F12" s="1" t="str">
        <f>VLOOKUP(E12,t_entry_status!A:C,2,FALSE)</f>
        <v>PENDING</v>
      </c>
      <c r="G12" s="7">
        <v>45560</v>
      </c>
      <c r="H12" s="1" t="s">
        <v>7449</v>
      </c>
      <c r="I12" s="7">
        <v>45560</v>
      </c>
      <c r="J12" s="1" t="s">
        <v>7449</v>
      </c>
    </row>
    <row r="13" spans="1:10" x14ac:dyDescent="0.25">
      <c r="A13" s="1">
        <v>12</v>
      </c>
      <c r="B13" s="2" t="str">
        <f>_xlfn.CONCAT(C13,"-",VLOOKUP(C13,t_objeto!B:D,3,FALSE),"-",A13)</f>
        <v>MMII-PERCCO-12</v>
      </c>
      <c r="C13" s="1" t="s">
        <v>8352</v>
      </c>
      <c r="D13" s="1" t="str">
        <f>VLOOKUP(C13,t_objeto!B:C,2,FALSE)</f>
        <v>METHOD_INSTRUCTION</v>
      </c>
      <c r="E13" s="1">
        <v>8</v>
      </c>
      <c r="F13" s="1" t="str">
        <f>VLOOKUP(E13,t_entry_status!A:C,2,FALSE)</f>
        <v>PENDING</v>
      </c>
      <c r="G13" s="7">
        <v>45560</v>
      </c>
      <c r="H13" s="1" t="s">
        <v>7449</v>
      </c>
      <c r="I13" s="7">
        <v>45560</v>
      </c>
      <c r="J13" s="1" t="s">
        <v>7449</v>
      </c>
    </row>
    <row r="14" spans="1:10" x14ac:dyDescent="0.25">
      <c r="A14" s="1">
        <v>13</v>
      </c>
      <c r="B14" s="2" t="str">
        <f>_xlfn.CONCAT(C14,"-",VLOOKUP(C14,t_objeto!B:D,3,FALSE),"-",A14)</f>
        <v>MMII-PERCCO-13</v>
      </c>
      <c r="C14" s="1" t="s">
        <v>8352</v>
      </c>
      <c r="D14" s="1" t="str">
        <f>VLOOKUP(C14,t_objeto!B:C,2,FALSE)</f>
        <v>METHOD_INSTRUCTION</v>
      </c>
      <c r="E14" s="1">
        <v>8</v>
      </c>
      <c r="F14" s="1" t="str">
        <f>VLOOKUP(E14,t_entry_status!A:C,2,FALSE)</f>
        <v>PENDING</v>
      </c>
      <c r="G14" s="7">
        <v>45560</v>
      </c>
      <c r="H14" s="1" t="s">
        <v>7449</v>
      </c>
      <c r="I14" s="7">
        <v>45560</v>
      </c>
      <c r="J14" s="1" t="s">
        <v>7449</v>
      </c>
    </row>
    <row r="15" spans="1:10" x14ac:dyDescent="0.25">
      <c r="A15" s="1">
        <v>14</v>
      </c>
      <c r="B15" s="2" t="str">
        <f>_xlfn.CONCAT(C15,"-",VLOOKUP(C15,t_objeto!B:D,3,FALSE),"-",A15)</f>
        <v>MMII-PERCCO-14</v>
      </c>
      <c r="C15" s="1" t="s">
        <v>8352</v>
      </c>
      <c r="D15" s="1" t="str">
        <f>VLOOKUP(C15,t_objeto!B:C,2,FALSE)</f>
        <v>METHOD_INSTRUCTION</v>
      </c>
      <c r="E15" s="1">
        <v>8</v>
      </c>
      <c r="F15" s="1" t="str">
        <f>VLOOKUP(E15,t_entry_status!A:C,2,FALSE)</f>
        <v>PENDING</v>
      </c>
      <c r="G15" s="7">
        <v>45560</v>
      </c>
      <c r="H15" s="1" t="s">
        <v>7449</v>
      </c>
      <c r="I15" s="7">
        <v>45560</v>
      </c>
      <c r="J15" s="1" t="s">
        <v>7449</v>
      </c>
    </row>
    <row r="16" spans="1:10" x14ac:dyDescent="0.25">
      <c r="A16" s="1">
        <v>15</v>
      </c>
      <c r="B16" s="2" t="str">
        <f>_xlfn.CONCAT(C16,"-",VLOOKUP(C16,t_objeto!B:D,3,FALSE),"-",A16)</f>
        <v>MMII-PERCCO-15</v>
      </c>
      <c r="C16" s="1" t="s">
        <v>8352</v>
      </c>
      <c r="D16" s="1" t="str">
        <f>VLOOKUP(C16,t_objeto!B:C,2,FALSE)</f>
        <v>METHOD_INSTRUCTION</v>
      </c>
      <c r="E16" s="1">
        <v>8</v>
      </c>
      <c r="F16" s="1" t="str">
        <f>VLOOKUP(E16,t_entry_status!A:C,2,FALSE)</f>
        <v>PENDING</v>
      </c>
      <c r="G16" s="7">
        <v>45560</v>
      </c>
      <c r="H16" s="1" t="s">
        <v>7449</v>
      </c>
      <c r="I16" s="7">
        <v>45560</v>
      </c>
      <c r="J16" s="1" t="s">
        <v>7449</v>
      </c>
    </row>
    <row r="17" spans="1:10" x14ac:dyDescent="0.25">
      <c r="A17" s="1">
        <v>16</v>
      </c>
      <c r="B17" s="2" t="str">
        <f>_xlfn.CONCAT(C17,"-",VLOOKUP(C17,t_objeto!B:D,3,FALSE),"-",A17)</f>
        <v>MMII-PERCCO-16</v>
      </c>
      <c r="C17" s="1" t="s">
        <v>8352</v>
      </c>
      <c r="D17" s="1" t="str">
        <f>VLOOKUP(C17,t_objeto!B:C,2,FALSE)</f>
        <v>METHOD_INSTRUCTION</v>
      </c>
      <c r="E17" s="1">
        <v>8</v>
      </c>
      <c r="F17" s="1" t="str">
        <f>VLOOKUP(E17,t_entry_status!A:C,2,FALSE)</f>
        <v>PENDING</v>
      </c>
      <c r="G17" s="7">
        <v>45560</v>
      </c>
      <c r="H17" s="1" t="s">
        <v>7449</v>
      </c>
      <c r="I17" s="7">
        <v>45560</v>
      </c>
      <c r="J17" s="1" t="s">
        <v>7449</v>
      </c>
    </row>
    <row r="18" spans="1:10" x14ac:dyDescent="0.25">
      <c r="A18" s="1">
        <v>17</v>
      </c>
      <c r="B18" s="2" t="str">
        <f>_xlfn.CONCAT(C18,"-",VLOOKUP(C18,t_objeto!B:D,3,FALSE),"-",A18)</f>
        <v>MMII-PERCCO-17</v>
      </c>
      <c r="C18" s="1" t="s">
        <v>8352</v>
      </c>
      <c r="D18" s="1" t="str">
        <f>VLOOKUP(C18,t_objeto!B:C,2,FALSE)</f>
        <v>METHOD_INSTRUCTION</v>
      </c>
      <c r="E18" s="1">
        <v>8</v>
      </c>
      <c r="F18" s="1" t="str">
        <f>VLOOKUP(E18,t_entry_status!A:C,2,FALSE)</f>
        <v>PENDING</v>
      </c>
      <c r="G18" s="7">
        <v>45560</v>
      </c>
      <c r="H18" s="1" t="s">
        <v>7449</v>
      </c>
      <c r="I18" s="7">
        <v>45560</v>
      </c>
      <c r="J18" s="1" t="s">
        <v>7449</v>
      </c>
    </row>
    <row r="19" spans="1:10" x14ac:dyDescent="0.25">
      <c r="A19" s="1">
        <v>18</v>
      </c>
      <c r="B19" s="2" t="str">
        <f>_xlfn.CONCAT(C19,"-",VLOOKUP(C19,t_objeto!B:D,3,FALSE),"-",A19)</f>
        <v>MMII-PERCCO-18</v>
      </c>
      <c r="C19" s="1" t="s">
        <v>8352</v>
      </c>
      <c r="D19" s="1" t="str">
        <f>VLOOKUP(C19,t_objeto!B:C,2,FALSE)</f>
        <v>METHOD_INSTRUCTION</v>
      </c>
      <c r="E19" s="1">
        <v>8</v>
      </c>
      <c r="F19" s="1" t="str">
        <f>VLOOKUP(E19,t_entry_status!A:C,2,FALSE)</f>
        <v>PENDING</v>
      </c>
      <c r="G19" s="7">
        <v>45560</v>
      </c>
      <c r="H19" s="1" t="s">
        <v>7449</v>
      </c>
      <c r="I19" s="7">
        <v>45560</v>
      </c>
      <c r="J19" s="1" t="s">
        <v>7449</v>
      </c>
    </row>
    <row r="20" spans="1:10" x14ac:dyDescent="0.25">
      <c r="A20" s="1">
        <v>19</v>
      </c>
      <c r="B20" s="2" t="str">
        <f>_xlfn.CONCAT(C20,"-",VLOOKUP(C20,t_objeto!B:D,3,FALSE),"-",A20)</f>
        <v>MMII-PERCCO-19</v>
      </c>
      <c r="C20" s="1" t="s">
        <v>8352</v>
      </c>
      <c r="D20" s="1" t="str">
        <f>VLOOKUP(C20,t_objeto!B:C,2,FALSE)</f>
        <v>METHOD_INSTRUCTION</v>
      </c>
      <c r="E20" s="1">
        <v>8</v>
      </c>
      <c r="F20" s="1" t="str">
        <f>VLOOKUP(E20,t_entry_status!A:C,2,FALSE)</f>
        <v>PENDING</v>
      </c>
      <c r="G20" s="7">
        <v>45560</v>
      </c>
      <c r="H20" s="1" t="s">
        <v>7449</v>
      </c>
      <c r="I20" s="7">
        <v>45560</v>
      </c>
      <c r="J20" s="1" t="s">
        <v>7449</v>
      </c>
    </row>
    <row r="21" spans="1:10" x14ac:dyDescent="0.25">
      <c r="A21" s="1">
        <v>20</v>
      </c>
      <c r="B21" s="2" t="str">
        <f>_xlfn.CONCAT(C21,"-",VLOOKUP(C21,t_objeto!B:D,3,FALSE),"-",A21)</f>
        <v>MMII-PERCCO-20</v>
      </c>
      <c r="C21" s="1" t="s">
        <v>8352</v>
      </c>
      <c r="D21" s="1" t="str">
        <f>VLOOKUP(C21,t_objeto!B:C,2,FALSE)</f>
        <v>METHOD_INSTRUCTION</v>
      </c>
      <c r="E21" s="1">
        <v>8</v>
      </c>
      <c r="F21" s="1" t="str">
        <f>VLOOKUP(E21,t_entry_status!A:C,2,FALSE)</f>
        <v>PENDING</v>
      </c>
      <c r="G21" s="7">
        <v>45560</v>
      </c>
      <c r="H21" s="1" t="s">
        <v>7449</v>
      </c>
      <c r="I21" s="7">
        <v>45560</v>
      </c>
      <c r="J21" s="1" t="s">
        <v>7449</v>
      </c>
    </row>
    <row r="22" spans="1:10" x14ac:dyDescent="0.25">
      <c r="A22" s="1">
        <v>21</v>
      </c>
      <c r="B22" s="2" t="str">
        <f>_xlfn.CONCAT(C22,"-",VLOOKUP(C22,t_objeto!B:D,3,FALSE),"-",A22)</f>
        <v>MMII-PERCCO-21</v>
      </c>
      <c r="C22" s="1" t="s">
        <v>8352</v>
      </c>
      <c r="D22" s="1" t="str">
        <f>VLOOKUP(C22,t_objeto!B:C,2,FALSE)</f>
        <v>METHOD_INSTRUCTION</v>
      </c>
      <c r="E22" s="1">
        <v>8</v>
      </c>
      <c r="F22" s="1" t="str">
        <f>VLOOKUP(E22,t_entry_status!A:C,2,FALSE)</f>
        <v>PENDING</v>
      </c>
      <c r="G22" s="7">
        <v>45560</v>
      </c>
      <c r="H22" s="1" t="s">
        <v>7449</v>
      </c>
      <c r="I22" s="7">
        <v>45560</v>
      </c>
      <c r="J22" s="1" t="s">
        <v>7449</v>
      </c>
    </row>
    <row r="23" spans="1:10" x14ac:dyDescent="0.25">
      <c r="A23" s="1">
        <v>22</v>
      </c>
      <c r="B23" s="2" t="str">
        <f>_xlfn.CONCAT(C23,"-",VLOOKUP(C23,t_objeto!B:D,3,FALSE),"-",A23)</f>
        <v>MMII-PERCCO-22</v>
      </c>
      <c r="C23" s="1" t="s">
        <v>8352</v>
      </c>
      <c r="D23" s="1" t="str">
        <f>VLOOKUP(C23,t_objeto!B:C,2,FALSE)</f>
        <v>METHOD_INSTRUCTION</v>
      </c>
      <c r="E23" s="1">
        <v>8</v>
      </c>
      <c r="F23" s="1" t="str">
        <f>VLOOKUP(E23,t_entry_status!A:C,2,FALSE)</f>
        <v>PENDING</v>
      </c>
      <c r="G23" s="7">
        <v>45560</v>
      </c>
      <c r="H23" s="1" t="s">
        <v>7449</v>
      </c>
      <c r="I23" s="7">
        <v>45560</v>
      </c>
      <c r="J23" s="1" t="s">
        <v>7449</v>
      </c>
    </row>
    <row r="24" spans="1:10" x14ac:dyDescent="0.25">
      <c r="A24" s="1">
        <v>23</v>
      </c>
      <c r="B24" s="2" t="str">
        <f>_xlfn.CONCAT(C24,"-",VLOOKUP(C24,t_objeto!B:D,3,FALSE),"-",A24)</f>
        <v>MMII-PERCCO-23</v>
      </c>
      <c r="C24" s="1" t="s">
        <v>8352</v>
      </c>
      <c r="D24" s="1" t="str">
        <f>VLOOKUP(C24,t_objeto!B:C,2,FALSE)</f>
        <v>METHOD_INSTRUCTION</v>
      </c>
      <c r="E24" s="1">
        <v>8</v>
      </c>
      <c r="F24" s="1" t="str">
        <f>VLOOKUP(E24,t_entry_status!A:C,2,FALSE)</f>
        <v>PENDING</v>
      </c>
      <c r="G24" s="7">
        <v>45560</v>
      </c>
      <c r="H24" s="1" t="s">
        <v>7449</v>
      </c>
      <c r="I24" s="7">
        <v>45560</v>
      </c>
      <c r="J24" s="1" t="s">
        <v>7449</v>
      </c>
    </row>
    <row r="25" spans="1:10" x14ac:dyDescent="0.25">
      <c r="A25" s="1">
        <v>24</v>
      </c>
      <c r="B25" s="2" t="str">
        <f>_xlfn.CONCAT(C25,"-",VLOOKUP(C25,t_objeto!B:D,3,FALSE),"-",A25)</f>
        <v>MMII-PERCCO-24</v>
      </c>
      <c r="C25" s="1" t="s">
        <v>8352</v>
      </c>
      <c r="D25" s="1" t="str">
        <f>VLOOKUP(C25,t_objeto!B:C,2,FALSE)</f>
        <v>METHOD_INSTRUCTION</v>
      </c>
      <c r="E25" s="1">
        <v>8</v>
      </c>
      <c r="F25" s="1" t="str">
        <f>VLOOKUP(E25,t_entry_status!A:C,2,FALSE)</f>
        <v>PENDING</v>
      </c>
      <c r="G25" s="7">
        <v>45560</v>
      </c>
      <c r="H25" s="1" t="s">
        <v>7449</v>
      </c>
      <c r="I25" s="7">
        <v>45560</v>
      </c>
      <c r="J25" s="1" t="s">
        <v>7449</v>
      </c>
    </row>
    <row r="26" spans="1:10" x14ac:dyDescent="0.25">
      <c r="A26" s="1">
        <v>25</v>
      </c>
      <c r="B26" s="2" t="str">
        <f>_xlfn.CONCAT(C26,"-",VLOOKUP(C26,t_objeto!B:D,3,FALSE),"-",A26)</f>
        <v>MMII-PERCCO-25</v>
      </c>
      <c r="C26" s="1" t="s">
        <v>8352</v>
      </c>
      <c r="D26" s="1" t="str">
        <f>VLOOKUP(C26,t_objeto!B:C,2,FALSE)</f>
        <v>METHOD_INSTRUCTION</v>
      </c>
      <c r="E26" s="1">
        <v>8</v>
      </c>
      <c r="F26" s="1" t="str">
        <f>VLOOKUP(E26,t_entry_status!A:C,2,FALSE)</f>
        <v>PENDING</v>
      </c>
      <c r="G26" s="7">
        <v>45560</v>
      </c>
      <c r="H26" s="1" t="s">
        <v>7449</v>
      </c>
      <c r="I26" s="7">
        <v>45560</v>
      </c>
      <c r="J26" s="1" t="s">
        <v>7449</v>
      </c>
    </row>
    <row r="27" spans="1:10" x14ac:dyDescent="0.25">
      <c r="A27" s="1">
        <v>26</v>
      </c>
      <c r="B27" s="2" t="str">
        <f>_xlfn.CONCAT(C27,"-",VLOOKUP(C27,t_objeto!B:D,3,FALSE),"-",A27)</f>
        <v>MMII-PERCCO-26</v>
      </c>
      <c r="C27" s="1" t="s">
        <v>8352</v>
      </c>
      <c r="D27" s="1" t="str">
        <f>VLOOKUP(C27,t_objeto!B:C,2,FALSE)</f>
        <v>METHOD_INSTRUCTION</v>
      </c>
      <c r="E27" s="1">
        <v>8</v>
      </c>
      <c r="F27" s="1" t="str">
        <f>VLOOKUP(E27,t_entry_status!A:C,2,FALSE)</f>
        <v>PENDING</v>
      </c>
      <c r="G27" s="7">
        <v>45560</v>
      </c>
      <c r="H27" s="1" t="s">
        <v>7449</v>
      </c>
      <c r="I27" s="7">
        <v>45560</v>
      </c>
      <c r="J27" s="1" t="s">
        <v>7449</v>
      </c>
    </row>
    <row r="28" spans="1:10" x14ac:dyDescent="0.25">
      <c r="A28" s="1">
        <v>27</v>
      </c>
      <c r="B28" s="2" t="str">
        <f>_xlfn.CONCAT(C28,"-",VLOOKUP(C28,t_objeto!B:D,3,FALSE),"-",A28)</f>
        <v>MMII-PERCCO-27</v>
      </c>
      <c r="C28" s="1" t="s">
        <v>8352</v>
      </c>
      <c r="D28" s="1" t="str">
        <f>VLOOKUP(C28,t_objeto!B:C,2,FALSE)</f>
        <v>METHOD_INSTRUCTION</v>
      </c>
      <c r="E28" s="1">
        <v>8</v>
      </c>
      <c r="F28" s="1" t="str">
        <f>VLOOKUP(E28,t_entry_status!A:C,2,FALSE)</f>
        <v>PENDING</v>
      </c>
      <c r="G28" s="7">
        <v>45560</v>
      </c>
      <c r="H28" s="1" t="s">
        <v>7449</v>
      </c>
      <c r="I28" s="7">
        <v>45560</v>
      </c>
      <c r="J28" s="1" t="s">
        <v>7449</v>
      </c>
    </row>
    <row r="29" spans="1:10" x14ac:dyDescent="0.25">
      <c r="A29" s="1">
        <v>28</v>
      </c>
      <c r="B29" s="2" t="str">
        <f>_xlfn.CONCAT(C29,"-",VLOOKUP(C29,t_objeto!B:D,3,FALSE),"-",A29)</f>
        <v>MMII-PERCCO-28</v>
      </c>
      <c r="C29" s="1" t="s">
        <v>8352</v>
      </c>
      <c r="D29" s="1" t="str">
        <f>VLOOKUP(C29,t_objeto!B:C,2,FALSE)</f>
        <v>METHOD_INSTRUCTION</v>
      </c>
      <c r="E29" s="1">
        <v>8</v>
      </c>
      <c r="F29" s="1" t="str">
        <f>VLOOKUP(E29,t_entry_status!A:C,2,FALSE)</f>
        <v>PENDING</v>
      </c>
      <c r="G29" s="7">
        <v>45560</v>
      </c>
      <c r="H29" s="1" t="s">
        <v>7449</v>
      </c>
      <c r="I29" s="7">
        <v>45560</v>
      </c>
      <c r="J29" s="1" t="s">
        <v>7449</v>
      </c>
    </row>
    <row r="30" spans="1:10" x14ac:dyDescent="0.25">
      <c r="A30" s="1">
        <v>29</v>
      </c>
      <c r="B30" s="2" t="str">
        <f>_xlfn.CONCAT(C30,"-",VLOOKUP(C30,t_objeto!B:D,3,FALSE),"-",A30)</f>
        <v>MMII-PERCCO-29</v>
      </c>
      <c r="C30" s="1" t="s">
        <v>8352</v>
      </c>
      <c r="D30" s="1" t="str">
        <f>VLOOKUP(C30,t_objeto!B:C,2,FALSE)</f>
        <v>METHOD_INSTRUCTION</v>
      </c>
      <c r="E30" s="1">
        <v>8</v>
      </c>
      <c r="F30" s="1" t="str">
        <f>VLOOKUP(E30,t_entry_status!A:C,2,FALSE)</f>
        <v>PENDING</v>
      </c>
      <c r="G30" s="7">
        <v>45560</v>
      </c>
      <c r="H30" s="1" t="s">
        <v>7449</v>
      </c>
      <c r="I30" s="7">
        <v>45560</v>
      </c>
      <c r="J30" s="1" t="s">
        <v>7449</v>
      </c>
    </row>
    <row r="31" spans="1:10" x14ac:dyDescent="0.25">
      <c r="A31" s="1">
        <v>30</v>
      </c>
      <c r="B31" s="2" t="str">
        <f>_xlfn.CONCAT(C31,"-",VLOOKUP(C31,t_objeto!B:D,3,FALSE),"-",A31)</f>
        <v>MMII-PERCCO-30</v>
      </c>
      <c r="C31" s="1" t="s">
        <v>8352</v>
      </c>
      <c r="D31" s="1" t="str">
        <f>VLOOKUP(C31,t_objeto!B:C,2,FALSE)</f>
        <v>METHOD_INSTRUCTION</v>
      </c>
      <c r="E31" s="1">
        <v>8</v>
      </c>
      <c r="F31" s="1" t="str">
        <f>VLOOKUP(E31,t_entry_status!A:C,2,FALSE)</f>
        <v>PENDING</v>
      </c>
      <c r="G31" s="7">
        <v>45560</v>
      </c>
      <c r="H31" s="1" t="s">
        <v>7449</v>
      </c>
      <c r="I31" s="7">
        <v>45560</v>
      </c>
      <c r="J31" s="1" t="s">
        <v>7449</v>
      </c>
    </row>
    <row r="32" spans="1:10" x14ac:dyDescent="0.25">
      <c r="A32" s="1">
        <v>31</v>
      </c>
      <c r="B32" s="2" t="str">
        <f>_xlfn.CONCAT(C32,"-",VLOOKUP(C32,t_objeto!B:D,3,FALSE),"-",A32)</f>
        <v>MMII-PERCCO-31</v>
      </c>
      <c r="C32" s="1" t="s">
        <v>8352</v>
      </c>
      <c r="D32" s="1" t="str">
        <f>VLOOKUP(C32,t_objeto!B:C,2,FALSE)</f>
        <v>METHOD_INSTRUCTION</v>
      </c>
      <c r="E32" s="1">
        <v>8</v>
      </c>
      <c r="F32" s="1" t="str">
        <f>VLOOKUP(E32,t_entry_status!A:C,2,FALSE)</f>
        <v>PENDING</v>
      </c>
      <c r="G32" s="7">
        <v>45560</v>
      </c>
      <c r="H32" s="1" t="s">
        <v>7449</v>
      </c>
      <c r="I32" s="7">
        <v>45560</v>
      </c>
      <c r="J32" s="1" t="s">
        <v>7449</v>
      </c>
    </row>
    <row r="33" spans="1:10" x14ac:dyDescent="0.25">
      <c r="A33" s="1">
        <v>32</v>
      </c>
      <c r="B33" s="2" t="str">
        <f>_xlfn.CONCAT(C33,"-",VLOOKUP(C33,t_objeto!B:D,3,FALSE),"-",A33)</f>
        <v>MMII-PERCCO-32</v>
      </c>
      <c r="C33" s="1" t="s">
        <v>8352</v>
      </c>
      <c r="D33" s="1" t="str">
        <f>VLOOKUP(C33,t_objeto!B:C,2,FALSE)</f>
        <v>METHOD_INSTRUCTION</v>
      </c>
      <c r="E33" s="1">
        <v>8</v>
      </c>
      <c r="F33" s="1" t="str">
        <f>VLOOKUP(E33,t_entry_status!A:C,2,FALSE)</f>
        <v>PENDING</v>
      </c>
      <c r="G33" s="7">
        <v>45560</v>
      </c>
      <c r="H33" s="1" t="s">
        <v>7449</v>
      </c>
      <c r="I33" s="7">
        <v>45560</v>
      </c>
      <c r="J33" s="1" t="s">
        <v>7449</v>
      </c>
    </row>
    <row r="34" spans="1:10" x14ac:dyDescent="0.25">
      <c r="A34" s="1">
        <v>33</v>
      </c>
      <c r="B34" s="2" t="str">
        <f>_xlfn.CONCAT(C34,"-",VLOOKUP(C34,t_objeto!B:D,3,FALSE),"-",A34)</f>
        <v>MMII-PERCCO-33</v>
      </c>
      <c r="C34" s="1" t="s">
        <v>8352</v>
      </c>
      <c r="D34" s="1" t="str">
        <f>VLOOKUP(C34,t_objeto!B:C,2,FALSE)</f>
        <v>METHOD_INSTRUCTION</v>
      </c>
      <c r="E34" s="1">
        <v>8</v>
      </c>
      <c r="F34" s="1" t="str">
        <f>VLOOKUP(E34,t_entry_status!A:C,2,FALSE)</f>
        <v>PENDING</v>
      </c>
      <c r="G34" s="7">
        <v>45560</v>
      </c>
      <c r="H34" s="1" t="s">
        <v>7449</v>
      </c>
      <c r="I34" s="7">
        <v>45560</v>
      </c>
      <c r="J34" s="1" t="s">
        <v>7449</v>
      </c>
    </row>
    <row r="35" spans="1:10" x14ac:dyDescent="0.25">
      <c r="A35" s="1">
        <v>34</v>
      </c>
      <c r="B35" s="2" t="str">
        <f>_xlfn.CONCAT(C35,"-",VLOOKUP(C35,t_objeto!B:D,3,FALSE),"-",A35)</f>
        <v>MMII-PERCCO-34</v>
      </c>
      <c r="C35" s="1" t="s">
        <v>8352</v>
      </c>
      <c r="D35" s="1" t="str">
        <f>VLOOKUP(C35,t_objeto!B:C,2,FALSE)</f>
        <v>METHOD_INSTRUCTION</v>
      </c>
      <c r="E35" s="1">
        <v>8</v>
      </c>
      <c r="F35" s="1" t="str">
        <f>VLOOKUP(E35,t_entry_status!A:C,2,FALSE)</f>
        <v>PENDING</v>
      </c>
      <c r="G35" s="7">
        <v>45560</v>
      </c>
      <c r="H35" s="1" t="s">
        <v>7449</v>
      </c>
      <c r="I35" s="7">
        <v>45560</v>
      </c>
      <c r="J35" s="1" t="s">
        <v>7449</v>
      </c>
    </row>
    <row r="36" spans="1:10" x14ac:dyDescent="0.25">
      <c r="A36" s="1">
        <v>35</v>
      </c>
      <c r="B36" s="2" t="str">
        <f>_xlfn.CONCAT(C36,"-",VLOOKUP(C36,t_objeto!B:D,3,FALSE),"-",A36)</f>
        <v>MMII-PERCCO-35</v>
      </c>
      <c r="C36" s="1" t="s">
        <v>8352</v>
      </c>
      <c r="D36" s="1" t="str">
        <f>VLOOKUP(C36,t_objeto!B:C,2,FALSE)</f>
        <v>METHOD_INSTRUCTION</v>
      </c>
      <c r="E36" s="1">
        <v>8</v>
      </c>
      <c r="F36" s="1" t="str">
        <f>VLOOKUP(E36,t_entry_status!A:C,2,FALSE)</f>
        <v>PENDING</v>
      </c>
      <c r="G36" s="7">
        <v>45560</v>
      </c>
      <c r="H36" s="1" t="s">
        <v>7449</v>
      </c>
      <c r="I36" s="7">
        <v>45560</v>
      </c>
      <c r="J36" s="1" t="s">
        <v>7449</v>
      </c>
    </row>
    <row r="37" spans="1:10" x14ac:dyDescent="0.25">
      <c r="A37" s="1">
        <v>36</v>
      </c>
      <c r="B37" s="2" t="str">
        <f>_xlfn.CONCAT(C37,"-",VLOOKUP(C37,t_objeto!B:D,3,FALSE),"-",A37)</f>
        <v>MMII-PERCCO-36</v>
      </c>
      <c r="C37" s="1" t="s">
        <v>8352</v>
      </c>
      <c r="D37" s="1" t="str">
        <f>VLOOKUP(C37,t_objeto!B:C,2,FALSE)</f>
        <v>METHOD_INSTRUCTION</v>
      </c>
      <c r="E37" s="1">
        <v>8</v>
      </c>
      <c r="F37" s="1" t="str">
        <f>VLOOKUP(E37,t_entry_status!A:C,2,FALSE)</f>
        <v>PENDING</v>
      </c>
      <c r="G37" s="7">
        <v>45560</v>
      </c>
      <c r="H37" s="1" t="s">
        <v>7449</v>
      </c>
      <c r="I37" s="7">
        <v>45560</v>
      </c>
      <c r="J37" s="1" t="s">
        <v>7449</v>
      </c>
    </row>
    <row r="38" spans="1:10" x14ac:dyDescent="0.25">
      <c r="A38" s="1">
        <v>37</v>
      </c>
      <c r="B38" s="2" t="str">
        <f>_xlfn.CONCAT(C38,"-",VLOOKUP(C38,t_objeto!B:D,3,FALSE),"-",A38)</f>
        <v>MMII-PERCCO-37</v>
      </c>
      <c r="C38" s="1" t="s">
        <v>8352</v>
      </c>
      <c r="D38" s="1" t="str">
        <f>VLOOKUP(C38,t_objeto!B:C,2,FALSE)</f>
        <v>METHOD_INSTRUCTION</v>
      </c>
      <c r="E38" s="1">
        <v>8</v>
      </c>
      <c r="F38" s="1" t="str">
        <f>VLOOKUP(E38,t_entry_status!A:C,2,FALSE)</f>
        <v>PENDING</v>
      </c>
      <c r="G38" s="7">
        <v>45560</v>
      </c>
      <c r="H38" s="1" t="s">
        <v>7449</v>
      </c>
      <c r="I38" s="7">
        <v>45560</v>
      </c>
      <c r="J38" s="1" t="s">
        <v>7449</v>
      </c>
    </row>
    <row r="39" spans="1:10" x14ac:dyDescent="0.25">
      <c r="A39" s="1">
        <v>38</v>
      </c>
      <c r="B39" s="2" t="str">
        <f>_xlfn.CONCAT(C39,"-",VLOOKUP(C39,t_objeto!B:D,3,FALSE),"-",A39)</f>
        <v>MMII-PERCCO-38</v>
      </c>
      <c r="C39" s="1" t="s">
        <v>8352</v>
      </c>
      <c r="D39" s="1" t="str">
        <f>VLOOKUP(C39,t_objeto!B:C,2,FALSE)</f>
        <v>METHOD_INSTRUCTION</v>
      </c>
      <c r="E39" s="1">
        <v>8</v>
      </c>
      <c r="F39" s="1" t="str">
        <f>VLOOKUP(E39,t_entry_status!A:C,2,FALSE)</f>
        <v>PENDING</v>
      </c>
      <c r="G39" s="7">
        <v>45560</v>
      </c>
      <c r="H39" s="1" t="s">
        <v>7449</v>
      </c>
      <c r="I39" s="7">
        <v>45560</v>
      </c>
      <c r="J39" s="1" t="s">
        <v>7449</v>
      </c>
    </row>
    <row r="40" spans="1:10" x14ac:dyDescent="0.25">
      <c r="A40" s="1">
        <v>39</v>
      </c>
      <c r="B40" s="2" t="str">
        <f>_xlfn.CONCAT(C40,"-",VLOOKUP(C40,t_objeto!B:D,3,FALSE),"-",A40)</f>
        <v>MMII-PERCCO-39</v>
      </c>
      <c r="C40" s="1" t="s">
        <v>8352</v>
      </c>
      <c r="D40" s="1" t="str">
        <f>VLOOKUP(C40,t_objeto!B:C,2,FALSE)</f>
        <v>METHOD_INSTRUCTION</v>
      </c>
      <c r="E40" s="1">
        <v>8</v>
      </c>
      <c r="F40" s="1" t="str">
        <f>VLOOKUP(E40,t_entry_status!A:C,2,FALSE)</f>
        <v>PENDING</v>
      </c>
      <c r="G40" s="7">
        <v>45560</v>
      </c>
      <c r="H40" s="1" t="s">
        <v>7449</v>
      </c>
      <c r="I40" s="7">
        <v>45560</v>
      </c>
      <c r="J40" s="1" t="s">
        <v>7449</v>
      </c>
    </row>
    <row r="41" spans="1:10" x14ac:dyDescent="0.25">
      <c r="A41" s="1">
        <v>40</v>
      </c>
      <c r="B41" s="2" t="str">
        <f>_xlfn.CONCAT(C41,"-",VLOOKUP(C41,t_objeto!B:D,3,FALSE),"-",A41)</f>
        <v>MMII-PERCCO-40</v>
      </c>
      <c r="C41" s="1" t="s">
        <v>8352</v>
      </c>
      <c r="D41" s="1" t="str">
        <f>VLOOKUP(C41,t_objeto!B:C,2,FALSE)</f>
        <v>METHOD_INSTRUCTION</v>
      </c>
      <c r="E41" s="1">
        <v>8</v>
      </c>
      <c r="F41" s="1" t="str">
        <f>VLOOKUP(E41,t_entry_status!A:C,2,FALSE)</f>
        <v>PENDING</v>
      </c>
      <c r="G41" s="7">
        <v>45560</v>
      </c>
      <c r="H41" s="1" t="s">
        <v>7449</v>
      </c>
      <c r="I41" s="7">
        <v>45560</v>
      </c>
      <c r="J41" s="1" t="s">
        <v>7449</v>
      </c>
    </row>
    <row r="42" spans="1:10" x14ac:dyDescent="0.25">
      <c r="A42" s="1">
        <v>41</v>
      </c>
      <c r="B42" s="2" t="str">
        <f>_xlfn.CONCAT(C42,"-",VLOOKUP(C42,t_objeto!B:D,3,FALSE),"-",A42)</f>
        <v>MMII-PERCCO-41</v>
      </c>
      <c r="C42" s="1" t="s">
        <v>8352</v>
      </c>
      <c r="D42" s="1" t="str">
        <f>VLOOKUP(C42,t_objeto!B:C,2,FALSE)</f>
        <v>METHOD_INSTRUCTION</v>
      </c>
      <c r="E42" s="1">
        <v>8</v>
      </c>
      <c r="F42" s="1" t="str">
        <f>VLOOKUP(E42,t_entry_status!A:C,2,FALSE)</f>
        <v>PENDING</v>
      </c>
      <c r="G42" s="7">
        <v>45560</v>
      </c>
      <c r="H42" s="1" t="s">
        <v>7449</v>
      </c>
      <c r="I42" s="7">
        <v>45560</v>
      </c>
      <c r="J42" s="1" t="s">
        <v>7449</v>
      </c>
    </row>
    <row r="43" spans="1:10" x14ac:dyDescent="0.25">
      <c r="A43" s="1">
        <v>42</v>
      </c>
      <c r="B43" s="2" t="str">
        <f>_xlfn.CONCAT(C43,"-",VLOOKUP(C43,t_objeto!B:D,3,FALSE),"-",A43)</f>
        <v>MMII-PERCCO-42</v>
      </c>
      <c r="C43" s="1" t="s">
        <v>8352</v>
      </c>
      <c r="D43" s="1" t="str">
        <f>VLOOKUP(C43,t_objeto!B:C,2,FALSE)</f>
        <v>METHOD_INSTRUCTION</v>
      </c>
      <c r="E43" s="1">
        <v>8</v>
      </c>
      <c r="F43" s="1" t="str">
        <f>VLOOKUP(E43,t_entry_status!A:C,2,FALSE)</f>
        <v>PENDING</v>
      </c>
      <c r="G43" s="7">
        <v>45560</v>
      </c>
      <c r="H43" s="1" t="s">
        <v>7449</v>
      </c>
      <c r="I43" s="7">
        <v>45560</v>
      </c>
      <c r="J43" s="1" t="s">
        <v>7449</v>
      </c>
    </row>
    <row r="44" spans="1:10" x14ac:dyDescent="0.25">
      <c r="A44" s="1">
        <v>43</v>
      </c>
      <c r="B44" s="2" t="str">
        <f>_xlfn.CONCAT(C44,"-",VLOOKUP(C44,t_objeto!B:D,3,FALSE),"-",A44)</f>
        <v>MMII-PERCCO-43</v>
      </c>
      <c r="C44" s="1" t="s">
        <v>8352</v>
      </c>
      <c r="D44" s="1" t="str">
        <f>VLOOKUP(C44,t_objeto!B:C,2,FALSE)</f>
        <v>METHOD_INSTRUCTION</v>
      </c>
      <c r="E44" s="1">
        <v>8</v>
      </c>
      <c r="F44" s="1" t="str">
        <f>VLOOKUP(E44,t_entry_status!A:C,2,FALSE)</f>
        <v>PENDING</v>
      </c>
      <c r="G44" s="7">
        <v>45560</v>
      </c>
      <c r="H44" s="1" t="s">
        <v>7449</v>
      </c>
      <c r="I44" s="7">
        <v>45560</v>
      </c>
      <c r="J44" s="1" t="s">
        <v>7449</v>
      </c>
    </row>
    <row r="45" spans="1:10" x14ac:dyDescent="0.25">
      <c r="A45" s="1">
        <v>44</v>
      </c>
      <c r="B45" s="2" t="str">
        <f>_xlfn.CONCAT(C45,"-",VLOOKUP(C45,t_objeto!B:D,3,FALSE),"-",A45)</f>
        <v>MMII-PERCCO-44</v>
      </c>
      <c r="C45" s="1" t="s">
        <v>8352</v>
      </c>
      <c r="D45" s="1" t="str">
        <f>VLOOKUP(C45,t_objeto!B:C,2,FALSE)</f>
        <v>METHOD_INSTRUCTION</v>
      </c>
      <c r="E45" s="1">
        <v>8</v>
      </c>
      <c r="F45" s="1" t="str">
        <f>VLOOKUP(E45,t_entry_status!A:C,2,FALSE)</f>
        <v>PENDING</v>
      </c>
      <c r="G45" s="7">
        <v>45560</v>
      </c>
      <c r="H45" s="1" t="s">
        <v>7449</v>
      </c>
      <c r="I45" s="7">
        <v>45560</v>
      </c>
      <c r="J45" s="1" t="s">
        <v>7449</v>
      </c>
    </row>
    <row r="46" spans="1:10" x14ac:dyDescent="0.25">
      <c r="A46" s="1">
        <v>45</v>
      </c>
      <c r="B46" s="2" t="str">
        <f>_xlfn.CONCAT(C46,"-",VLOOKUP(C46,t_objeto!B:D,3,FALSE),"-",A46)</f>
        <v>MMII-PERCCO-45</v>
      </c>
      <c r="C46" s="1" t="s">
        <v>8352</v>
      </c>
      <c r="D46" s="1" t="str">
        <f>VLOOKUP(C46,t_objeto!B:C,2,FALSE)</f>
        <v>METHOD_INSTRUCTION</v>
      </c>
      <c r="E46" s="1">
        <v>8</v>
      </c>
      <c r="F46" s="1" t="str">
        <f>VLOOKUP(E46,t_entry_status!A:C,2,FALSE)</f>
        <v>PENDING</v>
      </c>
      <c r="G46" s="7">
        <v>45560</v>
      </c>
      <c r="H46" s="1" t="s">
        <v>7449</v>
      </c>
      <c r="I46" s="7">
        <v>45560</v>
      </c>
      <c r="J46" s="1" t="s">
        <v>7449</v>
      </c>
    </row>
    <row r="47" spans="1:10" x14ac:dyDescent="0.25">
      <c r="A47" s="1">
        <v>46</v>
      </c>
      <c r="B47" s="2" t="str">
        <f>_xlfn.CONCAT(C47,"-",VLOOKUP(C47,t_objeto!B:D,3,FALSE),"-",A47)</f>
        <v>MMII-PERCCO-46</v>
      </c>
      <c r="C47" s="1" t="s">
        <v>8352</v>
      </c>
      <c r="D47" s="1" t="str">
        <f>VLOOKUP(C47,t_objeto!B:C,2,FALSE)</f>
        <v>METHOD_INSTRUCTION</v>
      </c>
      <c r="E47" s="1">
        <v>8</v>
      </c>
      <c r="F47" s="1" t="str">
        <f>VLOOKUP(E47,t_entry_status!A:C,2,FALSE)</f>
        <v>PENDING</v>
      </c>
      <c r="G47" s="7">
        <v>45560</v>
      </c>
      <c r="H47" s="1" t="s">
        <v>7449</v>
      </c>
      <c r="I47" s="7">
        <v>45560</v>
      </c>
      <c r="J47" s="1" t="s">
        <v>7449</v>
      </c>
    </row>
    <row r="48" spans="1:10" x14ac:dyDescent="0.25">
      <c r="A48" s="1">
        <v>47</v>
      </c>
      <c r="B48" s="2" t="str">
        <f>_xlfn.CONCAT(C48,"-",VLOOKUP(C48,t_objeto!B:D,3,FALSE),"-",A48)</f>
        <v>MMII-PERCCO-47</v>
      </c>
      <c r="C48" s="1" t="s">
        <v>8352</v>
      </c>
      <c r="D48" s="1" t="str">
        <f>VLOOKUP(C48,t_objeto!B:C,2,FALSE)</f>
        <v>METHOD_INSTRUCTION</v>
      </c>
      <c r="E48" s="1">
        <v>8</v>
      </c>
      <c r="F48" s="1" t="str">
        <f>VLOOKUP(E48,t_entry_status!A:C,2,FALSE)</f>
        <v>PENDING</v>
      </c>
      <c r="G48" s="7">
        <v>45560</v>
      </c>
      <c r="H48" s="1" t="s">
        <v>7449</v>
      </c>
      <c r="I48" s="7">
        <v>45560</v>
      </c>
      <c r="J48" s="1" t="s">
        <v>7449</v>
      </c>
    </row>
    <row r="49" spans="1:10" x14ac:dyDescent="0.25">
      <c r="A49" s="1">
        <v>48</v>
      </c>
      <c r="B49" s="2" t="str">
        <f>_xlfn.CONCAT(C49,"-",VLOOKUP(C49,t_objeto!B:D,3,FALSE),"-",A49)</f>
        <v>MMII-PERCCO-48</v>
      </c>
      <c r="C49" s="1" t="s">
        <v>8352</v>
      </c>
      <c r="D49" s="1" t="str">
        <f>VLOOKUP(C49,t_objeto!B:C,2,FALSE)</f>
        <v>METHOD_INSTRUCTION</v>
      </c>
      <c r="E49" s="1">
        <v>8</v>
      </c>
      <c r="F49" s="1" t="str">
        <f>VLOOKUP(E49,t_entry_status!A:C,2,FALSE)</f>
        <v>PENDING</v>
      </c>
      <c r="G49" s="7">
        <v>45560</v>
      </c>
      <c r="H49" s="1" t="s">
        <v>7449</v>
      </c>
      <c r="I49" s="7">
        <v>45560</v>
      </c>
      <c r="J49" s="1" t="s">
        <v>7449</v>
      </c>
    </row>
    <row r="50" spans="1:10" x14ac:dyDescent="0.25">
      <c r="A50" s="1">
        <v>49</v>
      </c>
      <c r="B50" s="2" t="str">
        <f>_xlfn.CONCAT(C50,"-",VLOOKUP(C50,t_objeto!B:D,3,FALSE),"-",A50)</f>
        <v>MMII-PERCCO-49</v>
      </c>
      <c r="C50" s="1" t="s">
        <v>8352</v>
      </c>
      <c r="D50" s="1" t="str">
        <f>VLOOKUP(C50,t_objeto!B:C,2,FALSE)</f>
        <v>METHOD_INSTRUCTION</v>
      </c>
      <c r="E50" s="1">
        <v>8</v>
      </c>
      <c r="F50" s="1" t="str">
        <f>VLOOKUP(E50,t_entry_status!A:C,2,FALSE)</f>
        <v>PENDING</v>
      </c>
      <c r="G50" s="7">
        <v>45560</v>
      </c>
      <c r="H50" s="1" t="s">
        <v>7449</v>
      </c>
      <c r="I50" s="7">
        <v>45560</v>
      </c>
      <c r="J50" s="1" t="s">
        <v>7449</v>
      </c>
    </row>
    <row r="51" spans="1:10" x14ac:dyDescent="0.25">
      <c r="A51" s="1">
        <v>50</v>
      </c>
      <c r="B51" s="2" t="str">
        <f>_xlfn.CONCAT(C51,"-",VLOOKUP(C51,t_objeto!B:D,3,FALSE),"-",A51)</f>
        <v>MMII-PERCCO-50</v>
      </c>
      <c r="C51" s="1" t="s">
        <v>8352</v>
      </c>
      <c r="D51" s="1" t="str">
        <f>VLOOKUP(C51,t_objeto!B:C,2,FALSE)</f>
        <v>METHOD_INSTRUCTION</v>
      </c>
      <c r="E51" s="1">
        <v>8</v>
      </c>
      <c r="F51" s="1" t="str">
        <f>VLOOKUP(E51,t_entry_status!A:C,2,FALSE)</f>
        <v>PENDING</v>
      </c>
      <c r="G51" s="7">
        <v>45560</v>
      </c>
      <c r="H51" s="1" t="s">
        <v>7449</v>
      </c>
      <c r="I51" s="7">
        <v>45560</v>
      </c>
      <c r="J51" s="1" t="s">
        <v>7449</v>
      </c>
    </row>
    <row r="52" spans="1:10" x14ac:dyDescent="0.25">
      <c r="A52" s="1">
        <v>51</v>
      </c>
      <c r="B52" s="2" t="str">
        <f>_xlfn.CONCAT(C52,"-",VLOOKUP(C52,t_objeto!B:D,3,FALSE),"-",A52)</f>
        <v>MMII-PERCCO-51</v>
      </c>
      <c r="C52" s="1" t="s">
        <v>8352</v>
      </c>
      <c r="D52" s="1" t="str">
        <f>VLOOKUP(C52,t_objeto!B:C,2,FALSE)</f>
        <v>METHOD_INSTRUCTION</v>
      </c>
      <c r="E52" s="1">
        <v>8</v>
      </c>
      <c r="F52" s="1" t="str">
        <f>VLOOKUP(E52,t_entry_status!A:C,2,FALSE)</f>
        <v>PENDING</v>
      </c>
      <c r="G52" s="7">
        <v>45560</v>
      </c>
      <c r="H52" s="1" t="s">
        <v>7449</v>
      </c>
      <c r="I52" s="7">
        <v>45560</v>
      </c>
      <c r="J52" s="1" t="s">
        <v>7449</v>
      </c>
    </row>
    <row r="53" spans="1:10" x14ac:dyDescent="0.25">
      <c r="A53" s="1">
        <v>52</v>
      </c>
      <c r="B53" s="2" t="str">
        <f>_xlfn.CONCAT(C53,"-",VLOOKUP(C53,t_objeto!B:D,3,FALSE),"-",A53)</f>
        <v>MMII-PERCCO-52</v>
      </c>
      <c r="C53" s="1" t="s">
        <v>8352</v>
      </c>
      <c r="D53" s="1" t="str">
        <f>VLOOKUP(C53,t_objeto!B:C,2,FALSE)</f>
        <v>METHOD_INSTRUCTION</v>
      </c>
      <c r="E53" s="1">
        <v>8</v>
      </c>
      <c r="F53" s="1" t="str">
        <f>VLOOKUP(E53,t_entry_status!A:C,2,FALSE)</f>
        <v>PENDING</v>
      </c>
      <c r="G53" s="7">
        <v>45560</v>
      </c>
      <c r="H53" s="1" t="s">
        <v>7449</v>
      </c>
      <c r="I53" s="7">
        <v>45560</v>
      </c>
      <c r="J53" s="1" t="s">
        <v>7449</v>
      </c>
    </row>
    <row r="54" spans="1:10" x14ac:dyDescent="0.25">
      <c r="A54" s="1">
        <v>53</v>
      </c>
      <c r="B54" s="2" t="str">
        <f>_xlfn.CONCAT(C54,"-",VLOOKUP(C54,t_objeto!B:D,3,FALSE),"-",A54)</f>
        <v>MMII-PERCCO-53</v>
      </c>
      <c r="C54" s="1" t="s">
        <v>8352</v>
      </c>
      <c r="D54" s="1" t="str">
        <f>VLOOKUP(C54,t_objeto!B:C,2,FALSE)</f>
        <v>METHOD_INSTRUCTION</v>
      </c>
      <c r="E54" s="1">
        <v>8</v>
      </c>
      <c r="F54" s="1" t="str">
        <f>VLOOKUP(E54,t_entry_status!A:C,2,FALSE)</f>
        <v>PENDING</v>
      </c>
      <c r="G54" s="7">
        <v>45560</v>
      </c>
      <c r="H54" s="1" t="s">
        <v>7449</v>
      </c>
      <c r="I54" s="7">
        <v>45560</v>
      </c>
      <c r="J54" s="1" t="s">
        <v>7449</v>
      </c>
    </row>
    <row r="55" spans="1:10" x14ac:dyDescent="0.25">
      <c r="A55" s="1">
        <v>54</v>
      </c>
      <c r="B55" s="2" t="str">
        <f>_xlfn.CONCAT(C55,"-",VLOOKUP(C55,t_objeto!B:D,3,FALSE),"-",A55)</f>
        <v>MMII-PERCCO-54</v>
      </c>
      <c r="C55" s="1" t="s">
        <v>8352</v>
      </c>
      <c r="D55" s="1" t="str">
        <f>VLOOKUP(C55,t_objeto!B:C,2,FALSE)</f>
        <v>METHOD_INSTRUCTION</v>
      </c>
      <c r="E55" s="1">
        <v>8</v>
      </c>
      <c r="F55" s="1" t="str">
        <f>VLOOKUP(E55,t_entry_status!A:C,2,FALSE)</f>
        <v>PENDING</v>
      </c>
      <c r="G55" s="7">
        <v>45560</v>
      </c>
      <c r="H55" s="1" t="s">
        <v>7449</v>
      </c>
      <c r="I55" s="7">
        <v>45560</v>
      </c>
      <c r="J55" s="1" t="s">
        <v>7449</v>
      </c>
    </row>
    <row r="56" spans="1:10" x14ac:dyDescent="0.25">
      <c r="A56" s="1">
        <v>55</v>
      </c>
      <c r="B56" s="2" t="str">
        <f>_xlfn.CONCAT(C56,"-",VLOOKUP(C56,t_objeto!B:D,3,FALSE),"-",A56)</f>
        <v>MMII-PERCCO-55</v>
      </c>
      <c r="C56" s="1" t="s">
        <v>8352</v>
      </c>
      <c r="D56" s="1" t="str">
        <f>VLOOKUP(C56,t_objeto!B:C,2,FALSE)</f>
        <v>METHOD_INSTRUCTION</v>
      </c>
      <c r="E56" s="1">
        <v>8</v>
      </c>
      <c r="F56" s="1" t="str">
        <f>VLOOKUP(E56,t_entry_status!A:C,2,FALSE)</f>
        <v>PENDING</v>
      </c>
      <c r="G56" s="7">
        <v>45560</v>
      </c>
      <c r="H56" s="1" t="s">
        <v>7449</v>
      </c>
      <c r="I56" s="7">
        <v>45560</v>
      </c>
      <c r="J56" s="1" t="s">
        <v>7449</v>
      </c>
    </row>
    <row r="57" spans="1:10" x14ac:dyDescent="0.25">
      <c r="A57" s="1">
        <v>56</v>
      </c>
      <c r="B57" s="2" t="str">
        <f>_xlfn.CONCAT(C57,"-",VLOOKUP(C57,t_objeto!B:D,3,FALSE),"-",A57)</f>
        <v>MMII-PERCCO-56</v>
      </c>
      <c r="C57" s="1" t="s">
        <v>8352</v>
      </c>
      <c r="D57" s="1" t="str">
        <f>VLOOKUP(C57,t_objeto!B:C,2,FALSE)</f>
        <v>METHOD_INSTRUCTION</v>
      </c>
      <c r="E57" s="1">
        <v>8</v>
      </c>
      <c r="F57" s="1" t="str">
        <f>VLOOKUP(E57,t_entry_status!A:C,2,FALSE)</f>
        <v>PENDING</v>
      </c>
      <c r="G57" s="7">
        <v>45560</v>
      </c>
      <c r="H57" s="1" t="s">
        <v>7449</v>
      </c>
      <c r="I57" s="7">
        <v>45560</v>
      </c>
      <c r="J57" s="1" t="s">
        <v>7449</v>
      </c>
    </row>
    <row r="58" spans="1:10" x14ac:dyDescent="0.25">
      <c r="A58" s="1">
        <v>57</v>
      </c>
      <c r="B58" s="2" t="str">
        <f>_xlfn.CONCAT(C58,"-",VLOOKUP(C58,t_objeto!B:D,3,FALSE),"-",A58)</f>
        <v>MMII-PERCCO-57</v>
      </c>
      <c r="C58" s="1" t="s">
        <v>8352</v>
      </c>
      <c r="D58" s="1" t="str">
        <f>VLOOKUP(C58,t_objeto!B:C,2,FALSE)</f>
        <v>METHOD_INSTRUCTION</v>
      </c>
      <c r="E58" s="1">
        <v>8</v>
      </c>
      <c r="F58" s="1" t="str">
        <f>VLOOKUP(E58,t_entry_status!A:C,2,FALSE)</f>
        <v>PENDING</v>
      </c>
      <c r="G58" s="7">
        <v>45560</v>
      </c>
      <c r="H58" s="1" t="s">
        <v>7449</v>
      </c>
      <c r="I58" s="7">
        <v>45560</v>
      </c>
      <c r="J58" s="1" t="s">
        <v>7449</v>
      </c>
    </row>
    <row r="59" spans="1:10" x14ac:dyDescent="0.25">
      <c r="A59" s="1">
        <v>58</v>
      </c>
      <c r="B59" s="2" t="str">
        <f>_xlfn.CONCAT(C59,"-",VLOOKUP(C59,t_objeto!B:D,3,FALSE),"-",A59)</f>
        <v>MMII-PERCCO-58</v>
      </c>
      <c r="C59" s="1" t="s">
        <v>8352</v>
      </c>
      <c r="D59" s="1" t="str">
        <f>VLOOKUP(C59,t_objeto!B:C,2,FALSE)</f>
        <v>METHOD_INSTRUCTION</v>
      </c>
      <c r="E59" s="1">
        <v>8</v>
      </c>
      <c r="F59" s="1" t="str">
        <f>VLOOKUP(E59,t_entry_status!A:C,2,FALSE)</f>
        <v>PENDING</v>
      </c>
      <c r="G59" s="7">
        <v>45560</v>
      </c>
      <c r="H59" s="1" t="s">
        <v>7449</v>
      </c>
      <c r="I59" s="7">
        <v>45560</v>
      </c>
      <c r="J59" s="1" t="s">
        <v>7449</v>
      </c>
    </row>
    <row r="60" spans="1:10" x14ac:dyDescent="0.25">
      <c r="A60" s="1">
        <v>59</v>
      </c>
      <c r="B60" s="2" t="str">
        <f>_xlfn.CONCAT(C60,"-",VLOOKUP(C60,t_objeto!B:D,3,FALSE),"-",A60)</f>
        <v>MMII-PERCCO-59</v>
      </c>
      <c r="C60" s="1" t="s">
        <v>8352</v>
      </c>
      <c r="D60" s="1" t="str">
        <f>VLOOKUP(C60,t_objeto!B:C,2,FALSE)</f>
        <v>METHOD_INSTRUCTION</v>
      </c>
      <c r="E60" s="1">
        <v>8</v>
      </c>
      <c r="F60" s="1" t="str">
        <f>VLOOKUP(E60,t_entry_status!A:C,2,FALSE)</f>
        <v>PENDING</v>
      </c>
      <c r="G60" s="7">
        <v>45560</v>
      </c>
      <c r="H60" s="1" t="s">
        <v>7449</v>
      </c>
      <c r="I60" s="7">
        <v>45560</v>
      </c>
      <c r="J60" s="1" t="s">
        <v>7449</v>
      </c>
    </row>
    <row r="61" spans="1:10" x14ac:dyDescent="0.25">
      <c r="A61" s="1">
        <v>60</v>
      </c>
      <c r="B61" s="2" t="str">
        <f>_xlfn.CONCAT(C61,"-",VLOOKUP(C61,t_objeto!B:D,3,FALSE),"-",A61)</f>
        <v>MMII-PERCCO-60</v>
      </c>
      <c r="C61" s="1" t="s">
        <v>8352</v>
      </c>
      <c r="D61" s="1" t="str">
        <f>VLOOKUP(C61,t_objeto!B:C,2,FALSE)</f>
        <v>METHOD_INSTRUCTION</v>
      </c>
      <c r="E61" s="1">
        <v>8</v>
      </c>
      <c r="F61" s="1" t="str">
        <f>VLOOKUP(E61,t_entry_status!A:C,2,FALSE)</f>
        <v>PENDING</v>
      </c>
      <c r="G61" s="7">
        <v>45560</v>
      </c>
      <c r="H61" s="1" t="s">
        <v>7449</v>
      </c>
      <c r="I61" s="7">
        <v>45560</v>
      </c>
      <c r="J61" s="1" t="s">
        <v>7449</v>
      </c>
    </row>
    <row r="62" spans="1:10" x14ac:dyDescent="0.25">
      <c r="A62" s="1">
        <v>61</v>
      </c>
      <c r="B62" s="2" t="str">
        <f>_xlfn.CONCAT(C62,"-",VLOOKUP(C62,t_objeto!B:D,3,FALSE),"-",A62)</f>
        <v>MMII-PERCCO-61</v>
      </c>
      <c r="C62" s="1" t="s">
        <v>8352</v>
      </c>
      <c r="D62" s="1" t="str">
        <f>VLOOKUP(C62,t_objeto!B:C,2,FALSE)</f>
        <v>METHOD_INSTRUCTION</v>
      </c>
      <c r="E62" s="1">
        <v>8</v>
      </c>
      <c r="F62" s="1" t="str">
        <f>VLOOKUP(E62,t_entry_status!A:C,2,FALSE)</f>
        <v>PENDING</v>
      </c>
      <c r="G62" s="7">
        <v>45560</v>
      </c>
      <c r="H62" s="1" t="s">
        <v>7449</v>
      </c>
      <c r="I62" s="7">
        <v>45560</v>
      </c>
      <c r="J62" s="1" t="s">
        <v>7449</v>
      </c>
    </row>
    <row r="63" spans="1:10" x14ac:dyDescent="0.25">
      <c r="A63" s="1">
        <v>62</v>
      </c>
      <c r="B63" s="2" t="str">
        <f>_xlfn.CONCAT(C63,"-",VLOOKUP(C63,t_objeto!B:D,3,FALSE),"-",A63)</f>
        <v>MMII-PERCCO-62</v>
      </c>
      <c r="C63" s="1" t="s">
        <v>8352</v>
      </c>
      <c r="D63" s="1" t="str">
        <f>VLOOKUP(C63,t_objeto!B:C,2,FALSE)</f>
        <v>METHOD_INSTRUCTION</v>
      </c>
      <c r="E63" s="1">
        <v>8</v>
      </c>
      <c r="F63" s="1" t="str">
        <f>VLOOKUP(E63,t_entry_status!A:C,2,FALSE)</f>
        <v>PENDING</v>
      </c>
      <c r="G63" s="7">
        <v>45560</v>
      </c>
      <c r="H63" s="1" t="s">
        <v>7449</v>
      </c>
      <c r="I63" s="7">
        <v>45560</v>
      </c>
      <c r="J63" s="1" t="s">
        <v>7449</v>
      </c>
    </row>
    <row r="64" spans="1:10" x14ac:dyDescent="0.25">
      <c r="A64" s="1">
        <v>63</v>
      </c>
      <c r="B64" s="2" t="str">
        <f>_xlfn.CONCAT(C64,"-",VLOOKUP(C64,t_objeto!B:D,3,FALSE),"-",A64)</f>
        <v>MMII-PERCCO-63</v>
      </c>
      <c r="C64" s="1" t="s">
        <v>8352</v>
      </c>
      <c r="D64" s="1" t="str">
        <f>VLOOKUP(C64,t_objeto!B:C,2,FALSE)</f>
        <v>METHOD_INSTRUCTION</v>
      </c>
      <c r="E64" s="1">
        <v>8</v>
      </c>
      <c r="F64" s="1" t="str">
        <f>VLOOKUP(E64,t_entry_status!A:C,2,FALSE)</f>
        <v>PENDING</v>
      </c>
      <c r="G64" s="7">
        <v>45560</v>
      </c>
      <c r="H64" s="1" t="s">
        <v>7449</v>
      </c>
      <c r="I64" s="7">
        <v>45560</v>
      </c>
      <c r="J64" s="1" t="s">
        <v>7449</v>
      </c>
    </row>
    <row r="65" spans="1:10" x14ac:dyDescent="0.25">
      <c r="A65" s="1">
        <v>64</v>
      </c>
      <c r="B65" s="2" t="str">
        <f>_xlfn.CONCAT(C65,"-",VLOOKUP(C65,t_objeto!B:D,3,FALSE),"-",A65)</f>
        <v>MMII-PERCCO-64</v>
      </c>
      <c r="C65" s="1" t="s">
        <v>8352</v>
      </c>
      <c r="D65" s="1" t="str">
        <f>VLOOKUP(C65,t_objeto!B:C,2,FALSE)</f>
        <v>METHOD_INSTRUCTION</v>
      </c>
      <c r="E65" s="1">
        <v>8</v>
      </c>
      <c r="F65" s="1" t="str">
        <f>VLOOKUP(E65,t_entry_status!A:C,2,FALSE)</f>
        <v>PENDING</v>
      </c>
      <c r="G65" s="7">
        <v>45560</v>
      </c>
      <c r="H65" s="1" t="s">
        <v>7449</v>
      </c>
      <c r="I65" s="7">
        <v>45560</v>
      </c>
      <c r="J65" s="1" t="s">
        <v>7449</v>
      </c>
    </row>
    <row r="66" spans="1:10" x14ac:dyDescent="0.25">
      <c r="A66" s="1">
        <v>65</v>
      </c>
      <c r="B66" s="2" t="str">
        <f>_xlfn.CONCAT(C66,"-",VLOOKUP(C66,t_objeto!B:D,3,FALSE),"-",A66)</f>
        <v>MMII-PERCCO-65</v>
      </c>
      <c r="C66" s="1" t="s">
        <v>8352</v>
      </c>
      <c r="D66" s="1" t="str">
        <f>VLOOKUP(C66,t_objeto!B:C,2,FALSE)</f>
        <v>METHOD_INSTRUCTION</v>
      </c>
      <c r="E66" s="1">
        <v>8</v>
      </c>
      <c r="F66" s="1" t="str">
        <f>VLOOKUP(E66,t_entry_status!A:C,2,FALSE)</f>
        <v>PENDING</v>
      </c>
      <c r="G66" s="7">
        <v>45560</v>
      </c>
      <c r="H66" s="1" t="s">
        <v>7449</v>
      </c>
      <c r="I66" s="7">
        <v>45560</v>
      </c>
      <c r="J66" s="1" t="s">
        <v>7449</v>
      </c>
    </row>
    <row r="67" spans="1:10" x14ac:dyDescent="0.25">
      <c r="A67" s="1">
        <v>66</v>
      </c>
      <c r="B67" s="2" t="str">
        <f>_xlfn.CONCAT(C67,"-",VLOOKUP(C67,t_objeto!B:D,3,FALSE),"-",A67)</f>
        <v>MMII-PERCCO-66</v>
      </c>
      <c r="C67" s="1" t="s">
        <v>8352</v>
      </c>
      <c r="D67" s="1" t="str">
        <f>VLOOKUP(C67,t_objeto!B:C,2,FALSE)</f>
        <v>METHOD_INSTRUCTION</v>
      </c>
      <c r="E67" s="1">
        <v>8</v>
      </c>
      <c r="F67" s="1" t="str">
        <f>VLOOKUP(E67,t_entry_status!A:C,2,FALSE)</f>
        <v>PENDING</v>
      </c>
      <c r="G67" s="7">
        <v>45560</v>
      </c>
      <c r="H67" s="1" t="s">
        <v>7449</v>
      </c>
      <c r="I67" s="7">
        <v>45560</v>
      </c>
      <c r="J67" s="1" t="s">
        <v>7449</v>
      </c>
    </row>
    <row r="68" spans="1:10" x14ac:dyDescent="0.25">
      <c r="A68" s="1">
        <v>67</v>
      </c>
      <c r="B68" s="2" t="str">
        <f>_xlfn.CONCAT(C68,"-",VLOOKUP(C68,t_objeto!B:D,3,FALSE),"-",A68)</f>
        <v>MMII-PERCCO-67</v>
      </c>
      <c r="C68" s="1" t="s">
        <v>8352</v>
      </c>
      <c r="D68" s="1" t="str">
        <f>VLOOKUP(C68,t_objeto!B:C,2,FALSE)</f>
        <v>METHOD_INSTRUCTION</v>
      </c>
      <c r="E68" s="1">
        <v>8</v>
      </c>
      <c r="F68" s="1" t="str">
        <f>VLOOKUP(E68,t_entry_status!A:C,2,FALSE)</f>
        <v>PENDING</v>
      </c>
      <c r="G68" s="7">
        <v>45560</v>
      </c>
      <c r="H68" s="1" t="s">
        <v>7449</v>
      </c>
      <c r="I68" s="7">
        <v>45560</v>
      </c>
      <c r="J68" s="1" t="s">
        <v>7449</v>
      </c>
    </row>
    <row r="69" spans="1:10" x14ac:dyDescent="0.25">
      <c r="A69" s="1">
        <v>68</v>
      </c>
      <c r="B69" s="2" t="str">
        <f>_xlfn.CONCAT(C69,"-",VLOOKUP(C69,t_objeto!B:D,3,FALSE),"-",A69)</f>
        <v>MMII-PERCCO-68</v>
      </c>
      <c r="C69" s="1" t="s">
        <v>8352</v>
      </c>
      <c r="D69" s="1" t="str">
        <f>VLOOKUP(C69,t_objeto!B:C,2,FALSE)</f>
        <v>METHOD_INSTRUCTION</v>
      </c>
      <c r="E69" s="1">
        <v>8</v>
      </c>
      <c r="F69" s="1" t="str">
        <f>VLOOKUP(E69,t_entry_status!A:C,2,FALSE)</f>
        <v>PENDING</v>
      </c>
      <c r="G69" s="7">
        <v>45560</v>
      </c>
      <c r="H69" s="1" t="s">
        <v>7449</v>
      </c>
      <c r="I69" s="7">
        <v>45560</v>
      </c>
      <c r="J69" s="1" t="s">
        <v>7449</v>
      </c>
    </row>
    <row r="70" spans="1:10" x14ac:dyDescent="0.25">
      <c r="A70" s="1">
        <v>69</v>
      </c>
      <c r="B70" s="2" t="str">
        <f>_xlfn.CONCAT(C70,"-",VLOOKUP(C70,t_objeto!B:D,3,FALSE),"-",A70)</f>
        <v>MMII-PERCCO-69</v>
      </c>
      <c r="C70" s="1" t="s">
        <v>8352</v>
      </c>
      <c r="D70" s="1" t="str">
        <f>VLOOKUP(C70,t_objeto!B:C,2,FALSE)</f>
        <v>METHOD_INSTRUCTION</v>
      </c>
      <c r="E70" s="1">
        <v>8</v>
      </c>
      <c r="F70" s="1" t="str">
        <f>VLOOKUP(E70,t_entry_status!A:C,2,FALSE)</f>
        <v>PENDING</v>
      </c>
      <c r="G70" s="7">
        <v>45560</v>
      </c>
      <c r="H70" s="1" t="s">
        <v>7449</v>
      </c>
      <c r="I70" s="7">
        <v>45560</v>
      </c>
      <c r="J70" s="1" t="s">
        <v>7449</v>
      </c>
    </row>
    <row r="71" spans="1:10" x14ac:dyDescent="0.25">
      <c r="A71" s="1">
        <v>70</v>
      </c>
      <c r="B71" s="2" t="str">
        <f>_xlfn.CONCAT(C71,"-",VLOOKUP(C71,t_objeto!B:D,3,FALSE),"-",A71)</f>
        <v>MMII-PERCCO-70</v>
      </c>
      <c r="C71" s="1" t="s">
        <v>8352</v>
      </c>
      <c r="D71" s="1" t="str">
        <f>VLOOKUP(C71,t_objeto!B:C,2,FALSE)</f>
        <v>METHOD_INSTRUCTION</v>
      </c>
      <c r="E71" s="1">
        <v>8</v>
      </c>
      <c r="F71" s="1" t="str">
        <f>VLOOKUP(E71,t_entry_status!A:C,2,FALSE)</f>
        <v>PENDING</v>
      </c>
      <c r="G71" s="7">
        <v>45560</v>
      </c>
      <c r="H71" s="1" t="s">
        <v>7449</v>
      </c>
      <c r="I71" s="7">
        <v>45560</v>
      </c>
      <c r="J71" s="1" t="s">
        <v>7449</v>
      </c>
    </row>
    <row r="72" spans="1:10" x14ac:dyDescent="0.25">
      <c r="A72" s="1">
        <v>71</v>
      </c>
      <c r="B72" s="2" t="str">
        <f>_xlfn.CONCAT(C72,"-",VLOOKUP(C72,t_objeto!B:D,3,FALSE),"-",A72)</f>
        <v>MMII-PERCCO-71</v>
      </c>
      <c r="C72" s="1" t="s">
        <v>8352</v>
      </c>
      <c r="D72" s="1" t="str">
        <f>VLOOKUP(C72,t_objeto!B:C,2,FALSE)</f>
        <v>METHOD_INSTRUCTION</v>
      </c>
      <c r="E72" s="1">
        <v>8</v>
      </c>
      <c r="F72" s="1" t="str">
        <f>VLOOKUP(E72,t_entry_status!A:C,2,FALSE)</f>
        <v>PENDING</v>
      </c>
      <c r="G72" s="7">
        <v>45560</v>
      </c>
      <c r="H72" s="1" t="s">
        <v>7449</v>
      </c>
      <c r="I72" s="7">
        <v>45560</v>
      </c>
      <c r="J72" s="1" t="s">
        <v>7449</v>
      </c>
    </row>
    <row r="73" spans="1:10" x14ac:dyDescent="0.25">
      <c r="A73" s="1">
        <v>72</v>
      </c>
      <c r="B73" s="2" t="str">
        <f>_xlfn.CONCAT(C73,"-",VLOOKUP(C73,t_objeto!B:D,3,FALSE),"-",A73)</f>
        <v>MMII-PERCCO-72</v>
      </c>
      <c r="C73" s="1" t="s">
        <v>8352</v>
      </c>
      <c r="D73" s="1" t="str">
        <f>VLOOKUP(C73,t_objeto!B:C,2,FALSE)</f>
        <v>METHOD_INSTRUCTION</v>
      </c>
      <c r="E73" s="1">
        <v>8</v>
      </c>
      <c r="F73" s="1" t="str">
        <f>VLOOKUP(E73,t_entry_status!A:C,2,FALSE)</f>
        <v>PENDING</v>
      </c>
      <c r="G73" s="7">
        <v>45560</v>
      </c>
      <c r="H73" s="1" t="s">
        <v>7449</v>
      </c>
      <c r="I73" s="7">
        <v>45560</v>
      </c>
      <c r="J73" s="1" t="s">
        <v>7449</v>
      </c>
    </row>
    <row r="74" spans="1:10" x14ac:dyDescent="0.25">
      <c r="A74" s="1">
        <v>73</v>
      </c>
      <c r="B74" s="2" t="str">
        <f>_xlfn.CONCAT(C74,"-",VLOOKUP(C74,t_objeto!B:D,3,FALSE),"-",A74)</f>
        <v>MMII-PERCCO-73</v>
      </c>
      <c r="C74" s="1" t="s">
        <v>8352</v>
      </c>
      <c r="D74" s="1" t="str">
        <f>VLOOKUP(C74,t_objeto!B:C,2,FALSE)</f>
        <v>METHOD_INSTRUCTION</v>
      </c>
      <c r="E74" s="1">
        <v>8</v>
      </c>
      <c r="F74" s="1" t="str">
        <f>VLOOKUP(E74,t_entry_status!A:C,2,FALSE)</f>
        <v>PENDING</v>
      </c>
      <c r="G74" s="7">
        <v>45560</v>
      </c>
      <c r="H74" s="1" t="s">
        <v>7449</v>
      </c>
      <c r="I74" s="7">
        <v>45560</v>
      </c>
      <c r="J74" s="1" t="s">
        <v>7449</v>
      </c>
    </row>
    <row r="75" spans="1:10" x14ac:dyDescent="0.25">
      <c r="A75" s="1">
        <v>74</v>
      </c>
      <c r="B75" s="2" t="str">
        <f>_xlfn.CONCAT(C75,"-",VLOOKUP(C75,t_objeto!B:D,3,FALSE),"-",A75)</f>
        <v>MMII-PERCCO-74</v>
      </c>
      <c r="C75" s="1" t="s">
        <v>8352</v>
      </c>
      <c r="D75" s="1" t="str">
        <f>VLOOKUP(C75,t_objeto!B:C,2,FALSE)</f>
        <v>METHOD_INSTRUCTION</v>
      </c>
      <c r="E75" s="1">
        <v>8</v>
      </c>
      <c r="F75" s="1" t="str">
        <f>VLOOKUP(E75,t_entry_status!A:C,2,FALSE)</f>
        <v>PENDING</v>
      </c>
      <c r="G75" s="7">
        <v>45560</v>
      </c>
      <c r="H75" s="1" t="s">
        <v>7449</v>
      </c>
      <c r="I75" s="7">
        <v>45560</v>
      </c>
      <c r="J75" s="1" t="s">
        <v>7449</v>
      </c>
    </row>
    <row r="76" spans="1:10" x14ac:dyDescent="0.25">
      <c r="A76" s="1">
        <v>75</v>
      </c>
      <c r="B76" s="2" t="str">
        <f>_xlfn.CONCAT(C76,"-",VLOOKUP(C76,t_objeto!B:D,3,FALSE),"-",A76)</f>
        <v>MMII-PERCCO-75</v>
      </c>
      <c r="C76" s="1" t="s">
        <v>8352</v>
      </c>
      <c r="D76" s="1" t="str">
        <f>VLOOKUP(C76,t_objeto!B:C,2,FALSE)</f>
        <v>METHOD_INSTRUCTION</v>
      </c>
      <c r="E76" s="1">
        <v>8</v>
      </c>
      <c r="F76" s="1" t="str">
        <f>VLOOKUP(E76,t_entry_status!A:C,2,FALSE)</f>
        <v>PENDING</v>
      </c>
      <c r="G76" s="7">
        <v>45560</v>
      </c>
      <c r="H76" s="1" t="s">
        <v>7449</v>
      </c>
      <c r="I76" s="7">
        <v>45560</v>
      </c>
      <c r="J76" s="1" t="s">
        <v>7449</v>
      </c>
    </row>
    <row r="77" spans="1:10" x14ac:dyDescent="0.25">
      <c r="A77" s="1">
        <v>76</v>
      </c>
      <c r="B77" s="2" t="str">
        <f>_xlfn.CONCAT(C77,"-",VLOOKUP(C77,t_objeto!B:D,3,FALSE),"-",A77)</f>
        <v>MMII-PERCCO-76</v>
      </c>
      <c r="C77" s="1" t="s">
        <v>8352</v>
      </c>
      <c r="D77" s="1" t="str">
        <f>VLOOKUP(C77,t_objeto!B:C,2,FALSE)</f>
        <v>METHOD_INSTRUCTION</v>
      </c>
      <c r="E77" s="1">
        <v>8</v>
      </c>
      <c r="F77" s="1" t="str">
        <f>VLOOKUP(E77,t_entry_status!A:C,2,FALSE)</f>
        <v>PENDING</v>
      </c>
      <c r="G77" s="7">
        <v>45560</v>
      </c>
      <c r="H77" s="1" t="s">
        <v>7449</v>
      </c>
      <c r="I77" s="7">
        <v>45560</v>
      </c>
      <c r="J77" s="1" t="s">
        <v>7449</v>
      </c>
    </row>
    <row r="78" spans="1:10" x14ac:dyDescent="0.25">
      <c r="A78" s="1">
        <v>77</v>
      </c>
      <c r="B78" s="2" t="str">
        <f>_xlfn.CONCAT(C78,"-",VLOOKUP(C78,t_objeto!B:D,3,FALSE),"-",A78)</f>
        <v>MMII-PERCCO-77</v>
      </c>
      <c r="C78" s="1" t="s">
        <v>8352</v>
      </c>
      <c r="D78" s="1" t="str">
        <f>VLOOKUP(C78,t_objeto!B:C,2,FALSE)</f>
        <v>METHOD_INSTRUCTION</v>
      </c>
      <c r="E78" s="1">
        <v>8</v>
      </c>
      <c r="F78" s="1" t="str">
        <f>VLOOKUP(E78,t_entry_status!A:C,2,FALSE)</f>
        <v>PENDING</v>
      </c>
      <c r="G78" s="7">
        <v>45560</v>
      </c>
      <c r="H78" s="1" t="s">
        <v>7449</v>
      </c>
      <c r="I78" s="7">
        <v>45560</v>
      </c>
      <c r="J78" s="1" t="s">
        <v>7449</v>
      </c>
    </row>
    <row r="79" spans="1:10" x14ac:dyDescent="0.25">
      <c r="A79" s="1">
        <v>78</v>
      </c>
      <c r="B79" s="2" t="str">
        <f>_xlfn.CONCAT(C79,"-",VLOOKUP(C79,t_objeto!B:D,3,FALSE),"-",A79)</f>
        <v>MMII-PERCCO-78</v>
      </c>
      <c r="C79" s="1" t="s">
        <v>8352</v>
      </c>
      <c r="D79" s="1" t="str">
        <f>VLOOKUP(C79,t_objeto!B:C,2,FALSE)</f>
        <v>METHOD_INSTRUCTION</v>
      </c>
      <c r="E79" s="1">
        <v>8</v>
      </c>
      <c r="F79" s="1" t="str">
        <f>VLOOKUP(E79,t_entry_status!A:C,2,FALSE)</f>
        <v>PENDING</v>
      </c>
      <c r="G79" s="7">
        <v>45560</v>
      </c>
      <c r="H79" s="1" t="s">
        <v>7449</v>
      </c>
      <c r="I79" s="7">
        <v>45560</v>
      </c>
      <c r="J79" s="1" t="s">
        <v>7449</v>
      </c>
    </row>
    <row r="80" spans="1:10" x14ac:dyDescent="0.25">
      <c r="A80" s="1">
        <v>79</v>
      </c>
      <c r="B80" s="2" t="str">
        <f>_xlfn.CONCAT(C80,"-",VLOOKUP(C80,t_objeto!B:D,3,FALSE),"-",A80)</f>
        <v>MMII-PERCCO-79</v>
      </c>
      <c r="C80" s="1" t="s">
        <v>8352</v>
      </c>
      <c r="D80" s="1" t="str">
        <f>VLOOKUP(C80,t_objeto!B:C,2,FALSE)</f>
        <v>METHOD_INSTRUCTION</v>
      </c>
      <c r="E80" s="1">
        <v>8</v>
      </c>
      <c r="F80" s="1" t="str">
        <f>VLOOKUP(E80,t_entry_status!A:C,2,FALSE)</f>
        <v>PENDING</v>
      </c>
      <c r="G80" s="7">
        <v>45560</v>
      </c>
      <c r="H80" s="1" t="s">
        <v>7449</v>
      </c>
      <c r="I80" s="7">
        <v>45560</v>
      </c>
      <c r="J80" s="1" t="s">
        <v>7449</v>
      </c>
    </row>
    <row r="81" spans="1:10" x14ac:dyDescent="0.25">
      <c r="A81" s="1">
        <v>80</v>
      </c>
      <c r="B81" s="2" t="str">
        <f>_xlfn.CONCAT(C81,"-",VLOOKUP(C81,t_objeto!B:D,3,FALSE),"-",A81)</f>
        <v>MMII-PERCCO-80</v>
      </c>
      <c r="C81" s="1" t="s">
        <v>8352</v>
      </c>
      <c r="D81" s="1" t="str">
        <f>VLOOKUP(C81,t_objeto!B:C,2,FALSE)</f>
        <v>METHOD_INSTRUCTION</v>
      </c>
      <c r="E81" s="1">
        <v>8</v>
      </c>
      <c r="F81" s="1" t="str">
        <f>VLOOKUP(E81,t_entry_status!A:C,2,FALSE)</f>
        <v>PENDING</v>
      </c>
      <c r="G81" s="7">
        <v>45560</v>
      </c>
      <c r="H81" s="1" t="s">
        <v>7449</v>
      </c>
      <c r="I81" s="7">
        <v>45560</v>
      </c>
      <c r="J81" s="1" t="s">
        <v>7449</v>
      </c>
    </row>
    <row r="82" spans="1:10" x14ac:dyDescent="0.25">
      <c r="A82" s="1">
        <v>81</v>
      </c>
      <c r="B82" s="2" t="str">
        <f>_xlfn.CONCAT(C82,"-",VLOOKUP(C82,t_objeto!B:D,3,FALSE),"-",A82)</f>
        <v>MMII-PERCCO-81</v>
      </c>
      <c r="C82" s="1" t="s">
        <v>8352</v>
      </c>
      <c r="D82" s="1" t="str">
        <f>VLOOKUP(C82,t_objeto!B:C,2,FALSE)</f>
        <v>METHOD_INSTRUCTION</v>
      </c>
      <c r="E82" s="1">
        <v>8</v>
      </c>
      <c r="F82" s="1" t="str">
        <f>VLOOKUP(E82,t_entry_status!A:C,2,FALSE)</f>
        <v>PENDING</v>
      </c>
      <c r="G82" s="7">
        <v>45560</v>
      </c>
      <c r="H82" s="1" t="s">
        <v>7449</v>
      </c>
      <c r="I82" s="7">
        <v>45560</v>
      </c>
      <c r="J82" s="1" t="s">
        <v>7449</v>
      </c>
    </row>
    <row r="83" spans="1:10" x14ac:dyDescent="0.25">
      <c r="A83" s="1">
        <v>82</v>
      </c>
      <c r="B83" s="2" t="str">
        <f>_xlfn.CONCAT(C83,"-",VLOOKUP(C83,t_objeto!B:D,3,FALSE),"-",A83)</f>
        <v>MMII-PERCCO-82</v>
      </c>
      <c r="C83" s="1" t="s">
        <v>8352</v>
      </c>
      <c r="D83" s="1" t="str">
        <f>VLOOKUP(C83,t_objeto!B:C,2,FALSE)</f>
        <v>METHOD_INSTRUCTION</v>
      </c>
      <c r="E83" s="1">
        <v>8</v>
      </c>
      <c r="F83" s="1" t="str">
        <f>VLOOKUP(E83,t_entry_status!A:C,2,FALSE)</f>
        <v>PENDING</v>
      </c>
      <c r="G83" s="7">
        <v>45560</v>
      </c>
      <c r="H83" s="1" t="s">
        <v>7449</v>
      </c>
      <c r="I83" s="7">
        <v>45560</v>
      </c>
      <c r="J83" s="1" t="s">
        <v>7449</v>
      </c>
    </row>
    <row r="84" spans="1:10" x14ac:dyDescent="0.25">
      <c r="A84" s="1">
        <v>83</v>
      </c>
      <c r="B84" s="2" t="str">
        <f>_xlfn.CONCAT(C84,"-",VLOOKUP(C84,t_objeto!B:D,3,FALSE),"-",A84)</f>
        <v>MMII-PERCCO-83</v>
      </c>
      <c r="C84" s="1" t="s">
        <v>8352</v>
      </c>
      <c r="D84" s="1" t="str">
        <f>VLOOKUP(C84,t_objeto!B:C,2,FALSE)</f>
        <v>METHOD_INSTRUCTION</v>
      </c>
      <c r="E84" s="1">
        <v>8</v>
      </c>
      <c r="F84" s="1" t="str">
        <f>VLOOKUP(E84,t_entry_status!A:C,2,FALSE)</f>
        <v>PENDING</v>
      </c>
      <c r="G84" s="7">
        <v>45560</v>
      </c>
      <c r="H84" s="1" t="s">
        <v>7449</v>
      </c>
      <c r="I84" s="7">
        <v>45560</v>
      </c>
      <c r="J84" s="1" t="s">
        <v>7449</v>
      </c>
    </row>
    <row r="85" spans="1:10" x14ac:dyDescent="0.25">
      <c r="A85" s="1">
        <v>84</v>
      </c>
      <c r="B85" s="2" t="str">
        <f>_xlfn.CONCAT(C85,"-",VLOOKUP(C85,t_objeto!B:D,3,FALSE),"-",A85)</f>
        <v>MMII-PERCCO-84</v>
      </c>
      <c r="C85" s="1" t="s">
        <v>8352</v>
      </c>
      <c r="D85" s="1" t="str">
        <f>VLOOKUP(C85,t_objeto!B:C,2,FALSE)</f>
        <v>METHOD_INSTRUCTION</v>
      </c>
      <c r="E85" s="1">
        <v>8</v>
      </c>
      <c r="F85" s="1" t="str">
        <f>VLOOKUP(E85,t_entry_status!A:C,2,FALSE)</f>
        <v>PENDING</v>
      </c>
      <c r="G85" s="7">
        <v>45560</v>
      </c>
      <c r="H85" s="1" t="s">
        <v>7449</v>
      </c>
      <c r="I85" s="7">
        <v>45560</v>
      </c>
      <c r="J85" s="1" t="s">
        <v>7449</v>
      </c>
    </row>
    <row r="86" spans="1:10" x14ac:dyDescent="0.25">
      <c r="A86" s="1">
        <v>85</v>
      </c>
      <c r="B86" s="2" t="str">
        <f>_xlfn.CONCAT(C86,"-",VLOOKUP(C86,t_objeto!B:D,3,FALSE),"-",A86)</f>
        <v>MMII-PERCCO-85</v>
      </c>
      <c r="C86" s="1" t="s">
        <v>8352</v>
      </c>
      <c r="D86" s="1" t="str">
        <f>VLOOKUP(C86,t_objeto!B:C,2,FALSE)</f>
        <v>METHOD_INSTRUCTION</v>
      </c>
      <c r="E86" s="1">
        <v>8</v>
      </c>
      <c r="F86" s="1" t="str">
        <f>VLOOKUP(E86,t_entry_status!A:C,2,FALSE)</f>
        <v>PENDING</v>
      </c>
      <c r="G86" s="7">
        <v>45560</v>
      </c>
      <c r="H86" s="1" t="s">
        <v>7449</v>
      </c>
      <c r="I86" s="7">
        <v>45560</v>
      </c>
      <c r="J86" s="1" t="s">
        <v>7449</v>
      </c>
    </row>
    <row r="87" spans="1:10" x14ac:dyDescent="0.25">
      <c r="A87" s="1">
        <v>86</v>
      </c>
      <c r="B87" s="2" t="str">
        <f>_xlfn.CONCAT(C87,"-",VLOOKUP(C87,t_objeto!B:D,3,FALSE),"-",A87)</f>
        <v>MMII-PERCCO-86</v>
      </c>
      <c r="C87" s="1" t="s">
        <v>8352</v>
      </c>
      <c r="D87" s="1" t="str">
        <f>VLOOKUP(C87,t_objeto!B:C,2,FALSE)</f>
        <v>METHOD_INSTRUCTION</v>
      </c>
      <c r="E87" s="1">
        <v>8</v>
      </c>
      <c r="F87" s="1" t="str">
        <f>VLOOKUP(E87,t_entry_status!A:C,2,FALSE)</f>
        <v>PENDING</v>
      </c>
      <c r="G87" s="7">
        <v>45560</v>
      </c>
      <c r="H87" s="1" t="s">
        <v>7449</v>
      </c>
      <c r="I87" s="7">
        <v>45560</v>
      </c>
      <c r="J87" s="1" t="s">
        <v>7449</v>
      </c>
    </row>
    <row r="88" spans="1:10" x14ac:dyDescent="0.25">
      <c r="A88" s="1">
        <v>87</v>
      </c>
      <c r="B88" s="2" t="str">
        <f>_xlfn.CONCAT(C88,"-",VLOOKUP(C88,t_objeto!B:D,3,FALSE),"-",A88)</f>
        <v>MMII-PERCCO-87</v>
      </c>
      <c r="C88" s="1" t="s">
        <v>8352</v>
      </c>
      <c r="D88" s="1" t="str">
        <f>VLOOKUP(C88,t_objeto!B:C,2,FALSE)</f>
        <v>METHOD_INSTRUCTION</v>
      </c>
      <c r="E88" s="1">
        <v>8</v>
      </c>
      <c r="F88" s="1" t="str">
        <f>VLOOKUP(E88,t_entry_status!A:C,2,FALSE)</f>
        <v>PENDING</v>
      </c>
      <c r="G88" s="7">
        <v>45560</v>
      </c>
      <c r="H88" s="1" t="s">
        <v>7449</v>
      </c>
      <c r="I88" s="7">
        <v>45560</v>
      </c>
      <c r="J88" s="1" t="s">
        <v>7449</v>
      </c>
    </row>
    <row r="89" spans="1:10" x14ac:dyDescent="0.25">
      <c r="A89" s="1">
        <v>88</v>
      </c>
      <c r="B89" s="2" t="str">
        <f>_xlfn.CONCAT(C89,"-",VLOOKUP(C89,t_objeto!B:D,3,FALSE),"-",A89)</f>
        <v>MMII-PERCCO-88</v>
      </c>
      <c r="C89" s="1" t="s">
        <v>8352</v>
      </c>
      <c r="D89" s="1" t="str">
        <f>VLOOKUP(C89,t_objeto!B:C,2,FALSE)</f>
        <v>METHOD_INSTRUCTION</v>
      </c>
      <c r="E89" s="1">
        <v>8</v>
      </c>
      <c r="F89" s="1" t="str">
        <f>VLOOKUP(E89,t_entry_status!A:C,2,FALSE)</f>
        <v>PENDING</v>
      </c>
      <c r="G89" s="7">
        <v>45560</v>
      </c>
      <c r="H89" s="1" t="s">
        <v>7449</v>
      </c>
      <c r="I89" s="7">
        <v>45560</v>
      </c>
      <c r="J89" s="1" t="s">
        <v>7449</v>
      </c>
    </row>
    <row r="90" spans="1:10" x14ac:dyDescent="0.25">
      <c r="A90" s="1">
        <v>89</v>
      </c>
      <c r="B90" s="2" t="str">
        <f>_xlfn.CONCAT(C90,"-",VLOOKUP(C90,t_objeto!B:D,3,FALSE),"-",A90)</f>
        <v>MMII-PERCCO-89</v>
      </c>
      <c r="C90" s="1" t="s">
        <v>8352</v>
      </c>
      <c r="D90" s="1" t="str">
        <f>VLOOKUP(C90,t_objeto!B:C,2,FALSE)</f>
        <v>METHOD_INSTRUCTION</v>
      </c>
      <c r="E90" s="1">
        <v>8</v>
      </c>
      <c r="F90" s="1" t="str">
        <f>VLOOKUP(E90,t_entry_status!A:C,2,FALSE)</f>
        <v>PENDING</v>
      </c>
      <c r="G90" s="7">
        <v>45560</v>
      </c>
      <c r="H90" s="1" t="s">
        <v>7449</v>
      </c>
      <c r="I90" s="7">
        <v>45560</v>
      </c>
      <c r="J90" s="1" t="s">
        <v>7449</v>
      </c>
    </row>
    <row r="91" spans="1:10" x14ac:dyDescent="0.25">
      <c r="A91" s="1">
        <v>90</v>
      </c>
      <c r="B91" s="2" t="str">
        <f>_xlfn.CONCAT(C91,"-",VLOOKUP(C91,t_objeto!B:D,3,FALSE),"-",A91)</f>
        <v>MMII-PERCCO-90</v>
      </c>
      <c r="C91" s="1" t="s">
        <v>8352</v>
      </c>
      <c r="D91" s="1" t="str">
        <f>VLOOKUP(C91,t_objeto!B:C,2,FALSE)</f>
        <v>METHOD_INSTRUCTION</v>
      </c>
      <c r="E91" s="1">
        <v>8</v>
      </c>
      <c r="F91" s="1" t="str">
        <f>VLOOKUP(E91,t_entry_status!A:C,2,FALSE)</f>
        <v>PENDING</v>
      </c>
      <c r="G91" s="7">
        <v>45560</v>
      </c>
      <c r="H91" s="1" t="s">
        <v>7449</v>
      </c>
      <c r="I91" s="7">
        <v>45560</v>
      </c>
      <c r="J91" s="1" t="s">
        <v>7449</v>
      </c>
    </row>
    <row r="92" spans="1:10" x14ac:dyDescent="0.25">
      <c r="A92" s="1">
        <v>91</v>
      </c>
      <c r="B92" s="2" t="str">
        <f>_xlfn.CONCAT(C92,"-",VLOOKUP(C92,t_objeto!B:D,3,FALSE),"-",A92)</f>
        <v>MMII-PERCCO-91</v>
      </c>
      <c r="C92" s="1" t="s">
        <v>8352</v>
      </c>
      <c r="D92" s="1" t="str">
        <f>VLOOKUP(C92,t_objeto!B:C,2,FALSE)</f>
        <v>METHOD_INSTRUCTION</v>
      </c>
      <c r="E92" s="1">
        <v>8</v>
      </c>
      <c r="F92" s="1" t="str">
        <f>VLOOKUP(E92,t_entry_status!A:C,2,FALSE)</f>
        <v>PENDING</v>
      </c>
      <c r="G92" s="7">
        <v>45560</v>
      </c>
      <c r="H92" s="1" t="s">
        <v>7449</v>
      </c>
      <c r="I92" s="7">
        <v>45560</v>
      </c>
      <c r="J92" s="1" t="s">
        <v>7449</v>
      </c>
    </row>
    <row r="93" spans="1:10" x14ac:dyDescent="0.25">
      <c r="A93" s="1">
        <v>92</v>
      </c>
      <c r="B93" s="2" t="str">
        <f>_xlfn.CONCAT(C93,"-",VLOOKUP(C93,t_objeto!B:D,3,FALSE),"-",A93)</f>
        <v>MMII-PERCCO-92</v>
      </c>
      <c r="C93" s="1" t="s">
        <v>8352</v>
      </c>
      <c r="D93" s="1" t="str">
        <f>VLOOKUP(C93,t_objeto!B:C,2,FALSE)</f>
        <v>METHOD_INSTRUCTION</v>
      </c>
      <c r="E93" s="1">
        <v>8</v>
      </c>
      <c r="F93" s="1" t="str">
        <f>VLOOKUP(E93,t_entry_status!A:C,2,FALSE)</f>
        <v>PENDING</v>
      </c>
      <c r="G93" s="7">
        <v>45560</v>
      </c>
      <c r="H93" s="1" t="s">
        <v>7449</v>
      </c>
      <c r="I93" s="7">
        <v>45560</v>
      </c>
      <c r="J93" s="1" t="s">
        <v>7449</v>
      </c>
    </row>
    <row r="94" spans="1:10" x14ac:dyDescent="0.25">
      <c r="A94" s="1">
        <v>93</v>
      </c>
      <c r="B94" s="2" t="str">
        <f>_xlfn.CONCAT(C94,"-",VLOOKUP(C94,t_objeto!B:D,3,FALSE),"-",A94)</f>
        <v>MMII-PERCCO-93</v>
      </c>
      <c r="C94" s="1" t="s">
        <v>8352</v>
      </c>
      <c r="D94" s="1" t="str">
        <f>VLOOKUP(C94,t_objeto!B:C,2,FALSE)</f>
        <v>METHOD_INSTRUCTION</v>
      </c>
      <c r="E94" s="1">
        <v>8</v>
      </c>
      <c r="F94" s="1" t="str">
        <f>VLOOKUP(E94,t_entry_status!A:C,2,FALSE)</f>
        <v>PENDING</v>
      </c>
      <c r="G94" s="7">
        <v>45560</v>
      </c>
      <c r="H94" s="1" t="s">
        <v>7449</v>
      </c>
      <c r="I94" s="7">
        <v>45560</v>
      </c>
      <c r="J94" s="1" t="s">
        <v>7449</v>
      </c>
    </row>
    <row r="95" spans="1:10" x14ac:dyDescent="0.25">
      <c r="A95" s="1">
        <v>94</v>
      </c>
      <c r="B95" s="2" t="str">
        <f>_xlfn.CONCAT(C95,"-",VLOOKUP(C95,t_objeto!B:D,3,FALSE),"-",A95)</f>
        <v>MMII-PERCCO-94</v>
      </c>
      <c r="C95" s="1" t="s">
        <v>8352</v>
      </c>
      <c r="D95" s="1" t="str">
        <f>VLOOKUP(C95,t_objeto!B:C,2,FALSE)</f>
        <v>METHOD_INSTRUCTION</v>
      </c>
      <c r="E95" s="1">
        <v>8</v>
      </c>
      <c r="F95" s="1" t="str">
        <f>VLOOKUP(E95,t_entry_status!A:C,2,FALSE)</f>
        <v>PENDING</v>
      </c>
      <c r="G95" s="7">
        <v>45560</v>
      </c>
      <c r="H95" s="1" t="s">
        <v>7449</v>
      </c>
      <c r="I95" s="7">
        <v>45560</v>
      </c>
      <c r="J95" s="1" t="s">
        <v>7449</v>
      </c>
    </row>
    <row r="96" spans="1:10" x14ac:dyDescent="0.25">
      <c r="A96" s="1">
        <v>95</v>
      </c>
      <c r="B96" s="2" t="str">
        <f>_xlfn.CONCAT(C96,"-",VLOOKUP(C96,t_objeto!B:D,3,FALSE),"-",A96)</f>
        <v>MMII-PERCCO-95</v>
      </c>
      <c r="C96" s="1" t="s">
        <v>8352</v>
      </c>
      <c r="D96" s="1" t="str">
        <f>VLOOKUP(C96,t_objeto!B:C,2,FALSE)</f>
        <v>METHOD_INSTRUCTION</v>
      </c>
      <c r="E96" s="1">
        <v>8</v>
      </c>
      <c r="F96" s="1" t="str">
        <f>VLOOKUP(E96,t_entry_status!A:C,2,FALSE)</f>
        <v>PENDING</v>
      </c>
      <c r="G96" s="7">
        <v>45560</v>
      </c>
      <c r="H96" s="1" t="s">
        <v>7449</v>
      </c>
      <c r="I96" s="7">
        <v>45560</v>
      </c>
      <c r="J96" s="1" t="s">
        <v>7449</v>
      </c>
    </row>
    <row r="97" spans="1:10" x14ac:dyDescent="0.25">
      <c r="A97" s="1">
        <v>96</v>
      </c>
      <c r="B97" s="2" t="str">
        <f>_xlfn.CONCAT(C97,"-",VLOOKUP(C97,t_objeto!B:D,3,FALSE),"-",A97)</f>
        <v>MMII-PERCCO-96</v>
      </c>
      <c r="C97" s="1" t="s">
        <v>8352</v>
      </c>
      <c r="D97" s="1" t="str">
        <f>VLOOKUP(C97,t_objeto!B:C,2,FALSE)</f>
        <v>METHOD_INSTRUCTION</v>
      </c>
      <c r="E97" s="1">
        <v>8</v>
      </c>
      <c r="F97" s="1" t="str">
        <f>VLOOKUP(E97,t_entry_status!A:C,2,FALSE)</f>
        <v>PENDING</v>
      </c>
      <c r="G97" s="7">
        <v>45560</v>
      </c>
      <c r="H97" s="1" t="s">
        <v>7449</v>
      </c>
      <c r="I97" s="7">
        <v>45560</v>
      </c>
      <c r="J97" s="1" t="s">
        <v>7449</v>
      </c>
    </row>
    <row r="98" spans="1:10" x14ac:dyDescent="0.25">
      <c r="A98" s="1">
        <v>97</v>
      </c>
      <c r="B98" s="2" t="str">
        <f>_xlfn.CONCAT(C98,"-",VLOOKUP(C98,t_objeto!B:D,3,FALSE),"-",A98)</f>
        <v>MMII-PERCCO-97</v>
      </c>
      <c r="C98" s="1" t="s">
        <v>8352</v>
      </c>
      <c r="D98" s="1" t="str">
        <f>VLOOKUP(C98,t_objeto!B:C,2,FALSE)</f>
        <v>METHOD_INSTRUCTION</v>
      </c>
      <c r="E98" s="1">
        <v>8</v>
      </c>
      <c r="F98" s="1" t="str">
        <f>VLOOKUP(E98,t_entry_status!A:C,2,FALSE)</f>
        <v>PENDING</v>
      </c>
      <c r="G98" s="7">
        <v>45560</v>
      </c>
      <c r="H98" s="1" t="s">
        <v>7449</v>
      </c>
      <c r="I98" s="7">
        <v>45560</v>
      </c>
      <c r="J98" s="1" t="s">
        <v>7449</v>
      </c>
    </row>
    <row r="99" spans="1:10" x14ac:dyDescent="0.25">
      <c r="A99" s="1">
        <v>98</v>
      </c>
      <c r="B99" s="2" t="str">
        <f>_xlfn.CONCAT(C99,"-",VLOOKUP(C99,t_objeto!B:D,3,FALSE),"-",A99)</f>
        <v>MMII-PERCCO-98</v>
      </c>
      <c r="C99" s="1" t="s">
        <v>8352</v>
      </c>
      <c r="D99" s="1" t="str">
        <f>VLOOKUP(C99,t_objeto!B:C,2,FALSE)</f>
        <v>METHOD_INSTRUCTION</v>
      </c>
      <c r="E99" s="1">
        <v>8</v>
      </c>
      <c r="F99" s="1" t="str">
        <f>VLOOKUP(E99,t_entry_status!A:C,2,FALSE)</f>
        <v>PENDING</v>
      </c>
      <c r="G99" s="7">
        <v>45560</v>
      </c>
      <c r="H99" s="1" t="s">
        <v>7449</v>
      </c>
      <c r="I99" s="7">
        <v>45560</v>
      </c>
      <c r="J99" s="1" t="s">
        <v>7449</v>
      </c>
    </row>
    <row r="100" spans="1:10" x14ac:dyDescent="0.25">
      <c r="A100" s="1">
        <v>99</v>
      </c>
      <c r="B100" s="2" t="str">
        <f>_xlfn.CONCAT(C100,"-",VLOOKUP(C100,t_objeto!B:D,3,FALSE),"-",A100)</f>
        <v>MMII-PERCCO-99</v>
      </c>
      <c r="C100" s="1" t="s">
        <v>8352</v>
      </c>
      <c r="D100" s="1" t="str">
        <f>VLOOKUP(C100,t_objeto!B:C,2,FALSE)</f>
        <v>METHOD_INSTRUCTION</v>
      </c>
      <c r="E100" s="1">
        <v>8</v>
      </c>
      <c r="F100" s="1" t="str">
        <f>VLOOKUP(E100,t_entry_status!A:C,2,FALSE)</f>
        <v>PENDING</v>
      </c>
      <c r="G100" s="7">
        <v>45560</v>
      </c>
      <c r="H100" s="1" t="s">
        <v>7449</v>
      </c>
      <c r="I100" s="7">
        <v>45560</v>
      </c>
      <c r="J100" s="1" t="s">
        <v>7449</v>
      </c>
    </row>
    <row r="101" spans="1:10" x14ac:dyDescent="0.25">
      <c r="A101" s="1">
        <v>100</v>
      </c>
      <c r="B101" s="2" t="str">
        <f>_xlfn.CONCAT(C101,"-",VLOOKUP(C101,t_objeto!B:D,3,FALSE),"-",A101)</f>
        <v>MMII-PERCCO-100</v>
      </c>
      <c r="C101" s="1" t="s">
        <v>8352</v>
      </c>
      <c r="D101" s="1" t="str">
        <f>VLOOKUP(C101,t_objeto!B:C,2,FALSE)</f>
        <v>METHOD_INSTRUCTION</v>
      </c>
      <c r="E101" s="1">
        <v>8</v>
      </c>
      <c r="F101" s="1" t="str">
        <f>VLOOKUP(E101,t_entry_status!A:C,2,FALSE)</f>
        <v>PENDING</v>
      </c>
      <c r="G101" s="7">
        <v>45560</v>
      </c>
      <c r="H101" s="1" t="s">
        <v>7449</v>
      </c>
      <c r="I101" s="7">
        <v>45560</v>
      </c>
      <c r="J101" s="1" t="s">
        <v>7449</v>
      </c>
    </row>
    <row r="102" spans="1:10" x14ac:dyDescent="0.25">
      <c r="A102" s="1">
        <v>101</v>
      </c>
      <c r="B102" s="2" t="str">
        <f>_xlfn.CONCAT(C102,"-",VLOOKUP(C102,t_objeto!B:D,3,FALSE),"-",A102)</f>
        <v>MMII-PERCCO-101</v>
      </c>
      <c r="C102" s="1" t="s">
        <v>8352</v>
      </c>
      <c r="D102" s="1" t="str">
        <f>VLOOKUP(C102,t_objeto!B:C,2,FALSE)</f>
        <v>METHOD_INSTRUCTION</v>
      </c>
      <c r="E102" s="1">
        <v>8</v>
      </c>
      <c r="F102" s="1" t="str">
        <f>VLOOKUP(E102,t_entry_status!A:C,2,FALSE)</f>
        <v>PENDING</v>
      </c>
      <c r="G102" s="7">
        <v>45560</v>
      </c>
      <c r="H102" s="1" t="s">
        <v>7449</v>
      </c>
      <c r="I102" s="7">
        <v>45560</v>
      </c>
      <c r="J102" s="1" t="s">
        <v>7449</v>
      </c>
    </row>
    <row r="103" spans="1:10" x14ac:dyDescent="0.25">
      <c r="A103" s="1">
        <v>102</v>
      </c>
      <c r="B103" s="2" t="str">
        <f>_xlfn.CONCAT(C103,"-",VLOOKUP(C103,t_objeto!B:D,3,FALSE),"-",A103)</f>
        <v>MMII-PERCCO-102</v>
      </c>
      <c r="C103" s="1" t="s">
        <v>8352</v>
      </c>
      <c r="D103" s="1" t="str">
        <f>VLOOKUP(C103,t_objeto!B:C,2,FALSE)</f>
        <v>METHOD_INSTRUCTION</v>
      </c>
      <c r="E103" s="1">
        <v>8</v>
      </c>
      <c r="F103" s="1" t="str">
        <f>VLOOKUP(E103,t_entry_status!A:C,2,FALSE)</f>
        <v>PENDING</v>
      </c>
      <c r="G103" s="7">
        <v>45560</v>
      </c>
      <c r="H103" s="1" t="s">
        <v>7449</v>
      </c>
      <c r="I103" s="7">
        <v>45560</v>
      </c>
      <c r="J103" s="1" t="s">
        <v>7449</v>
      </c>
    </row>
    <row r="104" spans="1:10" x14ac:dyDescent="0.25">
      <c r="A104" s="1">
        <v>103</v>
      </c>
      <c r="B104" s="2" t="str">
        <f>_xlfn.CONCAT(C104,"-",VLOOKUP(C104,t_objeto!B:D,3,FALSE),"-",A104)</f>
        <v>MMII-PERCCO-103</v>
      </c>
      <c r="C104" s="1" t="s">
        <v>8352</v>
      </c>
      <c r="D104" s="1" t="str">
        <f>VLOOKUP(C104,t_objeto!B:C,2,FALSE)</f>
        <v>METHOD_INSTRUCTION</v>
      </c>
      <c r="E104" s="1">
        <v>8</v>
      </c>
      <c r="F104" s="1" t="str">
        <f>VLOOKUP(E104,t_entry_status!A:C,2,FALSE)</f>
        <v>PENDING</v>
      </c>
      <c r="G104" s="7">
        <v>45560</v>
      </c>
      <c r="H104" s="1" t="s">
        <v>7449</v>
      </c>
      <c r="I104" s="7">
        <v>45560</v>
      </c>
      <c r="J104" s="1" t="s">
        <v>7449</v>
      </c>
    </row>
    <row r="105" spans="1:10" x14ac:dyDescent="0.25">
      <c r="A105" s="1">
        <v>104</v>
      </c>
      <c r="B105" s="2" t="str">
        <f>_xlfn.CONCAT(C105,"-",VLOOKUP(C105,t_objeto!B:D,3,FALSE),"-",A105)</f>
        <v>MMII-PERCCO-104</v>
      </c>
      <c r="C105" s="1" t="s">
        <v>8352</v>
      </c>
      <c r="D105" s="1" t="str">
        <f>VLOOKUP(C105,t_objeto!B:C,2,FALSE)</f>
        <v>METHOD_INSTRUCTION</v>
      </c>
      <c r="E105" s="1">
        <v>8</v>
      </c>
      <c r="F105" s="1" t="str">
        <f>VLOOKUP(E105,t_entry_status!A:C,2,FALSE)</f>
        <v>PENDING</v>
      </c>
      <c r="G105" s="7">
        <v>45560</v>
      </c>
      <c r="H105" s="1" t="s">
        <v>7449</v>
      </c>
      <c r="I105" s="7">
        <v>45560</v>
      </c>
      <c r="J105" s="1" t="s">
        <v>7449</v>
      </c>
    </row>
    <row r="106" spans="1:10" x14ac:dyDescent="0.25">
      <c r="A106" s="1">
        <v>105</v>
      </c>
      <c r="B106" s="2" t="str">
        <f>_xlfn.CONCAT(C106,"-",VLOOKUP(C106,t_objeto!B:D,3,FALSE),"-",A106)</f>
        <v>MMII-PERCCO-105</v>
      </c>
      <c r="C106" s="1" t="s">
        <v>8352</v>
      </c>
      <c r="D106" s="1" t="str">
        <f>VLOOKUP(C106,t_objeto!B:C,2,FALSE)</f>
        <v>METHOD_INSTRUCTION</v>
      </c>
      <c r="E106" s="1">
        <v>8</v>
      </c>
      <c r="F106" s="1" t="str">
        <f>VLOOKUP(E106,t_entry_status!A:C,2,FALSE)</f>
        <v>PENDING</v>
      </c>
      <c r="G106" s="7">
        <v>45560</v>
      </c>
      <c r="H106" s="1" t="s">
        <v>7449</v>
      </c>
      <c r="I106" s="7">
        <v>45560</v>
      </c>
      <c r="J106" s="1" t="s">
        <v>7449</v>
      </c>
    </row>
    <row r="107" spans="1:10" x14ac:dyDescent="0.25">
      <c r="A107" s="1">
        <v>106</v>
      </c>
      <c r="B107" s="2" t="str">
        <f>_xlfn.CONCAT(C107,"-",VLOOKUP(C107,t_objeto!B:D,3,FALSE),"-",A107)</f>
        <v>MMII-PERCCO-106</v>
      </c>
      <c r="C107" s="1" t="s">
        <v>8352</v>
      </c>
      <c r="D107" s="1" t="str">
        <f>VLOOKUP(C107,t_objeto!B:C,2,FALSE)</f>
        <v>METHOD_INSTRUCTION</v>
      </c>
      <c r="E107" s="1">
        <v>8</v>
      </c>
      <c r="F107" s="1" t="str">
        <f>VLOOKUP(E107,t_entry_status!A:C,2,FALSE)</f>
        <v>PENDING</v>
      </c>
      <c r="G107" s="7">
        <v>45560</v>
      </c>
      <c r="H107" s="1" t="s">
        <v>7449</v>
      </c>
      <c r="I107" s="7">
        <v>45560</v>
      </c>
      <c r="J107" s="1" t="s">
        <v>7449</v>
      </c>
    </row>
    <row r="108" spans="1:10" x14ac:dyDescent="0.25">
      <c r="A108" s="1">
        <v>107</v>
      </c>
      <c r="B108" s="2" t="str">
        <f>_xlfn.CONCAT(C108,"-",VLOOKUP(C108,t_objeto!B:D,3,FALSE),"-",A108)</f>
        <v>MMII-PERCCO-107</v>
      </c>
      <c r="C108" s="1" t="s">
        <v>8352</v>
      </c>
      <c r="D108" s="1" t="str">
        <f>VLOOKUP(C108,t_objeto!B:C,2,FALSE)</f>
        <v>METHOD_INSTRUCTION</v>
      </c>
      <c r="E108" s="1">
        <v>8</v>
      </c>
      <c r="F108" s="1" t="str">
        <f>VLOOKUP(E108,t_entry_status!A:C,2,FALSE)</f>
        <v>PENDING</v>
      </c>
      <c r="G108" s="7">
        <v>45560</v>
      </c>
      <c r="H108" s="1" t="s">
        <v>7449</v>
      </c>
      <c r="I108" s="7">
        <v>45560</v>
      </c>
      <c r="J108" s="1" t="s">
        <v>7449</v>
      </c>
    </row>
    <row r="109" spans="1:10" x14ac:dyDescent="0.25">
      <c r="A109" s="1">
        <v>108</v>
      </c>
      <c r="B109" s="2" t="str">
        <f>_xlfn.CONCAT(C109,"-",VLOOKUP(C109,t_objeto!B:D,3,FALSE),"-",A109)</f>
        <v>MMII-PERCCO-108</v>
      </c>
      <c r="C109" s="1" t="s">
        <v>8352</v>
      </c>
      <c r="D109" s="1" t="str">
        <f>VLOOKUP(C109,t_objeto!B:C,2,FALSE)</f>
        <v>METHOD_INSTRUCTION</v>
      </c>
      <c r="E109" s="1">
        <v>8</v>
      </c>
      <c r="F109" s="1" t="str">
        <f>VLOOKUP(E109,t_entry_status!A:C,2,FALSE)</f>
        <v>PENDING</v>
      </c>
      <c r="G109" s="7">
        <v>45560</v>
      </c>
      <c r="H109" s="1" t="s">
        <v>7449</v>
      </c>
      <c r="I109" s="7">
        <v>45560</v>
      </c>
      <c r="J109" s="1" t="s">
        <v>7449</v>
      </c>
    </row>
    <row r="110" spans="1:10" x14ac:dyDescent="0.25">
      <c r="A110" s="1">
        <v>109</v>
      </c>
      <c r="B110" s="2" t="str">
        <f>_xlfn.CONCAT(C110,"-",VLOOKUP(C110,t_objeto!B:D,3,FALSE),"-",A110)</f>
        <v>MMII-PERCCO-109</v>
      </c>
      <c r="C110" s="1" t="s">
        <v>8352</v>
      </c>
      <c r="D110" s="1" t="str">
        <f>VLOOKUP(C110,t_objeto!B:C,2,FALSE)</f>
        <v>METHOD_INSTRUCTION</v>
      </c>
      <c r="E110" s="1">
        <v>8</v>
      </c>
      <c r="F110" s="1" t="str">
        <f>VLOOKUP(E110,t_entry_status!A:C,2,FALSE)</f>
        <v>PENDING</v>
      </c>
      <c r="G110" s="7">
        <v>45560</v>
      </c>
      <c r="H110" s="1" t="s">
        <v>7449</v>
      </c>
      <c r="I110" s="7">
        <v>45560</v>
      </c>
      <c r="J110" s="1" t="s">
        <v>7449</v>
      </c>
    </row>
    <row r="111" spans="1:10" x14ac:dyDescent="0.25">
      <c r="A111" s="1">
        <v>110</v>
      </c>
      <c r="B111" s="2" t="str">
        <f>_xlfn.CONCAT(C111,"-",VLOOKUP(C111,t_objeto!B:D,3,FALSE),"-",A111)</f>
        <v>MMII-PERCCO-110</v>
      </c>
      <c r="C111" s="1" t="s">
        <v>8352</v>
      </c>
      <c r="D111" s="1" t="str">
        <f>VLOOKUP(C111,t_objeto!B:C,2,FALSE)</f>
        <v>METHOD_INSTRUCTION</v>
      </c>
      <c r="E111" s="1">
        <v>8</v>
      </c>
      <c r="F111" s="1" t="str">
        <f>VLOOKUP(E111,t_entry_status!A:C,2,FALSE)</f>
        <v>PENDING</v>
      </c>
      <c r="G111" s="7">
        <v>45560</v>
      </c>
      <c r="H111" s="1" t="s">
        <v>7449</v>
      </c>
      <c r="I111" s="7">
        <v>45560</v>
      </c>
      <c r="J111" s="1" t="s">
        <v>7449</v>
      </c>
    </row>
    <row r="112" spans="1:10" x14ac:dyDescent="0.25">
      <c r="A112" s="1">
        <v>111</v>
      </c>
      <c r="B112" s="2" t="str">
        <f>_xlfn.CONCAT(C112,"-",VLOOKUP(C112,t_objeto!B:D,3,FALSE),"-",A112)</f>
        <v>MMII-PERCCO-111</v>
      </c>
      <c r="C112" s="1" t="s">
        <v>8352</v>
      </c>
      <c r="D112" s="1" t="str">
        <f>VLOOKUP(C112,t_objeto!B:C,2,FALSE)</f>
        <v>METHOD_INSTRUCTION</v>
      </c>
      <c r="E112" s="1">
        <v>8</v>
      </c>
      <c r="F112" s="1" t="str">
        <f>VLOOKUP(E112,t_entry_status!A:C,2,FALSE)</f>
        <v>PENDING</v>
      </c>
      <c r="G112" s="7">
        <v>45560</v>
      </c>
      <c r="H112" s="1" t="s">
        <v>7449</v>
      </c>
      <c r="I112" s="7">
        <v>45560</v>
      </c>
      <c r="J112" s="1" t="s">
        <v>7449</v>
      </c>
    </row>
    <row r="113" spans="1:10" x14ac:dyDescent="0.25">
      <c r="A113" s="1">
        <v>112</v>
      </c>
      <c r="B113" s="2" t="str">
        <f>_xlfn.CONCAT(C113,"-",VLOOKUP(C113,t_objeto!B:D,3,FALSE),"-",A113)</f>
        <v>MMII-PERCCO-112</v>
      </c>
      <c r="C113" s="1" t="s">
        <v>8352</v>
      </c>
      <c r="D113" s="1" t="str">
        <f>VLOOKUP(C113,t_objeto!B:C,2,FALSE)</f>
        <v>METHOD_INSTRUCTION</v>
      </c>
      <c r="E113" s="1">
        <v>8</v>
      </c>
      <c r="F113" s="1" t="str">
        <f>VLOOKUP(E113,t_entry_status!A:C,2,FALSE)</f>
        <v>PENDING</v>
      </c>
      <c r="G113" s="7">
        <v>45560</v>
      </c>
      <c r="H113" s="1" t="s">
        <v>7449</v>
      </c>
      <c r="I113" s="7">
        <v>45560</v>
      </c>
      <c r="J113" s="1" t="s">
        <v>7449</v>
      </c>
    </row>
    <row r="114" spans="1:10" x14ac:dyDescent="0.25">
      <c r="A114" s="1">
        <v>113</v>
      </c>
      <c r="B114" s="2" t="str">
        <f>_xlfn.CONCAT(C114,"-",VLOOKUP(C114,t_objeto!B:D,3,FALSE),"-",A114)</f>
        <v>MMII-PERCCO-113</v>
      </c>
      <c r="C114" s="1" t="s">
        <v>8352</v>
      </c>
      <c r="D114" s="1" t="str">
        <f>VLOOKUP(C114,t_objeto!B:C,2,FALSE)</f>
        <v>METHOD_INSTRUCTION</v>
      </c>
      <c r="E114" s="1">
        <v>8</v>
      </c>
      <c r="F114" s="1" t="str">
        <f>VLOOKUP(E114,t_entry_status!A:C,2,FALSE)</f>
        <v>PENDING</v>
      </c>
      <c r="G114" s="7">
        <v>45560</v>
      </c>
      <c r="H114" s="1" t="s">
        <v>7449</v>
      </c>
      <c r="I114" s="7">
        <v>45560</v>
      </c>
      <c r="J114" s="1" t="s">
        <v>7449</v>
      </c>
    </row>
    <row r="115" spans="1:10" x14ac:dyDescent="0.25">
      <c r="A115" s="1">
        <v>114</v>
      </c>
      <c r="B115" s="2" t="str">
        <f>_xlfn.CONCAT(C115,"-",VLOOKUP(C115,t_objeto!B:D,3,FALSE),"-",A115)</f>
        <v>MMII-PERCCO-114</v>
      </c>
      <c r="C115" s="1" t="s">
        <v>8352</v>
      </c>
      <c r="D115" s="1" t="str">
        <f>VLOOKUP(C115,t_objeto!B:C,2,FALSE)</f>
        <v>METHOD_INSTRUCTION</v>
      </c>
      <c r="E115" s="1">
        <v>8</v>
      </c>
      <c r="F115" s="1" t="str">
        <f>VLOOKUP(E115,t_entry_status!A:C,2,FALSE)</f>
        <v>PENDING</v>
      </c>
      <c r="G115" s="7">
        <v>45560</v>
      </c>
      <c r="H115" s="1" t="s">
        <v>7449</v>
      </c>
      <c r="I115" s="7">
        <v>45560</v>
      </c>
      <c r="J115" s="1" t="s">
        <v>7449</v>
      </c>
    </row>
    <row r="116" spans="1:10" x14ac:dyDescent="0.25">
      <c r="A116" s="1">
        <v>115</v>
      </c>
      <c r="B116" s="2" t="str">
        <f>_xlfn.CONCAT(C116,"-",VLOOKUP(C116,t_objeto!B:D,3,FALSE),"-",A116)</f>
        <v>MMII-PERCCO-115</v>
      </c>
      <c r="C116" s="1" t="s">
        <v>8352</v>
      </c>
      <c r="D116" s="1" t="str">
        <f>VLOOKUP(C116,t_objeto!B:C,2,FALSE)</f>
        <v>METHOD_INSTRUCTION</v>
      </c>
      <c r="E116" s="1">
        <v>8</v>
      </c>
      <c r="F116" s="1" t="str">
        <f>VLOOKUP(E116,t_entry_status!A:C,2,FALSE)</f>
        <v>PENDING</v>
      </c>
      <c r="G116" s="7">
        <v>45560</v>
      </c>
      <c r="H116" s="1" t="s">
        <v>7449</v>
      </c>
      <c r="I116" s="7">
        <v>45560</v>
      </c>
      <c r="J116" s="1" t="s">
        <v>7449</v>
      </c>
    </row>
    <row r="117" spans="1:10" x14ac:dyDescent="0.25">
      <c r="A117" s="1">
        <v>116</v>
      </c>
      <c r="B117" s="2" t="str">
        <f>_xlfn.CONCAT(C117,"-",VLOOKUP(C117,t_objeto!B:D,3,FALSE),"-",A117)</f>
        <v>MMII-PERCCO-116</v>
      </c>
      <c r="C117" s="1" t="s">
        <v>8352</v>
      </c>
      <c r="D117" s="1" t="str">
        <f>VLOOKUP(C117,t_objeto!B:C,2,FALSE)</f>
        <v>METHOD_INSTRUCTION</v>
      </c>
      <c r="E117" s="1">
        <v>8</v>
      </c>
      <c r="F117" s="1" t="str">
        <f>VLOOKUP(E117,t_entry_status!A:C,2,FALSE)</f>
        <v>PENDING</v>
      </c>
      <c r="G117" s="7">
        <v>45560</v>
      </c>
      <c r="H117" s="1" t="s">
        <v>7449</v>
      </c>
      <c r="I117" s="7">
        <v>45560</v>
      </c>
      <c r="J117" s="1" t="s">
        <v>7449</v>
      </c>
    </row>
    <row r="118" spans="1:10" x14ac:dyDescent="0.25">
      <c r="A118" s="1">
        <v>117</v>
      </c>
      <c r="B118" s="2" t="str">
        <f>_xlfn.CONCAT(C118,"-",VLOOKUP(C118,t_objeto!B:D,3,FALSE),"-",A118)</f>
        <v>MMII-PERCCO-117</v>
      </c>
      <c r="C118" s="1" t="s">
        <v>8352</v>
      </c>
      <c r="D118" s="1" t="str">
        <f>VLOOKUP(C118,t_objeto!B:C,2,FALSE)</f>
        <v>METHOD_INSTRUCTION</v>
      </c>
      <c r="E118" s="1">
        <v>8</v>
      </c>
      <c r="F118" s="1" t="str">
        <f>VLOOKUP(E118,t_entry_status!A:C,2,FALSE)</f>
        <v>PENDING</v>
      </c>
      <c r="G118" s="7">
        <v>45560</v>
      </c>
      <c r="H118" s="1" t="s">
        <v>7449</v>
      </c>
      <c r="I118" s="7">
        <v>45560</v>
      </c>
      <c r="J118" s="1" t="s">
        <v>7449</v>
      </c>
    </row>
    <row r="119" spans="1:10" x14ac:dyDescent="0.25">
      <c r="A119" s="1">
        <v>118</v>
      </c>
      <c r="B119" s="2" t="str">
        <f>_xlfn.CONCAT(C119,"-",VLOOKUP(C119,t_objeto!B:D,3,FALSE),"-",A119)</f>
        <v>MMII-PERCCO-118</v>
      </c>
      <c r="C119" s="1" t="s">
        <v>8352</v>
      </c>
      <c r="D119" s="1" t="str">
        <f>VLOOKUP(C119,t_objeto!B:C,2,FALSE)</f>
        <v>METHOD_INSTRUCTION</v>
      </c>
      <c r="E119" s="1">
        <v>8</v>
      </c>
      <c r="F119" s="1" t="str">
        <f>VLOOKUP(E119,t_entry_status!A:C,2,FALSE)</f>
        <v>PENDING</v>
      </c>
      <c r="G119" s="7">
        <v>45560</v>
      </c>
      <c r="H119" s="1" t="s">
        <v>7449</v>
      </c>
      <c r="I119" s="7">
        <v>45560</v>
      </c>
      <c r="J119" s="1" t="s">
        <v>7449</v>
      </c>
    </row>
    <row r="120" spans="1:10" x14ac:dyDescent="0.25">
      <c r="A120" s="1">
        <v>119</v>
      </c>
      <c r="B120" s="2" t="str">
        <f>_xlfn.CONCAT(C120,"-",VLOOKUP(C120,t_objeto!B:D,3,FALSE),"-",A120)</f>
        <v>MMII-PERCCO-119</v>
      </c>
      <c r="C120" s="1" t="s">
        <v>8352</v>
      </c>
      <c r="D120" s="1" t="str">
        <f>VLOOKUP(C120,t_objeto!B:C,2,FALSE)</f>
        <v>METHOD_INSTRUCTION</v>
      </c>
      <c r="E120" s="1">
        <v>8</v>
      </c>
      <c r="F120" s="1" t="str">
        <f>VLOOKUP(E120,t_entry_status!A:C,2,FALSE)</f>
        <v>PENDING</v>
      </c>
      <c r="G120" s="7">
        <v>45560</v>
      </c>
      <c r="H120" s="1" t="s">
        <v>7449</v>
      </c>
      <c r="I120" s="7">
        <v>45560</v>
      </c>
      <c r="J120" s="1" t="s">
        <v>7449</v>
      </c>
    </row>
    <row r="121" spans="1:10" x14ac:dyDescent="0.25">
      <c r="A121" s="1">
        <v>120</v>
      </c>
      <c r="B121" s="2" t="str">
        <f>_xlfn.CONCAT(C121,"-",VLOOKUP(C121,t_objeto!B:D,3,FALSE),"-",A121)</f>
        <v>MMII-PERCCO-120</v>
      </c>
      <c r="C121" s="1" t="s">
        <v>8352</v>
      </c>
      <c r="D121" s="1" t="str">
        <f>VLOOKUP(C121,t_objeto!B:C,2,FALSE)</f>
        <v>METHOD_INSTRUCTION</v>
      </c>
      <c r="E121" s="1">
        <v>8</v>
      </c>
      <c r="F121" s="1" t="str">
        <f>VLOOKUP(E121,t_entry_status!A:C,2,FALSE)</f>
        <v>PENDING</v>
      </c>
      <c r="G121" s="7">
        <v>45560</v>
      </c>
      <c r="H121" s="1" t="s">
        <v>7449</v>
      </c>
      <c r="I121" s="7">
        <v>45560</v>
      </c>
      <c r="J121" s="1" t="s">
        <v>7449</v>
      </c>
    </row>
    <row r="122" spans="1:10" x14ac:dyDescent="0.25">
      <c r="A122" s="1">
        <v>121</v>
      </c>
      <c r="B122" s="2" t="str">
        <f>_xlfn.CONCAT(C122,"-",VLOOKUP(C122,t_objeto!B:D,3,FALSE),"-",A122)</f>
        <v>MMII-PERCCO-121</v>
      </c>
      <c r="C122" s="1" t="s">
        <v>8352</v>
      </c>
      <c r="D122" s="1" t="str">
        <f>VLOOKUP(C122,t_objeto!B:C,2,FALSE)</f>
        <v>METHOD_INSTRUCTION</v>
      </c>
      <c r="E122" s="1">
        <v>8</v>
      </c>
      <c r="F122" s="1" t="str">
        <f>VLOOKUP(E122,t_entry_status!A:C,2,FALSE)</f>
        <v>PENDING</v>
      </c>
      <c r="G122" s="7">
        <v>45560</v>
      </c>
      <c r="H122" s="1" t="s">
        <v>7449</v>
      </c>
      <c r="I122" s="7">
        <v>45560</v>
      </c>
      <c r="J122" s="1" t="s">
        <v>7449</v>
      </c>
    </row>
    <row r="123" spans="1:10" x14ac:dyDescent="0.25">
      <c r="A123" s="1">
        <v>122</v>
      </c>
      <c r="B123" s="2" t="str">
        <f>_xlfn.CONCAT(C123,"-",VLOOKUP(C123,t_objeto!B:D,3,FALSE),"-",A123)</f>
        <v>MMII-PERCCO-122</v>
      </c>
      <c r="C123" s="1" t="s">
        <v>8352</v>
      </c>
      <c r="D123" s="1" t="str">
        <f>VLOOKUP(C123,t_objeto!B:C,2,FALSE)</f>
        <v>METHOD_INSTRUCTION</v>
      </c>
      <c r="E123" s="1">
        <v>8</v>
      </c>
      <c r="F123" s="1" t="str">
        <f>VLOOKUP(E123,t_entry_status!A:C,2,FALSE)</f>
        <v>PENDING</v>
      </c>
      <c r="G123" s="7">
        <v>45560</v>
      </c>
      <c r="H123" s="1" t="s">
        <v>7449</v>
      </c>
      <c r="I123" s="7">
        <v>45560</v>
      </c>
      <c r="J123" s="1" t="s">
        <v>7449</v>
      </c>
    </row>
    <row r="124" spans="1:10" x14ac:dyDescent="0.25">
      <c r="A124" s="1">
        <v>123</v>
      </c>
      <c r="B124" s="2" t="str">
        <f>_xlfn.CONCAT(C124,"-",VLOOKUP(C124,t_objeto!B:D,3,FALSE),"-",A124)</f>
        <v>MMII-PERCCO-123</v>
      </c>
      <c r="C124" s="1" t="s">
        <v>8352</v>
      </c>
      <c r="D124" s="1" t="str">
        <f>VLOOKUP(C124,t_objeto!B:C,2,FALSE)</f>
        <v>METHOD_INSTRUCTION</v>
      </c>
      <c r="E124" s="1">
        <v>8</v>
      </c>
      <c r="F124" s="1" t="str">
        <f>VLOOKUP(E124,t_entry_status!A:C,2,FALSE)</f>
        <v>PENDING</v>
      </c>
      <c r="G124" s="7">
        <v>45560</v>
      </c>
      <c r="H124" s="1" t="s">
        <v>7449</v>
      </c>
      <c r="I124" s="7">
        <v>45560</v>
      </c>
      <c r="J124" s="1" t="s">
        <v>7449</v>
      </c>
    </row>
    <row r="125" spans="1:10" x14ac:dyDescent="0.25">
      <c r="A125" s="1">
        <v>124</v>
      </c>
      <c r="B125" s="2" t="str">
        <f>_xlfn.CONCAT(C125,"-",VLOOKUP(C125,t_objeto!B:D,3,FALSE),"-",A125)</f>
        <v>MMII-PERCCO-124</v>
      </c>
      <c r="C125" s="1" t="s">
        <v>8352</v>
      </c>
      <c r="D125" s="1" t="str">
        <f>VLOOKUP(C125,t_objeto!B:C,2,FALSE)</f>
        <v>METHOD_INSTRUCTION</v>
      </c>
      <c r="E125" s="1">
        <v>8</v>
      </c>
      <c r="F125" s="1" t="str">
        <f>VLOOKUP(E125,t_entry_status!A:C,2,FALSE)</f>
        <v>PENDING</v>
      </c>
      <c r="G125" s="7">
        <v>45560</v>
      </c>
      <c r="H125" s="1" t="s">
        <v>7449</v>
      </c>
      <c r="I125" s="7">
        <v>45560</v>
      </c>
      <c r="J125" s="1" t="s">
        <v>7449</v>
      </c>
    </row>
    <row r="126" spans="1:10" x14ac:dyDescent="0.25">
      <c r="A126" s="1">
        <v>125</v>
      </c>
      <c r="B126" s="2" t="str">
        <f>_xlfn.CONCAT(C126,"-",VLOOKUP(C126,t_objeto!B:D,3,FALSE),"-",A126)</f>
        <v>MMII-PERCCO-125</v>
      </c>
      <c r="C126" s="1" t="s">
        <v>8352</v>
      </c>
      <c r="D126" s="1" t="str">
        <f>VLOOKUP(C126,t_objeto!B:C,2,FALSE)</f>
        <v>METHOD_INSTRUCTION</v>
      </c>
      <c r="E126" s="1">
        <v>8</v>
      </c>
      <c r="F126" s="1" t="str">
        <f>VLOOKUP(E126,t_entry_status!A:C,2,FALSE)</f>
        <v>PENDING</v>
      </c>
      <c r="G126" s="7">
        <v>45560</v>
      </c>
      <c r="H126" s="1" t="s">
        <v>7449</v>
      </c>
      <c r="I126" s="7">
        <v>45560</v>
      </c>
      <c r="J126" s="1" t="s">
        <v>7449</v>
      </c>
    </row>
    <row r="127" spans="1:10" x14ac:dyDescent="0.25">
      <c r="A127" s="1">
        <v>126</v>
      </c>
      <c r="B127" s="2" t="str">
        <f>_xlfn.CONCAT(C127,"-",VLOOKUP(C127,t_objeto!B:D,3,FALSE),"-",A127)</f>
        <v>MMII-PERCCO-126</v>
      </c>
      <c r="C127" s="1" t="s">
        <v>8352</v>
      </c>
      <c r="D127" s="1" t="str">
        <f>VLOOKUP(C127,t_objeto!B:C,2,FALSE)</f>
        <v>METHOD_INSTRUCTION</v>
      </c>
      <c r="E127" s="1">
        <v>8</v>
      </c>
      <c r="F127" s="1" t="str">
        <f>VLOOKUP(E127,t_entry_status!A:C,2,FALSE)</f>
        <v>PENDING</v>
      </c>
      <c r="G127" s="7">
        <v>45560</v>
      </c>
      <c r="H127" s="1" t="s">
        <v>7449</v>
      </c>
      <c r="I127" s="7">
        <v>45560</v>
      </c>
      <c r="J127" s="1" t="s">
        <v>7449</v>
      </c>
    </row>
    <row r="128" spans="1:10" x14ac:dyDescent="0.25">
      <c r="A128" s="1">
        <v>127</v>
      </c>
      <c r="B128" s="2" t="str">
        <f>_xlfn.CONCAT(C128,"-",VLOOKUP(C128,t_objeto!B:D,3,FALSE),"-",A128)</f>
        <v>MMII-PERCCO-127</v>
      </c>
      <c r="C128" s="1" t="s">
        <v>8352</v>
      </c>
      <c r="D128" s="1" t="str">
        <f>VLOOKUP(C128,t_objeto!B:C,2,FALSE)</f>
        <v>METHOD_INSTRUCTION</v>
      </c>
      <c r="E128" s="1">
        <v>8</v>
      </c>
      <c r="F128" s="1" t="str">
        <f>VLOOKUP(E128,t_entry_status!A:C,2,FALSE)</f>
        <v>PENDING</v>
      </c>
      <c r="G128" s="7">
        <v>45560</v>
      </c>
      <c r="H128" s="1" t="s">
        <v>7449</v>
      </c>
      <c r="I128" s="7">
        <v>45560</v>
      </c>
      <c r="J128" s="1" t="s">
        <v>7449</v>
      </c>
    </row>
    <row r="129" spans="1:10" x14ac:dyDescent="0.25">
      <c r="A129" s="1">
        <v>128</v>
      </c>
      <c r="B129" s="2" t="str">
        <f>_xlfn.CONCAT(C129,"-",VLOOKUP(C129,t_objeto!B:D,3,FALSE),"-",A129)</f>
        <v>MMII-PERCCO-128</v>
      </c>
      <c r="C129" s="1" t="s">
        <v>8352</v>
      </c>
      <c r="D129" s="1" t="str">
        <f>VLOOKUP(C129,t_objeto!B:C,2,FALSE)</f>
        <v>METHOD_INSTRUCTION</v>
      </c>
      <c r="E129" s="1">
        <v>8</v>
      </c>
      <c r="F129" s="1" t="str">
        <f>VLOOKUP(E129,t_entry_status!A:C,2,FALSE)</f>
        <v>PENDING</v>
      </c>
      <c r="G129" s="7">
        <v>45560</v>
      </c>
      <c r="H129" s="1" t="s">
        <v>7449</v>
      </c>
      <c r="I129" s="7">
        <v>45560</v>
      </c>
      <c r="J129" s="1" t="s">
        <v>7449</v>
      </c>
    </row>
    <row r="130" spans="1:10" x14ac:dyDescent="0.25">
      <c r="A130" s="1">
        <v>129</v>
      </c>
      <c r="B130" s="2" t="str">
        <f>_xlfn.CONCAT(C130,"-",VLOOKUP(C130,t_objeto!B:D,3,FALSE),"-",A130)</f>
        <v>MMII-PERCCO-129</v>
      </c>
      <c r="C130" s="1" t="s">
        <v>8352</v>
      </c>
      <c r="D130" s="1" t="str">
        <f>VLOOKUP(C130,t_objeto!B:C,2,FALSE)</f>
        <v>METHOD_INSTRUCTION</v>
      </c>
      <c r="E130" s="1">
        <v>8</v>
      </c>
      <c r="F130" s="1" t="str">
        <f>VLOOKUP(E130,t_entry_status!A:C,2,FALSE)</f>
        <v>PENDING</v>
      </c>
      <c r="G130" s="7">
        <v>45560</v>
      </c>
      <c r="H130" s="1" t="s">
        <v>7449</v>
      </c>
      <c r="I130" s="7">
        <v>45560</v>
      </c>
      <c r="J130" s="1" t="s">
        <v>7449</v>
      </c>
    </row>
    <row r="131" spans="1:10" x14ac:dyDescent="0.25">
      <c r="A131" s="1">
        <v>130</v>
      </c>
      <c r="B131" s="2" t="str">
        <f>_xlfn.CONCAT(C131,"-",VLOOKUP(C131,t_objeto!B:D,3,FALSE),"-",A131)</f>
        <v>MMII-PERCCO-130</v>
      </c>
      <c r="C131" s="1" t="s">
        <v>8352</v>
      </c>
      <c r="D131" s="1" t="str">
        <f>VLOOKUP(C131,t_objeto!B:C,2,FALSE)</f>
        <v>METHOD_INSTRUCTION</v>
      </c>
      <c r="E131" s="1">
        <v>8</v>
      </c>
      <c r="F131" s="1" t="str">
        <f>VLOOKUP(E131,t_entry_status!A:C,2,FALSE)</f>
        <v>PENDING</v>
      </c>
      <c r="G131" s="7">
        <v>45560</v>
      </c>
      <c r="H131" s="1" t="s">
        <v>7449</v>
      </c>
      <c r="I131" s="7">
        <v>45560</v>
      </c>
      <c r="J131" s="1" t="s">
        <v>7449</v>
      </c>
    </row>
    <row r="132" spans="1:10" x14ac:dyDescent="0.25">
      <c r="A132" s="1">
        <v>131</v>
      </c>
      <c r="B132" s="2" t="str">
        <f>_xlfn.CONCAT(C132,"-",VLOOKUP(C132,t_objeto!B:D,3,FALSE),"-",A132)</f>
        <v>MMII-PERCCO-131</v>
      </c>
      <c r="C132" s="1" t="s">
        <v>8352</v>
      </c>
      <c r="D132" s="1" t="str">
        <f>VLOOKUP(C132,t_objeto!B:C,2,FALSE)</f>
        <v>METHOD_INSTRUCTION</v>
      </c>
      <c r="E132" s="1">
        <v>8</v>
      </c>
      <c r="F132" s="1" t="str">
        <f>VLOOKUP(E132,t_entry_status!A:C,2,FALSE)</f>
        <v>PENDING</v>
      </c>
      <c r="G132" s="7">
        <v>45560</v>
      </c>
      <c r="H132" s="1" t="s">
        <v>7449</v>
      </c>
      <c r="I132" s="7">
        <v>45560</v>
      </c>
      <c r="J132" s="1" t="s">
        <v>7449</v>
      </c>
    </row>
    <row r="133" spans="1:10" x14ac:dyDescent="0.25">
      <c r="A133" s="1">
        <v>132</v>
      </c>
      <c r="B133" s="2" t="str">
        <f>_xlfn.CONCAT(C133,"-",VLOOKUP(C133,t_objeto!B:D,3,FALSE),"-",A133)</f>
        <v>MMII-PERCCO-132</v>
      </c>
      <c r="C133" s="1" t="s">
        <v>8352</v>
      </c>
      <c r="D133" s="1" t="str">
        <f>VLOOKUP(C133,t_objeto!B:C,2,FALSE)</f>
        <v>METHOD_INSTRUCTION</v>
      </c>
      <c r="E133" s="1">
        <v>8</v>
      </c>
      <c r="F133" s="1" t="str">
        <f>VLOOKUP(E133,t_entry_status!A:C,2,FALSE)</f>
        <v>PENDING</v>
      </c>
      <c r="G133" s="7">
        <v>45560</v>
      </c>
      <c r="H133" s="1" t="s">
        <v>7449</v>
      </c>
      <c r="I133" s="7">
        <v>45560</v>
      </c>
      <c r="J133" s="1" t="s">
        <v>7449</v>
      </c>
    </row>
    <row r="134" spans="1:10" x14ac:dyDescent="0.25">
      <c r="A134" s="1">
        <v>133</v>
      </c>
      <c r="B134" s="2" t="str">
        <f>_xlfn.CONCAT(C134,"-",VLOOKUP(C134,t_objeto!B:D,3,FALSE),"-",A134)</f>
        <v>MMII-PERCCO-133</v>
      </c>
      <c r="C134" s="1" t="s">
        <v>8352</v>
      </c>
      <c r="D134" s="1" t="str">
        <f>VLOOKUP(C134,t_objeto!B:C,2,FALSE)</f>
        <v>METHOD_INSTRUCTION</v>
      </c>
      <c r="E134" s="1">
        <v>8</v>
      </c>
      <c r="F134" s="1" t="str">
        <f>VLOOKUP(E134,t_entry_status!A:C,2,FALSE)</f>
        <v>PENDING</v>
      </c>
      <c r="G134" s="7">
        <v>45560</v>
      </c>
      <c r="H134" s="1" t="s">
        <v>7449</v>
      </c>
      <c r="I134" s="7">
        <v>45560</v>
      </c>
      <c r="J134" s="1" t="s">
        <v>7449</v>
      </c>
    </row>
    <row r="135" spans="1:10" x14ac:dyDescent="0.25">
      <c r="A135" s="1">
        <v>134</v>
      </c>
      <c r="B135" s="2" t="str">
        <f>_xlfn.CONCAT(C135,"-",VLOOKUP(C135,t_objeto!B:D,3,FALSE),"-",A135)</f>
        <v>MMII-PERCCO-134</v>
      </c>
      <c r="C135" s="1" t="s">
        <v>8352</v>
      </c>
      <c r="D135" s="1" t="str">
        <f>VLOOKUP(C135,t_objeto!B:C,2,FALSE)</f>
        <v>METHOD_INSTRUCTION</v>
      </c>
      <c r="E135" s="1">
        <v>8</v>
      </c>
      <c r="F135" s="1" t="str">
        <f>VLOOKUP(E135,t_entry_status!A:C,2,FALSE)</f>
        <v>PENDING</v>
      </c>
      <c r="G135" s="7">
        <v>45560</v>
      </c>
      <c r="H135" s="1" t="s">
        <v>7449</v>
      </c>
      <c r="I135" s="7">
        <v>45560</v>
      </c>
      <c r="J135" s="1" t="s">
        <v>7449</v>
      </c>
    </row>
    <row r="136" spans="1:10" x14ac:dyDescent="0.25">
      <c r="A136" s="1">
        <v>135</v>
      </c>
      <c r="B136" s="2" t="str">
        <f>_xlfn.CONCAT(C136,"-",VLOOKUP(C136,t_objeto!B:D,3,FALSE),"-",A136)</f>
        <v>MMII-PERCCO-135</v>
      </c>
      <c r="C136" s="1" t="s">
        <v>8352</v>
      </c>
      <c r="D136" s="1" t="str">
        <f>VLOOKUP(C136,t_objeto!B:C,2,FALSE)</f>
        <v>METHOD_INSTRUCTION</v>
      </c>
      <c r="E136" s="1">
        <v>8</v>
      </c>
      <c r="F136" s="1" t="str">
        <f>VLOOKUP(E136,t_entry_status!A:C,2,FALSE)</f>
        <v>PENDING</v>
      </c>
      <c r="G136" s="7">
        <v>45560</v>
      </c>
      <c r="H136" s="1" t="s">
        <v>7449</v>
      </c>
      <c r="I136" s="7">
        <v>45560</v>
      </c>
      <c r="J136" s="1" t="s">
        <v>7449</v>
      </c>
    </row>
    <row r="137" spans="1:10" x14ac:dyDescent="0.25">
      <c r="A137" s="1">
        <v>136</v>
      </c>
      <c r="B137" s="2" t="str">
        <f>_xlfn.CONCAT(C137,"-",VLOOKUP(C137,t_objeto!B:D,3,FALSE),"-",A137)</f>
        <v>MMII-PERCCO-136</v>
      </c>
      <c r="C137" s="1" t="s">
        <v>8352</v>
      </c>
      <c r="D137" s="1" t="str">
        <f>VLOOKUP(C137,t_objeto!B:C,2,FALSE)</f>
        <v>METHOD_INSTRUCTION</v>
      </c>
      <c r="E137" s="1">
        <v>8</v>
      </c>
      <c r="F137" s="1" t="str">
        <f>VLOOKUP(E137,t_entry_status!A:C,2,FALSE)</f>
        <v>PENDING</v>
      </c>
      <c r="G137" s="7">
        <v>45560</v>
      </c>
      <c r="H137" s="1" t="s">
        <v>7449</v>
      </c>
      <c r="I137" s="7">
        <v>45560</v>
      </c>
      <c r="J137" s="1" t="s">
        <v>7449</v>
      </c>
    </row>
    <row r="138" spans="1:10" x14ac:dyDescent="0.25">
      <c r="A138" s="1">
        <v>137</v>
      </c>
      <c r="B138" s="2" t="str">
        <f>_xlfn.CONCAT(C138,"-",VLOOKUP(C138,t_objeto!B:D,3,FALSE),"-",A138)</f>
        <v>MMII-PERCCO-137</v>
      </c>
      <c r="C138" s="1" t="s">
        <v>8352</v>
      </c>
      <c r="D138" s="1" t="str">
        <f>VLOOKUP(C138,t_objeto!B:C,2,FALSE)</f>
        <v>METHOD_INSTRUCTION</v>
      </c>
      <c r="E138" s="1">
        <v>8</v>
      </c>
      <c r="F138" s="1" t="str">
        <f>VLOOKUP(E138,t_entry_status!A:C,2,FALSE)</f>
        <v>PENDING</v>
      </c>
      <c r="G138" s="7">
        <v>45560</v>
      </c>
      <c r="H138" s="1" t="s">
        <v>7449</v>
      </c>
      <c r="I138" s="7">
        <v>45560</v>
      </c>
      <c r="J138" s="1" t="s">
        <v>7449</v>
      </c>
    </row>
    <row r="139" spans="1:10" x14ac:dyDescent="0.25">
      <c r="A139" s="1">
        <v>138</v>
      </c>
      <c r="B139" s="2" t="str">
        <f>_xlfn.CONCAT(C139,"-",VLOOKUP(C139,t_objeto!B:D,3,FALSE),"-",A139)</f>
        <v>MMII-PERCCO-138</v>
      </c>
      <c r="C139" s="1" t="s">
        <v>8352</v>
      </c>
      <c r="D139" s="1" t="str">
        <f>VLOOKUP(C139,t_objeto!B:C,2,FALSE)</f>
        <v>METHOD_INSTRUCTION</v>
      </c>
      <c r="E139" s="1">
        <v>8</v>
      </c>
      <c r="F139" s="1" t="str">
        <f>VLOOKUP(E139,t_entry_status!A:C,2,FALSE)</f>
        <v>PENDING</v>
      </c>
      <c r="G139" s="7">
        <v>45560</v>
      </c>
      <c r="H139" s="1" t="s">
        <v>7449</v>
      </c>
      <c r="I139" s="7">
        <v>45560</v>
      </c>
      <c r="J139" s="1" t="s">
        <v>7449</v>
      </c>
    </row>
    <row r="140" spans="1:10" x14ac:dyDescent="0.25">
      <c r="A140" s="1">
        <v>139</v>
      </c>
      <c r="B140" s="2" t="str">
        <f>_xlfn.CONCAT(C140,"-",VLOOKUP(C140,t_objeto!B:D,3,FALSE),"-",A140)</f>
        <v>MMII-PERCCO-139</v>
      </c>
      <c r="C140" s="1" t="s">
        <v>8352</v>
      </c>
      <c r="D140" s="1" t="str">
        <f>VLOOKUP(C140,t_objeto!B:C,2,FALSE)</f>
        <v>METHOD_INSTRUCTION</v>
      </c>
      <c r="E140" s="1">
        <v>8</v>
      </c>
      <c r="F140" s="1" t="str">
        <f>VLOOKUP(E140,t_entry_status!A:C,2,FALSE)</f>
        <v>PENDING</v>
      </c>
      <c r="G140" s="7">
        <v>45560</v>
      </c>
      <c r="H140" s="1" t="s">
        <v>7449</v>
      </c>
      <c r="I140" s="7">
        <v>45560</v>
      </c>
      <c r="J140" s="1" t="s">
        <v>7449</v>
      </c>
    </row>
    <row r="141" spans="1:10" x14ac:dyDescent="0.25">
      <c r="A141" s="1">
        <v>140</v>
      </c>
      <c r="B141" s="2" t="str">
        <f>_xlfn.CONCAT(C141,"-",VLOOKUP(C141,t_objeto!B:D,3,FALSE),"-",A141)</f>
        <v>MMII-PERCCO-140</v>
      </c>
      <c r="C141" s="1" t="s">
        <v>8352</v>
      </c>
      <c r="D141" s="1" t="str">
        <f>VLOOKUP(C141,t_objeto!B:C,2,FALSE)</f>
        <v>METHOD_INSTRUCTION</v>
      </c>
      <c r="E141" s="1">
        <v>8</v>
      </c>
      <c r="F141" s="1" t="str">
        <f>VLOOKUP(E141,t_entry_status!A:C,2,FALSE)</f>
        <v>PENDING</v>
      </c>
      <c r="G141" s="7">
        <v>45560</v>
      </c>
      <c r="H141" s="1" t="s">
        <v>7449</v>
      </c>
      <c r="I141" s="7">
        <v>45560</v>
      </c>
      <c r="J141" s="1" t="s">
        <v>7449</v>
      </c>
    </row>
    <row r="142" spans="1:10" x14ac:dyDescent="0.25">
      <c r="A142" s="1">
        <v>141</v>
      </c>
      <c r="B142" s="2" t="str">
        <f>_xlfn.CONCAT(C142,"-",VLOOKUP(C142,t_objeto!B:D,3,FALSE),"-",A142)</f>
        <v>MMII-PERCCO-141</v>
      </c>
      <c r="C142" s="1" t="s">
        <v>8352</v>
      </c>
      <c r="D142" s="1" t="str">
        <f>VLOOKUP(C142,t_objeto!B:C,2,FALSE)</f>
        <v>METHOD_INSTRUCTION</v>
      </c>
      <c r="E142" s="1">
        <v>8</v>
      </c>
      <c r="F142" s="1" t="str">
        <f>VLOOKUP(E142,t_entry_status!A:C,2,FALSE)</f>
        <v>PENDING</v>
      </c>
      <c r="G142" s="7">
        <v>45560</v>
      </c>
      <c r="H142" s="1" t="s">
        <v>7449</v>
      </c>
      <c r="I142" s="7">
        <v>45560</v>
      </c>
      <c r="J142" s="1" t="s">
        <v>7449</v>
      </c>
    </row>
    <row r="143" spans="1:10" x14ac:dyDescent="0.25">
      <c r="A143" s="1">
        <v>142</v>
      </c>
      <c r="B143" s="2" t="str">
        <f>_xlfn.CONCAT(C143,"-",VLOOKUP(C143,t_objeto!B:D,3,FALSE),"-",A143)</f>
        <v>MMII-PERCCO-142</v>
      </c>
      <c r="C143" s="1" t="s">
        <v>8352</v>
      </c>
      <c r="D143" s="1" t="str">
        <f>VLOOKUP(C143,t_objeto!B:C,2,FALSE)</f>
        <v>METHOD_INSTRUCTION</v>
      </c>
      <c r="E143" s="1">
        <v>8</v>
      </c>
      <c r="F143" s="1" t="str">
        <f>VLOOKUP(E143,t_entry_status!A:C,2,FALSE)</f>
        <v>PENDING</v>
      </c>
      <c r="G143" s="7">
        <v>45560</v>
      </c>
      <c r="H143" s="1" t="s">
        <v>7449</v>
      </c>
      <c r="I143" s="7">
        <v>45560</v>
      </c>
      <c r="J143" s="1" t="s">
        <v>7449</v>
      </c>
    </row>
    <row r="144" spans="1:10" x14ac:dyDescent="0.25">
      <c r="A144" s="1">
        <v>143</v>
      </c>
      <c r="B144" s="2" t="str">
        <f>_xlfn.CONCAT(C144,"-",VLOOKUP(C144,t_objeto!B:D,3,FALSE),"-",A144)</f>
        <v>MMII-PERCCO-143</v>
      </c>
      <c r="C144" s="1" t="s">
        <v>8352</v>
      </c>
      <c r="D144" s="1" t="str">
        <f>VLOOKUP(C144,t_objeto!B:C,2,FALSE)</f>
        <v>METHOD_INSTRUCTION</v>
      </c>
      <c r="E144" s="1">
        <v>8</v>
      </c>
      <c r="F144" s="1" t="str">
        <f>VLOOKUP(E144,t_entry_status!A:C,2,FALSE)</f>
        <v>PENDING</v>
      </c>
      <c r="G144" s="7">
        <v>45560</v>
      </c>
      <c r="H144" s="1" t="s">
        <v>7449</v>
      </c>
      <c r="I144" s="7">
        <v>45560</v>
      </c>
      <c r="J144" s="1" t="s">
        <v>7449</v>
      </c>
    </row>
    <row r="145" spans="1:10" x14ac:dyDescent="0.25">
      <c r="A145" s="1">
        <v>144</v>
      </c>
      <c r="B145" s="2" t="str">
        <f>_xlfn.CONCAT(C145,"-",VLOOKUP(C145,t_objeto!B:D,3,FALSE),"-",A145)</f>
        <v>MMII-PERCCO-144</v>
      </c>
      <c r="C145" s="1" t="s">
        <v>8352</v>
      </c>
      <c r="D145" s="1" t="str">
        <f>VLOOKUP(C145,t_objeto!B:C,2,FALSE)</f>
        <v>METHOD_INSTRUCTION</v>
      </c>
      <c r="E145" s="1">
        <v>8</v>
      </c>
      <c r="F145" s="1" t="str">
        <f>VLOOKUP(E145,t_entry_status!A:C,2,FALSE)</f>
        <v>PENDING</v>
      </c>
      <c r="G145" s="7">
        <v>45560</v>
      </c>
      <c r="H145" s="1" t="s">
        <v>7449</v>
      </c>
      <c r="I145" s="7">
        <v>45560</v>
      </c>
      <c r="J145" s="1" t="s">
        <v>7449</v>
      </c>
    </row>
    <row r="146" spans="1:10" x14ac:dyDescent="0.25">
      <c r="A146" s="1">
        <v>145</v>
      </c>
      <c r="B146" s="2" t="str">
        <f>_xlfn.CONCAT(C146,"-",VLOOKUP(C146,t_objeto!B:D,3,FALSE),"-",A146)</f>
        <v>MMII-PERCCO-145</v>
      </c>
      <c r="C146" s="1" t="s">
        <v>8352</v>
      </c>
      <c r="D146" s="1" t="str">
        <f>VLOOKUP(C146,t_objeto!B:C,2,FALSE)</f>
        <v>METHOD_INSTRUCTION</v>
      </c>
      <c r="E146" s="1">
        <v>8</v>
      </c>
      <c r="F146" s="1" t="str">
        <f>VLOOKUP(E146,t_entry_status!A:C,2,FALSE)</f>
        <v>PENDING</v>
      </c>
      <c r="G146" s="7">
        <v>45560</v>
      </c>
      <c r="H146" s="1" t="s">
        <v>7449</v>
      </c>
      <c r="I146" s="7">
        <v>45560</v>
      </c>
      <c r="J146" s="1" t="s">
        <v>7449</v>
      </c>
    </row>
    <row r="147" spans="1:10" x14ac:dyDescent="0.25">
      <c r="A147" s="1">
        <v>146</v>
      </c>
      <c r="B147" s="2" t="str">
        <f>_xlfn.CONCAT(C147,"-",VLOOKUP(C147,t_objeto!B:D,3,FALSE),"-",A147)</f>
        <v>MMII-PERCCO-146</v>
      </c>
      <c r="C147" s="1" t="s">
        <v>8352</v>
      </c>
      <c r="D147" s="1" t="str">
        <f>VLOOKUP(C147,t_objeto!B:C,2,FALSE)</f>
        <v>METHOD_INSTRUCTION</v>
      </c>
      <c r="E147" s="1">
        <v>8</v>
      </c>
      <c r="F147" s="1" t="str">
        <f>VLOOKUP(E147,t_entry_status!A:C,2,FALSE)</f>
        <v>PENDING</v>
      </c>
      <c r="G147" s="7">
        <v>45560</v>
      </c>
      <c r="H147" s="1" t="s">
        <v>7449</v>
      </c>
      <c r="I147" s="7">
        <v>45560</v>
      </c>
      <c r="J147" s="1" t="s">
        <v>7449</v>
      </c>
    </row>
    <row r="148" spans="1:10" x14ac:dyDescent="0.25">
      <c r="A148" s="1">
        <v>147</v>
      </c>
      <c r="B148" s="2" t="str">
        <f>_xlfn.CONCAT(C148,"-",VLOOKUP(C148,t_objeto!B:D,3,FALSE),"-",A148)</f>
        <v>MMII-PERCCO-147</v>
      </c>
      <c r="C148" s="1" t="s">
        <v>8352</v>
      </c>
      <c r="D148" s="1" t="str">
        <f>VLOOKUP(C148,t_objeto!B:C,2,FALSE)</f>
        <v>METHOD_INSTRUCTION</v>
      </c>
      <c r="E148" s="1">
        <v>8</v>
      </c>
      <c r="F148" s="1" t="str">
        <f>VLOOKUP(E148,t_entry_status!A:C,2,FALSE)</f>
        <v>PENDING</v>
      </c>
      <c r="G148" s="7">
        <v>45560</v>
      </c>
      <c r="H148" s="1" t="s">
        <v>7449</v>
      </c>
      <c r="I148" s="7">
        <v>45560</v>
      </c>
      <c r="J148" s="1" t="s">
        <v>7449</v>
      </c>
    </row>
    <row r="149" spans="1:10" x14ac:dyDescent="0.25">
      <c r="A149" s="1">
        <v>148</v>
      </c>
      <c r="B149" s="2" t="str">
        <f>_xlfn.CONCAT(C149,"-",VLOOKUP(C149,t_objeto!B:D,3,FALSE),"-",A149)</f>
        <v>MMII-PERCCO-148</v>
      </c>
      <c r="C149" s="1" t="s">
        <v>8352</v>
      </c>
      <c r="D149" s="1" t="str">
        <f>VLOOKUP(C149,t_objeto!B:C,2,FALSE)</f>
        <v>METHOD_INSTRUCTION</v>
      </c>
      <c r="E149" s="1">
        <v>8</v>
      </c>
      <c r="F149" s="1" t="str">
        <f>VLOOKUP(E149,t_entry_status!A:C,2,FALSE)</f>
        <v>PENDING</v>
      </c>
      <c r="G149" s="7">
        <v>45560</v>
      </c>
      <c r="H149" s="1" t="s">
        <v>7449</v>
      </c>
      <c r="I149" s="7">
        <v>45560</v>
      </c>
      <c r="J149" s="1" t="s">
        <v>7449</v>
      </c>
    </row>
    <row r="150" spans="1:10" x14ac:dyDescent="0.25">
      <c r="A150" s="1">
        <v>149</v>
      </c>
      <c r="B150" s="2" t="str">
        <f>_xlfn.CONCAT(C150,"-",VLOOKUP(C150,t_objeto!B:D,3,FALSE),"-",A150)</f>
        <v>MMII-PERCCO-149</v>
      </c>
      <c r="C150" s="1" t="s">
        <v>8352</v>
      </c>
      <c r="D150" s="1" t="str">
        <f>VLOOKUP(C150,t_objeto!B:C,2,FALSE)</f>
        <v>METHOD_INSTRUCTION</v>
      </c>
      <c r="E150" s="1">
        <v>8</v>
      </c>
      <c r="F150" s="1" t="str">
        <f>VLOOKUP(E150,t_entry_status!A:C,2,FALSE)</f>
        <v>PENDING</v>
      </c>
      <c r="G150" s="7">
        <v>45560</v>
      </c>
      <c r="H150" s="1" t="s">
        <v>7449</v>
      </c>
      <c r="I150" s="7">
        <v>45560</v>
      </c>
      <c r="J150" s="1" t="s">
        <v>7449</v>
      </c>
    </row>
    <row r="151" spans="1:10" x14ac:dyDescent="0.25">
      <c r="A151" s="1">
        <v>150</v>
      </c>
      <c r="B151" s="2" t="str">
        <f>_xlfn.CONCAT(C151,"-",VLOOKUP(C151,t_objeto!B:D,3,FALSE),"-",A151)</f>
        <v>MMII-PERCCO-150</v>
      </c>
      <c r="C151" s="1" t="s">
        <v>8352</v>
      </c>
      <c r="D151" s="1" t="str">
        <f>VLOOKUP(C151,t_objeto!B:C,2,FALSE)</f>
        <v>METHOD_INSTRUCTION</v>
      </c>
      <c r="E151" s="1">
        <v>8</v>
      </c>
      <c r="F151" s="1" t="str">
        <f>VLOOKUP(E151,t_entry_status!A:C,2,FALSE)</f>
        <v>PENDING</v>
      </c>
      <c r="G151" s="7">
        <v>45560</v>
      </c>
      <c r="H151" s="1" t="s">
        <v>7449</v>
      </c>
      <c r="I151" s="7">
        <v>45560</v>
      </c>
      <c r="J151" s="1" t="s">
        <v>7449</v>
      </c>
    </row>
    <row r="152" spans="1:10" x14ac:dyDescent="0.25">
      <c r="A152" s="1">
        <v>151</v>
      </c>
      <c r="B152" s="2" t="str">
        <f>_xlfn.CONCAT(C152,"-",VLOOKUP(C152,t_objeto!B:D,3,FALSE),"-",A152)</f>
        <v>MMII-PERCCO-151</v>
      </c>
      <c r="C152" s="1" t="s">
        <v>8352</v>
      </c>
      <c r="D152" s="1" t="str">
        <f>VLOOKUP(C152,t_objeto!B:C,2,FALSE)</f>
        <v>METHOD_INSTRUCTION</v>
      </c>
      <c r="E152" s="1">
        <v>8</v>
      </c>
      <c r="F152" s="1" t="str">
        <f>VLOOKUP(E152,t_entry_status!A:C,2,FALSE)</f>
        <v>PENDING</v>
      </c>
      <c r="G152" s="7">
        <v>45560</v>
      </c>
      <c r="H152" s="1" t="s">
        <v>7449</v>
      </c>
      <c r="I152" s="7">
        <v>45560</v>
      </c>
      <c r="J152" s="1" t="s">
        <v>7449</v>
      </c>
    </row>
    <row r="153" spans="1:10" x14ac:dyDescent="0.25">
      <c r="A153" s="1">
        <v>152</v>
      </c>
      <c r="B153" s="2" t="str">
        <f>_xlfn.CONCAT(C153,"-",VLOOKUP(C153,t_objeto!B:D,3,FALSE),"-",A153)</f>
        <v>MMII-PERCCO-152</v>
      </c>
      <c r="C153" s="1" t="s">
        <v>8352</v>
      </c>
      <c r="D153" s="1" t="str">
        <f>VLOOKUP(C153,t_objeto!B:C,2,FALSE)</f>
        <v>METHOD_INSTRUCTION</v>
      </c>
      <c r="E153" s="1">
        <v>8</v>
      </c>
      <c r="F153" s="1" t="str">
        <f>VLOOKUP(E153,t_entry_status!A:C,2,FALSE)</f>
        <v>PENDING</v>
      </c>
      <c r="G153" s="7">
        <v>45560</v>
      </c>
      <c r="H153" s="1" t="s">
        <v>7449</v>
      </c>
      <c r="I153" s="7">
        <v>45560</v>
      </c>
      <c r="J153" s="1" t="s">
        <v>7449</v>
      </c>
    </row>
    <row r="154" spans="1:10" x14ac:dyDescent="0.25">
      <c r="A154" s="1">
        <v>153</v>
      </c>
      <c r="B154" s="2" t="str">
        <f>_xlfn.CONCAT(C154,"-",VLOOKUP(C154,t_objeto!B:D,3,FALSE),"-",A154)</f>
        <v>MMII-PERCCO-153</v>
      </c>
      <c r="C154" s="1" t="s">
        <v>8352</v>
      </c>
      <c r="D154" s="1" t="str">
        <f>VLOOKUP(C154,t_objeto!B:C,2,FALSE)</f>
        <v>METHOD_INSTRUCTION</v>
      </c>
      <c r="E154" s="1">
        <v>8</v>
      </c>
      <c r="F154" s="1" t="str">
        <f>VLOOKUP(E154,t_entry_status!A:C,2,FALSE)</f>
        <v>PENDING</v>
      </c>
      <c r="G154" s="7">
        <v>45560</v>
      </c>
      <c r="H154" s="1" t="s">
        <v>7449</v>
      </c>
      <c r="I154" s="7">
        <v>45560</v>
      </c>
      <c r="J154" s="1" t="s">
        <v>7449</v>
      </c>
    </row>
    <row r="155" spans="1:10" x14ac:dyDescent="0.25">
      <c r="A155" s="1">
        <v>154</v>
      </c>
      <c r="B155" s="2" t="str">
        <f>_xlfn.CONCAT(C155,"-",VLOOKUP(C155,t_objeto!B:D,3,FALSE),"-",A155)</f>
        <v>MMII-PERCCO-154</v>
      </c>
      <c r="C155" s="1" t="s">
        <v>8352</v>
      </c>
      <c r="D155" s="1" t="str">
        <f>VLOOKUP(C155,t_objeto!B:C,2,FALSE)</f>
        <v>METHOD_INSTRUCTION</v>
      </c>
      <c r="E155" s="1">
        <v>8</v>
      </c>
      <c r="F155" s="1" t="str">
        <f>VLOOKUP(E155,t_entry_status!A:C,2,FALSE)</f>
        <v>PENDING</v>
      </c>
      <c r="G155" s="7">
        <v>45560</v>
      </c>
      <c r="H155" s="1" t="s">
        <v>7449</v>
      </c>
      <c r="I155" s="7">
        <v>45560</v>
      </c>
      <c r="J155" s="1" t="s">
        <v>7449</v>
      </c>
    </row>
    <row r="156" spans="1:10" x14ac:dyDescent="0.25">
      <c r="A156" s="1">
        <v>155</v>
      </c>
      <c r="B156" s="2" t="str">
        <f>_xlfn.CONCAT(C156,"-",VLOOKUP(C156,t_objeto!B:D,3,FALSE),"-",A156)</f>
        <v>MMII-PERCCO-155</v>
      </c>
      <c r="C156" s="1" t="s">
        <v>8352</v>
      </c>
      <c r="D156" s="1" t="str">
        <f>VLOOKUP(C156,t_objeto!B:C,2,FALSE)</f>
        <v>METHOD_INSTRUCTION</v>
      </c>
      <c r="E156" s="1">
        <v>8</v>
      </c>
      <c r="F156" s="1" t="str">
        <f>VLOOKUP(E156,t_entry_status!A:C,2,FALSE)</f>
        <v>PENDING</v>
      </c>
      <c r="G156" s="7">
        <v>45560</v>
      </c>
      <c r="H156" s="1" t="s">
        <v>7449</v>
      </c>
      <c r="I156" s="7">
        <v>45560</v>
      </c>
      <c r="J156" s="1" t="s">
        <v>7449</v>
      </c>
    </row>
    <row r="157" spans="1:10" x14ac:dyDescent="0.25">
      <c r="A157" s="1">
        <v>156</v>
      </c>
      <c r="B157" s="2" t="str">
        <f>_xlfn.CONCAT(C157,"-",VLOOKUP(C157,t_objeto!B:D,3,FALSE),"-",A157)</f>
        <v>MMII-PERCCO-156</v>
      </c>
      <c r="C157" s="1" t="s">
        <v>8352</v>
      </c>
      <c r="D157" s="1" t="str">
        <f>VLOOKUP(C157,t_objeto!B:C,2,FALSE)</f>
        <v>METHOD_INSTRUCTION</v>
      </c>
      <c r="E157" s="1">
        <v>8</v>
      </c>
      <c r="F157" s="1" t="str">
        <f>VLOOKUP(E157,t_entry_status!A:C,2,FALSE)</f>
        <v>PENDING</v>
      </c>
      <c r="G157" s="7">
        <v>45560</v>
      </c>
      <c r="H157" s="1" t="s">
        <v>7449</v>
      </c>
      <c r="I157" s="7">
        <v>45560</v>
      </c>
      <c r="J157" s="1" t="s">
        <v>7449</v>
      </c>
    </row>
    <row r="158" spans="1:10" x14ac:dyDescent="0.25">
      <c r="A158" s="1">
        <v>157</v>
      </c>
      <c r="B158" s="2" t="str">
        <f>_xlfn.CONCAT(C158,"-",VLOOKUP(C158,t_objeto!B:D,3,FALSE),"-",A158)</f>
        <v>MMII-PERCCO-157</v>
      </c>
      <c r="C158" s="1" t="s">
        <v>8352</v>
      </c>
      <c r="D158" s="1" t="str">
        <f>VLOOKUP(C158,t_objeto!B:C,2,FALSE)</f>
        <v>METHOD_INSTRUCTION</v>
      </c>
      <c r="E158" s="1">
        <v>8</v>
      </c>
      <c r="F158" s="1" t="str">
        <f>VLOOKUP(E158,t_entry_status!A:C,2,FALSE)</f>
        <v>PENDING</v>
      </c>
      <c r="G158" s="7">
        <v>45560</v>
      </c>
      <c r="H158" s="1" t="s">
        <v>7449</v>
      </c>
      <c r="I158" s="7">
        <v>45560</v>
      </c>
      <c r="J158" s="1" t="s">
        <v>7449</v>
      </c>
    </row>
    <row r="159" spans="1:10" x14ac:dyDescent="0.25">
      <c r="A159" s="1">
        <v>158</v>
      </c>
      <c r="B159" s="2" t="str">
        <f>_xlfn.CONCAT(C159,"-",VLOOKUP(C159,t_objeto!B:D,3,FALSE),"-",A159)</f>
        <v>MMII-PERCCO-158</v>
      </c>
      <c r="C159" s="1" t="s">
        <v>8352</v>
      </c>
      <c r="D159" s="1" t="str">
        <f>VLOOKUP(C159,t_objeto!B:C,2,FALSE)</f>
        <v>METHOD_INSTRUCTION</v>
      </c>
      <c r="E159" s="1">
        <v>8</v>
      </c>
      <c r="F159" s="1" t="str">
        <f>VLOOKUP(E159,t_entry_status!A:C,2,FALSE)</f>
        <v>PENDING</v>
      </c>
      <c r="G159" s="7">
        <v>45560</v>
      </c>
      <c r="H159" s="1" t="s">
        <v>7449</v>
      </c>
      <c r="I159" s="7">
        <v>45560</v>
      </c>
      <c r="J159" s="1" t="s">
        <v>7449</v>
      </c>
    </row>
    <row r="160" spans="1:10" x14ac:dyDescent="0.25">
      <c r="A160" s="1">
        <v>159</v>
      </c>
      <c r="B160" s="2" t="str">
        <f>_xlfn.CONCAT(C160,"-",VLOOKUP(C160,t_objeto!B:D,3,FALSE),"-",A160)</f>
        <v>MMII-PERCCO-159</v>
      </c>
      <c r="C160" s="1" t="s">
        <v>8352</v>
      </c>
      <c r="D160" s="1" t="str">
        <f>VLOOKUP(C160,t_objeto!B:C,2,FALSE)</f>
        <v>METHOD_INSTRUCTION</v>
      </c>
      <c r="E160" s="1">
        <v>8</v>
      </c>
      <c r="F160" s="1" t="str">
        <f>VLOOKUP(E160,t_entry_status!A:C,2,FALSE)</f>
        <v>PENDING</v>
      </c>
      <c r="G160" s="7">
        <v>45560</v>
      </c>
      <c r="H160" s="1" t="s">
        <v>7449</v>
      </c>
      <c r="I160" s="7">
        <v>45560</v>
      </c>
      <c r="J160" s="1" t="s">
        <v>7449</v>
      </c>
    </row>
    <row r="161" spans="1:10" x14ac:dyDescent="0.25">
      <c r="A161" s="1">
        <v>160</v>
      </c>
      <c r="B161" s="2" t="str">
        <f>_xlfn.CONCAT(C161,"-",VLOOKUP(C161,t_objeto!B:D,3,FALSE),"-",A161)</f>
        <v>MMII-PERCCO-160</v>
      </c>
      <c r="C161" s="1" t="s">
        <v>8352</v>
      </c>
      <c r="D161" s="1" t="str">
        <f>VLOOKUP(C161,t_objeto!B:C,2,FALSE)</f>
        <v>METHOD_INSTRUCTION</v>
      </c>
      <c r="E161" s="1">
        <v>8</v>
      </c>
      <c r="F161" s="1" t="str">
        <f>VLOOKUP(E161,t_entry_status!A:C,2,FALSE)</f>
        <v>PENDING</v>
      </c>
      <c r="G161" s="7">
        <v>45560</v>
      </c>
      <c r="H161" s="1" t="s">
        <v>7449</v>
      </c>
      <c r="I161" s="7">
        <v>45560</v>
      </c>
      <c r="J161" s="1" t="s">
        <v>7449</v>
      </c>
    </row>
    <row r="162" spans="1:10" x14ac:dyDescent="0.25">
      <c r="A162" s="1">
        <v>161</v>
      </c>
      <c r="B162" s="2" t="str">
        <f>_xlfn.CONCAT(C162,"-",VLOOKUP(C162,t_objeto!B:D,3,FALSE),"-",A162)</f>
        <v>MMII-PERCCO-161</v>
      </c>
      <c r="C162" s="1" t="s">
        <v>8352</v>
      </c>
      <c r="D162" s="1" t="str">
        <f>VLOOKUP(C162,t_objeto!B:C,2,FALSE)</f>
        <v>METHOD_INSTRUCTION</v>
      </c>
      <c r="E162" s="1">
        <v>8</v>
      </c>
      <c r="F162" s="1" t="str">
        <f>VLOOKUP(E162,t_entry_status!A:C,2,FALSE)</f>
        <v>PENDING</v>
      </c>
      <c r="G162" s="7">
        <v>45560</v>
      </c>
      <c r="H162" s="1" t="s">
        <v>7449</v>
      </c>
      <c r="I162" s="7">
        <v>45560</v>
      </c>
      <c r="J162" s="1" t="s">
        <v>7449</v>
      </c>
    </row>
    <row r="163" spans="1:10" x14ac:dyDescent="0.25">
      <c r="A163" s="1">
        <v>162</v>
      </c>
      <c r="B163" s="2" t="str">
        <f>_xlfn.CONCAT(C163,"-",VLOOKUP(C163,t_objeto!B:D,3,FALSE),"-",A163)</f>
        <v>MMII-PERCCO-162</v>
      </c>
      <c r="C163" s="1" t="s">
        <v>8352</v>
      </c>
      <c r="D163" s="1" t="str">
        <f>VLOOKUP(C163,t_objeto!B:C,2,FALSE)</f>
        <v>METHOD_INSTRUCTION</v>
      </c>
      <c r="E163" s="1">
        <v>8</v>
      </c>
      <c r="F163" s="1" t="str">
        <f>VLOOKUP(E163,t_entry_status!A:C,2,FALSE)</f>
        <v>PENDING</v>
      </c>
      <c r="G163" s="7">
        <v>45560</v>
      </c>
      <c r="H163" s="1" t="s">
        <v>7449</v>
      </c>
      <c r="I163" s="7">
        <v>45560</v>
      </c>
      <c r="J163" s="1" t="s">
        <v>7449</v>
      </c>
    </row>
    <row r="164" spans="1:10" x14ac:dyDescent="0.25">
      <c r="A164" s="1">
        <v>163</v>
      </c>
      <c r="B164" s="2" t="str">
        <f>_xlfn.CONCAT(C164,"-",VLOOKUP(C164,t_objeto!B:D,3,FALSE),"-",A164)</f>
        <v>MMII-PERCCO-163</v>
      </c>
      <c r="C164" s="1" t="s">
        <v>8352</v>
      </c>
      <c r="D164" s="1" t="str">
        <f>VLOOKUP(C164,t_objeto!B:C,2,FALSE)</f>
        <v>METHOD_INSTRUCTION</v>
      </c>
      <c r="E164" s="1">
        <v>8</v>
      </c>
      <c r="F164" s="1" t="str">
        <f>VLOOKUP(E164,t_entry_status!A:C,2,FALSE)</f>
        <v>PENDING</v>
      </c>
      <c r="G164" s="7">
        <v>45560</v>
      </c>
      <c r="H164" s="1" t="s">
        <v>7449</v>
      </c>
      <c r="I164" s="7">
        <v>45560</v>
      </c>
      <c r="J164" s="1" t="s">
        <v>7449</v>
      </c>
    </row>
    <row r="165" spans="1:10" x14ac:dyDescent="0.25">
      <c r="A165" s="1">
        <v>164</v>
      </c>
      <c r="B165" s="2" t="str">
        <f>_xlfn.CONCAT(C165,"-",VLOOKUP(C165,t_objeto!B:D,3,FALSE),"-",A165)</f>
        <v>MMII-PERCCO-164</v>
      </c>
      <c r="C165" s="1" t="s">
        <v>8352</v>
      </c>
      <c r="D165" s="1" t="str">
        <f>VLOOKUP(C165,t_objeto!B:C,2,FALSE)</f>
        <v>METHOD_INSTRUCTION</v>
      </c>
      <c r="E165" s="1">
        <v>8</v>
      </c>
      <c r="F165" s="1" t="str">
        <f>VLOOKUP(E165,t_entry_status!A:C,2,FALSE)</f>
        <v>PENDING</v>
      </c>
      <c r="G165" s="7">
        <v>45560</v>
      </c>
      <c r="H165" s="1" t="s">
        <v>7449</v>
      </c>
      <c r="I165" s="7">
        <v>45560</v>
      </c>
      <c r="J165" s="1" t="s">
        <v>7449</v>
      </c>
    </row>
    <row r="166" spans="1:10" x14ac:dyDescent="0.25">
      <c r="A166" s="1">
        <v>165</v>
      </c>
      <c r="B166" s="2" t="str">
        <f>_xlfn.CONCAT(C166,"-",VLOOKUP(C166,t_objeto!B:D,3,FALSE),"-",A166)</f>
        <v>MMII-PERCCO-165</v>
      </c>
      <c r="C166" s="1" t="s">
        <v>8352</v>
      </c>
      <c r="D166" s="1" t="str">
        <f>VLOOKUP(C166,t_objeto!B:C,2,FALSE)</f>
        <v>METHOD_INSTRUCTION</v>
      </c>
      <c r="E166" s="1">
        <v>8</v>
      </c>
      <c r="F166" s="1" t="str">
        <f>VLOOKUP(E166,t_entry_status!A:C,2,FALSE)</f>
        <v>PENDING</v>
      </c>
      <c r="G166" s="7">
        <v>45560</v>
      </c>
      <c r="H166" s="1" t="s">
        <v>7449</v>
      </c>
      <c r="I166" s="7">
        <v>45560</v>
      </c>
      <c r="J166" s="1" t="s">
        <v>7449</v>
      </c>
    </row>
    <row r="167" spans="1:10" x14ac:dyDescent="0.25">
      <c r="A167" s="1">
        <v>166</v>
      </c>
      <c r="B167" s="2" t="str">
        <f>_xlfn.CONCAT(C167,"-",VLOOKUP(C167,t_objeto!B:D,3,FALSE),"-",A167)</f>
        <v>MMII-PERCCO-166</v>
      </c>
      <c r="C167" s="1" t="s">
        <v>8352</v>
      </c>
      <c r="D167" s="1" t="str">
        <f>VLOOKUP(C167,t_objeto!B:C,2,FALSE)</f>
        <v>METHOD_INSTRUCTION</v>
      </c>
      <c r="E167" s="1">
        <v>8</v>
      </c>
      <c r="F167" s="1" t="str">
        <f>VLOOKUP(E167,t_entry_status!A:C,2,FALSE)</f>
        <v>PENDING</v>
      </c>
      <c r="G167" s="7">
        <v>45560</v>
      </c>
      <c r="H167" s="1" t="s">
        <v>7449</v>
      </c>
      <c r="I167" s="7">
        <v>45560</v>
      </c>
      <c r="J167" s="1" t="s">
        <v>7449</v>
      </c>
    </row>
    <row r="168" spans="1:10" x14ac:dyDescent="0.25">
      <c r="A168" s="1">
        <v>167</v>
      </c>
      <c r="B168" s="2" t="str">
        <f>_xlfn.CONCAT(C168,"-",VLOOKUP(C168,t_objeto!B:D,3,FALSE),"-",A168)</f>
        <v>MMII-PERCCO-167</v>
      </c>
      <c r="C168" s="1" t="s">
        <v>8352</v>
      </c>
      <c r="D168" s="1" t="str">
        <f>VLOOKUP(C168,t_objeto!B:C,2,FALSE)</f>
        <v>METHOD_INSTRUCTION</v>
      </c>
      <c r="E168" s="1">
        <v>8</v>
      </c>
      <c r="F168" s="1" t="str">
        <f>VLOOKUP(E168,t_entry_status!A:C,2,FALSE)</f>
        <v>PENDING</v>
      </c>
      <c r="G168" s="7">
        <v>45560</v>
      </c>
      <c r="H168" s="1" t="s">
        <v>7449</v>
      </c>
      <c r="I168" s="7">
        <v>45560</v>
      </c>
      <c r="J168" s="1" t="s">
        <v>7449</v>
      </c>
    </row>
    <row r="169" spans="1:10" x14ac:dyDescent="0.25">
      <c r="A169" s="1">
        <v>168</v>
      </c>
      <c r="B169" s="2" t="str">
        <f>_xlfn.CONCAT(C169,"-",VLOOKUP(C169,t_objeto!B:D,3,FALSE),"-",A169)</f>
        <v>MMII-PERCCO-168</v>
      </c>
      <c r="C169" s="1" t="s">
        <v>8352</v>
      </c>
      <c r="D169" s="1" t="str">
        <f>VLOOKUP(C169,t_objeto!B:C,2,FALSE)</f>
        <v>METHOD_INSTRUCTION</v>
      </c>
      <c r="E169" s="1">
        <v>8</v>
      </c>
      <c r="F169" s="1" t="str">
        <f>VLOOKUP(E169,t_entry_status!A:C,2,FALSE)</f>
        <v>PENDING</v>
      </c>
      <c r="G169" s="7">
        <v>45560</v>
      </c>
      <c r="H169" s="1" t="s">
        <v>7449</v>
      </c>
      <c r="I169" s="7">
        <v>45560</v>
      </c>
      <c r="J169" s="1" t="s">
        <v>7449</v>
      </c>
    </row>
    <row r="170" spans="1:10" x14ac:dyDescent="0.25">
      <c r="A170" s="1">
        <v>169</v>
      </c>
      <c r="B170" s="2" t="str">
        <f>_xlfn.CONCAT(C170,"-",VLOOKUP(C170,t_objeto!B:D,3,FALSE),"-",A170)</f>
        <v>MMII-PERCCO-169</v>
      </c>
      <c r="C170" s="1" t="s">
        <v>8352</v>
      </c>
      <c r="D170" s="1" t="str">
        <f>VLOOKUP(C170,t_objeto!B:C,2,FALSE)</f>
        <v>METHOD_INSTRUCTION</v>
      </c>
      <c r="E170" s="1">
        <v>8</v>
      </c>
      <c r="F170" s="1" t="str">
        <f>VLOOKUP(E170,t_entry_status!A:C,2,FALSE)</f>
        <v>PENDING</v>
      </c>
      <c r="G170" s="7">
        <v>45560</v>
      </c>
      <c r="H170" s="1" t="s">
        <v>7449</v>
      </c>
      <c r="I170" s="7">
        <v>45560</v>
      </c>
      <c r="J170" s="1" t="s">
        <v>7449</v>
      </c>
    </row>
    <row r="171" spans="1:10" x14ac:dyDescent="0.25">
      <c r="A171" s="1">
        <v>170</v>
      </c>
      <c r="B171" s="2" t="str">
        <f>_xlfn.CONCAT(C171,"-",VLOOKUP(C171,t_objeto!B:D,3,FALSE),"-",A171)</f>
        <v>MMII-PERCCO-170</v>
      </c>
      <c r="C171" s="1" t="s">
        <v>8352</v>
      </c>
      <c r="D171" s="1" t="str">
        <f>VLOOKUP(C171,t_objeto!B:C,2,FALSE)</f>
        <v>METHOD_INSTRUCTION</v>
      </c>
      <c r="E171" s="1">
        <v>8</v>
      </c>
      <c r="F171" s="1" t="str">
        <f>VLOOKUP(E171,t_entry_status!A:C,2,FALSE)</f>
        <v>PENDING</v>
      </c>
      <c r="G171" s="7">
        <v>45560</v>
      </c>
      <c r="H171" s="1" t="s">
        <v>7449</v>
      </c>
      <c r="I171" s="7">
        <v>45560</v>
      </c>
      <c r="J171" s="1" t="s">
        <v>7449</v>
      </c>
    </row>
    <row r="172" spans="1:10" x14ac:dyDescent="0.25">
      <c r="A172" s="1">
        <v>171</v>
      </c>
      <c r="B172" s="2" t="str">
        <f>_xlfn.CONCAT(C172,"-",VLOOKUP(C172,t_objeto!B:D,3,FALSE),"-",A172)</f>
        <v>MMII-PERCCO-171</v>
      </c>
      <c r="C172" s="1" t="s">
        <v>8352</v>
      </c>
      <c r="D172" s="1" t="str">
        <f>VLOOKUP(C172,t_objeto!B:C,2,FALSE)</f>
        <v>METHOD_INSTRUCTION</v>
      </c>
      <c r="E172" s="1">
        <v>8</v>
      </c>
      <c r="F172" s="1" t="str">
        <f>VLOOKUP(E172,t_entry_status!A:C,2,FALSE)</f>
        <v>PENDING</v>
      </c>
      <c r="G172" s="7">
        <v>45560</v>
      </c>
      <c r="H172" s="1" t="s">
        <v>7449</v>
      </c>
      <c r="I172" s="7">
        <v>45560</v>
      </c>
      <c r="J172" s="1" t="s">
        <v>7449</v>
      </c>
    </row>
    <row r="173" spans="1:10" x14ac:dyDescent="0.25">
      <c r="A173" s="1">
        <v>172</v>
      </c>
      <c r="B173" s="2" t="str">
        <f>_xlfn.CONCAT(C173,"-",VLOOKUP(C173,t_objeto!B:D,3,FALSE),"-",A173)</f>
        <v>MMII-PERCCO-172</v>
      </c>
      <c r="C173" s="1" t="s">
        <v>8352</v>
      </c>
      <c r="D173" s="1" t="str">
        <f>VLOOKUP(C173,t_objeto!B:C,2,FALSE)</f>
        <v>METHOD_INSTRUCTION</v>
      </c>
      <c r="E173" s="1">
        <v>8</v>
      </c>
      <c r="F173" s="1" t="str">
        <f>VLOOKUP(E173,t_entry_status!A:C,2,FALSE)</f>
        <v>PENDING</v>
      </c>
      <c r="G173" s="7">
        <v>45560</v>
      </c>
      <c r="H173" s="1" t="s">
        <v>7449</v>
      </c>
      <c r="I173" s="7">
        <v>45560</v>
      </c>
      <c r="J173" s="1" t="s">
        <v>7449</v>
      </c>
    </row>
    <row r="174" spans="1:10" x14ac:dyDescent="0.25">
      <c r="A174" s="1">
        <v>173</v>
      </c>
      <c r="B174" s="2" t="str">
        <f>_xlfn.CONCAT(C174,"-",VLOOKUP(C174,t_objeto!B:D,3,FALSE),"-",A174)</f>
        <v>MMII-PERCCO-173</v>
      </c>
      <c r="C174" s="1" t="s">
        <v>8352</v>
      </c>
      <c r="D174" s="1" t="str">
        <f>VLOOKUP(C174,t_objeto!B:C,2,FALSE)</f>
        <v>METHOD_INSTRUCTION</v>
      </c>
      <c r="E174" s="1">
        <v>8</v>
      </c>
      <c r="F174" s="1" t="str">
        <f>VLOOKUP(E174,t_entry_status!A:C,2,FALSE)</f>
        <v>PENDING</v>
      </c>
      <c r="G174" s="7">
        <v>45560</v>
      </c>
      <c r="H174" s="1" t="s">
        <v>7449</v>
      </c>
      <c r="I174" s="7">
        <v>45560</v>
      </c>
      <c r="J174" s="1" t="s">
        <v>7449</v>
      </c>
    </row>
    <row r="175" spans="1:10" x14ac:dyDescent="0.25">
      <c r="A175" s="1">
        <v>174</v>
      </c>
      <c r="B175" s="2" t="str">
        <f>_xlfn.CONCAT(C175,"-",VLOOKUP(C175,t_objeto!B:D,3,FALSE),"-",A175)</f>
        <v>MMII-PERCCO-174</v>
      </c>
      <c r="C175" s="1" t="s">
        <v>8352</v>
      </c>
      <c r="D175" s="1" t="str">
        <f>VLOOKUP(C175,t_objeto!B:C,2,FALSE)</f>
        <v>METHOD_INSTRUCTION</v>
      </c>
      <c r="E175" s="1">
        <v>8</v>
      </c>
      <c r="F175" s="1" t="str">
        <f>VLOOKUP(E175,t_entry_status!A:C,2,FALSE)</f>
        <v>PENDING</v>
      </c>
      <c r="G175" s="7">
        <v>45560</v>
      </c>
      <c r="H175" s="1" t="s">
        <v>7449</v>
      </c>
      <c r="I175" s="7">
        <v>45560</v>
      </c>
      <c r="J175" s="1" t="s">
        <v>7449</v>
      </c>
    </row>
    <row r="176" spans="1:10" x14ac:dyDescent="0.25">
      <c r="A176" s="1">
        <v>175</v>
      </c>
      <c r="B176" s="2" t="str">
        <f>_xlfn.CONCAT(C176,"-",VLOOKUP(C176,t_objeto!B:D,3,FALSE),"-",A176)</f>
        <v>MMII-PERCCO-175</v>
      </c>
      <c r="C176" s="1" t="s">
        <v>8352</v>
      </c>
      <c r="D176" s="1" t="str">
        <f>VLOOKUP(C176,t_objeto!B:C,2,FALSE)</f>
        <v>METHOD_INSTRUCTION</v>
      </c>
      <c r="E176" s="1">
        <v>8</v>
      </c>
      <c r="F176" s="1" t="str">
        <f>VLOOKUP(E176,t_entry_status!A:C,2,FALSE)</f>
        <v>PENDING</v>
      </c>
      <c r="G176" s="7">
        <v>45560</v>
      </c>
      <c r="H176" s="1" t="s">
        <v>7449</v>
      </c>
      <c r="I176" s="7">
        <v>45560</v>
      </c>
      <c r="J176" s="1" t="s">
        <v>7449</v>
      </c>
    </row>
    <row r="177" spans="1:10" x14ac:dyDescent="0.25">
      <c r="A177" s="1">
        <v>176</v>
      </c>
      <c r="B177" s="2" t="str">
        <f>_xlfn.CONCAT(C177,"-",VLOOKUP(C177,t_objeto!B:D,3,FALSE),"-",A177)</f>
        <v>MMII-PERCCO-176</v>
      </c>
      <c r="C177" s="1" t="s">
        <v>8352</v>
      </c>
      <c r="D177" s="1" t="str">
        <f>VLOOKUP(C177,t_objeto!B:C,2,FALSE)</f>
        <v>METHOD_INSTRUCTION</v>
      </c>
      <c r="E177" s="1">
        <v>8</v>
      </c>
      <c r="F177" s="1" t="str">
        <f>VLOOKUP(E177,t_entry_status!A:C,2,FALSE)</f>
        <v>PENDING</v>
      </c>
      <c r="G177" s="7">
        <v>45560</v>
      </c>
      <c r="H177" s="1" t="s">
        <v>7449</v>
      </c>
      <c r="I177" s="7">
        <v>45560</v>
      </c>
      <c r="J177" s="1" t="s">
        <v>7449</v>
      </c>
    </row>
    <row r="178" spans="1:10" x14ac:dyDescent="0.25">
      <c r="A178" s="1">
        <v>177</v>
      </c>
      <c r="B178" s="2" t="str">
        <f>_xlfn.CONCAT(C178,"-",VLOOKUP(C178,t_objeto!B:D,3,FALSE),"-",A178)</f>
        <v>MMII-PERCCO-177</v>
      </c>
      <c r="C178" s="1" t="s">
        <v>8352</v>
      </c>
      <c r="D178" s="1" t="str">
        <f>VLOOKUP(C178,t_objeto!B:C,2,FALSE)</f>
        <v>METHOD_INSTRUCTION</v>
      </c>
      <c r="E178" s="1">
        <v>8</v>
      </c>
      <c r="F178" s="1" t="str">
        <f>VLOOKUP(E178,t_entry_status!A:C,2,FALSE)</f>
        <v>PENDING</v>
      </c>
      <c r="G178" s="7">
        <v>45560</v>
      </c>
      <c r="H178" s="1" t="s">
        <v>7449</v>
      </c>
      <c r="I178" s="7">
        <v>45560</v>
      </c>
      <c r="J178" s="1" t="s">
        <v>7449</v>
      </c>
    </row>
    <row r="179" spans="1:10" x14ac:dyDescent="0.25">
      <c r="A179" s="1">
        <v>178</v>
      </c>
      <c r="B179" s="2" t="str">
        <f>_xlfn.CONCAT(C179,"-",VLOOKUP(C179,t_objeto!B:D,3,FALSE),"-",A179)</f>
        <v>MMII-PERCCO-178</v>
      </c>
      <c r="C179" s="1" t="s">
        <v>8352</v>
      </c>
      <c r="D179" s="1" t="str">
        <f>VLOOKUP(C179,t_objeto!B:C,2,FALSE)</f>
        <v>METHOD_INSTRUCTION</v>
      </c>
      <c r="E179" s="1">
        <v>8</v>
      </c>
      <c r="F179" s="1" t="str">
        <f>VLOOKUP(E179,t_entry_status!A:C,2,FALSE)</f>
        <v>PENDING</v>
      </c>
      <c r="G179" s="7">
        <v>45560</v>
      </c>
      <c r="H179" s="1" t="s">
        <v>7449</v>
      </c>
      <c r="I179" s="7">
        <v>45560</v>
      </c>
      <c r="J179" s="1" t="s">
        <v>7449</v>
      </c>
    </row>
    <row r="180" spans="1:10" x14ac:dyDescent="0.25">
      <c r="A180" s="1">
        <v>179</v>
      </c>
      <c r="B180" s="2" t="str">
        <f>_xlfn.CONCAT(C180,"-",VLOOKUP(C180,t_objeto!B:D,3,FALSE),"-",A180)</f>
        <v>MMII-PERCCO-179</v>
      </c>
      <c r="C180" s="1" t="s">
        <v>8352</v>
      </c>
      <c r="D180" s="1" t="str">
        <f>VLOOKUP(C180,t_objeto!B:C,2,FALSE)</f>
        <v>METHOD_INSTRUCTION</v>
      </c>
      <c r="E180" s="1">
        <v>8</v>
      </c>
      <c r="F180" s="1" t="str">
        <f>VLOOKUP(E180,t_entry_status!A:C,2,FALSE)</f>
        <v>PENDING</v>
      </c>
      <c r="G180" s="7">
        <v>45560</v>
      </c>
      <c r="H180" s="1" t="s">
        <v>7449</v>
      </c>
      <c r="I180" s="7">
        <v>45560</v>
      </c>
      <c r="J180" s="1" t="s">
        <v>7449</v>
      </c>
    </row>
    <row r="181" spans="1:10" x14ac:dyDescent="0.25">
      <c r="A181" s="1">
        <v>180</v>
      </c>
      <c r="B181" s="2" t="str">
        <f>_xlfn.CONCAT(C181,"-",VLOOKUP(C181,t_objeto!B:D,3,FALSE),"-",A181)</f>
        <v>MMII-PERCCO-180</v>
      </c>
      <c r="C181" s="1" t="s">
        <v>8352</v>
      </c>
      <c r="D181" s="1" t="str">
        <f>VLOOKUP(C181,t_objeto!B:C,2,FALSE)</f>
        <v>METHOD_INSTRUCTION</v>
      </c>
      <c r="E181" s="1">
        <v>8</v>
      </c>
      <c r="F181" s="1" t="str">
        <f>VLOOKUP(E181,t_entry_status!A:C,2,FALSE)</f>
        <v>PENDING</v>
      </c>
      <c r="G181" s="7">
        <v>45560</v>
      </c>
      <c r="H181" s="1" t="s">
        <v>7449</v>
      </c>
      <c r="I181" s="7">
        <v>45560</v>
      </c>
      <c r="J181" s="1" t="s">
        <v>7449</v>
      </c>
    </row>
    <row r="182" spans="1:10" x14ac:dyDescent="0.25">
      <c r="A182" s="1">
        <v>181</v>
      </c>
      <c r="B182" s="2" t="str">
        <f>_xlfn.CONCAT(C182,"-",VLOOKUP(C182,t_objeto!B:D,3,FALSE),"-",A182)</f>
        <v>MMII-PERCCO-181</v>
      </c>
      <c r="C182" s="1" t="s">
        <v>8352</v>
      </c>
      <c r="D182" s="1" t="str">
        <f>VLOOKUP(C182,t_objeto!B:C,2,FALSE)</f>
        <v>METHOD_INSTRUCTION</v>
      </c>
      <c r="E182" s="1">
        <v>8</v>
      </c>
      <c r="F182" s="1" t="str">
        <f>VLOOKUP(E182,t_entry_status!A:C,2,FALSE)</f>
        <v>PENDING</v>
      </c>
      <c r="G182" s="7">
        <v>45560</v>
      </c>
      <c r="H182" s="1" t="s">
        <v>7449</v>
      </c>
      <c r="I182" s="7">
        <v>45560</v>
      </c>
      <c r="J182" s="1" t="s">
        <v>7449</v>
      </c>
    </row>
    <row r="183" spans="1:10" x14ac:dyDescent="0.25">
      <c r="A183" s="1">
        <v>182</v>
      </c>
      <c r="B183" s="2" t="str">
        <f>_xlfn.CONCAT(C183,"-",VLOOKUP(C183,t_objeto!B:D,3,FALSE),"-",A183)</f>
        <v>MMII-PERCCO-182</v>
      </c>
      <c r="C183" s="1" t="s">
        <v>8352</v>
      </c>
      <c r="D183" s="1" t="str">
        <f>VLOOKUP(C183,t_objeto!B:C,2,FALSE)</f>
        <v>METHOD_INSTRUCTION</v>
      </c>
      <c r="E183" s="1">
        <v>8</v>
      </c>
      <c r="F183" s="1" t="str">
        <f>VLOOKUP(E183,t_entry_status!A:C,2,FALSE)</f>
        <v>PENDING</v>
      </c>
      <c r="G183" s="7">
        <v>45560</v>
      </c>
      <c r="H183" s="1" t="s">
        <v>7449</v>
      </c>
      <c r="I183" s="7">
        <v>45560</v>
      </c>
      <c r="J183" s="1" t="s">
        <v>7449</v>
      </c>
    </row>
    <row r="184" spans="1:10" x14ac:dyDescent="0.25">
      <c r="A184" s="1">
        <v>183</v>
      </c>
      <c r="B184" s="2" t="str">
        <f>_xlfn.CONCAT(C184,"-",VLOOKUP(C184,t_objeto!B:D,3,FALSE),"-",A184)</f>
        <v>MMII-PERCCO-183</v>
      </c>
      <c r="C184" s="1" t="s">
        <v>8352</v>
      </c>
      <c r="D184" s="1" t="str">
        <f>VLOOKUP(C184,t_objeto!B:C,2,FALSE)</f>
        <v>METHOD_INSTRUCTION</v>
      </c>
      <c r="E184" s="1">
        <v>8</v>
      </c>
      <c r="F184" s="1" t="str">
        <f>VLOOKUP(E184,t_entry_status!A:C,2,FALSE)</f>
        <v>PENDING</v>
      </c>
      <c r="G184" s="7">
        <v>45560</v>
      </c>
      <c r="H184" s="1" t="s">
        <v>7449</v>
      </c>
      <c r="I184" s="7">
        <v>45560</v>
      </c>
      <c r="J184" s="1" t="s">
        <v>7449</v>
      </c>
    </row>
    <row r="185" spans="1:10" x14ac:dyDescent="0.25">
      <c r="A185" s="1">
        <v>184</v>
      </c>
      <c r="B185" s="2" t="str">
        <f>_xlfn.CONCAT(C185,"-",VLOOKUP(C185,t_objeto!B:D,3,FALSE),"-",A185)</f>
        <v>MMII-PERCCO-184</v>
      </c>
      <c r="C185" s="1" t="s">
        <v>8352</v>
      </c>
      <c r="D185" s="1" t="str">
        <f>VLOOKUP(C185,t_objeto!B:C,2,FALSE)</f>
        <v>METHOD_INSTRUCTION</v>
      </c>
      <c r="E185" s="1">
        <v>8</v>
      </c>
      <c r="F185" s="1" t="str">
        <f>VLOOKUP(E185,t_entry_status!A:C,2,FALSE)</f>
        <v>PENDING</v>
      </c>
      <c r="G185" s="7">
        <v>45560</v>
      </c>
      <c r="H185" s="1" t="s">
        <v>7449</v>
      </c>
      <c r="I185" s="7">
        <v>45560</v>
      </c>
      <c r="J185" s="1" t="s">
        <v>7449</v>
      </c>
    </row>
    <row r="186" spans="1:10" x14ac:dyDescent="0.25">
      <c r="A186" s="1">
        <v>185</v>
      </c>
      <c r="B186" s="2" t="str">
        <f>_xlfn.CONCAT(C186,"-",VLOOKUP(C186,t_objeto!B:D,3,FALSE),"-",A186)</f>
        <v>MMII-PERCCO-185</v>
      </c>
      <c r="C186" s="1" t="s">
        <v>8352</v>
      </c>
      <c r="D186" s="1" t="str">
        <f>VLOOKUP(C186,t_objeto!B:C,2,FALSE)</f>
        <v>METHOD_INSTRUCTION</v>
      </c>
      <c r="E186" s="1">
        <v>8</v>
      </c>
      <c r="F186" s="1" t="str">
        <f>VLOOKUP(E186,t_entry_status!A:C,2,FALSE)</f>
        <v>PENDING</v>
      </c>
      <c r="G186" s="7">
        <v>45560</v>
      </c>
      <c r="H186" s="1" t="s">
        <v>7449</v>
      </c>
      <c r="I186" s="7">
        <v>45560</v>
      </c>
      <c r="J186" s="1" t="s">
        <v>7449</v>
      </c>
    </row>
    <row r="187" spans="1:10" x14ac:dyDescent="0.25">
      <c r="A187" s="1">
        <v>186</v>
      </c>
      <c r="B187" s="2" t="str">
        <f>_xlfn.CONCAT(C187,"-",VLOOKUP(C187,t_objeto!B:D,3,FALSE),"-",A187)</f>
        <v>MMII-PERCCO-186</v>
      </c>
      <c r="C187" s="1" t="s">
        <v>8352</v>
      </c>
      <c r="D187" s="1" t="str">
        <f>VLOOKUP(C187,t_objeto!B:C,2,FALSE)</f>
        <v>METHOD_INSTRUCTION</v>
      </c>
      <c r="E187" s="1">
        <v>8</v>
      </c>
      <c r="F187" s="1" t="str">
        <f>VLOOKUP(E187,t_entry_status!A:C,2,FALSE)</f>
        <v>PENDING</v>
      </c>
      <c r="G187" s="7">
        <v>45560</v>
      </c>
      <c r="H187" s="1" t="s">
        <v>7449</v>
      </c>
      <c r="I187" s="7">
        <v>45560</v>
      </c>
      <c r="J187" s="1" t="s">
        <v>7449</v>
      </c>
    </row>
    <row r="188" spans="1:10" x14ac:dyDescent="0.25">
      <c r="A188" s="1">
        <v>187</v>
      </c>
      <c r="B188" s="2" t="str">
        <f>_xlfn.CONCAT(C188,"-",VLOOKUP(C188,t_objeto!B:D,3,FALSE),"-",A188)</f>
        <v>MMII-PERCCO-187</v>
      </c>
      <c r="C188" s="1" t="s">
        <v>8352</v>
      </c>
      <c r="D188" s="1" t="str">
        <f>VLOOKUP(C188,t_objeto!B:C,2,FALSE)</f>
        <v>METHOD_INSTRUCTION</v>
      </c>
      <c r="E188" s="1">
        <v>8</v>
      </c>
      <c r="F188" s="1" t="str">
        <f>VLOOKUP(E188,t_entry_status!A:C,2,FALSE)</f>
        <v>PENDING</v>
      </c>
      <c r="G188" s="7">
        <v>45560</v>
      </c>
      <c r="H188" s="1" t="s">
        <v>7449</v>
      </c>
      <c r="I188" s="7">
        <v>45560</v>
      </c>
      <c r="J188" s="1" t="s">
        <v>7449</v>
      </c>
    </row>
    <row r="189" spans="1:10" x14ac:dyDescent="0.25">
      <c r="A189" s="1">
        <v>188</v>
      </c>
      <c r="B189" s="2" t="str">
        <f>_xlfn.CONCAT(C189,"-",VLOOKUP(C189,t_objeto!B:D,3,FALSE),"-",A189)</f>
        <v>MMII-PERCCO-188</v>
      </c>
      <c r="C189" s="1" t="s">
        <v>8352</v>
      </c>
      <c r="D189" s="1" t="str">
        <f>VLOOKUP(C189,t_objeto!B:C,2,FALSE)</f>
        <v>METHOD_INSTRUCTION</v>
      </c>
      <c r="E189" s="1">
        <v>8</v>
      </c>
      <c r="F189" s="1" t="str">
        <f>VLOOKUP(E189,t_entry_status!A:C,2,FALSE)</f>
        <v>PENDING</v>
      </c>
      <c r="G189" s="7">
        <v>45560</v>
      </c>
      <c r="H189" s="1" t="s">
        <v>7449</v>
      </c>
      <c r="I189" s="7">
        <v>45560</v>
      </c>
      <c r="J189" s="1" t="s">
        <v>7449</v>
      </c>
    </row>
    <row r="190" spans="1:10" x14ac:dyDescent="0.25">
      <c r="A190" s="1">
        <v>189</v>
      </c>
      <c r="B190" s="2" t="str">
        <f>_xlfn.CONCAT(C190,"-",VLOOKUP(C190,t_objeto!B:D,3,FALSE),"-",A190)</f>
        <v>MMII-PERCCO-189</v>
      </c>
      <c r="C190" s="1" t="s">
        <v>8352</v>
      </c>
      <c r="D190" s="1" t="str">
        <f>VLOOKUP(C190,t_objeto!B:C,2,FALSE)</f>
        <v>METHOD_INSTRUCTION</v>
      </c>
      <c r="E190" s="1">
        <v>8</v>
      </c>
      <c r="F190" s="1" t="str">
        <f>VLOOKUP(E190,t_entry_status!A:C,2,FALSE)</f>
        <v>PENDING</v>
      </c>
      <c r="G190" s="7">
        <v>45560</v>
      </c>
      <c r="H190" s="1" t="s">
        <v>7449</v>
      </c>
      <c r="I190" s="7">
        <v>45560</v>
      </c>
      <c r="J190" s="1" t="s">
        <v>7449</v>
      </c>
    </row>
    <row r="191" spans="1:10" x14ac:dyDescent="0.25">
      <c r="A191" s="1">
        <v>190</v>
      </c>
      <c r="B191" s="2" t="str">
        <f>_xlfn.CONCAT(C191,"-",VLOOKUP(C191,t_objeto!B:D,3,FALSE),"-",A191)</f>
        <v>MMII-PERCCO-190</v>
      </c>
      <c r="C191" s="1" t="s">
        <v>8352</v>
      </c>
      <c r="D191" s="1" t="str">
        <f>VLOOKUP(C191,t_objeto!B:C,2,FALSE)</f>
        <v>METHOD_INSTRUCTION</v>
      </c>
      <c r="E191" s="1">
        <v>8</v>
      </c>
      <c r="F191" s="1" t="str">
        <f>VLOOKUP(E191,t_entry_status!A:C,2,FALSE)</f>
        <v>PENDING</v>
      </c>
      <c r="G191" s="7">
        <v>45560</v>
      </c>
      <c r="H191" s="1" t="s">
        <v>7449</v>
      </c>
      <c r="I191" s="7">
        <v>45560</v>
      </c>
      <c r="J191" s="1" t="s">
        <v>7449</v>
      </c>
    </row>
    <row r="192" spans="1:10" x14ac:dyDescent="0.25">
      <c r="A192" s="1">
        <v>191</v>
      </c>
      <c r="B192" s="2" t="str">
        <f>_xlfn.CONCAT(C192,"-",VLOOKUP(C192,t_objeto!B:D,3,FALSE),"-",A192)</f>
        <v>MMII-PERCCO-191</v>
      </c>
      <c r="C192" s="1" t="s">
        <v>8352</v>
      </c>
      <c r="D192" s="1" t="str">
        <f>VLOOKUP(C192,t_objeto!B:C,2,FALSE)</f>
        <v>METHOD_INSTRUCTION</v>
      </c>
      <c r="E192" s="1">
        <v>8</v>
      </c>
      <c r="F192" s="1" t="str">
        <f>VLOOKUP(E192,t_entry_status!A:C,2,FALSE)</f>
        <v>PENDING</v>
      </c>
      <c r="G192" s="7">
        <v>45560</v>
      </c>
      <c r="H192" s="1" t="s">
        <v>7449</v>
      </c>
      <c r="I192" s="7">
        <v>45560</v>
      </c>
      <c r="J192" s="1" t="s">
        <v>7449</v>
      </c>
    </row>
    <row r="193" spans="1:10" x14ac:dyDescent="0.25">
      <c r="A193" s="1">
        <v>192</v>
      </c>
      <c r="B193" s="2" t="str">
        <f>_xlfn.CONCAT(C193,"-",VLOOKUP(C193,t_objeto!B:D,3,FALSE),"-",A193)</f>
        <v>MMII-PERCCO-192</v>
      </c>
      <c r="C193" s="1" t="s">
        <v>8352</v>
      </c>
      <c r="D193" s="1" t="str">
        <f>VLOOKUP(C193,t_objeto!B:C,2,FALSE)</f>
        <v>METHOD_INSTRUCTION</v>
      </c>
      <c r="E193" s="1">
        <v>8</v>
      </c>
      <c r="F193" s="1" t="str">
        <f>VLOOKUP(E193,t_entry_status!A:C,2,FALSE)</f>
        <v>PENDING</v>
      </c>
      <c r="G193" s="7">
        <v>45560</v>
      </c>
      <c r="H193" s="1" t="s">
        <v>7449</v>
      </c>
      <c r="I193" s="7">
        <v>45560</v>
      </c>
      <c r="J193" s="1" t="s">
        <v>7449</v>
      </c>
    </row>
    <row r="194" spans="1:10" x14ac:dyDescent="0.25">
      <c r="A194" s="1">
        <v>193</v>
      </c>
      <c r="B194" s="2" t="str">
        <f>_xlfn.CONCAT(C194,"-",VLOOKUP(C194,t_objeto!B:D,3,FALSE),"-",A194)</f>
        <v>MMII-PERCCO-193</v>
      </c>
      <c r="C194" s="1" t="s">
        <v>8352</v>
      </c>
      <c r="D194" s="1" t="str">
        <f>VLOOKUP(C194,t_objeto!B:C,2,FALSE)</f>
        <v>METHOD_INSTRUCTION</v>
      </c>
      <c r="E194" s="1">
        <v>8</v>
      </c>
      <c r="F194" s="1" t="str">
        <f>VLOOKUP(E194,t_entry_status!A:C,2,FALSE)</f>
        <v>PENDING</v>
      </c>
      <c r="G194" s="7">
        <v>45560</v>
      </c>
      <c r="H194" s="1" t="s">
        <v>7449</v>
      </c>
      <c r="I194" s="7">
        <v>45560</v>
      </c>
      <c r="J194" s="1" t="s">
        <v>7449</v>
      </c>
    </row>
    <row r="195" spans="1:10" x14ac:dyDescent="0.25">
      <c r="A195" s="1">
        <v>194</v>
      </c>
      <c r="B195" s="2" t="str">
        <f>_xlfn.CONCAT(C195,"-",VLOOKUP(C195,t_objeto!B:D,3,FALSE),"-",A195)</f>
        <v>MMII-PERCCO-194</v>
      </c>
      <c r="C195" s="1" t="s">
        <v>8352</v>
      </c>
      <c r="D195" s="1" t="str">
        <f>VLOOKUP(C195,t_objeto!B:C,2,FALSE)</f>
        <v>METHOD_INSTRUCTION</v>
      </c>
      <c r="E195" s="1">
        <v>8</v>
      </c>
      <c r="F195" s="1" t="str">
        <f>VLOOKUP(E195,t_entry_status!A:C,2,FALSE)</f>
        <v>PENDING</v>
      </c>
      <c r="G195" s="7">
        <v>45560</v>
      </c>
      <c r="H195" s="1" t="s">
        <v>7449</v>
      </c>
      <c r="I195" s="7">
        <v>45560</v>
      </c>
      <c r="J195" s="1" t="s">
        <v>7449</v>
      </c>
    </row>
    <row r="196" spans="1:10" x14ac:dyDescent="0.25">
      <c r="A196" s="1">
        <v>195</v>
      </c>
      <c r="B196" s="2" t="str">
        <f>_xlfn.CONCAT(C196,"-",VLOOKUP(C196,t_objeto!B:D,3,FALSE),"-",A196)</f>
        <v>MMII-PERCCO-195</v>
      </c>
      <c r="C196" s="1" t="s">
        <v>8352</v>
      </c>
      <c r="D196" s="1" t="str">
        <f>VLOOKUP(C196,t_objeto!B:C,2,FALSE)</f>
        <v>METHOD_INSTRUCTION</v>
      </c>
      <c r="E196" s="1">
        <v>8</v>
      </c>
      <c r="F196" s="1" t="str">
        <f>VLOOKUP(E196,t_entry_status!A:C,2,FALSE)</f>
        <v>PENDING</v>
      </c>
      <c r="G196" s="7">
        <v>45560</v>
      </c>
      <c r="H196" s="1" t="s">
        <v>7449</v>
      </c>
      <c r="I196" s="7">
        <v>45560</v>
      </c>
      <c r="J196" s="1" t="s">
        <v>7449</v>
      </c>
    </row>
    <row r="197" spans="1:10" x14ac:dyDescent="0.25">
      <c r="A197" s="1">
        <v>196</v>
      </c>
      <c r="B197" s="2" t="str">
        <f>_xlfn.CONCAT(C197,"-",VLOOKUP(C197,t_objeto!B:D,3,FALSE),"-",A197)</f>
        <v>MMII-PERCCO-196</v>
      </c>
      <c r="C197" s="1" t="s">
        <v>8352</v>
      </c>
      <c r="D197" s="1" t="str">
        <f>VLOOKUP(C197,t_objeto!B:C,2,FALSE)</f>
        <v>METHOD_INSTRUCTION</v>
      </c>
      <c r="E197" s="1">
        <v>8</v>
      </c>
      <c r="F197" s="1" t="str">
        <f>VLOOKUP(E197,t_entry_status!A:C,2,FALSE)</f>
        <v>PENDING</v>
      </c>
      <c r="G197" s="7">
        <v>45560</v>
      </c>
      <c r="H197" s="1" t="s">
        <v>7449</v>
      </c>
      <c r="I197" s="7">
        <v>45560</v>
      </c>
      <c r="J197" s="1" t="s">
        <v>7449</v>
      </c>
    </row>
    <row r="198" spans="1:10" x14ac:dyDescent="0.25">
      <c r="A198" s="1">
        <v>197</v>
      </c>
      <c r="B198" s="2" t="str">
        <f>_xlfn.CONCAT(C198,"-",VLOOKUP(C198,t_objeto!B:D,3,FALSE),"-",A198)</f>
        <v>MMII-PERCCO-197</v>
      </c>
      <c r="C198" s="1" t="s">
        <v>8352</v>
      </c>
      <c r="D198" s="1" t="str">
        <f>VLOOKUP(C198,t_objeto!B:C,2,FALSE)</f>
        <v>METHOD_INSTRUCTION</v>
      </c>
      <c r="E198" s="1">
        <v>8</v>
      </c>
      <c r="F198" s="1" t="str">
        <f>VLOOKUP(E198,t_entry_status!A:C,2,FALSE)</f>
        <v>PENDING</v>
      </c>
      <c r="G198" s="7">
        <v>45560</v>
      </c>
      <c r="H198" s="1" t="s">
        <v>7449</v>
      </c>
      <c r="I198" s="7">
        <v>45560</v>
      </c>
      <c r="J198" s="1" t="s">
        <v>7449</v>
      </c>
    </row>
    <row r="199" spans="1:10" x14ac:dyDescent="0.25">
      <c r="A199" s="1">
        <v>198</v>
      </c>
      <c r="B199" s="2" t="str">
        <f>_xlfn.CONCAT(C199,"-",VLOOKUP(C199,t_objeto!B:D,3,FALSE),"-",A199)</f>
        <v>MMII-PERCCO-198</v>
      </c>
      <c r="C199" s="1" t="s">
        <v>8352</v>
      </c>
      <c r="D199" s="1" t="str">
        <f>VLOOKUP(C199,t_objeto!B:C,2,FALSE)</f>
        <v>METHOD_INSTRUCTION</v>
      </c>
      <c r="E199" s="1">
        <v>8</v>
      </c>
      <c r="F199" s="1" t="str">
        <f>VLOOKUP(E199,t_entry_status!A:C,2,FALSE)</f>
        <v>PENDING</v>
      </c>
      <c r="G199" s="7">
        <v>45560</v>
      </c>
      <c r="H199" s="1" t="s">
        <v>7449</v>
      </c>
      <c r="I199" s="7">
        <v>45560</v>
      </c>
      <c r="J199" s="1" t="s">
        <v>7449</v>
      </c>
    </row>
    <row r="200" spans="1:10" x14ac:dyDescent="0.25">
      <c r="A200" s="1">
        <v>199</v>
      </c>
      <c r="B200" s="2" t="str">
        <f>_xlfn.CONCAT(C200,"-",VLOOKUP(C200,t_objeto!B:D,3,FALSE),"-",A200)</f>
        <v>MMII-PERCCO-199</v>
      </c>
      <c r="C200" s="1" t="s">
        <v>8352</v>
      </c>
      <c r="D200" s="1" t="str">
        <f>VLOOKUP(C200,t_objeto!B:C,2,FALSE)</f>
        <v>METHOD_INSTRUCTION</v>
      </c>
      <c r="E200" s="1">
        <v>8</v>
      </c>
      <c r="F200" s="1" t="str">
        <f>VLOOKUP(E200,t_entry_status!A:C,2,FALSE)</f>
        <v>PENDING</v>
      </c>
      <c r="G200" s="7">
        <v>45560</v>
      </c>
      <c r="H200" s="1" t="s">
        <v>7449</v>
      </c>
      <c r="I200" s="7">
        <v>45560</v>
      </c>
      <c r="J200" s="1" t="s">
        <v>7449</v>
      </c>
    </row>
    <row r="201" spans="1:10" x14ac:dyDescent="0.25">
      <c r="A201" s="1">
        <v>200</v>
      </c>
      <c r="B201" s="2" t="str">
        <f>_xlfn.CONCAT(C201,"-",VLOOKUP(C201,t_objeto!B:D,3,FALSE),"-",A201)</f>
        <v>MMII-PERCCO-200</v>
      </c>
      <c r="C201" s="1" t="s">
        <v>8352</v>
      </c>
      <c r="D201" s="1" t="str">
        <f>VLOOKUP(C201,t_objeto!B:C,2,FALSE)</f>
        <v>METHOD_INSTRUCTION</v>
      </c>
      <c r="E201" s="1">
        <v>8</v>
      </c>
      <c r="F201" s="1" t="str">
        <f>VLOOKUP(E201,t_entry_status!A:C,2,FALSE)</f>
        <v>PENDING</v>
      </c>
      <c r="G201" s="7">
        <v>45560</v>
      </c>
      <c r="H201" s="1" t="s">
        <v>7449</v>
      </c>
      <c r="I201" s="7">
        <v>45560</v>
      </c>
      <c r="J201" s="1" t="s">
        <v>7449</v>
      </c>
    </row>
    <row r="202" spans="1:10" x14ac:dyDescent="0.25">
      <c r="A202" s="1">
        <v>201</v>
      </c>
      <c r="B202" s="2" t="str">
        <f>_xlfn.CONCAT(C202,"-",VLOOKUP(C202,t_objeto!B:D,3,FALSE),"-",A202)</f>
        <v>MMII-PERCCO-201</v>
      </c>
      <c r="C202" s="1" t="s">
        <v>8352</v>
      </c>
      <c r="D202" s="1" t="str">
        <f>VLOOKUP(C202,t_objeto!B:C,2,FALSE)</f>
        <v>METHOD_INSTRUCTION</v>
      </c>
      <c r="E202" s="1">
        <v>8</v>
      </c>
      <c r="F202" s="1" t="str">
        <f>VLOOKUP(E202,t_entry_status!A:C,2,FALSE)</f>
        <v>PENDING</v>
      </c>
      <c r="G202" s="7">
        <v>45560</v>
      </c>
      <c r="H202" s="1" t="s">
        <v>7449</v>
      </c>
      <c r="I202" s="7">
        <v>45560</v>
      </c>
      <c r="J202" s="1" t="s">
        <v>7449</v>
      </c>
    </row>
    <row r="203" spans="1:10" x14ac:dyDescent="0.25">
      <c r="A203" s="1">
        <v>202</v>
      </c>
      <c r="B203" s="2" t="str">
        <f>_xlfn.CONCAT(C203,"-",VLOOKUP(C203,t_objeto!B:D,3,FALSE),"-",A203)</f>
        <v>MMII-PERCCO-202</v>
      </c>
      <c r="C203" s="1" t="s">
        <v>8352</v>
      </c>
      <c r="D203" s="1" t="str">
        <f>VLOOKUP(C203,t_objeto!B:C,2,FALSE)</f>
        <v>METHOD_INSTRUCTION</v>
      </c>
      <c r="E203" s="1">
        <v>8</v>
      </c>
      <c r="F203" s="1" t="str">
        <f>VLOOKUP(E203,t_entry_status!A:C,2,FALSE)</f>
        <v>PENDING</v>
      </c>
      <c r="G203" s="7">
        <v>45560</v>
      </c>
      <c r="H203" s="1" t="s">
        <v>7449</v>
      </c>
      <c r="I203" s="7">
        <v>45560</v>
      </c>
      <c r="J203" s="1" t="s">
        <v>7449</v>
      </c>
    </row>
    <row r="204" spans="1:10" x14ac:dyDescent="0.25">
      <c r="A204" s="1">
        <v>203</v>
      </c>
      <c r="B204" s="2" t="str">
        <f>_xlfn.CONCAT(C204,"-",VLOOKUP(C204,t_objeto!B:D,3,FALSE),"-",A204)</f>
        <v>MMII-PERCCO-203</v>
      </c>
      <c r="C204" s="1" t="s">
        <v>8352</v>
      </c>
      <c r="D204" s="1" t="str">
        <f>VLOOKUP(C204,t_objeto!B:C,2,FALSE)</f>
        <v>METHOD_INSTRUCTION</v>
      </c>
      <c r="E204" s="1">
        <v>8</v>
      </c>
      <c r="F204" s="1" t="str">
        <f>VLOOKUP(E204,t_entry_status!A:C,2,FALSE)</f>
        <v>PENDING</v>
      </c>
      <c r="G204" s="7">
        <v>45560</v>
      </c>
      <c r="H204" s="1" t="s">
        <v>7449</v>
      </c>
      <c r="I204" s="7">
        <v>45560</v>
      </c>
      <c r="J204" s="1" t="s">
        <v>7449</v>
      </c>
    </row>
    <row r="205" spans="1:10" x14ac:dyDescent="0.25">
      <c r="A205" s="1">
        <v>204</v>
      </c>
      <c r="B205" s="2" t="str">
        <f>_xlfn.CONCAT(C205,"-",VLOOKUP(C205,t_objeto!B:D,3,FALSE),"-",A205)</f>
        <v>MMII-PERCCO-204</v>
      </c>
      <c r="C205" s="1" t="s">
        <v>8352</v>
      </c>
      <c r="D205" s="1" t="str">
        <f>VLOOKUP(C205,t_objeto!B:C,2,FALSE)</f>
        <v>METHOD_INSTRUCTION</v>
      </c>
      <c r="E205" s="1">
        <v>8</v>
      </c>
      <c r="F205" s="1" t="str">
        <f>VLOOKUP(E205,t_entry_status!A:C,2,FALSE)</f>
        <v>PENDING</v>
      </c>
      <c r="G205" s="7">
        <v>45560</v>
      </c>
      <c r="H205" s="1" t="s">
        <v>7449</v>
      </c>
      <c r="I205" s="7">
        <v>45560</v>
      </c>
      <c r="J205" s="1" t="s">
        <v>7449</v>
      </c>
    </row>
    <row r="206" spans="1:10" x14ac:dyDescent="0.25">
      <c r="A206" s="1">
        <v>205</v>
      </c>
      <c r="B206" s="2" t="str">
        <f>_xlfn.CONCAT(C206,"-",VLOOKUP(C206,t_objeto!B:D,3,FALSE),"-",A206)</f>
        <v>MMII-PERCCO-205</v>
      </c>
      <c r="C206" s="1" t="s">
        <v>8352</v>
      </c>
      <c r="D206" s="1" t="str">
        <f>VLOOKUP(C206,t_objeto!B:C,2,FALSE)</f>
        <v>METHOD_INSTRUCTION</v>
      </c>
      <c r="E206" s="1">
        <v>8</v>
      </c>
      <c r="F206" s="1" t="str">
        <f>VLOOKUP(E206,t_entry_status!A:C,2,FALSE)</f>
        <v>PENDING</v>
      </c>
      <c r="G206" s="7">
        <v>45560</v>
      </c>
      <c r="H206" s="1" t="s">
        <v>7449</v>
      </c>
      <c r="I206" s="7">
        <v>45560</v>
      </c>
      <c r="J206" s="1" t="s">
        <v>7449</v>
      </c>
    </row>
    <row r="207" spans="1:10" x14ac:dyDescent="0.25">
      <c r="A207" s="1">
        <v>206</v>
      </c>
      <c r="B207" s="2" t="str">
        <f>_xlfn.CONCAT(C207,"-",VLOOKUP(C207,t_objeto!B:D,3,FALSE),"-",A207)</f>
        <v>MMII-PERCCO-206</v>
      </c>
      <c r="C207" s="1" t="s">
        <v>8352</v>
      </c>
      <c r="D207" s="1" t="str">
        <f>VLOOKUP(C207,t_objeto!B:C,2,FALSE)</f>
        <v>METHOD_INSTRUCTION</v>
      </c>
      <c r="E207" s="1">
        <v>8</v>
      </c>
      <c r="F207" s="1" t="str">
        <f>VLOOKUP(E207,t_entry_status!A:C,2,FALSE)</f>
        <v>PENDING</v>
      </c>
      <c r="G207" s="7">
        <v>45560</v>
      </c>
      <c r="H207" s="1" t="s">
        <v>7449</v>
      </c>
      <c r="I207" s="7">
        <v>45560</v>
      </c>
      <c r="J207" s="1" t="s">
        <v>7449</v>
      </c>
    </row>
    <row r="208" spans="1:10" x14ac:dyDescent="0.25">
      <c r="A208" s="1">
        <v>207</v>
      </c>
      <c r="B208" s="2" t="str">
        <f>_xlfn.CONCAT(C208,"-",VLOOKUP(C208,t_objeto!B:D,3,FALSE),"-",A208)</f>
        <v>MMII-PERCCO-207</v>
      </c>
      <c r="C208" s="1" t="s">
        <v>8352</v>
      </c>
      <c r="D208" s="1" t="str">
        <f>VLOOKUP(C208,t_objeto!B:C,2,FALSE)</f>
        <v>METHOD_INSTRUCTION</v>
      </c>
      <c r="E208" s="1">
        <v>8</v>
      </c>
      <c r="F208" s="1" t="str">
        <f>VLOOKUP(E208,t_entry_status!A:C,2,FALSE)</f>
        <v>PENDING</v>
      </c>
      <c r="G208" s="7">
        <v>45560</v>
      </c>
      <c r="H208" s="1" t="s">
        <v>7449</v>
      </c>
      <c r="I208" s="7">
        <v>45560</v>
      </c>
      <c r="J208" s="1" t="s">
        <v>7449</v>
      </c>
    </row>
    <row r="209" spans="1:10" x14ac:dyDescent="0.25">
      <c r="A209" s="1">
        <v>208</v>
      </c>
      <c r="B209" s="2" t="str">
        <f>_xlfn.CONCAT(C209,"-",VLOOKUP(C209,t_objeto!B:D,3,FALSE),"-",A209)</f>
        <v>MMII-PERCCO-208</v>
      </c>
      <c r="C209" s="1" t="s">
        <v>8352</v>
      </c>
      <c r="D209" s="1" t="str">
        <f>VLOOKUP(C209,t_objeto!B:C,2,FALSE)</f>
        <v>METHOD_INSTRUCTION</v>
      </c>
      <c r="E209" s="1">
        <v>8</v>
      </c>
      <c r="F209" s="1" t="str">
        <f>VLOOKUP(E209,t_entry_status!A:C,2,FALSE)</f>
        <v>PENDING</v>
      </c>
      <c r="G209" s="7">
        <v>45560</v>
      </c>
      <c r="H209" s="1" t="s">
        <v>7449</v>
      </c>
      <c r="I209" s="7">
        <v>45560</v>
      </c>
      <c r="J209" s="1" t="s">
        <v>7449</v>
      </c>
    </row>
    <row r="210" spans="1:10" x14ac:dyDescent="0.25">
      <c r="A210" s="1">
        <v>209</v>
      </c>
      <c r="B210" s="2" t="str">
        <f>_xlfn.CONCAT(C210,"-",VLOOKUP(C210,t_objeto!B:D,3,FALSE),"-",A210)</f>
        <v>MMII-PERCCO-209</v>
      </c>
      <c r="C210" s="1" t="s">
        <v>8352</v>
      </c>
      <c r="D210" s="1" t="str">
        <f>VLOOKUP(C210,t_objeto!B:C,2,FALSE)</f>
        <v>METHOD_INSTRUCTION</v>
      </c>
      <c r="E210" s="1">
        <v>8</v>
      </c>
      <c r="F210" s="1" t="str">
        <f>VLOOKUP(E210,t_entry_status!A:C,2,FALSE)</f>
        <v>PENDING</v>
      </c>
      <c r="G210" s="7">
        <v>45560</v>
      </c>
      <c r="H210" s="1" t="s">
        <v>7449</v>
      </c>
      <c r="I210" s="7">
        <v>45560</v>
      </c>
      <c r="J210" s="1" t="s">
        <v>7449</v>
      </c>
    </row>
    <row r="211" spans="1:10" x14ac:dyDescent="0.25">
      <c r="A211" s="1">
        <v>210</v>
      </c>
      <c r="B211" s="2" t="str">
        <f>_xlfn.CONCAT(C211,"-",VLOOKUP(C211,t_objeto!B:D,3,FALSE),"-",A211)</f>
        <v>MMII-PERCCO-210</v>
      </c>
      <c r="C211" s="1" t="s">
        <v>8352</v>
      </c>
      <c r="D211" s="1" t="str">
        <f>VLOOKUP(C211,t_objeto!B:C,2,FALSE)</f>
        <v>METHOD_INSTRUCTION</v>
      </c>
      <c r="E211" s="1">
        <v>8</v>
      </c>
      <c r="F211" s="1" t="str">
        <f>VLOOKUP(E211,t_entry_status!A:C,2,FALSE)</f>
        <v>PENDING</v>
      </c>
      <c r="G211" s="7">
        <v>45560</v>
      </c>
      <c r="H211" s="1" t="s">
        <v>7449</v>
      </c>
      <c r="I211" s="7">
        <v>45560</v>
      </c>
      <c r="J211" s="1" t="s">
        <v>7449</v>
      </c>
    </row>
    <row r="212" spans="1:10" x14ac:dyDescent="0.25">
      <c r="A212" s="1">
        <v>211</v>
      </c>
      <c r="B212" s="2" t="str">
        <f>_xlfn.CONCAT(C212,"-",VLOOKUP(C212,t_objeto!B:D,3,FALSE),"-",A212)</f>
        <v>MMII-PERCCO-211</v>
      </c>
      <c r="C212" s="1" t="s">
        <v>8352</v>
      </c>
      <c r="D212" s="1" t="str">
        <f>VLOOKUP(C212,t_objeto!B:C,2,FALSE)</f>
        <v>METHOD_INSTRUCTION</v>
      </c>
      <c r="E212" s="1">
        <v>8</v>
      </c>
      <c r="F212" s="1" t="str">
        <f>VLOOKUP(E212,t_entry_status!A:C,2,FALSE)</f>
        <v>PENDING</v>
      </c>
      <c r="G212" s="7">
        <v>45560</v>
      </c>
      <c r="H212" s="1" t="s">
        <v>7449</v>
      </c>
      <c r="I212" s="7">
        <v>45560</v>
      </c>
      <c r="J212" s="1" t="s">
        <v>7449</v>
      </c>
    </row>
    <row r="213" spans="1:10" x14ac:dyDescent="0.25">
      <c r="A213" s="1">
        <v>212</v>
      </c>
      <c r="B213" s="2" t="str">
        <f>_xlfn.CONCAT(C213,"-",VLOOKUP(C213,t_objeto!B:D,3,FALSE),"-",A213)</f>
        <v>MMII-PERCCO-212</v>
      </c>
      <c r="C213" s="1" t="s">
        <v>8352</v>
      </c>
      <c r="D213" s="1" t="str">
        <f>VLOOKUP(C213,t_objeto!B:C,2,FALSE)</f>
        <v>METHOD_INSTRUCTION</v>
      </c>
      <c r="E213" s="1">
        <v>8</v>
      </c>
      <c r="F213" s="1" t="str">
        <f>VLOOKUP(E213,t_entry_status!A:C,2,FALSE)</f>
        <v>PENDING</v>
      </c>
      <c r="G213" s="7">
        <v>45560</v>
      </c>
      <c r="H213" s="1" t="s">
        <v>7449</v>
      </c>
      <c r="I213" s="7">
        <v>45560</v>
      </c>
      <c r="J213" s="1" t="s">
        <v>7449</v>
      </c>
    </row>
    <row r="214" spans="1:10" x14ac:dyDescent="0.25">
      <c r="A214" s="1">
        <v>213</v>
      </c>
      <c r="B214" s="2" t="str">
        <f>_xlfn.CONCAT(C214,"-",VLOOKUP(C214,t_objeto!B:D,3,FALSE),"-",A214)</f>
        <v>MMII-PERCCO-213</v>
      </c>
      <c r="C214" s="1" t="s">
        <v>8352</v>
      </c>
      <c r="D214" s="1" t="str">
        <f>VLOOKUP(C214,t_objeto!B:C,2,FALSE)</f>
        <v>METHOD_INSTRUCTION</v>
      </c>
      <c r="E214" s="1">
        <v>8</v>
      </c>
      <c r="F214" s="1" t="str">
        <f>VLOOKUP(E214,t_entry_status!A:C,2,FALSE)</f>
        <v>PENDING</v>
      </c>
      <c r="G214" s="7">
        <v>45560</v>
      </c>
      <c r="H214" s="1" t="s">
        <v>7449</v>
      </c>
      <c r="I214" s="7">
        <v>45560</v>
      </c>
      <c r="J214" s="1" t="s">
        <v>7449</v>
      </c>
    </row>
    <row r="215" spans="1:10" x14ac:dyDescent="0.25">
      <c r="A215" s="1">
        <v>214</v>
      </c>
      <c r="B215" s="2" t="str">
        <f>_xlfn.CONCAT(C215,"-",VLOOKUP(C215,t_objeto!B:D,3,FALSE),"-",A215)</f>
        <v>MMII-PERCCO-214</v>
      </c>
      <c r="C215" s="1" t="s">
        <v>8352</v>
      </c>
      <c r="D215" s="1" t="str">
        <f>VLOOKUP(C215,t_objeto!B:C,2,FALSE)</f>
        <v>METHOD_INSTRUCTION</v>
      </c>
      <c r="E215" s="1">
        <v>8</v>
      </c>
      <c r="F215" s="1" t="str">
        <f>VLOOKUP(E215,t_entry_status!A:C,2,FALSE)</f>
        <v>PENDING</v>
      </c>
      <c r="G215" s="7">
        <v>45560</v>
      </c>
      <c r="H215" s="1" t="s">
        <v>7449</v>
      </c>
      <c r="I215" s="7">
        <v>45560</v>
      </c>
      <c r="J215" s="1" t="s">
        <v>7449</v>
      </c>
    </row>
    <row r="216" spans="1:10" x14ac:dyDescent="0.25">
      <c r="A216" s="1">
        <v>215</v>
      </c>
      <c r="B216" s="2" t="str">
        <f>_xlfn.CONCAT(C216,"-",VLOOKUP(C216,t_objeto!B:D,3,FALSE),"-",A216)</f>
        <v>MMII-PERCCO-215</v>
      </c>
      <c r="C216" s="1" t="s">
        <v>8352</v>
      </c>
      <c r="D216" s="1" t="str">
        <f>VLOOKUP(C216,t_objeto!B:C,2,FALSE)</f>
        <v>METHOD_INSTRUCTION</v>
      </c>
      <c r="E216" s="1">
        <v>8</v>
      </c>
      <c r="F216" s="1" t="str">
        <f>VLOOKUP(E216,t_entry_status!A:C,2,FALSE)</f>
        <v>PENDING</v>
      </c>
      <c r="G216" s="7">
        <v>45560</v>
      </c>
      <c r="H216" s="1" t="s">
        <v>7449</v>
      </c>
      <c r="I216" s="7">
        <v>45560</v>
      </c>
      <c r="J216" s="1" t="s">
        <v>7449</v>
      </c>
    </row>
    <row r="217" spans="1:10" x14ac:dyDescent="0.25">
      <c r="A217" s="1">
        <v>216</v>
      </c>
      <c r="B217" s="2" t="str">
        <f>_xlfn.CONCAT(C217,"-",VLOOKUP(C217,t_objeto!B:D,3,FALSE),"-",A217)</f>
        <v>MMII-PERCCO-216</v>
      </c>
      <c r="C217" s="1" t="s">
        <v>8352</v>
      </c>
      <c r="D217" s="1" t="str">
        <f>VLOOKUP(C217,t_objeto!B:C,2,FALSE)</f>
        <v>METHOD_INSTRUCTION</v>
      </c>
      <c r="E217" s="1">
        <v>8</v>
      </c>
      <c r="F217" s="1" t="str">
        <f>VLOOKUP(E217,t_entry_status!A:C,2,FALSE)</f>
        <v>PENDING</v>
      </c>
      <c r="G217" s="7">
        <v>45560</v>
      </c>
      <c r="H217" s="1" t="s">
        <v>7449</v>
      </c>
      <c r="I217" s="7">
        <v>45560</v>
      </c>
      <c r="J217" s="1" t="s">
        <v>7449</v>
      </c>
    </row>
    <row r="218" spans="1:10" x14ac:dyDescent="0.25">
      <c r="A218" s="1">
        <v>217</v>
      </c>
      <c r="B218" s="2" t="str">
        <f>_xlfn.CONCAT(C218,"-",VLOOKUP(C218,t_objeto!B:D,3,FALSE),"-",A218)</f>
        <v>MMII-PERCCO-217</v>
      </c>
      <c r="C218" s="1" t="s">
        <v>8352</v>
      </c>
      <c r="D218" s="1" t="str">
        <f>VLOOKUP(C218,t_objeto!B:C,2,FALSE)</f>
        <v>METHOD_INSTRUCTION</v>
      </c>
      <c r="E218" s="1">
        <v>8</v>
      </c>
      <c r="F218" s="1" t="str">
        <f>VLOOKUP(E218,t_entry_status!A:C,2,FALSE)</f>
        <v>PENDING</v>
      </c>
      <c r="G218" s="7">
        <v>45560</v>
      </c>
      <c r="H218" s="1" t="s">
        <v>7449</v>
      </c>
      <c r="I218" s="7">
        <v>45560</v>
      </c>
      <c r="J218" s="1" t="s">
        <v>7449</v>
      </c>
    </row>
    <row r="219" spans="1:10" x14ac:dyDescent="0.25">
      <c r="A219" s="1">
        <v>218</v>
      </c>
      <c r="B219" s="2" t="str">
        <f>_xlfn.CONCAT(C219,"-",VLOOKUP(C219,t_objeto!B:D,3,FALSE),"-",A219)</f>
        <v>MMII-PERCCO-218</v>
      </c>
      <c r="C219" s="1" t="s">
        <v>8352</v>
      </c>
      <c r="D219" s="1" t="str">
        <f>VLOOKUP(C219,t_objeto!B:C,2,FALSE)</f>
        <v>METHOD_INSTRUCTION</v>
      </c>
      <c r="E219" s="1">
        <v>8</v>
      </c>
      <c r="F219" s="1" t="str">
        <f>VLOOKUP(E219,t_entry_status!A:C,2,FALSE)</f>
        <v>PENDING</v>
      </c>
      <c r="G219" s="7">
        <v>45560</v>
      </c>
      <c r="H219" s="1" t="s">
        <v>7449</v>
      </c>
      <c r="I219" s="7">
        <v>45560</v>
      </c>
      <c r="J219" s="1" t="s">
        <v>7449</v>
      </c>
    </row>
    <row r="220" spans="1:10" x14ac:dyDescent="0.25">
      <c r="A220" s="1">
        <v>219</v>
      </c>
      <c r="B220" s="2" t="str">
        <f>_xlfn.CONCAT(C220,"-",VLOOKUP(C220,t_objeto!B:D,3,FALSE),"-",A220)</f>
        <v>MMII-PERCCO-219</v>
      </c>
      <c r="C220" s="1" t="s">
        <v>8352</v>
      </c>
      <c r="D220" s="1" t="str">
        <f>VLOOKUP(C220,t_objeto!B:C,2,FALSE)</f>
        <v>METHOD_INSTRUCTION</v>
      </c>
      <c r="E220" s="1">
        <v>8</v>
      </c>
      <c r="F220" s="1" t="str">
        <f>VLOOKUP(E220,t_entry_status!A:C,2,FALSE)</f>
        <v>PENDING</v>
      </c>
      <c r="G220" s="7">
        <v>45560</v>
      </c>
      <c r="H220" s="1" t="s">
        <v>7449</v>
      </c>
      <c r="I220" s="7">
        <v>45560</v>
      </c>
      <c r="J220" s="1" t="s">
        <v>7449</v>
      </c>
    </row>
    <row r="221" spans="1:10" x14ac:dyDescent="0.25">
      <c r="A221" s="1">
        <v>220</v>
      </c>
      <c r="B221" s="2" t="str">
        <f>_xlfn.CONCAT(C221,"-",VLOOKUP(C221,t_objeto!B:D,3,FALSE),"-",A221)</f>
        <v>MMII-PERCCO-220</v>
      </c>
      <c r="C221" s="1" t="s">
        <v>8352</v>
      </c>
      <c r="D221" s="1" t="str">
        <f>VLOOKUP(C221,t_objeto!B:C,2,FALSE)</f>
        <v>METHOD_INSTRUCTION</v>
      </c>
      <c r="E221" s="1">
        <v>8</v>
      </c>
      <c r="F221" s="1" t="str">
        <f>VLOOKUP(E221,t_entry_status!A:C,2,FALSE)</f>
        <v>PENDING</v>
      </c>
      <c r="G221" s="7">
        <v>45560</v>
      </c>
      <c r="H221" s="1" t="s">
        <v>7449</v>
      </c>
      <c r="I221" s="7">
        <v>45560</v>
      </c>
      <c r="J221" s="1" t="s">
        <v>7449</v>
      </c>
    </row>
    <row r="222" spans="1:10" x14ac:dyDescent="0.25">
      <c r="A222" s="1">
        <v>221</v>
      </c>
      <c r="B222" s="2" t="str">
        <f>_xlfn.CONCAT(C222,"-",VLOOKUP(C222,t_objeto!B:D,3,FALSE),"-",A222)</f>
        <v>MMII-PERCCO-221</v>
      </c>
      <c r="C222" s="1" t="s">
        <v>8352</v>
      </c>
      <c r="D222" s="1" t="str">
        <f>VLOOKUP(C222,t_objeto!B:C,2,FALSE)</f>
        <v>METHOD_INSTRUCTION</v>
      </c>
      <c r="E222" s="1">
        <v>8</v>
      </c>
      <c r="F222" s="1" t="str">
        <f>VLOOKUP(E222,t_entry_status!A:C,2,FALSE)</f>
        <v>PENDING</v>
      </c>
      <c r="G222" s="7">
        <v>45560</v>
      </c>
      <c r="H222" s="1" t="s">
        <v>7449</v>
      </c>
      <c r="I222" s="7">
        <v>45560</v>
      </c>
      <c r="J222" s="1" t="s">
        <v>7449</v>
      </c>
    </row>
    <row r="223" spans="1:10" x14ac:dyDescent="0.25">
      <c r="A223" s="1">
        <v>222</v>
      </c>
      <c r="B223" s="2" t="str">
        <f>_xlfn.CONCAT(C223,"-",VLOOKUP(C223,t_objeto!B:D,3,FALSE),"-",A223)</f>
        <v>MMII-PERCCO-222</v>
      </c>
      <c r="C223" s="1" t="s">
        <v>8352</v>
      </c>
      <c r="D223" s="1" t="str">
        <f>VLOOKUP(C223,t_objeto!B:C,2,FALSE)</f>
        <v>METHOD_INSTRUCTION</v>
      </c>
      <c r="E223" s="1">
        <v>8</v>
      </c>
      <c r="F223" s="1" t="str">
        <f>VLOOKUP(E223,t_entry_status!A:C,2,FALSE)</f>
        <v>PENDING</v>
      </c>
      <c r="G223" s="7">
        <v>45560</v>
      </c>
      <c r="H223" s="1" t="s">
        <v>7449</v>
      </c>
      <c r="I223" s="7">
        <v>45560</v>
      </c>
      <c r="J223" s="1" t="s">
        <v>7449</v>
      </c>
    </row>
    <row r="224" spans="1:10" x14ac:dyDescent="0.25">
      <c r="A224" s="1">
        <v>223</v>
      </c>
      <c r="B224" s="2" t="str">
        <f>_xlfn.CONCAT(C224,"-",VLOOKUP(C224,t_objeto!B:D,3,FALSE),"-",A224)</f>
        <v>MMII-PERCCO-223</v>
      </c>
      <c r="C224" s="1" t="s">
        <v>8352</v>
      </c>
      <c r="D224" s="1" t="str">
        <f>VLOOKUP(C224,t_objeto!B:C,2,FALSE)</f>
        <v>METHOD_INSTRUCTION</v>
      </c>
      <c r="E224" s="1">
        <v>8</v>
      </c>
      <c r="F224" s="1" t="str">
        <f>VLOOKUP(E224,t_entry_status!A:C,2,FALSE)</f>
        <v>PENDING</v>
      </c>
      <c r="G224" s="7">
        <v>45560</v>
      </c>
      <c r="H224" s="1" t="s">
        <v>7449</v>
      </c>
      <c r="I224" s="7">
        <v>45560</v>
      </c>
      <c r="J224" s="1" t="s">
        <v>7449</v>
      </c>
    </row>
    <row r="225" spans="1:10" x14ac:dyDescent="0.25">
      <c r="A225" s="1">
        <v>224</v>
      </c>
      <c r="B225" s="2" t="str">
        <f>_xlfn.CONCAT(C225,"-",VLOOKUP(C225,t_objeto!B:D,3,FALSE),"-",A225)</f>
        <v>MMII-PERCCO-224</v>
      </c>
      <c r="C225" s="1" t="s">
        <v>8352</v>
      </c>
      <c r="D225" s="1" t="str">
        <f>VLOOKUP(C225,t_objeto!B:C,2,FALSE)</f>
        <v>METHOD_INSTRUCTION</v>
      </c>
      <c r="E225" s="1">
        <v>8</v>
      </c>
      <c r="F225" s="1" t="str">
        <f>VLOOKUP(E225,t_entry_status!A:C,2,FALSE)</f>
        <v>PENDING</v>
      </c>
      <c r="G225" s="7">
        <v>45560</v>
      </c>
      <c r="H225" s="1" t="s">
        <v>7449</v>
      </c>
      <c r="I225" s="7">
        <v>45560</v>
      </c>
      <c r="J225" s="1" t="s">
        <v>7449</v>
      </c>
    </row>
    <row r="226" spans="1:10" x14ac:dyDescent="0.25">
      <c r="A226" s="1">
        <v>225</v>
      </c>
      <c r="B226" s="2" t="str">
        <f>_xlfn.CONCAT(C226,"-",VLOOKUP(C226,t_objeto!B:D,3,FALSE),"-",A226)</f>
        <v>MMII-PERCCO-225</v>
      </c>
      <c r="C226" s="1" t="s">
        <v>8352</v>
      </c>
      <c r="D226" s="1" t="str">
        <f>VLOOKUP(C226,t_objeto!B:C,2,FALSE)</f>
        <v>METHOD_INSTRUCTION</v>
      </c>
      <c r="E226" s="1">
        <v>8</v>
      </c>
      <c r="F226" s="1" t="str">
        <f>VLOOKUP(E226,t_entry_status!A:C,2,FALSE)</f>
        <v>PENDING</v>
      </c>
      <c r="G226" s="7">
        <v>45560</v>
      </c>
      <c r="H226" s="1" t="s">
        <v>7449</v>
      </c>
      <c r="I226" s="7">
        <v>45560</v>
      </c>
      <c r="J226" s="1" t="s">
        <v>7449</v>
      </c>
    </row>
    <row r="227" spans="1:10" x14ac:dyDescent="0.25">
      <c r="A227" s="1">
        <v>226</v>
      </c>
      <c r="B227" s="2" t="str">
        <f>_xlfn.CONCAT(C227,"-",VLOOKUP(C227,t_objeto!B:D,3,FALSE),"-",A227)</f>
        <v>MMII-PERCCO-226</v>
      </c>
      <c r="C227" s="1" t="s">
        <v>8352</v>
      </c>
      <c r="D227" s="1" t="str">
        <f>VLOOKUP(C227,t_objeto!B:C,2,FALSE)</f>
        <v>METHOD_INSTRUCTION</v>
      </c>
      <c r="E227" s="1">
        <v>8</v>
      </c>
      <c r="F227" s="1" t="str">
        <f>VLOOKUP(E227,t_entry_status!A:C,2,FALSE)</f>
        <v>PENDING</v>
      </c>
      <c r="G227" s="7">
        <v>45560</v>
      </c>
      <c r="H227" s="1" t="s">
        <v>7449</v>
      </c>
      <c r="I227" s="7">
        <v>45560</v>
      </c>
      <c r="J227" s="1" t="s">
        <v>7449</v>
      </c>
    </row>
    <row r="228" spans="1:10" x14ac:dyDescent="0.25">
      <c r="A228" s="1">
        <v>227</v>
      </c>
      <c r="B228" s="2" t="str">
        <f>_xlfn.CONCAT(C228,"-",VLOOKUP(C228,t_objeto!B:D,3,FALSE),"-",A228)</f>
        <v>MMII-PERCCO-227</v>
      </c>
      <c r="C228" s="1" t="s">
        <v>8352</v>
      </c>
      <c r="D228" s="1" t="str">
        <f>VLOOKUP(C228,t_objeto!B:C,2,FALSE)</f>
        <v>METHOD_INSTRUCTION</v>
      </c>
      <c r="E228" s="1">
        <v>8</v>
      </c>
      <c r="F228" s="1" t="str">
        <f>VLOOKUP(E228,t_entry_status!A:C,2,FALSE)</f>
        <v>PENDING</v>
      </c>
      <c r="G228" s="7">
        <v>45560</v>
      </c>
      <c r="H228" s="1" t="s">
        <v>7449</v>
      </c>
      <c r="I228" s="7">
        <v>45560</v>
      </c>
      <c r="J228" s="1" t="s">
        <v>7449</v>
      </c>
    </row>
    <row r="229" spans="1:10" x14ac:dyDescent="0.25">
      <c r="A229" s="1">
        <v>228</v>
      </c>
      <c r="B229" s="2" t="str">
        <f>_xlfn.CONCAT(C229,"-",VLOOKUP(C229,t_objeto!B:D,3,FALSE),"-",A229)</f>
        <v>MMII-PERCCO-228</v>
      </c>
      <c r="C229" s="1" t="s">
        <v>8352</v>
      </c>
      <c r="D229" s="1" t="str">
        <f>VLOOKUP(C229,t_objeto!B:C,2,FALSE)</f>
        <v>METHOD_INSTRUCTION</v>
      </c>
      <c r="E229" s="1">
        <v>8</v>
      </c>
      <c r="F229" s="1" t="str">
        <f>VLOOKUP(E229,t_entry_status!A:C,2,FALSE)</f>
        <v>PENDING</v>
      </c>
      <c r="G229" s="7">
        <v>45560</v>
      </c>
      <c r="H229" s="1" t="s">
        <v>7449</v>
      </c>
      <c r="I229" s="7">
        <v>45560</v>
      </c>
      <c r="J229" s="1" t="s">
        <v>7449</v>
      </c>
    </row>
    <row r="230" spans="1:10" x14ac:dyDescent="0.25">
      <c r="A230" s="1">
        <v>229</v>
      </c>
      <c r="B230" s="2" t="str">
        <f>_xlfn.CONCAT(C230,"-",VLOOKUP(C230,t_objeto!B:D,3,FALSE),"-",A230)</f>
        <v>MMII-PERCCO-229</v>
      </c>
      <c r="C230" s="1" t="s">
        <v>8352</v>
      </c>
      <c r="D230" s="1" t="str">
        <f>VLOOKUP(C230,t_objeto!B:C,2,FALSE)</f>
        <v>METHOD_INSTRUCTION</v>
      </c>
      <c r="E230" s="1">
        <v>8</v>
      </c>
      <c r="F230" s="1" t="str">
        <f>VLOOKUP(E230,t_entry_status!A:C,2,FALSE)</f>
        <v>PENDING</v>
      </c>
      <c r="G230" s="7">
        <v>45560</v>
      </c>
      <c r="H230" s="1" t="s">
        <v>7449</v>
      </c>
      <c r="I230" s="7">
        <v>45560</v>
      </c>
      <c r="J230" s="1" t="s">
        <v>7449</v>
      </c>
    </row>
    <row r="231" spans="1:10" x14ac:dyDescent="0.25">
      <c r="A231" s="1">
        <v>230</v>
      </c>
      <c r="B231" s="2" t="str">
        <f>_xlfn.CONCAT(C231,"-",VLOOKUP(C231,t_objeto!B:D,3,FALSE),"-",A231)</f>
        <v>MMII-PERCCO-230</v>
      </c>
      <c r="C231" s="1" t="s">
        <v>8352</v>
      </c>
      <c r="D231" s="1" t="str">
        <f>VLOOKUP(C231,t_objeto!B:C,2,FALSE)</f>
        <v>METHOD_INSTRUCTION</v>
      </c>
      <c r="E231" s="1">
        <v>8</v>
      </c>
      <c r="F231" s="1" t="str">
        <f>VLOOKUP(E231,t_entry_status!A:C,2,FALSE)</f>
        <v>PENDING</v>
      </c>
      <c r="G231" s="7">
        <v>45560</v>
      </c>
      <c r="H231" s="1" t="s">
        <v>7449</v>
      </c>
      <c r="I231" s="7">
        <v>45560</v>
      </c>
      <c r="J231" s="1" t="s">
        <v>7449</v>
      </c>
    </row>
    <row r="232" spans="1:10" x14ac:dyDescent="0.25">
      <c r="A232" s="1">
        <v>231</v>
      </c>
      <c r="B232" s="2" t="str">
        <f>_xlfn.CONCAT(C232,"-",VLOOKUP(C232,t_objeto!B:D,3,FALSE),"-",A232)</f>
        <v>MMII-PERCCO-231</v>
      </c>
      <c r="C232" s="1" t="s">
        <v>8352</v>
      </c>
      <c r="D232" s="1" t="str">
        <f>VLOOKUP(C232,t_objeto!B:C,2,FALSE)</f>
        <v>METHOD_INSTRUCTION</v>
      </c>
      <c r="E232" s="1">
        <v>8</v>
      </c>
      <c r="F232" s="1" t="str">
        <f>VLOOKUP(E232,t_entry_status!A:C,2,FALSE)</f>
        <v>PENDING</v>
      </c>
      <c r="G232" s="7">
        <v>45560</v>
      </c>
      <c r="H232" s="1" t="s">
        <v>7449</v>
      </c>
      <c r="I232" s="7">
        <v>45560</v>
      </c>
      <c r="J232" s="1" t="s">
        <v>7449</v>
      </c>
    </row>
    <row r="233" spans="1:10" x14ac:dyDescent="0.25">
      <c r="A233" s="1">
        <v>232</v>
      </c>
      <c r="B233" s="2" t="str">
        <f>_xlfn.CONCAT(C233,"-",VLOOKUP(C233,t_objeto!B:D,3,FALSE),"-",A233)</f>
        <v>MMII-PERCCO-232</v>
      </c>
      <c r="C233" s="1" t="s">
        <v>8352</v>
      </c>
      <c r="D233" s="1" t="str">
        <f>VLOOKUP(C233,t_objeto!B:C,2,FALSE)</f>
        <v>METHOD_INSTRUCTION</v>
      </c>
      <c r="E233" s="1">
        <v>8</v>
      </c>
      <c r="F233" s="1" t="str">
        <f>VLOOKUP(E233,t_entry_status!A:C,2,FALSE)</f>
        <v>PENDING</v>
      </c>
      <c r="G233" s="7">
        <v>45560</v>
      </c>
      <c r="H233" s="1" t="s">
        <v>7449</v>
      </c>
      <c r="I233" s="7">
        <v>45560</v>
      </c>
      <c r="J233" s="1" t="s">
        <v>7449</v>
      </c>
    </row>
    <row r="234" spans="1:10" x14ac:dyDescent="0.25">
      <c r="A234" s="1">
        <v>233</v>
      </c>
      <c r="B234" s="2" t="str">
        <f>_xlfn.CONCAT(C234,"-",VLOOKUP(C234,t_objeto!B:D,3,FALSE),"-",A234)</f>
        <v>MMII-PERCCO-233</v>
      </c>
      <c r="C234" s="1" t="s">
        <v>8352</v>
      </c>
      <c r="D234" s="1" t="str">
        <f>VLOOKUP(C234,t_objeto!B:C,2,FALSE)</f>
        <v>METHOD_INSTRUCTION</v>
      </c>
      <c r="E234" s="1">
        <v>8</v>
      </c>
      <c r="F234" s="1" t="str">
        <f>VLOOKUP(E234,t_entry_status!A:C,2,FALSE)</f>
        <v>PENDING</v>
      </c>
      <c r="G234" s="7">
        <v>45560</v>
      </c>
      <c r="H234" s="1" t="s">
        <v>7449</v>
      </c>
      <c r="I234" s="7">
        <v>45560</v>
      </c>
      <c r="J234" s="1" t="s">
        <v>7449</v>
      </c>
    </row>
    <row r="235" spans="1:10" x14ac:dyDescent="0.25">
      <c r="A235" s="1">
        <v>234</v>
      </c>
      <c r="B235" s="2" t="str">
        <f>_xlfn.CONCAT(C235,"-",VLOOKUP(C235,t_objeto!B:D,3,FALSE),"-",A235)</f>
        <v>MMII-PERCCO-234</v>
      </c>
      <c r="C235" s="1" t="s">
        <v>8352</v>
      </c>
      <c r="D235" s="1" t="str">
        <f>VLOOKUP(C235,t_objeto!B:C,2,FALSE)</f>
        <v>METHOD_INSTRUCTION</v>
      </c>
      <c r="E235" s="1">
        <v>8</v>
      </c>
      <c r="F235" s="1" t="str">
        <f>VLOOKUP(E235,t_entry_status!A:C,2,FALSE)</f>
        <v>PENDING</v>
      </c>
      <c r="G235" s="7">
        <v>45560</v>
      </c>
      <c r="H235" s="1" t="s">
        <v>7449</v>
      </c>
      <c r="I235" s="7">
        <v>45560</v>
      </c>
      <c r="J235" s="1" t="s">
        <v>7449</v>
      </c>
    </row>
    <row r="236" spans="1:10" x14ac:dyDescent="0.25">
      <c r="A236" s="1">
        <v>235</v>
      </c>
      <c r="B236" s="2" t="str">
        <f>_xlfn.CONCAT(C236,"-",VLOOKUP(C236,t_objeto!B:D,3,FALSE),"-",A236)</f>
        <v>MMII-PERCCO-235</v>
      </c>
      <c r="C236" s="1" t="s">
        <v>8352</v>
      </c>
      <c r="D236" s="1" t="str">
        <f>VLOOKUP(C236,t_objeto!B:C,2,FALSE)</f>
        <v>METHOD_INSTRUCTION</v>
      </c>
      <c r="E236" s="1">
        <v>8</v>
      </c>
      <c r="F236" s="1" t="str">
        <f>VLOOKUP(E236,t_entry_status!A:C,2,FALSE)</f>
        <v>PENDING</v>
      </c>
      <c r="G236" s="7">
        <v>45560</v>
      </c>
      <c r="H236" s="1" t="s">
        <v>7449</v>
      </c>
      <c r="I236" s="7">
        <v>45560</v>
      </c>
      <c r="J236" s="1" t="s">
        <v>7449</v>
      </c>
    </row>
    <row r="237" spans="1:10" x14ac:dyDescent="0.25">
      <c r="A237" s="1">
        <v>236</v>
      </c>
      <c r="B237" s="2" t="str">
        <f>_xlfn.CONCAT(C237,"-",VLOOKUP(C237,t_objeto!B:D,3,FALSE),"-",A237)</f>
        <v>MMII-PERCCO-236</v>
      </c>
      <c r="C237" s="1" t="s">
        <v>8352</v>
      </c>
      <c r="D237" s="1" t="str">
        <f>VLOOKUP(C237,t_objeto!B:C,2,FALSE)</f>
        <v>METHOD_INSTRUCTION</v>
      </c>
      <c r="E237" s="1">
        <v>8</v>
      </c>
      <c r="F237" s="1" t="str">
        <f>VLOOKUP(E237,t_entry_status!A:C,2,FALSE)</f>
        <v>PENDING</v>
      </c>
      <c r="G237" s="7">
        <v>45560</v>
      </c>
      <c r="H237" s="1" t="s">
        <v>7449</v>
      </c>
      <c r="I237" s="7">
        <v>45560</v>
      </c>
      <c r="J237" s="1" t="s">
        <v>7449</v>
      </c>
    </row>
    <row r="238" spans="1:10" x14ac:dyDescent="0.25">
      <c r="A238" s="1">
        <v>237</v>
      </c>
      <c r="B238" s="2" t="str">
        <f>_xlfn.CONCAT(C238,"-",VLOOKUP(C238,t_objeto!B:D,3,FALSE),"-",A238)</f>
        <v>MMII-PERCCO-237</v>
      </c>
      <c r="C238" s="1" t="s">
        <v>8352</v>
      </c>
      <c r="D238" s="1" t="str">
        <f>VLOOKUP(C238,t_objeto!B:C,2,FALSE)</f>
        <v>METHOD_INSTRUCTION</v>
      </c>
      <c r="E238" s="1">
        <v>8</v>
      </c>
      <c r="F238" s="1" t="str">
        <f>VLOOKUP(E238,t_entry_status!A:C,2,FALSE)</f>
        <v>PENDING</v>
      </c>
      <c r="G238" s="7">
        <v>45560</v>
      </c>
      <c r="H238" s="1" t="s">
        <v>7449</v>
      </c>
      <c r="I238" s="7">
        <v>45560</v>
      </c>
      <c r="J238" s="1" t="s">
        <v>7449</v>
      </c>
    </row>
    <row r="239" spans="1:10" x14ac:dyDescent="0.25">
      <c r="A239" s="1">
        <v>238</v>
      </c>
      <c r="B239" s="2" t="str">
        <f>_xlfn.CONCAT(C239,"-",VLOOKUP(C239,t_objeto!B:D,3,FALSE),"-",A239)</f>
        <v>MMII-PERCCO-238</v>
      </c>
      <c r="C239" s="1" t="s">
        <v>8352</v>
      </c>
      <c r="D239" s="1" t="str">
        <f>VLOOKUP(C239,t_objeto!B:C,2,FALSE)</f>
        <v>METHOD_INSTRUCTION</v>
      </c>
      <c r="E239" s="1">
        <v>8</v>
      </c>
      <c r="F239" s="1" t="str">
        <f>VLOOKUP(E239,t_entry_status!A:C,2,FALSE)</f>
        <v>PENDING</v>
      </c>
      <c r="G239" s="7">
        <v>45560</v>
      </c>
      <c r="H239" s="1" t="s">
        <v>7449</v>
      </c>
      <c r="I239" s="7">
        <v>45560</v>
      </c>
      <c r="J239" s="1" t="s">
        <v>7449</v>
      </c>
    </row>
    <row r="240" spans="1:10" x14ac:dyDescent="0.25">
      <c r="A240" s="1">
        <v>239</v>
      </c>
      <c r="B240" s="2" t="str">
        <f>_xlfn.CONCAT(C240,"-",VLOOKUP(C240,t_objeto!B:D,3,FALSE),"-",A240)</f>
        <v>MMII-PERCCO-239</v>
      </c>
      <c r="C240" s="1" t="s">
        <v>8352</v>
      </c>
      <c r="D240" s="1" t="str">
        <f>VLOOKUP(C240,t_objeto!B:C,2,FALSE)</f>
        <v>METHOD_INSTRUCTION</v>
      </c>
      <c r="E240" s="1">
        <v>8</v>
      </c>
      <c r="F240" s="1" t="str">
        <f>VLOOKUP(E240,t_entry_status!A:C,2,FALSE)</f>
        <v>PENDING</v>
      </c>
      <c r="G240" s="7">
        <v>45560</v>
      </c>
      <c r="H240" s="1" t="s">
        <v>7449</v>
      </c>
      <c r="I240" s="7">
        <v>45560</v>
      </c>
      <c r="J240" s="1" t="s">
        <v>7449</v>
      </c>
    </row>
    <row r="241" spans="1:10" x14ac:dyDescent="0.25">
      <c r="A241" s="1">
        <v>240</v>
      </c>
      <c r="B241" s="2" t="str">
        <f>_xlfn.CONCAT(C241,"-",VLOOKUP(C241,t_objeto!B:D,3,FALSE),"-",A241)</f>
        <v>MMII-PERCCO-240</v>
      </c>
      <c r="C241" s="1" t="s">
        <v>8352</v>
      </c>
      <c r="D241" s="1" t="str">
        <f>VLOOKUP(C241,t_objeto!B:C,2,FALSE)</f>
        <v>METHOD_INSTRUCTION</v>
      </c>
      <c r="E241" s="1">
        <v>8</v>
      </c>
      <c r="F241" s="1" t="str">
        <f>VLOOKUP(E241,t_entry_status!A:C,2,FALSE)</f>
        <v>PENDING</v>
      </c>
      <c r="G241" s="7">
        <v>45560</v>
      </c>
      <c r="H241" s="1" t="s">
        <v>7449</v>
      </c>
      <c r="I241" s="7">
        <v>45560</v>
      </c>
      <c r="J241" s="1" t="s">
        <v>7449</v>
      </c>
    </row>
    <row r="242" spans="1:10" x14ac:dyDescent="0.25">
      <c r="A242" s="1">
        <v>241</v>
      </c>
      <c r="B242" s="2" t="str">
        <f>_xlfn.CONCAT(C242,"-",VLOOKUP(C242,t_objeto!B:D,3,FALSE),"-",A242)</f>
        <v>MMII-PERCCO-241</v>
      </c>
      <c r="C242" s="1" t="s">
        <v>8352</v>
      </c>
      <c r="D242" s="1" t="str">
        <f>VLOOKUP(C242,t_objeto!B:C,2,FALSE)</f>
        <v>METHOD_INSTRUCTION</v>
      </c>
      <c r="E242" s="1">
        <v>8</v>
      </c>
      <c r="F242" s="1" t="str">
        <f>VLOOKUP(E242,t_entry_status!A:C,2,FALSE)</f>
        <v>PENDING</v>
      </c>
      <c r="G242" s="7">
        <v>45560</v>
      </c>
      <c r="H242" s="1" t="s">
        <v>7449</v>
      </c>
      <c r="I242" s="7">
        <v>45560</v>
      </c>
      <c r="J242" s="1" t="s">
        <v>7449</v>
      </c>
    </row>
    <row r="243" spans="1:10" x14ac:dyDescent="0.25">
      <c r="A243" s="1">
        <v>242</v>
      </c>
      <c r="B243" s="2" t="str">
        <f>_xlfn.CONCAT(C243,"-",VLOOKUP(C243,t_objeto!B:D,3,FALSE),"-",A243)</f>
        <v>MMII-PERCCO-242</v>
      </c>
      <c r="C243" s="1" t="s">
        <v>8352</v>
      </c>
      <c r="D243" s="1" t="str">
        <f>VLOOKUP(C243,t_objeto!B:C,2,FALSE)</f>
        <v>METHOD_INSTRUCTION</v>
      </c>
      <c r="E243" s="1">
        <v>8</v>
      </c>
      <c r="F243" s="1" t="str">
        <f>VLOOKUP(E243,t_entry_status!A:C,2,FALSE)</f>
        <v>PENDING</v>
      </c>
      <c r="G243" s="7">
        <v>45560</v>
      </c>
      <c r="H243" s="1" t="s">
        <v>7449</v>
      </c>
      <c r="I243" s="7">
        <v>45560</v>
      </c>
      <c r="J243" s="1" t="s">
        <v>7449</v>
      </c>
    </row>
    <row r="244" spans="1:10" x14ac:dyDescent="0.25">
      <c r="A244" s="1">
        <v>243</v>
      </c>
      <c r="B244" s="2" t="str">
        <f>_xlfn.CONCAT(C244,"-",VLOOKUP(C244,t_objeto!B:D,3,FALSE),"-",A244)</f>
        <v>MMII-PERCCO-243</v>
      </c>
      <c r="C244" s="1" t="s">
        <v>8352</v>
      </c>
      <c r="D244" s="1" t="str">
        <f>VLOOKUP(C244,t_objeto!B:C,2,FALSE)</f>
        <v>METHOD_INSTRUCTION</v>
      </c>
      <c r="E244" s="1">
        <v>8</v>
      </c>
      <c r="F244" s="1" t="str">
        <f>VLOOKUP(E244,t_entry_status!A:C,2,FALSE)</f>
        <v>PENDING</v>
      </c>
      <c r="G244" s="7">
        <v>45560</v>
      </c>
      <c r="H244" s="1" t="s">
        <v>7449</v>
      </c>
      <c r="I244" s="7">
        <v>45560</v>
      </c>
      <c r="J244" s="1" t="s">
        <v>7449</v>
      </c>
    </row>
    <row r="245" spans="1:10" x14ac:dyDescent="0.25">
      <c r="A245" s="1">
        <v>244</v>
      </c>
      <c r="B245" s="2" t="str">
        <f>_xlfn.CONCAT(C245,"-",VLOOKUP(C245,t_objeto!B:D,3,FALSE),"-",A245)</f>
        <v>MMII-PERCCO-244</v>
      </c>
      <c r="C245" s="1" t="s">
        <v>8352</v>
      </c>
      <c r="D245" s="1" t="str">
        <f>VLOOKUP(C245,t_objeto!B:C,2,FALSE)</f>
        <v>METHOD_INSTRUCTION</v>
      </c>
      <c r="E245" s="1">
        <v>8</v>
      </c>
      <c r="F245" s="1" t="str">
        <f>VLOOKUP(E245,t_entry_status!A:C,2,FALSE)</f>
        <v>PENDING</v>
      </c>
      <c r="G245" s="7">
        <v>45560</v>
      </c>
      <c r="H245" s="1" t="s">
        <v>7449</v>
      </c>
      <c r="I245" s="7">
        <v>45560</v>
      </c>
      <c r="J245" s="1" t="s">
        <v>7449</v>
      </c>
    </row>
    <row r="246" spans="1:10" x14ac:dyDescent="0.25">
      <c r="A246" s="1">
        <v>245</v>
      </c>
      <c r="B246" s="2" t="str">
        <f>_xlfn.CONCAT(C246,"-",VLOOKUP(C246,t_objeto!B:D,3,FALSE),"-",A246)</f>
        <v>MMII-PERCCO-245</v>
      </c>
      <c r="C246" s="1" t="s">
        <v>8352</v>
      </c>
      <c r="D246" s="1" t="str">
        <f>VLOOKUP(C246,t_objeto!B:C,2,FALSE)</f>
        <v>METHOD_INSTRUCTION</v>
      </c>
      <c r="E246" s="1">
        <v>8</v>
      </c>
      <c r="F246" s="1" t="str">
        <f>VLOOKUP(E246,t_entry_status!A:C,2,FALSE)</f>
        <v>PENDING</v>
      </c>
      <c r="G246" s="7">
        <v>45560</v>
      </c>
      <c r="H246" s="1" t="s">
        <v>7449</v>
      </c>
      <c r="I246" s="7">
        <v>45560</v>
      </c>
      <c r="J246" s="1" t="s">
        <v>7449</v>
      </c>
    </row>
    <row r="247" spans="1:10" x14ac:dyDescent="0.25">
      <c r="A247" s="1">
        <v>246</v>
      </c>
      <c r="B247" s="2" t="str">
        <f>_xlfn.CONCAT(C247,"-",VLOOKUP(C247,t_objeto!B:D,3,FALSE),"-",A247)</f>
        <v>MMII-PERCCO-246</v>
      </c>
      <c r="C247" s="1" t="s">
        <v>8352</v>
      </c>
      <c r="D247" s="1" t="str">
        <f>VLOOKUP(C247,t_objeto!B:C,2,FALSE)</f>
        <v>METHOD_INSTRUCTION</v>
      </c>
      <c r="E247" s="1">
        <v>8</v>
      </c>
      <c r="F247" s="1" t="str">
        <f>VLOOKUP(E247,t_entry_status!A:C,2,FALSE)</f>
        <v>PENDING</v>
      </c>
      <c r="G247" s="7">
        <v>45560</v>
      </c>
      <c r="H247" s="1" t="s">
        <v>7449</v>
      </c>
      <c r="I247" s="7">
        <v>45560</v>
      </c>
      <c r="J247" s="1" t="s">
        <v>7449</v>
      </c>
    </row>
    <row r="248" spans="1:10" x14ac:dyDescent="0.25">
      <c r="A248" s="1">
        <v>247</v>
      </c>
      <c r="B248" s="2" t="str">
        <f>_xlfn.CONCAT(C248,"-",VLOOKUP(C248,t_objeto!B:D,3,FALSE),"-",A248)</f>
        <v>MMII-PERCCO-247</v>
      </c>
      <c r="C248" s="1" t="s">
        <v>8352</v>
      </c>
      <c r="D248" s="1" t="str">
        <f>VLOOKUP(C248,t_objeto!B:C,2,FALSE)</f>
        <v>METHOD_INSTRUCTION</v>
      </c>
      <c r="E248" s="1">
        <v>8</v>
      </c>
      <c r="F248" s="1" t="str">
        <f>VLOOKUP(E248,t_entry_status!A:C,2,FALSE)</f>
        <v>PENDING</v>
      </c>
      <c r="G248" s="7">
        <v>45560</v>
      </c>
      <c r="H248" s="1" t="s">
        <v>7449</v>
      </c>
      <c r="I248" s="7">
        <v>45560</v>
      </c>
      <c r="J248" s="1" t="s">
        <v>7449</v>
      </c>
    </row>
    <row r="249" spans="1:10" x14ac:dyDescent="0.25">
      <c r="A249" s="1">
        <v>248</v>
      </c>
      <c r="B249" s="2" t="str">
        <f>_xlfn.CONCAT(C249,"-",VLOOKUP(C249,t_objeto!B:D,3,FALSE),"-",A249)</f>
        <v>MMII-PERCCO-248</v>
      </c>
      <c r="C249" s="1" t="s">
        <v>8352</v>
      </c>
      <c r="D249" s="1" t="str">
        <f>VLOOKUP(C249,t_objeto!B:C,2,FALSE)</f>
        <v>METHOD_INSTRUCTION</v>
      </c>
      <c r="E249" s="1">
        <v>8</v>
      </c>
      <c r="F249" s="1" t="str">
        <f>VLOOKUP(E249,t_entry_status!A:C,2,FALSE)</f>
        <v>PENDING</v>
      </c>
      <c r="G249" s="7">
        <v>45560</v>
      </c>
      <c r="H249" s="1" t="s">
        <v>7449</v>
      </c>
      <c r="I249" s="7">
        <v>45560</v>
      </c>
      <c r="J249" s="1" t="s">
        <v>7449</v>
      </c>
    </row>
    <row r="250" spans="1:10" x14ac:dyDescent="0.25">
      <c r="A250" s="1">
        <v>249</v>
      </c>
      <c r="B250" s="2" t="str">
        <f>_xlfn.CONCAT(C250,"-",VLOOKUP(C250,t_objeto!B:D,3,FALSE),"-",A250)</f>
        <v>MMII-PERCCO-249</v>
      </c>
      <c r="C250" s="1" t="s">
        <v>8352</v>
      </c>
      <c r="D250" s="1" t="str">
        <f>VLOOKUP(C250,t_objeto!B:C,2,FALSE)</f>
        <v>METHOD_INSTRUCTION</v>
      </c>
      <c r="E250" s="1">
        <v>8</v>
      </c>
      <c r="F250" s="1" t="str">
        <f>VLOOKUP(E250,t_entry_status!A:C,2,FALSE)</f>
        <v>PENDING</v>
      </c>
      <c r="G250" s="7">
        <v>45560</v>
      </c>
      <c r="H250" s="1" t="s">
        <v>7449</v>
      </c>
      <c r="I250" s="7">
        <v>45560</v>
      </c>
      <c r="J250" s="1" t="s">
        <v>7449</v>
      </c>
    </row>
    <row r="251" spans="1:10" x14ac:dyDescent="0.25">
      <c r="A251" s="1">
        <v>250</v>
      </c>
      <c r="B251" s="2" t="str">
        <f>_xlfn.CONCAT(C251,"-",VLOOKUP(C251,t_objeto!B:D,3,FALSE),"-",A251)</f>
        <v>MMII-PERCCO-250</v>
      </c>
      <c r="C251" s="1" t="s">
        <v>8352</v>
      </c>
      <c r="D251" s="1" t="str">
        <f>VLOOKUP(C251,t_objeto!B:C,2,FALSE)</f>
        <v>METHOD_INSTRUCTION</v>
      </c>
      <c r="E251" s="1">
        <v>8</v>
      </c>
      <c r="F251" s="1" t="str">
        <f>VLOOKUP(E251,t_entry_status!A:C,2,FALSE)</f>
        <v>PENDING</v>
      </c>
      <c r="G251" s="7">
        <v>45560</v>
      </c>
      <c r="H251" s="1" t="s">
        <v>7449</v>
      </c>
      <c r="I251" s="7">
        <v>45560</v>
      </c>
      <c r="J251" s="1" t="s">
        <v>7449</v>
      </c>
    </row>
    <row r="252" spans="1:10" x14ac:dyDescent="0.25">
      <c r="A252" s="1">
        <v>251</v>
      </c>
      <c r="B252" s="2" t="str">
        <f>_xlfn.CONCAT(C252,"-",VLOOKUP(C252,t_objeto!B:D,3,FALSE),"-",A252)</f>
        <v>MMII-PERCCO-251</v>
      </c>
      <c r="C252" s="1" t="s">
        <v>8352</v>
      </c>
      <c r="D252" s="1" t="str">
        <f>VLOOKUP(C252,t_objeto!B:C,2,FALSE)</f>
        <v>METHOD_INSTRUCTION</v>
      </c>
      <c r="E252" s="1">
        <v>8</v>
      </c>
      <c r="F252" s="1" t="str">
        <f>VLOOKUP(E252,t_entry_status!A:C,2,FALSE)</f>
        <v>PENDING</v>
      </c>
      <c r="G252" s="7">
        <v>45560</v>
      </c>
      <c r="H252" s="1" t="s">
        <v>7449</v>
      </c>
      <c r="I252" s="7">
        <v>45560</v>
      </c>
      <c r="J252" s="1" t="s">
        <v>7449</v>
      </c>
    </row>
    <row r="253" spans="1:10" x14ac:dyDescent="0.25">
      <c r="A253" s="1">
        <v>252</v>
      </c>
      <c r="B253" s="2" t="str">
        <f>_xlfn.CONCAT(C253,"-",VLOOKUP(C253,t_objeto!B:D,3,FALSE),"-",A253)</f>
        <v>MMII-PERCCO-252</v>
      </c>
      <c r="C253" s="1" t="s">
        <v>8352</v>
      </c>
      <c r="D253" s="1" t="str">
        <f>VLOOKUP(C253,t_objeto!B:C,2,FALSE)</f>
        <v>METHOD_INSTRUCTION</v>
      </c>
      <c r="E253" s="1">
        <v>8</v>
      </c>
      <c r="F253" s="1" t="str">
        <f>VLOOKUP(E253,t_entry_status!A:C,2,FALSE)</f>
        <v>PENDING</v>
      </c>
      <c r="G253" s="7">
        <v>45560</v>
      </c>
      <c r="H253" s="1" t="s">
        <v>7449</v>
      </c>
      <c r="I253" s="7">
        <v>45560</v>
      </c>
      <c r="J253" s="1" t="s">
        <v>7449</v>
      </c>
    </row>
    <row r="254" spans="1:10" x14ac:dyDescent="0.25">
      <c r="A254" s="1">
        <v>253</v>
      </c>
      <c r="B254" s="2" t="str">
        <f>_xlfn.CONCAT(C254,"-",VLOOKUP(C254,t_objeto!B:D,3,FALSE),"-",A254)</f>
        <v>MMII-PERCCO-253</v>
      </c>
      <c r="C254" s="1" t="s">
        <v>8352</v>
      </c>
      <c r="D254" s="1" t="str">
        <f>VLOOKUP(C254,t_objeto!B:C,2,FALSE)</f>
        <v>METHOD_INSTRUCTION</v>
      </c>
      <c r="E254" s="1">
        <v>8</v>
      </c>
      <c r="F254" s="1" t="str">
        <f>VLOOKUP(E254,t_entry_status!A:C,2,FALSE)</f>
        <v>PENDING</v>
      </c>
      <c r="G254" s="7">
        <v>45560</v>
      </c>
      <c r="H254" s="1" t="s">
        <v>7449</v>
      </c>
      <c r="I254" s="7">
        <v>45560</v>
      </c>
      <c r="J254" s="1" t="s">
        <v>7449</v>
      </c>
    </row>
    <row r="255" spans="1:10" x14ac:dyDescent="0.25">
      <c r="A255" s="1">
        <v>254</v>
      </c>
      <c r="B255" s="2" t="str">
        <f>_xlfn.CONCAT(C255,"-",VLOOKUP(C255,t_objeto!B:D,3,FALSE),"-",A255)</f>
        <v>MMII-PERCCO-254</v>
      </c>
      <c r="C255" s="1" t="s">
        <v>8352</v>
      </c>
      <c r="D255" s="1" t="str">
        <f>VLOOKUP(C255,t_objeto!B:C,2,FALSE)</f>
        <v>METHOD_INSTRUCTION</v>
      </c>
      <c r="E255" s="1">
        <v>8</v>
      </c>
      <c r="F255" s="1" t="str">
        <f>VLOOKUP(E255,t_entry_status!A:C,2,FALSE)</f>
        <v>PENDING</v>
      </c>
      <c r="G255" s="7">
        <v>45560</v>
      </c>
      <c r="H255" s="1" t="s">
        <v>7449</v>
      </c>
      <c r="I255" s="7">
        <v>45560</v>
      </c>
      <c r="J255" s="1" t="s">
        <v>7449</v>
      </c>
    </row>
    <row r="256" spans="1:10" x14ac:dyDescent="0.25">
      <c r="A256" s="1">
        <v>255</v>
      </c>
      <c r="B256" s="2" t="str">
        <f>_xlfn.CONCAT(C256,"-",VLOOKUP(C256,t_objeto!B:D,3,FALSE),"-",A256)</f>
        <v>MMII-PERCCO-255</v>
      </c>
      <c r="C256" s="1" t="s">
        <v>8352</v>
      </c>
      <c r="D256" s="1" t="str">
        <f>VLOOKUP(C256,t_objeto!B:C,2,FALSE)</f>
        <v>METHOD_INSTRUCTION</v>
      </c>
      <c r="E256" s="1">
        <v>8</v>
      </c>
      <c r="F256" s="1" t="str">
        <f>VLOOKUP(E256,t_entry_status!A:C,2,FALSE)</f>
        <v>PENDING</v>
      </c>
      <c r="G256" s="7">
        <v>45560</v>
      </c>
      <c r="H256" s="1" t="s">
        <v>7449</v>
      </c>
      <c r="I256" s="7">
        <v>45560</v>
      </c>
      <c r="J256" s="1" t="s">
        <v>7449</v>
      </c>
    </row>
    <row r="257" spans="1:10" x14ac:dyDescent="0.25">
      <c r="A257" s="1">
        <v>256</v>
      </c>
      <c r="B257" s="2" t="str">
        <f>_xlfn.CONCAT(C257,"-",VLOOKUP(C257,t_objeto!B:D,3,FALSE),"-",A257)</f>
        <v>MMII-PERCCO-256</v>
      </c>
      <c r="C257" s="1" t="s">
        <v>8352</v>
      </c>
      <c r="D257" s="1" t="str">
        <f>VLOOKUP(C257,t_objeto!B:C,2,FALSE)</f>
        <v>METHOD_INSTRUCTION</v>
      </c>
      <c r="E257" s="1">
        <v>8</v>
      </c>
      <c r="F257" s="1" t="str">
        <f>VLOOKUP(E257,t_entry_status!A:C,2,FALSE)</f>
        <v>PENDING</v>
      </c>
      <c r="G257" s="7">
        <v>45560</v>
      </c>
      <c r="H257" s="1" t="s">
        <v>7449</v>
      </c>
      <c r="I257" s="7">
        <v>45560</v>
      </c>
      <c r="J257" s="1" t="s">
        <v>7449</v>
      </c>
    </row>
    <row r="258" spans="1:10" x14ac:dyDescent="0.25">
      <c r="A258" s="1">
        <v>257</v>
      </c>
      <c r="B258" s="2" t="str">
        <f>_xlfn.CONCAT(C258,"-",VLOOKUP(C258,t_objeto!B:D,3,FALSE),"-",A258)</f>
        <v>MMII-PERCCO-257</v>
      </c>
      <c r="C258" s="1" t="s">
        <v>8352</v>
      </c>
      <c r="D258" s="1" t="str">
        <f>VLOOKUP(C258,t_objeto!B:C,2,FALSE)</f>
        <v>METHOD_INSTRUCTION</v>
      </c>
      <c r="E258" s="1">
        <v>8</v>
      </c>
      <c r="F258" s="1" t="str">
        <f>VLOOKUP(E258,t_entry_status!A:C,2,FALSE)</f>
        <v>PENDING</v>
      </c>
      <c r="G258" s="7">
        <v>45560</v>
      </c>
      <c r="H258" s="1" t="s">
        <v>7449</v>
      </c>
      <c r="I258" s="7">
        <v>45560</v>
      </c>
      <c r="J258" s="1" t="s">
        <v>7449</v>
      </c>
    </row>
    <row r="259" spans="1:10" x14ac:dyDescent="0.25">
      <c r="A259" s="1">
        <v>258</v>
      </c>
      <c r="B259" s="2" t="str">
        <f>_xlfn.CONCAT(C259,"-",VLOOKUP(C259,t_objeto!B:D,3,FALSE),"-",A259)</f>
        <v>MMII-PERCCO-258</v>
      </c>
      <c r="C259" s="1" t="s">
        <v>8352</v>
      </c>
      <c r="D259" s="1" t="str">
        <f>VLOOKUP(C259,t_objeto!B:C,2,FALSE)</f>
        <v>METHOD_INSTRUCTION</v>
      </c>
      <c r="E259" s="1">
        <v>8</v>
      </c>
      <c r="F259" s="1" t="str">
        <f>VLOOKUP(E259,t_entry_status!A:C,2,FALSE)</f>
        <v>PENDING</v>
      </c>
      <c r="G259" s="7">
        <v>45560</v>
      </c>
      <c r="H259" s="1" t="s">
        <v>7449</v>
      </c>
      <c r="I259" s="7">
        <v>45560</v>
      </c>
      <c r="J259" s="1" t="s">
        <v>7449</v>
      </c>
    </row>
    <row r="260" spans="1:10" x14ac:dyDescent="0.25">
      <c r="A260" s="1">
        <v>259</v>
      </c>
      <c r="B260" s="2" t="str">
        <f>_xlfn.CONCAT(C260,"-",VLOOKUP(C260,t_objeto!B:D,3,FALSE),"-",A260)</f>
        <v>MMII-PERCCO-259</v>
      </c>
      <c r="C260" s="1" t="s">
        <v>8352</v>
      </c>
      <c r="D260" s="1" t="str">
        <f>VLOOKUP(C260,t_objeto!B:C,2,FALSE)</f>
        <v>METHOD_INSTRUCTION</v>
      </c>
      <c r="E260" s="1">
        <v>8</v>
      </c>
      <c r="F260" s="1" t="str">
        <f>VLOOKUP(E260,t_entry_status!A:C,2,FALSE)</f>
        <v>PENDING</v>
      </c>
      <c r="G260" s="7">
        <v>45560</v>
      </c>
      <c r="H260" s="1" t="s">
        <v>7449</v>
      </c>
      <c r="I260" s="7">
        <v>45560</v>
      </c>
      <c r="J260" s="1" t="s">
        <v>7449</v>
      </c>
    </row>
    <row r="261" spans="1:10" x14ac:dyDescent="0.25">
      <c r="A261" s="1">
        <v>260</v>
      </c>
      <c r="B261" s="2" t="str">
        <f>_xlfn.CONCAT(C261,"-",VLOOKUP(C261,t_objeto!B:D,3,FALSE),"-",A261)</f>
        <v>MMII-PERCCO-260</v>
      </c>
      <c r="C261" s="1" t="s">
        <v>8352</v>
      </c>
      <c r="D261" s="1" t="str">
        <f>VLOOKUP(C261,t_objeto!B:C,2,FALSE)</f>
        <v>METHOD_INSTRUCTION</v>
      </c>
      <c r="E261" s="1">
        <v>8</v>
      </c>
      <c r="F261" s="1" t="str">
        <f>VLOOKUP(E261,t_entry_status!A:C,2,FALSE)</f>
        <v>PENDING</v>
      </c>
      <c r="G261" s="7">
        <v>45560</v>
      </c>
      <c r="H261" s="1" t="s">
        <v>7449</v>
      </c>
      <c r="I261" s="7">
        <v>45560</v>
      </c>
      <c r="J261" s="1" t="s">
        <v>7449</v>
      </c>
    </row>
    <row r="262" spans="1:10" x14ac:dyDescent="0.25">
      <c r="A262" s="1">
        <v>261</v>
      </c>
      <c r="B262" s="2" t="str">
        <f>_xlfn.CONCAT(C262,"-",VLOOKUP(C262,t_objeto!B:D,3,FALSE),"-",A262)</f>
        <v>MMII-PERCCO-261</v>
      </c>
      <c r="C262" s="1" t="s">
        <v>8352</v>
      </c>
      <c r="D262" s="1" t="str">
        <f>VLOOKUP(C262,t_objeto!B:C,2,FALSE)</f>
        <v>METHOD_INSTRUCTION</v>
      </c>
      <c r="E262" s="1">
        <v>8</v>
      </c>
      <c r="F262" s="1" t="str">
        <f>VLOOKUP(E262,t_entry_status!A:C,2,FALSE)</f>
        <v>PENDING</v>
      </c>
      <c r="G262" s="7">
        <v>45560</v>
      </c>
      <c r="H262" s="1" t="s">
        <v>7449</v>
      </c>
      <c r="I262" s="7">
        <v>45560</v>
      </c>
      <c r="J262" s="1" t="s">
        <v>7449</v>
      </c>
    </row>
    <row r="263" spans="1:10" x14ac:dyDescent="0.25">
      <c r="A263" s="1">
        <v>262</v>
      </c>
      <c r="B263" s="2" t="str">
        <f>_xlfn.CONCAT(C263,"-",VLOOKUP(C263,t_objeto!B:D,3,FALSE),"-",A263)</f>
        <v>MMII-PERCCO-262</v>
      </c>
      <c r="C263" s="1" t="s">
        <v>8352</v>
      </c>
      <c r="D263" s="1" t="str">
        <f>VLOOKUP(C263,t_objeto!B:C,2,FALSE)</f>
        <v>METHOD_INSTRUCTION</v>
      </c>
      <c r="E263" s="1">
        <v>8</v>
      </c>
      <c r="F263" s="1" t="str">
        <f>VLOOKUP(E263,t_entry_status!A:C,2,FALSE)</f>
        <v>PENDING</v>
      </c>
      <c r="G263" s="7">
        <v>45560</v>
      </c>
      <c r="H263" s="1" t="s">
        <v>7449</v>
      </c>
      <c r="I263" s="7">
        <v>45560</v>
      </c>
      <c r="J263" s="1" t="s">
        <v>7449</v>
      </c>
    </row>
    <row r="264" spans="1:10" x14ac:dyDescent="0.25">
      <c r="A264" s="1">
        <v>263</v>
      </c>
      <c r="B264" s="2" t="str">
        <f>_xlfn.CONCAT(C264,"-",VLOOKUP(C264,t_objeto!B:D,3,FALSE),"-",A264)</f>
        <v>MMII-PERCCO-263</v>
      </c>
      <c r="C264" s="1" t="s">
        <v>8352</v>
      </c>
      <c r="D264" s="1" t="str">
        <f>VLOOKUP(C264,t_objeto!B:C,2,FALSE)</f>
        <v>METHOD_INSTRUCTION</v>
      </c>
      <c r="E264" s="1">
        <v>8</v>
      </c>
      <c r="F264" s="1" t="str">
        <f>VLOOKUP(E264,t_entry_status!A:C,2,FALSE)</f>
        <v>PENDING</v>
      </c>
      <c r="G264" s="7">
        <v>45560</v>
      </c>
      <c r="H264" s="1" t="s">
        <v>7449</v>
      </c>
      <c r="I264" s="7">
        <v>45560</v>
      </c>
      <c r="J264" s="1" t="s">
        <v>7449</v>
      </c>
    </row>
    <row r="265" spans="1:10" x14ac:dyDescent="0.25">
      <c r="A265" s="1">
        <v>264</v>
      </c>
      <c r="B265" s="2" t="str">
        <f>_xlfn.CONCAT(C265,"-",VLOOKUP(C265,t_objeto!B:D,3,FALSE),"-",A265)</f>
        <v>MMII-PERCCO-264</v>
      </c>
      <c r="C265" s="1" t="s">
        <v>8352</v>
      </c>
      <c r="D265" s="1" t="str">
        <f>VLOOKUP(C265,t_objeto!B:C,2,FALSE)</f>
        <v>METHOD_INSTRUCTION</v>
      </c>
      <c r="E265" s="1">
        <v>8</v>
      </c>
      <c r="F265" s="1" t="str">
        <f>VLOOKUP(E265,t_entry_status!A:C,2,FALSE)</f>
        <v>PENDING</v>
      </c>
      <c r="G265" s="7">
        <v>45560</v>
      </c>
      <c r="H265" s="1" t="s">
        <v>7449</v>
      </c>
      <c r="I265" s="7">
        <v>45560</v>
      </c>
      <c r="J265" s="1" t="s">
        <v>7449</v>
      </c>
    </row>
    <row r="266" spans="1:10" x14ac:dyDescent="0.25">
      <c r="A266" s="1">
        <v>265</v>
      </c>
      <c r="B266" s="2" t="str">
        <f>_xlfn.CONCAT(C266,"-",VLOOKUP(C266,t_objeto!B:D,3,FALSE),"-",A266)</f>
        <v>MMII-PERCCO-265</v>
      </c>
      <c r="C266" s="1" t="s">
        <v>8352</v>
      </c>
      <c r="D266" s="1" t="str">
        <f>VLOOKUP(C266,t_objeto!B:C,2,FALSE)</f>
        <v>METHOD_INSTRUCTION</v>
      </c>
      <c r="E266" s="1">
        <v>8</v>
      </c>
      <c r="F266" s="1" t="str">
        <f>VLOOKUP(E266,t_entry_status!A:C,2,FALSE)</f>
        <v>PENDING</v>
      </c>
      <c r="G266" s="7">
        <v>45560</v>
      </c>
      <c r="H266" s="1" t="s">
        <v>7449</v>
      </c>
      <c r="I266" s="7">
        <v>45560</v>
      </c>
      <c r="J266" s="1" t="s">
        <v>7449</v>
      </c>
    </row>
    <row r="267" spans="1:10" x14ac:dyDescent="0.25">
      <c r="A267" s="1">
        <v>266</v>
      </c>
      <c r="B267" s="2" t="str">
        <f>_xlfn.CONCAT(C267,"-",VLOOKUP(C267,t_objeto!B:D,3,FALSE),"-",A267)</f>
        <v>MMII-PERCCO-266</v>
      </c>
      <c r="C267" s="1" t="s">
        <v>8352</v>
      </c>
      <c r="D267" s="1" t="str">
        <f>VLOOKUP(C267,t_objeto!B:C,2,FALSE)</f>
        <v>METHOD_INSTRUCTION</v>
      </c>
      <c r="E267" s="1">
        <v>8</v>
      </c>
      <c r="F267" s="1" t="str">
        <f>VLOOKUP(E267,t_entry_status!A:C,2,FALSE)</f>
        <v>PENDING</v>
      </c>
      <c r="G267" s="7">
        <v>45560</v>
      </c>
      <c r="H267" s="1" t="s">
        <v>7449</v>
      </c>
      <c r="I267" s="7">
        <v>45560</v>
      </c>
      <c r="J267" s="1" t="s">
        <v>7449</v>
      </c>
    </row>
    <row r="268" spans="1:10" x14ac:dyDescent="0.25">
      <c r="A268" s="1">
        <v>267</v>
      </c>
      <c r="B268" s="2" t="str">
        <f>_xlfn.CONCAT(C268,"-",VLOOKUP(C268,t_objeto!B:D,3,FALSE),"-",A268)</f>
        <v>MMII-PERCCO-267</v>
      </c>
      <c r="C268" s="1" t="s">
        <v>8352</v>
      </c>
      <c r="D268" s="1" t="str">
        <f>VLOOKUP(C268,t_objeto!B:C,2,FALSE)</f>
        <v>METHOD_INSTRUCTION</v>
      </c>
      <c r="E268" s="1">
        <v>8</v>
      </c>
      <c r="F268" s="1" t="str">
        <f>VLOOKUP(E268,t_entry_status!A:C,2,FALSE)</f>
        <v>PENDING</v>
      </c>
      <c r="G268" s="7">
        <v>45560</v>
      </c>
      <c r="H268" s="1" t="s">
        <v>7449</v>
      </c>
      <c r="I268" s="7">
        <v>45560</v>
      </c>
      <c r="J268" s="1" t="s">
        <v>7449</v>
      </c>
    </row>
    <row r="269" spans="1:10" x14ac:dyDescent="0.25">
      <c r="A269" s="1">
        <v>268</v>
      </c>
      <c r="B269" s="2" t="str">
        <f>_xlfn.CONCAT(C269,"-",VLOOKUP(C269,t_objeto!B:D,3,FALSE),"-",A269)</f>
        <v>MMII-PERCCO-268</v>
      </c>
      <c r="C269" s="1" t="s">
        <v>8352</v>
      </c>
      <c r="D269" s="1" t="str">
        <f>VLOOKUP(C269,t_objeto!B:C,2,FALSE)</f>
        <v>METHOD_INSTRUCTION</v>
      </c>
      <c r="E269" s="1">
        <v>8</v>
      </c>
      <c r="F269" s="1" t="str">
        <f>VLOOKUP(E269,t_entry_status!A:C,2,FALSE)</f>
        <v>PENDING</v>
      </c>
      <c r="G269" s="7">
        <v>45560</v>
      </c>
      <c r="H269" s="1" t="s">
        <v>7449</v>
      </c>
      <c r="I269" s="7">
        <v>45560</v>
      </c>
      <c r="J269" s="1" t="s">
        <v>7449</v>
      </c>
    </row>
    <row r="270" spans="1:10" x14ac:dyDescent="0.25">
      <c r="A270" s="1">
        <v>269</v>
      </c>
      <c r="B270" s="2" t="str">
        <f>_xlfn.CONCAT(C270,"-",VLOOKUP(C270,t_objeto!B:D,3,FALSE),"-",A270)</f>
        <v>MMII-PERCCO-269</v>
      </c>
      <c r="C270" s="1" t="s">
        <v>8352</v>
      </c>
      <c r="D270" s="1" t="str">
        <f>VLOOKUP(C270,t_objeto!B:C,2,FALSE)</f>
        <v>METHOD_INSTRUCTION</v>
      </c>
      <c r="E270" s="1">
        <v>8</v>
      </c>
      <c r="F270" s="1" t="str">
        <f>VLOOKUP(E270,t_entry_status!A:C,2,FALSE)</f>
        <v>PENDING</v>
      </c>
      <c r="G270" s="7">
        <v>45560</v>
      </c>
      <c r="H270" s="1" t="s">
        <v>7449</v>
      </c>
      <c r="I270" s="7">
        <v>45560</v>
      </c>
      <c r="J270" s="1" t="s">
        <v>7449</v>
      </c>
    </row>
    <row r="271" spans="1:10" x14ac:dyDescent="0.25">
      <c r="A271" s="1">
        <v>270</v>
      </c>
      <c r="B271" s="2" t="str">
        <f>_xlfn.CONCAT(C271,"-",VLOOKUP(C271,t_objeto!B:D,3,FALSE),"-",A271)</f>
        <v>MMII-PERCCO-270</v>
      </c>
      <c r="C271" s="1" t="s">
        <v>8352</v>
      </c>
      <c r="D271" s="1" t="str">
        <f>VLOOKUP(C271,t_objeto!B:C,2,FALSE)</f>
        <v>METHOD_INSTRUCTION</v>
      </c>
      <c r="E271" s="1">
        <v>8</v>
      </c>
      <c r="F271" s="1" t="str">
        <f>VLOOKUP(E271,t_entry_status!A:C,2,FALSE)</f>
        <v>PENDING</v>
      </c>
      <c r="G271" s="7">
        <v>45560</v>
      </c>
      <c r="H271" s="1" t="s">
        <v>7449</v>
      </c>
      <c r="I271" s="7">
        <v>45560</v>
      </c>
      <c r="J271" s="1" t="s">
        <v>7449</v>
      </c>
    </row>
    <row r="272" spans="1:10" x14ac:dyDescent="0.25">
      <c r="A272" s="1">
        <v>271</v>
      </c>
      <c r="B272" s="2" t="str">
        <f>_xlfn.CONCAT(C272,"-",VLOOKUP(C272,t_objeto!B:D,3,FALSE),"-",A272)</f>
        <v>MMII-PERCCO-271</v>
      </c>
      <c r="C272" s="1" t="s">
        <v>8352</v>
      </c>
      <c r="D272" s="1" t="str">
        <f>VLOOKUP(C272,t_objeto!B:C,2,FALSE)</f>
        <v>METHOD_INSTRUCTION</v>
      </c>
      <c r="E272" s="1">
        <v>8</v>
      </c>
      <c r="F272" s="1" t="str">
        <f>VLOOKUP(E272,t_entry_status!A:C,2,FALSE)</f>
        <v>PENDING</v>
      </c>
      <c r="G272" s="7">
        <v>45560</v>
      </c>
      <c r="H272" s="1" t="s">
        <v>7449</v>
      </c>
      <c r="I272" s="7">
        <v>45560</v>
      </c>
      <c r="J272" s="1" t="s">
        <v>7449</v>
      </c>
    </row>
    <row r="273" spans="1:10" x14ac:dyDescent="0.25">
      <c r="A273" s="1">
        <v>272</v>
      </c>
      <c r="B273" s="2" t="str">
        <f>_xlfn.CONCAT(C273,"-",VLOOKUP(C273,t_objeto!B:D,3,FALSE),"-",A273)</f>
        <v>MMII-PERCCO-272</v>
      </c>
      <c r="C273" s="1" t="s">
        <v>8352</v>
      </c>
      <c r="D273" s="1" t="str">
        <f>VLOOKUP(C273,t_objeto!B:C,2,FALSE)</f>
        <v>METHOD_INSTRUCTION</v>
      </c>
      <c r="E273" s="1">
        <v>8</v>
      </c>
      <c r="F273" s="1" t="str">
        <f>VLOOKUP(E273,t_entry_status!A:C,2,FALSE)</f>
        <v>PENDING</v>
      </c>
      <c r="G273" s="7">
        <v>45560</v>
      </c>
      <c r="H273" s="1" t="s">
        <v>7449</v>
      </c>
      <c r="I273" s="7">
        <v>45560</v>
      </c>
      <c r="J273" s="1" t="s">
        <v>7449</v>
      </c>
    </row>
    <row r="274" spans="1:10" x14ac:dyDescent="0.25">
      <c r="A274" s="1">
        <v>273</v>
      </c>
      <c r="B274" s="2" t="str">
        <f>_xlfn.CONCAT(C274,"-",VLOOKUP(C274,t_objeto!B:D,3,FALSE),"-",A274)</f>
        <v>MMII-PERCCO-273</v>
      </c>
      <c r="C274" s="1" t="s">
        <v>8352</v>
      </c>
      <c r="D274" s="1" t="str">
        <f>VLOOKUP(C274,t_objeto!B:C,2,FALSE)</f>
        <v>METHOD_INSTRUCTION</v>
      </c>
      <c r="E274" s="1">
        <v>8</v>
      </c>
      <c r="F274" s="1" t="str">
        <f>VLOOKUP(E274,t_entry_status!A:C,2,FALSE)</f>
        <v>PENDING</v>
      </c>
      <c r="G274" s="7">
        <v>45560</v>
      </c>
      <c r="H274" s="1" t="s">
        <v>7449</v>
      </c>
      <c r="I274" s="7">
        <v>45560</v>
      </c>
      <c r="J274" s="1" t="s">
        <v>7449</v>
      </c>
    </row>
    <row r="275" spans="1:10" x14ac:dyDescent="0.25">
      <c r="A275" s="1">
        <v>274</v>
      </c>
      <c r="B275" s="2" t="str">
        <f>_xlfn.CONCAT(C275,"-",VLOOKUP(C275,t_objeto!B:D,3,FALSE),"-",A275)</f>
        <v>MMII-PERCCO-274</v>
      </c>
      <c r="C275" s="1" t="s">
        <v>8352</v>
      </c>
      <c r="D275" s="1" t="str">
        <f>VLOOKUP(C275,t_objeto!B:C,2,FALSE)</f>
        <v>METHOD_INSTRUCTION</v>
      </c>
      <c r="E275" s="1">
        <v>8</v>
      </c>
      <c r="F275" s="1" t="str">
        <f>VLOOKUP(E275,t_entry_status!A:C,2,FALSE)</f>
        <v>PENDING</v>
      </c>
      <c r="G275" s="7">
        <v>45560</v>
      </c>
      <c r="H275" s="1" t="s">
        <v>7449</v>
      </c>
      <c r="I275" s="7">
        <v>45560</v>
      </c>
      <c r="J275" s="1" t="s">
        <v>7449</v>
      </c>
    </row>
    <row r="276" spans="1:10" x14ac:dyDescent="0.25">
      <c r="A276" s="1">
        <v>275</v>
      </c>
      <c r="B276" s="2" t="str">
        <f>_xlfn.CONCAT(C276,"-",VLOOKUP(C276,t_objeto!B:D,3,FALSE),"-",A276)</f>
        <v>MMII-PERCCO-275</v>
      </c>
      <c r="C276" s="1" t="s">
        <v>8352</v>
      </c>
      <c r="D276" s="1" t="str">
        <f>VLOOKUP(C276,t_objeto!B:C,2,FALSE)</f>
        <v>METHOD_INSTRUCTION</v>
      </c>
      <c r="E276" s="1">
        <v>8</v>
      </c>
      <c r="F276" s="1" t="str">
        <f>VLOOKUP(E276,t_entry_status!A:C,2,FALSE)</f>
        <v>PENDING</v>
      </c>
      <c r="G276" s="7">
        <v>45560</v>
      </c>
      <c r="H276" s="1" t="s">
        <v>7449</v>
      </c>
      <c r="I276" s="7">
        <v>45560</v>
      </c>
      <c r="J276" s="1" t="s">
        <v>7449</v>
      </c>
    </row>
    <row r="277" spans="1:10" x14ac:dyDescent="0.25">
      <c r="A277" s="1">
        <v>276</v>
      </c>
      <c r="B277" s="2" t="str">
        <f>_xlfn.CONCAT(C277,"-",VLOOKUP(C277,t_objeto!B:D,3,FALSE),"-",A277)</f>
        <v>MMII-PERCCO-276</v>
      </c>
      <c r="C277" s="1" t="s">
        <v>8352</v>
      </c>
      <c r="D277" s="1" t="str">
        <f>VLOOKUP(C277,t_objeto!B:C,2,FALSE)</f>
        <v>METHOD_INSTRUCTION</v>
      </c>
      <c r="E277" s="1">
        <v>8</v>
      </c>
      <c r="F277" s="1" t="str">
        <f>VLOOKUP(E277,t_entry_status!A:C,2,FALSE)</f>
        <v>PENDING</v>
      </c>
      <c r="G277" s="7">
        <v>45560</v>
      </c>
      <c r="H277" s="1" t="s">
        <v>7449</v>
      </c>
      <c r="I277" s="7">
        <v>45560</v>
      </c>
      <c r="J277" s="1" t="s">
        <v>7449</v>
      </c>
    </row>
    <row r="278" spans="1:10" x14ac:dyDescent="0.25">
      <c r="A278" s="1">
        <v>277</v>
      </c>
      <c r="B278" s="2" t="str">
        <f>_xlfn.CONCAT(C278,"-",VLOOKUP(C278,t_objeto!B:D,3,FALSE),"-",A278)</f>
        <v>MMII-PERCCO-277</v>
      </c>
      <c r="C278" s="1" t="s">
        <v>8352</v>
      </c>
      <c r="D278" s="1" t="str">
        <f>VLOOKUP(C278,t_objeto!B:C,2,FALSE)</f>
        <v>METHOD_INSTRUCTION</v>
      </c>
      <c r="E278" s="1">
        <v>8</v>
      </c>
      <c r="F278" s="1" t="str">
        <f>VLOOKUP(E278,t_entry_status!A:C,2,FALSE)</f>
        <v>PENDING</v>
      </c>
      <c r="G278" s="7">
        <v>45560</v>
      </c>
      <c r="H278" s="1" t="s">
        <v>7449</v>
      </c>
      <c r="I278" s="7">
        <v>45560</v>
      </c>
      <c r="J278" s="1" t="s">
        <v>7449</v>
      </c>
    </row>
    <row r="279" spans="1:10" x14ac:dyDescent="0.25">
      <c r="A279" s="1">
        <v>278</v>
      </c>
      <c r="B279" s="2" t="str">
        <f>_xlfn.CONCAT(C279,"-",VLOOKUP(C279,t_objeto!B:D,3,FALSE),"-",A279)</f>
        <v>MMII-PERCCO-278</v>
      </c>
      <c r="C279" s="1" t="s">
        <v>8352</v>
      </c>
      <c r="D279" s="1" t="str">
        <f>VLOOKUP(C279,t_objeto!B:C,2,FALSE)</f>
        <v>METHOD_INSTRUCTION</v>
      </c>
      <c r="E279" s="1">
        <v>8</v>
      </c>
      <c r="F279" s="1" t="str">
        <f>VLOOKUP(E279,t_entry_status!A:C,2,FALSE)</f>
        <v>PENDING</v>
      </c>
      <c r="G279" s="7">
        <v>45560</v>
      </c>
      <c r="H279" s="1" t="s">
        <v>7449</v>
      </c>
      <c r="I279" s="7">
        <v>45560</v>
      </c>
      <c r="J279" s="1" t="s">
        <v>7449</v>
      </c>
    </row>
    <row r="280" spans="1:10" x14ac:dyDescent="0.25">
      <c r="A280" s="1">
        <v>279</v>
      </c>
      <c r="B280" s="2" t="str">
        <f>_xlfn.CONCAT(C280,"-",VLOOKUP(C280,t_objeto!B:D,3,FALSE),"-",A280)</f>
        <v>MMII-PERCCO-279</v>
      </c>
      <c r="C280" s="1" t="s">
        <v>8352</v>
      </c>
      <c r="D280" s="1" t="str">
        <f>VLOOKUP(C280,t_objeto!B:C,2,FALSE)</f>
        <v>METHOD_INSTRUCTION</v>
      </c>
      <c r="E280" s="1">
        <v>8</v>
      </c>
      <c r="F280" s="1" t="str">
        <f>VLOOKUP(E280,t_entry_status!A:C,2,FALSE)</f>
        <v>PENDING</v>
      </c>
      <c r="G280" s="7">
        <v>45560</v>
      </c>
      <c r="H280" s="1" t="s">
        <v>7449</v>
      </c>
      <c r="I280" s="7">
        <v>45560</v>
      </c>
      <c r="J280" s="1" t="s">
        <v>7449</v>
      </c>
    </row>
    <row r="281" spans="1:10" x14ac:dyDescent="0.25">
      <c r="A281" s="1">
        <v>280</v>
      </c>
      <c r="B281" s="2" t="str">
        <f>_xlfn.CONCAT(C281,"-",VLOOKUP(C281,t_objeto!B:D,3,FALSE),"-",A281)</f>
        <v>MMII-PERCCO-280</v>
      </c>
      <c r="C281" s="1" t="s">
        <v>8352</v>
      </c>
      <c r="D281" s="1" t="str">
        <f>VLOOKUP(C281,t_objeto!B:C,2,FALSE)</f>
        <v>METHOD_INSTRUCTION</v>
      </c>
      <c r="E281" s="1">
        <v>8</v>
      </c>
      <c r="F281" s="1" t="str">
        <f>VLOOKUP(E281,t_entry_status!A:C,2,FALSE)</f>
        <v>PENDING</v>
      </c>
      <c r="G281" s="7">
        <v>45560</v>
      </c>
      <c r="H281" s="1" t="s">
        <v>7449</v>
      </c>
      <c r="I281" s="7">
        <v>45560</v>
      </c>
      <c r="J281" s="1" t="s">
        <v>7449</v>
      </c>
    </row>
    <row r="282" spans="1:10" x14ac:dyDescent="0.25">
      <c r="A282" s="1">
        <v>281</v>
      </c>
      <c r="B282" s="2" t="str">
        <f>_xlfn.CONCAT(C282,"-",VLOOKUP(C282,t_objeto!B:D,3,FALSE),"-",A282)</f>
        <v>MMII-PERCCO-281</v>
      </c>
      <c r="C282" s="1" t="s">
        <v>8352</v>
      </c>
      <c r="D282" s="1" t="str">
        <f>VLOOKUP(C282,t_objeto!B:C,2,FALSE)</f>
        <v>METHOD_INSTRUCTION</v>
      </c>
      <c r="E282" s="1">
        <v>8</v>
      </c>
      <c r="F282" s="1" t="str">
        <f>VLOOKUP(E282,t_entry_status!A:C,2,FALSE)</f>
        <v>PENDING</v>
      </c>
      <c r="G282" s="7">
        <v>45560</v>
      </c>
      <c r="H282" s="1" t="s">
        <v>7449</v>
      </c>
      <c r="I282" s="7">
        <v>45560</v>
      </c>
      <c r="J282" s="1" t="s">
        <v>7449</v>
      </c>
    </row>
    <row r="283" spans="1:10" x14ac:dyDescent="0.25">
      <c r="A283" s="1">
        <v>282</v>
      </c>
      <c r="B283" s="2" t="str">
        <f>_xlfn.CONCAT(C283,"-",VLOOKUP(C283,t_objeto!B:D,3,FALSE),"-",A283)</f>
        <v>MMII-PERCCO-282</v>
      </c>
      <c r="C283" s="1" t="s">
        <v>8352</v>
      </c>
      <c r="D283" s="1" t="str">
        <f>VLOOKUP(C283,t_objeto!B:C,2,FALSE)</f>
        <v>METHOD_INSTRUCTION</v>
      </c>
      <c r="E283" s="1">
        <v>8</v>
      </c>
      <c r="F283" s="1" t="str">
        <f>VLOOKUP(E283,t_entry_status!A:C,2,FALSE)</f>
        <v>PENDING</v>
      </c>
      <c r="G283" s="7">
        <v>45560</v>
      </c>
      <c r="H283" s="1" t="s">
        <v>7449</v>
      </c>
      <c r="I283" s="7">
        <v>45560</v>
      </c>
      <c r="J283" s="1" t="s">
        <v>7449</v>
      </c>
    </row>
    <row r="284" spans="1:10" x14ac:dyDescent="0.25">
      <c r="A284" s="1">
        <v>283</v>
      </c>
      <c r="B284" s="2" t="str">
        <f>_xlfn.CONCAT(C284,"-",VLOOKUP(C284,t_objeto!B:D,3,FALSE),"-",A284)</f>
        <v>MMII-PERCCO-283</v>
      </c>
      <c r="C284" s="1" t="s">
        <v>8352</v>
      </c>
      <c r="D284" s="1" t="str">
        <f>VLOOKUP(C284,t_objeto!B:C,2,FALSE)</f>
        <v>METHOD_INSTRUCTION</v>
      </c>
      <c r="E284" s="1">
        <v>8</v>
      </c>
      <c r="F284" s="1" t="str">
        <f>VLOOKUP(E284,t_entry_status!A:C,2,FALSE)</f>
        <v>PENDING</v>
      </c>
      <c r="G284" s="7">
        <v>45560</v>
      </c>
      <c r="H284" s="1" t="s">
        <v>7449</v>
      </c>
      <c r="I284" s="7">
        <v>45560</v>
      </c>
      <c r="J284" s="1" t="s">
        <v>7449</v>
      </c>
    </row>
    <row r="285" spans="1:10" x14ac:dyDescent="0.25">
      <c r="A285" s="1">
        <v>284</v>
      </c>
      <c r="B285" s="2" t="str">
        <f>_xlfn.CONCAT(C285,"-",VLOOKUP(C285,t_objeto!B:D,3,FALSE),"-",A285)</f>
        <v>MMII-PERCCO-284</v>
      </c>
      <c r="C285" s="1" t="s">
        <v>8352</v>
      </c>
      <c r="D285" s="1" t="str">
        <f>VLOOKUP(C285,t_objeto!B:C,2,FALSE)</f>
        <v>METHOD_INSTRUCTION</v>
      </c>
      <c r="E285" s="1">
        <v>8</v>
      </c>
      <c r="F285" s="1" t="str">
        <f>VLOOKUP(E285,t_entry_status!A:C,2,FALSE)</f>
        <v>PENDING</v>
      </c>
      <c r="G285" s="7">
        <v>45560</v>
      </c>
      <c r="H285" s="1" t="s">
        <v>7449</v>
      </c>
      <c r="I285" s="7">
        <v>45560</v>
      </c>
      <c r="J285" s="1" t="s">
        <v>7449</v>
      </c>
    </row>
    <row r="286" spans="1:10" x14ac:dyDescent="0.25">
      <c r="A286" s="1">
        <v>285</v>
      </c>
      <c r="B286" s="2" t="str">
        <f>_xlfn.CONCAT(C286,"-",VLOOKUP(C286,t_objeto!B:D,3,FALSE),"-",A286)</f>
        <v>MMII-PERCCO-285</v>
      </c>
      <c r="C286" s="1" t="s">
        <v>8352</v>
      </c>
      <c r="D286" s="1" t="str">
        <f>VLOOKUP(C286,t_objeto!B:C,2,FALSE)</f>
        <v>METHOD_INSTRUCTION</v>
      </c>
      <c r="E286" s="1">
        <v>8</v>
      </c>
      <c r="F286" s="1" t="str">
        <f>VLOOKUP(E286,t_entry_status!A:C,2,FALSE)</f>
        <v>PENDING</v>
      </c>
      <c r="G286" s="7">
        <v>45560</v>
      </c>
      <c r="H286" s="1" t="s">
        <v>7449</v>
      </c>
      <c r="I286" s="7">
        <v>45560</v>
      </c>
      <c r="J286" s="1" t="s">
        <v>7449</v>
      </c>
    </row>
    <row r="287" spans="1:10" x14ac:dyDescent="0.25">
      <c r="A287" s="1">
        <v>286</v>
      </c>
      <c r="B287" s="2" t="str">
        <f>_xlfn.CONCAT(C287,"-",VLOOKUP(C287,t_objeto!B:D,3,FALSE),"-",A287)</f>
        <v>MMII-PERCCO-286</v>
      </c>
      <c r="C287" s="1" t="s">
        <v>8352</v>
      </c>
      <c r="D287" s="1" t="str">
        <f>VLOOKUP(C287,t_objeto!B:C,2,FALSE)</f>
        <v>METHOD_INSTRUCTION</v>
      </c>
      <c r="E287" s="1">
        <v>8</v>
      </c>
      <c r="F287" s="1" t="str">
        <f>VLOOKUP(E287,t_entry_status!A:C,2,FALSE)</f>
        <v>PENDING</v>
      </c>
      <c r="G287" s="7">
        <v>45560</v>
      </c>
      <c r="H287" s="1" t="s">
        <v>7449</v>
      </c>
      <c r="I287" s="7">
        <v>45560</v>
      </c>
      <c r="J287" s="1" t="s">
        <v>7449</v>
      </c>
    </row>
    <row r="288" spans="1:10" x14ac:dyDescent="0.25">
      <c r="A288" s="1">
        <v>287</v>
      </c>
      <c r="B288" s="2" t="str">
        <f>_xlfn.CONCAT(C288,"-",VLOOKUP(C288,t_objeto!B:D,3,FALSE),"-",A288)</f>
        <v>MMII-PERCCO-287</v>
      </c>
      <c r="C288" s="1" t="s">
        <v>8352</v>
      </c>
      <c r="D288" s="1" t="str">
        <f>VLOOKUP(C288,t_objeto!B:C,2,FALSE)</f>
        <v>METHOD_INSTRUCTION</v>
      </c>
      <c r="E288" s="1">
        <v>8</v>
      </c>
      <c r="F288" s="1" t="str">
        <f>VLOOKUP(E288,t_entry_status!A:C,2,FALSE)</f>
        <v>PENDING</v>
      </c>
      <c r="G288" s="7">
        <v>45560</v>
      </c>
      <c r="H288" s="1" t="s">
        <v>7449</v>
      </c>
      <c r="I288" s="7">
        <v>45560</v>
      </c>
      <c r="J288" s="1" t="s">
        <v>7449</v>
      </c>
    </row>
    <row r="289" spans="1:10" x14ac:dyDescent="0.25">
      <c r="A289" s="1">
        <v>288</v>
      </c>
      <c r="B289" s="2" t="str">
        <f>_xlfn.CONCAT(C289,"-",VLOOKUP(C289,t_objeto!B:D,3,FALSE),"-",A289)</f>
        <v>MMII-PERCCO-288</v>
      </c>
      <c r="C289" s="1" t="s">
        <v>8352</v>
      </c>
      <c r="D289" s="1" t="str">
        <f>VLOOKUP(C289,t_objeto!B:C,2,FALSE)</f>
        <v>METHOD_INSTRUCTION</v>
      </c>
      <c r="E289" s="1">
        <v>8</v>
      </c>
      <c r="F289" s="1" t="str">
        <f>VLOOKUP(E289,t_entry_status!A:C,2,FALSE)</f>
        <v>PENDING</v>
      </c>
      <c r="G289" s="7">
        <v>45560</v>
      </c>
      <c r="H289" s="1" t="s">
        <v>7449</v>
      </c>
      <c r="I289" s="7">
        <v>45560</v>
      </c>
      <c r="J289" s="1" t="s">
        <v>7449</v>
      </c>
    </row>
    <row r="290" spans="1:10" x14ac:dyDescent="0.25">
      <c r="A290" s="1">
        <v>289</v>
      </c>
      <c r="B290" s="2" t="str">
        <f>_xlfn.CONCAT(C290,"-",VLOOKUP(C290,t_objeto!B:D,3,FALSE),"-",A290)</f>
        <v>MMII-PERCCO-289</v>
      </c>
      <c r="C290" s="1" t="s">
        <v>8352</v>
      </c>
      <c r="D290" s="1" t="str">
        <f>VLOOKUP(C290,t_objeto!B:C,2,FALSE)</f>
        <v>METHOD_INSTRUCTION</v>
      </c>
      <c r="E290" s="1">
        <v>8</v>
      </c>
      <c r="F290" s="1" t="str">
        <f>VLOOKUP(E290,t_entry_status!A:C,2,FALSE)</f>
        <v>PENDING</v>
      </c>
      <c r="G290" s="7">
        <v>45560</v>
      </c>
      <c r="H290" s="1" t="s">
        <v>7449</v>
      </c>
      <c r="I290" s="7">
        <v>45560</v>
      </c>
      <c r="J290" s="1" t="s">
        <v>7449</v>
      </c>
    </row>
    <row r="291" spans="1:10" x14ac:dyDescent="0.25">
      <c r="A291" s="1">
        <v>290</v>
      </c>
      <c r="B291" s="2" t="str">
        <f>_xlfn.CONCAT(C291,"-",VLOOKUP(C291,t_objeto!B:D,3,FALSE),"-",A291)</f>
        <v>MMII-PERCCO-290</v>
      </c>
      <c r="C291" s="1" t="s">
        <v>8352</v>
      </c>
      <c r="D291" s="1" t="str">
        <f>VLOOKUP(C291,t_objeto!B:C,2,FALSE)</f>
        <v>METHOD_INSTRUCTION</v>
      </c>
      <c r="E291" s="1">
        <v>8</v>
      </c>
      <c r="F291" s="1" t="str">
        <f>VLOOKUP(E291,t_entry_status!A:C,2,FALSE)</f>
        <v>PENDING</v>
      </c>
      <c r="G291" s="7">
        <v>45560</v>
      </c>
      <c r="H291" s="1" t="s">
        <v>7449</v>
      </c>
      <c r="I291" s="7">
        <v>45560</v>
      </c>
      <c r="J291" s="1" t="s">
        <v>7449</v>
      </c>
    </row>
    <row r="292" spans="1:10" x14ac:dyDescent="0.25">
      <c r="A292" s="1">
        <v>291</v>
      </c>
      <c r="B292" s="2" t="str">
        <f>_xlfn.CONCAT(C292,"-",VLOOKUP(C292,t_objeto!B:D,3,FALSE),"-",A292)</f>
        <v>MMII-PERCCO-291</v>
      </c>
      <c r="C292" s="1" t="s">
        <v>8352</v>
      </c>
      <c r="D292" s="1" t="str">
        <f>VLOOKUP(C292,t_objeto!B:C,2,FALSE)</f>
        <v>METHOD_INSTRUCTION</v>
      </c>
      <c r="E292" s="1">
        <v>8</v>
      </c>
      <c r="F292" s="1" t="str">
        <f>VLOOKUP(E292,t_entry_status!A:C,2,FALSE)</f>
        <v>PENDING</v>
      </c>
      <c r="G292" s="7">
        <v>45560</v>
      </c>
      <c r="H292" s="1" t="s">
        <v>7449</v>
      </c>
      <c r="I292" s="7">
        <v>45560</v>
      </c>
      <c r="J292" s="1" t="s">
        <v>7449</v>
      </c>
    </row>
    <row r="293" spans="1:10" x14ac:dyDescent="0.25">
      <c r="A293" s="1">
        <v>292</v>
      </c>
      <c r="B293" s="2" t="str">
        <f>_xlfn.CONCAT(C293,"-",VLOOKUP(C293,t_objeto!B:D,3,FALSE),"-",A293)</f>
        <v>MMII-PERCCO-292</v>
      </c>
      <c r="C293" s="1" t="s">
        <v>8352</v>
      </c>
      <c r="D293" s="1" t="str">
        <f>VLOOKUP(C293,t_objeto!B:C,2,FALSE)</f>
        <v>METHOD_INSTRUCTION</v>
      </c>
      <c r="E293" s="1">
        <v>8</v>
      </c>
      <c r="F293" s="1" t="str">
        <f>VLOOKUP(E293,t_entry_status!A:C,2,FALSE)</f>
        <v>PENDING</v>
      </c>
      <c r="G293" s="7">
        <v>45560</v>
      </c>
      <c r="H293" s="1" t="s">
        <v>7449</v>
      </c>
      <c r="I293" s="7">
        <v>45560</v>
      </c>
      <c r="J293" s="1" t="s">
        <v>7449</v>
      </c>
    </row>
    <row r="294" spans="1:10" x14ac:dyDescent="0.25">
      <c r="A294" s="1">
        <v>293</v>
      </c>
      <c r="B294" s="2" t="str">
        <f>_xlfn.CONCAT(C294,"-",VLOOKUP(C294,t_objeto!B:D,3,FALSE),"-",A294)</f>
        <v>MMII-PERCCO-293</v>
      </c>
      <c r="C294" s="1" t="s">
        <v>8352</v>
      </c>
      <c r="D294" s="1" t="str">
        <f>VLOOKUP(C294,t_objeto!B:C,2,FALSE)</f>
        <v>METHOD_INSTRUCTION</v>
      </c>
      <c r="E294" s="1">
        <v>8</v>
      </c>
      <c r="F294" s="1" t="str">
        <f>VLOOKUP(E294,t_entry_status!A:C,2,FALSE)</f>
        <v>PENDING</v>
      </c>
      <c r="G294" s="7">
        <v>45560</v>
      </c>
      <c r="H294" s="1" t="s">
        <v>7449</v>
      </c>
      <c r="I294" s="7">
        <v>45560</v>
      </c>
      <c r="J294" s="1" t="s">
        <v>7449</v>
      </c>
    </row>
    <row r="295" spans="1:10" x14ac:dyDescent="0.25">
      <c r="A295" s="1">
        <v>294</v>
      </c>
      <c r="B295" s="2" t="str">
        <f>_xlfn.CONCAT(C295,"-",VLOOKUP(C295,t_objeto!B:D,3,FALSE),"-",A295)</f>
        <v>MMII-PERCCO-294</v>
      </c>
      <c r="C295" s="1" t="s">
        <v>8352</v>
      </c>
      <c r="D295" s="1" t="str">
        <f>VLOOKUP(C295,t_objeto!B:C,2,FALSE)</f>
        <v>METHOD_INSTRUCTION</v>
      </c>
      <c r="E295" s="1">
        <v>8</v>
      </c>
      <c r="F295" s="1" t="str">
        <f>VLOOKUP(E295,t_entry_status!A:C,2,FALSE)</f>
        <v>PENDING</v>
      </c>
      <c r="G295" s="7">
        <v>45560</v>
      </c>
      <c r="H295" s="1" t="s">
        <v>7449</v>
      </c>
      <c r="I295" s="7">
        <v>45560</v>
      </c>
      <c r="J295" s="1" t="s">
        <v>7449</v>
      </c>
    </row>
    <row r="296" spans="1:10" x14ac:dyDescent="0.25">
      <c r="A296" s="1">
        <v>295</v>
      </c>
      <c r="B296" s="2" t="str">
        <f>_xlfn.CONCAT(C296,"-",VLOOKUP(C296,t_objeto!B:D,3,FALSE),"-",A296)</f>
        <v>MMII-PERCCO-295</v>
      </c>
      <c r="C296" s="1" t="s">
        <v>8352</v>
      </c>
      <c r="D296" s="1" t="str">
        <f>VLOOKUP(C296,t_objeto!B:C,2,FALSE)</f>
        <v>METHOD_INSTRUCTION</v>
      </c>
      <c r="E296" s="1">
        <v>8</v>
      </c>
      <c r="F296" s="1" t="str">
        <f>VLOOKUP(E296,t_entry_status!A:C,2,FALSE)</f>
        <v>PENDING</v>
      </c>
      <c r="G296" s="7">
        <v>45560</v>
      </c>
      <c r="H296" s="1" t="s">
        <v>7449</v>
      </c>
      <c r="I296" s="7">
        <v>45560</v>
      </c>
      <c r="J296" s="1" t="s">
        <v>7449</v>
      </c>
    </row>
    <row r="297" spans="1:10" x14ac:dyDescent="0.25">
      <c r="A297" s="1">
        <v>296</v>
      </c>
      <c r="B297" s="2" t="str">
        <f>_xlfn.CONCAT(C297,"-",VLOOKUP(C297,t_objeto!B:D,3,FALSE),"-",A297)</f>
        <v>MMII-PERCCO-296</v>
      </c>
      <c r="C297" s="1" t="s">
        <v>8352</v>
      </c>
      <c r="D297" s="1" t="str">
        <f>VLOOKUP(C297,t_objeto!B:C,2,FALSE)</f>
        <v>METHOD_INSTRUCTION</v>
      </c>
      <c r="E297" s="1">
        <v>8</v>
      </c>
      <c r="F297" s="1" t="str">
        <f>VLOOKUP(E297,t_entry_status!A:C,2,FALSE)</f>
        <v>PENDING</v>
      </c>
      <c r="G297" s="7">
        <v>45560</v>
      </c>
      <c r="H297" s="1" t="s">
        <v>7449</v>
      </c>
      <c r="I297" s="7">
        <v>45560</v>
      </c>
      <c r="J297" s="1" t="s">
        <v>7449</v>
      </c>
    </row>
    <row r="298" spans="1:10" x14ac:dyDescent="0.25">
      <c r="A298" s="1">
        <v>297</v>
      </c>
      <c r="B298" s="2" t="str">
        <f>_xlfn.CONCAT(C298,"-",VLOOKUP(C298,t_objeto!B:D,3,FALSE),"-",A298)</f>
        <v>MMII-PERCCO-297</v>
      </c>
      <c r="C298" s="1" t="s">
        <v>8352</v>
      </c>
      <c r="D298" s="1" t="str">
        <f>VLOOKUP(C298,t_objeto!B:C,2,FALSE)</f>
        <v>METHOD_INSTRUCTION</v>
      </c>
      <c r="E298" s="1">
        <v>8</v>
      </c>
      <c r="F298" s="1" t="str">
        <f>VLOOKUP(E298,t_entry_status!A:C,2,FALSE)</f>
        <v>PENDING</v>
      </c>
      <c r="G298" s="7">
        <v>45560</v>
      </c>
      <c r="H298" s="1" t="s">
        <v>7449</v>
      </c>
      <c r="I298" s="7">
        <v>45560</v>
      </c>
      <c r="J298" s="1" t="s">
        <v>7449</v>
      </c>
    </row>
    <row r="299" spans="1:10" x14ac:dyDescent="0.25">
      <c r="A299" s="1">
        <v>298</v>
      </c>
      <c r="B299" s="2" t="str">
        <f>_xlfn.CONCAT(C299,"-",VLOOKUP(C299,t_objeto!B:D,3,FALSE),"-",A299)</f>
        <v>MMII-PERCCO-298</v>
      </c>
      <c r="C299" s="1" t="s">
        <v>8352</v>
      </c>
      <c r="D299" s="1" t="str">
        <f>VLOOKUP(C299,t_objeto!B:C,2,FALSE)</f>
        <v>METHOD_INSTRUCTION</v>
      </c>
      <c r="E299" s="1">
        <v>8</v>
      </c>
      <c r="F299" s="1" t="str">
        <f>VLOOKUP(E299,t_entry_status!A:C,2,FALSE)</f>
        <v>PENDING</v>
      </c>
      <c r="G299" s="7">
        <v>45560</v>
      </c>
      <c r="H299" s="1" t="s">
        <v>7449</v>
      </c>
      <c r="I299" s="7">
        <v>45560</v>
      </c>
      <c r="J299" s="1" t="s">
        <v>7449</v>
      </c>
    </row>
    <row r="300" spans="1:10" x14ac:dyDescent="0.25">
      <c r="A300" s="1">
        <v>299</v>
      </c>
      <c r="B300" s="2" t="str">
        <f>_xlfn.CONCAT(C300,"-",VLOOKUP(C300,t_objeto!B:D,3,FALSE),"-",A300)</f>
        <v>MMII-PERCCO-299</v>
      </c>
      <c r="C300" s="1" t="s">
        <v>8352</v>
      </c>
      <c r="D300" s="1" t="str">
        <f>VLOOKUP(C300,t_objeto!B:C,2,FALSE)</f>
        <v>METHOD_INSTRUCTION</v>
      </c>
      <c r="E300" s="1">
        <v>8</v>
      </c>
      <c r="F300" s="1" t="str">
        <f>VLOOKUP(E300,t_entry_status!A:C,2,FALSE)</f>
        <v>PENDING</v>
      </c>
      <c r="G300" s="7">
        <v>45560</v>
      </c>
      <c r="H300" s="1" t="s">
        <v>7449</v>
      </c>
      <c r="I300" s="7">
        <v>45560</v>
      </c>
      <c r="J300" s="1" t="s">
        <v>7449</v>
      </c>
    </row>
    <row r="301" spans="1:10" x14ac:dyDescent="0.25">
      <c r="A301" s="1">
        <v>300</v>
      </c>
      <c r="B301" s="2" t="str">
        <f>_xlfn.CONCAT(C301,"-",VLOOKUP(C301,t_objeto!B:D,3,FALSE),"-",A301)</f>
        <v>MMII-PERCCO-300</v>
      </c>
      <c r="C301" s="1" t="s">
        <v>8352</v>
      </c>
      <c r="D301" s="1" t="str">
        <f>VLOOKUP(C301,t_objeto!B:C,2,FALSE)</f>
        <v>METHOD_INSTRUCTION</v>
      </c>
      <c r="E301" s="1">
        <v>8</v>
      </c>
      <c r="F301" s="1" t="str">
        <f>VLOOKUP(E301,t_entry_status!A:C,2,FALSE)</f>
        <v>PENDING</v>
      </c>
      <c r="G301" s="7">
        <v>45560</v>
      </c>
      <c r="H301" s="1" t="s">
        <v>7449</v>
      </c>
      <c r="I301" s="7">
        <v>45560</v>
      </c>
      <c r="J301" s="1" t="s">
        <v>7449</v>
      </c>
    </row>
    <row r="302" spans="1:10" x14ac:dyDescent="0.25">
      <c r="A302" s="1">
        <v>301</v>
      </c>
      <c r="B302" s="2" t="str">
        <f>_xlfn.CONCAT(C302,"-",VLOOKUP(C302,t_objeto!B:D,3,FALSE),"-",A302)</f>
        <v>MMII-PERCCO-301</v>
      </c>
      <c r="C302" s="1" t="s">
        <v>8352</v>
      </c>
      <c r="D302" s="1" t="str">
        <f>VLOOKUP(C302,t_objeto!B:C,2,FALSE)</f>
        <v>METHOD_INSTRUCTION</v>
      </c>
      <c r="E302" s="1">
        <v>8</v>
      </c>
      <c r="F302" s="1" t="str">
        <f>VLOOKUP(E302,t_entry_status!A:C,2,FALSE)</f>
        <v>PENDING</v>
      </c>
      <c r="G302" s="7">
        <v>45560</v>
      </c>
      <c r="H302" s="1" t="s">
        <v>7449</v>
      </c>
      <c r="I302" s="7">
        <v>45560</v>
      </c>
      <c r="J302" s="1" t="s">
        <v>7449</v>
      </c>
    </row>
    <row r="303" spans="1:10" x14ac:dyDescent="0.25">
      <c r="A303" s="1">
        <v>302</v>
      </c>
      <c r="B303" s="2" t="str">
        <f>_xlfn.CONCAT(C303,"-",VLOOKUP(C303,t_objeto!B:D,3,FALSE),"-",A303)</f>
        <v>MMII-PERCCO-302</v>
      </c>
      <c r="C303" s="1" t="s">
        <v>8352</v>
      </c>
      <c r="D303" s="1" t="str">
        <f>VLOOKUP(C303,t_objeto!B:C,2,FALSE)</f>
        <v>METHOD_INSTRUCTION</v>
      </c>
      <c r="E303" s="1">
        <v>8</v>
      </c>
      <c r="F303" s="1" t="str">
        <f>VLOOKUP(E303,t_entry_status!A:C,2,FALSE)</f>
        <v>PENDING</v>
      </c>
      <c r="G303" s="7">
        <v>45560</v>
      </c>
      <c r="H303" s="1" t="s">
        <v>7449</v>
      </c>
      <c r="I303" s="7">
        <v>45560</v>
      </c>
      <c r="J303" s="1" t="s">
        <v>7449</v>
      </c>
    </row>
    <row r="304" spans="1:10" x14ac:dyDescent="0.25">
      <c r="A304" s="1">
        <v>303</v>
      </c>
      <c r="B304" s="2" t="str">
        <f>_xlfn.CONCAT(C304,"-",VLOOKUP(C304,t_objeto!B:D,3,FALSE),"-",A304)</f>
        <v>MMII-PERCCO-303</v>
      </c>
      <c r="C304" s="1" t="s">
        <v>8352</v>
      </c>
      <c r="D304" s="1" t="str">
        <f>VLOOKUP(C304,t_objeto!B:C,2,FALSE)</f>
        <v>METHOD_INSTRUCTION</v>
      </c>
      <c r="E304" s="1">
        <v>8</v>
      </c>
      <c r="F304" s="1" t="str">
        <f>VLOOKUP(E304,t_entry_status!A:C,2,FALSE)</f>
        <v>PENDING</v>
      </c>
      <c r="G304" s="7">
        <v>45560</v>
      </c>
      <c r="H304" s="1" t="s">
        <v>7449</v>
      </c>
      <c r="I304" s="7">
        <v>45560</v>
      </c>
      <c r="J304" s="1" t="s">
        <v>7449</v>
      </c>
    </row>
    <row r="305" spans="1:10" x14ac:dyDescent="0.25">
      <c r="A305" s="1">
        <v>304</v>
      </c>
      <c r="B305" s="2" t="str">
        <f>_xlfn.CONCAT(C305,"-",VLOOKUP(C305,t_objeto!B:D,3,FALSE),"-",A305)</f>
        <v>MMII-PERCCO-304</v>
      </c>
      <c r="C305" s="1" t="s">
        <v>8352</v>
      </c>
      <c r="D305" s="1" t="str">
        <f>VLOOKUP(C305,t_objeto!B:C,2,FALSE)</f>
        <v>METHOD_INSTRUCTION</v>
      </c>
      <c r="E305" s="1">
        <v>8</v>
      </c>
      <c r="F305" s="1" t="str">
        <f>VLOOKUP(E305,t_entry_status!A:C,2,FALSE)</f>
        <v>PENDING</v>
      </c>
      <c r="G305" s="7">
        <v>45560</v>
      </c>
      <c r="H305" s="1" t="s">
        <v>7449</v>
      </c>
      <c r="I305" s="7">
        <v>45560</v>
      </c>
      <c r="J305" s="1" t="s">
        <v>7449</v>
      </c>
    </row>
    <row r="306" spans="1:10" x14ac:dyDescent="0.25">
      <c r="A306" s="1">
        <v>305</v>
      </c>
      <c r="B306" s="2" t="str">
        <f>_xlfn.CONCAT(C306,"-",VLOOKUP(C306,t_objeto!B:D,3,FALSE),"-",A306)</f>
        <v>MMII-PERCCO-305</v>
      </c>
      <c r="C306" s="1" t="s">
        <v>8352</v>
      </c>
      <c r="D306" s="1" t="str">
        <f>VLOOKUP(C306,t_objeto!B:C,2,FALSE)</f>
        <v>METHOD_INSTRUCTION</v>
      </c>
      <c r="E306" s="1">
        <v>8</v>
      </c>
      <c r="F306" s="1" t="str">
        <f>VLOOKUP(E306,t_entry_status!A:C,2,FALSE)</f>
        <v>PENDING</v>
      </c>
      <c r="G306" s="7">
        <v>45560</v>
      </c>
      <c r="H306" s="1" t="s">
        <v>7449</v>
      </c>
      <c r="I306" s="7">
        <v>45560</v>
      </c>
      <c r="J306" s="1" t="s">
        <v>7449</v>
      </c>
    </row>
    <row r="307" spans="1:10" x14ac:dyDescent="0.25">
      <c r="A307" s="1">
        <v>306</v>
      </c>
      <c r="B307" s="2" t="str">
        <f>_xlfn.CONCAT(C307,"-",VLOOKUP(C307,t_objeto!B:D,3,FALSE),"-",A307)</f>
        <v>MMII-PERCCO-306</v>
      </c>
      <c r="C307" s="1" t="s">
        <v>8352</v>
      </c>
      <c r="D307" s="1" t="str">
        <f>VLOOKUP(C307,t_objeto!B:C,2,FALSE)</f>
        <v>METHOD_INSTRUCTION</v>
      </c>
      <c r="E307" s="1">
        <v>8</v>
      </c>
      <c r="F307" s="1" t="str">
        <f>VLOOKUP(E307,t_entry_status!A:C,2,FALSE)</f>
        <v>PENDING</v>
      </c>
      <c r="G307" s="7">
        <v>45560</v>
      </c>
      <c r="H307" s="1" t="s">
        <v>7449</v>
      </c>
      <c r="I307" s="7">
        <v>45560</v>
      </c>
      <c r="J307" s="1" t="s">
        <v>7449</v>
      </c>
    </row>
    <row r="308" spans="1:10" x14ac:dyDescent="0.25">
      <c r="A308" s="1">
        <v>307</v>
      </c>
      <c r="B308" s="2" t="str">
        <f>_xlfn.CONCAT(C308,"-",VLOOKUP(C308,t_objeto!B:D,3,FALSE),"-",A308)</f>
        <v>MMII-PERCCO-307</v>
      </c>
      <c r="C308" s="1" t="s">
        <v>8352</v>
      </c>
      <c r="D308" s="1" t="str">
        <f>VLOOKUP(C308,t_objeto!B:C,2,FALSE)</f>
        <v>METHOD_INSTRUCTION</v>
      </c>
      <c r="E308" s="1">
        <v>8</v>
      </c>
      <c r="F308" s="1" t="str">
        <f>VLOOKUP(E308,t_entry_status!A:C,2,FALSE)</f>
        <v>PENDING</v>
      </c>
      <c r="G308" s="7">
        <v>45560</v>
      </c>
      <c r="H308" s="1" t="s">
        <v>7449</v>
      </c>
      <c r="I308" s="7">
        <v>45560</v>
      </c>
      <c r="J308" s="1" t="s">
        <v>7449</v>
      </c>
    </row>
    <row r="309" spans="1:10" x14ac:dyDescent="0.25">
      <c r="A309" s="1">
        <v>308</v>
      </c>
      <c r="B309" s="2" t="str">
        <f>_xlfn.CONCAT(C309,"-",VLOOKUP(C309,t_objeto!B:D,3,FALSE),"-",A309)</f>
        <v>MMII-PERCCO-308</v>
      </c>
      <c r="C309" s="1" t="s">
        <v>8352</v>
      </c>
      <c r="D309" s="1" t="str">
        <f>VLOOKUP(C309,t_objeto!B:C,2,FALSE)</f>
        <v>METHOD_INSTRUCTION</v>
      </c>
      <c r="E309" s="1">
        <v>8</v>
      </c>
      <c r="F309" s="1" t="str">
        <f>VLOOKUP(E309,t_entry_status!A:C,2,FALSE)</f>
        <v>PENDING</v>
      </c>
      <c r="G309" s="7">
        <v>45560</v>
      </c>
      <c r="H309" s="1" t="s">
        <v>7449</v>
      </c>
      <c r="I309" s="7">
        <v>45560</v>
      </c>
      <c r="J309" s="1" t="s">
        <v>7449</v>
      </c>
    </row>
    <row r="310" spans="1:10" x14ac:dyDescent="0.25">
      <c r="A310" s="1">
        <v>309</v>
      </c>
      <c r="B310" s="2" t="str">
        <f>_xlfn.CONCAT(C310,"-",VLOOKUP(C310,t_objeto!B:D,3,FALSE),"-",A310)</f>
        <v>MMII-PERCCO-309</v>
      </c>
      <c r="C310" s="1" t="s">
        <v>8352</v>
      </c>
      <c r="D310" s="1" t="str">
        <f>VLOOKUP(C310,t_objeto!B:C,2,FALSE)</f>
        <v>METHOD_INSTRUCTION</v>
      </c>
      <c r="E310" s="1">
        <v>8</v>
      </c>
      <c r="F310" s="1" t="str">
        <f>VLOOKUP(E310,t_entry_status!A:C,2,FALSE)</f>
        <v>PENDING</v>
      </c>
      <c r="G310" s="7">
        <v>45560</v>
      </c>
      <c r="H310" s="1" t="s">
        <v>7449</v>
      </c>
      <c r="I310" s="7">
        <v>45560</v>
      </c>
      <c r="J310" s="1" t="s">
        <v>7449</v>
      </c>
    </row>
    <row r="311" spans="1:10" x14ac:dyDescent="0.25">
      <c r="A311" s="1">
        <v>310</v>
      </c>
      <c r="B311" s="2" t="str">
        <f>_xlfn.CONCAT(C311,"-",VLOOKUP(C311,t_objeto!B:D,3,FALSE),"-",A311)</f>
        <v>MMII-PERCCO-310</v>
      </c>
      <c r="C311" s="1" t="s">
        <v>8352</v>
      </c>
      <c r="D311" s="1" t="str">
        <f>VLOOKUP(C311,t_objeto!B:C,2,FALSE)</f>
        <v>METHOD_INSTRUCTION</v>
      </c>
      <c r="E311" s="1">
        <v>8</v>
      </c>
      <c r="F311" s="1" t="str">
        <f>VLOOKUP(E311,t_entry_status!A:C,2,FALSE)</f>
        <v>PENDING</v>
      </c>
      <c r="G311" s="7">
        <v>45560</v>
      </c>
      <c r="H311" s="1" t="s">
        <v>7449</v>
      </c>
      <c r="I311" s="7">
        <v>45560</v>
      </c>
      <c r="J311" s="1" t="s">
        <v>7449</v>
      </c>
    </row>
    <row r="312" spans="1:10" x14ac:dyDescent="0.25">
      <c r="A312" s="1">
        <v>311</v>
      </c>
      <c r="B312" s="2" t="str">
        <f>_xlfn.CONCAT(C312,"-",VLOOKUP(C312,t_objeto!B:D,3,FALSE),"-",A312)</f>
        <v>MMII-PERCCO-311</v>
      </c>
      <c r="C312" s="1" t="s">
        <v>8352</v>
      </c>
      <c r="D312" s="1" t="str">
        <f>VLOOKUP(C312,t_objeto!B:C,2,FALSE)</f>
        <v>METHOD_INSTRUCTION</v>
      </c>
      <c r="E312" s="1">
        <v>8</v>
      </c>
      <c r="F312" s="1" t="str">
        <f>VLOOKUP(E312,t_entry_status!A:C,2,FALSE)</f>
        <v>PENDING</v>
      </c>
      <c r="G312" s="7">
        <v>45560</v>
      </c>
      <c r="H312" s="1" t="s">
        <v>7449</v>
      </c>
      <c r="I312" s="7">
        <v>45560</v>
      </c>
      <c r="J312" s="1" t="s">
        <v>7449</v>
      </c>
    </row>
    <row r="313" spans="1:10" x14ac:dyDescent="0.25">
      <c r="A313" s="1">
        <v>312</v>
      </c>
      <c r="B313" s="2" t="str">
        <f>_xlfn.CONCAT(C313,"-",VLOOKUP(C313,t_objeto!B:D,3,FALSE),"-",A313)</f>
        <v>MMII-PERCCO-312</v>
      </c>
      <c r="C313" s="1" t="s">
        <v>8352</v>
      </c>
      <c r="D313" s="1" t="str">
        <f>VLOOKUP(C313,t_objeto!B:C,2,FALSE)</f>
        <v>METHOD_INSTRUCTION</v>
      </c>
      <c r="E313" s="1">
        <v>8</v>
      </c>
      <c r="F313" s="1" t="str">
        <f>VLOOKUP(E313,t_entry_status!A:C,2,FALSE)</f>
        <v>PENDING</v>
      </c>
      <c r="G313" s="7">
        <v>45560</v>
      </c>
      <c r="H313" s="1" t="s">
        <v>7449</v>
      </c>
      <c r="I313" s="7">
        <v>45560</v>
      </c>
      <c r="J313" s="1" t="s">
        <v>7449</v>
      </c>
    </row>
    <row r="314" spans="1:10" x14ac:dyDescent="0.25">
      <c r="A314" s="1">
        <v>313</v>
      </c>
      <c r="B314" s="2" t="str">
        <f>_xlfn.CONCAT(C314,"-",VLOOKUP(C314,t_objeto!B:D,3,FALSE),"-",A314)</f>
        <v>MMII-PERCCO-313</v>
      </c>
      <c r="C314" s="1" t="s">
        <v>8352</v>
      </c>
      <c r="D314" s="1" t="str">
        <f>VLOOKUP(C314,t_objeto!B:C,2,FALSE)</f>
        <v>METHOD_INSTRUCTION</v>
      </c>
      <c r="E314" s="1">
        <v>8</v>
      </c>
      <c r="F314" s="1" t="str">
        <f>VLOOKUP(E314,t_entry_status!A:C,2,FALSE)</f>
        <v>PENDING</v>
      </c>
      <c r="G314" s="7">
        <v>45560</v>
      </c>
      <c r="H314" s="1" t="s">
        <v>7449</v>
      </c>
      <c r="I314" s="7">
        <v>45560</v>
      </c>
      <c r="J314" s="1" t="s">
        <v>7449</v>
      </c>
    </row>
    <row r="315" spans="1:10" x14ac:dyDescent="0.25">
      <c r="A315" s="1">
        <v>314</v>
      </c>
      <c r="B315" s="2" t="str">
        <f>_xlfn.CONCAT(C315,"-",VLOOKUP(C315,t_objeto!B:D,3,FALSE),"-",A315)</f>
        <v>MMII-PERCCO-314</v>
      </c>
      <c r="C315" s="1" t="s">
        <v>8352</v>
      </c>
      <c r="D315" s="1" t="str">
        <f>VLOOKUP(C315,t_objeto!B:C,2,FALSE)</f>
        <v>METHOD_INSTRUCTION</v>
      </c>
      <c r="E315" s="1">
        <v>8</v>
      </c>
      <c r="F315" s="1" t="str">
        <f>VLOOKUP(E315,t_entry_status!A:C,2,FALSE)</f>
        <v>PENDING</v>
      </c>
      <c r="G315" s="7">
        <v>45560</v>
      </c>
      <c r="H315" s="1" t="s">
        <v>7449</v>
      </c>
      <c r="I315" s="7">
        <v>45560</v>
      </c>
      <c r="J315" s="1" t="s">
        <v>7449</v>
      </c>
    </row>
    <row r="316" spans="1:10" x14ac:dyDescent="0.25">
      <c r="A316" s="1">
        <v>315</v>
      </c>
      <c r="B316" s="2" t="str">
        <f>_xlfn.CONCAT(C316,"-",VLOOKUP(C316,t_objeto!B:D,3,FALSE),"-",A316)</f>
        <v>MMII-PERCCO-315</v>
      </c>
      <c r="C316" s="1" t="s">
        <v>8352</v>
      </c>
      <c r="D316" s="1" t="str">
        <f>VLOOKUP(C316,t_objeto!B:C,2,FALSE)</f>
        <v>METHOD_INSTRUCTION</v>
      </c>
      <c r="E316" s="1">
        <v>8</v>
      </c>
      <c r="F316" s="1" t="str">
        <f>VLOOKUP(E316,t_entry_status!A:C,2,FALSE)</f>
        <v>PENDING</v>
      </c>
      <c r="G316" s="7">
        <v>45560</v>
      </c>
      <c r="H316" s="1" t="s">
        <v>7449</v>
      </c>
      <c r="I316" s="7">
        <v>45560</v>
      </c>
      <c r="J316" s="1" t="s">
        <v>7449</v>
      </c>
    </row>
    <row r="317" spans="1:10" x14ac:dyDescent="0.25">
      <c r="A317" s="1">
        <v>316</v>
      </c>
      <c r="B317" s="2" t="str">
        <f>_xlfn.CONCAT(C317,"-",VLOOKUP(C317,t_objeto!B:D,3,FALSE),"-",A317)</f>
        <v>MMII-PERCCO-316</v>
      </c>
      <c r="C317" s="1" t="s">
        <v>8352</v>
      </c>
      <c r="D317" s="1" t="str">
        <f>VLOOKUP(C317,t_objeto!B:C,2,FALSE)</f>
        <v>METHOD_INSTRUCTION</v>
      </c>
      <c r="E317" s="1">
        <v>8</v>
      </c>
      <c r="F317" s="1" t="str">
        <f>VLOOKUP(E317,t_entry_status!A:C,2,FALSE)</f>
        <v>PENDING</v>
      </c>
      <c r="G317" s="7">
        <v>45560</v>
      </c>
      <c r="H317" s="1" t="s">
        <v>7449</v>
      </c>
      <c r="I317" s="7">
        <v>45560</v>
      </c>
      <c r="J317" s="1" t="s">
        <v>7449</v>
      </c>
    </row>
    <row r="318" spans="1:10" x14ac:dyDescent="0.25">
      <c r="A318" s="1">
        <v>317</v>
      </c>
      <c r="B318" s="2" t="str">
        <f>_xlfn.CONCAT(C318,"-",VLOOKUP(C318,t_objeto!B:D,3,FALSE),"-",A318)</f>
        <v>MMII-PERCCO-317</v>
      </c>
      <c r="C318" s="1" t="s">
        <v>8352</v>
      </c>
      <c r="D318" s="1" t="str">
        <f>VLOOKUP(C318,t_objeto!B:C,2,FALSE)</f>
        <v>METHOD_INSTRUCTION</v>
      </c>
      <c r="E318" s="1">
        <v>8</v>
      </c>
      <c r="F318" s="1" t="str">
        <f>VLOOKUP(E318,t_entry_status!A:C,2,FALSE)</f>
        <v>PENDING</v>
      </c>
      <c r="G318" s="7">
        <v>45560</v>
      </c>
      <c r="H318" s="1" t="s">
        <v>7449</v>
      </c>
      <c r="I318" s="7">
        <v>45560</v>
      </c>
      <c r="J318" s="1" t="s">
        <v>7449</v>
      </c>
    </row>
    <row r="319" spans="1:10" x14ac:dyDescent="0.25">
      <c r="A319" s="1">
        <v>318</v>
      </c>
      <c r="B319" s="2" t="str">
        <f>_xlfn.CONCAT(C319,"-",VLOOKUP(C319,t_objeto!B:D,3,FALSE),"-",A319)</f>
        <v>MMII-PERCCO-318</v>
      </c>
      <c r="C319" s="1" t="s">
        <v>8352</v>
      </c>
      <c r="D319" s="1" t="str">
        <f>VLOOKUP(C319,t_objeto!B:C,2,FALSE)</f>
        <v>METHOD_INSTRUCTION</v>
      </c>
      <c r="E319" s="1">
        <v>8</v>
      </c>
      <c r="F319" s="1" t="str">
        <f>VLOOKUP(E319,t_entry_status!A:C,2,FALSE)</f>
        <v>PENDING</v>
      </c>
      <c r="G319" s="7">
        <v>45560</v>
      </c>
      <c r="H319" s="1" t="s">
        <v>7449</v>
      </c>
      <c r="I319" s="7">
        <v>45560</v>
      </c>
      <c r="J319" s="1" t="s">
        <v>7449</v>
      </c>
    </row>
    <row r="320" spans="1:10" x14ac:dyDescent="0.25">
      <c r="A320" s="1">
        <v>319</v>
      </c>
      <c r="B320" s="2" t="str">
        <f>_xlfn.CONCAT(C320,"-",VLOOKUP(C320,t_objeto!B:D,3,FALSE),"-",A320)</f>
        <v>MMII-PERCCO-319</v>
      </c>
      <c r="C320" s="1" t="s">
        <v>8352</v>
      </c>
      <c r="D320" s="1" t="str">
        <f>VLOOKUP(C320,t_objeto!B:C,2,FALSE)</f>
        <v>METHOD_INSTRUCTION</v>
      </c>
      <c r="E320" s="1">
        <v>8</v>
      </c>
      <c r="F320" s="1" t="str">
        <f>VLOOKUP(E320,t_entry_status!A:C,2,FALSE)</f>
        <v>PENDING</v>
      </c>
      <c r="G320" s="7">
        <v>45560</v>
      </c>
      <c r="H320" s="1" t="s">
        <v>7449</v>
      </c>
      <c r="I320" s="7">
        <v>45560</v>
      </c>
      <c r="J320" s="1" t="s">
        <v>7449</v>
      </c>
    </row>
    <row r="321" spans="1:10" x14ac:dyDescent="0.25">
      <c r="A321" s="1">
        <v>320</v>
      </c>
      <c r="B321" s="2" t="str">
        <f>_xlfn.CONCAT(C321,"-",VLOOKUP(C321,t_objeto!B:D,3,FALSE),"-",A321)</f>
        <v>MMII-PERCCO-320</v>
      </c>
      <c r="C321" s="1" t="s">
        <v>8352</v>
      </c>
      <c r="D321" s="1" t="str">
        <f>VLOOKUP(C321,t_objeto!B:C,2,FALSE)</f>
        <v>METHOD_INSTRUCTION</v>
      </c>
      <c r="E321" s="1">
        <v>8</v>
      </c>
      <c r="F321" s="1" t="str">
        <f>VLOOKUP(E321,t_entry_status!A:C,2,FALSE)</f>
        <v>PENDING</v>
      </c>
      <c r="G321" s="7">
        <v>45560</v>
      </c>
      <c r="H321" s="1" t="s">
        <v>7449</v>
      </c>
      <c r="I321" s="7">
        <v>45560</v>
      </c>
      <c r="J321" s="1" t="s">
        <v>7449</v>
      </c>
    </row>
    <row r="322" spans="1:10" x14ac:dyDescent="0.25">
      <c r="A322" s="1">
        <v>321</v>
      </c>
      <c r="B322" s="2" t="str">
        <f>_xlfn.CONCAT(C322,"-",VLOOKUP(C322,t_objeto!B:D,3,FALSE),"-",A322)</f>
        <v>MMII-PERCCO-321</v>
      </c>
      <c r="C322" s="1" t="s">
        <v>8352</v>
      </c>
      <c r="D322" s="1" t="str">
        <f>VLOOKUP(C322,t_objeto!B:C,2,FALSE)</f>
        <v>METHOD_INSTRUCTION</v>
      </c>
      <c r="E322" s="1">
        <v>8</v>
      </c>
      <c r="F322" s="1" t="str">
        <f>VLOOKUP(E322,t_entry_status!A:C,2,FALSE)</f>
        <v>PENDING</v>
      </c>
      <c r="G322" s="7">
        <v>45560</v>
      </c>
      <c r="H322" s="1" t="s">
        <v>7449</v>
      </c>
      <c r="I322" s="7">
        <v>45560</v>
      </c>
      <c r="J322" s="1" t="s">
        <v>7449</v>
      </c>
    </row>
    <row r="323" spans="1:10" x14ac:dyDescent="0.25">
      <c r="A323" s="1">
        <v>322</v>
      </c>
      <c r="B323" s="2" t="str">
        <f>_xlfn.CONCAT(C323,"-",VLOOKUP(C323,t_objeto!B:D,3,FALSE),"-",A323)</f>
        <v>MMII-PERCCO-322</v>
      </c>
      <c r="C323" s="1" t="s">
        <v>8352</v>
      </c>
      <c r="D323" s="1" t="str">
        <f>VLOOKUP(C323,t_objeto!B:C,2,FALSE)</f>
        <v>METHOD_INSTRUCTION</v>
      </c>
      <c r="E323" s="1">
        <v>8</v>
      </c>
      <c r="F323" s="1" t="str">
        <f>VLOOKUP(E323,t_entry_status!A:C,2,FALSE)</f>
        <v>PENDING</v>
      </c>
      <c r="G323" s="7">
        <v>45560</v>
      </c>
      <c r="H323" s="1" t="s">
        <v>7449</v>
      </c>
      <c r="I323" s="7">
        <v>45560</v>
      </c>
      <c r="J323" s="1" t="s">
        <v>7449</v>
      </c>
    </row>
    <row r="324" spans="1:10" x14ac:dyDescent="0.25">
      <c r="A324" s="1">
        <v>323</v>
      </c>
      <c r="B324" s="2" t="str">
        <f>_xlfn.CONCAT(C324,"-",VLOOKUP(C324,t_objeto!B:D,3,FALSE),"-",A324)</f>
        <v>MMII-PERCCO-323</v>
      </c>
      <c r="C324" s="1" t="s">
        <v>8352</v>
      </c>
      <c r="D324" s="1" t="str">
        <f>VLOOKUP(C324,t_objeto!B:C,2,FALSE)</f>
        <v>METHOD_INSTRUCTION</v>
      </c>
      <c r="E324" s="1">
        <v>8</v>
      </c>
      <c r="F324" s="1" t="str">
        <f>VLOOKUP(E324,t_entry_status!A:C,2,FALSE)</f>
        <v>PENDING</v>
      </c>
      <c r="G324" s="7">
        <v>45560</v>
      </c>
      <c r="H324" s="1" t="s">
        <v>7449</v>
      </c>
      <c r="I324" s="7">
        <v>45560</v>
      </c>
      <c r="J324" s="1" t="s">
        <v>7449</v>
      </c>
    </row>
    <row r="325" spans="1:10" x14ac:dyDescent="0.25">
      <c r="A325" s="1">
        <v>324</v>
      </c>
      <c r="B325" s="2" t="str">
        <f>_xlfn.CONCAT(C325,"-",VLOOKUP(C325,t_objeto!B:D,3,FALSE),"-",A325)</f>
        <v>MMII-PERCCO-324</v>
      </c>
      <c r="C325" s="1" t="s">
        <v>8352</v>
      </c>
      <c r="D325" s="1" t="str">
        <f>VLOOKUP(C325,t_objeto!B:C,2,FALSE)</f>
        <v>METHOD_INSTRUCTION</v>
      </c>
      <c r="E325" s="1">
        <v>8</v>
      </c>
      <c r="F325" s="1" t="str">
        <f>VLOOKUP(E325,t_entry_status!A:C,2,FALSE)</f>
        <v>PENDING</v>
      </c>
      <c r="G325" s="7">
        <v>45560</v>
      </c>
      <c r="H325" s="1" t="s">
        <v>7449</v>
      </c>
      <c r="I325" s="7">
        <v>45560</v>
      </c>
      <c r="J325" s="1" t="s">
        <v>7449</v>
      </c>
    </row>
    <row r="326" spans="1:10" x14ac:dyDescent="0.25">
      <c r="A326" s="1">
        <v>325</v>
      </c>
      <c r="B326" s="2" t="str">
        <f>_xlfn.CONCAT(C326,"-",VLOOKUP(C326,t_objeto!B:D,3,FALSE),"-",A326)</f>
        <v>MMII-PERCCO-325</v>
      </c>
      <c r="C326" s="1" t="s">
        <v>8352</v>
      </c>
      <c r="D326" s="1" t="str">
        <f>VLOOKUP(C326,t_objeto!B:C,2,FALSE)</f>
        <v>METHOD_INSTRUCTION</v>
      </c>
      <c r="E326" s="1">
        <v>8</v>
      </c>
      <c r="F326" s="1" t="str">
        <f>VLOOKUP(E326,t_entry_status!A:C,2,FALSE)</f>
        <v>PENDING</v>
      </c>
      <c r="G326" s="7">
        <v>45560</v>
      </c>
      <c r="H326" s="1" t="s">
        <v>7449</v>
      </c>
      <c r="I326" s="7">
        <v>45560</v>
      </c>
      <c r="J326" s="1" t="s">
        <v>7449</v>
      </c>
    </row>
    <row r="327" spans="1:10" x14ac:dyDescent="0.25">
      <c r="A327" s="1">
        <v>326</v>
      </c>
      <c r="B327" s="2" t="str">
        <f>_xlfn.CONCAT(C327,"-",VLOOKUP(C327,t_objeto!B:D,3,FALSE),"-",A327)</f>
        <v>MMII-PERCCO-326</v>
      </c>
      <c r="C327" s="1" t="s">
        <v>8352</v>
      </c>
      <c r="D327" s="1" t="str">
        <f>VLOOKUP(C327,t_objeto!B:C,2,FALSE)</f>
        <v>METHOD_INSTRUCTION</v>
      </c>
      <c r="E327" s="1">
        <v>8</v>
      </c>
      <c r="F327" s="1" t="str">
        <f>VLOOKUP(E327,t_entry_status!A:C,2,FALSE)</f>
        <v>PENDING</v>
      </c>
      <c r="G327" s="7">
        <v>45560</v>
      </c>
      <c r="H327" s="1" t="s">
        <v>7449</v>
      </c>
      <c r="I327" s="7">
        <v>45560</v>
      </c>
      <c r="J327" s="1" t="s">
        <v>7449</v>
      </c>
    </row>
    <row r="328" spans="1:10" x14ac:dyDescent="0.25">
      <c r="A328" s="1">
        <v>327</v>
      </c>
      <c r="B328" s="2" t="str">
        <f>_xlfn.CONCAT(C328,"-",VLOOKUP(C328,t_objeto!B:D,3,FALSE),"-",A328)</f>
        <v>MMII-PERCCO-327</v>
      </c>
      <c r="C328" s="1" t="s">
        <v>8352</v>
      </c>
      <c r="D328" s="1" t="str">
        <f>VLOOKUP(C328,t_objeto!B:C,2,FALSE)</f>
        <v>METHOD_INSTRUCTION</v>
      </c>
      <c r="E328" s="1">
        <v>8</v>
      </c>
      <c r="F328" s="1" t="str">
        <f>VLOOKUP(E328,t_entry_status!A:C,2,FALSE)</f>
        <v>PENDING</v>
      </c>
      <c r="G328" s="7">
        <v>45560</v>
      </c>
      <c r="H328" s="1" t="s">
        <v>7449</v>
      </c>
      <c r="I328" s="7">
        <v>45560</v>
      </c>
      <c r="J328" s="1" t="s">
        <v>7449</v>
      </c>
    </row>
    <row r="329" spans="1:10" x14ac:dyDescent="0.25">
      <c r="A329" s="1">
        <v>328</v>
      </c>
      <c r="B329" s="2" t="str">
        <f>_xlfn.CONCAT(C329,"-",VLOOKUP(C329,t_objeto!B:D,3,FALSE),"-",A329)</f>
        <v>MMII-PERCCO-328</v>
      </c>
      <c r="C329" s="1" t="s">
        <v>8352</v>
      </c>
      <c r="D329" s="1" t="str">
        <f>VLOOKUP(C329,t_objeto!B:C,2,FALSE)</f>
        <v>METHOD_INSTRUCTION</v>
      </c>
      <c r="E329" s="1">
        <v>8</v>
      </c>
      <c r="F329" s="1" t="str">
        <f>VLOOKUP(E329,t_entry_status!A:C,2,FALSE)</f>
        <v>PENDING</v>
      </c>
      <c r="G329" s="7">
        <v>45560</v>
      </c>
      <c r="H329" s="1" t="s">
        <v>7449</v>
      </c>
      <c r="I329" s="7">
        <v>45560</v>
      </c>
      <c r="J329" s="1" t="s">
        <v>7449</v>
      </c>
    </row>
    <row r="330" spans="1:10" x14ac:dyDescent="0.25">
      <c r="A330" s="1">
        <v>329</v>
      </c>
      <c r="B330" s="2" t="str">
        <f>_xlfn.CONCAT(C330,"-",VLOOKUP(C330,t_objeto!B:D,3,FALSE),"-",A330)</f>
        <v>MMII-PERCCO-329</v>
      </c>
      <c r="C330" s="1" t="s">
        <v>8352</v>
      </c>
      <c r="D330" s="1" t="str">
        <f>VLOOKUP(C330,t_objeto!B:C,2,FALSE)</f>
        <v>METHOD_INSTRUCTION</v>
      </c>
      <c r="E330" s="1">
        <v>8</v>
      </c>
      <c r="F330" s="1" t="str">
        <f>VLOOKUP(E330,t_entry_status!A:C,2,FALSE)</f>
        <v>PENDING</v>
      </c>
      <c r="G330" s="7">
        <v>45560</v>
      </c>
      <c r="H330" s="1" t="s">
        <v>7449</v>
      </c>
      <c r="I330" s="7">
        <v>45560</v>
      </c>
      <c r="J330" s="1" t="s">
        <v>7449</v>
      </c>
    </row>
    <row r="331" spans="1:10" x14ac:dyDescent="0.25">
      <c r="A331" s="1">
        <v>330</v>
      </c>
      <c r="B331" s="2" t="str">
        <f>_xlfn.CONCAT(C331,"-",VLOOKUP(C331,t_objeto!B:D,3,FALSE),"-",A331)</f>
        <v>MMII-PERCCO-330</v>
      </c>
      <c r="C331" s="1" t="s">
        <v>8352</v>
      </c>
      <c r="D331" s="1" t="str">
        <f>VLOOKUP(C331,t_objeto!B:C,2,FALSE)</f>
        <v>METHOD_INSTRUCTION</v>
      </c>
      <c r="E331" s="1">
        <v>8</v>
      </c>
      <c r="F331" s="1" t="str">
        <f>VLOOKUP(E331,t_entry_status!A:C,2,FALSE)</f>
        <v>PENDING</v>
      </c>
      <c r="G331" s="7">
        <v>45560</v>
      </c>
      <c r="H331" s="1" t="s">
        <v>7449</v>
      </c>
      <c r="I331" s="7">
        <v>45560</v>
      </c>
      <c r="J331" s="1" t="s">
        <v>7449</v>
      </c>
    </row>
    <row r="332" spans="1:10" x14ac:dyDescent="0.25">
      <c r="A332" s="1">
        <v>331</v>
      </c>
      <c r="B332" s="2" t="str">
        <f>_xlfn.CONCAT(C332,"-",VLOOKUP(C332,t_objeto!B:D,3,FALSE),"-",A332)</f>
        <v>MMII-PERCCO-331</v>
      </c>
      <c r="C332" s="1" t="s">
        <v>8352</v>
      </c>
      <c r="D332" s="1" t="str">
        <f>VLOOKUP(C332,t_objeto!B:C,2,FALSE)</f>
        <v>METHOD_INSTRUCTION</v>
      </c>
      <c r="E332" s="1">
        <v>8</v>
      </c>
      <c r="F332" s="1" t="str">
        <f>VLOOKUP(E332,t_entry_status!A:C,2,FALSE)</f>
        <v>PENDING</v>
      </c>
      <c r="G332" s="7">
        <v>45560</v>
      </c>
      <c r="H332" s="1" t="s">
        <v>7449</v>
      </c>
      <c r="I332" s="7">
        <v>45560</v>
      </c>
      <c r="J332" s="1" t="s">
        <v>7449</v>
      </c>
    </row>
    <row r="333" spans="1:10" x14ac:dyDescent="0.25">
      <c r="A333" s="1">
        <v>332</v>
      </c>
      <c r="B333" s="2" t="str">
        <f>_xlfn.CONCAT(C333,"-",VLOOKUP(C333,t_objeto!B:D,3,FALSE),"-",A333)</f>
        <v>MMII-PERCCO-332</v>
      </c>
      <c r="C333" s="1" t="s">
        <v>8352</v>
      </c>
      <c r="D333" s="1" t="str">
        <f>VLOOKUP(C333,t_objeto!B:C,2,FALSE)</f>
        <v>METHOD_INSTRUCTION</v>
      </c>
      <c r="E333" s="1">
        <v>8</v>
      </c>
      <c r="F333" s="1" t="str">
        <f>VLOOKUP(E333,t_entry_status!A:C,2,FALSE)</f>
        <v>PENDING</v>
      </c>
      <c r="G333" s="7">
        <v>45560</v>
      </c>
      <c r="H333" s="1" t="s">
        <v>7449</v>
      </c>
      <c r="I333" s="7">
        <v>45560</v>
      </c>
      <c r="J333" s="1" t="s">
        <v>7449</v>
      </c>
    </row>
    <row r="334" spans="1:10" x14ac:dyDescent="0.25">
      <c r="A334" s="1">
        <v>333</v>
      </c>
      <c r="B334" s="2" t="str">
        <f>_xlfn.CONCAT(C334,"-",VLOOKUP(C334,t_objeto!B:D,3,FALSE),"-",A334)</f>
        <v>MMII-PERCCO-333</v>
      </c>
      <c r="C334" s="1" t="s">
        <v>8352</v>
      </c>
      <c r="D334" s="1" t="str">
        <f>VLOOKUP(C334,t_objeto!B:C,2,FALSE)</f>
        <v>METHOD_INSTRUCTION</v>
      </c>
      <c r="E334" s="1">
        <v>8</v>
      </c>
      <c r="F334" s="1" t="str">
        <f>VLOOKUP(E334,t_entry_status!A:C,2,FALSE)</f>
        <v>PENDING</v>
      </c>
      <c r="G334" s="7">
        <v>45560</v>
      </c>
      <c r="H334" s="1" t="s">
        <v>7449</v>
      </c>
      <c r="I334" s="7">
        <v>45560</v>
      </c>
      <c r="J334" s="1" t="s">
        <v>7449</v>
      </c>
    </row>
    <row r="335" spans="1:10" x14ac:dyDescent="0.25">
      <c r="A335" s="1">
        <v>334</v>
      </c>
      <c r="B335" s="2" t="str">
        <f>_xlfn.CONCAT(C335,"-",VLOOKUP(C335,t_objeto!B:D,3,FALSE),"-",A335)</f>
        <v>MMII-PERCCO-334</v>
      </c>
      <c r="C335" s="1" t="s">
        <v>8352</v>
      </c>
      <c r="D335" s="1" t="str">
        <f>VLOOKUP(C335,t_objeto!B:C,2,FALSE)</f>
        <v>METHOD_INSTRUCTION</v>
      </c>
      <c r="E335" s="1">
        <v>8</v>
      </c>
      <c r="F335" s="1" t="str">
        <f>VLOOKUP(E335,t_entry_status!A:C,2,FALSE)</f>
        <v>PENDING</v>
      </c>
      <c r="G335" s="7">
        <v>45560</v>
      </c>
      <c r="H335" s="1" t="s">
        <v>7449</v>
      </c>
      <c r="I335" s="7">
        <v>45560</v>
      </c>
      <c r="J335" s="1" t="s">
        <v>7449</v>
      </c>
    </row>
    <row r="336" spans="1:10" x14ac:dyDescent="0.25">
      <c r="A336" s="1">
        <v>335</v>
      </c>
      <c r="B336" s="2" t="str">
        <f>_xlfn.CONCAT(C336,"-",VLOOKUP(C336,t_objeto!B:D,3,FALSE),"-",A336)</f>
        <v>MMII-PERCCO-335</v>
      </c>
      <c r="C336" s="1" t="s">
        <v>8352</v>
      </c>
      <c r="D336" s="1" t="str">
        <f>VLOOKUP(C336,t_objeto!B:C,2,FALSE)</f>
        <v>METHOD_INSTRUCTION</v>
      </c>
      <c r="E336" s="1">
        <v>8</v>
      </c>
      <c r="F336" s="1" t="str">
        <f>VLOOKUP(E336,t_entry_status!A:C,2,FALSE)</f>
        <v>PENDING</v>
      </c>
      <c r="G336" s="7">
        <v>45560</v>
      </c>
      <c r="H336" s="1" t="s">
        <v>7449</v>
      </c>
      <c r="I336" s="7">
        <v>45560</v>
      </c>
      <c r="J336" s="1" t="s">
        <v>7449</v>
      </c>
    </row>
    <row r="337" spans="1:10" x14ac:dyDescent="0.25">
      <c r="A337" s="1">
        <v>336</v>
      </c>
      <c r="B337" s="2" t="str">
        <f>_xlfn.CONCAT(C337,"-",VLOOKUP(C337,t_objeto!B:D,3,FALSE),"-",A337)</f>
        <v>MMII-PERCCO-336</v>
      </c>
      <c r="C337" s="1" t="s">
        <v>8352</v>
      </c>
      <c r="D337" s="1" t="str">
        <f>VLOOKUP(C337,t_objeto!B:C,2,FALSE)</f>
        <v>METHOD_INSTRUCTION</v>
      </c>
      <c r="E337" s="1">
        <v>8</v>
      </c>
      <c r="F337" s="1" t="str">
        <f>VLOOKUP(E337,t_entry_status!A:C,2,FALSE)</f>
        <v>PENDING</v>
      </c>
      <c r="G337" s="7">
        <v>45560</v>
      </c>
      <c r="H337" s="1" t="s">
        <v>7449</v>
      </c>
      <c r="I337" s="7">
        <v>45560</v>
      </c>
      <c r="J337" s="1" t="s">
        <v>7449</v>
      </c>
    </row>
    <row r="338" spans="1:10" x14ac:dyDescent="0.25">
      <c r="A338" s="1">
        <v>337</v>
      </c>
      <c r="B338" s="2" t="str">
        <f>_xlfn.CONCAT(C338,"-",VLOOKUP(C338,t_objeto!B:D,3,FALSE),"-",A338)</f>
        <v>MMII-PERCCO-337</v>
      </c>
      <c r="C338" s="1" t="s">
        <v>8352</v>
      </c>
      <c r="D338" s="1" t="str">
        <f>VLOOKUP(C338,t_objeto!B:C,2,FALSE)</f>
        <v>METHOD_INSTRUCTION</v>
      </c>
      <c r="E338" s="1">
        <v>8</v>
      </c>
      <c r="F338" s="1" t="str">
        <f>VLOOKUP(E338,t_entry_status!A:C,2,FALSE)</f>
        <v>PENDING</v>
      </c>
      <c r="G338" s="7">
        <v>45560</v>
      </c>
      <c r="H338" s="1" t="s">
        <v>7449</v>
      </c>
      <c r="I338" s="7">
        <v>45560</v>
      </c>
      <c r="J338" s="1" t="s">
        <v>7449</v>
      </c>
    </row>
    <row r="339" spans="1:10" x14ac:dyDescent="0.25">
      <c r="A339" s="1">
        <v>338</v>
      </c>
      <c r="B339" s="2" t="str">
        <f>_xlfn.CONCAT(C339,"-",VLOOKUP(C339,t_objeto!B:D,3,FALSE),"-",A339)</f>
        <v>MMII-PERCCO-338</v>
      </c>
      <c r="C339" s="1" t="s">
        <v>8352</v>
      </c>
      <c r="D339" s="1" t="str">
        <f>VLOOKUP(C339,t_objeto!B:C,2,FALSE)</f>
        <v>METHOD_INSTRUCTION</v>
      </c>
      <c r="E339" s="1">
        <v>8</v>
      </c>
      <c r="F339" s="1" t="str">
        <f>VLOOKUP(E339,t_entry_status!A:C,2,FALSE)</f>
        <v>PENDING</v>
      </c>
      <c r="G339" s="7">
        <v>45560</v>
      </c>
      <c r="H339" s="1" t="s">
        <v>7449</v>
      </c>
      <c r="I339" s="7">
        <v>45560</v>
      </c>
      <c r="J339" s="1" t="s">
        <v>7449</v>
      </c>
    </row>
    <row r="340" spans="1:10" x14ac:dyDescent="0.25">
      <c r="A340" s="1">
        <v>339</v>
      </c>
      <c r="B340" s="2" t="str">
        <f>_xlfn.CONCAT(C340,"-",VLOOKUP(C340,t_objeto!B:D,3,FALSE),"-",A340)</f>
        <v>MMII-PERCCO-339</v>
      </c>
      <c r="C340" s="1" t="s">
        <v>8352</v>
      </c>
      <c r="D340" s="1" t="str">
        <f>VLOOKUP(C340,t_objeto!B:C,2,FALSE)</f>
        <v>METHOD_INSTRUCTION</v>
      </c>
      <c r="E340" s="1">
        <v>8</v>
      </c>
      <c r="F340" s="1" t="str">
        <f>VLOOKUP(E340,t_entry_status!A:C,2,FALSE)</f>
        <v>PENDING</v>
      </c>
      <c r="G340" s="7">
        <v>45560</v>
      </c>
      <c r="H340" s="1" t="s">
        <v>7449</v>
      </c>
      <c r="I340" s="7">
        <v>45560</v>
      </c>
      <c r="J340" s="1" t="s">
        <v>7449</v>
      </c>
    </row>
    <row r="341" spans="1:10" x14ac:dyDescent="0.25">
      <c r="A341" s="1">
        <v>340</v>
      </c>
      <c r="B341" s="2" t="str">
        <f>_xlfn.CONCAT(C341,"-",VLOOKUP(C341,t_objeto!B:D,3,FALSE),"-",A341)</f>
        <v>MMII-PERCCO-340</v>
      </c>
      <c r="C341" s="1" t="s">
        <v>8352</v>
      </c>
      <c r="D341" s="1" t="str">
        <f>VLOOKUP(C341,t_objeto!B:C,2,FALSE)</f>
        <v>METHOD_INSTRUCTION</v>
      </c>
      <c r="E341" s="1">
        <v>8</v>
      </c>
      <c r="F341" s="1" t="str">
        <f>VLOOKUP(E341,t_entry_status!A:C,2,FALSE)</f>
        <v>PENDING</v>
      </c>
      <c r="G341" s="7">
        <v>45560</v>
      </c>
      <c r="H341" s="1" t="s">
        <v>7449</v>
      </c>
      <c r="I341" s="7">
        <v>45560</v>
      </c>
      <c r="J341" s="1" t="s">
        <v>7449</v>
      </c>
    </row>
    <row r="342" spans="1:10" x14ac:dyDescent="0.25">
      <c r="A342" s="1">
        <v>341</v>
      </c>
      <c r="B342" s="2" t="str">
        <f>_xlfn.CONCAT(C342,"-",VLOOKUP(C342,t_objeto!B:D,3,FALSE),"-",A342)</f>
        <v>MMII-PERCCO-341</v>
      </c>
      <c r="C342" s="1" t="s">
        <v>8352</v>
      </c>
      <c r="D342" s="1" t="str">
        <f>VLOOKUP(C342,t_objeto!B:C,2,FALSE)</f>
        <v>METHOD_INSTRUCTION</v>
      </c>
      <c r="E342" s="1">
        <v>8</v>
      </c>
      <c r="F342" s="1" t="str">
        <f>VLOOKUP(E342,t_entry_status!A:C,2,FALSE)</f>
        <v>PENDING</v>
      </c>
      <c r="G342" s="7">
        <v>45560</v>
      </c>
      <c r="H342" s="1" t="s">
        <v>7449</v>
      </c>
      <c r="I342" s="7">
        <v>45560</v>
      </c>
      <c r="J342" s="1" t="s">
        <v>7449</v>
      </c>
    </row>
    <row r="343" spans="1:10" x14ac:dyDescent="0.25">
      <c r="A343" s="1">
        <v>342</v>
      </c>
      <c r="B343" s="2" t="str">
        <f>_xlfn.CONCAT(C343,"-",VLOOKUP(C343,t_objeto!B:D,3,FALSE),"-",A343)</f>
        <v>MMII-PERCCO-342</v>
      </c>
      <c r="C343" s="1" t="s">
        <v>8352</v>
      </c>
      <c r="D343" s="1" t="str">
        <f>VLOOKUP(C343,t_objeto!B:C,2,FALSE)</f>
        <v>METHOD_INSTRUCTION</v>
      </c>
      <c r="E343" s="1">
        <v>8</v>
      </c>
      <c r="F343" s="1" t="str">
        <f>VLOOKUP(E343,t_entry_status!A:C,2,FALSE)</f>
        <v>PENDING</v>
      </c>
      <c r="G343" s="7">
        <v>45560</v>
      </c>
      <c r="H343" s="1" t="s">
        <v>7449</v>
      </c>
      <c r="I343" s="7">
        <v>45560</v>
      </c>
      <c r="J343" s="1" t="s">
        <v>7449</v>
      </c>
    </row>
    <row r="344" spans="1:10" x14ac:dyDescent="0.25">
      <c r="A344" s="1">
        <v>343</v>
      </c>
      <c r="B344" s="2" t="str">
        <f>_xlfn.CONCAT(C344,"-",VLOOKUP(C344,t_objeto!B:D,3,FALSE),"-",A344)</f>
        <v>MMII-PERCCO-343</v>
      </c>
      <c r="C344" s="1" t="s">
        <v>8352</v>
      </c>
      <c r="D344" s="1" t="str">
        <f>VLOOKUP(C344,t_objeto!B:C,2,FALSE)</f>
        <v>METHOD_INSTRUCTION</v>
      </c>
      <c r="E344" s="1">
        <v>8</v>
      </c>
      <c r="F344" s="1" t="str">
        <f>VLOOKUP(E344,t_entry_status!A:C,2,FALSE)</f>
        <v>PENDING</v>
      </c>
      <c r="G344" s="7">
        <v>45560</v>
      </c>
      <c r="H344" s="1" t="s">
        <v>7449</v>
      </c>
      <c r="I344" s="7">
        <v>45560</v>
      </c>
      <c r="J344" s="1" t="s">
        <v>7449</v>
      </c>
    </row>
    <row r="345" spans="1:10" x14ac:dyDescent="0.25">
      <c r="A345" s="1">
        <v>344</v>
      </c>
      <c r="B345" s="2" t="str">
        <f>_xlfn.CONCAT(C345,"-",VLOOKUP(C345,t_objeto!B:D,3,FALSE),"-",A345)</f>
        <v>MMII-PERCCO-344</v>
      </c>
      <c r="C345" s="1" t="s">
        <v>8352</v>
      </c>
      <c r="D345" s="1" t="str">
        <f>VLOOKUP(C345,t_objeto!B:C,2,FALSE)</f>
        <v>METHOD_INSTRUCTION</v>
      </c>
      <c r="E345" s="1">
        <v>8</v>
      </c>
      <c r="F345" s="1" t="str">
        <f>VLOOKUP(E345,t_entry_status!A:C,2,FALSE)</f>
        <v>PENDING</v>
      </c>
      <c r="G345" s="7">
        <v>45560</v>
      </c>
      <c r="H345" s="1" t="s">
        <v>7449</v>
      </c>
      <c r="I345" s="7">
        <v>45560</v>
      </c>
      <c r="J345" s="1" t="s">
        <v>7449</v>
      </c>
    </row>
    <row r="346" spans="1:10" x14ac:dyDescent="0.25">
      <c r="A346" s="1">
        <v>345</v>
      </c>
      <c r="B346" s="2" t="str">
        <f>_xlfn.CONCAT(C346,"-",VLOOKUP(C346,t_objeto!B:D,3,FALSE),"-",A346)</f>
        <v>MMII-PERCCO-345</v>
      </c>
      <c r="C346" s="1" t="s">
        <v>8352</v>
      </c>
      <c r="D346" s="1" t="str">
        <f>VLOOKUP(C346,t_objeto!B:C,2,FALSE)</f>
        <v>METHOD_INSTRUCTION</v>
      </c>
      <c r="E346" s="1">
        <v>8</v>
      </c>
      <c r="F346" s="1" t="str">
        <f>VLOOKUP(E346,t_entry_status!A:C,2,FALSE)</f>
        <v>PENDING</v>
      </c>
      <c r="G346" s="7">
        <v>45560</v>
      </c>
      <c r="H346" s="1" t="s">
        <v>7449</v>
      </c>
      <c r="I346" s="7">
        <v>45560</v>
      </c>
      <c r="J346" s="1" t="s">
        <v>7449</v>
      </c>
    </row>
    <row r="347" spans="1:10" x14ac:dyDescent="0.25">
      <c r="A347" s="1">
        <v>346</v>
      </c>
      <c r="B347" s="2" t="str">
        <f>_xlfn.CONCAT(C347,"-",VLOOKUP(C347,t_objeto!B:D,3,FALSE),"-",A347)</f>
        <v>MMII-PERCCO-346</v>
      </c>
      <c r="C347" s="1" t="s">
        <v>8352</v>
      </c>
      <c r="D347" s="1" t="str">
        <f>VLOOKUP(C347,t_objeto!B:C,2,FALSE)</f>
        <v>METHOD_INSTRUCTION</v>
      </c>
      <c r="E347" s="1">
        <v>8</v>
      </c>
      <c r="F347" s="1" t="str">
        <f>VLOOKUP(E347,t_entry_status!A:C,2,FALSE)</f>
        <v>PENDING</v>
      </c>
      <c r="G347" s="7">
        <v>45560</v>
      </c>
      <c r="H347" s="1" t="s">
        <v>7449</v>
      </c>
      <c r="I347" s="7">
        <v>45560</v>
      </c>
      <c r="J347" s="1" t="s">
        <v>7449</v>
      </c>
    </row>
    <row r="348" spans="1:10" x14ac:dyDescent="0.25">
      <c r="A348" s="1">
        <v>347</v>
      </c>
      <c r="B348" s="2" t="str">
        <f>_xlfn.CONCAT(C348,"-",VLOOKUP(C348,t_objeto!B:D,3,FALSE),"-",A348)</f>
        <v>MMII-PERCCO-347</v>
      </c>
      <c r="C348" s="1" t="s">
        <v>8352</v>
      </c>
      <c r="D348" s="1" t="str">
        <f>VLOOKUP(C348,t_objeto!B:C,2,FALSE)</f>
        <v>METHOD_INSTRUCTION</v>
      </c>
      <c r="E348" s="1">
        <v>8</v>
      </c>
      <c r="F348" s="1" t="str">
        <f>VLOOKUP(E348,t_entry_status!A:C,2,FALSE)</f>
        <v>PENDING</v>
      </c>
      <c r="G348" s="7">
        <v>45560</v>
      </c>
      <c r="H348" s="1" t="s">
        <v>7449</v>
      </c>
      <c r="I348" s="7">
        <v>45560</v>
      </c>
      <c r="J348" s="1" t="s">
        <v>7449</v>
      </c>
    </row>
    <row r="349" spans="1:10" x14ac:dyDescent="0.25">
      <c r="A349" s="1">
        <v>348</v>
      </c>
      <c r="B349" s="2" t="str">
        <f>_xlfn.CONCAT(C349,"-",VLOOKUP(C349,t_objeto!B:D,3,FALSE),"-",A349)</f>
        <v>MMII-PERCCO-348</v>
      </c>
      <c r="C349" s="1" t="s">
        <v>8352</v>
      </c>
      <c r="D349" s="1" t="str">
        <f>VLOOKUP(C349,t_objeto!B:C,2,FALSE)</f>
        <v>METHOD_INSTRUCTION</v>
      </c>
      <c r="E349" s="1">
        <v>8</v>
      </c>
      <c r="F349" s="1" t="str">
        <f>VLOOKUP(E349,t_entry_status!A:C,2,FALSE)</f>
        <v>PENDING</v>
      </c>
      <c r="G349" s="7">
        <v>45560</v>
      </c>
      <c r="H349" s="1" t="s">
        <v>7449</v>
      </c>
      <c r="I349" s="7">
        <v>45560</v>
      </c>
      <c r="J349" s="1" t="s">
        <v>7449</v>
      </c>
    </row>
    <row r="350" spans="1:10" x14ac:dyDescent="0.25">
      <c r="A350" s="1">
        <v>349</v>
      </c>
      <c r="B350" s="2" t="str">
        <f>_xlfn.CONCAT(C350,"-",VLOOKUP(C350,t_objeto!B:D,3,FALSE),"-",A350)</f>
        <v>MMII-PERCCO-349</v>
      </c>
      <c r="C350" s="1" t="s">
        <v>8352</v>
      </c>
      <c r="D350" s="1" t="str">
        <f>VLOOKUP(C350,t_objeto!B:C,2,FALSE)</f>
        <v>METHOD_INSTRUCTION</v>
      </c>
      <c r="E350" s="1">
        <v>8</v>
      </c>
      <c r="F350" s="1" t="str">
        <f>VLOOKUP(E350,t_entry_status!A:C,2,FALSE)</f>
        <v>PENDING</v>
      </c>
      <c r="G350" s="7">
        <v>45560</v>
      </c>
      <c r="H350" s="1" t="s">
        <v>7449</v>
      </c>
      <c r="I350" s="7">
        <v>45560</v>
      </c>
      <c r="J350" s="1" t="s">
        <v>7449</v>
      </c>
    </row>
    <row r="351" spans="1:10" x14ac:dyDescent="0.25">
      <c r="A351" s="1">
        <v>350</v>
      </c>
      <c r="B351" s="2" t="str">
        <f>_xlfn.CONCAT(C351,"-",VLOOKUP(C351,t_objeto!B:D,3,FALSE),"-",A351)</f>
        <v>MMII-PERCCO-350</v>
      </c>
      <c r="C351" s="1" t="s">
        <v>8352</v>
      </c>
      <c r="D351" s="1" t="str">
        <f>VLOOKUP(C351,t_objeto!B:C,2,FALSE)</f>
        <v>METHOD_INSTRUCTION</v>
      </c>
      <c r="E351" s="1">
        <v>8</v>
      </c>
      <c r="F351" s="1" t="str">
        <f>VLOOKUP(E351,t_entry_status!A:C,2,FALSE)</f>
        <v>PENDING</v>
      </c>
      <c r="G351" s="7">
        <v>45560</v>
      </c>
      <c r="H351" s="1" t="s">
        <v>7449</v>
      </c>
      <c r="I351" s="7">
        <v>45560</v>
      </c>
      <c r="J351" s="1" t="s">
        <v>7449</v>
      </c>
    </row>
    <row r="352" spans="1:10" x14ac:dyDescent="0.25">
      <c r="A352" s="1">
        <v>351</v>
      </c>
      <c r="B352" s="2" t="str">
        <f>_xlfn.CONCAT(C352,"-",VLOOKUP(C352,t_objeto!B:D,3,FALSE),"-",A352)</f>
        <v>MMII-PERCCO-351</v>
      </c>
      <c r="C352" s="1" t="s">
        <v>8352</v>
      </c>
      <c r="D352" s="1" t="str">
        <f>VLOOKUP(C352,t_objeto!B:C,2,FALSE)</f>
        <v>METHOD_INSTRUCTION</v>
      </c>
      <c r="E352" s="1">
        <v>8</v>
      </c>
      <c r="F352" s="1" t="str">
        <f>VLOOKUP(E352,t_entry_status!A:C,2,FALSE)</f>
        <v>PENDING</v>
      </c>
      <c r="G352" s="7">
        <v>45560</v>
      </c>
      <c r="H352" s="1" t="s">
        <v>7449</v>
      </c>
      <c r="I352" s="7">
        <v>45560</v>
      </c>
      <c r="J352" s="1" t="s">
        <v>7449</v>
      </c>
    </row>
    <row r="353" spans="1:10" x14ac:dyDescent="0.25">
      <c r="A353" s="1">
        <v>352</v>
      </c>
      <c r="B353" s="2" t="str">
        <f>_xlfn.CONCAT(C353,"-",VLOOKUP(C353,t_objeto!B:D,3,FALSE),"-",A353)</f>
        <v>MMII-PERCCO-352</v>
      </c>
      <c r="C353" s="1" t="s">
        <v>8352</v>
      </c>
      <c r="D353" s="1" t="str">
        <f>VLOOKUP(C353,t_objeto!B:C,2,FALSE)</f>
        <v>METHOD_INSTRUCTION</v>
      </c>
      <c r="E353" s="1">
        <v>8</v>
      </c>
      <c r="F353" s="1" t="str">
        <f>VLOOKUP(E353,t_entry_status!A:C,2,FALSE)</f>
        <v>PENDING</v>
      </c>
      <c r="G353" s="7">
        <v>45560</v>
      </c>
      <c r="H353" s="1" t="s">
        <v>7449</v>
      </c>
      <c r="I353" s="7">
        <v>45560</v>
      </c>
      <c r="J353" s="1" t="s">
        <v>7449</v>
      </c>
    </row>
    <row r="354" spans="1:10" x14ac:dyDescent="0.25">
      <c r="A354" s="1">
        <v>353</v>
      </c>
      <c r="B354" s="2" t="str">
        <f>_xlfn.CONCAT(C354,"-",VLOOKUP(C354,t_objeto!B:D,3,FALSE),"-",A354)</f>
        <v>MMII-PERCCO-353</v>
      </c>
      <c r="C354" s="1" t="s">
        <v>8352</v>
      </c>
      <c r="D354" s="1" t="str">
        <f>VLOOKUP(C354,t_objeto!B:C,2,FALSE)</f>
        <v>METHOD_INSTRUCTION</v>
      </c>
      <c r="E354" s="1">
        <v>8</v>
      </c>
      <c r="F354" s="1" t="str">
        <f>VLOOKUP(E354,t_entry_status!A:C,2,FALSE)</f>
        <v>PENDING</v>
      </c>
      <c r="G354" s="7">
        <v>45560</v>
      </c>
      <c r="H354" s="1" t="s">
        <v>7449</v>
      </c>
      <c r="I354" s="7">
        <v>45560</v>
      </c>
      <c r="J354" s="1" t="s">
        <v>7449</v>
      </c>
    </row>
    <row r="355" spans="1:10" x14ac:dyDescent="0.25">
      <c r="A355" s="1">
        <v>354</v>
      </c>
      <c r="B355" s="2" t="str">
        <f>_xlfn.CONCAT(C355,"-",VLOOKUP(C355,t_objeto!B:D,3,FALSE),"-",A355)</f>
        <v>MMII-PERCCO-354</v>
      </c>
      <c r="C355" s="1" t="s">
        <v>8352</v>
      </c>
      <c r="D355" s="1" t="str">
        <f>VLOOKUP(C355,t_objeto!B:C,2,FALSE)</f>
        <v>METHOD_INSTRUCTION</v>
      </c>
      <c r="E355" s="1">
        <v>8</v>
      </c>
      <c r="F355" s="1" t="str">
        <f>VLOOKUP(E355,t_entry_status!A:C,2,FALSE)</f>
        <v>PENDING</v>
      </c>
      <c r="G355" s="7">
        <v>45560</v>
      </c>
      <c r="H355" s="1" t="s">
        <v>7449</v>
      </c>
      <c r="I355" s="7">
        <v>45560</v>
      </c>
      <c r="J355" s="1" t="s">
        <v>7449</v>
      </c>
    </row>
    <row r="356" spans="1:10" x14ac:dyDescent="0.25">
      <c r="A356" s="1">
        <v>355</v>
      </c>
      <c r="B356" s="2" t="str">
        <f>_xlfn.CONCAT(C356,"-",VLOOKUP(C356,t_objeto!B:D,3,FALSE),"-",A356)</f>
        <v>MMII-PERCCO-355</v>
      </c>
      <c r="C356" s="1" t="s">
        <v>8352</v>
      </c>
      <c r="D356" s="1" t="str">
        <f>VLOOKUP(C356,t_objeto!B:C,2,FALSE)</f>
        <v>METHOD_INSTRUCTION</v>
      </c>
      <c r="E356" s="1">
        <v>8</v>
      </c>
      <c r="F356" s="1" t="str">
        <f>VLOOKUP(E356,t_entry_status!A:C,2,FALSE)</f>
        <v>PENDING</v>
      </c>
      <c r="G356" s="7">
        <v>45560</v>
      </c>
      <c r="H356" s="1" t="s">
        <v>7449</v>
      </c>
      <c r="I356" s="7">
        <v>45560</v>
      </c>
      <c r="J356" s="1" t="s">
        <v>7449</v>
      </c>
    </row>
    <row r="357" spans="1:10" x14ac:dyDescent="0.25">
      <c r="A357" s="1">
        <v>356</v>
      </c>
      <c r="B357" s="2" t="str">
        <f>_xlfn.CONCAT(C357,"-",VLOOKUP(C357,t_objeto!B:D,3,FALSE),"-",A357)</f>
        <v>MMII-PERCCO-356</v>
      </c>
      <c r="C357" s="1" t="s">
        <v>8352</v>
      </c>
      <c r="D357" s="1" t="str">
        <f>VLOOKUP(C357,t_objeto!B:C,2,FALSE)</f>
        <v>METHOD_INSTRUCTION</v>
      </c>
      <c r="E357" s="1">
        <v>8</v>
      </c>
      <c r="F357" s="1" t="str">
        <f>VLOOKUP(E357,t_entry_status!A:C,2,FALSE)</f>
        <v>PENDING</v>
      </c>
      <c r="G357" s="7">
        <v>45560</v>
      </c>
      <c r="H357" s="1" t="s">
        <v>7449</v>
      </c>
      <c r="I357" s="7">
        <v>45560</v>
      </c>
      <c r="J357" s="1" t="s">
        <v>7449</v>
      </c>
    </row>
    <row r="358" spans="1:10" x14ac:dyDescent="0.25">
      <c r="A358" s="1">
        <v>357</v>
      </c>
      <c r="B358" s="2" t="str">
        <f>_xlfn.CONCAT(C358,"-",VLOOKUP(C358,t_objeto!B:D,3,FALSE),"-",A358)</f>
        <v>MMII-PERCCO-357</v>
      </c>
      <c r="C358" s="1" t="s">
        <v>8352</v>
      </c>
      <c r="D358" s="1" t="str">
        <f>VLOOKUP(C358,t_objeto!B:C,2,FALSE)</f>
        <v>METHOD_INSTRUCTION</v>
      </c>
      <c r="E358" s="1">
        <v>8</v>
      </c>
      <c r="F358" s="1" t="str">
        <f>VLOOKUP(E358,t_entry_status!A:C,2,FALSE)</f>
        <v>PENDING</v>
      </c>
      <c r="G358" s="7">
        <v>45560</v>
      </c>
      <c r="H358" s="1" t="s">
        <v>7449</v>
      </c>
      <c r="I358" s="7">
        <v>45560</v>
      </c>
      <c r="J358" s="1" t="s">
        <v>7449</v>
      </c>
    </row>
    <row r="359" spans="1:10" x14ac:dyDescent="0.25">
      <c r="A359" s="1">
        <v>358</v>
      </c>
      <c r="B359" s="2" t="str">
        <f>_xlfn.CONCAT(C359,"-",VLOOKUP(C359,t_objeto!B:D,3,FALSE),"-",A359)</f>
        <v>MMII-PERCCO-358</v>
      </c>
      <c r="C359" s="1" t="s">
        <v>8352</v>
      </c>
      <c r="D359" s="1" t="str">
        <f>VLOOKUP(C359,t_objeto!B:C,2,FALSE)</f>
        <v>METHOD_INSTRUCTION</v>
      </c>
      <c r="E359" s="1">
        <v>8</v>
      </c>
      <c r="F359" s="1" t="str">
        <f>VLOOKUP(E359,t_entry_status!A:C,2,FALSE)</f>
        <v>PENDING</v>
      </c>
      <c r="G359" s="7">
        <v>45560</v>
      </c>
      <c r="H359" s="1" t="s">
        <v>7449</v>
      </c>
      <c r="I359" s="7">
        <v>45560</v>
      </c>
      <c r="J359" s="1" t="s">
        <v>7449</v>
      </c>
    </row>
    <row r="360" spans="1:10" x14ac:dyDescent="0.25">
      <c r="A360" s="1">
        <v>359</v>
      </c>
      <c r="B360" s="2" t="str">
        <f>_xlfn.CONCAT(C360,"-",VLOOKUP(C360,t_objeto!B:D,3,FALSE),"-",A360)</f>
        <v>MMII-PERCCO-359</v>
      </c>
      <c r="C360" s="1" t="s">
        <v>8352</v>
      </c>
      <c r="D360" s="1" t="str">
        <f>VLOOKUP(C360,t_objeto!B:C,2,FALSE)</f>
        <v>METHOD_INSTRUCTION</v>
      </c>
      <c r="E360" s="1">
        <v>8</v>
      </c>
      <c r="F360" s="1" t="str">
        <f>VLOOKUP(E360,t_entry_status!A:C,2,FALSE)</f>
        <v>PENDING</v>
      </c>
      <c r="G360" s="7">
        <v>45560</v>
      </c>
      <c r="H360" s="1" t="s">
        <v>7449</v>
      </c>
      <c r="I360" s="7">
        <v>45560</v>
      </c>
      <c r="J360" s="1" t="s">
        <v>7449</v>
      </c>
    </row>
    <row r="361" spans="1:10" x14ac:dyDescent="0.25">
      <c r="A361" s="1">
        <v>360</v>
      </c>
      <c r="B361" s="2" t="str">
        <f>_xlfn.CONCAT(C361,"-",VLOOKUP(C361,t_objeto!B:D,3,FALSE),"-",A361)</f>
        <v>MMII-PERCCO-360</v>
      </c>
      <c r="C361" s="1" t="s">
        <v>8352</v>
      </c>
      <c r="D361" s="1" t="str">
        <f>VLOOKUP(C361,t_objeto!B:C,2,FALSE)</f>
        <v>METHOD_INSTRUCTION</v>
      </c>
      <c r="E361" s="1">
        <v>8</v>
      </c>
      <c r="F361" s="1" t="str">
        <f>VLOOKUP(E361,t_entry_status!A:C,2,FALSE)</f>
        <v>PENDING</v>
      </c>
      <c r="G361" s="7">
        <v>45560</v>
      </c>
      <c r="H361" s="1" t="s">
        <v>7449</v>
      </c>
      <c r="I361" s="7">
        <v>45560</v>
      </c>
      <c r="J361" s="1" t="s">
        <v>7449</v>
      </c>
    </row>
    <row r="362" spans="1:10" x14ac:dyDescent="0.25">
      <c r="A362" s="1">
        <v>361</v>
      </c>
      <c r="B362" s="2" t="str">
        <f>_xlfn.CONCAT(C362,"-",VLOOKUP(C362,t_objeto!B:D,3,FALSE),"-",A362)</f>
        <v>MMII-PERCCO-361</v>
      </c>
      <c r="C362" s="1" t="s">
        <v>8352</v>
      </c>
      <c r="D362" s="1" t="str">
        <f>VLOOKUP(C362,t_objeto!B:C,2,FALSE)</f>
        <v>METHOD_INSTRUCTION</v>
      </c>
      <c r="E362" s="1">
        <v>8</v>
      </c>
      <c r="F362" s="1" t="str">
        <f>VLOOKUP(E362,t_entry_status!A:C,2,FALSE)</f>
        <v>PENDING</v>
      </c>
      <c r="G362" s="7">
        <v>45560</v>
      </c>
      <c r="H362" s="1" t="s">
        <v>7449</v>
      </c>
      <c r="I362" s="7">
        <v>45560</v>
      </c>
      <c r="J362" s="1" t="s">
        <v>7449</v>
      </c>
    </row>
    <row r="363" spans="1:10" x14ac:dyDescent="0.25">
      <c r="A363" s="1">
        <v>362</v>
      </c>
      <c r="B363" s="2" t="str">
        <f>_xlfn.CONCAT(C363,"-",VLOOKUP(C363,t_objeto!B:D,3,FALSE),"-",A363)</f>
        <v>MMII-PERCCO-362</v>
      </c>
      <c r="C363" s="1" t="s">
        <v>8352</v>
      </c>
      <c r="D363" s="1" t="str">
        <f>VLOOKUP(C363,t_objeto!B:C,2,FALSE)</f>
        <v>METHOD_INSTRUCTION</v>
      </c>
      <c r="E363" s="1">
        <v>8</v>
      </c>
      <c r="F363" s="1" t="str">
        <f>VLOOKUP(E363,t_entry_status!A:C,2,FALSE)</f>
        <v>PENDING</v>
      </c>
      <c r="G363" s="7">
        <v>45560</v>
      </c>
      <c r="H363" s="1" t="s">
        <v>7449</v>
      </c>
      <c r="I363" s="7">
        <v>45560</v>
      </c>
      <c r="J363" s="1" t="s">
        <v>7449</v>
      </c>
    </row>
    <row r="364" spans="1:10" x14ac:dyDescent="0.25">
      <c r="A364" s="1">
        <v>363</v>
      </c>
      <c r="B364" s="2" t="str">
        <f>_xlfn.CONCAT(C364,"-",VLOOKUP(C364,t_objeto!B:D,3,FALSE),"-",A364)</f>
        <v>MMII-PERCCO-363</v>
      </c>
      <c r="C364" s="1" t="s">
        <v>8352</v>
      </c>
      <c r="D364" s="1" t="str">
        <f>VLOOKUP(C364,t_objeto!B:C,2,FALSE)</f>
        <v>METHOD_INSTRUCTION</v>
      </c>
      <c r="E364" s="1">
        <v>8</v>
      </c>
      <c r="F364" s="1" t="str">
        <f>VLOOKUP(E364,t_entry_status!A:C,2,FALSE)</f>
        <v>PENDING</v>
      </c>
      <c r="G364" s="7">
        <v>45560</v>
      </c>
      <c r="H364" s="1" t="s">
        <v>7449</v>
      </c>
      <c r="I364" s="7">
        <v>45560</v>
      </c>
      <c r="J364" s="1" t="s">
        <v>7449</v>
      </c>
    </row>
    <row r="365" spans="1:10" x14ac:dyDescent="0.25">
      <c r="A365" s="1">
        <v>364</v>
      </c>
      <c r="B365" s="2" t="str">
        <f>_xlfn.CONCAT(C365,"-",VLOOKUP(C365,t_objeto!B:D,3,FALSE),"-",A365)</f>
        <v>MMII-PERCCO-364</v>
      </c>
      <c r="C365" s="1" t="s">
        <v>8352</v>
      </c>
      <c r="D365" s="1" t="str">
        <f>VLOOKUP(C365,t_objeto!B:C,2,FALSE)</f>
        <v>METHOD_INSTRUCTION</v>
      </c>
      <c r="E365" s="1">
        <v>8</v>
      </c>
      <c r="F365" s="1" t="str">
        <f>VLOOKUP(E365,t_entry_status!A:C,2,FALSE)</f>
        <v>PENDING</v>
      </c>
      <c r="G365" s="7">
        <v>45560</v>
      </c>
      <c r="H365" s="1" t="s">
        <v>7449</v>
      </c>
      <c r="I365" s="7">
        <v>45560</v>
      </c>
      <c r="J365" s="1" t="s">
        <v>7449</v>
      </c>
    </row>
    <row r="366" spans="1:10" x14ac:dyDescent="0.25">
      <c r="A366" s="1">
        <v>365</v>
      </c>
      <c r="B366" s="2" t="str">
        <f>_xlfn.CONCAT(C366,"-",VLOOKUP(C366,t_objeto!B:D,3,FALSE),"-",A366)</f>
        <v>MMII-PERCCO-365</v>
      </c>
      <c r="C366" s="1" t="s">
        <v>8352</v>
      </c>
      <c r="D366" s="1" t="str">
        <f>VLOOKUP(C366,t_objeto!B:C,2,FALSE)</f>
        <v>METHOD_INSTRUCTION</v>
      </c>
      <c r="E366" s="1">
        <v>8</v>
      </c>
      <c r="F366" s="1" t="str">
        <f>VLOOKUP(E366,t_entry_status!A:C,2,FALSE)</f>
        <v>PENDING</v>
      </c>
      <c r="G366" s="7">
        <v>45560</v>
      </c>
      <c r="H366" s="1" t="s">
        <v>7449</v>
      </c>
      <c r="I366" s="7">
        <v>45560</v>
      </c>
      <c r="J366" s="1" t="s">
        <v>7449</v>
      </c>
    </row>
    <row r="367" spans="1:10" x14ac:dyDescent="0.25">
      <c r="A367" s="1">
        <v>366</v>
      </c>
      <c r="B367" s="2" t="str">
        <f>_xlfn.CONCAT(C367,"-",VLOOKUP(C367,t_objeto!B:D,3,FALSE),"-",A367)</f>
        <v>MMII-PERCCO-366</v>
      </c>
      <c r="C367" s="1" t="s">
        <v>8352</v>
      </c>
      <c r="D367" s="1" t="str">
        <f>VLOOKUP(C367,t_objeto!B:C,2,FALSE)</f>
        <v>METHOD_INSTRUCTION</v>
      </c>
      <c r="E367" s="1">
        <v>8</v>
      </c>
      <c r="F367" s="1" t="str">
        <f>VLOOKUP(E367,t_entry_status!A:C,2,FALSE)</f>
        <v>PENDING</v>
      </c>
      <c r="G367" s="7">
        <v>45560</v>
      </c>
      <c r="H367" s="1" t="s">
        <v>7449</v>
      </c>
      <c r="I367" s="7">
        <v>45560</v>
      </c>
      <c r="J367" s="1" t="s">
        <v>7449</v>
      </c>
    </row>
    <row r="368" spans="1:10" x14ac:dyDescent="0.25">
      <c r="A368" s="1">
        <v>367</v>
      </c>
      <c r="B368" s="2" t="str">
        <f>_xlfn.CONCAT(C368,"-",VLOOKUP(C368,t_objeto!B:D,3,FALSE),"-",A368)</f>
        <v>MMII-PERCCO-367</v>
      </c>
      <c r="C368" s="1" t="s">
        <v>8352</v>
      </c>
      <c r="D368" s="1" t="str">
        <f>VLOOKUP(C368,t_objeto!B:C,2,FALSE)</f>
        <v>METHOD_INSTRUCTION</v>
      </c>
      <c r="E368" s="1">
        <v>8</v>
      </c>
      <c r="F368" s="1" t="str">
        <f>VLOOKUP(E368,t_entry_status!A:C,2,FALSE)</f>
        <v>PENDING</v>
      </c>
      <c r="G368" s="7">
        <v>45560</v>
      </c>
      <c r="H368" s="1" t="s">
        <v>7449</v>
      </c>
      <c r="I368" s="7">
        <v>45560</v>
      </c>
      <c r="J368" s="1" t="s">
        <v>7449</v>
      </c>
    </row>
    <row r="369" spans="1:10" x14ac:dyDescent="0.25">
      <c r="A369" s="1">
        <v>368</v>
      </c>
      <c r="B369" s="2" t="str">
        <f>_xlfn.CONCAT(C369,"-",VLOOKUP(C369,t_objeto!B:D,3,FALSE),"-",A369)</f>
        <v>MMII-PERCCO-368</v>
      </c>
      <c r="C369" s="1" t="s">
        <v>8352</v>
      </c>
      <c r="D369" s="1" t="str">
        <f>VLOOKUP(C369,t_objeto!B:C,2,FALSE)</f>
        <v>METHOD_INSTRUCTION</v>
      </c>
      <c r="E369" s="1">
        <v>8</v>
      </c>
      <c r="F369" s="1" t="str">
        <f>VLOOKUP(E369,t_entry_status!A:C,2,FALSE)</f>
        <v>PENDING</v>
      </c>
      <c r="G369" s="7">
        <v>45560</v>
      </c>
      <c r="H369" s="1" t="s">
        <v>7449</v>
      </c>
      <c r="I369" s="7">
        <v>45560</v>
      </c>
      <c r="J369" s="1" t="s">
        <v>7449</v>
      </c>
    </row>
    <row r="370" spans="1:10" x14ac:dyDescent="0.25">
      <c r="A370" s="1">
        <v>369</v>
      </c>
      <c r="B370" s="2" t="str">
        <f>_xlfn.CONCAT(C370,"-",VLOOKUP(C370,t_objeto!B:D,3,FALSE),"-",A370)</f>
        <v>MMII-PERCCO-369</v>
      </c>
      <c r="C370" s="1" t="s">
        <v>8352</v>
      </c>
      <c r="D370" s="1" t="str">
        <f>VLOOKUP(C370,t_objeto!B:C,2,FALSE)</f>
        <v>METHOD_INSTRUCTION</v>
      </c>
      <c r="E370" s="1">
        <v>8</v>
      </c>
      <c r="F370" s="1" t="str">
        <f>VLOOKUP(E370,t_entry_status!A:C,2,FALSE)</f>
        <v>PENDING</v>
      </c>
      <c r="G370" s="7">
        <v>45560</v>
      </c>
      <c r="H370" s="1" t="s">
        <v>7449</v>
      </c>
      <c r="I370" s="7">
        <v>45560</v>
      </c>
      <c r="J370" s="1" t="s">
        <v>7449</v>
      </c>
    </row>
    <row r="371" spans="1:10" x14ac:dyDescent="0.25">
      <c r="A371" s="1">
        <v>370</v>
      </c>
      <c r="B371" s="2" t="str">
        <f>_xlfn.CONCAT(C371,"-",VLOOKUP(C371,t_objeto!B:D,3,FALSE),"-",A371)</f>
        <v>MMII-PERCCO-370</v>
      </c>
      <c r="C371" s="1" t="s">
        <v>8352</v>
      </c>
      <c r="D371" s="1" t="str">
        <f>VLOOKUP(C371,t_objeto!B:C,2,FALSE)</f>
        <v>METHOD_INSTRUCTION</v>
      </c>
      <c r="E371" s="1">
        <v>8</v>
      </c>
      <c r="F371" s="1" t="str">
        <f>VLOOKUP(E371,t_entry_status!A:C,2,FALSE)</f>
        <v>PENDING</v>
      </c>
      <c r="G371" s="7">
        <v>45560</v>
      </c>
      <c r="H371" s="1" t="s">
        <v>7449</v>
      </c>
      <c r="I371" s="7">
        <v>45560</v>
      </c>
      <c r="J371" s="1" t="s">
        <v>7449</v>
      </c>
    </row>
    <row r="372" spans="1:10" x14ac:dyDescent="0.25">
      <c r="A372" s="1">
        <v>371</v>
      </c>
      <c r="B372" s="2" t="str">
        <f>_xlfn.CONCAT(C372,"-",VLOOKUP(C372,t_objeto!B:D,3,FALSE),"-",A372)</f>
        <v>MMII-PERCCO-371</v>
      </c>
      <c r="C372" s="1" t="s">
        <v>8352</v>
      </c>
      <c r="D372" s="1" t="str">
        <f>VLOOKUP(C372,t_objeto!B:C,2,FALSE)</f>
        <v>METHOD_INSTRUCTION</v>
      </c>
      <c r="E372" s="1">
        <v>8</v>
      </c>
      <c r="F372" s="1" t="str">
        <f>VLOOKUP(E372,t_entry_status!A:C,2,FALSE)</f>
        <v>PENDING</v>
      </c>
      <c r="G372" s="7">
        <v>45560</v>
      </c>
      <c r="H372" s="1" t="s">
        <v>7449</v>
      </c>
      <c r="I372" s="7">
        <v>45560</v>
      </c>
      <c r="J372" s="1" t="s">
        <v>7449</v>
      </c>
    </row>
    <row r="373" spans="1:10" x14ac:dyDescent="0.25">
      <c r="A373" s="1">
        <v>372</v>
      </c>
      <c r="B373" s="2" t="str">
        <f>_xlfn.CONCAT(C373,"-",VLOOKUP(C373,t_objeto!B:D,3,FALSE),"-",A373)</f>
        <v>MMII-PERCCO-372</v>
      </c>
      <c r="C373" s="1" t="s">
        <v>8352</v>
      </c>
      <c r="D373" s="1" t="str">
        <f>VLOOKUP(C373,t_objeto!B:C,2,FALSE)</f>
        <v>METHOD_INSTRUCTION</v>
      </c>
      <c r="E373" s="1">
        <v>8</v>
      </c>
      <c r="F373" s="1" t="str">
        <f>VLOOKUP(E373,t_entry_status!A:C,2,FALSE)</f>
        <v>PENDING</v>
      </c>
      <c r="G373" s="7">
        <v>45560</v>
      </c>
      <c r="H373" s="1" t="s">
        <v>7449</v>
      </c>
      <c r="I373" s="7">
        <v>45560</v>
      </c>
      <c r="J373" s="1" t="s">
        <v>7449</v>
      </c>
    </row>
    <row r="374" spans="1:10" x14ac:dyDescent="0.25">
      <c r="A374" s="1">
        <v>373</v>
      </c>
      <c r="B374" s="2" t="str">
        <f>_xlfn.CONCAT(C374,"-",VLOOKUP(C374,t_objeto!B:D,3,FALSE),"-",A374)</f>
        <v>MMII-PERCCO-373</v>
      </c>
      <c r="C374" s="1" t="s">
        <v>8352</v>
      </c>
      <c r="D374" s="1" t="str">
        <f>VLOOKUP(C374,t_objeto!B:C,2,FALSE)</f>
        <v>METHOD_INSTRUCTION</v>
      </c>
      <c r="E374" s="1">
        <v>8</v>
      </c>
      <c r="F374" s="1" t="str">
        <f>VLOOKUP(E374,t_entry_status!A:C,2,FALSE)</f>
        <v>PENDING</v>
      </c>
      <c r="G374" s="7">
        <v>45560</v>
      </c>
      <c r="H374" s="1" t="s">
        <v>7449</v>
      </c>
      <c r="I374" s="7">
        <v>45560</v>
      </c>
      <c r="J374" s="1" t="s">
        <v>7449</v>
      </c>
    </row>
    <row r="375" spans="1:10" x14ac:dyDescent="0.25">
      <c r="A375" s="1">
        <v>374</v>
      </c>
      <c r="B375" s="2" t="str">
        <f>_xlfn.CONCAT(C375,"-",VLOOKUP(C375,t_objeto!B:D,3,FALSE),"-",A375)</f>
        <v>MMII-PERCCO-374</v>
      </c>
      <c r="C375" s="1" t="s">
        <v>8352</v>
      </c>
      <c r="D375" s="1" t="str">
        <f>VLOOKUP(C375,t_objeto!B:C,2,FALSE)</f>
        <v>METHOD_INSTRUCTION</v>
      </c>
      <c r="E375" s="1">
        <v>8</v>
      </c>
      <c r="F375" s="1" t="str">
        <f>VLOOKUP(E375,t_entry_status!A:C,2,FALSE)</f>
        <v>PENDING</v>
      </c>
      <c r="G375" s="7">
        <v>45560</v>
      </c>
      <c r="H375" s="1" t="s">
        <v>7449</v>
      </c>
      <c r="I375" s="7">
        <v>45560</v>
      </c>
      <c r="J375" s="1" t="s">
        <v>7449</v>
      </c>
    </row>
    <row r="376" spans="1:10" x14ac:dyDescent="0.25">
      <c r="A376" s="1">
        <v>375</v>
      </c>
      <c r="B376" s="2" t="str">
        <f>_xlfn.CONCAT(C376,"-",VLOOKUP(C376,t_objeto!B:D,3,FALSE),"-",A376)</f>
        <v>MMII-PERCCO-375</v>
      </c>
      <c r="C376" s="1" t="s">
        <v>8352</v>
      </c>
      <c r="D376" s="1" t="str">
        <f>VLOOKUP(C376,t_objeto!B:C,2,FALSE)</f>
        <v>METHOD_INSTRUCTION</v>
      </c>
      <c r="E376" s="1">
        <v>8</v>
      </c>
      <c r="F376" s="1" t="str">
        <f>VLOOKUP(E376,t_entry_status!A:C,2,FALSE)</f>
        <v>PENDING</v>
      </c>
      <c r="G376" s="7">
        <v>45560</v>
      </c>
      <c r="H376" s="1" t="s">
        <v>7449</v>
      </c>
      <c r="I376" s="7">
        <v>45560</v>
      </c>
      <c r="J376" s="1" t="s">
        <v>7449</v>
      </c>
    </row>
    <row r="377" spans="1:10" x14ac:dyDescent="0.25">
      <c r="A377" s="1">
        <v>376</v>
      </c>
      <c r="B377" s="2" t="str">
        <f>_xlfn.CONCAT(C377,"-",VLOOKUP(C377,t_objeto!B:D,3,FALSE),"-",A377)</f>
        <v>MMII-PERCCO-376</v>
      </c>
      <c r="C377" s="1" t="s">
        <v>8352</v>
      </c>
      <c r="D377" s="1" t="str">
        <f>VLOOKUP(C377,t_objeto!B:C,2,FALSE)</f>
        <v>METHOD_INSTRUCTION</v>
      </c>
      <c r="E377" s="1">
        <v>8</v>
      </c>
      <c r="F377" s="1" t="str">
        <f>VLOOKUP(E377,t_entry_status!A:C,2,FALSE)</f>
        <v>PENDING</v>
      </c>
      <c r="G377" s="7">
        <v>45560</v>
      </c>
      <c r="H377" s="1" t="s">
        <v>7449</v>
      </c>
      <c r="I377" s="7">
        <v>45560</v>
      </c>
      <c r="J377" s="1" t="s">
        <v>7449</v>
      </c>
    </row>
    <row r="378" spans="1:10" x14ac:dyDescent="0.25">
      <c r="A378" s="1">
        <v>377</v>
      </c>
      <c r="B378" s="2" t="str">
        <f>_xlfn.CONCAT(C378,"-",VLOOKUP(C378,t_objeto!B:D,3,FALSE),"-",A378)</f>
        <v>MMII-PERCCO-377</v>
      </c>
      <c r="C378" s="1" t="s">
        <v>8352</v>
      </c>
      <c r="D378" s="1" t="str">
        <f>VLOOKUP(C378,t_objeto!B:C,2,FALSE)</f>
        <v>METHOD_INSTRUCTION</v>
      </c>
      <c r="E378" s="1">
        <v>8</v>
      </c>
      <c r="F378" s="1" t="str">
        <f>VLOOKUP(E378,t_entry_status!A:C,2,FALSE)</f>
        <v>PENDING</v>
      </c>
      <c r="G378" s="7">
        <v>45560</v>
      </c>
      <c r="H378" s="1" t="s">
        <v>7449</v>
      </c>
      <c r="I378" s="7">
        <v>45560</v>
      </c>
      <c r="J378" s="1" t="s">
        <v>7449</v>
      </c>
    </row>
    <row r="379" spans="1:10" x14ac:dyDescent="0.25">
      <c r="A379" s="1">
        <v>378</v>
      </c>
      <c r="B379" s="2" t="str">
        <f>_xlfn.CONCAT(C379,"-",VLOOKUP(C379,t_objeto!B:D,3,FALSE),"-",A379)</f>
        <v>MMII-PERCCO-378</v>
      </c>
      <c r="C379" s="1" t="s">
        <v>8352</v>
      </c>
      <c r="D379" s="1" t="str">
        <f>VLOOKUP(C379,t_objeto!B:C,2,FALSE)</f>
        <v>METHOD_INSTRUCTION</v>
      </c>
      <c r="E379" s="1">
        <v>8</v>
      </c>
      <c r="F379" s="1" t="str">
        <f>VLOOKUP(E379,t_entry_status!A:C,2,FALSE)</f>
        <v>PENDING</v>
      </c>
      <c r="G379" s="7">
        <v>45560</v>
      </c>
      <c r="H379" s="1" t="s">
        <v>7449</v>
      </c>
      <c r="I379" s="7">
        <v>45560</v>
      </c>
      <c r="J379" s="1" t="s">
        <v>7449</v>
      </c>
    </row>
    <row r="380" spans="1:10" x14ac:dyDescent="0.25">
      <c r="A380" s="1">
        <v>379</v>
      </c>
      <c r="B380" s="2" t="str">
        <f>_xlfn.CONCAT(C380,"-",VLOOKUP(C380,t_objeto!B:D,3,FALSE),"-",A380)</f>
        <v>MMII-PERCCO-379</v>
      </c>
      <c r="C380" s="1" t="s">
        <v>8352</v>
      </c>
      <c r="D380" s="1" t="str">
        <f>VLOOKUP(C380,t_objeto!B:C,2,FALSE)</f>
        <v>METHOD_INSTRUCTION</v>
      </c>
      <c r="E380" s="1">
        <v>8</v>
      </c>
      <c r="F380" s="1" t="str">
        <f>VLOOKUP(E380,t_entry_status!A:C,2,FALSE)</f>
        <v>PENDING</v>
      </c>
      <c r="G380" s="7">
        <v>45560</v>
      </c>
      <c r="H380" s="1" t="s">
        <v>7449</v>
      </c>
      <c r="I380" s="7">
        <v>45560</v>
      </c>
      <c r="J380" s="1" t="s">
        <v>7449</v>
      </c>
    </row>
    <row r="381" spans="1:10" x14ac:dyDescent="0.25">
      <c r="A381" s="1">
        <v>380</v>
      </c>
      <c r="B381" s="2" t="str">
        <f>_xlfn.CONCAT(C381,"-",VLOOKUP(C381,t_objeto!B:D,3,FALSE),"-",A381)</f>
        <v>MMII-PERCCO-380</v>
      </c>
      <c r="C381" s="1" t="s">
        <v>8352</v>
      </c>
      <c r="D381" s="1" t="str">
        <f>VLOOKUP(C381,t_objeto!B:C,2,FALSE)</f>
        <v>METHOD_INSTRUCTION</v>
      </c>
      <c r="E381" s="1">
        <v>8</v>
      </c>
      <c r="F381" s="1" t="str">
        <f>VLOOKUP(E381,t_entry_status!A:C,2,FALSE)</f>
        <v>PENDING</v>
      </c>
      <c r="G381" s="7">
        <v>45560</v>
      </c>
      <c r="H381" s="1" t="s">
        <v>7449</v>
      </c>
      <c r="I381" s="7">
        <v>45560</v>
      </c>
      <c r="J381" s="1" t="s">
        <v>7449</v>
      </c>
    </row>
    <row r="382" spans="1:10" x14ac:dyDescent="0.25">
      <c r="A382" s="1">
        <v>381</v>
      </c>
      <c r="B382" s="2" t="str">
        <f>_xlfn.CONCAT(C382,"-",VLOOKUP(C382,t_objeto!B:D,3,FALSE),"-",A382)</f>
        <v>MMII-PERCCO-381</v>
      </c>
      <c r="C382" s="1" t="s">
        <v>8352</v>
      </c>
      <c r="D382" s="1" t="str">
        <f>VLOOKUP(C382,t_objeto!B:C,2,FALSE)</f>
        <v>METHOD_INSTRUCTION</v>
      </c>
      <c r="E382" s="1">
        <v>8</v>
      </c>
      <c r="F382" s="1" t="str">
        <f>VLOOKUP(E382,t_entry_status!A:C,2,FALSE)</f>
        <v>PENDING</v>
      </c>
      <c r="G382" s="7">
        <v>45560</v>
      </c>
      <c r="H382" s="1" t="s">
        <v>7449</v>
      </c>
      <c r="I382" s="7">
        <v>45560</v>
      </c>
      <c r="J382" s="1" t="s">
        <v>7449</v>
      </c>
    </row>
    <row r="383" spans="1:10" x14ac:dyDescent="0.25">
      <c r="A383" s="1">
        <v>382</v>
      </c>
      <c r="B383" s="2" t="str">
        <f>_xlfn.CONCAT(C383,"-",VLOOKUP(C383,t_objeto!B:D,3,FALSE),"-",A383)</f>
        <v>MMII-PERCCO-382</v>
      </c>
      <c r="C383" s="1" t="s">
        <v>8352</v>
      </c>
      <c r="D383" s="1" t="str">
        <f>VLOOKUP(C383,t_objeto!B:C,2,FALSE)</f>
        <v>METHOD_INSTRUCTION</v>
      </c>
      <c r="E383" s="1">
        <v>8</v>
      </c>
      <c r="F383" s="1" t="str">
        <f>VLOOKUP(E383,t_entry_status!A:C,2,FALSE)</f>
        <v>PENDING</v>
      </c>
      <c r="G383" s="7">
        <v>45560</v>
      </c>
      <c r="H383" s="1" t="s">
        <v>7449</v>
      </c>
      <c r="I383" s="7">
        <v>45560</v>
      </c>
      <c r="J383" s="1" t="s">
        <v>7449</v>
      </c>
    </row>
    <row r="384" spans="1:10" x14ac:dyDescent="0.25">
      <c r="A384" s="1">
        <v>383</v>
      </c>
      <c r="B384" s="2" t="str">
        <f>_xlfn.CONCAT(C384,"-",VLOOKUP(C384,t_objeto!B:D,3,FALSE),"-",A384)</f>
        <v>MMII-PERCCO-383</v>
      </c>
      <c r="C384" s="1" t="s">
        <v>8352</v>
      </c>
      <c r="D384" s="1" t="str">
        <f>VLOOKUP(C384,t_objeto!B:C,2,FALSE)</f>
        <v>METHOD_INSTRUCTION</v>
      </c>
      <c r="E384" s="1">
        <v>8</v>
      </c>
      <c r="F384" s="1" t="str">
        <f>VLOOKUP(E384,t_entry_status!A:C,2,FALSE)</f>
        <v>PENDING</v>
      </c>
      <c r="G384" s="7">
        <v>45560</v>
      </c>
      <c r="H384" s="1" t="s">
        <v>7449</v>
      </c>
      <c r="I384" s="7">
        <v>45560</v>
      </c>
      <c r="J384" s="1" t="s">
        <v>7449</v>
      </c>
    </row>
    <row r="385" spans="1:10" x14ac:dyDescent="0.25">
      <c r="A385" s="1">
        <v>384</v>
      </c>
      <c r="B385" s="2" t="str">
        <f>_xlfn.CONCAT(C385,"-",VLOOKUP(C385,t_objeto!B:D,3,FALSE),"-",A385)</f>
        <v>MMII-PERCCO-384</v>
      </c>
      <c r="C385" s="1" t="s">
        <v>8352</v>
      </c>
      <c r="D385" s="1" t="str">
        <f>VLOOKUP(C385,t_objeto!B:C,2,FALSE)</f>
        <v>METHOD_INSTRUCTION</v>
      </c>
      <c r="E385" s="1">
        <v>8</v>
      </c>
      <c r="F385" s="1" t="str">
        <f>VLOOKUP(E385,t_entry_status!A:C,2,FALSE)</f>
        <v>PENDING</v>
      </c>
      <c r="G385" s="7">
        <v>45560</v>
      </c>
      <c r="H385" s="1" t="s">
        <v>7449</v>
      </c>
      <c r="I385" s="7">
        <v>45560</v>
      </c>
      <c r="J385" s="1" t="s">
        <v>7449</v>
      </c>
    </row>
    <row r="386" spans="1:10" x14ac:dyDescent="0.25">
      <c r="A386" s="1">
        <v>385</v>
      </c>
      <c r="B386" s="2" t="str">
        <f>_xlfn.CONCAT(C386,"-",VLOOKUP(C386,t_objeto!B:D,3,FALSE),"-",A386)</f>
        <v>MMII-PERCCO-385</v>
      </c>
      <c r="C386" s="1" t="s">
        <v>8352</v>
      </c>
      <c r="D386" s="1" t="str">
        <f>VLOOKUP(C386,t_objeto!B:C,2,FALSE)</f>
        <v>METHOD_INSTRUCTION</v>
      </c>
      <c r="E386" s="1">
        <v>8</v>
      </c>
      <c r="F386" s="1" t="str">
        <f>VLOOKUP(E386,t_entry_status!A:C,2,FALSE)</f>
        <v>PENDING</v>
      </c>
      <c r="G386" s="7">
        <v>45560</v>
      </c>
      <c r="H386" s="1" t="s">
        <v>7449</v>
      </c>
      <c r="I386" s="7">
        <v>45560</v>
      </c>
      <c r="J386" s="1" t="s">
        <v>7449</v>
      </c>
    </row>
    <row r="387" spans="1:10" x14ac:dyDescent="0.25">
      <c r="A387" s="1">
        <v>386</v>
      </c>
      <c r="B387" s="2" t="str">
        <f>_xlfn.CONCAT(C387,"-",VLOOKUP(C387,t_objeto!B:D,3,FALSE),"-",A387)</f>
        <v>MMII-PERCCO-386</v>
      </c>
      <c r="C387" s="1" t="s">
        <v>8352</v>
      </c>
      <c r="D387" s="1" t="str">
        <f>VLOOKUP(C387,t_objeto!B:C,2,FALSE)</f>
        <v>METHOD_INSTRUCTION</v>
      </c>
      <c r="E387" s="1">
        <v>8</v>
      </c>
      <c r="F387" s="1" t="str">
        <f>VLOOKUP(E387,t_entry_status!A:C,2,FALSE)</f>
        <v>PENDING</v>
      </c>
      <c r="G387" s="7">
        <v>45560</v>
      </c>
      <c r="H387" s="1" t="s">
        <v>7449</v>
      </c>
      <c r="I387" s="7">
        <v>45560</v>
      </c>
      <c r="J387" s="1" t="s">
        <v>7449</v>
      </c>
    </row>
    <row r="388" spans="1:10" x14ac:dyDescent="0.25">
      <c r="A388" s="1">
        <v>387</v>
      </c>
      <c r="B388" s="2" t="str">
        <f>_xlfn.CONCAT(C388,"-",VLOOKUP(C388,t_objeto!B:D,3,FALSE),"-",A388)</f>
        <v>MMII-PERCCO-387</v>
      </c>
      <c r="C388" s="1" t="s">
        <v>8352</v>
      </c>
      <c r="D388" s="1" t="str">
        <f>VLOOKUP(C388,t_objeto!B:C,2,FALSE)</f>
        <v>METHOD_INSTRUCTION</v>
      </c>
      <c r="E388" s="1">
        <v>8</v>
      </c>
      <c r="F388" s="1" t="str">
        <f>VLOOKUP(E388,t_entry_status!A:C,2,FALSE)</f>
        <v>PENDING</v>
      </c>
      <c r="G388" s="7">
        <v>45560</v>
      </c>
      <c r="H388" s="1" t="s">
        <v>7449</v>
      </c>
      <c r="I388" s="7">
        <v>45560</v>
      </c>
      <c r="J388" s="1" t="s">
        <v>7449</v>
      </c>
    </row>
    <row r="389" spans="1:10" x14ac:dyDescent="0.25">
      <c r="A389" s="1">
        <v>388</v>
      </c>
      <c r="B389" s="2" t="str">
        <f>_xlfn.CONCAT(C389,"-",VLOOKUP(C389,t_objeto!B:D,3,FALSE),"-",A389)</f>
        <v>MMII-PERCCO-388</v>
      </c>
      <c r="C389" s="1" t="s">
        <v>8352</v>
      </c>
      <c r="D389" s="1" t="str">
        <f>VLOOKUP(C389,t_objeto!B:C,2,FALSE)</f>
        <v>METHOD_INSTRUCTION</v>
      </c>
      <c r="E389" s="1">
        <v>8</v>
      </c>
      <c r="F389" s="1" t="str">
        <f>VLOOKUP(E389,t_entry_status!A:C,2,FALSE)</f>
        <v>PENDING</v>
      </c>
      <c r="G389" s="7">
        <v>45560</v>
      </c>
      <c r="H389" s="1" t="s">
        <v>7449</v>
      </c>
      <c r="I389" s="7">
        <v>45560</v>
      </c>
      <c r="J389" s="1" t="s">
        <v>7449</v>
      </c>
    </row>
    <row r="390" spans="1:10" x14ac:dyDescent="0.25">
      <c r="A390" s="1">
        <v>389</v>
      </c>
      <c r="B390" s="2" t="str">
        <f>_xlfn.CONCAT(C390,"-",VLOOKUP(C390,t_objeto!B:D,3,FALSE),"-",A390)</f>
        <v>MMII-PERCCO-389</v>
      </c>
      <c r="C390" s="1" t="s">
        <v>8352</v>
      </c>
      <c r="D390" s="1" t="str">
        <f>VLOOKUP(C390,t_objeto!B:C,2,FALSE)</f>
        <v>METHOD_INSTRUCTION</v>
      </c>
      <c r="E390" s="1">
        <v>8</v>
      </c>
      <c r="F390" s="1" t="str">
        <f>VLOOKUP(E390,t_entry_status!A:C,2,FALSE)</f>
        <v>PENDING</v>
      </c>
      <c r="G390" s="7">
        <v>45560</v>
      </c>
      <c r="H390" s="1" t="s">
        <v>7449</v>
      </c>
      <c r="I390" s="7">
        <v>45560</v>
      </c>
      <c r="J390" s="1" t="s">
        <v>7449</v>
      </c>
    </row>
    <row r="391" spans="1:10" x14ac:dyDescent="0.25">
      <c r="A391" s="1">
        <v>390</v>
      </c>
      <c r="B391" s="2" t="str">
        <f>_xlfn.CONCAT(C391,"-",VLOOKUP(C391,t_objeto!B:D,3,FALSE),"-",A391)</f>
        <v>MMII-PERCCO-390</v>
      </c>
      <c r="C391" s="1" t="s">
        <v>8352</v>
      </c>
      <c r="D391" s="1" t="str">
        <f>VLOOKUP(C391,t_objeto!B:C,2,FALSE)</f>
        <v>METHOD_INSTRUCTION</v>
      </c>
      <c r="E391" s="1">
        <v>8</v>
      </c>
      <c r="F391" s="1" t="str">
        <f>VLOOKUP(E391,t_entry_status!A:C,2,FALSE)</f>
        <v>PENDING</v>
      </c>
      <c r="G391" s="7">
        <v>45560</v>
      </c>
      <c r="H391" s="1" t="s">
        <v>7449</v>
      </c>
      <c r="I391" s="7">
        <v>45560</v>
      </c>
      <c r="J391" s="1" t="s">
        <v>7449</v>
      </c>
    </row>
    <row r="392" spans="1:10" x14ac:dyDescent="0.25">
      <c r="A392" s="1">
        <v>391</v>
      </c>
      <c r="B392" s="2" t="str">
        <f>_xlfn.CONCAT(C392,"-",VLOOKUP(C392,t_objeto!B:D,3,FALSE),"-",A392)</f>
        <v>MMII-PERCCO-391</v>
      </c>
      <c r="C392" s="1" t="s">
        <v>8352</v>
      </c>
      <c r="D392" s="1" t="str">
        <f>VLOOKUP(C392,t_objeto!B:C,2,FALSE)</f>
        <v>METHOD_INSTRUCTION</v>
      </c>
      <c r="E392" s="1">
        <v>8</v>
      </c>
      <c r="F392" s="1" t="str">
        <f>VLOOKUP(E392,t_entry_status!A:C,2,FALSE)</f>
        <v>PENDING</v>
      </c>
      <c r="G392" s="7">
        <v>45560</v>
      </c>
      <c r="H392" s="1" t="s">
        <v>7449</v>
      </c>
      <c r="I392" s="7">
        <v>45560</v>
      </c>
      <c r="J392" s="1" t="s">
        <v>7449</v>
      </c>
    </row>
    <row r="393" spans="1:10" x14ac:dyDescent="0.25">
      <c r="A393" s="1">
        <v>392</v>
      </c>
      <c r="B393" s="2" t="str">
        <f>_xlfn.CONCAT(C393,"-",VLOOKUP(C393,t_objeto!B:D,3,FALSE),"-",A393)</f>
        <v>MMII-PERCCO-392</v>
      </c>
      <c r="C393" s="1" t="s">
        <v>8352</v>
      </c>
      <c r="D393" s="1" t="str">
        <f>VLOOKUP(C393,t_objeto!B:C,2,FALSE)</f>
        <v>METHOD_INSTRUCTION</v>
      </c>
      <c r="E393" s="1">
        <v>8</v>
      </c>
      <c r="F393" s="1" t="str">
        <f>VLOOKUP(E393,t_entry_status!A:C,2,FALSE)</f>
        <v>PENDING</v>
      </c>
      <c r="G393" s="7">
        <v>45560</v>
      </c>
      <c r="H393" s="1" t="s">
        <v>7449</v>
      </c>
      <c r="I393" s="7">
        <v>45560</v>
      </c>
      <c r="J393" s="1" t="s">
        <v>7449</v>
      </c>
    </row>
    <row r="394" spans="1:10" x14ac:dyDescent="0.25">
      <c r="A394" s="1">
        <v>393</v>
      </c>
      <c r="B394" s="2" t="str">
        <f>_xlfn.CONCAT(C394,"-",VLOOKUP(C394,t_objeto!B:D,3,FALSE),"-",A394)</f>
        <v>MMII-PERCCO-393</v>
      </c>
      <c r="C394" s="1" t="s">
        <v>8352</v>
      </c>
      <c r="D394" s="1" t="str">
        <f>VLOOKUP(C394,t_objeto!B:C,2,FALSE)</f>
        <v>METHOD_INSTRUCTION</v>
      </c>
      <c r="E394" s="1">
        <v>8</v>
      </c>
      <c r="F394" s="1" t="str">
        <f>VLOOKUP(E394,t_entry_status!A:C,2,FALSE)</f>
        <v>PENDING</v>
      </c>
      <c r="G394" s="7">
        <v>45560</v>
      </c>
      <c r="H394" s="1" t="s">
        <v>7449</v>
      </c>
      <c r="I394" s="7">
        <v>45560</v>
      </c>
      <c r="J394" s="1" t="s">
        <v>7449</v>
      </c>
    </row>
    <row r="395" spans="1:10" x14ac:dyDescent="0.25">
      <c r="A395" s="1">
        <v>394</v>
      </c>
      <c r="B395" s="2" t="str">
        <f>_xlfn.CONCAT(C395,"-",VLOOKUP(C395,t_objeto!B:D,3,FALSE),"-",A395)</f>
        <v>MMII-PERCCO-394</v>
      </c>
      <c r="C395" s="1" t="s">
        <v>8352</v>
      </c>
      <c r="D395" s="1" t="str">
        <f>VLOOKUP(C395,t_objeto!B:C,2,FALSE)</f>
        <v>METHOD_INSTRUCTION</v>
      </c>
      <c r="E395" s="1">
        <v>8</v>
      </c>
      <c r="F395" s="1" t="str">
        <f>VLOOKUP(E395,t_entry_status!A:C,2,FALSE)</f>
        <v>PENDING</v>
      </c>
      <c r="G395" s="7">
        <v>45560</v>
      </c>
      <c r="H395" s="1" t="s">
        <v>7449</v>
      </c>
      <c r="I395" s="7">
        <v>45560</v>
      </c>
      <c r="J395" s="1" t="s">
        <v>7449</v>
      </c>
    </row>
    <row r="396" spans="1:10" x14ac:dyDescent="0.25">
      <c r="A396" s="1">
        <v>395</v>
      </c>
      <c r="B396" s="2" t="str">
        <f>_xlfn.CONCAT(C396,"-",VLOOKUP(C396,t_objeto!B:D,3,FALSE),"-",A396)</f>
        <v>MMII-PERCCO-395</v>
      </c>
      <c r="C396" s="1" t="s">
        <v>8352</v>
      </c>
      <c r="D396" s="1" t="str">
        <f>VLOOKUP(C396,t_objeto!B:C,2,FALSE)</f>
        <v>METHOD_INSTRUCTION</v>
      </c>
      <c r="E396" s="1">
        <v>8</v>
      </c>
      <c r="F396" s="1" t="str">
        <f>VLOOKUP(E396,t_entry_status!A:C,2,FALSE)</f>
        <v>PENDING</v>
      </c>
      <c r="G396" s="7">
        <v>45560</v>
      </c>
      <c r="H396" s="1" t="s">
        <v>7449</v>
      </c>
      <c r="I396" s="7">
        <v>45560</v>
      </c>
      <c r="J396" s="1" t="s">
        <v>7449</v>
      </c>
    </row>
    <row r="397" spans="1:10" x14ac:dyDescent="0.25">
      <c r="A397" s="1">
        <v>396</v>
      </c>
      <c r="B397" s="2" t="str">
        <f>_xlfn.CONCAT(C397,"-",VLOOKUP(C397,t_objeto!B:D,3,FALSE),"-",A397)</f>
        <v>MMII-PERCCO-396</v>
      </c>
      <c r="C397" s="1" t="s">
        <v>8352</v>
      </c>
      <c r="D397" s="1" t="str">
        <f>VLOOKUP(C397,t_objeto!B:C,2,FALSE)</f>
        <v>METHOD_INSTRUCTION</v>
      </c>
      <c r="E397" s="1">
        <v>8</v>
      </c>
      <c r="F397" s="1" t="str">
        <f>VLOOKUP(E397,t_entry_status!A:C,2,FALSE)</f>
        <v>PENDING</v>
      </c>
      <c r="G397" s="7">
        <v>45560</v>
      </c>
      <c r="H397" s="1" t="s">
        <v>7449</v>
      </c>
      <c r="I397" s="7">
        <v>45560</v>
      </c>
      <c r="J397" s="1" t="s">
        <v>7449</v>
      </c>
    </row>
    <row r="398" spans="1:10" x14ac:dyDescent="0.25">
      <c r="A398" s="1">
        <v>397</v>
      </c>
      <c r="B398" s="2" t="str">
        <f>_xlfn.CONCAT(C398,"-",VLOOKUP(C398,t_objeto!B:D,3,FALSE),"-",A398)</f>
        <v>MMII-PERCCO-397</v>
      </c>
      <c r="C398" s="1" t="s">
        <v>8352</v>
      </c>
      <c r="D398" s="1" t="str">
        <f>VLOOKUP(C398,t_objeto!B:C,2,FALSE)</f>
        <v>METHOD_INSTRUCTION</v>
      </c>
      <c r="E398" s="1">
        <v>8</v>
      </c>
      <c r="F398" s="1" t="str">
        <f>VLOOKUP(E398,t_entry_status!A:C,2,FALSE)</f>
        <v>PENDING</v>
      </c>
      <c r="G398" s="7">
        <v>45560</v>
      </c>
      <c r="H398" s="1" t="s">
        <v>7449</v>
      </c>
      <c r="I398" s="7">
        <v>45560</v>
      </c>
      <c r="J398" s="1" t="s">
        <v>7449</v>
      </c>
    </row>
    <row r="399" spans="1:10" x14ac:dyDescent="0.25">
      <c r="A399" s="1">
        <v>398</v>
      </c>
      <c r="B399" s="2" t="str">
        <f>_xlfn.CONCAT(C399,"-",VLOOKUP(C399,t_objeto!B:D,3,FALSE),"-",A399)</f>
        <v>MMII-PERCCO-398</v>
      </c>
      <c r="C399" s="1" t="s">
        <v>8352</v>
      </c>
      <c r="D399" s="1" t="str">
        <f>VLOOKUP(C399,t_objeto!B:C,2,FALSE)</f>
        <v>METHOD_INSTRUCTION</v>
      </c>
      <c r="E399" s="1">
        <v>8</v>
      </c>
      <c r="F399" s="1" t="str">
        <f>VLOOKUP(E399,t_entry_status!A:C,2,FALSE)</f>
        <v>PENDING</v>
      </c>
      <c r="G399" s="7">
        <v>45560</v>
      </c>
      <c r="H399" s="1" t="s">
        <v>7449</v>
      </c>
      <c r="I399" s="7">
        <v>45560</v>
      </c>
      <c r="J399" s="1" t="s">
        <v>7449</v>
      </c>
    </row>
    <row r="400" spans="1:10" x14ac:dyDescent="0.25">
      <c r="A400" s="1">
        <v>399</v>
      </c>
      <c r="B400" s="2" t="str">
        <f>_xlfn.CONCAT(C400,"-",VLOOKUP(C400,t_objeto!B:D,3,FALSE),"-",A400)</f>
        <v>MMII-PERCCO-399</v>
      </c>
      <c r="C400" s="1" t="s">
        <v>8352</v>
      </c>
      <c r="D400" s="1" t="str">
        <f>VLOOKUP(C400,t_objeto!B:C,2,FALSE)</f>
        <v>METHOD_INSTRUCTION</v>
      </c>
      <c r="E400" s="1">
        <v>8</v>
      </c>
      <c r="F400" s="1" t="str">
        <f>VLOOKUP(E400,t_entry_status!A:C,2,FALSE)</f>
        <v>PENDING</v>
      </c>
      <c r="G400" s="7">
        <v>45560</v>
      </c>
      <c r="H400" s="1" t="s">
        <v>7449</v>
      </c>
      <c r="I400" s="7">
        <v>45560</v>
      </c>
      <c r="J400" s="1" t="s">
        <v>7449</v>
      </c>
    </row>
    <row r="401" spans="1:10" x14ac:dyDescent="0.25">
      <c r="A401" s="1">
        <v>400</v>
      </c>
      <c r="B401" s="2" t="str">
        <f>_xlfn.CONCAT(C401,"-",VLOOKUP(C401,t_objeto!B:D,3,FALSE),"-",A401)</f>
        <v>MMII-PERCCO-400</v>
      </c>
      <c r="C401" s="1" t="s">
        <v>8352</v>
      </c>
      <c r="D401" s="1" t="str">
        <f>VLOOKUP(C401,t_objeto!B:C,2,FALSE)</f>
        <v>METHOD_INSTRUCTION</v>
      </c>
      <c r="E401" s="1">
        <v>8</v>
      </c>
      <c r="F401" s="1" t="str">
        <f>VLOOKUP(E401,t_entry_status!A:C,2,FALSE)</f>
        <v>PENDING</v>
      </c>
      <c r="G401" s="7">
        <v>45560</v>
      </c>
      <c r="H401" s="1" t="s">
        <v>7449</v>
      </c>
      <c r="I401" s="7">
        <v>45560</v>
      </c>
      <c r="J401" s="1" t="s">
        <v>7449</v>
      </c>
    </row>
    <row r="402" spans="1:10" x14ac:dyDescent="0.25">
      <c r="A402" s="1">
        <v>401</v>
      </c>
      <c r="B402" s="2" t="str">
        <f>_xlfn.CONCAT(C402,"-",VLOOKUP(C402,t_objeto!B:D,3,FALSE),"-",A402)</f>
        <v>MMII-PERCCO-401</v>
      </c>
      <c r="C402" s="1" t="s">
        <v>8352</v>
      </c>
      <c r="D402" s="1" t="str">
        <f>VLOOKUP(C402,t_objeto!B:C,2,FALSE)</f>
        <v>METHOD_INSTRUCTION</v>
      </c>
      <c r="E402" s="1">
        <v>8</v>
      </c>
      <c r="F402" s="1" t="str">
        <f>VLOOKUP(E402,t_entry_status!A:C,2,FALSE)</f>
        <v>PENDING</v>
      </c>
      <c r="G402" s="7">
        <v>45560</v>
      </c>
      <c r="H402" s="1" t="s">
        <v>7449</v>
      </c>
      <c r="I402" s="7">
        <v>45560</v>
      </c>
      <c r="J402" s="1" t="s">
        <v>7449</v>
      </c>
    </row>
    <row r="403" spans="1:10" x14ac:dyDescent="0.25">
      <c r="A403" s="1">
        <v>402</v>
      </c>
      <c r="B403" s="2" t="str">
        <f>_xlfn.CONCAT(C403,"-",VLOOKUP(C403,t_objeto!B:D,3,FALSE),"-",A403)</f>
        <v>MMII-PERCCO-402</v>
      </c>
      <c r="C403" s="1" t="s">
        <v>8352</v>
      </c>
      <c r="D403" s="1" t="str">
        <f>VLOOKUP(C403,t_objeto!B:C,2,FALSE)</f>
        <v>METHOD_INSTRUCTION</v>
      </c>
      <c r="E403" s="1">
        <v>8</v>
      </c>
      <c r="F403" s="1" t="str">
        <f>VLOOKUP(E403,t_entry_status!A:C,2,FALSE)</f>
        <v>PENDING</v>
      </c>
      <c r="G403" s="7">
        <v>45560</v>
      </c>
      <c r="H403" s="1" t="s">
        <v>7449</v>
      </c>
      <c r="I403" s="7">
        <v>45560</v>
      </c>
      <c r="J403" s="1" t="s">
        <v>7449</v>
      </c>
    </row>
    <row r="404" spans="1:10" x14ac:dyDescent="0.25">
      <c r="A404" s="1">
        <v>403</v>
      </c>
      <c r="B404" s="2" t="str">
        <f>_xlfn.CONCAT(C404,"-",VLOOKUP(C404,t_objeto!B:D,3,FALSE),"-",A404)</f>
        <v>MMII-PERCCO-403</v>
      </c>
      <c r="C404" s="1" t="s">
        <v>8352</v>
      </c>
      <c r="D404" s="1" t="str">
        <f>VLOOKUP(C404,t_objeto!B:C,2,FALSE)</f>
        <v>METHOD_INSTRUCTION</v>
      </c>
      <c r="E404" s="1">
        <v>8</v>
      </c>
      <c r="F404" s="1" t="str">
        <f>VLOOKUP(E404,t_entry_status!A:C,2,FALSE)</f>
        <v>PENDING</v>
      </c>
      <c r="G404" s="7">
        <v>45560</v>
      </c>
      <c r="H404" s="1" t="s">
        <v>7449</v>
      </c>
      <c r="I404" s="7">
        <v>45560</v>
      </c>
      <c r="J404" s="1" t="s">
        <v>7449</v>
      </c>
    </row>
    <row r="405" spans="1:10" x14ac:dyDescent="0.25">
      <c r="A405" s="1">
        <v>404</v>
      </c>
      <c r="B405" s="2" t="str">
        <f>_xlfn.CONCAT(C405,"-",VLOOKUP(C405,t_objeto!B:D,3,FALSE),"-",A405)</f>
        <v>MMII-PERCCO-404</v>
      </c>
      <c r="C405" s="1" t="s">
        <v>8352</v>
      </c>
      <c r="D405" s="1" t="str">
        <f>VLOOKUP(C405,t_objeto!B:C,2,FALSE)</f>
        <v>METHOD_INSTRUCTION</v>
      </c>
      <c r="E405" s="1">
        <v>8</v>
      </c>
      <c r="F405" s="1" t="str">
        <f>VLOOKUP(E405,t_entry_status!A:C,2,FALSE)</f>
        <v>PENDING</v>
      </c>
      <c r="G405" s="7">
        <v>45560</v>
      </c>
      <c r="H405" s="1" t="s">
        <v>7449</v>
      </c>
      <c r="I405" s="7">
        <v>45560</v>
      </c>
      <c r="J405" s="1" t="s">
        <v>7449</v>
      </c>
    </row>
    <row r="406" spans="1:10" x14ac:dyDescent="0.25">
      <c r="A406" s="1">
        <v>405</v>
      </c>
      <c r="B406" s="2" t="str">
        <f>_xlfn.CONCAT(C406,"-",VLOOKUP(C406,t_objeto!B:D,3,FALSE),"-",A406)</f>
        <v>MMII-PERCCO-405</v>
      </c>
      <c r="C406" s="1" t="s">
        <v>8352</v>
      </c>
      <c r="D406" s="1" t="str">
        <f>VLOOKUP(C406,t_objeto!B:C,2,FALSE)</f>
        <v>METHOD_INSTRUCTION</v>
      </c>
      <c r="E406" s="1">
        <v>8</v>
      </c>
      <c r="F406" s="1" t="str">
        <f>VLOOKUP(E406,t_entry_status!A:C,2,FALSE)</f>
        <v>PENDING</v>
      </c>
      <c r="G406" s="7">
        <v>45560</v>
      </c>
      <c r="H406" s="1" t="s">
        <v>7449</v>
      </c>
      <c r="I406" s="7">
        <v>45560</v>
      </c>
      <c r="J406" s="1" t="s">
        <v>7449</v>
      </c>
    </row>
    <row r="407" spans="1:10" x14ac:dyDescent="0.25">
      <c r="A407" s="1">
        <v>406</v>
      </c>
      <c r="B407" s="2" t="str">
        <f>_xlfn.CONCAT(C407,"-",VLOOKUP(C407,t_objeto!B:D,3,FALSE),"-",A407)</f>
        <v>MMII-PERCCO-406</v>
      </c>
      <c r="C407" s="1" t="s">
        <v>8352</v>
      </c>
      <c r="D407" s="1" t="str">
        <f>VLOOKUP(C407,t_objeto!B:C,2,FALSE)</f>
        <v>METHOD_INSTRUCTION</v>
      </c>
      <c r="E407" s="1">
        <v>8</v>
      </c>
      <c r="F407" s="1" t="str">
        <f>VLOOKUP(E407,t_entry_status!A:C,2,FALSE)</f>
        <v>PENDING</v>
      </c>
      <c r="G407" s="7">
        <v>45560</v>
      </c>
      <c r="H407" s="1" t="s">
        <v>7449</v>
      </c>
      <c r="I407" s="7">
        <v>45560</v>
      </c>
      <c r="J407" s="1" t="s">
        <v>7449</v>
      </c>
    </row>
    <row r="408" spans="1:10" x14ac:dyDescent="0.25">
      <c r="A408" s="1">
        <v>407</v>
      </c>
      <c r="B408" s="2" t="str">
        <f>_xlfn.CONCAT(C408,"-",VLOOKUP(C408,t_objeto!B:D,3,FALSE),"-",A408)</f>
        <v>MMII-PERCCO-407</v>
      </c>
      <c r="C408" s="1" t="s">
        <v>8352</v>
      </c>
      <c r="D408" s="1" t="str">
        <f>VLOOKUP(C408,t_objeto!B:C,2,FALSE)</f>
        <v>METHOD_INSTRUCTION</v>
      </c>
      <c r="E408" s="1">
        <v>8</v>
      </c>
      <c r="F408" s="1" t="str">
        <f>VLOOKUP(E408,t_entry_status!A:C,2,FALSE)</f>
        <v>PENDING</v>
      </c>
      <c r="G408" s="7">
        <v>45560</v>
      </c>
      <c r="H408" s="1" t="s">
        <v>7449</v>
      </c>
      <c r="I408" s="7">
        <v>45560</v>
      </c>
      <c r="J408" s="1" t="s">
        <v>7449</v>
      </c>
    </row>
    <row r="409" spans="1:10" x14ac:dyDescent="0.25">
      <c r="A409" s="1">
        <v>408</v>
      </c>
      <c r="B409" s="2" t="str">
        <f>_xlfn.CONCAT(C409,"-",VLOOKUP(C409,t_objeto!B:D,3,FALSE),"-",A409)</f>
        <v>MMII-PERCCO-408</v>
      </c>
      <c r="C409" s="1" t="s">
        <v>8352</v>
      </c>
      <c r="D409" s="1" t="str">
        <f>VLOOKUP(C409,t_objeto!B:C,2,FALSE)</f>
        <v>METHOD_INSTRUCTION</v>
      </c>
      <c r="E409" s="1">
        <v>8</v>
      </c>
      <c r="F409" s="1" t="str">
        <f>VLOOKUP(E409,t_entry_status!A:C,2,FALSE)</f>
        <v>PENDING</v>
      </c>
      <c r="G409" s="7">
        <v>45560</v>
      </c>
      <c r="H409" s="1" t="s">
        <v>7449</v>
      </c>
      <c r="I409" s="7">
        <v>45560</v>
      </c>
      <c r="J409" s="1" t="s">
        <v>7449</v>
      </c>
    </row>
    <row r="410" spans="1:10" x14ac:dyDescent="0.25">
      <c r="A410" s="1">
        <v>409</v>
      </c>
      <c r="B410" s="2" t="str">
        <f>_xlfn.CONCAT(C410,"-",VLOOKUP(C410,t_objeto!B:D,3,FALSE),"-",A410)</f>
        <v>MMII-PERCCO-409</v>
      </c>
      <c r="C410" s="1" t="s">
        <v>8352</v>
      </c>
      <c r="D410" s="1" t="str">
        <f>VLOOKUP(C410,t_objeto!B:C,2,FALSE)</f>
        <v>METHOD_INSTRUCTION</v>
      </c>
      <c r="E410" s="1">
        <v>8</v>
      </c>
      <c r="F410" s="1" t="str">
        <f>VLOOKUP(E410,t_entry_status!A:C,2,FALSE)</f>
        <v>PENDING</v>
      </c>
      <c r="G410" s="7">
        <v>45560</v>
      </c>
      <c r="H410" s="1" t="s">
        <v>7449</v>
      </c>
      <c r="I410" s="7">
        <v>45560</v>
      </c>
      <c r="J410" s="1" t="s">
        <v>7449</v>
      </c>
    </row>
    <row r="411" spans="1:10" x14ac:dyDescent="0.25">
      <c r="A411" s="1">
        <v>410</v>
      </c>
      <c r="B411" s="2" t="str">
        <f>_xlfn.CONCAT(C411,"-",VLOOKUP(C411,t_objeto!B:D,3,FALSE),"-",A411)</f>
        <v>MMII-PERCCO-410</v>
      </c>
      <c r="C411" s="1" t="s">
        <v>8352</v>
      </c>
      <c r="D411" s="1" t="str">
        <f>VLOOKUP(C411,t_objeto!B:C,2,FALSE)</f>
        <v>METHOD_INSTRUCTION</v>
      </c>
      <c r="E411" s="1">
        <v>8</v>
      </c>
      <c r="F411" s="1" t="str">
        <f>VLOOKUP(E411,t_entry_status!A:C,2,FALSE)</f>
        <v>PENDING</v>
      </c>
      <c r="G411" s="7">
        <v>45560</v>
      </c>
      <c r="H411" s="1" t="s">
        <v>7449</v>
      </c>
      <c r="I411" s="7">
        <v>45560</v>
      </c>
      <c r="J411" s="1" t="s">
        <v>7449</v>
      </c>
    </row>
    <row r="412" spans="1:10" x14ac:dyDescent="0.25">
      <c r="A412" s="1">
        <v>411</v>
      </c>
      <c r="B412" s="2" t="str">
        <f>_xlfn.CONCAT(C412,"-",VLOOKUP(C412,t_objeto!B:D,3,FALSE),"-",A412)</f>
        <v>MMII-PERCCO-411</v>
      </c>
      <c r="C412" s="1" t="s">
        <v>8352</v>
      </c>
      <c r="D412" s="1" t="str">
        <f>VLOOKUP(C412,t_objeto!B:C,2,FALSE)</f>
        <v>METHOD_INSTRUCTION</v>
      </c>
      <c r="E412" s="1">
        <v>8</v>
      </c>
      <c r="F412" s="1" t="str">
        <f>VLOOKUP(E412,t_entry_status!A:C,2,FALSE)</f>
        <v>PENDING</v>
      </c>
      <c r="G412" s="7">
        <v>45560</v>
      </c>
      <c r="H412" s="1" t="s">
        <v>7449</v>
      </c>
      <c r="I412" s="7">
        <v>45560</v>
      </c>
      <c r="J412" s="1" t="s">
        <v>7449</v>
      </c>
    </row>
    <row r="413" spans="1:10" x14ac:dyDescent="0.25">
      <c r="A413" s="1">
        <v>412</v>
      </c>
      <c r="B413" s="2" t="str">
        <f>_xlfn.CONCAT(C413,"-",VLOOKUP(C413,t_objeto!B:D,3,FALSE),"-",A413)</f>
        <v>MMII-PERCCO-412</v>
      </c>
      <c r="C413" s="1" t="s">
        <v>8352</v>
      </c>
      <c r="D413" s="1" t="str">
        <f>VLOOKUP(C413,t_objeto!B:C,2,FALSE)</f>
        <v>METHOD_INSTRUCTION</v>
      </c>
      <c r="E413" s="1">
        <v>8</v>
      </c>
      <c r="F413" s="1" t="str">
        <f>VLOOKUP(E413,t_entry_status!A:C,2,FALSE)</f>
        <v>PENDING</v>
      </c>
      <c r="G413" s="7">
        <v>45560</v>
      </c>
      <c r="H413" s="1" t="s">
        <v>7449</v>
      </c>
      <c r="I413" s="7">
        <v>45560</v>
      </c>
      <c r="J413" s="1" t="s">
        <v>7449</v>
      </c>
    </row>
    <row r="414" spans="1:10" x14ac:dyDescent="0.25">
      <c r="A414" s="1">
        <v>413</v>
      </c>
      <c r="B414" s="2" t="str">
        <f>_xlfn.CONCAT(C414,"-",VLOOKUP(C414,t_objeto!B:D,3,FALSE),"-",A414)</f>
        <v>MMII-PERCCO-413</v>
      </c>
      <c r="C414" s="1" t="s">
        <v>8352</v>
      </c>
      <c r="D414" s="1" t="str">
        <f>VLOOKUP(C414,t_objeto!B:C,2,FALSE)</f>
        <v>METHOD_INSTRUCTION</v>
      </c>
      <c r="E414" s="1">
        <v>8</v>
      </c>
      <c r="F414" s="1" t="str">
        <f>VLOOKUP(E414,t_entry_status!A:C,2,FALSE)</f>
        <v>PENDING</v>
      </c>
      <c r="G414" s="7">
        <v>45560</v>
      </c>
      <c r="H414" s="1" t="s">
        <v>7449</v>
      </c>
      <c r="I414" s="7">
        <v>45560</v>
      </c>
      <c r="J414" s="1" t="s">
        <v>7449</v>
      </c>
    </row>
    <row r="415" spans="1:10" x14ac:dyDescent="0.25">
      <c r="A415" s="1">
        <v>414</v>
      </c>
      <c r="B415" s="2" t="str">
        <f>_xlfn.CONCAT(C415,"-",VLOOKUP(C415,t_objeto!B:D,3,FALSE),"-",A415)</f>
        <v>MMII-PERCCO-414</v>
      </c>
      <c r="C415" s="1" t="s">
        <v>8352</v>
      </c>
      <c r="D415" s="1" t="str">
        <f>VLOOKUP(C415,t_objeto!B:C,2,FALSE)</f>
        <v>METHOD_INSTRUCTION</v>
      </c>
      <c r="E415" s="1">
        <v>8</v>
      </c>
      <c r="F415" s="1" t="str">
        <f>VLOOKUP(E415,t_entry_status!A:C,2,FALSE)</f>
        <v>PENDING</v>
      </c>
      <c r="G415" s="7">
        <v>45560</v>
      </c>
      <c r="H415" s="1" t="s">
        <v>7449</v>
      </c>
      <c r="I415" s="7">
        <v>45560</v>
      </c>
      <c r="J415" s="1" t="s">
        <v>7449</v>
      </c>
    </row>
    <row r="416" spans="1:10" x14ac:dyDescent="0.25">
      <c r="A416" s="1">
        <v>415</v>
      </c>
      <c r="B416" s="2" t="str">
        <f>_xlfn.CONCAT(C416,"-",VLOOKUP(C416,t_objeto!B:D,3,FALSE),"-",A416)</f>
        <v>MMII-PERCCO-415</v>
      </c>
      <c r="C416" s="1" t="s">
        <v>8352</v>
      </c>
      <c r="D416" s="1" t="str">
        <f>VLOOKUP(C416,t_objeto!B:C,2,FALSE)</f>
        <v>METHOD_INSTRUCTION</v>
      </c>
      <c r="E416" s="1">
        <v>8</v>
      </c>
      <c r="F416" s="1" t="str">
        <f>VLOOKUP(E416,t_entry_status!A:C,2,FALSE)</f>
        <v>PENDING</v>
      </c>
      <c r="G416" s="7">
        <v>45560</v>
      </c>
      <c r="H416" s="1" t="s">
        <v>7449</v>
      </c>
      <c r="I416" s="7">
        <v>45560</v>
      </c>
      <c r="J416" s="1" t="s">
        <v>7449</v>
      </c>
    </row>
    <row r="417" spans="1:10" x14ac:dyDescent="0.25">
      <c r="A417" s="1">
        <v>416</v>
      </c>
      <c r="B417" s="2" t="str">
        <f>_xlfn.CONCAT(C417,"-",VLOOKUP(C417,t_objeto!B:D,3,FALSE),"-",A417)</f>
        <v>MMII-PERCCO-416</v>
      </c>
      <c r="C417" s="1" t="s">
        <v>8352</v>
      </c>
      <c r="D417" s="1" t="str">
        <f>VLOOKUP(C417,t_objeto!B:C,2,FALSE)</f>
        <v>METHOD_INSTRUCTION</v>
      </c>
      <c r="E417" s="1">
        <v>8</v>
      </c>
      <c r="F417" s="1" t="str">
        <f>VLOOKUP(E417,t_entry_status!A:C,2,FALSE)</f>
        <v>PENDING</v>
      </c>
      <c r="G417" s="7">
        <v>45560</v>
      </c>
      <c r="H417" s="1" t="s">
        <v>7449</v>
      </c>
      <c r="I417" s="7">
        <v>45560</v>
      </c>
      <c r="J417" s="1" t="s">
        <v>7449</v>
      </c>
    </row>
    <row r="418" spans="1:10" x14ac:dyDescent="0.25">
      <c r="A418" s="1">
        <v>417</v>
      </c>
      <c r="B418" s="2" t="str">
        <f>_xlfn.CONCAT(C418,"-",VLOOKUP(C418,t_objeto!B:D,3,FALSE),"-",A418)</f>
        <v>MMII-PERCCO-417</v>
      </c>
      <c r="C418" s="1" t="s">
        <v>8352</v>
      </c>
      <c r="D418" s="1" t="str">
        <f>VLOOKUP(C418,t_objeto!B:C,2,FALSE)</f>
        <v>METHOD_INSTRUCTION</v>
      </c>
      <c r="E418" s="1">
        <v>8</v>
      </c>
      <c r="F418" s="1" t="str">
        <f>VLOOKUP(E418,t_entry_status!A:C,2,FALSE)</f>
        <v>PENDING</v>
      </c>
      <c r="G418" s="7">
        <v>45560</v>
      </c>
      <c r="H418" s="1" t="s">
        <v>7449</v>
      </c>
      <c r="I418" s="7">
        <v>45560</v>
      </c>
      <c r="J418" s="1" t="s">
        <v>7449</v>
      </c>
    </row>
    <row r="419" spans="1:10" x14ac:dyDescent="0.25">
      <c r="A419" s="1">
        <v>418</v>
      </c>
      <c r="B419" s="2" t="str">
        <f>_xlfn.CONCAT(C419,"-",VLOOKUP(C419,t_objeto!B:D,3,FALSE),"-",A419)</f>
        <v>MMII-PERCCO-418</v>
      </c>
      <c r="C419" s="1" t="s">
        <v>8352</v>
      </c>
      <c r="D419" s="1" t="str">
        <f>VLOOKUP(C419,t_objeto!B:C,2,FALSE)</f>
        <v>METHOD_INSTRUCTION</v>
      </c>
      <c r="E419" s="1">
        <v>8</v>
      </c>
      <c r="F419" s="1" t="str">
        <f>VLOOKUP(E419,t_entry_status!A:C,2,FALSE)</f>
        <v>PENDING</v>
      </c>
      <c r="G419" s="7">
        <v>45560</v>
      </c>
      <c r="H419" s="1" t="s">
        <v>7449</v>
      </c>
      <c r="I419" s="7">
        <v>45560</v>
      </c>
      <c r="J419" s="1" t="s">
        <v>7449</v>
      </c>
    </row>
    <row r="420" spans="1:10" x14ac:dyDescent="0.25">
      <c r="A420" s="1">
        <v>419</v>
      </c>
      <c r="B420" s="2" t="str">
        <f>_xlfn.CONCAT(C420,"-",VLOOKUP(C420,t_objeto!B:D,3,FALSE),"-",A420)</f>
        <v>MMII-PERCCO-419</v>
      </c>
      <c r="C420" s="1" t="s">
        <v>8352</v>
      </c>
      <c r="D420" s="1" t="str">
        <f>VLOOKUP(C420,t_objeto!B:C,2,FALSE)</f>
        <v>METHOD_INSTRUCTION</v>
      </c>
      <c r="E420" s="1">
        <v>8</v>
      </c>
      <c r="F420" s="1" t="str">
        <f>VLOOKUP(E420,t_entry_status!A:C,2,FALSE)</f>
        <v>PENDING</v>
      </c>
      <c r="G420" s="7">
        <v>45560</v>
      </c>
      <c r="H420" s="1" t="s">
        <v>7449</v>
      </c>
      <c r="I420" s="7">
        <v>45560</v>
      </c>
      <c r="J420" s="1" t="s">
        <v>7449</v>
      </c>
    </row>
    <row r="421" spans="1:10" x14ac:dyDescent="0.25">
      <c r="A421" s="1">
        <v>420</v>
      </c>
      <c r="B421" s="2" t="str">
        <f>_xlfn.CONCAT(C421,"-",VLOOKUP(C421,t_objeto!B:D,3,FALSE),"-",A421)</f>
        <v>MMII-PERCCO-420</v>
      </c>
      <c r="C421" s="1" t="s">
        <v>8352</v>
      </c>
      <c r="D421" s="1" t="str">
        <f>VLOOKUP(C421,t_objeto!B:C,2,FALSE)</f>
        <v>METHOD_INSTRUCTION</v>
      </c>
      <c r="E421" s="1">
        <v>8</v>
      </c>
      <c r="F421" s="1" t="str">
        <f>VLOOKUP(E421,t_entry_status!A:C,2,FALSE)</f>
        <v>PENDING</v>
      </c>
      <c r="G421" s="7">
        <v>45560</v>
      </c>
      <c r="H421" s="1" t="s">
        <v>7449</v>
      </c>
      <c r="I421" s="7">
        <v>45560</v>
      </c>
      <c r="J421" s="1" t="s">
        <v>7449</v>
      </c>
    </row>
    <row r="422" spans="1:10" x14ac:dyDescent="0.25">
      <c r="A422" s="1">
        <v>421</v>
      </c>
      <c r="B422" s="2" t="str">
        <f>_xlfn.CONCAT(C422,"-",VLOOKUP(C422,t_objeto!B:D,3,FALSE),"-",A422)</f>
        <v>MMII-PERCCO-421</v>
      </c>
      <c r="C422" s="1" t="s">
        <v>8352</v>
      </c>
      <c r="D422" s="1" t="str">
        <f>VLOOKUP(C422,t_objeto!B:C,2,FALSE)</f>
        <v>METHOD_INSTRUCTION</v>
      </c>
      <c r="E422" s="1">
        <v>8</v>
      </c>
      <c r="F422" s="1" t="str">
        <f>VLOOKUP(E422,t_entry_status!A:C,2,FALSE)</f>
        <v>PENDING</v>
      </c>
      <c r="G422" s="7">
        <v>45560</v>
      </c>
      <c r="H422" s="1" t="s">
        <v>7449</v>
      </c>
      <c r="I422" s="7">
        <v>45560</v>
      </c>
      <c r="J422" s="1" t="s">
        <v>7449</v>
      </c>
    </row>
    <row r="423" spans="1:10" x14ac:dyDescent="0.25">
      <c r="A423" s="1">
        <v>422</v>
      </c>
      <c r="B423" s="2" t="str">
        <f>_xlfn.CONCAT(C423,"-",VLOOKUP(C423,t_objeto!B:D,3,FALSE),"-",A423)</f>
        <v>MMII-PERCCO-422</v>
      </c>
      <c r="C423" s="1" t="s">
        <v>8352</v>
      </c>
      <c r="D423" s="1" t="str">
        <f>VLOOKUP(C423,t_objeto!B:C,2,FALSE)</f>
        <v>METHOD_INSTRUCTION</v>
      </c>
      <c r="E423" s="1">
        <v>8</v>
      </c>
      <c r="F423" s="1" t="str">
        <f>VLOOKUP(E423,t_entry_status!A:C,2,FALSE)</f>
        <v>PENDING</v>
      </c>
      <c r="G423" s="7">
        <v>45560</v>
      </c>
      <c r="H423" s="1" t="s">
        <v>7449</v>
      </c>
      <c r="I423" s="7">
        <v>45560</v>
      </c>
      <c r="J423" s="1" t="s">
        <v>7449</v>
      </c>
    </row>
    <row r="424" spans="1:10" x14ac:dyDescent="0.25">
      <c r="A424" s="1">
        <v>423</v>
      </c>
      <c r="B424" s="2" t="str">
        <f>_xlfn.CONCAT(C424,"-",VLOOKUP(C424,t_objeto!B:D,3,FALSE),"-",A424)</f>
        <v>MMII-PERCCO-423</v>
      </c>
      <c r="C424" s="1" t="s">
        <v>8352</v>
      </c>
      <c r="D424" s="1" t="str">
        <f>VLOOKUP(C424,t_objeto!B:C,2,FALSE)</f>
        <v>METHOD_INSTRUCTION</v>
      </c>
      <c r="E424" s="1">
        <v>8</v>
      </c>
      <c r="F424" s="1" t="str">
        <f>VLOOKUP(E424,t_entry_status!A:C,2,FALSE)</f>
        <v>PENDING</v>
      </c>
      <c r="G424" s="7">
        <v>45560</v>
      </c>
      <c r="H424" s="1" t="s">
        <v>7449</v>
      </c>
      <c r="I424" s="7">
        <v>45560</v>
      </c>
      <c r="J424" s="1" t="s">
        <v>7449</v>
      </c>
    </row>
    <row r="425" spans="1:10" x14ac:dyDescent="0.25">
      <c r="A425" s="1">
        <v>424</v>
      </c>
      <c r="B425" s="2" t="str">
        <f>_xlfn.CONCAT(C425,"-",VLOOKUP(C425,t_objeto!B:D,3,FALSE),"-",A425)</f>
        <v>MMII-PERCCO-424</v>
      </c>
      <c r="C425" s="1" t="s">
        <v>8352</v>
      </c>
      <c r="D425" s="1" t="str">
        <f>VLOOKUP(C425,t_objeto!B:C,2,FALSE)</f>
        <v>METHOD_INSTRUCTION</v>
      </c>
      <c r="E425" s="1">
        <v>8</v>
      </c>
      <c r="F425" s="1" t="str">
        <f>VLOOKUP(E425,t_entry_status!A:C,2,FALSE)</f>
        <v>PENDING</v>
      </c>
      <c r="G425" s="7">
        <v>45560</v>
      </c>
      <c r="H425" s="1" t="s">
        <v>7449</v>
      </c>
      <c r="I425" s="7">
        <v>45560</v>
      </c>
      <c r="J425" s="1" t="s">
        <v>7449</v>
      </c>
    </row>
    <row r="426" spans="1:10" x14ac:dyDescent="0.25">
      <c r="A426" s="1">
        <v>425</v>
      </c>
      <c r="B426" s="2" t="str">
        <f>_xlfn.CONCAT(C426,"-",VLOOKUP(C426,t_objeto!B:D,3,FALSE),"-",A426)</f>
        <v>MMII-PERCCO-425</v>
      </c>
      <c r="C426" s="1" t="s">
        <v>8352</v>
      </c>
      <c r="D426" s="1" t="str">
        <f>VLOOKUP(C426,t_objeto!B:C,2,FALSE)</f>
        <v>METHOD_INSTRUCTION</v>
      </c>
      <c r="E426" s="1">
        <v>8</v>
      </c>
      <c r="F426" s="1" t="str">
        <f>VLOOKUP(E426,t_entry_status!A:C,2,FALSE)</f>
        <v>PENDING</v>
      </c>
      <c r="G426" s="7">
        <v>45560</v>
      </c>
      <c r="H426" s="1" t="s">
        <v>7449</v>
      </c>
      <c r="I426" s="7">
        <v>45560</v>
      </c>
      <c r="J426" s="1" t="s">
        <v>7449</v>
      </c>
    </row>
    <row r="427" spans="1:10" x14ac:dyDescent="0.25">
      <c r="A427" s="1">
        <v>426</v>
      </c>
      <c r="B427" s="2" t="str">
        <f>_xlfn.CONCAT(C427,"-",VLOOKUP(C427,t_objeto!B:D,3,FALSE),"-",A427)</f>
        <v>MMII-PERCCO-426</v>
      </c>
      <c r="C427" s="1" t="s">
        <v>8352</v>
      </c>
      <c r="D427" s="1" t="str">
        <f>VLOOKUP(C427,t_objeto!B:C,2,FALSE)</f>
        <v>METHOD_INSTRUCTION</v>
      </c>
      <c r="E427" s="1">
        <v>8</v>
      </c>
      <c r="F427" s="1" t="str">
        <f>VLOOKUP(E427,t_entry_status!A:C,2,FALSE)</f>
        <v>PENDING</v>
      </c>
      <c r="G427" s="7">
        <v>45560</v>
      </c>
      <c r="H427" s="1" t="s">
        <v>7449</v>
      </c>
      <c r="I427" s="7">
        <v>45560</v>
      </c>
      <c r="J427" s="1" t="s">
        <v>7449</v>
      </c>
    </row>
    <row r="428" spans="1:10" x14ac:dyDescent="0.25">
      <c r="A428" s="1">
        <v>427</v>
      </c>
      <c r="B428" s="2" t="str">
        <f>_xlfn.CONCAT(C428,"-",VLOOKUP(C428,t_objeto!B:D,3,FALSE),"-",A428)</f>
        <v>MMII-PERCCO-427</v>
      </c>
      <c r="C428" s="1" t="s">
        <v>8352</v>
      </c>
      <c r="D428" s="1" t="str">
        <f>VLOOKUP(C428,t_objeto!B:C,2,FALSE)</f>
        <v>METHOD_INSTRUCTION</v>
      </c>
      <c r="E428" s="1">
        <v>8</v>
      </c>
      <c r="F428" s="1" t="str">
        <f>VLOOKUP(E428,t_entry_status!A:C,2,FALSE)</f>
        <v>PENDING</v>
      </c>
      <c r="G428" s="7">
        <v>45560</v>
      </c>
      <c r="H428" s="1" t="s">
        <v>7449</v>
      </c>
      <c r="I428" s="7">
        <v>45560</v>
      </c>
      <c r="J428" s="1" t="s">
        <v>7449</v>
      </c>
    </row>
    <row r="429" spans="1:10" x14ac:dyDescent="0.25">
      <c r="A429" s="1">
        <v>428</v>
      </c>
      <c r="B429" s="2" t="str">
        <f>_xlfn.CONCAT(C429,"-",VLOOKUP(C429,t_objeto!B:D,3,FALSE),"-",A429)</f>
        <v>MMII-PERCCO-428</v>
      </c>
      <c r="C429" s="1" t="s">
        <v>8352</v>
      </c>
      <c r="D429" s="1" t="str">
        <f>VLOOKUP(C429,t_objeto!B:C,2,FALSE)</f>
        <v>METHOD_INSTRUCTION</v>
      </c>
      <c r="E429" s="1">
        <v>8</v>
      </c>
      <c r="F429" s="1" t="str">
        <f>VLOOKUP(E429,t_entry_status!A:C,2,FALSE)</f>
        <v>PENDING</v>
      </c>
      <c r="G429" s="7">
        <v>45560</v>
      </c>
      <c r="H429" s="1" t="s">
        <v>7449</v>
      </c>
      <c r="I429" s="7">
        <v>45560</v>
      </c>
      <c r="J429" s="1" t="s">
        <v>7449</v>
      </c>
    </row>
    <row r="430" spans="1:10" x14ac:dyDescent="0.25">
      <c r="A430" s="1">
        <v>429</v>
      </c>
      <c r="B430" s="2" t="str">
        <f>_xlfn.CONCAT(C430,"-",VLOOKUP(C430,t_objeto!B:D,3,FALSE),"-",A430)</f>
        <v>MMII-PERCCO-429</v>
      </c>
      <c r="C430" s="1" t="s">
        <v>8352</v>
      </c>
      <c r="D430" s="1" t="str">
        <f>VLOOKUP(C430,t_objeto!B:C,2,FALSE)</f>
        <v>METHOD_INSTRUCTION</v>
      </c>
      <c r="E430" s="1">
        <v>8</v>
      </c>
      <c r="F430" s="1" t="str">
        <f>VLOOKUP(E430,t_entry_status!A:C,2,FALSE)</f>
        <v>PENDING</v>
      </c>
      <c r="G430" s="7">
        <v>45560</v>
      </c>
      <c r="H430" s="1" t="s">
        <v>7449</v>
      </c>
      <c r="I430" s="7">
        <v>45560</v>
      </c>
      <c r="J430" s="1" t="s">
        <v>7449</v>
      </c>
    </row>
    <row r="431" spans="1:10" x14ac:dyDescent="0.25">
      <c r="A431" s="1">
        <v>430</v>
      </c>
      <c r="B431" s="2" t="str">
        <f>_xlfn.CONCAT(C431,"-",VLOOKUP(C431,t_objeto!B:D,3,FALSE),"-",A431)</f>
        <v>MMII-PERCCO-430</v>
      </c>
      <c r="C431" s="1" t="s">
        <v>8352</v>
      </c>
      <c r="D431" s="1" t="str">
        <f>VLOOKUP(C431,t_objeto!B:C,2,FALSE)</f>
        <v>METHOD_INSTRUCTION</v>
      </c>
      <c r="E431" s="1">
        <v>8</v>
      </c>
      <c r="F431" s="1" t="str">
        <f>VLOOKUP(E431,t_entry_status!A:C,2,FALSE)</f>
        <v>PENDING</v>
      </c>
      <c r="G431" s="7">
        <v>45560</v>
      </c>
      <c r="H431" s="1" t="s">
        <v>7449</v>
      </c>
      <c r="I431" s="7">
        <v>45560</v>
      </c>
      <c r="J431" s="1" t="s">
        <v>7449</v>
      </c>
    </row>
    <row r="432" spans="1:10" x14ac:dyDescent="0.25">
      <c r="A432" s="1">
        <v>431</v>
      </c>
      <c r="B432" s="2" t="str">
        <f>_xlfn.CONCAT(C432,"-",VLOOKUP(C432,t_objeto!B:D,3,FALSE),"-",A432)</f>
        <v>MMII-PERCCO-431</v>
      </c>
      <c r="C432" s="1" t="s">
        <v>8352</v>
      </c>
      <c r="D432" s="1" t="str">
        <f>VLOOKUP(C432,t_objeto!B:C,2,FALSE)</f>
        <v>METHOD_INSTRUCTION</v>
      </c>
      <c r="E432" s="1">
        <v>8</v>
      </c>
      <c r="F432" s="1" t="str">
        <f>VLOOKUP(E432,t_entry_status!A:C,2,FALSE)</f>
        <v>PENDING</v>
      </c>
      <c r="G432" s="7">
        <v>45560</v>
      </c>
      <c r="H432" s="1" t="s">
        <v>7449</v>
      </c>
      <c r="I432" s="7">
        <v>45560</v>
      </c>
      <c r="J432" s="1" t="s">
        <v>7449</v>
      </c>
    </row>
    <row r="433" spans="1:10" x14ac:dyDescent="0.25">
      <c r="A433" s="1">
        <v>432</v>
      </c>
      <c r="B433" s="2" t="str">
        <f>_xlfn.CONCAT(C433,"-",VLOOKUP(C433,t_objeto!B:D,3,FALSE),"-",A433)</f>
        <v>MMII-PERCCO-432</v>
      </c>
      <c r="C433" s="1" t="s">
        <v>8352</v>
      </c>
      <c r="D433" s="1" t="str">
        <f>VLOOKUP(C433,t_objeto!B:C,2,FALSE)</f>
        <v>METHOD_INSTRUCTION</v>
      </c>
      <c r="E433" s="1">
        <v>8</v>
      </c>
      <c r="F433" s="1" t="str">
        <f>VLOOKUP(E433,t_entry_status!A:C,2,FALSE)</f>
        <v>PENDING</v>
      </c>
      <c r="G433" s="7">
        <v>45560</v>
      </c>
      <c r="H433" s="1" t="s">
        <v>7449</v>
      </c>
      <c r="I433" s="7">
        <v>45560</v>
      </c>
      <c r="J433" s="1" t="s">
        <v>7449</v>
      </c>
    </row>
    <row r="434" spans="1:10" x14ac:dyDescent="0.25">
      <c r="A434" s="1">
        <v>433</v>
      </c>
      <c r="B434" s="2" t="str">
        <f>_xlfn.CONCAT(C434,"-",VLOOKUP(C434,t_objeto!B:D,3,FALSE),"-",A434)</f>
        <v>MMII-PERCCO-433</v>
      </c>
      <c r="C434" s="1" t="s">
        <v>8352</v>
      </c>
      <c r="D434" s="1" t="str">
        <f>VLOOKUP(C434,t_objeto!B:C,2,FALSE)</f>
        <v>METHOD_INSTRUCTION</v>
      </c>
      <c r="E434" s="1">
        <v>8</v>
      </c>
      <c r="F434" s="1" t="str">
        <f>VLOOKUP(E434,t_entry_status!A:C,2,FALSE)</f>
        <v>PENDING</v>
      </c>
      <c r="G434" s="7">
        <v>45560</v>
      </c>
      <c r="H434" s="1" t="s">
        <v>7449</v>
      </c>
      <c r="I434" s="7">
        <v>45560</v>
      </c>
      <c r="J434" s="1" t="s">
        <v>7449</v>
      </c>
    </row>
    <row r="435" spans="1:10" x14ac:dyDescent="0.25">
      <c r="A435" s="1">
        <v>434</v>
      </c>
      <c r="B435" s="2" t="str">
        <f>_xlfn.CONCAT(C435,"-",VLOOKUP(C435,t_objeto!B:D,3,FALSE),"-",A435)</f>
        <v>MMII-PERCCO-434</v>
      </c>
      <c r="C435" s="1" t="s">
        <v>8352</v>
      </c>
      <c r="D435" s="1" t="str">
        <f>VLOOKUP(C435,t_objeto!B:C,2,FALSE)</f>
        <v>METHOD_INSTRUCTION</v>
      </c>
      <c r="E435" s="1">
        <v>8</v>
      </c>
      <c r="F435" s="1" t="str">
        <f>VLOOKUP(E435,t_entry_status!A:C,2,FALSE)</f>
        <v>PENDING</v>
      </c>
      <c r="G435" s="7">
        <v>45560</v>
      </c>
      <c r="H435" s="1" t="s">
        <v>7449</v>
      </c>
      <c r="I435" s="7">
        <v>45560</v>
      </c>
      <c r="J435" s="1" t="s">
        <v>7449</v>
      </c>
    </row>
    <row r="436" spans="1:10" x14ac:dyDescent="0.25">
      <c r="A436" s="1">
        <v>435</v>
      </c>
      <c r="B436" s="2" t="str">
        <f>_xlfn.CONCAT(C436,"-",VLOOKUP(C436,t_objeto!B:D,3,FALSE),"-",A436)</f>
        <v>MMII-PERCCO-435</v>
      </c>
      <c r="C436" s="1" t="s">
        <v>8352</v>
      </c>
      <c r="D436" s="1" t="str">
        <f>VLOOKUP(C436,t_objeto!B:C,2,FALSE)</f>
        <v>METHOD_INSTRUCTION</v>
      </c>
      <c r="E436" s="1">
        <v>8</v>
      </c>
      <c r="F436" s="1" t="str">
        <f>VLOOKUP(E436,t_entry_status!A:C,2,FALSE)</f>
        <v>PENDING</v>
      </c>
      <c r="G436" s="7">
        <v>45560</v>
      </c>
      <c r="H436" s="1" t="s">
        <v>7449</v>
      </c>
      <c r="I436" s="7">
        <v>45560</v>
      </c>
      <c r="J436" s="1" t="s">
        <v>7449</v>
      </c>
    </row>
    <row r="437" spans="1:10" x14ac:dyDescent="0.25">
      <c r="A437" s="1">
        <v>436</v>
      </c>
      <c r="B437" s="2" t="str">
        <f>_xlfn.CONCAT(C437,"-",VLOOKUP(C437,t_objeto!B:D,3,FALSE),"-",A437)</f>
        <v>MMII-PERCCO-436</v>
      </c>
      <c r="C437" s="1" t="s">
        <v>8352</v>
      </c>
      <c r="D437" s="1" t="str">
        <f>VLOOKUP(C437,t_objeto!B:C,2,FALSE)</f>
        <v>METHOD_INSTRUCTION</v>
      </c>
      <c r="E437" s="1">
        <v>8</v>
      </c>
      <c r="F437" s="1" t="str">
        <f>VLOOKUP(E437,t_entry_status!A:C,2,FALSE)</f>
        <v>PENDING</v>
      </c>
      <c r="G437" s="7">
        <v>45560</v>
      </c>
      <c r="H437" s="1" t="s">
        <v>7449</v>
      </c>
      <c r="I437" s="7">
        <v>45560</v>
      </c>
      <c r="J437" s="1" t="s">
        <v>7449</v>
      </c>
    </row>
    <row r="438" spans="1:10" x14ac:dyDescent="0.25">
      <c r="A438" s="1">
        <v>437</v>
      </c>
      <c r="B438" s="2" t="str">
        <f>_xlfn.CONCAT(C438,"-",VLOOKUP(C438,t_objeto!B:D,3,FALSE),"-",A438)</f>
        <v>MMII-PERCCO-437</v>
      </c>
      <c r="C438" s="1" t="s">
        <v>8352</v>
      </c>
      <c r="D438" s="1" t="str">
        <f>VLOOKUP(C438,t_objeto!B:C,2,FALSE)</f>
        <v>METHOD_INSTRUCTION</v>
      </c>
      <c r="E438" s="1">
        <v>8</v>
      </c>
      <c r="F438" s="1" t="str">
        <f>VLOOKUP(E438,t_entry_status!A:C,2,FALSE)</f>
        <v>PENDING</v>
      </c>
      <c r="G438" s="7">
        <v>45560</v>
      </c>
      <c r="H438" s="1" t="s">
        <v>7449</v>
      </c>
      <c r="I438" s="7">
        <v>45560</v>
      </c>
      <c r="J438" s="1" t="s">
        <v>7449</v>
      </c>
    </row>
    <row r="439" spans="1:10" x14ac:dyDescent="0.25">
      <c r="A439" s="1">
        <v>438</v>
      </c>
      <c r="B439" s="2" t="str">
        <f>_xlfn.CONCAT(C439,"-",VLOOKUP(C439,t_objeto!B:D,3,FALSE),"-",A439)</f>
        <v>MMII-PERCCO-438</v>
      </c>
      <c r="C439" s="1" t="s">
        <v>8352</v>
      </c>
      <c r="D439" s="1" t="str">
        <f>VLOOKUP(C439,t_objeto!B:C,2,FALSE)</f>
        <v>METHOD_INSTRUCTION</v>
      </c>
      <c r="E439" s="1">
        <v>8</v>
      </c>
      <c r="F439" s="1" t="str">
        <f>VLOOKUP(E439,t_entry_status!A:C,2,FALSE)</f>
        <v>PENDING</v>
      </c>
      <c r="G439" s="7">
        <v>45560</v>
      </c>
      <c r="H439" s="1" t="s">
        <v>7449</v>
      </c>
      <c r="I439" s="7">
        <v>45560</v>
      </c>
      <c r="J439" s="1" t="s">
        <v>7449</v>
      </c>
    </row>
    <row r="440" spans="1:10" x14ac:dyDescent="0.25">
      <c r="A440" s="1">
        <v>439</v>
      </c>
      <c r="B440" s="2" t="str">
        <f>_xlfn.CONCAT(C440,"-",VLOOKUP(C440,t_objeto!B:D,3,FALSE),"-",A440)</f>
        <v>MMII-PERCCO-439</v>
      </c>
      <c r="C440" s="1" t="s">
        <v>8352</v>
      </c>
      <c r="D440" s="1" t="str">
        <f>VLOOKUP(C440,t_objeto!B:C,2,FALSE)</f>
        <v>METHOD_INSTRUCTION</v>
      </c>
      <c r="E440" s="1">
        <v>8</v>
      </c>
      <c r="F440" s="1" t="str">
        <f>VLOOKUP(E440,t_entry_status!A:C,2,FALSE)</f>
        <v>PENDING</v>
      </c>
      <c r="G440" s="7">
        <v>45560</v>
      </c>
      <c r="H440" s="1" t="s">
        <v>7449</v>
      </c>
      <c r="I440" s="7">
        <v>45560</v>
      </c>
      <c r="J440" s="1" t="s">
        <v>7449</v>
      </c>
    </row>
    <row r="441" spans="1:10" x14ac:dyDescent="0.25">
      <c r="A441" s="1">
        <v>440</v>
      </c>
      <c r="B441" s="2" t="str">
        <f>_xlfn.CONCAT(C441,"-",VLOOKUP(C441,t_objeto!B:D,3,FALSE),"-",A441)</f>
        <v>MMII-PERCCO-440</v>
      </c>
      <c r="C441" s="1" t="s">
        <v>8352</v>
      </c>
      <c r="D441" s="1" t="str">
        <f>VLOOKUP(C441,t_objeto!B:C,2,FALSE)</f>
        <v>METHOD_INSTRUCTION</v>
      </c>
      <c r="E441" s="1">
        <v>8</v>
      </c>
      <c r="F441" s="1" t="str">
        <f>VLOOKUP(E441,t_entry_status!A:C,2,FALSE)</f>
        <v>PENDING</v>
      </c>
      <c r="G441" s="7">
        <v>45560</v>
      </c>
      <c r="H441" s="1" t="s">
        <v>7449</v>
      </c>
      <c r="I441" s="7">
        <v>45560</v>
      </c>
      <c r="J441" s="1" t="s">
        <v>7449</v>
      </c>
    </row>
    <row r="442" spans="1:10" x14ac:dyDescent="0.25">
      <c r="A442" s="1">
        <v>441</v>
      </c>
      <c r="B442" s="2" t="str">
        <f>_xlfn.CONCAT(C442,"-",VLOOKUP(C442,t_objeto!B:D,3,FALSE),"-",A442)</f>
        <v>MMII-PERCCO-441</v>
      </c>
      <c r="C442" s="1" t="s">
        <v>8352</v>
      </c>
      <c r="D442" s="1" t="str">
        <f>VLOOKUP(C442,t_objeto!B:C,2,FALSE)</f>
        <v>METHOD_INSTRUCTION</v>
      </c>
      <c r="E442" s="1">
        <v>8</v>
      </c>
      <c r="F442" s="1" t="str">
        <f>VLOOKUP(E442,t_entry_status!A:C,2,FALSE)</f>
        <v>PENDING</v>
      </c>
      <c r="G442" s="7">
        <v>45560</v>
      </c>
      <c r="H442" s="1" t="s">
        <v>7449</v>
      </c>
      <c r="I442" s="7">
        <v>45560</v>
      </c>
      <c r="J442" s="1" t="s">
        <v>7449</v>
      </c>
    </row>
    <row r="443" spans="1:10" x14ac:dyDescent="0.25">
      <c r="A443" s="1">
        <v>442</v>
      </c>
      <c r="B443" s="2" t="str">
        <f>_xlfn.CONCAT(C443,"-",VLOOKUP(C443,t_objeto!B:D,3,FALSE),"-",A443)</f>
        <v>MMII-PERCCO-442</v>
      </c>
      <c r="C443" s="1" t="s">
        <v>8352</v>
      </c>
      <c r="D443" s="1" t="str">
        <f>VLOOKUP(C443,t_objeto!B:C,2,FALSE)</f>
        <v>METHOD_INSTRUCTION</v>
      </c>
      <c r="E443" s="1">
        <v>8</v>
      </c>
      <c r="F443" s="1" t="str">
        <f>VLOOKUP(E443,t_entry_status!A:C,2,FALSE)</f>
        <v>PENDING</v>
      </c>
      <c r="G443" s="7">
        <v>45560</v>
      </c>
      <c r="H443" s="1" t="s">
        <v>7449</v>
      </c>
      <c r="I443" s="7">
        <v>45560</v>
      </c>
      <c r="J443" s="1" t="s">
        <v>7449</v>
      </c>
    </row>
    <row r="444" spans="1:10" x14ac:dyDescent="0.25">
      <c r="A444" s="1">
        <v>443</v>
      </c>
      <c r="B444" s="2" t="str">
        <f>_xlfn.CONCAT(C444,"-",VLOOKUP(C444,t_objeto!B:D,3,FALSE),"-",A444)</f>
        <v>MMII-PERCCO-443</v>
      </c>
      <c r="C444" s="1" t="s">
        <v>8352</v>
      </c>
      <c r="D444" s="1" t="str">
        <f>VLOOKUP(C444,t_objeto!B:C,2,FALSE)</f>
        <v>METHOD_INSTRUCTION</v>
      </c>
      <c r="E444" s="1">
        <v>8</v>
      </c>
      <c r="F444" s="1" t="str">
        <f>VLOOKUP(E444,t_entry_status!A:C,2,FALSE)</f>
        <v>PENDING</v>
      </c>
      <c r="G444" s="7">
        <v>45560</v>
      </c>
      <c r="H444" s="1" t="s">
        <v>7449</v>
      </c>
      <c r="I444" s="7">
        <v>45560</v>
      </c>
      <c r="J444" s="1" t="s">
        <v>7449</v>
      </c>
    </row>
    <row r="445" spans="1:10" x14ac:dyDescent="0.25">
      <c r="A445" s="1">
        <v>444</v>
      </c>
      <c r="B445" s="2" t="str">
        <f>_xlfn.CONCAT(C445,"-",VLOOKUP(C445,t_objeto!B:D,3,FALSE),"-",A445)</f>
        <v>MMII-PERCCO-444</v>
      </c>
      <c r="C445" s="1" t="s">
        <v>8352</v>
      </c>
      <c r="D445" s="1" t="str">
        <f>VLOOKUP(C445,t_objeto!B:C,2,FALSE)</f>
        <v>METHOD_INSTRUCTION</v>
      </c>
      <c r="E445" s="1">
        <v>8</v>
      </c>
      <c r="F445" s="1" t="str">
        <f>VLOOKUP(E445,t_entry_status!A:C,2,FALSE)</f>
        <v>PENDING</v>
      </c>
      <c r="G445" s="7">
        <v>45560</v>
      </c>
      <c r="H445" s="1" t="s">
        <v>7449</v>
      </c>
      <c r="I445" s="7">
        <v>45560</v>
      </c>
      <c r="J445" s="1" t="s">
        <v>7449</v>
      </c>
    </row>
    <row r="446" spans="1:10" x14ac:dyDescent="0.25">
      <c r="A446" s="1">
        <v>445</v>
      </c>
      <c r="B446" s="2" t="str">
        <f>_xlfn.CONCAT(C446,"-",VLOOKUP(C446,t_objeto!B:D,3,FALSE),"-",A446)</f>
        <v>MMII-PERCCO-445</v>
      </c>
      <c r="C446" s="1" t="s">
        <v>8352</v>
      </c>
      <c r="D446" s="1" t="str">
        <f>VLOOKUP(C446,t_objeto!B:C,2,FALSE)</f>
        <v>METHOD_INSTRUCTION</v>
      </c>
      <c r="E446" s="1">
        <v>8</v>
      </c>
      <c r="F446" s="1" t="str">
        <f>VLOOKUP(E446,t_entry_status!A:C,2,FALSE)</f>
        <v>PENDING</v>
      </c>
      <c r="G446" s="7">
        <v>45560</v>
      </c>
      <c r="H446" s="1" t="s">
        <v>7449</v>
      </c>
      <c r="I446" s="7">
        <v>45560</v>
      </c>
      <c r="J446" s="1" t="s">
        <v>7449</v>
      </c>
    </row>
    <row r="447" spans="1:10" x14ac:dyDescent="0.25">
      <c r="A447" s="1">
        <v>446</v>
      </c>
      <c r="B447" s="2" t="str">
        <f>_xlfn.CONCAT(C447,"-",VLOOKUP(C447,t_objeto!B:D,3,FALSE),"-",A447)</f>
        <v>MMII-PERCCO-446</v>
      </c>
      <c r="C447" s="1" t="s">
        <v>8352</v>
      </c>
      <c r="D447" s="1" t="str">
        <f>VLOOKUP(C447,t_objeto!B:C,2,FALSE)</f>
        <v>METHOD_INSTRUCTION</v>
      </c>
      <c r="E447" s="1">
        <v>8</v>
      </c>
      <c r="F447" s="1" t="str">
        <f>VLOOKUP(E447,t_entry_status!A:C,2,FALSE)</f>
        <v>PENDING</v>
      </c>
      <c r="G447" s="7">
        <v>45560</v>
      </c>
      <c r="H447" s="1" t="s">
        <v>7449</v>
      </c>
      <c r="I447" s="7">
        <v>45560</v>
      </c>
      <c r="J447" s="1" t="s">
        <v>7449</v>
      </c>
    </row>
    <row r="448" spans="1:10" x14ac:dyDescent="0.25">
      <c r="A448" s="1">
        <v>447</v>
      </c>
      <c r="B448" s="2" t="str">
        <f>_xlfn.CONCAT(C448,"-",VLOOKUP(C448,t_objeto!B:D,3,FALSE),"-",A448)</f>
        <v>MMII-PERCCO-447</v>
      </c>
      <c r="C448" s="1" t="s">
        <v>8352</v>
      </c>
      <c r="D448" s="1" t="str">
        <f>VLOOKUP(C448,t_objeto!B:C,2,FALSE)</f>
        <v>METHOD_INSTRUCTION</v>
      </c>
      <c r="E448" s="1">
        <v>8</v>
      </c>
      <c r="F448" s="1" t="str">
        <f>VLOOKUP(E448,t_entry_status!A:C,2,FALSE)</f>
        <v>PENDING</v>
      </c>
      <c r="G448" s="7">
        <v>45560</v>
      </c>
      <c r="H448" s="1" t="s">
        <v>7449</v>
      </c>
      <c r="I448" s="7">
        <v>45560</v>
      </c>
      <c r="J448" s="1" t="s">
        <v>7449</v>
      </c>
    </row>
    <row r="449" spans="1:10" x14ac:dyDescent="0.25">
      <c r="A449" s="1">
        <v>448</v>
      </c>
      <c r="B449" s="2" t="str">
        <f>_xlfn.CONCAT(C449,"-",VLOOKUP(C449,t_objeto!B:D,3,FALSE),"-",A449)</f>
        <v>MMII-PERCCO-448</v>
      </c>
      <c r="C449" s="1" t="s">
        <v>8352</v>
      </c>
      <c r="D449" s="1" t="str">
        <f>VLOOKUP(C449,t_objeto!B:C,2,FALSE)</f>
        <v>METHOD_INSTRUCTION</v>
      </c>
      <c r="E449" s="1">
        <v>8</v>
      </c>
      <c r="F449" s="1" t="str">
        <f>VLOOKUP(E449,t_entry_status!A:C,2,FALSE)</f>
        <v>PENDING</v>
      </c>
      <c r="G449" s="7">
        <v>45560</v>
      </c>
      <c r="H449" s="1" t="s">
        <v>7449</v>
      </c>
      <c r="I449" s="7">
        <v>45560</v>
      </c>
      <c r="J449" s="1" t="s">
        <v>7449</v>
      </c>
    </row>
    <row r="450" spans="1:10" x14ac:dyDescent="0.25">
      <c r="A450" s="1">
        <v>449</v>
      </c>
      <c r="B450" s="2" t="str">
        <f>_xlfn.CONCAT(C450,"-",VLOOKUP(C450,t_objeto!B:D,3,FALSE),"-",A450)</f>
        <v>MMII-PERCCO-449</v>
      </c>
      <c r="C450" s="1" t="s">
        <v>8352</v>
      </c>
      <c r="D450" s="1" t="str">
        <f>VLOOKUP(C450,t_objeto!B:C,2,FALSE)</f>
        <v>METHOD_INSTRUCTION</v>
      </c>
      <c r="E450" s="1">
        <v>8</v>
      </c>
      <c r="F450" s="1" t="str">
        <f>VLOOKUP(E450,t_entry_status!A:C,2,FALSE)</f>
        <v>PENDING</v>
      </c>
      <c r="G450" s="7">
        <v>45560</v>
      </c>
      <c r="H450" s="1" t="s">
        <v>7449</v>
      </c>
      <c r="I450" s="7">
        <v>45560</v>
      </c>
      <c r="J450" s="1" t="s">
        <v>7449</v>
      </c>
    </row>
    <row r="451" spans="1:10" x14ac:dyDescent="0.25">
      <c r="A451" s="1">
        <v>450</v>
      </c>
      <c r="B451" s="2" t="str">
        <f>_xlfn.CONCAT(C451,"-",VLOOKUP(C451,t_objeto!B:D,3,FALSE),"-",A451)</f>
        <v>MMII-PERCCO-450</v>
      </c>
      <c r="C451" s="1" t="s">
        <v>8352</v>
      </c>
      <c r="D451" s="1" t="str">
        <f>VLOOKUP(C451,t_objeto!B:C,2,FALSE)</f>
        <v>METHOD_INSTRUCTION</v>
      </c>
      <c r="E451" s="1">
        <v>8</v>
      </c>
      <c r="F451" s="1" t="str">
        <f>VLOOKUP(E451,t_entry_status!A:C,2,FALSE)</f>
        <v>PENDING</v>
      </c>
      <c r="G451" s="7">
        <v>45560</v>
      </c>
      <c r="H451" s="1" t="s">
        <v>7449</v>
      </c>
      <c r="I451" s="7">
        <v>45560</v>
      </c>
      <c r="J451" s="1" t="s">
        <v>7449</v>
      </c>
    </row>
    <row r="452" spans="1:10" x14ac:dyDescent="0.25">
      <c r="A452" s="1">
        <v>451</v>
      </c>
      <c r="B452" s="2" t="str">
        <f>_xlfn.CONCAT(C452,"-",VLOOKUP(C452,t_objeto!B:D,3,FALSE),"-",A452)</f>
        <v>MMII-PERCCO-451</v>
      </c>
      <c r="C452" s="1" t="s">
        <v>8352</v>
      </c>
      <c r="D452" s="1" t="str">
        <f>VLOOKUP(C452,t_objeto!B:C,2,FALSE)</f>
        <v>METHOD_INSTRUCTION</v>
      </c>
      <c r="E452" s="1">
        <v>8</v>
      </c>
      <c r="F452" s="1" t="str">
        <f>VLOOKUP(E452,t_entry_status!A:C,2,FALSE)</f>
        <v>PENDING</v>
      </c>
      <c r="G452" s="7">
        <v>45560</v>
      </c>
      <c r="H452" s="1" t="s">
        <v>7449</v>
      </c>
      <c r="I452" s="7">
        <v>45560</v>
      </c>
      <c r="J452" s="1" t="s">
        <v>7449</v>
      </c>
    </row>
    <row r="453" spans="1:10" x14ac:dyDescent="0.25">
      <c r="A453" s="1">
        <v>452</v>
      </c>
      <c r="B453" s="2" t="str">
        <f>_xlfn.CONCAT(C453,"-",VLOOKUP(C453,t_objeto!B:D,3,FALSE),"-",A453)</f>
        <v>MMII-PERCCO-452</v>
      </c>
      <c r="C453" s="1" t="s">
        <v>8352</v>
      </c>
      <c r="D453" s="1" t="str">
        <f>VLOOKUP(C453,t_objeto!B:C,2,FALSE)</f>
        <v>METHOD_INSTRUCTION</v>
      </c>
      <c r="E453" s="1">
        <v>8</v>
      </c>
      <c r="F453" s="1" t="str">
        <f>VLOOKUP(E453,t_entry_status!A:C,2,FALSE)</f>
        <v>PENDING</v>
      </c>
      <c r="G453" s="7">
        <v>45560</v>
      </c>
      <c r="H453" s="1" t="s">
        <v>7449</v>
      </c>
      <c r="I453" s="7">
        <v>45560</v>
      </c>
      <c r="J453" s="1" t="s">
        <v>7449</v>
      </c>
    </row>
    <row r="454" spans="1:10" x14ac:dyDescent="0.25">
      <c r="A454" s="1">
        <v>453</v>
      </c>
      <c r="B454" s="2" t="str">
        <f>_xlfn.CONCAT(C454,"-",VLOOKUP(C454,t_objeto!B:D,3,FALSE),"-",A454)</f>
        <v>MMII-PERCCO-453</v>
      </c>
      <c r="C454" s="1" t="s">
        <v>8352</v>
      </c>
      <c r="D454" s="1" t="str">
        <f>VLOOKUP(C454,t_objeto!B:C,2,FALSE)</f>
        <v>METHOD_INSTRUCTION</v>
      </c>
      <c r="E454" s="1">
        <v>8</v>
      </c>
      <c r="F454" s="1" t="str">
        <f>VLOOKUP(E454,t_entry_status!A:C,2,FALSE)</f>
        <v>PENDING</v>
      </c>
      <c r="G454" s="7">
        <v>45560</v>
      </c>
      <c r="H454" s="1" t="s">
        <v>7449</v>
      </c>
      <c r="I454" s="7">
        <v>45560</v>
      </c>
      <c r="J454" s="1" t="s">
        <v>7449</v>
      </c>
    </row>
    <row r="455" spans="1:10" x14ac:dyDescent="0.25">
      <c r="A455" s="1">
        <v>454</v>
      </c>
      <c r="B455" s="2" t="str">
        <f>_xlfn.CONCAT(C455,"-",VLOOKUP(C455,t_objeto!B:D,3,FALSE),"-",A455)</f>
        <v>MMII-PERCCO-454</v>
      </c>
      <c r="C455" s="1" t="s">
        <v>8352</v>
      </c>
      <c r="D455" s="1" t="str">
        <f>VLOOKUP(C455,t_objeto!B:C,2,FALSE)</f>
        <v>METHOD_INSTRUCTION</v>
      </c>
      <c r="E455" s="1">
        <v>8</v>
      </c>
      <c r="F455" s="1" t="str">
        <f>VLOOKUP(E455,t_entry_status!A:C,2,FALSE)</f>
        <v>PENDING</v>
      </c>
      <c r="G455" s="7">
        <v>45560</v>
      </c>
      <c r="H455" s="1" t="s">
        <v>7449</v>
      </c>
      <c r="I455" s="7">
        <v>45560</v>
      </c>
      <c r="J455" s="1" t="s">
        <v>7449</v>
      </c>
    </row>
    <row r="456" spans="1:10" x14ac:dyDescent="0.25">
      <c r="A456" s="1">
        <v>455</v>
      </c>
      <c r="B456" s="2" t="str">
        <f>_xlfn.CONCAT(C456,"-",VLOOKUP(C456,t_objeto!B:D,3,FALSE),"-",A456)</f>
        <v>MMII-PERCCO-455</v>
      </c>
      <c r="C456" s="1" t="s">
        <v>8352</v>
      </c>
      <c r="D456" s="1" t="str">
        <f>VLOOKUP(C456,t_objeto!B:C,2,FALSE)</f>
        <v>METHOD_INSTRUCTION</v>
      </c>
      <c r="E456" s="1">
        <v>8</v>
      </c>
      <c r="F456" s="1" t="str">
        <f>VLOOKUP(E456,t_entry_status!A:C,2,FALSE)</f>
        <v>PENDING</v>
      </c>
      <c r="G456" s="7">
        <v>45560</v>
      </c>
      <c r="H456" s="1" t="s">
        <v>7449</v>
      </c>
      <c r="I456" s="7">
        <v>45560</v>
      </c>
      <c r="J456" s="1" t="s">
        <v>7449</v>
      </c>
    </row>
    <row r="457" spans="1:10" x14ac:dyDescent="0.25">
      <c r="A457" s="1">
        <v>456</v>
      </c>
      <c r="B457" s="2" t="str">
        <f>_xlfn.CONCAT(C457,"-",VLOOKUP(C457,t_objeto!B:D,3,FALSE),"-",A457)</f>
        <v>MMII-PERCCO-456</v>
      </c>
      <c r="C457" s="1" t="s">
        <v>8352</v>
      </c>
      <c r="D457" s="1" t="str">
        <f>VLOOKUP(C457,t_objeto!B:C,2,FALSE)</f>
        <v>METHOD_INSTRUCTION</v>
      </c>
      <c r="E457" s="1">
        <v>8</v>
      </c>
      <c r="F457" s="1" t="str">
        <f>VLOOKUP(E457,t_entry_status!A:C,2,FALSE)</f>
        <v>PENDING</v>
      </c>
      <c r="G457" s="7">
        <v>45560</v>
      </c>
      <c r="H457" s="1" t="s">
        <v>7449</v>
      </c>
      <c r="I457" s="7">
        <v>45560</v>
      </c>
      <c r="J457" s="1" t="s">
        <v>7449</v>
      </c>
    </row>
    <row r="458" spans="1:10" x14ac:dyDescent="0.25">
      <c r="A458" s="1">
        <v>457</v>
      </c>
      <c r="B458" s="2" t="str">
        <f>_xlfn.CONCAT(C458,"-",VLOOKUP(C458,t_objeto!B:D,3,FALSE),"-",A458)</f>
        <v>MMII-PERCCO-457</v>
      </c>
      <c r="C458" s="1" t="s">
        <v>8352</v>
      </c>
      <c r="D458" s="1" t="str">
        <f>VLOOKUP(C458,t_objeto!B:C,2,FALSE)</f>
        <v>METHOD_INSTRUCTION</v>
      </c>
      <c r="E458" s="1">
        <v>8</v>
      </c>
      <c r="F458" s="1" t="str">
        <f>VLOOKUP(E458,t_entry_status!A:C,2,FALSE)</f>
        <v>PENDING</v>
      </c>
      <c r="G458" s="7">
        <v>45560</v>
      </c>
      <c r="H458" s="1" t="s">
        <v>7449</v>
      </c>
      <c r="I458" s="7">
        <v>45560</v>
      </c>
      <c r="J458" s="1" t="s">
        <v>7449</v>
      </c>
    </row>
    <row r="459" spans="1:10" x14ac:dyDescent="0.25">
      <c r="A459" s="1">
        <v>458</v>
      </c>
      <c r="B459" s="2" t="str">
        <f>_xlfn.CONCAT(C459,"-",VLOOKUP(C459,t_objeto!B:D,3,FALSE),"-",A459)</f>
        <v>MMII-PERCCO-458</v>
      </c>
      <c r="C459" s="1" t="s">
        <v>8352</v>
      </c>
      <c r="D459" s="1" t="str">
        <f>VLOOKUP(C459,t_objeto!B:C,2,FALSE)</f>
        <v>METHOD_INSTRUCTION</v>
      </c>
      <c r="E459" s="1">
        <v>8</v>
      </c>
      <c r="F459" s="1" t="str">
        <f>VLOOKUP(E459,t_entry_status!A:C,2,FALSE)</f>
        <v>PENDING</v>
      </c>
      <c r="G459" s="7">
        <v>45560</v>
      </c>
      <c r="H459" s="1" t="s">
        <v>7449</v>
      </c>
      <c r="I459" s="7">
        <v>45560</v>
      </c>
      <c r="J459" s="1" t="s">
        <v>7449</v>
      </c>
    </row>
    <row r="460" spans="1:10" x14ac:dyDescent="0.25">
      <c r="A460" s="1">
        <v>459</v>
      </c>
      <c r="B460" s="2" t="str">
        <f>_xlfn.CONCAT(C460,"-",VLOOKUP(C460,t_objeto!B:D,3,FALSE),"-",A460)</f>
        <v>MMII-PERCCO-459</v>
      </c>
      <c r="C460" s="1" t="s">
        <v>8352</v>
      </c>
      <c r="D460" s="1" t="str">
        <f>VLOOKUP(C460,t_objeto!B:C,2,FALSE)</f>
        <v>METHOD_INSTRUCTION</v>
      </c>
      <c r="E460" s="1">
        <v>8</v>
      </c>
      <c r="F460" s="1" t="str">
        <f>VLOOKUP(E460,t_entry_status!A:C,2,FALSE)</f>
        <v>PENDING</v>
      </c>
      <c r="G460" s="7">
        <v>45560</v>
      </c>
      <c r="H460" s="1" t="s">
        <v>7449</v>
      </c>
      <c r="I460" s="7">
        <v>45560</v>
      </c>
      <c r="J460" s="1" t="s">
        <v>7449</v>
      </c>
    </row>
    <row r="461" spans="1:10" x14ac:dyDescent="0.25">
      <c r="A461" s="1">
        <v>460</v>
      </c>
      <c r="B461" s="2" t="str">
        <f>_xlfn.CONCAT(C461,"-",VLOOKUP(C461,t_objeto!B:D,3,FALSE),"-",A461)</f>
        <v>MMII-PERCCO-460</v>
      </c>
      <c r="C461" s="1" t="s">
        <v>8352</v>
      </c>
      <c r="D461" s="1" t="str">
        <f>VLOOKUP(C461,t_objeto!B:C,2,FALSE)</f>
        <v>METHOD_INSTRUCTION</v>
      </c>
      <c r="E461" s="1">
        <v>8</v>
      </c>
      <c r="F461" s="1" t="str">
        <f>VLOOKUP(E461,t_entry_status!A:C,2,FALSE)</f>
        <v>PENDING</v>
      </c>
      <c r="G461" s="7">
        <v>45560</v>
      </c>
      <c r="H461" s="1" t="s">
        <v>7449</v>
      </c>
      <c r="I461" s="7">
        <v>45560</v>
      </c>
      <c r="J461" s="1" t="s">
        <v>7449</v>
      </c>
    </row>
    <row r="462" spans="1:10" x14ac:dyDescent="0.25">
      <c r="A462" s="1">
        <v>461</v>
      </c>
      <c r="B462" s="2" t="str">
        <f>_xlfn.CONCAT(C462,"-",VLOOKUP(C462,t_objeto!B:D,3,FALSE),"-",A462)</f>
        <v>MMII-PERCCO-461</v>
      </c>
      <c r="C462" s="1" t="s">
        <v>8352</v>
      </c>
      <c r="D462" s="1" t="str">
        <f>VLOOKUP(C462,t_objeto!B:C,2,FALSE)</f>
        <v>METHOD_INSTRUCTION</v>
      </c>
      <c r="E462" s="1">
        <v>8</v>
      </c>
      <c r="F462" s="1" t="str">
        <f>VLOOKUP(E462,t_entry_status!A:C,2,FALSE)</f>
        <v>PENDING</v>
      </c>
      <c r="G462" s="7">
        <v>45560</v>
      </c>
      <c r="H462" s="1" t="s">
        <v>7449</v>
      </c>
      <c r="I462" s="7">
        <v>45560</v>
      </c>
      <c r="J462" s="1" t="s">
        <v>7449</v>
      </c>
    </row>
    <row r="463" spans="1:10" x14ac:dyDescent="0.25">
      <c r="A463" s="1">
        <v>462</v>
      </c>
      <c r="B463" s="2" t="str">
        <f>_xlfn.CONCAT(C463,"-",VLOOKUP(C463,t_objeto!B:D,3,FALSE),"-",A463)</f>
        <v>MMII-PERCCO-462</v>
      </c>
      <c r="C463" s="1" t="s">
        <v>8352</v>
      </c>
      <c r="D463" s="1" t="str">
        <f>VLOOKUP(C463,t_objeto!B:C,2,FALSE)</f>
        <v>METHOD_INSTRUCTION</v>
      </c>
      <c r="E463" s="1">
        <v>8</v>
      </c>
      <c r="F463" s="1" t="str">
        <f>VLOOKUP(E463,t_entry_status!A:C,2,FALSE)</f>
        <v>PENDING</v>
      </c>
      <c r="G463" s="7">
        <v>45560</v>
      </c>
      <c r="H463" s="1" t="s">
        <v>7449</v>
      </c>
      <c r="I463" s="7">
        <v>45560</v>
      </c>
      <c r="J463" s="1" t="s">
        <v>7449</v>
      </c>
    </row>
    <row r="464" spans="1:10" x14ac:dyDescent="0.25">
      <c r="A464" s="1">
        <v>463</v>
      </c>
      <c r="B464" s="2" t="str">
        <f>_xlfn.CONCAT(C464,"-",VLOOKUP(C464,t_objeto!B:D,3,FALSE),"-",A464)</f>
        <v>MMII-PERCCO-463</v>
      </c>
      <c r="C464" s="1" t="s">
        <v>8352</v>
      </c>
      <c r="D464" s="1" t="str">
        <f>VLOOKUP(C464,t_objeto!B:C,2,FALSE)</f>
        <v>METHOD_INSTRUCTION</v>
      </c>
      <c r="E464" s="1">
        <v>8</v>
      </c>
      <c r="F464" s="1" t="str">
        <f>VLOOKUP(E464,t_entry_status!A:C,2,FALSE)</f>
        <v>PENDING</v>
      </c>
      <c r="G464" s="7">
        <v>45560</v>
      </c>
      <c r="H464" s="1" t="s">
        <v>7449</v>
      </c>
      <c r="I464" s="7">
        <v>45560</v>
      </c>
      <c r="J464" s="1" t="s">
        <v>7449</v>
      </c>
    </row>
    <row r="465" spans="1:10" x14ac:dyDescent="0.25">
      <c r="A465" s="1">
        <v>464</v>
      </c>
      <c r="B465" s="2" t="str">
        <f>_xlfn.CONCAT(C465,"-",VLOOKUP(C465,t_objeto!B:D,3,FALSE),"-",A465)</f>
        <v>MMII-PERCCO-464</v>
      </c>
      <c r="C465" s="1" t="s">
        <v>8352</v>
      </c>
      <c r="D465" s="1" t="str">
        <f>VLOOKUP(C465,t_objeto!B:C,2,FALSE)</f>
        <v>METHOD_INSTRUCTION</v>
      </c>
      <c r="E465" s="1">
        <v>8</v>
      </c>
      <c r="F465" s="1" t="str">
        <f>VLOOKUP(E465,t_entry_status!A:C,2,FALSE)</f>
        <v>PENDING</v>
      </c>
      <c r="G465" s="7">
        <v>45560</v>
      </c>
      <c r="H465" s="1" t="s">
        <v>7449</v>
      </c>
      <c r="I465" s="7">
        <v>45560</v>
      </c>
      <c r="J465" s="1" t="s">
        <v>7449</v>
      </c>
    </row>
    <row r="466" spans="1:10" x14ac:dyDescent="0.25">
      <c r="A466" s="1">
        <v>465</v>
      </c>
      <c r="B466" s="2" t="str">
        <f>_xlfn.CONCAT(C466,"-",VLOOKUP(C466,t_objeto!B:D,3,FALSE),"-",A466)</f>
        <v>MMII-PERCCO-465</v>
      </c>
      <c r="C466" s="1" t="s">
        <v>8352</v>
      </c>
      <c r="D466" s="1" t="str">
        <f>VLOOKUP(C466,t_objeto!B:C,2,FALSE)</f>
        <v>METHOD_INSTRUCTION</v>
      </c>
      <c r="E466" s="1">
        <v>8</v>
      </c>
      <c r="F466" s="1" t="str">
        <f>VLOOKUP(E466,t_entry_status!A:C,2,FALSE)</f>
        <v>PENDING</v>
      </c>
      <c r="G466" s="7">
        <v>45560</v>
      </c>
      <c r="H466" s="1" t="s">
        <v>7449</v>
      </c>
      <c r="I466" s="7">
        <v>45560</v>
      </c>
      <c r="J466" s="1" t="s">
        <v>7449</v>
      </c>
    </row>
    <row r="467" spans="1:10" x14ac:dyDescent="0.25">
      <c r="A467" s="1">
        <v>466</v>
      </c>
      <c r="B467" s="2" t="str">
        <f>_xlfn.CONCAT(C467,"-",VLOOKUP(C467,t_objeto!B:D,3,FALSE),"-",A467)</f>
        <v>MMII-PERCCO-466</v>
      </c>
      <c r="C467" s="1" t="s">
        <v>8352</v>
      </c>
      <c r="D467" s="1" t="str">
        <f>VLOOKUP(C467,t_objeto!B:C,2,FALSE)</f>
        <v>METHOD_INSTRUCTION</v>
      </c>
      <c r="E467" s="1">
        <v>8</v>
      </c>
      <c r="F467" s="1" t="str">
        <f>VLOOKUP(E467,t_entry_status!A:C,2,FALSE)</f>
        <v>PENDING</v>
      </c>
      <c r="G467" s="7">
        <v>45560</v>
      </c>
      <c r="H467" s="1" t="s">
        <v>7449</v>
      </c>
      <c r="I467" s="7">
        <v>45560</v>
      </c>
      <c r="J467" s="1" t="s">
        <v>7449</v>
      </c>
    </row>
    <row r="468" spans="1:10" x14ac:dyDescent="0.25">
      <c r="A468" s="1">
        <v>467</v>
      </c>
      <c r="B468" s="2" t="str">
        <f>_xlfn.CONCAT(C468,"-",VLOOKUP(C468,t_objeto!B:D,3,FALSE),"-",A468)</f>
        <v>MMII-PERCCO-467</v>
      </c>
      <c r="C468" s="1" t="s">
        <v>8352</v>
      </c>
      <c r="D468" s="1" t="str">
        <f>VLOOKUP(C468,t_objeto!B:C,2,FALSE)</f>
        <v>METHOD_INSTRUCTION</v>
      </c>
      <c r="E468" s="1">
        <v>8</v>
      </c>
      <c r="F468" s="1" t="str">
        <f>VLOOKUP(E468,t_entry_status!A:C,2,FALSE)</f>
        <v>PENDING</v>
      </c>
      <c r="G468" s="7">
        <v>45560</v>
      </c>
      <c r="H468" s="1" t="s">
        <v>7449</v>
      </c>
      <c r="I468" s="7">
        <v>45560</v>
      </c>
      <c r="J468" s="1" t="s">
        <v>7449</v>
      </c>
    </row>
    <row r="469" spans="1:10" x14ac:dyDescent="0.25">
      <c r="A469" s="1">
        <v>468</v>
      </c>
      <c r="B469" s="2" t="str">
        <f>_xlfn.CONCAT(C469,"-",VLOOKUP(C469,t_objeto!B:D,3,FALSE),"-",A469)</f>
        <v>MMII-PERCCO-468</v>
      </c>
      <c r="C469" s="1" t="s">
        <v>8352</v>
      </c>
      <c r="D469" s="1" t="str">
        <f>VLOOKUP(C469,t_objeto!B:C,2,FALSE)</f>
        <v>METHOD_INSTRUCTION</v>
      </c>
      <c r="E469" s="1">
        <v>8</v>
      </c>
      <c r="F469" s="1" t="str">
        <f>VLOOKUP(E469,t_entry_status!A:C,2,FALSE)</f>
        <v>PENDING</v>
      </c>
      <c r="G469" s="7">
        <v>45560</v>
      </c>
      <c r="H469" s="1" t="s">
        <v>7449</v>
      </c>
      <c r="I469" s="7">
        <v>45560</v>
      </c>
      <c r="J469" s="1" t="s">
        <v>7449</v>
      </c>
    </row>
    <row r="470" spans="1:10" x14ac:dyDescent="0.25">
      <c r="A470" s="1">
        <v>469</v>
      </c>
      <c r="B470" s="2" t="str">
        <f>_xlfn.CONCAT(C470,"-",VLOOKUP(C470,t_objeto!B:D,3,FALSE),"-",A470)</f>
        <v>MMII-PERCCO-469</v>
      </c>
      <c r="C470" s="1" t="s">
        <v>8352</v>
      </c>
      <c r="D470" s="1" t="str">
        <f>VLOOKUP(C470,t_objeto!B:C,2,FALSE)</f>
        <v>METHOD_INSTRUCTION</v>
      </c>
      <c r="E470" s="1">
        <v>8</v>
      </c>
      <c r="F470" s="1" t="str">
        <f>VLOOKUP(E470,t_entry_status!A:C,2,FALSE)</f>
        <v>PENDING</v>
      </c>
      <c r="G470" s="7">
        <v>45560</v>
      </c>
      <c r="H470" s="1" t="s">
        <v>7449</v>
      </c>
      <c r="I470" s="7">
        <v>45560</v>
      </c>
      <c r="J470" s="1" t="s">
        <v>7449</v>
      </c>
    </row>
    <row r="471" spans="1:10" x14ac:dyDescent="0.25">
      <c r="A471" s="1">
        <v>470</v>
      </c>
      <c r="B471" s="2" t="str">
        <f>_xlfn.CONCAT(C471,"-",VLOOKUP(C471,t_objeto!B:D,3,FALSE),"-",A471)</f>
        <v>MMII-PERCCO-470</v>
      </c>
      <c r="C471" s="1" t="s">
        <v>8352</v>
      </c>
      <c r="D471" s="1" t="str">
        <f>VLOOKUP(C471,t_objeto!B:C,2,FALSE)</f>
        <v>METHOD_INSTRUCTION</v>
      </c>
      <c r="E471" s="1">
        <v>8</v>
      </c>
      <c r="F471" s="1" t="str">
        <f>VLOOKUP(E471,t_entry_status!A:C,2,FALSE)</f>
        <v>PENDING</v>
      </c>
      <c r="G471" s="7">
        <v>45560</v>
      </c>
      <c r="H471" s="1" t="s">
        <v>7449</v>
      </c>
      <c r="I471" s="7">
        <v>45560</v>
      </c>
      <c r="J471" s="1" t="s">
        <v>7449</v>
      </c>
    </row>
    <row r="472" spans="1:10" x14ac:dyDescent="0.25">
      <c r="A472" s="1">
        <v>471</v>
      </c>
      <c r="B472" s="2" t="str">
        <f>_xlfn.CONCAT(C472,"-",VLOOKUP(C472,t_objeto!B:D,3,FALSE),"-",A472)</f>
        <v>MMII-PERCCO-471</v>
      </c>
      <c r="C472" s="1" t="s">
        <v>8352</v>
      </c>
      <c r="D472" s="1" t="str">
        <f>VLOOKUP(C472,t_objeto!B:C,2,FALSE)</f>
        <v>METHOD_INSTRUCTION</v>
      </c>
      <c r="E472" s="1">
        <v>8</v>
      </c>
      <c r="F472" s="1" t="str">
        <f>VLOOKUP(E472,t_entry_status!A:C,2,FALSE)</f>
        <v>PENDING</v>
      </c>
      <c r="G472" s="7">
        <v>45560</v>
      </c>
      <c r="H472" s="1" t="s">
        <v>7449</v>
      </c>
      <c r="I472" s="7">
        <v>45560</v>
      </c>
      <c r="J472" s="1" t="s">
        <v>7449</v>
      </c>
    </row>
    <row r="473" spans="1:10" x14ac:dyDescent="0.25">
      <c r="A473" s="1">
        <v>472</v>
      </c>
      <c r="B473" s="2" t="str">
        <f>_xlfn.CONCAT(C473,"-",VLOOKUP(C473,t_objeto!B:D,3,FALSE),"-",A473)</f>
        <v>MMII-PERCCO-472</v>
      </c>
      <c r="C473" s="1" t="s">
        <v>8352</v>
      </c>
      <c r="D473" s="1" t="str">
        <f>VLOOKUP(C473,t_objeto!B:C,2,FALSE)</f>
        <v>METHOD_INSTRUCTION</v>
      </c>
      <c r="E473" s="1">
        <v>8</v>
      </c>
      <c r="F473" s="1" t="str">
        <f>VLOOKUP(E473,t_entry_status!A:C,2,FALSE)</f>
        <v>PENDING</v>
      </c>
      <c r="G473" s="7">
        <v>45560</v>
      </c>
      <c r="H473" s="1" t="s">
        <v>7449</v>
      </c>
      <c r="I473" s="7">
        <v>45560</v>
      </c>
      <c r="J473" s="1" t="s">
        <v>7449</v>
      </c>
    </row>
    <row r="474" spans="1:10" x14ac:dyDescent="0.25">
      <c r="A474" s="1">
        <v>473</v>
      </c>
      <c r="B474" s="2" t="str">
        <f>_xlfn.CONCAT(C474,"-",VLOOKUP(C474,t_objeto!B:D,3,FALSE),"-",A474)</f>
        <v>MMII-PERCCO-473</v>
      </c>
      <c r="C474" s="1" t="s">
        <v>8352</v>
      </c>
      <c r="D474" s="1" t="str">
        <f>VLOOKUP(C474,t_objeto!B:C,2,FALSE)</f>
        <v>METHOD_INSTRUCTION</v>
      </c>
      <c r="E474" s="1">
        <v>8</v>
      </c>
      <c r="F474" s="1" t="str">
        <f>VLOOKUP(E474,t_entry_status!A:C,2,FALSE)</f>
        <v>PENDING</v>
      </c>
      <c r="G474" s="7">
        <v>45560</v>
      </c>
      <c r="H474" s="1" t="s">
        <v>7449</v>
      </c>
      <c r="I474" s="7">
        <v>45560</v>
      </c>
      <c r="J474" s="1" t="s">
        <v>7449</v>
      </c>
    </row>
    <row r="475" spans="1:10" x14ac:dyDescent="0.25">
      <c r="A475" s="1">
        <v>474</v>
      </c>
      <c r="B475" s="2" t="str">
        <f>_xlfn.CONCAT(C475,"-",VLOOKUP(C475,t_objeto!B:D,3,FALSE),"-",A475)</f>
        <v>MMII-PERCCO-474</v>
      </c>
      <c r="C475" s="1" t="s">
        <v>8352</v>
      </c>
      <c r="D475" s="1" t="str">
        <f>VLOOKUP(C475,t_objeto!B:C,2,FALSE)</f>
        <v>METHOD_INSTRUCTION</v>
      </c>
      <c r="E475" s="1">
        <v>8</v>
      </c>
      <c r="F475" s="1" t="str">
        <f>VLOOKUP(E475,t_entry_status!A:C,2,FALSE)</f>
        <v>PENDING</v>
      </c>
      <c r="G475" s="7">
        <v>45560</v>
      </c>
      <c r="H475" s="1" t="s">
        <v>7449</v>
      </c>
      <c r="I475" s="7">
        <v>45560</v>
      </c>
      <c r="J475" s="1" t="s">
        <v>7449</v>
      </c>
    </row>
    <row r="476" spans="1:10" x14ac:dyDescent="0.25">
      <c r="A476" s="1">
        <v>475</v>
      </c>
      <c r="B476" s="2" t="str">
        <f>_xlfn.CONCAT(C476,"-",VLOOKUP(C476,t_objeto!B:D,3,FALSE),"-",A476)</f>
        <v>MMII-PERCCO-475</v>
      </c>
      <c r="C476" s="1" t="s">
        <v>8352</v>
      </c>
      <c r="D476" s="1" t="str">
        <f>VLOOKUP(C476,t_objeto!B:C,2,FALSE)</f>
        <v>METHOD_INSTRUCTION</v>
      </c>
      <c r="E476" s="1">
        <v>8</v>
      </c>
      <c r="F476" s="1" t="str">
        <f>VLOOKUP(E476,t_entry_status!A:C,2,FALSE)</f>
        <v>PENDING</v>
      </c>
      <c r="G476" s="7">
        <v>45560</v>
      </c>
      <c r="H476" s="1" t="s">
        <v>7449</v>
      </c>
      <c r="I476" s="7">
        <v>45560</v>
      </c>
      <c r="J476" s="1" t="s">
        <v>7449</v>
      </c>
    </row>
    <row r="477" spans="1:10" x14ac:dyDescent="0.25">
      <c r="A477" s="1">
        <v>476</v>
      </c>
      <c r="B477" s="2" t="str">
        <f>_xlfn.CONCAT(C477,"-",VLOOKUP(C477,t_objeto!B:D,3,FALSE),"-",A477)</f>
        <v>MMII-PERCCO-476</v>
      </c>
      <c r="C477" s="1" t="s">
        <v>8352</v>
      </c>
      <c r="D477" s="1" t="str">
        <f>VLOOKUP(C477,t_objeto!B:C,2,FALSE)</f>
        <v>METHOD_INSTRUCTION</v>
      </c>
      <c r="E477" s="1">
        <v>8</v>
      </c>
      <c r="F477" s="1" t="str">
        <f>VLOOKUP(E477,t_entry_status!A:C,2,FALSE)</f>
        <v>PENDING</v>
      </c>
      <c r="G477" s="7">
        <v>45560</v>
      </c>
      <c r="H477" s="1" t="s">
        <v>7449</v>
      </c>
      <c r="I477" s="7">
        <v>45560</v>
      </c>
      <c r="J477" s="1" t="s">
        <v>7449</v>
      </c>
    </row>
    <row r="478" spans="1:10" x14ac:dyDescent="0.25">
      <c r="A478" s="1">
        <v>477</v>
      </c>
      <c r="B478" s="2" t="str">
        <f>_xlfn.CONCAT(C478,"-",VLOOKUP(C478,t_objeto!B:D,3,FALSE),"-",A478)</f>
        <v>MMII-PERCCO-477</v>
      </c>
      <c r="C478" s="1" t="s">
        <v>8352</v>
      </c>
      <c r="D478" s="1" t="str">
        <f>VLOOKUP(C478,t_objeto!B:C,2,FALSE)</f>
        <v>METHOD_INSTRUCTION</v>
      </c>
      <c r="E478" s="1">
        <v>8</v>
      </c>
      <c r="F478" s="1" t="str">
        <f>VLOOKUP(E478,t_entry_status!A:C,2,FALSE)</f>
        <v>PENDING</v>
      </c>
      <c r="G478" s="7">
        <v>45560</v>
      </c>
      <c r="H478" s="1" t="s">
        <v>7449</v>
      </c>
      <c r="I478" s="7">
        <v>45560</v>
      </c>
      <c r="J478" s="1" t="s">
        <v>7449</v>
      </c>
    </row>
    <row r="479" spans="1:10" x14ac:dyDescent="0.25">
      <c r="A479" s="1">
        <v>478</v>
      </c>
      <c r="B479" s="2" t="str">
        <f>_xlfn.CONCAT(C479,"-",VLOOKUP(C479,t_objeto!B:D,3,FALSE),"-",A479)</f>
        <v>MMII-PERCCO-478</v>
      </c>
      <c r="C479" s="1" t="s">
        <v>8352</v>
      </c>
      <c r="D479" s="1" t="str">
        <f>VLOOKUP(C479,t_objeto!B:C,2,FALSE)</f>
        <v>METHOD_INSTRUCTION</v>
      </c>
      <c r="E479" s="1">
        <v>8</v>
      </c>
      <c r="F479" s="1" t="str">
        <f>VLOOKUP(E479,t_entry_status!A:C,2,FALSE)</f>
        <v>PENDING</v>
      </c>
      <c r="G479" s="7">
        <v>45560</v>
      </c>
      <c r="H479" s="1" t="s">
        <v>7449</v>
      </c>
      <c r="I479" s="7">
        <v>45560</v>
      </c>
      <c r="J479" s="1" t="s">
        <v>7449</v>
      </c>
    </row>
    <row r="480" spans="1:10" x14ac:dyDescent="0.25">
      <c r="A480" s="1">
        <v>479</v>
      </c>
      <c r="B480" s="2" t="str">
        <f>_xlfn.CONCAT(C480,"-",VLOOKUP(C480,t_objeto!B:D,3,FALSE),"-",A480)</f>
        <v>MMII-PERCCO-479</v>
      </c>
      <c r="C480" s="1" t="s">
        <v>8352</v>
      </c>
      <c r="D480" s="1" t="str">
        <f>VLOOKUP(C480,t_objeto!B:C,2,FALSE)</f>
        <v>METHOD_INSTRUCTION</v>
      </c>
      <c r="E480" s="1">
        <v>8</v>
      </c>
      <c r="F480" s="1" t="str">
        <f>VLOOKUP(E480,t_entry_status!A:C,2,FALSE)</f>
        <v>PENDING</v>
      </c>
      <c r="G480" s="7">
        <v>45560</v>
      </c>
      <c r="H480" s="1" t="s">
        <v>7449</v>
      </c>
      <c r="I480" s="7">
        <v>45560</v>
      </c>
      <c r="J480" s="1" t="s">
        <v>7449</v>
      </c>
    </row>
    <row r="481" spans="1:10" x14ac:dyDescent="0.25">
      <c r="A481" s="1">
        <v>480</v>
      </c>
      <c r="B481" s="2" t="str">
        <f>_xlfn.CONCAT(C481,"-",VLOOKUP(C481,t_objeto!B:D,3,FALSE),"-",A481)</f>
        <v>MMII-PERCCO-480</v>
      </c>
      <c r="C481" s="1" t="s">
        <v>8352</v>
      </c>
      <c r="D481" s="1" t="str">
        <f>VLOOKUP(C481,t_objeto!B:C,2,FALSE)</f>
        <v>METHOD_INSTRUCTION</v>
      </c>
      <c r="E481" s="1">
        <v>8</v>
      </c>
      <c r="F481" s="1" t="str">
        <f>VLOOKUP(E481,t_entry_status!A:C,2,FALSE)</f>
        <v>PENDING</v>
      </c>
      <c r="G481" s="7">
        <v>45560</v>
      </c>
      <c r="H481" s="1" t="s">
        <v>7449</v>
      </c>
      <c r="I481" s="7">
        <v>45560</v>
      </c>
      <c r="J481" s="1" t="s">
        <v>7449</v>
      </c>
    </row>
    <row r="482" spans="1:10" x14ac:dyDescent="0.25">
      <c r="A482" s="1">
        <v>481</v>
      </c>
      <c r="B482" s="2" t="str">
        <f>_xlfn.CONCAT(C482,"-",VLOOKUP(C482,t_objeto!B:D,3,FALSE),"-",A482)</f>
        <v>MMII-PERCCO-481</v>
      </c>
      <c r="C482" s="1" t="s">
        <v>8352</v>
      </c>
      <c r="D482" s="1" t="str">
        <f>VLOOKUP(C482,t_objeto!B:C,2,FALSE)</f>
        <v>METHOD_INSTRUCTION</v>
      </c>
      <c r="E482" s="1">
        <v>8</v>
      </c>
      <c r="F482" s="1" t="str">
        <f>VLOOKUP(E482,t_entry_status!A:C,2,FALSE)</f>
        <v>PENDING</v>
      </c>
      <c r="G482" s="7">
        <v>45560</v>
      </c>
      <c r="H482" s="1" t="s">
        <v>7449</v>
      </c>
      <c r="I482" s="7">
        <v>45560</v>
      </c>
      <c r="J482" s="1" t="s">
        <v>7449</v>
      </c>
    </row>
    <row r="483" spans="1:10" x14ac:dyDescent="0.25">
      <c r="A483" s="1">
        <v>482</v>
      </c>
      <c r="B483" s="2" t="str">
        <f>_xlfn.CONCAT(C483,"-",VLOOKUP(C483,t_objeto!B:D,3,FALSE),"-",A483)</f>
        <v>MMII-PERCCO-482</v>
      </c>
      <c r="C483" s="1" t="s">
        <v>8352</v>
      </c>
      <c r="D483" s="1" t="str">
        <f>VLOOKUP(C483,t_objeto!B:C,2,FALSE)</f>
        <v>METHOD_INSTRUCTION</v>
      </c>
      <c r="E483" s="1">
        <v>8</v>
      </c>
      <c r="F483" s="1" t="str">
        <f>VLOOKUP(E483,t_entry_status!A:C,2,FALSE)</f>
        <v>PENDING</v>
      </c>
      <c r="G483" s="7">
        <v>45560</v>
      </c>
      <c r="H483" s="1" t="s">
        <v>7449</v>
      </c>
      <c r="I483" s="7">
        <v>45560</v>
      </c>
      <c r="J483" s="1" t="s">
        <v>7449</v>
      </c>
    </row>
    <row r="484" spans="1:10" x14ac:dyDescent="0.25">
      <c r="A484" s="1">
        <v>483</v>
      </c>
      <c r="B484" s="2" t="str">
        <f>_xlfn.CONCAT(C484,"-",VLOOKUP(C484,t_objeto!B:D,3,FALSE),"-",A484)</f>
        <v>MMII-PERCCO-483</v>
      </c>
      <c r="C484" s="1" t="s">
        <v>8352</v>
      </c>
      <c r="D484" s="1" t="str">
        <f>VLOOKUP(C484,t_objeto!B:C,2,FALSE)</f>
        <v>METHOD_INSTRUCTION</v>
      </c>
      <c r="E484" s="1">
        <v>8</v>
      </c>
      <c r="F484" s="1" t="str">
        <f>VLOOKUP(E484,t_entry_status!A:C,2,FALSE)</f>
        <v>PENDING</v>
      </c>
      <c r="G484" s="7">
        <v>45560</v>
      </c>
      <c r="H484" s="1" t="s">
        <v>7449</v>
      </c>
      <c r="I484" s="7">
        <v>45560</v>
      </c>
      <c r="J484" s="1" t="s">
        <v>7449</v>
      </c>
    </row>
    <row r="485" spans="1:10" x14ac:dyDescent="0.25">
      <c r="A485" s="1">
        <v>484</v>
      </c>
      <c r="B485" s="2" t="str">
        <f>_xlfn.CONCAT(C485,"-",VLOOKUP(C485,t_objeto!B:D,3,FALSE),"-",A485)</f>
        <v>MMII-PERCCO-484</v>
      </c>
      <c r="C485" s="1" t="s">
        <v>8352</v>
      </c>
      <c r="D485" s="1" t="str">
        <f>VLOOKUP(C485,t_objeto!B:C,2,FALSE)</f>
        <v>METHOD_INSTRUCTION</v>
      </c>
      <c r="E485" s="1">
        <v>8</v>
      </c>
      <c r="F485" s="1" t="str">
        <f>VLOOKUP(E485,t_entry_status!A:C,2,FALSE)</f>
        <v>PENDING</v>
      </c>
      <c r="G485" s="7">
        <v>45560</v>
      </c>
      <c r="H485" s="1" t="s">
        <v>7449</v>
      </c>
      <c r="I485" s="7">
        <v>45560</v>
      </c>
      <c r="J485" s="1" t="s">
        <v>7449</v>
      </c>
    </row>
    <row r="486" spans="1:10" x14ac:dyDescent="0.25">
      <c r="A486" s="1">
        <v>485</v>
      </c>
      <c r="B486" s="2" t="str">
        <f>_xlfn.CONCAT(C486,"-",VLOOKUP(C486,t_objeto!B:D,3,FALSE),"-",A486)</f>
        <v>MMII-PERCCO-485</v>
      </c>
      <c r="C486" s="1" t="s">
        <v>8352</v>
      </c>
      <c r="D486" s="1" t="str">
        <f>VLOOKUP(C486,t_objeto!B:C,2,FALSE)</f>
        <v>METHOD_INSTRUCTION</v>
      </c>
      <c r="E486" s="1">
        <v>8</v>
      </c>
      <c r="F486" s="1" t="str">
        <f>VLOOKUP(E486,t_entry_status!A:C,2,FALSE)</f>
        <v>PENDING</v>
      </c>
      <c r="G486" s="7">
        <v>45560</v>
      </c>
      <c r="H486" s="1" t="s">
        <v>7449</v>
      </c>
      <c r="I486" s="7">
        <v>45560</v>
      </c>
      <c r="J486" s="1" t="s">
        <v>7449</v>
      </c>
    </row>
    <row r="487" spans="1:10" x14ac:dyDescent="0.25">
      <c r="A487" s="1">
        <v>486</v>
      </c>
      <c r="B487" s="2" t="str">
        <f>_xlfn.CONCAT(C487,"-",VLOOKUP(C487,t_objeto!B:D,3,FALSE),"-",A487)</f>
        <v>MMII-PERCCO-486</v>
      </c>
      <c r="C487" s="1" t="s">
        <v>8352</v>
      </c>
      <c r="D487" s="1" t="str">
        <f>VLOOKUP(C487,t_objeto!B:C,2,FALSE)</f>
        <v>METHOD_INSTRUCTION</v>
      </c>
      <c r="E487" s="1">
        <v>8</v>
      </c>
      <c r="F487" s="1" t="str">
        <f>VLOOKUP(E487,t_entry_status!A:C,2,FALSE)</f>
        <v>PENDING</v>
      </c>
      <c r="G487" s="7">
        <v>45560</v>
      </c>
      <c r="H487" s="1" t="s">
        <v>7449</v>
      </c>
      <c r="I487" s="7">
        <v>45560</v>
      </c>
      <c r="J487" s="1" t="s">
        <v>7449</v>
      </c>
    </row>
    <row r="488" spans="1:10" x14ac:dyDescent="0.25">
      <c r="A488" s="1">
        <v>487</v>
      </c>
      <c r="B488" s="2" t="str">
        <f>_xlfn.CONCAT(C488,"-",VLOOKUP(C488,t_objeto!B:D,3,FALSE),"-",A488)</f>
        <v>MMII-PERCCO-487</v>
      </c>
      <c r="C488" s="1" t="s">
        <v>8352</v>
      </c>
      <c r="D488" s="1" t="str">
        <f>VLOOKUP(C488,t_objeto!B:C,2,FALSE)</f>
        <v>METHOD_INSTRUCTION</v>
      </c>
      <c r="E488" s="1">
        <v>8</v>
      </c>
      <c r="F488" s="1" t="str">
        <f>VLOOKUP(E488,t_entry_status!A:C,2,FALSE)</f>
        <v>PENDING</v>
      </c>
      <c r="G488" s="7">
        <v>45560</v>
      </c>
      <c r="H488" s="1" t="s">
        <v>7449</v>
      </c>
      <c r="I488" s="7">
        <v>45560</v>
      </c>
      <c r="J488" s="1" t="s">
        <v>7449</v>
      </c>
    </row>
    <row r="489" spans="1:10" x14ac:dyDescent="0.25">
      <c r="A489" s="1">
        <v>488</v>
      </c>
      <c r="B489" s="2" t="str">
        <f>_xlfn.CONCAT(C489,"-",VLOOKUP(C489,t_objeto!B:D,3,FALSE),"-",A489)</f>
        <v>MMII-PERCCO-488</v>
      </c>
      <c r="C489" s="1" t="s">
        <v>8352</v>
      </c>
      <c r="D489" s="1" t="str">
        <f>VLOOKUP(C489,t_objeto!B:C,2,FALSE)</f>
        <v>METHOD_INSTRUCTION</v>
      </c>
      <c r="E489" s="1">
        <v>8</v>
      </c>
      <c r="F489" s="1" t="str">
        <f>VLOOKUP(E489,t_entry_status!A:C,2,FALSE)</f>
        <v>PENDING</v>
      </c>
      <c r="G489" s="7">
        <v>45560</v>
      </c>
      <c r="H489" s="1" t="s">
        <v>7449</v>
      </c>
      <c r="I489" s="7">
        <v>45560</v>
      </c>
      <c r="J489" s="1" t="s">
        <v>7449</v>
      </c>
    </row>
    <row r="490" spans="1:10" x14ac:dyDescent="0.25">
      <c r="A490" s="1">
        <v>489</v>
      </c>
      <c r="B490" s="2" t="str">
        <f>_xlfn.CONCAT(C490,"-",VLOOKUP(C490,t_objeto!B:D,3,FALSE),"-",A490)</f>
        <v>MMII-PERCCO-489</v>
      </c>
      <c r="C490" s="1" t="s">
        <v>8352</v>
      </c>
      <c r="D490" s="1" t="str">
        <f>VLOOKUP(C490,t_objeto!B:C,2,FALSE)</f>
        <v>METHOD_INSTRUCTION</v>
      </c>
      <c r="E490" s="1">
        <v>8</v>
      </c>
      <c r="F490" s="1" t="str">
        <f>VLOOKUP(E490,t_entry_status!A:C,2,FALSE)</f>
        <v>PENDING</v>
      </c>
      <c r="G490" s="7">
        <v>45560</v>
      </c>
      <c r="H490" s="1" t="s">
        <v>7449</v>
      </c>
      <c r="I490" s="7">
        <v>45560</v>
      </c>
      <c r="J490" s="1" t="s">
        <v>7449</v>
      </c>
    </row>
    <row r="491" spans="1:10" x14ac:dyDescent="0.25">
      <c r="A491" s="1">
        <v>490</v>
      </c>
      <c r="B491" s="2" t="str">
        <f>_xlfn.CONCAT(C491,"-",VLOOKUP(C491,t_objeto!B:D,3,FALSE),"-",A491)</f>
        <v>MMII-PERCCO-490</v>
      </c>
      <c r="C491" s="1" t="s">
        <v>8352</v>
      </c>
      <c r="D491" s="1" t="str">
        <f>VLOOKUP(C491,t_objeto!B:C,2,FALSE)</f>
        <v>METHOD_INSTRUCTION</v>
      </c>
      <c r="E491" s="1">
        <v>8</v>
      </c>
      <c r="F491" s="1" t="str">
        <f>VLOOKUP(E491,t_entry_status!A:C,2,FALSE)</f>
        <v>PENDING</v>
      </c>
      <c r="G491" s="7">
        <v>45560</v>
      </c>
      <c r="H491" s="1" t="s">
        <v>7449</v>
      </c>
      <c r="I491" s="7">
        <v>45560</v>
      </c>
      <c r="J491" s="1" t="s">
        <v>7449</v>
      </c>
    </row>
    <row r="492" spans="1:10" x14ac:dyDescent="0.25">
      <c r="A492" s="1">
        <v>491</v>
      </c>
      <c r="B492" s="2" t="str">
        <f>_xlfn.CONCAT(C492,"-",VLOOKUP(C492,t_objeto!B:D,3,FALSE),"-",A492)</f>
        <v>MMII-PERCCO-491</v>
      </c>
      <c r="C492" s="1" t="s">
        <v>8352</v>
      </c>
      <c r="D492" s="1" t="str">
        <f>VLOOKUP(C492,t_objeto!B:C,2,FALSE)</f>
        <v>METHOD_INSTRUCTION</v>
      </c>
      <c r="E492" s="1">
        <v>8</v>
      </c>
      <c r="F492" s="1" t="str">
        <f>VLOOKUP(E492,t_entry_status!A:C,2,FALSE)</f>
        <v>PENDING</v>
      </c>
      <c r="G492" s="7">
        <v>45560</v>
      </c>
      <c r="H492" s="1" t="s">
        <v>7449</v>
      </c>
      <c r="I492" s="7">
        <v>45560</v>
      </c>
      <c r="J492" s="1" t="s">
        <v>7449</v>
      </c>
    </row>
    <row r="493" spans="1:10" x14ac:dyDescent="0.25">
      <c r="A493" s="1">
        <v>492</v>
      </c>
      <c r="B493" s="2" t="str">
        <f>_xlfn.CONCAT(C493,"-",VLOOKUP(C493,t_objeto!B:D,3,FALSE),"-",A493)</f>
        <v>MMII-PERCCO-492</v>
      </c>
      <c r="C493" s="1" t="s">
        <v>8352</v>
      </c>
      <c r="D493" s="1" t="str">
        <f>VLOOKUP(C493,t_objeto!B:C,2,FALSE)</f>
        <v>METHOD_INSTRUCTION</v>
      </c>
      <c r="E493" s="1">
        <v>8</v>
      </c>
      <c r="F493" s="1" t="str">
        <f>VLOOKUP(E493,t_entry_status!A:C,2,FALSE)</f>
        <v>PENDING</v>
      </c>
      <c r="G493" s="7">
        <v>45560</v>
      </c>
      <c r="H493" s="1" t="s">
        <v>7449</v>
      </c>
      <c r="I493" s="7">
        <v>45560</v>
      </c>
      <c r="J493" s="1" t="s">
        <v>7449</v>
      </c>
    </row>
    <row r="494" spans="1:10" x14ac:dyDescent="0.25">
      <c r="A494" s="1">
        <v>493</v>
      </c>
      <c r="B494" s="2" t="str">
        <f>_xlfn.CONCAT(C494,"-",VLOOKUP(C494,t_objeto!B:D,3,FALSE),"-",A494)</f>
        <v>MMII-PERCCO-493</v>
      </c>
      <c r="C494" s="1" t="s">
        <v>8352</v>
      </c>
      <c r="D494" s="1" t="str">
        <f>VLOOKUP(C494,t_objeto!B:C,2,FALSE)</f>
        <v>METHOD_INSTRUCTION</v>
      </c>
      <c r="E494" s="1">
        <v>8</v>
      </c>
      <c r="F494" s="1" t="str">
        <f>VLOOKUP(E494,t_entry_status!A:C,2,FALSE)</f>
        <v>PENDING</v>
      </c>
      <c r="G494" s="7">
        <v>45560</v>
      </c>
      <c r="H494" s="1" t="s">
        <v>7449</v>
      </c>
      <c r="I494" s="7">
        <v>45560</v>
      </c>
      <c r="J494" s="1" t="s">
        <v>7449</v>
      </c>
    </row>
    <row r="495" spans="1:10" x14ac:dyDescent="0.25">
      <c r="A495" s="1">
        <v>494</v>
      </c>
      <c r="B495" s="2" t="str">
        <f>_xlfn.CONCAT(C495,"-",VLOOKUP(C495,t_objeto!B:D,3,FALSE),"-",A495)</f>
        <v>MMII-PERCCO-494</v>
      </c>
      <c r="C495" s="1" t="s">
        <v>8352</v>
      </c>
      <c r="D495" s="1" t="str">
        <f>VLOOKUP(C495,t_objeto!B:C,2,FALSE)</f>
        <v>METHOD_INSTRUCTION</v>
      </c>
      <c r="E495" s="1">
        <v>8</v>
      </c>
      <c r="F495" s="1" t="str">
        <f>VLOOKUP(E495,t_entry_status!A:C,2,FALSE)</f>
        <v>PENDING</v>
      </c>
      <c r="G495" s="7">
        <v>45560</v>
      </c>
      <c r="H495" s="1" t="s">
        <v>7449</v>
      </c>
      <c r="I495" s="7">
        <v>45560</v>
      </c>
      <c r="J495" s="1" t="s">
        <v>7449</v>
      </c>
    </row>
    <row r="496" spans="1:10" x14ac:dyDescent="0.25">
      <c r="A496" s="1">
        <v>495</v>
      </c>
      <c r="B496" s="2" t="str">
        <f>_xlfn.CONCAT(C496,"-",VLOOKUP(C496,t_objeto!B:D,3,FALSE),"-",A496)</f>
        <v>MMII-PERCCO-495</v>
      </c>
      <c r="C496" s="1" t="s">
        <v>8352</v>
      </c>
      <c r="D496" s="1" t="str">
        <f>VLOOKUP(C496,t_objeto!B:C,2,FALSE)</f>
        <v>METHOD_INSTRUCTION</v>
      </c>
      <c r="E496" s="1">
        <v>8</v>
      </c>
      <c r="F496" s="1" t="str">
        <f>VLOOKUP(E496,t_entry_status!A:C,2,FALSE)</f>
        <v>PENDING</v>
      </c>
      <c r="G496" s="7">
        <v>45560</v>
      </c>
      <c r="H496" s="1" t="s">
        <v>7449</v>
      </c>
      <c r="I496" s="7">
        <v>45560</v>
      </c>
      <c r="J496" s="1" t="s">
        <v>7449</v>
      </c>
    </row>
    <row r="497" spans="1:10" x14ac:dyDescent="0.25">
      <c r="A497" s="1">
        <v>496</v>
      </c>
      <c r="B497" s="2" t="str">
        <f>_xlfn.CONCAT(C497,"-",VLOOKUP(C497,t_objeto!B:D,3,FALSE),"-",A497)</f>
        <v>MMII-PERCCO-496</v>
      </c>
      <c r="C497" s="1" t="s">
        <v>8352</v>
      </c>
      <c r="D497" s="1" t="str">
        <f>VLOOKUP(C497,t_objeto!B:C,2,FALSE)</f>
        <v>METHOD_INSTRUCTION</v>
      </c>
      <c r="E497" s="1">
        <v>8</v>
      </c>
      <c r="F497" s="1" t="str">
        <f>VLOOKUP(E497,t_entry_status!A:C,2,FALSE)</f>
        <v>PENDING</v>
      </c>
      <c r="G497" s="7">
        <v>45560</v>
      </c>
      <c r="H497" s="1" t="s">
        <v>7449</v>
      </c>
      <c r="I497" s="7">
        <v>45560</v>
      </c>
      <c r="J497" s="1" t="s">
        <v>7449</v>
      </c>
    </row>
    <row r="498" spans="1:10" x14ac:dyDescent="0.25">
      <c r="A498" s="1">
        <v>497</v>
      </c>
      <c r="B498" s="2" t="str">
        <f>_xlfn.CONCAT(C498,"-",VLOOKUP(C498,t_objeto!B:D,3,FALSE),"-",A498)</f>
        <v>MMII-PERCCO-497</v>
      </c>
      <c r="C498" s="1" t="s">
        <v>8352</v>
      </c>
      <c r="D498" s="1" t="str">
        <f>VLOOKUP(C498,t_objeto!B:C,2,FALSE)</f>
        <v>METHOD_INSTRUCTION</v>
      </c>
      <c r="E498" s="1">
        <v>8</v>
      </c>
      <c r="F498" s="1" t="str">
        <f>VLOOKUP(E498,t_entry_status!A:C,2,FALSE)</f>
        <v>PENDING</v>
      </c>
      <c r="G498" s="7">
        <v>45560</v>
      </c>
      <c r="H498" s="1" t="s">
        <v>7449</v>
      </c>
      <c r="I498" s="7">
        <v>45560</v>
      </c>
      <c r="J498" s="1" t="s">
        <v>7449</v>
      </c>
    </row>
    <row r="499" spans="1:10" x14ac:dyDescent="0.25">
      <c r="A499" s="1">
        <v>498</v>
      </c>
      <c r="B499" s="2" t="str">
        <f>_xlfn.CONCAT(C499,"-",VLOOKUP(C499,t_objeto!B:D,3,FALSE),"-",A499)</f>
        <v>MMII-PERCCO-498</v>
      </c>
      <c r="C499" s="1" t="s">
        <v>8352</v>
      </c>
      <c r="D499" s="1" t="str">
        <f>VLOOKUP(C499,t_objeto!B:C,2,FALSE)</f>
        <v>METHOD_INSTRUCTION</v>
      </c>
      <c r="E499" s="1">
        <v>8</v>
      </c>
      <c r="F499" s="1" t="str">
        <f>VLOOKUP(E499,t_entry_status!A:C,2,FALSE)</f>
        <v>PENDING</v>
      </c>
      <c r="G499" s="7">
        <v>45560</v>
      </c>
      <c r="H499" s="1" t="s">
        <v>7449</v>
      </c>
      <c r="I499" s="7">
        <v>45560</v>
      </c>
      <c r="J499" s="1" t="s">
        <v>7449</v>
      </c>
    </row>
    <row r="500" spans="1:10" x14ac:dyDescent="0.25">
      <c r="A500" s="1">
        <v>499</v>
      </c>
      <c r="B500" s="2" t="str">
        <f>_xlfn.CONCAT(C500,"-",VLOOKUP(C500,t_objeto!B:D,3,FALSE),"-",A500)</f>
        <v>MMII-PERCCO-499</v>
      </c>
      <c r="C500" s="1" t="s">
        <v>8352</v>
      </c>
      <c r="D500" s="1" t="str">
        <f>VLOOKUP(C500,t_objeto!B:C,2,FALSE)</f>
        <v>METHOD_INSTRUCTION</v>
      </c>
      <c r="E500" s="1">
        <v>8</v>
      </c>
      <c r="F500" s="1" t="str">
        <f>VLOOKUP(E500,t_entry_status!A:C,2,FALSE)</f>
        <v>PENDING</v>
      </c>
      <c r="G500" s="7">
        <v>45560</v>
      </c>
      <c r="H500" s="1" t="s">
        <v>7449</v>
      </c>
      <c r="I500" s="7">
        <v>45560</v>
      </c>
      <c r="J500" s="1" t="s">
        <v>7449</v>
      </c>
    </row>
    <row r="501" spans="1:10" x14ac:dyDescent="0.25">
      <c r="A501" s="1">
        <v>500</v>
      </c>
      <c r="B501" s="2" t="str">
        <f>_xlfn.CONCAT(C501,"-",VLOOKUP(C501,t_objeto!B:D,3,FALSE),"-",A501)</f>
        <v>MMII-PERCCO-500</v>
      </c>
      <c r="C501" s="1" t="s">
        <v>8352</v>
      </c>
      <c r="D501" s="1" t="str">
        <f>VLOOKUP(C501,t_objeto!B:C,2,FALSE)</f>
        <v>METHOD_INSTRUCTION</v>
      </c>
      <c r="E501" s="1">
        <v>8</v>
      </c>
      <c r="F501" s="1" t="str">
        <f>VLOOKUP(E501,t_entry_status!A:C,2,FALSE)</f>
        <v>PENDING</v>
      </c>
      <c r="G501" s="7">
        <v>45560</v>
      </c>
      <c r="H501" s="1" t="s">
        <v>7449</v>
      </c>
      <c r="I501" s="7">
        <v>45560</v>
      </c>
      <c r="J501" s="1" t="s">
        <v>7449</v>
      </c>
    </row>
    <row r="502" spans="1:10" x14ac:dyDescent="0.25">
      <c r="A502" s="1">
        <v>501</v>
      </c>
      <c r="B502" s="2" t="str">
        <f>_xlfn.CONCAT(C502,"-",VLOOKUP(C502,t_objeto!B:D,3,FALSE),"-",A502)</f>
        <v>MMII-PERCCO-501</v>
      </c>
      <c r="C502" s="1" t="s">
        <v>8352</v>
      </c>
      <c r="D502" s="1" t="str">
        <f>VLOOKUP(C502,t_objeto!B:C,2,FALSE)</f>
        <v>METHOD_INSTRUCTION</v>
      </c>
      <c r="E502" s="1">
        <v>8</v>
      </c>
      <c r="F502" s="1" t="str">
        <f>VLOOKUP(E502,t_entry_status!A:C,2,FALSE)</f>
        <v>PENDING</v>
      </c>
      <c r="G502" s="7">
        <v>45560</v>
      </c>
      <c r="H502" s="1" t="s">
        <v>7449</v>
      </c>
      <c r="I502" s="7">
        <v>45560</v>
      </c>
      <c r="J502" s="1" t="s">
        <v>7449</v>
      </c>
    </row>
    <row r="503" spans="1:10" x14ac:dyDescent="0.25">
      <c r="A503" s="1">
        <v>502</v>
      </c>
      <c r="B503" s="2" t="str">
        <f>_xlfn.CONCAT(C503,"-",VLOOKUP(C503,t_objeto!B:D,3,FALSE),"-",A503)</f>
        <v>MMII-PERCCO-502</v>
      </c>
      <c r="C503" s="1" t="s">
        <v>8352</v>
      </c>
      <c r="D503" s="1" t="str">
        <f>VLOOKUP(C503,t_objeto!B:C,2,FALSE)</f>
        <v>METHOD_INSTRUCTION</v>
      </c>
      <c r="E503" s="1">
        <v>8</v>
      </c>
      <c r="F503" s="1" t="str">
        <f>VLOOKUP(E503,t_entry_status!A:C,2,FALSE)</f>
        <v>PENDING</v>
      </c>
      <c r="G503" s="7">
        <v>45560</v>
      </c>
      <c r="H503" s="1" t="s">
        <v>7449</v>
      </c>
      <c r="I503" s="7">
        <v>45560</v>
      </c>
      <c r="J503" s="1" t="s">
        <v>7449</v>
      </c>
    </row>
    <row r="504" spans="1:10" x14ac:dyDescent="0.25">
      <c r="A504" s="1">
        <v>503</v>
      </c>
      <c r="B504" s="2" t="str">
        <f>_xlfn.CONCAT(C504,"-",VLOOKUP(C504,t_objeto!B:D,3,FALSE),"-",A504)</f>
        <v>MMII-PERCCO-503</v>
      </c>
      <c r="C504" s="1" t="s">
        <v>8352</v>
      </c>
      <c r="D504" s="1" t="str">
        <f>VLOOKUP(C504,t_objeto!B:C,2,FALSE)</f>
        <v>METHOD_INSTRUCTION</v>
      </c>
      <c r="E504" s="1">
        <v>8</v>
      </c>
      <c r="F504" s="1" t="str">
        <f>VLOOKUP(E504,t_entry_status!A:C,2,FALSE)</f>
        <v>PENDING</v>
      </c>
      <c r="G504" s="7">
        <v>45560</v>
      </c>
      <c r="H504" s="1" t="s">
        <v>7449</v>
      </c>
      <c r="I504" s="7">
        <v>45560</v>
      </c>
      <c r="J504" s="1" t="s">
        <v>7449</v>
      </c>
    </row>
    <row r="505" spans="1:10" x14ac:dyDescent="0.25">
      <c r="A505" s="1">
        <v>504</v>
      </c>
      <c r="B505" s="2" t="str">
        <f>_xlfn.CONCAT(C505,"-",VLOOKUP(C505,t_objeto!B:D,3,FALSE),"-",A505)</f>
        <v>MMII-PERCCO-504</v>
      </c>
      <c r="C505" s="1" t="s">
        <v>8352</v>
      </c>
      <c r="D505" s="1" t="str">
        <f>VLOOKUP(C505,t_objeto!B:C,2,FALSE)</f>
        <v>METHOD_INSTRUCTION</v>
      </c>
      <c r="E505" s="1">
        <v>8</v>
      </c>
      <c r="F505" s="1" t="str">
        <f>VLOOKUP(E505,t_entry_status!A:C,2,FALSE)</f>
        <v>PENDING</v>
      </c>
      <c r="G505" s="7">
        <v>45560</v>
      </c>
      <c r="H505" s="1" t="s">
        <v>7449</v>
      </c>
      <c r="I505" s="7">
        <v>45560</v>
      </c>
      <c r="J505" s="1" t="s">
        <v>7449</v>
      </c>
    </row>
    <row r="506" spans="1:10" x14ac:dyDescent="0.25">
      <c r="A506" s="1">
        <v>505</v>
      </c>
      <c r="B506" s="2" t="str">
        <f>_xlfn.CONCAT(C506,"-",VLOOKUP(C506,t_objeto!B:D,3,FALSE),"-",A506)</f>
        <v>MMII-PERCCO-505</v>
      </c>
      <c r="C506" s="1" t="s">
        <v>8352</v>
      </c>
      <c r="D506" s="1" t="str">
        <f>VLOOKUP(C506,t_objeto!B:C,2,FALSE)</f>
        <v>METHOD_INSTRUCTION</v>
      </c>
      <c r="E506" s="1">
        <v>8</v>
      </c>
      <c r="F506" s="1" t="str">
        <f>VLOOKUP(E506,t_entry_status!A:C,2,FALSE)</f>
        <v>PENDING</v>
      </c>
      <c r="G506" s="7">
        <v>45560</v>
      </c>
      <c r="H506" s="1" t="s">
        <v>7449</v>
      </c>
      <c r="I506" s="7">
        <v>45560</v>
      </c>
      <c r="J506" s="1" t="s">
        <v>7449</v>
      </c>
    </row>
    <row r="507" spans="1:10" x14ac:dyDescent="0.25">
      <c r="A507" s="1">
        <v>506</v>
      </c>
      <c r="B507" s="2" t="str">
        <f>_xlfn.CONCAT(C507,"-",VLOOKUP(C507,t_objeto!B:D,3,FALSE),"-",A507)</f>
        <v>MMII-PERCCO-506</v>
      </c>
      <c r="C507" s="1" t="s">
        <v>8352</v>
      </c>
      <c r="D507" s="1" t="str">
        <f>VLOOKUP(C507,t_objeto!B:C,2,FALSE)</f>
        <v>METHOD_INSTRUCTION</v>
      </c>
      <c r="E507" s="1">
        <v>8</v>
      </c>
      <c r="F507" s="1" t="str">
        <f>VLOOKUP(E507,t_entry_status!A:C,2,FALSE)</f>
        <v>PENDING</v>
      </c>
      <c r="G507" s="7">
        <v>45560</v>
      </c>
      <c r="H507" s="1" t="s">
        <v>7449</v>
      </c>
      <c r="I507" s="7">
        <v>45560</v>
      </c>
      <c r="J507" s="1" t="s">
        <v>7449</v>
      </c>
    </row>
    <row r="508" spans="1:10" x14ac:dyDescent="0.25">
      <c r="A508" s="1">
        <v>507</v>
      </c>
      <c r="B508" s="2" t="str">
        <f>_xlfn.CONCAT(C508,"-",VLOOKUP(C508,t_objeto!B:D,3,FALSE),"-",A508)</f>
        <v>MMII-PERCCO-507</v>
      </c>
      <c r="C508" s="1" t="s">
        <v>8352</v>
      </c>
      <c r="D508" s="1" t="str">
        <f>VLOOKUP(C508,t_objeto!B:C,2,FALSE)</f>
        <v>METHOD_INSTRUCTION</v>
      </c>
      <c r="E508" s="1">
        <v>8</v>
      </c>
      <c r="F508" s="1" t="str">
        <f>VLOOKUP(E508,t_entry_status!A:C,2,FALSE)</f>
        <v>PENDING</v>
      </c>
      <c r="G508" s="7">
        <v>45560</v>
      </c>
      <c r="H508" s="1" t="s">
        <v>7449</v>
      </c>
      <c r="I508" s="7">
        <v>45560</v>
      </c>
      <c r="J508" s="1" t="s">
        <v>7449</v>
      </c>
    </row>
    <row r="509" spans="1:10" x14ac:dyDescent="0.25">
      <c r="A509" s="1">
        <v>508</v>
      </c>
      <c r="B509" s="2" t="str">
        <f>_xlfn.CONCAT(C509,"-",VLOOKUP(C509,t_objeto!B:D,3,FALSE),"-",A509)</f>
        <v>MMII-PERCCO-508</v>
      </c>
      <c r="C509" s="1" t="s">
        <v>8352</v>
      </c>
      <c r="D509" s="1" t="str">
        <f>VLOOKUP(C509,t_objeto!B:C,2,FALSE)</f>
        <v>METHOD_INSTRUCTION</v>
      </c>
      <c r="E509" s="1">
        <v>8</v>
      </c>
      <c r="F509" s="1" t="str">
        <f>VLOOKUP(E509,t_entry_status!A:C,2,FALSE)</f>
        <v>PENDING</v>
      </c>
      <c r="G509" s="7">
        <v>45560</v>
      </c>
      <c r="H509" s="1" t="s">
        <v>7449</v>
      </c>
      <c r="I509" s="7">
        <v>45560</v>
      </c>
      <c r="J509" s="1" t="s">
        <v>7449</v>
      </c>
    </row>
    <row r="510" spans="1:10" x14ac:dyDescent="0.25">
      <c r="A510" s="1">
        <v>509</v>
      </c>
      <c r="B510" s="2" t="str">
        <f>_xlfn.CONCAT(C510,"-",VLOOKUP(C510,t_objeto!B:D,3,FALSE),"-",A510)</f>
        <v>MMII-PERCCO-509</v>
      </c>
      <c r="C510" s="1" t="s">
        <v>8352</v>
      </c>
      <c r="D510" s="1" t="str">
        <f>VLOOKUP(C510,t_objeto!B:C,2,FALSE)</f>
        <v>METHOD_INSTRUCTION</v>
      </c>
      <c r="E510" s="1">
        <v>8</v>
      </c>
      <c r="F510" s="1" t="str">
        <f>VLOOKUP(E510,t_entry_status!A:C,2,FALSE)</f>
        <v>PENDING</v>
      </c>
      <c r="G510" s="7">
        <v>45560</v>
      </c>
      <c r="H510" s="1" t="s">
        <v>7449</v>
      </c>
      <c r="I510" s="7">
        <v>45560</v>
      </c>
      <c r="J510" s="1" t="s">
        <v>7449</v>
      </c>
    </row>
    <row r="511" spans="1:10" x14ac:dyDescent="0.25">
      <c r="A511" s="1">
        <v>510</v>
      </c>
      <c r="B511" s="2" t="str">
        <f>_xlfn.CONCAT(C511,"-",VLOOKUP(C511,t_objeto!B:D,3,FALSE),"-",A511)</f>
        <v>MMII-PERCCO-510</v>
      </c>
      <c r="C511" s="1" t="s">
        <v>8352</v>
      </c>
      <c r="D511" s="1" t="str">
        <f>VLOOKUP(C511,t_objeto!B:C,2,FALSE)</f>
        <v>METHOD_INSTRUCTION</v>
      </c>
      <c r="E511" s="1">
        <v>8</v>
      </c>
      <c r="F511" s="1" t="str">
        <f>VLOOKUP(E511,t_entry_status!A:C,2,FALSE)</f>
        <v>PENDING</v>
      </c>
      <c r="G511" s="7">
        <v>45560</v>
      </c>
      <c r="H511" s="1" t="s">
        <v>7449</v>
      </c>
      <c r="I511" s="7">
        <v>45560</v>
      </c>
      <c r="J511" s="1" t="s">
        <v>7449</v>
      </c>
    </row>
    <row r="512" spans="1:10" x14ac:dyDescent="0.25">
      <c r="A512" s="1">
        <v>511</v>
      </c>
      <c r="B512" s="2" t="str">
        <f>_xlfn.CONCAT(C512,"-",VLOOKUP(C512,t_objeto!B:D,3,FALSE),"-",A512)</f>
        <v>MMII-PERCCO-511</v>
      </c>
      <c r="C512" s="1" t="s">
        <v>8352</v>
      </c>
      <c r="D512" s="1" t="str">
        <f>VLOOKUP(C512,t_objeto!B:C,2,FALSE)</f>
        <v>METHOD_INSTRUCTION</v>
      </c>
      <c r="E512" s="1">
        <v>8</v>
      </c>
      <c r="F512" s="1" t="str">
        <f>VLOOKUP(E512,t_entry_status!A:C,2,FALSE)</f>
        <v>PENDING</v>
      </c>
      <c r="G512" s="7">
        <v>45560</v>
      </c>
      <c r="H512" s="1" t="s">
        <v>7449</v>
      </c>
      <c r="I512" s="7">
        <v>45560</v>
      </c>
      <c r="J512" s="1" t="s">
        <v>7449</v>
      </c>
    </row>
    <row r="513" spans="1:10" x14ac:dyDescent="0.25">
      <c r="A513" s="1">
        <v>512</v>
      </c>
      <c r="B513" s="2" t="str">
        <f>_xlfn.CONCAT(C513,"-",VLOOKUP(C513,t_objeto!B:D,3,FALSE),"-",A513)</f>
        <v>MMII-PERCCO-512</v>
      </c>
      <c r="C513" s="1" t="s">
        <v>8352</v>
      </c>
      <c r="D513" s="1" t="str">
        <f>VLOOKUP(C513,t_objeto!B:C,2,FALSE)</f>
        <v>METHOD_INSTRUCTION</v>
      </c>
      <c r="E513" s="1">
        <v>8</v>
      </c>
      <c r="F513" s="1" t="str">
        <f>VLOOKUP(E513,t_entry_status!A:C,2,FALSE)</f>
        <v>PENDING</v>
      </c>
      <c r="G513" s="7">
        <v>45560</v>
      </c>
      <c r="H513" s="1" t="s">
        <v>7449</v>
      </c>
      <c r="I513" s="7">
        <v>45560</v>
      </c>
      <c r="J513" s="1" t="s">
        <v>7449</v>
      </c>
    </row>
    <row r="514" spans="1:10" x14ac:dyDescent="0.25">
      <c r="A514" s="1">
        <v>513</v>
      </c>
      <c r="B514" s="2" t="str">
        <f>_xlfn.CONCAT(C514,"-",VLOOKUP(C514,t_objeto!B:D,3,FALSE),"-",A514)</f>
        <v>MMII-PERCCO-513</v>
      </c>
      <c r="C514" s="1" t="s">
        <v>8352</v>
      </c>
      <c r="D514" s="1" t="str">
        <f>VLOOKUP(C514,t_objeto!B:C,2,FALSE)</f>
        <v>METHOD_INSTRUCTION</v>
      </c>
      <c r="E514" s="1">
        <v>8</v>
      </c>
      <c r="F514" s="1" t="str">
        <f>VLOOKUP(E514,t_entry_status!A:C,2,FALSE)</f>
        <v>PENDING</v>
      </c>
      <c r="G514" s="7">
        <v>45560</v>
      </c>
      <c r="H514" s="1" t="s">
        <v>7449</v>
      </c>
      <c r="I514" s="7">
        <v>45560</v>
      </c>
      <c r="J514" s="1" t="s">
        <v>7449</v>
      </c>
    </row>
    <row r="515" spans="1:10" x14ac:dyDescent="0.25">
      <c r="A515" s="1">
        <v>514</v>
      </c>
      <c r="B515" s="2" t="str">
        <f>_xlfn.CONCAT(C515,"-",VLOOKUP(C515,t_objeto!B:D,3,FALSE),"-",A515)</f>
        <v>MMII-PERCCO-514</v>
      </c>
      <c r="C515" s="1" t="s">
        <v>8352</v>
      </c>
      <c r="D515" s="1" t="str">
        <f>VLOOKUP(C515,t_objeto!B:C,2,FALSE)</f>
        <v>METHOD_INSTRUCTION</v>
      </c>
      <c r="E515" s="1">
        <v>8</v>
      </c>
      <c r="F515" s="1" t="str">
        <f>VLOOKUP(E515,t_entry_status!A:C,2,FALSE)</f>
        <v>PENDING</v>
      </c>
      <c r="G515" s="7">
        <v>45560</v>
      </c>
      <c r="H515" s="1" t="s">
        <v>7449</v>
      </c>
      <c r="I515" s="7">
        <v>45560</v>
      </c>
      <c r="J515" s="1" t="s">
        <v>7449</v>
      </c>
    </row>
    <row r="516" spans="1:10" x14ac:dyDescent="0.25">
      <c r="A516" s="1">
        <v>515</v>
      </c>
      <c r="B516" s="2" t="str">
        <f>_xlfn.CONCAT(C516,"-",VLOOKUP(C516,t_objeto!B:D,3,FALSE),"-",A516)</f>
        <v>MMII-PERCCO-515</v>
      </c>
      <c r="C516" s="1" t="s">
        <v>8352</v>
      </c>
      <c r="D516" s="1" t="str">
        <f>VLOOKUP(C516,t_objeto!B:C,2,FALSE)</f>
        <v>METHOD_INSTRUCTION</v>
      </c>
      <c r="E516" s="1">
        <v>8</v>
      </c>
      <c r="F516" s="1" t="str">
        <f>VLOOKUP(E516,t_entry_status!A:C,2,FALSE)</f>
        <v>PENDING</v>
      </c>
      <c r="G516" s="7">
        <v>45560</v>
      </c>
      <c r="H516" s="1" t="s">
        <v>7449</v>
      </c>
      <c r="I516" s="7">
        <v>45560</v>
      </c>
      <c r="J516" s="1" t="s">
        <v>7449</v>
      </c>
    </row>
    <row r="517" spans="1:10" x14ac:dyDescent="0.25">
      <c r="A517" s="1">
        <v>516</v>
      </c>
      <c r="B517" s="2" t="str">
        <f>_xlfn.CONCAT(C517,"-",VLOOKUP(C517,t_objeto!B:D,3,FALSE),"-",A517)</f>
        <v>MMII-PERCCO-516</v>
      </c>
      <c r="C517" s="1" t="s">
        <v>8352</v>
      </c>
      <c r="D517" s="1" t="str">
        <f>VLOOKUP(C517,t_objeto!B:C,2,FALSE)</f>
        <v>METHOD_INSTRUCTION</v>
      </c>
      <c r="E517" s="1">
        <v>8</v>
      </c>
      <c r="F517" s="1" t="str">
        <f>VLOOKUP(E517,t_entry_status!A:C,2,FALSE)</f>
        <v>PENDING</v>
      </c>
      <c r="G517" s="7">
        <v>45560</v>
      </c>
      <c r="H517" s="1" t="s">
        <v>7449</v>
      </c>
      <c r="I517" s="7">
        <v>45560</v>
      </c>
      <c r="J517" s="1" t="s">
        <v>7449</v>
      </c>
    </row>
    <row r="518" spans="1:10" x14ac:dyDescent="0.25">
      <c r="A518" s="1">
        <v>517</v>
      </c>
      <c r="B518" s="2" t="str">
        <f>_xlfn.CONCAT(C518,"-",VLOOKUP(C518,t_objeto!B:D,3,FALSE),"-",A518)</f>
        <v>MMII-PERCCO-517</v>
      </c>
      <c r="C518" s="1" t="s">
        <v>8352</v>
      </c>
      <c r="D518" s="1" t="str">
        <f>VLOOKUP(C518,t_objeto!B:C,2,FALSE)</f>
        <v>METHOD_INSTRUCTION</v>
      </c>
      <c r="E518" s="1">
        <v>8</v>
      </c>
      <c r="F518" s="1" t="str">
        <f>VLOOKUP(E518,t_entry_status!A:C,2,FALSE)</f>
        <v>PENDING</v>
      </c>
      <c r="G518" s="7">
        <v>45560</v>
      </c>
      <c r="H518" s="1" t="s">
        <v>7449</v>
      </c>
      <c r="I518" s="7">
        <v>45560</v>
      </c>
      <c r="J518" s="1" t="s">
        <v>7449</v>
      </c>
    </row>
    <row r="519" spans="1:10" x14ac:dyDescent="0.25">
      <c r="A519" s="1">
        <v>518</v>
      </c>
      <c r="B519" s="2" t="str">
        <f>_xlfn.CONCAT(C519,"-",VLOOKUP(C519,t_objeto!B:D,3,FALSE),"-",A519)</f>
        <v>MMII-PERCCO-518</v>
      </c>
      <c r="C519" s="1" t="s">
        <v>8352</v>
      </c>
      <c r="D519" s="1" t="str">
        <f>VLOOKUP(C519,t_objeto!B:C,2,FALSE)</f>
        <v>METHOD_INSTRUCTION</v>
      </c>
      <c r="E519" s="1">
        <v>8</v>
      </c>
      <c r="F519" s="1" t="str">
        <f>VLOOKUP(E519,t_entry_status!A:C,2,FALSE)</f>
        <v>PENDING</v>
      </c>
      <c r="G519" s="7">
        <v>45560</v>
      </c>
      <c r="H519" s="1" t="s">
        <v>7449</v>
      </c>
      <c r="I519" s="7">
        <v>45560</v>
      </c>
      <c r="J519" s="1" t="s">
        <v>7449</v>
      </c>
    </row>
    <row r="520" spans="1:10" x14ac:dyDescent="0.25">
      <c r="A520" s="1">
        <v>519</v>
      </c>
      <c r="B520" s="2" t="str">
        <f>_xlfn.CONCAT(C520,"-",VLOOKUP(C520,t_objeto!B:D,3,FALSE),"-",A520)</f>
        <v>MMII-PERCCO-519</v>
      </c>
      <c r="C520" s="1" t="s">
        <v>8352</v>
      </c>
      <c r="D520" s="1" t="str">
        <f>VLOOKUP(C520,t_objeto!B:C,2,FALSE)</f>
        <v>METHOD_INSTRUCTION</v>
      </c>
      <c r="E520" s="1">
        <v>8</v>
      </c>
      <c r="F520" s="1" t="str">
        <f>VLOOKUP(E520,t_entry_status!A:C,2,FALSE)</f>
        <v>PENDING</v>
      </c>
      <c r="G520" s="7">
        <v>45560</v>
      </c>
      <c r="H520" s="1" t="s">
        <v>7449</v>
      </c>
      <c r="I520" s="7">
        <v>45560</v>
      </c>
      <c r="J520" s="1" t="s">
        <v>7449</v>
      </c>
    </row>
    <row r="521" spans="1:10" x14ac:dyDescent="0.25">
      <c r="A521" s="1">
        <v>520</v>
      </c>
      <c r="B521" s="2" t="str">
        <f>_xlfn.CONCAT(C521,"-",VLOOKUP(C521,t_objeto!B:D,3,FALSE),"-",A521)</f>
        <v>MMII-PERCCO-520</v>
      </c>
      <c r="C521" s="1" t="s">
        <v>8352</v>
      </c>
      <c r="D521" s="1" t="str">
        <f>VLOOKUP(C521,t_objeto!B:C,2,FALSE)</f>
        <v>METHOD_INSTRUCTION</v>
      </c>
      <c r="E521" s="1">
        <v>8</v>
      </c>
      <c r="F521" s="1" t="str">
        <f>VLOOKUP(E521,t_entry_status!A:C,2,FALSE)</f>
        <v>PENDING</v>
      </c>
      <c r="G521" s="7">
        <v>45560</v>
      </c>
      <c r="H521" s="1" t="s">
        <v>7449</v>
      </c>
      <c r="I521" s="7">
        <v>45560</v>
      </c>
      <c r="J521" s="1" t="s">
        <v>7449</v>
      </c>
    </row>
    <row r="522" spans="1:10" x14ac:dyDescent="0.25">
      <c r="A522" s="1">
        <v>521</v>
      </c>
      <c r="B522" s="2" t="str">
        <f>_xlfn.CONCAT(C522,"-",VLOOKUP(C522,t_objeto!B:D,3,FALSE),"-",A522)</f>
        <v>MMII-PERCCO-521</v>
      </c>
      <c r="C522" s="1" t="s">
        <v>8352</v>
      </c>
      <c r="D522" s="1" t="str">
        <f>VLOOKUP(C522,t_objeto!B:C,2,FALSE)</f>
        <v>METHOD_INSTRUCTION</v>
      </c>
      <c r="E522" s="1">
        <v>8</v>
      </c>
      <c r="F522" s="1" t="str">
        <f>VLOOKUP(E522,t_entry_status!A:C,2,FALSE)</f>
        <v>PENDING</v>
      </c>
      <c r="G522" s="7">
        <v>45560</v>
      </c>
      <c r="H522" s="1" t="s">
        <v>7449</v>
      </c>
      <c r="I522" s="7">
        <v>45560</v>
      </c>
      <c r="J522" s="1" t="s">
        <v>7449</v>
      </c>
    </row>
    <row r="523" spans="1:10" x14ac:dyDescent="0.25">
      <c r="A523" s="1">
        <v>522</v>
      </c>
      <c r="B523" s="2" t="str">
        <f>_xlfn.CONCAT(C523,"-",VLOOKUP(C523,t_objeto!B:D,3,FALSE),"-",A523)</f>
        <v>MMII-PERCCO-522</v>
      </c>
      <c r="C523" s="1" t="s">
        <v>8352</v>
      </c>
      <c r="D523" s="1" t="str">
        <f>VLOOKUP(C523,t_objeto!B:C,2,FALSE)</f>
        <v>METHOD_INSTRUCTION</v>
      </c>
      <c r="E523" s="1">
        <v>8</v>
      </c>
      <c r="F523" s="1" t="str">
        <f>VLOOKUP(E523,t_entry_status!A:C,2,FALSE)</f>
        <v>PENDING</v>
      </c>
      <c r="G523" s="7">
        <v>45560</v>
      </c>
      <c r="H523" s="1" t="s">
        <v>7449</v>
      </c>
      <c r="I523" s="7">
        <v>45560</v>
      </c>
      <c r="J523" s="1" t="s">
        <v>7449</v>
      </c>
    </row>
    <row r="524" spans="1:10" x14ac:dyDescent="0.25">
      <c r="A524" s="1">
        <v>523</v>
      </c>
      <c r="B524" s="2" t="str">
        <f>_xlfn.CONCAT(C524,"-",VLOOKUP(C524,t_objeto!B:D,3,FALSE),"-",A524)</f>
        <v>MMII-PERCCO-523</v>
      </c>
      <c r="C524" s="1" t="s">
        <v>8352</v>
      </c>
      <c r="D524" s="1" t="str">
        <f>VLOOKUP(C524,t_objeto!B:C,2,FALSE)</f>
        <v>METHOD_INSTRUCTION</v>
      </c>
      <c r="E524" s="1">
        <v>8</v>
      </c>
      <c r="F524" s="1" t="str">
        <f>VLOOKUP(E524,t_entry_status!A:C,2,FALSE)</f>
        <v>PENDING</v>
      </c>
      <c r="G524" s="7">
        <v>45560</v>
      </c>
      <c r="H524" s="1" t="s">
        <v>7449</v>
      </c>
      <c r="I524" s="7">
        <v>45560</v>
      </c>
      <c r="J524" s="1" t="s">
        <v>7449</v>
      </c>
    </row>
    <row r="525" spans="1:10" x14ac:dyDescent="0.25">
      <c r="A525" s="1">
        <v>524</v>
      </c>
      <c r="B525" s="2" t="str">
        <f>_xlfn.CONCAT(C525,"-",VLOOKUP(C525,t_objeto!B:D,3,FALSE),"-",A525)</f>
        <v>MMII-PERCCO-524</v>
      </c>
      <c r="C525" s="1" t="s">
        <v>8352</v>
      </c>
      <c r="D525" s="1" t="str">
        <f>VLOOKUP(C525,t_objeto!B:C,2,FALSE)</f>
        <v>METHOD_INSTRUCTION</v>
      </c>
      <c r="E525" s="1">
        <v>8</v>
      </c>
      <c r="F525" s="1" t="str">
        <f>VLOOKUP(E525,t_entry_status!A:C,2,FALSE)</f>
        <v>PENDING</v>
      </c>
      <c r="G525" s="7">
        <v>45560</v>
      </c>
      <c r="H525" s="1" t="s">
        <v>7449</v>
      </c>
      <c r="I525" s="7">
        <v>45560</v>
      </c>
      <c r="J525" s="1" t="s">
        <v>7449</v>
      </c>
    </row>
    <row r="526" spans="1:10" x14ac:dyDescent="0.25">
      <c r="A526" s="1">
        <v>525</v>
      </c>
      <c r="B526" s="2" t="str">
        <f>_xlfn.CONCAT(C526,"-",VLOOKUP(C526,t_objeto!B:D,3,FALSE),"-",A526)</f>
        <v>MMII-PERCCO-525</v>
      </c>
      <c r="C526" s="1" t="s">
        <v>8352</v>
      </c>
      <c r="D526" s="1" t="str">
        <f>VLOOKUP(C526,t_objeto!B:C,2,FALSE)</f>
        <v>METHOD_INSTRUCTION</v>
      </c>
      <c r="E526" s="1">
        <v>8</v>
      </c>
      <c r="F526" s="1" t="str">
        <f>VLOOKUP(E526,t_entry_status!A:C,2,FALSE)</f>
        <v>PENDING</v>
      </c>
      <c r="G526" s="7">
        <v>45560</v>
      </c>
      <c r="H526" s="1" t="s">
        <v>7449</v>
      </c>
      <c r="I526" s="7">
        <v>45560</v>
      </c>
      <c r="J526" s="1" t="s">
        <v>7449</v>
      </c>
    </row>
    <row r="527" spans="1:10" x14ac:dyDescent="0.25">
      <c r="A527" s="1">
        <v>526</v>
      </c>
      <c r="B527" s="2" t="str">
        <f>_xlfn.CONCAT(C527,"-",VLOOKUP(C527,t_objeto!B:D,3,FALSE),"-",A527)</f>
        <v>MMII-PERCCO-526</v>
      </c>
      <c r="C527" s="1" t="s">
        <v>8352</v>
      </c>
      <c r="D527" s="1" t="str">
        <f>VLOOKUP(C527,t_objeto!B:C,2,FALSE)</f>
        <v>METHOD_INSTRUCTION</v>
      </c>
      <c r="E527" s="1">
        <v>8</v>
      </c>
      <c r="F527" s="1" t="str">
        <f>VLOOKUP(E527,t_entry_status!A:C,2,FALSE)</f>
        <v>PENDING</v>
      </c>
      <c r="G527" s="7">
        <v>45560</v>
      </c>
      <c r="H527" s="1" t="s">
        <v>7449</v>
      </c>
      <c r="I527" s="7">
        <v>45560</v>
      </c>
      <c r="J527" s="1" t="s">
        <v>7449</v>
      </c>
    </row>
    <row r="528" spans="1:10" x14ac:dyDescent="0.25">
      <c r="A528" s="1">
        <v>527</v>
      </c>
      <c r="B528" s="2" t="str">
        <f>_xlfn.CONCAT(C528,"-",VLOOKUP(C528,t_objeto!B:D,3,FALSE),"-",A528)</f>
        <v>MMII-PERCCO-527</v>
      </c>
      <c r="C528" s="1" t="s">
        <v>8352</v>
      </c>
      <c r="D528" s="1" t="str">
        <f>VLOOKUP(C528,t_objeto!B:C,2,FALSE)</f>
        <v>METHOD_INSTRUCTION</v>
      </c>
      <c r="E528" s="1">
        <v>8</v>
      </c>
      <c r="F528" s="1" t="str">
        <f>VLOOKUP(E528,t_entry_status!A:C,2,FALSE)</f>
        <v>PENDING</v>
      </c>
      <c r="G528" s="7">
        <v>45560</v>
      </c>
      <c r="H528" s="1" t="s">
        <v>7449</v>
      </c>
      <c r="I528" s="7">
        <v>45560</v>
      </c>
      <c r="J528" s="1" t="s">
        <v>7449</v>
      </c>
    </row>
    <row r="529" spans="1:10" x14ac:dyDescent="0.25">
      <c r="A529" s="1">
        <v>528</v>
      </c>
      <c r="B529" s="2" t="str">
        <f>_xlfn.CONCAT(C529,"-",VLOOKUP(C529,t_objeto!B:D,3,FALSE),"-",A529)</f>
        <v>MMII-PERCCO-528</v>
      </c>
      <c r="C529" s="1" t="s">
        <v>8352</v>
      </c>
      <c r="D529" s="1" t="str">
        <f>VLOOKUP(C529,t_objeto!B:C,2,FALSE)</f>
        <v>METHOD_INSTRUCTION</v>
      </c>
      <c r="E529" s="1">
        <v>8</v>
      </c>
      <c r="F529" s="1" t="str">
        <f>VLOOKUP(E529,t_entry_status!A:C,2,FALSE)</f>
        <v>PENDING</v>
      </c>
      <c r="G529" s="7">
        <v>45560</v>
      </c>
      <c r="H529" s="1" t="s">
        <v>7449</v>
      </c>
      <c r="I529" s="7">
        <v>45560</v>
      </c>
      <c r="J529" s="1" t="s">
        <v>7449</v>
      </c>
    </row>
    <row r="530" spans="1:10" x14ac:dyDescent="0.25">
      <c r="A530" s="1">
        <v>529</v>
      </c>
      <c r="B530" s="2" t="str">
        <f>_xlfn.CONCAT(C530,"-",VLOOKUP(C530,t_objeto!B:D,3,FALSE),"-",A530)</f>
        <v>MMII-PERCCO-529</v>
      </c>
      <c r="C530" s="1" t="s">
        <v>8352</v>
      </c>
      <c r="D530" s="1" t="str">
        <f>VLOOKUP(C530,t_objeto!B:C,2,FALSE)</f>
        <v>METHOD_INSTRUCTION</v>
      </c>
      <c r="E530" s="1">
        <v>8</v>
      </c>
      <c r="F530" s="1" t="str">
        <f>VLOOKUP(E530,t_entry_status!A:C,2,FALSE)</f>
        <v>PENDING</v>
      </c>
      <c r="G530" s="7">
        <v>45560</v>
      </c>
      <c r="H530" s="1" t="s">
        <v>7449</v>
      </c>
      <c r="I530" s="7">
        <v>45560</v>
      </c>
      <c r="J530" s="1" t="s">
        <v>7449</v>
      </c>
    </row>
    <row r="531" spans="1:10" x14ac:dyDescent="0.25">
      <c r="A531" s="1">
        <v>530</v>
      </c>
      <c r="B531" s="2" t="str">
        <f>_xlfn.CONCAT(C531,"-",VLOOKUP(C531,t_objeto!B:D,3,FALSE),"-",A531)</f>
        <v>MMII-PERCCO-530</v>
      </c>
      <c r="C531" s="1" t="s">
        <v>8352</v>
      </c>
      <c r="D531" s="1" t="str">
        <f>VLOOKUP(C531,t_objeto!B:C,2,FALSE)</f>
        <v>METHOD_INSTRUCTION</v>
      </c>
      <c r="E531" s="1">
        <v>8</v>
      </c>
      <c r="F531" s="1" t="str">
        <f>VLOOKUP(E531,t_entry_status!A:C,2,FALSE)</f>
        <v>PENDING</v>
      </c>
      <c r="G531" s="7">
        <v>45560</v>
      </c>
      <c r="H531" s="1" t="s">
        <v>7449</v>
      </c>
      <c r="I531" s="7">
        <v>45560</v>
      </c>
      <c r="J531" s="1" t="s">
        <v>7449</v>
      </c>
    </row>
    <row r="532" spans="1:10" x14ac:dyDescent="0.25">
      <c r="A532" s="1">
        <v>531</v>
      </c>
      <c r="B532" s="2" t="str">
        <f>_xlfn.CONCAT(C532,"-",VLOOKUP(C532,t_objeto!B:D,3,FALSE),"-",A532)</f>
        <v>MMII-PERCCO-531</v>
      </c>
      <c r="C532" s="1" t="s">
        <v>8352</v>
      </c>
      <c r="D532" s="1" t="str">
        <f>VLOOKUP(C532,t_objeto!B:C,2,FALSE)</f>
        <v>METHOD_INSTRUCTION</v>
      </c>
      <c r="E532" s="1">
        <v>8</v>
      </c>
      <c r="F532" s="1" t="str">
        <f>VLOOKUP(E532,t_entry_status!A:C,2,FALSE)</f>
        <v>PENDING</v>
      </c>
      <c r="G532" s="7">
        <v>45560</v>
      </c>
      <c r="H532" s="1" t="s">
        <v>7449</v>
      </c>
      <c r="I532" s="7">
        <v>45560</v>
      </c>
      <c r="J532" s="1" t="s">
        <v>7449</v>
      </c>
    </row>
    <row r="533" spans="1:10" x14ac:dyDescent="0.25">
      <c r="A533" s="1">
        <v>532</v>
      </c>
      <c r="B533" s="2" t="str">
        <f>_xlfn.CONCAT(C533,"-",VLOOKUP(C533,t_objeto!B:D,3,FALSE),"-",A533)</f>
        <v>MMII-PERCCO-532</v>
      </c>
      <c r="C533" s="1" t="s">
        <v>8352</v>
      </c>
      <c r="D533" s="1" t="str">
        <f>VLOOKUP(C533,t_objeto!B:C,2,FALSE)</f>
        <v>METHOD_INSTRUCTION</v>
      </c>
      <c r="E533" s="1">
        <v>8</v>
      </c>
      <c r="F533" s="1" t="str">
        <f>VLOOKUP(E533,t_entry_status!A:C,2,FALSE)</f>
        <v>PENDING</v>
      </c>
      <c r="G533" s="7">
        <v>45560</v>
      </c>
      <c r="H533" s="1" t="s">
        <v>7449</v>
      </c>
      <c r="I533" s="7">
        <v>45560</v>
      </c>
      <c r="J533" s="1" t="s">
        <v>7449</v>
      </c>
    </row>
    <row r="534" spans="1:10" x14ac:dyDescent="0.25">
      <c r="A534" s="1">
        <v>533</v>
      </c>
      <c r="B534" s="2" t="str">
        <f>_xlfn.CONCAT(C534,"-",VLOOKUP(C534,t_objeto!B:D,3,FALSE),"-",A534)</f>
        <v>MMII-PERCCO-533</v>
      </c>
      <c r="C534" s="1" t="s">
        <v>8352</v>
      </c>
      <c r="D534" s="1" t="str">
        <f>VLOOKUP(C534,t_objeto!B:C,2,FALSE)</f>
        <v>METHOD_INSTRUCTION</v>
      </c>
      <c r="E534" s="1">
        <v>8</v>
      </c>
      <c r="F534" s="1" t="str">
        <f>VLOOKUP(E534,t_entry_status!A:C,2,FALSE)</f>
        <v>PENDING</v>
      </c>
      <c r="G534" s="7">
        <v>45560</v>
      </c>
      <c r="H534" s="1" t="s">
        <v>7449</v>
      </c>
      <c r="I534" s="7">
        <v>45560</v>
      </c>
      <c r="J534" s="1" t="s">
        <v>7449</v>
      </c>
    </row>
    <row r="535" spans="1:10" x14ac:dyDescent="0.25">
      <c r="A535" s="1">
        <v>534</v>
      </c>
      <c r="B535" s="2" t="str">
        <f>_xlfn.CONCAT(C535,"-",VLOOKUP(C535,t_objeto!B:D,3,FALSE),"-",A535)</f>
        <v>MMII-PERCCO-534</v>
      </c>
      <c r="C535" s="1" t="s">
        <v>8352</v>
      </c>
      <c r="D535" s="1" t="str">
        <f>VLOOKUP(C535,t_objeto!B:C,2,FALSE)</f>
        <v>METHOD_INSTRUCTION</v>
      </c>
      <c r="E535" s="1">
        <v>8</v>
      </c>
      <c r="F535" s="1" t="str">
        <f>VLOOKUP(E535,t_entry_status!A:C,2,FALSE)</f>
        <v>PENDING</v>
      </c>
      <c r="G535" s="7">
        <v>45560</v>
      </c>
      <c r="H535" s="1" t="s">
        <v>7449</v>
      </c>
      <c r="I535" s="7">
        <v>45560</v>
      </c>
      <c r="J535" s="1" t="s">
        <v>7449</v>
      </c>
    </row>
    <row r="536" spans="1:10" x14ac:dyDescent="0.25">
      <c r="A536" s="1">
        <v>535</v>
      </c>
      <c r="B536" s="2" t="str">
        <f>_xlfn.CONCAT(C536,"-",VLOOKUP(C536,t_objeto!B:D,3,FALSE),"-",A536)</f>
        <v>MMII-PERCCO-535</v>
      </c>
      <c r="C536" s="1" t="s">
        <v>8352</v>
      </c>
      <c r="D536" s="1" t="str">
        <f>VLOOKUP(C536,t_objeto!B:C,2,FALSE)</f>
        <v>METHOD_INSTRUCTION</v>
      </c>
      <c r="E536" s="1">
        <v>8</v>
      </c>
      <c r="F536" s="1" t="str">
        <f>VLOOKUP(E536,t_entry_status!A:C,2,FALSE)</f>
        <v>PENDING</v>
      </c>
      <c r="G536" s="7">
        <v>45560</v>
      </c>
      <c r="H536" s="1" t="s">
        <v>7449</v>
      </c>
      <c r="I536" s="7">
        <v>45560</v>
      </c>
      <c r="J536" s="1" t="s">
        <v>7449</v>
      </c>
    </row>
    <row r="537" spans="1:10" x14ac:dyDescent="0.25">
      <c r="A537" s="1">
        <v>536</v>
      </c>
      <c r="B537" s="2" t="str">
        <f>_xlfn.CONCAT(C537,"-",VLOOKUP(C537,t_objeto!B:D,3,FALSE),"-",A537)</f>
        <v>MMII-PERCCO-536</v>
      </c>
      <c r="C537" s="1" t="s">
        <v>8352</v>
      </c>
      <c r="D537" s="1" t="str">
        <f>VLOOKUP(C537,t_objeto!B:C,2,FALSE)</f>
        <v>METHOD_INSTRUCTION</v>
      </c>
      <c r="E537" s="1">
        <v>8</v>
      </c>
      <c r="F537" s="1" t="str">
        <f>VLOOKUP(E537,t_entry_status!A:C,2,FALSE)</f>
        <v>PENDING</v>
      </c>
      <c r="G537" s="7">
        <v>45560</v>
      </c>
      <c r="H537" s="1" t="s">
        <v>7449</v>
      </c>
      <c r="I537" s="7">
        <v>45560</v>
      </c>
      <c r="J537" s="1" t="s">
        <v>7449</v>
      </c>
    </row>
    <row r="538" spans="1:10" x14ac:dyDescent="0.25">
      <c r="A538" s="1">
        <v>537</v>
      </c>
      <c r="B538" s="2" t="str">
        <f>_xlfn.CONCAT(C538,"-",VLOOKUP(C538,t_objeto!B:D,3,FALSE),"-",A538)</f>
        <v>MMII-PERCCO-537</v>
      </c>
      <c r="C538" s="1" t="s">
        <v>8352</v>
      </c>
      <c r="D538" s="1" t="str">
        <f>VLOOKUP(C538,t_objeto!B:C,2,FALSE)</f>
        <v>METHOD_INSTRUCTION</v>
      </c>
      <c r="E538" s="1">
        <v>8</v>
      </c>
      <c r="F538" s="1" t="str">
        <f>VLOOKUP(E538,t_entry_status!A:C,2,FALSE)</f>
        <v>PENDING</v>
      </c>
      <c r="G538" s="7">
        <v>45560</v>
      </c>
      <c r="H538" s="1" t="s">
        <v>7449</v>
      </c>
      <c r="I538" s="7">
        <v>45560</v>
      </c>
      <c r="J538" s="1" t="s">
        <v>7449</v>
      </c>
    </row>
    <row r="539" spans="1:10" x14ac:dyDescent="0.25">
      <c r="A539" s="1">
        <v>538</v>
      </c>
      <c r="B539" s="2" t="str">
        <f>_xlfn.CONCAT(C539,"-",VLOOKUP(C539,t_objeto!B:D,3,FALSE),"-",A539)</f>
        <v>MMII-PERCCO-538</v>
      </c>
      <c r="C539" s="1" t="s">
        <v>8352</v>
      </c>
      <c r="D539" s="1" t="str">
        <f>VLOOKUP(C539,t_objeto!B:C,2,FALSE)</f>
        <v>METHOD_INSTRUCTION</v>
      </c>
      <c r="E539" s="1">
        <v>8</v>
      </c>
      <c r="F539" s="1" t="str">
        <f>VLOOKUP(E539,t_entry_status!A:C,2,FALSE)</f>
        <v>PENDING</v>
      </c>
      <c r="G539" s="7">
        <v>45560</v>
      </c>
      <c r="H539" s="1" t="s">
        <v>7449</v>
      </c>
      <c r="I539" s="7">
        <v>45560</v>
      </c>
      <c r="J539" s="1" t="s">
        <v>7449</v>
      </c>
    </row>
    <row r="540" spans="1:10" x14ac:dyDescent="0.25">
      <c r="A540" s="1">
        <v>539</v>
      </c>
      <c r="B540" s="2" t="str">
        <f>_xlfn.CONCAT(C540,"-",VLOOKUP(C540,t_objeto!B:D,3,FALSE),"-",A540)</f>
        <v>MMII-PERCCO-539</v>
      </c>
      <c r="C540" s="1" t="s">
        <v>8352</v>
      </c>
      <c r="D540" s="1" t="str">
        <f>VLOOKUP(C540,t_objeto!B:C,2,FALSE)</f>
        <v>METHOD_INSTRUCTION</v>
      </c>
      <c r="E540" s="1">
        <v>8</v>
      </c>
      <c r="F540" s="1" t="str">
        <f>VLOOKUP(E540,t_entry_status!A:C,2,FALSE)</f>
        <v>PENDING</v>
      </c>
      <c r="G540" s="7">
        <v>45560</v>
      </c>
      <c r="H540" s="1" t="s">
        <v>7449</v>
      </c>
      <c r="I540" s="7">
        <v>45560</v>
      </c>
      <c r="J540" s="1" t="s">
        <v>7449</v>
      </c>
    </row>
    <row r="541" spans="1:10" x14ac:dyDescent="0.25">
      <c r="A541" s="1">
        <v>540</v>
      </c>
      <c r="B541" s="2" t="str">
        <f>_xlfn.CONCAT(C541,"-",VLOOKUP(C541,t_objeto!B:D,3,FALSE),"-",A541)</f>
        <v>MMII-PERCCO-540</v>
      </c>
      <c r="C541" s="1" t="s">
        <v>8352</v>
      </c>
      <c r="D541" s="1" t="str">
        <f>VLOOKUP(C541,t_objeto!B:C,2,FALSE)</f>
        <v>METHOD_INSTRUCTION</v>
      </c>
      <c r="E541" s="1">
        <v>8</v>
      </c>
      <c r="F541" s="1" t="str">
        <f>VLOOKUP(E541,t_entry_status!A:C,2,FALSE)</f>
        <v>PENDING</v>
      </c>
      <c r="G541" s="7">
        <v>45560</v>
      </c>
      <c r="H541" s="1" t="s">
        <v>7449</v>
      </c>
      <c r="I541" s="7">
        <v>45560</v>
      </c>
      <c r="J541" s="1" t="s">
        <v>7449</v>
      </c>
    </row>
    <row r="542" spans="1:10" x14ac:dyDescent="0.25">
      <c r="A542" s="1">
        <v>541</v>
      </c>
      <c r="B542" s="2" t="str">
        <f>_xlfn.CONCAT(C542,"-",VLOOKUP(C542,t_objeto!B:D,3,FALSE),"-",A542)</f>
        <v>MMII-PERCCO-541</v>
      </c>
      <c r="C542" s="1" t="s">
        <v>8352</v>
      </c>
      <c r="D542" s="1" t="str">
        <f>VLOOKUP(C542,t_objeto!B:C,2,FALSE)</f>
        <v>METHOD_INSTRUCTION</v>
      </c>
      <c r="E542" s="1">
        <v>8</v>
      </c>
      <c r="F542" s="1" t="str">
        <f>VLOOKUP(E542,t_entry_status!A:C,2,FALSE)</f>
        <v>PENDING</v>
      </c>
      <c r="G542" s="7">
        <v>45560</v>
      </c>
      <c r="H542" s="1" t="s">
        <v>7449</v>
      </c>
      <c r="I542" s="7">
        <v>45560</v>
      </c>
      <c r="J542" s="1" t="s">
        <v>7449</v>
      </c>
    </row>
    <row r="543" spans="1:10" x14ac:dyDescent="0.25">
      <c r="A543" s="1">
        <v>542</v>
      </c>
      <c r="B543" s="2" t="str">
        <f>_xlfn.CONCAT(C543,"-",VLOOKUP(C543,t_objeto!B:D,3,FALSE),"-",A543)</f>
        <v>MMII-PERCCO-542</v>
      </c>
      <c r="C543" s="1" t="s">
        <v>8352</v>
      </c>
      <c r="D543" s="1" t="str">
        <f>VLOOKUP(C543,t_objeto!B:C,2,FALSE)</f>
        <v>METHOD_INSTRUCTION</v>
      </c>
      <c r="E543" s="1">
        <v>8</v>
      </c>
      <c r="F543" s="1" t="str">
        <f>VLOOKUP(E543,t_entry_status!A:C,2,FALSE)</f>
        <v>PENDING</v>
      </c>
      <c r="G543" s="7">
        <v>45560</v>
      </c>
      <c r="H543" s="1" t="s">
        <v>7449</v>
      </c>
      <c r="I543" s="7">
        <v>45560</v>
      </c>
      <c r="J543" s="1" t="s">
        <v>7449</v>
      </c>
    </row>
    <row r="544" spans="1:10" x14ac:dyDescent="0.25">
      <c r="A544" s="1">
        <v>543</v>
      </c>
      <c r="B544" s="2" t="str">
        <f>_xlfn.CONCAT(C544,"-",VLOOKUP(C544,t_objeto!B:D,3,FALSE),"-",A544)</f>
        <v>MMII-PERCCO-543</v>
      </c>
      <c r="C544" s="1" t="s">
        <v>8352</v>
      </c>
      <c r="D544" s="1" t="str">
        <f>VLOOKUP(C544,t_objeto!B:C,2,FALSE)</f>
        <v>METHOD_INSTRUCTION</v>
      </c>
      <c r="E544" s="1">
        <v>8</v>
      </c>
      <c r="F544" s="1" t="str">
        <f>VLOOKUP(E544,t_entry_status!A:C,2,FALSE)</f>
        <v>PENDING</v>
      </c>
      <c r="G544" s="7">
        <v>45560</v>
      </c>
      <c r="H544" s="1" t="s">
        <v>7449</v>
      </c>
      <c r="I544" s="7">
        <v>45560</v>
      </c>
      <c r="J544" s="1" t="s">
        <v>7449</v>
      </c>
    </row>
    <row r="545" spans="1:10" x14ac:dyDescent="0.25">
      <c r="A545" s="1">
        <v>544</v>
      </c>
      <c r="B545" s="2" t="str">
        <f>_xlfn.CONCAT(C545,"-",VLOOKUP(C545,t_objeto!B:D,3,FALSE),"-",A545)</f>
        <v>MMII-PERCCO-544</v>
      </c>
      <c r="C545" s="1" t="s">
        <v>8352</v>
      </c>
      <c r="D545" s="1" t="str">
        <f>VLOOKUP(C545,t_objeto!B:C,2,FALSE)</f>
        <v>METHOD_INSTRUCTION</v>
      </c>
      <c r="E545" s="1">
        <v>8</v>
      </c>
      <c r="F545" s="1" t="str">
        <f>VLOOKUP(E545,t_entry_status!A:C,2,FALSE)</f>
        <v>PENDING</v>
      </c>
      <c r="G545" s="7">
        <v>45560</v>
      </c>
      <c r="H545" s="1" t="s">
        <v>7449</v>
      </c>
      <c r="I545" s="7">
        <v>45560</v>
      </c>
      <c r="J545" s="1" t="s">
        <v>7449</v>
      </c>
    </row>
    <row r="546" spans="1:10" x14ac:dyDescent="0.25">
      <c r="A546" s="1">
        <v>545</v>
      </c>
      <c r="B546" s="2" t="str">
        <f>_xlfn.CONCAT(C546,"-",VLOOKUP(C546,t_objeto!B:D,3,FALSE),"-",A546)</f>
        <v>MMII-PERCCO-545</v>
      </c>
      <c r="C546" s="1" t="s">
        <v>8352</v>
      </c>
      <c r="D546" s="1" t="str">
        <f>VLOOKUP(C546,t_objeto!B:C,2,FALSE)</f>
        <v>METHOD_INSTRUCTION</v>
      </c>
      <c r="E546" s="1">
        <v>8</v>
      </c>
      <c r="F546" s="1" t="str">
        <f>VLOOKUP(E546,t_entry_status!A:C,2,FALSE)</f>
        <v>PENDING</v>
      </c>
      <c r="G546" s="7">
        <v>45560</v>
      </c>
      <c r="H546" s="1" t="s">
        <v>7449</v>
      </c>
      <c r="I546" s="7">
        <v>45560</v>
      </c>
      <c r="J546" s="1" t="s">
        <v>7449</v>
      </c>
    </row>
  </sheetData>
  <autoFilter ref="A1:J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F05298D4-AE25-4888-A8A6-12672960FA56}">
          <x14:formula1>
            <xm:f>t_objeto!$B:$B</xm:f>
          </x14:formula1>
          <xm:sqref>C2:C546</xm:sqref>
        </x14:dataValidation>
        <x14:dataValidation type="list" allowBlank="1" showInputMessage="1" showErrorMessage="1" xr:uid="{6D856D92-0278-4AF0-A7CB-844D0B4C94C5}">
          <x14:formula1>
            <xm:f>t_entry_status!$A:$A</xm:f>
          </x14:formula1>
          <xm:sqref>E2:E546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6BDF-F17F-4D9C-84DA-7188A287BBF4}">
  <dimension ref="A1:K17"/>
  <sheetViews>
    <sheetView workbookViewId="0">
      <selection activeCell="E23" sqref="E23"/>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21.7109375" style="1" customWidth="1"/>
    <col min="6" max="6" width="12.7109375" style="1" bestFit="1" customWidth="1"/>
    <col min="7" max="7" width="26.7109375" style="1" bestFit="1" customWidth="1"/>
    <col min="8" max="8" width="15.42578125" style="1" bestFit="1" customWidth="1"/>
    <col min="9" max="9" width="14" style="1" bestFit="1" customWidth="1"/>
    <col min="10" max="10" width="16.28515625" style="1" bestFit="1" customWidth="1"/>
    <col min="11" max="11" width="14.5703125" style="1" bestFit="1" customWidth="1"/>
    <col min="12" max="16384" width="8.85546875" style="1"/>
  </cols>
  <sheetData>
    <row r="1" spans="1:11" s="6" customFormat="1" x14ac:dyDescent="0.25">
      <c r="A1" s="5" t="s">
        <v>7286</v>
      </c>
      <c r="B1" s="5" t="s">
        <v>7494</v>
      </c>
      <c r="C1" s="5" t="s">
        <v>7333</v>
      </c>
      <c r="D1" s="5" t="s">
        <v>7287</v>
      </c>
      <c r="E1" s="5" t="s">
        <v>7454</v>
      </c>
      <c r="F1" s="5" t="s">
        <v>24</v>
      </c>
      <c r="G1" s="5" t="s">
        <v>43</v>
      </c>
      <c r="H1" s="5" t="s">
        <v>44</v>
      </c>
      <c r="I1" s="5" t="s">
        <v>45</v>
      </c>
      <c r="J1" s="5" t="s">
        <v>46</v>
      </c>
      <c r="K1" s="5" t="s">
        <v>47</v>
      </c>
    </row>
    <row r="2" spans="1:11" x14ac:dyDescent="0.25">
      <c r="A2" s="1">
        <v>1</v>
      </c>
      <c r="B2" s="2" t="str">
        <f>_xlfn.CONCAT(C2,"-",VLOOKUP(C2,t_objeto!B:D,3,FALSE),"-",A2)</f>
        <v>OOFF-PERCCO-1</v>
      </c>
      <c r="C2" s="1" t="s">
        <v>7353</v>
      </c>
      <c r="D2" s="1" t="str">
        <f>VLOOKUP(C2,t_objeto!B:C,2,FALSE)</f>
        <v>ORDEN_FABRICACION</v>
      </c>
      <c r="E2" s="2" t="s">
        <v>7478</v>
      </c>
      <c r="F2" s="1">
        <v>8</v>
      </c>
      <c r="G2" s="1" t="str">
        <f>VLOOKUP(F2,t_entry_status!A:C,2,FALSE)</f>
        <v>PENDING</v>
      </c>
      <c r="H2" s="7">
        <v>45560</v>
      </c>
      <c r="I2" s="1" t="s">
        <v>7449</v>
      </c>
      <c r="J2" s="7">
        <v>45560</v>
      </c>
      <c r="K2" s="1" t="s">
        <v>7449</v>
      </c>
    </row>
    <row r="3" spans="1:11" x14ac:dyDescent="0.25">
      <c r="A3" s="1">
        <v>2</v>
      </c>
      <c r="B3" s="2" t="str">
        <f>_xlfn.CONCAT(C3,"-",VLOOKUP(C3,t_objeto!B:D,3,FALSE),"-",A3)</f>
        <v>OOFF-PERCCO-2</v>
      </c>
      <c r="C3" s="1" t="s">
        <v>7353</v>
      </c>
      <c r="D3" s="1" t="str">
        <f>VLOOKUP(C3,t_objeto!B:C,2,FALSE)</f>
        <v>ORDEN_FABRICACION</v>
      </c>
      <c r="E3" s="2" t="s">
        <v>7479</v>
      </c>
      <c r="F3" s="1">
        <v>8</v>
      </c>
      <c r="G3" s="1" t="str">
        <f>VLOOKUP(F3,t_entry_status!A:C,2,FALSE)</f>
        <v>PENDING</v>
      </c>
      <c r="H3" s="7">
        <v>45560</v>
      </c>
      <c r="I3" s="1" t="s">
        <v>7449</v>
      </c>
      <c r="J3" s="7">
        <v>45560</v>
      </c>
      <c r="K3" s="1" t="s">
        <v>7449</v>
      </c>
    </row>
    <row r="4" spans="1:11" x14ac:dyDescent="0.25">
      <c r="A4" s="1">
        <v>3</v>
      </c>
      <c r="B4" s="2" t="str">
        <f>_xlfn.CONCAT(C4,"-",VLOOKUP(C4,t_objeto!B:D,3,FALSE),"-",A4)</f>
        <v>OOFF-PERCCO-3</v>
      </c>
      <c r="C4" s="1" t="s">
        <v>7353</v>
      </c>
      <c r="D4" s="1" t="str">
        <f>VLOOKUP(C4,t_objeto!B:C,2,FALSE)</f>
        <v>ORDEN_FABRICACION</v>
      </c>
      <c r="E4" s="2" t="s">
        <v>7480</v>
      </c>
      <c r="F4" s="1">
        <v>8</v>
      </c>
      <c r="G4" s="1" t="str">
        <f>VLOOKUP(F4,t_entry_status!A:C,2,FALSE)</f>
        <v>PENDING</v>
      </c>
      <c r="H4" s="7">
        <v>45560</v>
      </c>
      <c r="I4" s="1" t="s">
        <v>7449</v>
      </c>
      <c r="J4" s="7">
        <v>45560</v>
      </c>
      <c r="K4" s="1" t="s">
        <v>7449</v>
      </c>
    </row>
    <row r="5" spans="1:11" x14ac:dyDescent="0.25">
      <c r="A5" s="1">
        <v>4</v>
      </c>
      <c r="B5" s="2" t="str">
        <f>_xlfn.CONCAT(C5,"-",VLOOKUP(C5,t_objeto!B:D,3,FALSE),"-",A5)</f>
        <v>OOFF-PERCCO-4</v>
      </c>
      <c r="C5" s="1" t="s">
        <v>7353</v>
      </c>
      <c r="D5" s="1" t="str">
        <f>VLOOKUP(C5,t_objeto!B:C,2,FALSE)</f>
        <v>ORDEN_FABRICACION</v>
      </c>
      <c r="E5" s="2" t="s">
        <v>7481</v>
      </c>
      <c r="F5" s="1">
        <v>8</v>
      </c>
      <c r="G5" s="1" t="str">
        <f>VLOOKUP(F5,t_entry_status!A:C,2,FALSE)</f>
        <v>PENDING</v>
      </c>
      <c r="H5" s="7">
        <v>45560</v>
      </c>
      <c r="I5" s="1" t="s">
        <v>7449</v>
      </c>
      <c r="J5" s="7">
        <v>45560</v>
      </c>
      <c r="K5" s="1" t="s">
        <v>7449</v>
      </c>
    </row>
    <row r="6" spans="1:11" x14ac:dyDescent="0.25">
      <c r="A6" s="1">
        <v>5</v>
      </c>
      <c r="B6" s="2" t="str">
        <f>_xlfn.CONCAT(C6,"-",VLOOKUP(C6,t_objeto!B:D,3,FALSE),"-",A6)</f>
        <v>OOFF-PERCCO-5</v>
      </c>
      <c r="C6" s="1" t="s">
        <v>7353</v>
      </c>
      <c r="D6" s="1" t="str">
        <f>VLOOKUP(C6,t_objeto!B:C,2,FALSE)</f>
        <v>ORDEN_FABRICACION</v>
      </c>
      <c r="E6" s="2" t="s">
        <v>7482</v>
      </c>
      <c r="F6" s="1">
        <v>8</v>
      </c>
      <c r="G6" s="1" t="str">
        <f>VLOOKUP(F6,t_entry_status!A:C,2,FALSE)</f>
        <v>PENDING</v>
      </c>
      <c r="H6" s="7">
        <v>45560</v>
      </c>
      <c r="I6" s="1" t="s">
        <v>7449</v>
      </c>
      <c r="J6" s="7">
        <v>45560</v>
      </c>
      <c r="K6" s="1" t="s">
        <v>7449</v>
      </c>
    </row>
    <row r="7" spans="1:11" x14ac:dyDescent="0.25">
      <c r="A7" s="1">
        <v>6</v>
      </c>
      <c r="B7" s="2" t="str">
        <f>_xlfn.CONCAT(C7,"-",VLOOKUP(C7,t_objeto!B:D,3,FALSE),"-",A7)</f>
        <v>OOFF-PERCCO-6</v>
      </c>
      <c r="C7" s="1" t="s">
        <v>7353</v>
      </c>
      <c r="D7" s="1" t="str">
        <f>VLOOKUP(C7,t_objeto!B:C,2,FALSE)</f>
        <v>ORDEN_FABRICACION</v>
      </c>
      <c r="E7" s="2" t="s">
        <v>7483</v>
      </c>
      <c r="F7" s="1">
        <v>8</v>
      </c>
      <c r="G7" s="1" t="str">
        <f>VLOOKUP(F7,t_entry_status!A:C,2,FALSE)</f>
        <v>PENDING</v>
      </c>
      <c r="H7" s="7">
        <v>45560</v>
      </c>
      <c r="I7" s="1" t="s">
        <v>7449</v>
      </c>
      <c r="J7" s="7">
        <v>45560</v>
      </c>
      <c r="K7" s="1" t="s">
        <v>7449</v>
      </c>
    </row>
    <row r="8" spans="1:11" x14ac:dyDescent="0.25">
      <c r="A8" s="1">
        <v>7</v>
      </c>
      <c r="B8" s="2" t="str">
        <f>_xlfn.CONCAT(C8,"-",VLOOKUP(C8,t_objeto!B:D,3,FALSE),"-",A8)</f>
        <v>OOFF-PERCCO-7</v>
      </c>
      <c r="C8" s="1" t="s">
        <v>7353</v>
      </c>
      <c r="D8" s="1" t="str">
        <f>VLOOKUP(C8,t_objeto!B:C,2,FALSE)</f>
        <v>ORDEN_FABRICACION</v>
      </c>
      <c r="E8" s="2" t="s">
        <v>7484</v>
      </c>
      <c r="F8" s="1">
        <v>8</v>
      </c>
      <c r="G8" s="1" t="str">
        <f>VLOOKUP(F8,t_entry_status!A:C,2,FALSE)</f>
        <v>PENDING</v>
      </c>
      <c r="H8" s="7">
        <v>45560</v>
      </c>
      <c r="I8" s="1" t="s">
        <v>7449</v>
      </c>
      <c r="J8" s="7">
        <v>45560</v>
      </c>
      <c r="K8" s="1" t="s">
        <v>7449</v>
      </c>
    </row>
    <row r="9" spans="1:11" x14ac:dyDescent="0.25">
      <c r="A9" s="1">
        <v>8</v>
      </c>
      <c r="B9" s="2" t="str">
        <f>_xlfn.CONCAT(C9,"-",VLOOKUP(C9,t_objeto!B:D,3,FALSE),"-",A9)</f>
        <v>OOFF-PERCCO-8</v>
      </c>
      <c r="C9" s="1" t="s">
        <v>7353</v>
      </c>
      <c r="D9" s="1" t="str">
        <f>VLOOKUP(C9,t_objeto!B:C,2,FALSE)</f>
        <v>ORDEN_FABRICACION</v>
      </c>
      <c r="E9" s="2" t="s">
        <v>7485</v>
      </c>
      <c r="F9" s="1">
        <v>8</v>
      </c>
      <c r="G9" s="1" t="str">
        <f>VLOOKUP(F9,t_entry_status!A:C,2,FALSE)</f>
        <v>PENDING</v>
      </c>
      <c r="H9" s="7">
        <v>45560</v>
      </c>
      <c r="I9" s="1" t="s">
        <v>7449</v>
      </c>
      <c r="J9" s="7">
        <v>45560</v>
      </c>
      <c r="K9" s="1" t="s">
        <v>7449</v>
      </c>
    </row>
    <row r="10" spans="1:11" x14ac:dyDescent="0.25">
      <c r="A10" s="1">
        <v>9</v>
      </c>
      <c r="B10" s="2" t="str">
        <f>_xlfn.CONCAT(C10,"-",VLOOKUP(C10,t_objeto!B:D,3,FALSE),"-",A10)</f>
        <v>OOFF-PERCCO-9</v>
      </c>
      <c r="C10" s="1" t="s">
        <v>7353</v>
      </c>
      <c r="D10" s="1" t="str">
        <f>VLOOKUP(C10,t_objeto!B:C,2,FALSE)</f>
        <v>ORDEN_FABRICACION</v>
      </c>
      <c r="E10" s="2" t="s">
        <v>7486</v>
      </c>
      <c r="F10" s="1">
        <v>8</v>
      </c>
      <c r="G10" s="1" t="str">
        <f>VLOOKUP(F10,t_entry_status!A:C,2,FALSE)</f>
        <v>PENDING</v>
      </c>
      <c r="H10" s="7">
        <v>45560</v>
      </c>
      <c r="I10" s="1" t="s">
        <v>7449</v>
      </c>
      <c r="J10" s="7">
        <v>45560</v>
      </c>
      <c r="K10" s="1" t="s">
        <v>7449</v>
      </c>
    </row>
    <row r="11" spans="1:11" x14ac:dyDescent="0.25">
      <c r="A11" s="1">
        <v>10</v>
      </c>
      <c r="B11" s="2" t="str">
        <f>_xlfn.CONCAT(C11,"-",VLOOKUP(C11,t_objeto!B:D,3,FALSE),"-",A11)</f>
        <v>OOFF-PERCCO-10</v>
      </c>
      <c r="C11" s="1" t="s">
        <v>7353</v>
      </c>
      <c r="D11" s="1" t="str">
        <f>VLOOKUP(C11,t_objeto!B:C,2,FALSE)</f>
        <v>ORDEN_FABRICACION</v>
      </c>
      <c r="E11" s="2" t="s">
        <v>7487</v>
      </c>
      <c r="F11" s="1">
        <v>8</v>
      </c>
      <c r="G11" s="1" t="str">
        <f>VLOOKUP(F11,t_entry_status!A:C,2,FALSE)</f>
        <v>PENDING</v>
      </c>
      <c r="H11" s="7">
        <v>45560</v>
      </c>
      <c r="I11" s="1" t="s">
        <v>7449</v>
      </c>
      <c r="J11" s="7">
        <v>45560</v>
      </c>
      <c r="K11" s="1" t="s">
        <v>7449</v>
      </c>
    </row>
    <row r="12" spans="1:11" x14ac:dyDescent="0.25">
      <c r="A12" s="1">
        <v>11</v>
      </c>
      <c r="B12" s="2" t="str">
        <f>_xlfn.CONCAT(C12,"-",VLOOKUP(C12,t_objeto!B:D,3,FALSE),"-",A12)</f>
        <v>OOFF-PERCCO-11</v>
      </c>
      <c r="C12" s="1" t="s">
        <v>7353</v>
      </c>
      <c r="D12" s="1" t="str">
        <f>VLOOKUP(C12,t_objeto!B:C,2,FALSE)</f>
        <v>ORDEN_FABRICACION</v>
      </c>
      <c r="E12" s="2" t="s">
        <v>7488</v>
      </c>
      <c r="F12" s="1">
        <v>8</v>
      </c>
      <c r="G12" s="1" t="str">
        <f>VLOOKUP(F12,t_entry_status!A:C,2,FALSE)</f>
        <v>PENDING</v>
      </c>
      <c r="H12" s="7">
        <v>45560</v>
      </c>
      <c r="I12" s="1" t="s">
        <v>7449</v>
      </c>
      <c r="J12" s="7">
        <v>45560</v>
      </c>
      <c r="K12" s="1" t="s">
        <v>7449</v>
      </c>
    </row>
    <row r="13" spans="1:11" x14ac:dyDescent="0.25">
      <c r="A13" s="1">
        <v>12</v>
      </c>
      <c r="B13" s="2" t="str">
        <f>_xlfn.CONCAT(C13,"-",VLOOKUP(C13,t_objeto!B:D,3,FALSE),"-",A13)</f>
        <v>OOFF-PERCCO-12</v>
      </c>
      <c r="C13" s="1" t="s">
        <v>7353</v>
      </c>
      <c r="D13" s="1" t="str">
        <f>VLOOKUP(C13,t_objeto!B:C,2,FALSE)</f>
        <v>ORDEN_FABRICACION</v>
      </c>
      <c r="E13" s="2" t="s">
        <v>7489</v>
      </c>
      <c r="F13" s="1">
        <v>8</v>
      </c>
      <c r="G13" s="1" t="str">
        <f>VLOOKUP(F13,t_entry_status!A:C,2,FALSE)</f>
        <v>PENDING</v>
      </c>
      <c r="H13" s="7">
        <v>45560</v>
      </c>
      <c r="I13" s="1" t="s">
        <v>7449</v>
      </c>
      <c r="J13" s="7">
        <v>45560</v>
      </c>
      <c r="K13" s="1" t="s">
        <v>7449</v>
      </c>
    </row>
    <row r="14" spans="1:11" x14ac:dyDescent="0.25">
      <c r="A14" s="1">
        <v>13</v>
      </c>
      <c r="B14" s="2" t="str">
        <f>_xlfn.CONCAT(C14,"-",VLOOKUP(C14,t_objeto!B:D,3,FALSE),"-",A14)</f>
        <v>OOFF-PERCCO-13</v>
      </c>
      <c r="C14" s="1" t="s">
        <v>7353</v>
      </c>
      <c r="D14" s="1" t="str">
        <f>VLOOKUP(C14,t_objeto!B:C,2,FALSE)</f>
        <v>ORDEN_FABRICACION</v>
      </c>
      <c r="E14" s="2" t="s">
        <v>7490</v>
      </c>
      <c r="F14" s="1">
        <v>8</v>
      </c>
      <c r="G14" s="1" t="str">
        <f>VLOOKUP(F14,t_entry_status!A:C,2,FALSE)</f>
        <v>PENDING</v>
      </c>
      <c r="H14" s="7">
        <v>45560</v>
      </c>
      <c r="I14" s="1" t="s">
        <v>7449</v>
      </c>
      <c r="J14" s="7">
        <v>45560</v>
      </c>
      <c r="K14" s="1" t="s">
        <v>7449</v>
      </c>
    </row>
    <row r="15" spans="1:11" x14ac:dyDescent="0.25">
      <c r="A15" s="1">
        <v>14</v>
      </c>
      <c r="B15" s="2" t="str">
        <f>_xlfn.CONCAT(C15,"-",VLOOKUP(C15,t_objeto!B:D,3,FALSE),"-",A15)</f>
        <v>OOFF-PERCCO-14</v>
      </c>
      <c r="C15" s="1" t="s">
        <v>7353</v>
      </c>
      <c r="D15" s="1" t="str">
        <f>VLOOKUP(C15,t_objeto!B:C,2,FALSE)</f>
        <v>ORDEN_FABRICACION</v>
      </c>
      <c r="E15" s="2" t="s">
        <v>7491</v>
      </c>
      <c r="F15" s="1">
        <v>8</v>
      </c>
      <c r="G15" s="1" t="str">
        <f>VLOOKUP(F15,t_entry_status!A:C,2,FALSE)</f>
        <v>PENDING</v>
      </c>
      <c r="H15" s="7">
        <v>45560</v>
      </c>
      <c r="I15" s="1" t="s">
        <v>7449</v>
      </c>
      <c r="J15" s="7">
        <v>45560</v>
      </c>
      <c r="K15" s="1" t="s">
        <v>7449</v>
      </c>
    </row>
    <row r="16" spans="1:11" x14ac:dyDescent="0.25">
      <c r="A16" s="1">
        <v>15</v>
      </c>
      <c r="B16" s="2" t="str">
        <f>_xlfn.CONCAT(C16,"-",VLOOKUP(C16,t_objeto!B:D,3,FALSE),"-",A16)</f>
        <v>OOFF-PERCCO-15</v>
      </c>
      <c r="C16" s="1" t="s">
        <v>7353</v>
      </c>
      <c r="D16" s="1" t="str">
        <f>VLOOKUP(C16,t_objeto!B:C,2,FALSE)</f>
        <v>ORDEN_FABRICACION</v>
      </c>
      <c r="E16" s="2" t="s">
        <v>7492</v>
      </c>
      <c r="F16" s="1">
        <v>8</v>
      </c>
      <c r="G16" s="1" t="str">
        <f>VLOOKUP(F16,t_entry_status!A:C,2,FALSE)</f>
        <v>PENDING</v>
      </c>
      <c r="H16" s="7">
        <v>45560</v>
      </c>
      <c r="I16" s="1" t="s">
        <v>7449</v>
      </c>
      <c r="J16" s="7">
        <v>45560</v>
      </c>
      <c r="K16" s="1" t="s">
        <v>7449</v>
      </c>
    </row>
    <row r="17" spans="1:11" x14ac:dyDescent="0.25">
      <c r="A17" s="1">
        <v>16</v>
      </c>
      <c r="B17" s="2" t="str">
        <f>_xlfn.CONCAT(C17,"-",VLOOKUP(C17,t_objeto!B:D,3,FALSE),"-",A17)</f>
        <v>OOFF-PERCCO-16</v>
      </c>
      <c r="C17" s="1" t="s">
        <v>7353</v>
      </c>
      <c r="D17" s="1" t="str">
        <f>VLOOKUP(C17,t_objeto!B:C,2,FALSE)</f>
        <v>ORDEN_FABRICACION</v>
      </c>
      <c r="E17" s="2" t="s">
        <v>7493</v>
      </c>
      <c r="F17" s="1">
        <v>8</v>
      </c>
      <c r="G17" s="1" t="str">
        <f>VLOOKUP(F17,t_entry_status!A:C,2,FALSE)</f>
        <v>PENDING</v>
      </c>
      <c r="H17" s="7">
        <v>45560</v>
      </c>
      <c r="I17" s="1" t="s">
        <v>7449</v>
      </c>
      <c r="J17" s="7">
        <v>45560</v>
      </c>
      <c r="K17" s="1" t="s">
        <v>7449</v>
      </c>
    </row>
  </sheetData>
  <autoFilter ref="A1:K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B151133E-7A88-4AAC-B7D6-8414496F8EEE}">
          <x14:formula1>
            <xm:f>t_entry_status!$A:$A</xm:f>
          </x14:formula1>
          <xm:sqref>F2:F17</xm:sqref>
        </x14:dataValidation>
        <x14:dataValidation type="list" allowBlank="1" showInputMessage="1" showErrorMessage="1" xr:uid="{7B20DCF4-488F-4DAF-B4BB-D2752175B2E3}">
          <x14:formula1>
            <xm:f>t_objeto!$B:$B</xm:f>
          </x14:formula1>
          <xm:sqref>C2:C20</xm:sqref>
        </x14:dataValidation>
        <x14:dataValidation type="list" allowBlank="1" showInputMessage="1" showErrorMessage="1" xr:uid="{81313A97-FAF7-43D2-AEEF-0622A151B2AC}">
          <x14:formula1>
            <xm:f>t_resourcesPool!$B:$B</xm:f>
          </x14:formula1>
          <xm:sqref>E2:E17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23</vt:i4>
      </vt:variant>
    </vt:vector>
  </HeadingPairs>
  <TitlesOfParts>
    <vt:vector size="23" baseType="lpstr">
      <vt:lpstr>Hoja1</vt:lpstr>
      <vt:lpstr>t_empresa</vt:lpstr>
      <vt:lpstr>t_objeto</vt:lpstr>
      <vt:lpstr>t_producto</vt:lpstr>
      <vt:lpstr>t_tipoProducto</vt:lpstr>
      <vt:lpstr>t_productStatus</vt:lpstr>
      <vt:lpstr>t_cliente</vt:lpstr>
      <vt:lpstr>t_tipo_cliente</vt:lpstr>
      <vt:lpstr>t_prioridad_cliente</vt:lpstr>
      <vt:lpstr>t_clave_unidad</vt:lpstr>
      <vt:lpstr>t_entry_status</vt:lpstr>
      <vt:lpstr>t_usuario</vt:lpstr>
      <vt:lpstr>t_area</vt:lpstr>
      <vt:lpstr>t_proceso</vt:lpstr>
      <vt:lpstr>t_machinery</vt:lpstr>
      <vt:lpstr>t_materialPlano</vt:lpstr>
      <vt:lpstr>t_presentacionMaterial</vt:lpstr>
      <vt:lpstr>t_calendario</vt:lpstr>
      <vt:lpstr>t_politicaLaboral</vt:lpstr>
      <vt:lpstr>t_materialKit</vt:lpstr>
      <vt:lpstr>t_resourcesPool</vt:lpstr>
      <vt:lpstr>t_workInstruction</vt:lpstr>
      <vt:lpstr>t_workOrder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INGENIERIA</dc:creator>
  <cp:lastModifiedBy>INGENIERIA</cp:lastModifiedBy>
  <dcterms:created xsi:type="dcterms:W3CDTF">2024-09-25T15:31:08Z</dcterms:created>
  <dcterms:modified xsi:type="dcterms:W3CDTF">2024-10-16T21:54:28Z</dcterms:modified>
</cp:coreProperties>
</file>